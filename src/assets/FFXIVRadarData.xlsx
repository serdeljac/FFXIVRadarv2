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hub\FFXIVRadarv2\src\assets\"/>
    </mc:Choice>
  </mc:AlternateContent>
  <xr:revisionPtr revIDLastSave="0" documentId="13_ncr:1_{645CBF4F-A51F-4478-BEF4-1C5DF5D999CB}" xr6:coauthVersionLast="47" xr6:coauthVersionMax="47" xr10:uidLastSave="{00000000-0000-0000-0000-000000000000}"/>
  <bookViews>
    <workbookView xWindow="-120" yWindow="-120" windowWidth="29040" windowHeight="15720" tabRatio="645" activeTab="3" xr2:uid="{B45AE4DC-D72F-45B0-B0F9-7FE5EAD99CCC}"/>
  </bookViews>
  <sheets>
    <sheet name="areas" sheetId="3" r:id="rId1"/>
    <sheet name="expansions" sheetId="15" r:id="rId2"/>
    <sheet name="botany" sheetId="7" r:id="rId3"/>
    <sheet name="fishing" sheetId="16" r:id="rId4"/>
    <sheet name="aetheryte" sheetId="6" r:id="rId5"/>
    <sheet name="hunts" sheetId="10" r:id="rId6"/>
    <sheet name="huntpoint" sheetId="11" r:id="rId7"/>
    <sheet name="aethercurrent" sheetId="5" r:id="rId8"/>
    <sheet name="aetherial" sheetId="1" r:id="rId9"/>
    <sheet name="bluemage" sheetId="2" r:id="rId10"/>
    <sheet name="sightseeing" sheetId="9" r:id="rId11"/>
    <sheet name="miner" sheetId="8" r:id="rId12"/>
    <sheet name="fates" sheetId="12" r:id="rId13"/>
    <sheet name="timer" sheetId="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6" l="1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3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3" i="16"/>
  <c r="K674" i="16"/>
  <c r="K675" i="16"/>
  <c r="K676" i="16"/>
  <c r="K677" i="16"/>
  <c r="K678" i="16"/>
  <c r="K679" i="16"/>
  <c r="K680" i="16"/>
  <c r="K681" i="16"/>
  <c r="K682" i="16"/>
  <c r="K683" i="16"/>
  <c r="K684" i="16"/>
  <c r="K685" i="16"/>
  <c r="K686" i="16"/>
  <c r="K687" i="16"/>
  <c r="K688" i="16"/>
  <c r="K689" i="16"/>
  <c r="K690" i="16"/>
  <c r="K691" i="16"/>
  <c r="K692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39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1" i="16"/>
  <c r="K1472" i="16"/>
  <c r="K1473" i="16"/>
  <c r="K1474" i="16"/>
  <c r="K1475" i="16"/>
  <c r="K1476" i="16"/>
  <c r="K1477" i="16"/>
  <c r="K1478" i="16"/>
  <c r="K1479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1601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7" i="16"/>
  <c r="K1618" i="16"/>
  <c r="K1619" i="16"/>
  <c r="K1620" i="16"/>
  <c r="K1621" i="16"/>
  <c r="K1622" i="16"/>
  <c r="K1623" i="16"/>
  <c r="K1624" i="16"/>
  <c r="K1625" i="16"/>
  <c r="K1626" i="16"/>
  <c r="K1627" i="16"/>
  <c r="K1628" i="16"/>
  <c r="K1629" i="16"/>
  <c r="K1630" i="16"/>
  <c r="K1631" i="16"/>
  <c r="K1632" i="16"/>
  <c r="K1633" i="16"/>
  <c r="K1634" i="16"/>
  <c r="K1635" i="16"/>
  <c r="K1636" i="16"/>
  <c r="K1637" i="16"/>
  <c r="K1638" i="16"/>
  <c r="K1639" i="16"/>
  <c r="K1640" i="16"/>
  <c r="K1641" i="16"/>
  <c r="K1642" i="16"/>
  <c r="K1643" i="16"/>
  <c r="K1644" i="16"/>
  <c r="K1645" i="16"/>
  <c r="K1646" i="16"/>
  <c r="K1647" i="16"/>
  <c r="K1648" i="16"/>
  <c r="K1649" i="16"/>
  <c r="K1650" i="16"/>
  <c r="K1651" i="16"/>
  <c r="K1652" i="16"/>
  <c r="K1653" i="16"/>
  <c r="K1654" i="16"/>
  <c r="K1655" i="16"/>
  <c r="K1656" i="16"/>
  <c r="K1657" i="16"/>
  <c r="K1658" i="16"/>
  <c r="K1659" i="16"/>
  <c r="K1660" i="16"/>
  <c r="K1661" i="16"/>
  <c r="K1662" i="16"/>
  <c r="K1663" i="16"/>
  <c r="K1664" i="16"/>
  <c r="K1665" i="16"/>
  <c r="K1666" i="16"/>
  <c r="K1667" i="16"/>
  <c r="K1668" i="16"/>
  <c r="K1669" i="16"/>
  <c r="K1670" i="16"/>
  <c r="K1671" i="16"/>
  <c r="K1672" i="16"/>
  <c r="K1673" i="16"/>
  <c r="K1674" i="16"/>
  <c r="K1675" i="16"/>
  <c r="K1676" i="16"/>
  <c r="K1677" i="16"/>
  <c r="K1678" i="16"/>
  <c r="K1679" i="16"/>
  <c r="K1680" i="16"/>
  <c r="K1681" i="16"/>
  <c r="K1682" i="16"/>
  <c r="K1683" i="16"/>
  <c r="K1684" i="16"/>
  <c r="K1685" i="16"/>
  <c r="K1686" i="16"/>
  <c r="K1687" i="16"/>
  <c r="K1688" i="16"/>
  <c r="K1689" i="16"/>
  <c r="K1690" i="16"/>
  <c r="K1691" i="16"/>
  <c r="K1692" i="16"/>
  <c r="K1693" i="16"/>
  <c r="K1694" i="16"/>
  <c r="K1695" i="16"/>
  <c r="K1696" i="16"/>
  <c r="K1697" i="16"/>
  <c r="K1698" i="16"/>
  <c r="K1699" i="16"/>
  <c r="K1700" i="16"/>
  <c r="K1701" i="16"/>
  <c r="K1702" i="16"/>
  <c r="K1703" i="16"/>
  <c r="K1704" i="16"/>
  <c r="K1705" i="16"/>
  <c r="K1706" i="16"/>
  <c r="K1707" i="16"/>
  <c r="K1708" i="16"/>
  <c r="K1709" i="16"/>
  <c r="K1710" i="16"/>
  <c r="K1711" i="16"/>
  <c r="K1712" i="16"/>
  <c r="K1713" i="16"/>
  <c r="K1714" i="16"/>
  <c r="K1715" i="16"/>
  <c r="K1716" i="16"/>
  <c r="K1717" i="16"/>
  <c r="K1718" i="16"/>
  <c r="K1719" i="16"/>
  <c r="K1720" i="16"/>
  <c r="K1721" i="16"/>
  <c r="K1722" i="16"/>
  <c r="K1723" i="16"/>
  <c r="K1724" i="16"/>
  <c r="K1725" i="16"/>
  <c r="K1726" i="16"/>
  <c r="K1727" i="16"/>
  <c r="K1728" i="16"/>
  <c r="K1729" i="16"/>
  <c r="K1730" i="16"/>
  <c r="K1731" i="16"/>
  <c r="K1732" i="16"/>
  <c r="K1733" i="16"/>
  <c r="K1734" i="16"/>
  <c r="K1735" i="16"/>
  <c r="K1736" i="16"/>
  <c r="K1737" i="16"/>
  <c r="K1738" i="16"/>
  <c r="K1739" i="16"/>
  <c r="K1740" i="16"/>
  <c r="K1741" i="16"/>
  <c r="K1742" i="16"/>
  <c r="K1743" i="16"/>
  <c r="K1744" i="16"/>
  <c r="K1745" i="16"/>
  <c r="K1746" i="16"/>
  <c r="K1747" i="16"/>
  <c r="K1748" i="16"/>
  <c r="K1749" i="16"/>
  <c r="K1750" i="16"/>
  <c r="K1751" i="16"/>
  <c r="K1752" i="16"/>
  <c r="K1753" i="16"/>
  <c r="K1754" i="16"/>
  <c r="K1755" i="16"/>
  <c r="K1756" i="16"/>
  <c r="K1757" i="16"/>
  <c r="K1758" i="16"/>
  <c r="K1759" i="16"/>
  <c r="K1760" i="16"/>
  <c r="K1761" i="16"/>
  <c r="K1762" i="16"/>
  <c r="K1763" i="16"/>
  <c r="K1764" i="16"/>
  <c r="K1765" i="16"/>
  <c r="K1766" i="16"/>
  <c r="K1767" i="16"/>
  <c r="K1768" i="16"/>
  <c r="K1769" i="16"/>
  <c r="K1770" i="16"/>
  <c r="K1771" i="16"/>
  <c r="K1772" i="16"/>
  <c r="K1773" i="16"/>
  <c r="K1774" i="16"/>
  <c r="K1775" i="16"/>
  <c r="K1776" i="16"/>
  <c r="K1777" i="16"/>
  <c r="K1778" i="16"/>
  <c r="K1779" i="16"/>
  <c r="K1780" i="16"/>
  <c r="K1781" i="16"/>
  <c r="K1782" i="16"/>
  <c r="K1783" i="16"/>
  <c r="K1784" i="16"/>
  <c r="K1785" i="16"/>
  <c r="K1786" i="16"/>
  <c r="K1787" i="16"/>
  <c r="K1788" i="16"/>
  <c r="K1789" i="16"/>
  <c r="K1790" i="16"/>
  <c r="K1791" i="16"/>
  <c r="K1792" i="16"/>
  <c r="K1793" i="16"/>
  <c r="K1794" i="16"/>
  <c r="K1795" i="16"/>
  <c r="K1796" i="16"/>
  <c r="K1797" i="16"/>
  <c r="K1798" i="16"/>
  <c r="K1799" i="16"/>
  <c r="K1800" i="16"/>
  <c r="K1801" i="16"/>
  <c r="K1802" i="16"/>
  <c r="K1803" i="16"/>
  <c r="K1804" i="16"/>
  <c r="K1805" i="16"/>
  <c r="K1806" i="16"/>
  <c r="K1807" i="16"/>
  <c r="K1808" i="16"/>
  <c r="K1809" i="16"/>
  <c r="K1810" i="16"/>
  <c r="K1811" i="16"/>
  <c r="K1812" i="16"/>
  <c r="K1813" i="16"/>
  <c r="K1814" i="16"/>
  <c r="K1815" i="16"/>
  <c r="K1816" i="16"/>
  <c r="K1817" i="16"/>
  <c r="K1818" i="16"/>
  <c r="K1819" i="16"/>
  <c r="K1820" i="16"/>
  <c r="K1821" i="16"/>
  <c r="K1822" i="16"/>
  <c r="K1823" i="16"/>
  <c r="K1824" i="16"/>
  <c r="K1825" i="16"/>
  <c r="K1826" i="16"/>
  <c r="K1827" i="16"/>
  <c r="K1828" i="16"/>
  <c r="K1829" i="16"/>
  <c r="K1830" i="16"/>
  <c r="K1831" i="16"/>
  <c r="K1832" i="16"/>
  <c r="K1833" i="16"/>
  <c r="K1834" i="16"/>
  <c r="K1835" i="16"/>
  <c r="K1836" i="16"/>
  <c r="K1837" i="16"/>
  <c r="K1838" i="16"/>
  <c r="K1839" i="16"/>
  <c r="K1840" i="16"/>
  <c r="K1841" i="16"/>
  <c r="K1842" i="16"/>
  <c r="K1843" i="16"/>
  <c r="K1844" i="16"/>
  <c r="K1845" i="16"/>
  <c r="K1846" i="16"/>
  <c r="K1847" i="16"/>
  <c r="K1848" i="16"/>
  <c r="K1849" i="16"/>
  <c r="K1850" i="16"/>
  <c r="K1851" i="16"/>
  <c r="K1852" i="16"/>
  <c r="K1853" i="16"/>
  <c r="K1854" i="16"/>
  <c r="K1855" i="16"/>
  <c r="K1856" i="16"/>
  <c r="K1857" i="16"/>
  <c r="K1858" i="16"/>
  <c r="K1859" i="16"/>
  <c r="K1860" i="16"/>
  <c r="K1861" i="16"/>
  <c r="K1862" i="16"/>
  <c r="K1863" i="16"/>
  <c r="K1864" i="16"/>
  <c r="K1865" i="16"/>
  <c r="K1866" i="16"/>
  <c r="K1867" i="16"/>
  <c r="K1868" i="16"/>
  <c r="K1869" i="16"/>
  <c r="K1870" i="16"/>
  <c r="K1871" i="16"/>
  <c r="K1872" i="16"/>
  <c r="K1873" i="16"/>
  <c r="K1874" i="16"/>
  <c r="K1875" i="16"/>
  <c r="K1876" i="16"/>
  <c r="K1877" i="16"/>
  <c r="K1878" i="16"/>
  <c r="K1879" i="16"/>
  <c r="K1880" i="16"/>
  <c r="K1881" i="16"/>
  <c r="K1882" i="16"/>
  <c r="K1883" i="16"/>
  <c r="K1884" i="16"/>
  <c r="K1885" i="16"/>
  <c r="K1886" i="16"/>
  <c r="K1887" i="16"/>
  <c r="K1888" i="16"/>
  <c r="K1889" i="16"/>
  <c r="K1890" i="16"/>
  <c r="K1891" i="16"/>
  <c r="K1892" i="16"/>
  <c r="K1893" i="16"/>
  <c r="K1894" i="16"/>
  <c r="K1895" i="16"/>
  <c r="K1896" i="16"/>
  <c r="K1897" i="16"/>
  <c r="K1898" i="16"/>
  <c r="K1899" i="16"/>
  <c r="K1900" i="16"/>
  <c r="K1901" i="16"/>
  <c r="K1902" i="16"/>
  <c r="K1903" i="16"/>
  <c r="K1904" i="16"/>
  <c r="K1905" i="16"/>
  <c r="K1906" i="16"/>
  <c r="K1907" i="16"/>
  <c r="K1908" i="16"/>
  <c r="K1909" i="16"/>
  <c r="K1910" i="16"/>
  <c r="K1911" i="16"/>
  <c r="K1912" i="16"/>
  <c r="K1913" i="16"/>
  <c r="K1914" i="16"/>
  <c r="K1915" i="16"/>
  <c r="K1916" i="16"/>
  <c r="K1917" i="16"/>
  <c r="K1918" i="16"/>
  <c r="K1919" i="16"/>
  <c r="K1920" i="16"/>
  <c r="K1921" i="16"/>
  <c r="K1922" i="16"/>
  <c r="K1923" i="16"/>
  <c r="K1924" i="16"/>
  <c r="K1925" i="16"/>
  <c r="K1926" i="16"/>
  <c r="K1927" i="16"/>
  <c r="K1928" i="16"/>
  <c r="K1929" i="16"/>
  <c r="K1930" i="16"/>
  <c r="K1931" i="16"/>
  <c r="K1932" i="16"/>
  <c r="K1933" i="16"/>
  <c r="K1934" i="16"/>
  <c r="K1935" i="16"/>
  <c r="K1936" i="16"/>
  <c r="K1937" i="16"/>
  <c r="K1938" i="16"/>
  <c r="K1939" i="16"/>
  <c r="K1940" i="16"/>
  <c r="K1941" i="16"/>
  <c r="K1942" i="16"/>
  <c r="K1943" i="16"/>
  <c r="K1944" i="16"/>
  <c r="K1945" i="16"/>
  <c r="K1946" i="16"/>
  <c r="K1947" i="16"/>
  <c r="K1948" i="16"/>
  <c r="K1949" i="16"/>
  <c r="K1950" i="16"/>
  <c r="K1951" i="16"/>
  <c r="K1952" i="16"/>
  <c r="K1953" i="16"/>
  <c r="K1954" i="16"/>
  <c r="K1955" i="16"/>
  <c r="K1956" i="16"/>
  <c r="K1957" i="16"/>
  <c r="K1958" i="16"/>
  <c r="K1959" i="16"/>
  <c r="K1960" i="16"/>
  <c r="K1961" i="16"/>
  <c r="K1962" i="16"/>
  <c r="K1963" i="16"/>
  <c r="K1964" i="16"/>
  <c r="K1965" i="16"/>
  <c r="K1966" i="16"/>
  <c r="K1967" i="16"/>
  <c r="K1968" i="16"/>
  <c r="K1969" i="16"/>
  <c r="K1970" i="16"/>
  <c r="K1971" i="16"/>
  <c r="K1972" i="16"/>
  <c r="K1973" i="16"/>
  <c r="K1974" i="16"/>
  <c r="K1975" i="16"/>
  <c r="K1976" i="16"/>
  <c r="K1977" i="16"/>
  <c r="K1978" i="16"/>
  <c r="K1979" i="16"/>
  <c r="K1980" i="16"/>
  <c r="K1981" i="16"/>
  <c r="K1982" i="16"/>
  <c r="K1983" i="16"/>
  <c r="K1984" i="16"/>
  <c r="K1985" i="16"/>
  <c r="K1986" i="16"/>
  <c r="K1987" i="16"/>
  <c r="K1988" i="16"/>
  <c r="K1989" i="16"/>
  <c r="K1990" i="16"/>
  <c r="K1991" i="16"/>
  <c r="K1992" i="16"/>
  <c r="K1993" i="16"/>
  <c r="K1994" i="16"/>
  <c r="K1995" i="16"/>
  <c r="K1996" i="16"/>
  <c r="K1997" i="16"/>
  <c r="K1998" i="16"/>
  <c r="K1999" i="16"/>
  <c r="K2000" i="16"/>
  <c r="K2001" i="16"/>
  <c r="K2002" i="16"/>
  <c r="K2003" i="16"/>
  <c r="K2004" i="16"/>
  <c r="K2005" i="16"/>
  <c r="K2006" i="16"/>
  <c r="K2007" i="16"/>
  <c r="K2008" i="16"/>
  <c r="K2009" i="16"/>
  <c r="K2010" i="16"/>
  <c r="K2011" i="16"/>
  <c r="K2012" i="16"/>
  <c r="K2013" i="16"/>
  <c r="K2014" i="16"/>
  <c r="K2015" i="16"/>
  <c r="K2016" i="16"/>
  <c r="K2017" i="16"/>
  <c r="K2018" i="16"/>
  <c r="K2019" i="16"/>
  <c r="K2020" i="16"/>
  <c r="K2021" i="16"/>
  <c r="K2022" i="16"/>
  <c r="K2023" i="16"/>
  <c r="K2024" i="16"/>
  <c r="K2025" i="16"/>
  <c r="K2026" i="16"/>
  <c r="K2027" i="16"/>
  <c r="K2028" i="16"/>
  <c r="K2029" i="16"/>
  <c r="K2030" i="16"/>
  <c r="K2031" i="16"/>
  <c r="K2032" i="16"/>
  <c r="K2033" i="16"/>
  <c r="K2034" i="16"/>
  <c r="K2035" i="16"/>
  <c r="K2036" i="16"/>
  <c r="K2037" i="16"/>
  <c r="K2038" i="16"/>
  <c r="K2039" i="16"/>
  <c r="K2040" i="16"/>
  <c r="K2041" i="16"/>
  <c r="K2042" i="16"/>
  <c r="K2043" i="16"/>
  <c r="K2044" i="16"/>
  <c r="K2045" i="16"/>
  <c r="K2046" i="16"/>
  <c r="K2047" i="16"/>
  <c r="K2048" i="16"/>
  <c r="K2049" i="16"/>
  <c r="K2050" i="16"/>
  <c r="K2051" i="16"/>
  <c r="K2052" i="16"/>
  <c r="K2053" i="16"/>
  <c r="K2054" i="16"/>
  <c r="K2055" i="16"/>
  <c r="K2056" i="16"/>
  <c r="K2057" i="16"/>
  <c r="K2058" i="16"/>
  <c r="K2059" i="16"/>
  <c r="K2060" i="16"/>
  <c r="K2061" i="16"/>
  <c r="K2062" i="16"/>
  <c r="K2063" i="16"/>
  <c r="K2064" i="16"/>
  <c r="K2065" i="16"/>
  <c r="K2066" i="16"/>
  <c r="K2067" i="16"/>
  <c r="K2068" i="16"/>
  <c r="K2069" i="16"/>
  <c r="K2070" i="16"/>
  <c r="K2071" i="16"/>
  <c r="K2072" i="16"/>
  <c r="K2073" i="16"/>
  <c r="K2074" i="16"/>
  <c r="K2075" i="16"/>
  <c r="K2076" i="16"/>
  <c r="K2077" i="16"/>
  <c r="K2078" i="16"/>
  <c r="K2079" i="16"/>
  <c r="K2080" i="16"/>
  <c r="K2081" i="16"/>
  <c r="K2082" i="16"/>
  <c r="K2083" i="16"/>
  <c r="K2084" i="16"/>
  <c r="K2085" i="16"/>
  <c r="K2086" i="16"/>
  <c r="K2087" i="16"/>
  <c r="K2088" i="16"/>
  <c r="K2089" i="16"/>
  <c r="K2090" i="16"/>
  <c r="K2091" i="16"/>
  <c r="K2092" i="16"/>
  <c r="K2093" i="16"/>
  <c r="K2094" i="16"/>
  <c r="K2095" i="16"/>
  <c r="K2096" i="16"/>
  <c r="K2097" i="16"/>
  <c r="K2098" i="16"/>
  <c r="K2099" i="16"/>
  <c r="K2100" i="16"/>
  <c r="K2101" i="16"/>
  <c r="K2102" i="16"/>
  <c r="K2103" i="16"/>
  <c r="K2104" i="16"/>
  <c r="K2105" i="16"/>
  <c r="K2106" i="16"/>
  <c r="K2107" i="16"/>
  <c r="K2108" i="16"/>
  <c r="K2109" i="16"/>
  <c r="K2110" i="16"/>
  <c r="K2111" i="16"/>
  <c r="K2112" i="16"/>
  <c r="K2113" i="16"/>
  <c r="K2114" i="16"/>
  <c r="K2115" i="16"/>
  <c r="K2116" i="16"/>
  <c r="K2117" i="16"/>
  <c r="K2118" i="16"/>
  <c r="K2119" i="16"/>
  <c r="K2120" i="16"/>
  <c r="K2121" i="16"/>
  <c r="K2122" i="16"/>
  <c r="K2123" i="16"/>
  <c r="K2124" i="16"/>
  <c r="K2125" i="16"/>
  <c r="K2126" i="16"/>
  <c r="K2127" i="16"/>
  <c r="K2128" i="16"/>
  <c r="K2129" i="16"/>
  <c r="K2130" i="16"/>
  <c r="K2131" i="16"/>
  <c r="K2132" i="16"/>
  <c r="K2133" i="16"/>
  <c r="K2134" i="16"/>
  <c r="K2135" i="16"/>
  <c r="K2136" i="16"/>
  <c r="K2137" i="16"/>
  <c r="K2138" i="16"/>
  <c r="K2139" i="16"/>
  <c r="K2140" i="16"/>
  <c r="K2141" i="16"/>
  <c r="K2142" i="16"/>
  <c r="K2143" i="16"/>
  <c r="K2144" i="16"/>
  <c r="K2145" i="16"/>
  <c r="K2146" i="16"/>
  <c r="K2147" i="16"/>
  <c r="K2148" i="16"/>
  <c r="K2149" i="16"/>
  <c r="K2150" i="16"/>
  <c r="K2151" i="16"/>
  <c r="K2152" i="16"/>
  <c r="K2153" i="16"/>
  <c r="K2154" i="16"/>
  <c r="K2155" i="16"/>
  <c r="K2156" i="16"/>
  <c r="K2157" i="16"/>
  <c r="K2158" i="16"/>
  <c r="K2159" i="16"/>
  <c r="K2160" i="16"/>
  <c r="K2161" i="16"/>
  <c r="K2162" i="16"/>
  <c r="K2163" i="16"/>
  <c r="K2164" i="16"/>
  <c r="K2165" i="16"/>
  <c r="K2166" i="16"/>
  <c r="K2167" i="16"/>
  <c r="K2168" i="16"/>
  <c r="K2169" i="16"/>
  <c r="K2170" i="16"/>
  <c r="K2171" i="16"/>
  <c r="K2172" i="16"/>
  <c r="K2173" i="16"/>
  <c r="K2174" i="16"/>
  <c r="K2175" i="16"/>
  <c r="K2176" i="16"/>
  <c r="K2177" i="16"/>
  <c r="K2178" i="16"/>
  <c r="K2179" i="16"/>
  <c r="K2180" i="16"/>
  <c r="K2181" i="16"/>
  <c r="K2182" i="16"/>
  <c r="K2183" i="16"/>
  <c r="K2184" i="16"/>
  <c r="K2185" i="16"/>
  <c r="K2186" i="16"/>
  <c r="K2187" i="16"/>
  <c r="K2188" i="16"/>
  <c r="K2189" i="16"/>
  <c r="K2190" i="16"/>
  <c r="K2191" i="16"/>
  <c r="K2192" i="16"/>
  <c r="K2193" i="16"/>
  <c r="K2194" i="16"/>
  <c r="K2195" i="16"/>
  <c r="K2196" i="16"/>
  <c r="K2197" i="16"/>
  <c r="K2198" i="16"/>
  <c r="K2199" i="16"/>
  <c r="K2200" i="16"/>
  <c r="K2201" i="16"/>
  <c r="K2202" i="16"/>
  <c r="K2203" i="16"/>
  <c r="K2204" i="16"/>
  <c r="K2205" i="16"/>
  <c r="K2206" i="16"/>
  <c r="K2207" i="16"/>
  <c r="K2208" i="16"/>
  <c r="K2209" i="16"/>
  <c r="K2210" i="16"/>
  <c r="K2211" i="16"/>
  <c r="K2212" i="16"/>
  <c r="K2213" i="16"/>
  <c r="K2214" i="16"/>
  <c r="K2215" i="16"/>
  <c r="K2216" i="16"/>
  <c r="K2217" i="16"/>
  <c r="K2218" i="16"/>
  <c r="K2219" i="16"/>
  <c r="K2220" i="16"/>
  <c r="K2221" i="16"/>
  <c r="K2222" i="16"/>
  <c r="K2223" i="16"/>
  <c r="K2224" i="16"/>
  <c r="K2225" i="16"/>
  <c r="K2226" i="16"/>
  <c r="K2227" i="16"/>
  <c r="K2228" i="16"/>
  <c r="K2229" i="16"/>
  <c r="K2230" i="16"/>
  <c r="K2231" i="16"/>
  <c r="K2232" i="16"/>
  <c r="K2233" i="16"/>
  <c r="K2234" i="16"/>
  <c r="K2235" i="16"/>
  <c r="K2236" i="16"/>
  <c r="K2237" i="16"/>
  <c r="K2238" i="16"/>
  <c r="K2239" i="16"/>
  <c r="K2240" i="16"/>
  <c r="K2241" i="16"/>
  <c r="K2242" i="16"/>
  <c r="K2243" i="16"/>
  <c r="K2244" i="16"/>
  <c r="K2245" i="16"/>
  <c r="K2246" i="16"/>
  <c r="K2247" i="16"/>
  <c r="K2248" i="16"/>
  <c r="K2249" i="16"/>
  <c r="K2250" i="16"/>
  <c r="K2251" i="16"/>
  <c r="K2252" i="16"/>
  <c r="K2253" i="16"/>
  <c r="K2254" i="16"/>
  <c r="K2255" i="16"/>
  <c r="K2256" i="16"/>
  <c r="K2257" i="16"/>
  <c r="K2258" i="16"/>
  <c r="K2259" i="16"/>
  <c r="K2260" i="16"/>
  <c r="K2261" i="16"/>
  <c r="K2262" i="16"/>
  <c r="K2263" i="16"/>
  <c r="K2264" i="16"/>
  <c r="K2265" i="16"/>
  <c r="K2266" i="16"/>
  <c r="K2267" i="16"/>
  <c r="K2268" i="16"/>
  <c r="K2269" i="16"/>
  <c r="K2270" i="16"/>
  <c r="K2271" i="16"/>
  <c r="K2272" i="16"/>
  <c r="K2273" i="16"/>
  <c r="K2274" i="16"/>
  <c r="K2275" i="16"/>
  <c r="K2276" i="16"/>
  <c r="K2277" i="16"/>
  <c r="K2278" i="16"/>
  <c r="K2279" i="16"/>
  <c r="K2280" i="16"/>
  <c r="K2281" i="16"/>
  <c r="K2282" i="16"/>
  <c r="K2283" i="16"/>
  <c r="K2284" i="16"/>
  <c r="K2285" i="16"/>
  <c r="K2286" i="16"/>
  <c r="K2287" i="16"/>
  <c r="K2288" i="16"/>
  <c r="K2289" i="16"/>
  <c r="K2290" i="16"/>
  <c r="K2291" i="16"/>
  <c r="K2292" i="16"/>
  <c r="K2293" i="16"/>
  <c r="K2294" i="16"/>
  <c r="K2295" i="16"/>
  <c r="K2296" i="16"/>
  <c r="K2297" i="16"/>
  <c r="K2298" i="16"/>
  <c r="K2299" i="16"/>
  <c r="K2300" i="16"/>
  <c r="K2301" i="16"/>
  <c r="K2302" i="16"/>
  <c r="K2303" i="16"/>
  <c r="K2304" i="16"/>
  <c r="K2305" i="16"/>
  <c r="K2306" i="16"/>
  <c r="K2307" i="16"/>
  <c r="K2308" i="16"/>
  <c r="K2309" i="16"/>
  <c r="K2310" i="16"/>
  <c r="K2311" i="16"/>
  <c r="K2312" i="16"/>
  <c r="K2313" i="16"/>
  <c r="K2314" i="16"/>
  <c r="K2315" i="16"/>
  <c r="K2316" i="16"/>
  <c r="K2317" i="16"/>
  <c r="K2318" i="16"/>
  <c r="K2319" i="16"/>
  <c r="K2320" i="16"/>
  <c r="K2321" i="16"/>
  <c r="K2322" i="16"/>
  <c r="K2323" i="16"/>
  <c r="K2324" i="16"/>
  <c r="K2325" i="16"/>
  <c r="K2326" i="16"/>
  <c r="K2327" i="16"/>
  <c r="K2328" i="16"/>
  <c r="K2329" i="16"/>
  <c r="K2330" i="16"/>
  <c r="K2331" i="16"/>
  <c r="K2332" i="16"/>
  <c r="K2333" i="16"/>
  <c r="K2334" i="16"/>
  <c r="K2335" i="16"/>
  <c r="K2336" i="16"/>
  <c r="K2337" i="16"/>
  <c r="K2338" i="16"/>
  <c r="K2339" i="16"/>
  <c r="K2340" i="16"/>
  <c r="K2341" i="16"/>
  <c r="K2342" i="16"/>
  <c r="K2343" i="16"/>
  <c r="K2344" i="16"/>
  <c r="K2345" i="16"/>
  <c r="K2346" i="16"/>
  <c r="K2347" i="16"/>
  <c r="K2348" i="16"/>
  <c r="K2349" i="16"/>
  <c r="K2350" i="16"/>
  <c r="K2351" i="16"/>
  <c r="K2352" i="16"/>
  <c r="K2353" i="16"/>
  <c r="K2354" i="16"/>
  <c r="K2355" i="16"/>
  <c r="K2356" i="16"/>
  <c r="K2357" i="16"/>
  <c r="K2358" i="16"/>
  <c r="K2359" i="16"/>
  <c r="K2360" i="16"/>
  <c r="K2361" i="16"/>
  <c r="K2362" i="16"/>
  <c r="K2363" i="16"/>
  <c r="K2364" i="16"/>
  <c r="K2365" i="16"/>
  <c r="K2366" i="16"/>
  <c r="K2367" i="16"/>
  <c r="K2368" i="16"/>
  <c r="K2369" i="16"/>
  <c r="K2370" i="16"/>
  <c r="K2371" i="16"/>
  <c r="K2372" i="16"/>
  <c r="K2373" i="16"/>
  <c r="K2374" i="16"/>
  <c r="K2375" i="16"/>
  <c r="K2376" i="16"/>
  <c r="K2377" i="16"/>
  <c r="K2378" i="16"/>
  <c r="K2379" i="16"/>
  <c r="K2380" i="16"/>
  <c r="K2381" i="16"/>
  <c r="K2382" i="16"/>
  <c r="K2383" i="16"/>
  <c r="K2384" i="16"/>
  <c r="K2385" i="16"/>
  <c r="K2386" i="16"/>
  <c r="K2387" i="16"/>
  <c r="K2388" i="16"/>
  <c r="K2389" i="16"/>
  <c r="K2390" i="16"/>
  <c r="K2391" i="16"/>
  <c r="K2392" i="16"/>
  <c r="K2393" i="16"/>
  <c r="K2394" i="16"/>
  <c r="K2395" i="16"/>
  <c r="K2396" i="16"/>
  <c r="K2397" i="16"/>
  <c r="K2398" i="16"/>
  <c r="K2399" i="16"/>
  <c r="K2400" i="16"/>
  <c r="K2401" i="16"/>
  <c r="K2402" i="16"/>
  <c r="K2403" i="16"/>
  <c r="K2404" i="16"/>
  <c r="K2405" i="16"/>
  <c r="K2406" i="16"/>
  <c r="K2407" i="16"/>
  <c r="K2408" i="16"/>
  <c r="K2409" i="16"/>
  <c r="K2410" i="16"/>
  <c r="K2411" i="16"/>
  <c r="K2412" i="16"/>
  <c r="K2413" i="16"/>
  <c r="K2414" i="16"/>
  <c r="K2415" i="16"/>
  <c r="K2416" i="16"/>
  <c r="K2417" i="16"/>
  <c r="K2418" i="16"/>
  <c r="K2419" i="16"/>
  <c r="K2420" i="16"/>
  <c r="K2421" i="16"/>
  <c r="K2422" i="16"/>
  <c r="K2423" i="16"/>
  <c r="K2424" i="16"/>
  <c r="K2425" i="16"/>
  <c r="K2426" i="16"/>
  <c r="K2427" i="16"/>
  <c r="K2428" i="16"/>
  <c r="K2429" i="16"/>
  <c r="K2430" i="16"/>
  <c r="K2431" i="16"/>
  <c r="K2432" i="16"/>
  <c r="K2433" i="16"/>
  <c r="K2434" i="16"/>
  <c r="K2435" i="16"/>
  <c r="K2436" i="16"/>
  <c r="K2437" i="16"/>
  <c r="K2438" i="16"/>
  <c r="K2439" i="16"/>
  <c r="K2440" i="16"/>
  <c r="K2441" i="16"/>
  <c r="K2442" i="16"/>
  <c r="K2443" i="16"/>
  <c r="K2444" i="16"/>
  <c r="K2445" i="16"/>
  <c r="K2446" i="16"/>
  <c r="K2447" i="16"/>
  <c r="K2448" i="16"/>
  <c r="K2449" i="16"/>
  <c r="K2450" i="16"/>
  <c r="K2451" i="16"/>
  <c r="K2452" i="16"/>
  <c r="K2453" i="16"/>
  <c r="K2454" i="16"/>
  <c r="K2455" i="16"/>
  <c r="K2456" i="16"/>
  <c r="K2457" i="16"/>
  <c r="K2458" i="16"/>
  <c r="K2459" i="16"/>
  <c r="K2460" i="16"/>
  <c r="K2461" i="16"/>
  <c r="K2462" i="16"/>
  <c r="K2463" i="16"/>
  <c r="K2464" i="16"/>
  <c r="K2465" i="16"/>
  <c r="K2466" i="16"/>
  <c r="K2467" i="16"/>
  <c r="K2468" i="16"/>
  <c r="K2469" i="16"/>
  <c r="K2470" i="16"/>
  <c r="K2471" i="16"/>
  <c r="K2472" i="16"/>
  <c r="K2473" i="16"/>
  <c r="K2474" i="16"/>
  <c r="K2475" i="16"/>
  <c r="K2476" i="16"/>
  <c r="K2477" i="16"/>
  <c r="K2478" i="16"/>
  <c r="K2479" i="16"/>
  <c r="K2480" i="16"/>
  <c r="K2481" i="16"/>
  <c r="K2482" i="16"/>
  <c r="K2483" i="16"/>
  <c r="K2484" i="16"/>
  <c r="K2485" i="16"/>
  <c r="K2486" i="16"/>
  <c r="K2487" i="16"/>
  <c r="K2488" i="16"/>
  <c r="K2489" i="16"/>
  <c r="K2490" i="16"/>
  <c r="K2491" i="16"/>
  <c r="K2492" i="16"/>
  <c r="K2493" i="16"/>
  <c r="K2494" i="16"/>
  <c r="K2495" i="16"/>
  <c r="K2496" i="16"/>
  <c r="K2497" i="16"/>
  <c r="K2498" i="16"/>
  <c r="K2499" i="16"/>
  <c r="K2500" i="16"/>
  <c r="K2501" i="16"/>
  <c r="K2502" i="16"/>
  <c r="K2503" i="16"/>
  <c r="K2504" i="16"/>
  <c r="K2505" i="16"/>
  <c r="K2506" i="16"/>
  <c r="K2507" i="16"/>
  <c r="K2508" i="16"/>
  <c r="K2509" i="16"/>
  <c r="K2510" i="16"/>
  <c r="K2511" i="16"/>
  <c r="K2512" i="16"/>
  <c r="K2513" i="16"/>
  <c r="K2514" i="16"/>
  <c r="K2515" i="16"/>
  <c r="K2516" i="16"/>
  <c r="K2517" i="16"/>
  <c r="K2518" i="16"/>
  <c r="K2519" i="16"/>
  <c r="K2520" i="16"/>
  <c r="K2521" i="16"/>
  <c r="K2522" i="16"/>
  <c r="K2523" i="16"/>
  <c r="K2524" i="16"/>
  <c r="K2525" i="16"/>
  <c r="K2526" i="16"/>
  <c r="K2527" i="16"/>
  <c r="K2528" i="16"/>
  <c r="K2529" i="16"/>
  <c r="K2530" i="16"/>
  <c r="K2531" i="16"/>
  <c r="K2532" i="16"/>
  <c r="K2533" i="16"/>
  <c r="K2534" i="16"/>
  <c r="K2535" i="16"/>
  <c r="K2536" i="16"/>
  <c r="K2537" i="16"/>
  <c r="K2538" i="16"/>
  <c r="K2539" i="16"/>
  <c r="K2540" i="16"/>
  <c r="K2541" i="16"/>
  <c r="K2542" i="16"/>
  <c r="K2543" i="16"/>
  <c r="K2544" i="16"/>
  <c r="K2545" i="16"/>
  <c r="K2546" i="16"/>
  <c r="K2547" i="16"/>
  <c r="K2548" i="16"/>
  <c r="K2549" i="16"/>
  <c r="K2550" i="16"/>
  <c r="K2551" i="16"/>
  <c r="K2552" i="16"/>
  <c r="K2553" i="16"/>
  <c r="K2554" i="16"/>
  <c r="K2555" i="16"/>
  <c r="K2556" i="16"/>
  <c r="K2557" i="16"/>
  <c r="K2558" i="16"/>
  <c r="K2559" i="16"/>
  <c r="K2560" i="16"/>
  <c r="K2561" i="16"/>
  <c r="K2562" i="16"/>
  <c r="K2563" i="16"/>
  <c r="K2564" i="16"/>
  <c r="K2565" i="16"/>
  <c r="K2566" i="16"/>
  <c r="K2567" i="16"/>
  <c r="K2568" i="16"/>
  <c r="K2569" i="16"/>
  <c r="K2570" i="16"/>
  <c r="K2571" i="16"/>
  <c r="K2572" i="16"/>
  <c r="K2573" i="16"/>
  <c r="K2574" i="16"/>
  <c r="K2575" i="16"/>
  <c r="K2576" i="16"/>
  <c r="K2577" i="16"/>
  <c r="K2578" i="16"/>
  <c r="K2579" i="16"/>
  <c r="K2580" i="16"/>
  <c r="K2581" i="16"/>
  <c r="K2582" i="16"/>
  <c r="K2583" i="16"/>
  <c r="K2584" i="16"/>
  <c r="K2585" i="16"/>
  <c r="K2586" i="16"/>
  <c r="K2587" i="16"/>
  <c r="K2588" i="16"/>
  <c r="K2589" i="16"/>
  <c r="K2590" i="16"/>
  <c r="K2591" i="16"/>
  <c r="K2592" i="16"/>
  <c r="K2593" i="16"/>
  <c r="K2594" i="16"/>
  <c r="K2595" i="16"/>
  <c r="K2596" i="16"/>
  <c r="K2597" i="16"/>
  <c r="K2598" i="16"/>
  <c r="K2599" i="16"/>
  <c r="K2600" i="16"/>
  <c r="K2601" i="16"/>
  <c r="K2602" i="16"/>
  <c r="K2603" i="16"/>
  <c r="K2604" i="16"/>
  <c r="K2605" i="16"/>
  <c r="K2606" i="16"/>
  <c r="K2607" i="16"/>
  <c r="K2608" i="16"/>
  <c r="K2609" i="16"/>
  <c r="K2610" i="16"/>
  <c r="K2611" i="16"/>
  <c r="K2612" i="16"/>
  <c r="K2613" i="16"/>
  <c r="K2614" i="16"/>
  <c r="K2615" i="16"/>
  <c r="K2616" i="16"/>
  <c r="K2617" i="16"/>
  <c r="K2618" i="16"/>
  <c r="K2619" i="16"/>
  <c r="K2620" i="16"/>
  <c r="K2621" i="16"/>
  <c r="K2622" i="16"/>
  <c r="K2623" i="16"/>
  <c r="K2624" i="16"/>
  <c r="K2625" i="16"/>
  <c r="K2626" i="16"/>
  <c r="K2627" i="16"/>
  <c r="K2628" i="16"/>
  <c r="K2629" i="16"/>
  <c r="K2630" i="16"/>
  <c r="K2631" i="16"/>
  <c r="K2632" i="16"/>
  <c r="K2633" i="16"/>
  <c r="K2634" i="16"/>
  <c r="K2635" i="16"/>
  <c r="K2636" i="16"/>
  <c r="K2637" i="16"/>
  <c r="K2638" i="16"/>
  <c r="K2639" i="16"/>
  <c r="K2640" i="16"/>
  <c r="K2641" i="16"/>
  <c r="K2642" i="16"/>
  <c r="K2643" i="16"/>
  <c r="K2644" i="16"/>
  <c r="K2645" i="16"/>
  <c r="K2646" i="16"/>
  <c r="K2647" i="16"/>
  <c r="K2648" i="16"/>
  <c r="K2649" i="16"/>
  <c r="K2650" i="16"/>
  <c r="K2651" i="16"/>
  <c r="K2652" i="16"/>
  <c r="K2653" i="16"/>
  <c r="K2654" i="16"/>
  <c r="K2655" i="16"/>
  <c r="K2656" i="16"/>
  <c r="K2657" i="16"/>
  <c r="K2658" i="16"/>
  <c r="K2659" i="16"/>
  <c r="K2660" i="16"/>
  <c r="K2661" i="16"/>
  <c r="K2662" i="16"/>
  <c r="K2663" i="16"/>
  <c r="K2664" i="16"/>
  <c r="K2665" i="16"/>
  <c r="K2666" i="16"/>
  <c r="K2667" i="16"/>
  <c r="K2668" i="16"/>
  <c r="K2669" i="16"/>
  <c r="K2670" i="16"/>
  <c r="K2671" i="16"/>
  <c r="K2672" i="16"/>
  <c r="K2673" i="16"/>
  <c r="K2674" i="16"/>
  <c r="K2675" i="16"/>
  <c r="K2676" i="16"/>
  <c r="K2677" i="16"/>
  <c r="K2678" i="16"/>
  <c r="K2679" i="16"/>
  <c r="K2680" i="16"/>
  <c r="K2681" i="16"/>
  <c r="K2682" i="16"/>
  <c r="K2683" i="16"/>
  <c r="K2684" i="16"/>
  <c r="K2685" i="16"/>
  <c r="K2686" i="16"/>
  <c r="K2687" i="16"/>
  <c r="K2688" i="16"/>
  <c r="K2689" i="16"/>
  <c r="K2690" i="16"/>
  <c r="K2691" i="16"/>
  <c r="K2692" i="16"/>
  <c r="K2693" i="16"/>
  <c r="K2694" i="16"/>
  <c r="K2695" i="16"/>
  <c r="K2696" i="16"/>
  <c r="K2697" i="16"/>
  <c r="K2698" i="16"/>
  <c r="K2699" i="16"/>
  <c r="K2700" i="16"/>
  <c r="K2701" i="16"/>
  <c r="K2702" i="16"/>
  <c r="K2703" i="16"/>
  <c r="K2704" i="16"/>
  <c r="K2705" i="16"/>
  <c r="K2706" i="16"/>
  <c r="K2707" i="16"/>
  <c r="K2708" i="16"/>
  <c r="K2709" i="16"/>
  <c r="K2710" i="16"/>
  <c r="K2711" i="16"/>
  <c r="K2712" i="16"/>
  <c r="K2713" i="16"/>
  <c r="K2714" i="16"/>
  <c r="K2715" i="16"/>
  <c r="K2716" i="16"/>
  <c r="K2717" i="16"/>
  <c r="K2718" i="16"/>
  <c r="K2719" i="16"/>
  <c r="K2720" i="16"/>
  <c r="K2721" i="16"/>
  <c r="K2722" i="16"/>
  <c r="K2723" i="16"/>
  <c r="K2724" i="16"/>
  <c r="K2725" i="16"/>
  <c r="K2726" i="16"/>
  <c r="K2727" i="16"/>
  <c r="K2728" i="16"/>
  <c r="K2729" i="16"/>
  <c r="K2730" i="16"/>
  <c r="K2731" i="16"/>
  <c r="K2732" i="16"/>
  <c r="K2733" i="16"/>
  <c r="K2734" i="16"/>
  <c r="K2735" i="16"/>
  <c r="K2736" i="16"/>
  <c r="K2737" i="16"/>
  <c r="K2738" i="16"/>
  <c r="K2739" i="16"/>
  <c r="K2740" i="16"/>
  <c r="K2741" i="16"/>
  <c r="K2742" i="16"/>
  <c r="K2743" i="16"/>
  <c r="K2744" i="16"/>
  <c r="K2745" i="16"/>
  <c r="K2746" i="16"/>
  <c r="K2747" i="16"/>
  <c r="K2748" i="16"/>
  <c r="K2749" i="16"/>
  <c r="K2750" i="16"/>
  <c r="K2751" i="16"/>
  <c r="K2752" i="16"/>
  <c r="K2753" i="16"/>
  <c r="K2754" i="16"/>
  <c r="K2755" i="16"/>
  <c r="K2756" i="16"/>
  <c r="K2757" i="16"/>
  <c r="K2758" i="16"/>
  <c r="K2759" i="16"/>
  <c r="K2760" i="16"/>
  <c r="K2761" i="16"/>
  <c r="K2762" i="16"/>
  <c r="K2763" i="16"/>
  <c r="K2764" i="16"/>
  <c r="K2765" i="16"/>
  <c r="K2766" i="16"/>
  <c r="K2767" i="16"/>
  <c r="K2768" i="16"/>
  <c r="K2769" i="16"/>
  <c r="K2770" i="16"/>
  <c r="K2771" i="16"/>
  <c r="K2772" i="16"/>
  <c r="K2773" i="16"/>
  <c r="K2774" i="16"/>
  <c r="K2775" i="16"/>
  <c r="K2776" i="16"/>
  <c r="K2777" i="16"/>
  <c r="K2778" i="16"/>
  <c r="K2779" i="16"/>
  <c r="K2780" i="16"/>
  <c r="K2781" i="16"/>
  <c r="K2782" i="16"/>
  <c r="K2783" i="16"/>
  <c r="K2784" i="16"/>
  <c r="K2785" i="16"/>
  <c r="K2786" i="16"/>
  <c r="K2787" i="16"/>
  <c r="K2788" i="16"/>
  <c r="K2789" i="16"/>
  <c r="K2790" i="16"/>
  <c r="K2791" i="16"/>
  <c r="K2792" i="16"/>
  <c r="K2793" i="16"/>
  <c r="K2794" i="16"/>
  <c r="K2795" i="16"/>
  <c r="K2796" i="16"/>
  <c r="K2797" i="16"/>
  <c r="K2798" i="16"/>
  <c r="K2799" i="16"/>
  <c r="K2800" i="16"/>
  <c r="K2801" i="16"/>
  <c r="K2802" i="16"/>
  <c r="K2803" i="16"/>
  <c r="K2804" i="16"/>
  <c r="K2805" i="16"/>
  <c r="K2806" i="16"/>
  <c r="K2807" i="16"/>
  <c r="K2808" i="16"/>
  <c r="K2809" i="16"/>
  <c r="K2810" i="16"/>
  <c r="K2811" i="16"/>
  <c r="K2812" i="16"/>
  <c r="K2813" i="16"/>
  <c r="K2814" i="16"/>
  <c r="K2815" i="16"/>
  <c r="K2816" i="16"/>
  <c r="K2817" i="16"/>
  <c r="K2818" i="16"/>
  <c r="K2819" i="16"/>
  <c r="K2820" i="16"/>
  <c r="K2821" i="16"/>
  <c r="K2822" i="16"/>
  <c r="K2823" i="16"/>
  <c r="K2824" i="16"/>
  <c r="K2825" i="16"/>
  <c r="K2826" i="16"/>
  <c r="K2827" i="16"/>
  <c r="K2828" i="16"/>
  <c r="K2829" i="16"/>
  <c r="K2830" i="16"/>
  <c r="K2831" i="16"/>
  <c r="K2832" i="16"/>
  <c r="K2833" i="16"/>
  <c r="K2834" i="16"/>
  <c r="K2835" i="16"/>
  <c r="K2836" i="16"/>
  <c r="K2837" i="16"/>
  <c r="K2838" i="16"/>
  <c r="K2839" i="16"/>
  <c r="K2840" i="16"/>
  <c r="K2841" i="16"/>
  <c r="K2842" i="16"/>
  <c r="K2843" i="16"/>
  <c r="K2844" i="16"/>
  <c r="K2845" i="16"/>
  <c r="K2846" i="16"/>
  <c r="K2847" i="16"/>
  <c r="K2848" i="16"/>
  <c r="K2849" i="16"/>
  <c r="K2850" i="16"/>
  <c r="K2851" i="16"/>
  <c r="K2852" i="16"/>
  <c r="K2853" i="16"/>
  <c r="K2854" i="16"/>
  <c r="K2855" i="16"/>
  <c r="K2856" i="16"/>
  <c r="K2857" i="16"/>
  <c r="K2858" i="16"/>
  <c r="K2859" i="16"/>
  <c r="K2860" i="16"/>
  <c r="K2861" i="16"/>
  <c r="K2862" i="16"/>
  <c r="K2863" i="16"/>
  <c r="K2864" i="16"/>
  <c r="K2865" i="16"/>
  <c r="K2866" i="16"/>
  <c r="K2867" i="16"/>
  <c r="K2868" i="16"/>
  <c r="K2869" i="16"/>
  <c r="K2870" i="16"/>
  <c r="K2871" i="16"/>
  <c r="K2872" i="16"/>
  <c r="K2873" i="16"/>
  <c r="K2" i="16"/>
  <c r="I110" i="12"/>
  <c r="I89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2" i="12"/>
  <c r="K5" i="5"/>
  <c r="K6" i="5"/>
  <c r="K7" i="5"/>
  <c r="K8" i="5"/>
  <c r="K9" i="5"/>
  <c r="K10" i="5"/>
  <c r="K11" i="5"/>
  <c r="K12" i="5"/>
  <c r="K13" i="5"/>
  <c r="K314" i="7"/>
  <c r="K788" i="7"/>
  <c r="K789" i="7"/>
  <c r="K790" i="7"/>
  <c r="K313" i="7"/>
  <c r="K315" i="7"/>
  <c r="K316" i="7"/>
  <c r="K609" i="8"/>
  <c r="K610" i="8"/>
  <c r="K611" i="8"/>
  <c r="K339" i="8"/>
  <c r="K340" i="8"/>
  <c r="K341" i="8"/>
  <c r="K342" i="8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40" i="5"/>
  <c r="K138" i="5"/>
  <c r="K139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" i="5"/>
  <c r="K4" i="5"/>
  <c r="K2" i="5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3" i="6"/>
  <c r="J4" i="6"/>
  <c r="J2" i="6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3" i="7"/>
  <c r="K4" i="7"/>
  <c r="K5" i="7"/>
  <c r="K6" i="7"/>
  <c r="K7" i="7"/>
  <c r="K8" i="7"/>
  <c r="K9" i="7"/>
  <c r="K2" i="7"/>
  <c r="K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3" i="8"/>
</calcChain>
</file>

<file path=xl/sharedStrings.xml><?xml version="1.0" encoding="utf-8"?>
<sst xmlns="http://schemas.openxmlformats.org/spreadsheetml/2006/main" count="64380" uniqueCount="16578">
  <si>
    <t>ID</t>
  </si>
  <si>
    <t>no</t>
  </si>
  <si>
    <t>expansion</t>
  </si>
  <si>
    <t>name</t>
  </si>
  <si>
    <t>level</t>
  </si>
  <si>
    <t>stars</t>
  </si>
  <si>
    <t>type</t>
  </si>
  <si>
    <t>result1</t>
  </si>
  <si>
    <t>result2</t>
  </si>
  <si>
    <t>result3</t>
  </si>
  <si>
    <t>redu1</t>
  </si>
  <si>
    <t>Heavensward</t>
  </si>
  <si>
    <t>Fire Moraine</t>
  </si>
  <si>
    <t>miner</t>
  </si>
  <si>
    <t>Duskborne Aethersand</t>
  </si>
  <si>
    <t>Fire Crystal</t>
  </si>
  <si>
    <t>Fire Cluster</t>
  </si>
  <si>
    <t>redu2</t>
  </si>
  <si>
    <t>Lightning Moraine</t>
  </si>
  <si>
    <t>Lightning Crystal</t>
  </si>
  <si>
    <t>Lightning Cluster</t>
  </si>
  <si>
    <t>redu3</t>
  </si>
  <si>
    <t>Pot Marjoram</t>
  </si>
  <si>
    <t>botany</t>
  </si>
  <si>
    <t>Wind Crystal</t>
  </si>
  <si>
    <t>Wind Cluster</t>
  </si>
  <si>
    <t>redu4</t>
  </si>
  <si>
    <t>Granular Clay</t>
  </si>
  <si>
    <t>Earth Crystal</t>
  </si>
  <si>
    <t>Earth Cluster</t>
  </si>
  <si>
    <t>redu5</t>
  </si>
  <si>
    <t>Dravanian Bass</t>
  </si>
  <si>
    <t>fish</t>
  </si>
  <si>
    <t>Water Crystal</t>
  </si>
  <si>
    <t>Water Cluster</t>
  </si>
  <si>
    <t>redu6</t>
  </si>
  <si>
    <t>Manasail</t>
  </si>
  <si>
    <t>Ice Crystal</t>
  </si>
  <si>
    <t>Ice Cluster</t>
  </si>
  <si>
    <t>redu7</t>
  </si>
  <si>
    <t>Bright Fire Rock</t>
  </si>
  <si>
    <t>Dawnborne Aethersand</t>
  </si>
  <si>
    <t>redu8</t>
  </si>
  <si>
    <t>Bright Lightning Rock</t>
  </si>
  <si>
    <t>redu9</t>
  </si>
  <si>
    <t>Water Mint</t>
  </si>
  <si>
    <t>redu10</t>
  </si>
  <si>
    <t>Peat Moss</t>
  </si>
  <si>
    <t>redu11</t>
  </si>
  <si>
    <t>Caiman</t>
  </si>
  <si>
    <t>redu12</t>
  </si>
  <si>
    <t>Pteranodon</t>
  </si>
  <si>
    <t>redu13</t>
  </si>
  <si>
    <t>Radiant Fire Moraine</t>
  </si>
  <si>
    <t>Landborne Aethersand</t>
  </si>
  <si>
    <t>redu14</t>
  </si>
  <si>
    <t>Radiant Lightning Moraine</t>
  </si>
  <si>
    <t>redu15</t>
  </si>
  <si>
    <t>Wild Sage</t>
  </si>
  <si>
    <t>Leafborne Aethersand</t>
  </si>
  <si>
    <t>redu16</t>
  </si>
  <si>
    <t>Humic Soil</t>
  </si>
  <si>
    <t>redu17</t>
  </si>
  <si>
    <t>Thaliak Caiman</t>
  </si>
  <si>
    <t>Seaborne Aethersand</t>
  </si>
  <si>
    <t>redu18</t>
  </si>
  <si>
    <t>Tupuxuara</t>
  </si>
  <si>
    <t>redu19</t>
  </si>
  <si>
    <t>Radiant Astral Moraine</t>
  </si>
  <si>
    <t>Light-kissed Aethersand</t>
  </si>
  <si>
    <t>redu20</t>
  </si>
  <si>
    <t>Lover's Laurel</t>
  </si>
  <si>
    <t>redu21</t>
  </si>
  <si>
    <t>Stormblood</t>
  </si>
  <si>
    <t>Rhodolite</t>
  </si>
  <si>
    <t>Dusklight Aethersand</t>
  </si>
  <si>
    <t>redu22</t>
  </si>
  <si>
    <t>Doman Yellow</t>
  </si>
  <si>
    <t>redu23</t>
  </si>
  <si>
    <t>False Scad</t>
  </si>
  <si>
    <t>redu24</t>
  </si>
  <si>
    <t>Schorl</t>
  </si>
  <si>
    <t>Dawnlight Aethersand</t>
  </si>
  <si>
    <t>redu25</t>
  </si>
  <si>
    <t>Countess Tea Leaves</t>
  </si>
  <si>
    <t>redu26</t>
  </si>
  <si>
    <t>Snow Crab</t>
  </si>
  <si>
    <t>redu27</t>
  </si>
  <si>
    <t>Dacite</t>
  </si>
  <si>
    <t>Everbright Aethersand</t>
  </si>
  <si>
    <t>redu28</t>
  </si>
  <si>
    <t>Torreya Branch</t>
  </si>
  <si>
    <t>Everborn Aethersand</t>
  </si>
  <si>
    <t>redu29</t>
  </si>
  <si>
    <t>Sweatfish</t>
  </si>
  <si>
    <t>Everdeep Aethersand</t>
  </si>
  <si>
    <t>redu30</t>
  </si>
  <si>
    <t>Yanxian Soil</t>
  </si>
  <si>
    <t>Duskglow Aethersand</t>
  </si>
  <si>
    <t>redu31</t>
  </si>
  <si>
    <t>Yanxian Verbena</t>
  </si>
  <si>
    <t>redu32</t>
  </si>
  <si>
    <t>Shadowbringers</t>
  </si>
  <si>
    <t>Gale Rock</t>
  </si>
  <si>
    <t>Chiaroglow Aethersand</t>
  </si>
  <si>
    <t>redu33</t>
  </si>
  <si>
    <t>White Clay</t>
  </si>
  <si>
    <t>redu34</t>
  </si>
  <si>
    <t>Voeburt Bichir</t>
  </si>
  <si>
    <t>redu35</t>
  </si>
  <si>
    <t>Solarite</t>
  </si>
  <si>
    <t>Scuroglow Aethersand</t>
  </si>
  <si>
    <t>redu36</t>
  </si>
  <si>
    <t>Sweet Marjoram</t>
  </si>
  <si>
    <t>redu37</t>
  </si>
  <si>
    <t>Poecilia</t>
  </si>
  <si>
    <t>redu38</t>
  </si>
  <si>
    <t>Shade Quartz</t>
  </si>
  <si>
    <t>Agedeep Aethersand</t>
  </si>
  <si>
    <t>redu39</t>
  </si>
  <si>
    <t>Bog Sage</t>
  </si>
  <si>
    <t>Agewood Aethersand</t>
  </si>
  <si>
    <t>redu40</t>
  </si>
  <si>
    <t>Predator</t>
  </si>
  <si>
    <t>Ageflow Aethersand</t>
  </si>
  <si>
    <t>redu41</t>
  </si>
  <si>
    <t>Thunder Rock</t>
  </si>
  <si>
    <t>Levinstrike Aethersand</t>
  </si>
  <si>
    <t>redu42</t>
  </si>
  <si>
    <t>Levin Mint</t>
  </si>
  <si>
    <t>redu43</t>
  </si>
  <si>
    <t>Fuchsia Bloom</t>
  </si>
  <si>
    <t>redu44</t>
  </si>
  <si>
    <t>Endwalker</t>
  </si>
  <si>
    <t>Lunar Quartz</t>
  </si>
  <si>
    <t>Moonlight Aethersand</t>
  </si>
  <si>
    <t>redu45</t>
  </si>
  <si>
    <t>Ewer Clay</t>
  </si>
  <si>
    <t>redu46</t>
  </si>
  <si>
    <t>Red Bowfin</t>
  </si>
  <si>
    <t>redu47</t>
  </si>
  <si>
    <t>Gilled Topknot</t>
  </si>
  <si>
    <t>redu48</t>
  </si>
  <si>
    <t>Ghostly Umbral Rock</t>
  </si>
  <si>
    <t>Endstone Aethersand</t>
  </si>
  <si>
    <t>redu49</t>
  </si>
  <si>
    <t>Palm Chippings</t>
  </si>
  <si>
    <t>Endwood Aethersand</t>
  </si>
  <si>
    <t>redu50</t>
  </si>
  <si>
    <t>Eehs Forhnesh</t>
  </si>
  <si>
    <t>Endtide Aethersand</t>
  </si>
  <si>
    <t>redu51</t>
  </si>
  <si>
    <t>Othardian Lumpsucker</t>
  </si>
  <si>
    <t>redu52</t>
  </si>
  <si>
    <t>Earthen Quartz</t>
  </si>
  <si>
    <t>Earthbreak Aethersand</t>
  </si>
  <si>
    <t>redu53</t>
  </si>
  <si>
    <t>Sophora Roots</t>
  </si>
  <si>
    <t>redu54</t>
  </si>
  <si>
    <t>Verdigris Guppy</t>
  </si>
  <si>
    <t>redu55</t>
  </si>
  <si>
    <t>Nosceasaur</t>
  </si>
  <si>
    <t>redu56</t>
  </si>
  <si>
    <t>Prime Siderite</t>
  </si>
  <si>
    <t>Igneous Glioaether</t>
  </si>
  <si>
    <t>redu57</t>
  </si>
  <si>
    <t>Prime Crystalbloom</t>
  </si>
  <si>
    <t>Verdurous Glioaether</t>
  </si>
  <si>
    <t>redu58</t>
  </si>
  <si>
    <t>Mayashell</t>
  </si>
  <si>
    <t>Aqueous Glioaether</t>
  </si>
  <si>
    <t>redu59</t>
  </si>
  <si>
    <t>Prime Achondrite</t>
  </si>
  <si>
    <t>Pure Igneous Glioaether</t>
  </si>
  <si>
    <t>redu60</t>
  </si>
  <si>
    <t>Prime Sphongos</t>
  </si>
  <si>
    <t>Pure Verdurous Glioaether</t>
  </si>
  <si>
    <t>redu61</t>
  </si>
  <si>
    <t>Phyllinos</t>
  </si>
  <si>
    <t>Pure Aqueous Glioaether</t>
  </si>
  <si>
    <t>redu62</t>
  </si>
  <si>
    <t>Prime Chloroschist</t>
  </si>
  <si>
    <t>Concentrated Verdurous Glioaether</t>
  </si>
  <si>
    <t>redu63</t>
  </si>
  <si>
    <t>Prime Haritaki</t>
  </si>
  <si>
    <t>Concentrated Igneous Glioaether</t>
  </si>
  <si>
    <t>redu64</t>
  </si>
  <si>
    <t>The Fury's Aegis</t>
  </si>
  <si>
    <t>Concentrated Aqueous Glioaether</t>
  </si>
  <si>
    <t>redu65</t>
  </si>
  <si>
    <t>Prime Fossilized Dragon's Scale</t>
  </si>
  <si>
    <t>Potent Verdurous Glioaether</t>
  </si>
  <si>
    <t>redu66</t>
  </si>
  <si>
    <t>Prime Kukuru Beans</t>
  </si>
  <si>
    <t>Potent Igneous Glioaether</t>
  </si>
  <si>
    <t>redu67</t>
  </si>
  <si>
    <t>Stargilt Lobster</t>
  </si>
  <si>
    <t>Potent Aqueous Glioaether</t>
  </si>
  <si>
    <t>redu68</t>
  </si>
  <si>
    <t>Sublime Siderite</t>
  </si>
  <si>
    <t>redu69</t>
  </si>
  <si>
    <t>Sublime Crystalbloom</t>
  </si>
  <si>
    <t>redu70</t>
  </si>
  <si>
    <t>Sublime Achondrite</t>
  </si>
  <si>
    <t>redu71</t>
  </si>
  <si>
    <t>Sublime Sphongos</t>
  </si>
  <si>
    <t>redu72</t>
  </si>
  <si>
    <t>Sublime Chloroschist</t>
  </si>
  <si>
    <t>redu73</t>
  </si>
  <si>
    <t>Sublime Haritaki</t>
  </si>
  <si>
    <t>redu74</t>
  </si>
  <si>
    <t>Sublime Fossilized Dragon's Scale</t>
  </si>
  <si>
    <t>redu75</t>
  </si>
  <si>
    <t>Sublime Kukuru Beans</t>
  </si>
  <si>
    <t>redu76</t>
  </si>
  <si>
    <t>Dawntrail</t>
  </si>
  <si>
    <t>Electrocoal</t>
  </si>
  <si>
    <t>Sungilt Aethersand</t>
  </si>
  <si>
    <t>redu77</t>
  </si>
  <si>
    <t>Goldbranch</t>
  </si>
  <si>
    <t>redu78</t>
  </si>
  <si>
    <t>Horned Frog</t>
  </si>
  <si>
    <t>redu79</t>
  </si>
  <si>
    <t>Shovelnose Catfish</t>
  </si>
  <si>
    <t>redu80</t>
  </si>
  <si>
    <t>Sunlit Prism</t>
  </si>
  <si>
    <t>redu81</t>
  </si>
  <si>
    <t>Brightwind Ore</t>
  </si>
  <si>
    <t>Mythloam Aethersand</t>
  </si>
  <si>
    <t>redu82</t>
  </si>
  <si>
    <t>Volcanic Grass</t>
  </si>
  <si>
    <t>Mythroot Aethersand</t>
  </si>
  <si>
    <t>redu83</t>
  </si>
  <si>
    <t>Cleyran Carp</t>
  </si>
  <si>
    <t>Mythbrine Aethersand</t>
  </si>
  <si>
    <t>redu84</t>
  </si>
  <si>
    <t>Longnose Gar</t>
  </si>
  <si>
    <t>order</t>
  </si>
  <si>
    <t>type1</t>
  </si>
  <si>
    <t>type2</t>
  </si>
  <si>
    <t>location</t>
  </si>
  <si>
    <t>npc</t>
  </si>
  <si>
    <t>notes</t>
  </si>
  <si>
    <t>x</t>
  </si>
  <si>
    <t>y</t>
  </si>
  <si>
    <t>bmag1</t>
  </si>
  <si>
    <t>Water Cannon</t>
  </si>
  <si>
    <t>openworld</t>
  </si>
  <si>
    <t>Middle La Noscea</t>
  </si>
  <si>
    <t>Zealous Yellowjacket</t>
  </si>
  <si>
    <t>Unlock Blue Mage job</t>
  </si>
  <si>
    <t>bmag2</t>
  </si>
  <si>
    <t>Flame Thrower</t>
  </si>
  <si>
    <t>dungeon</t>
  </si>
  <si>
    <t>Brayflox's Longstop (Hard)</t>
  </si>
  <si>
    <t>Gobmachine G-VI</t>
  </si>
  <si>
    <t>bmag3</t>
  </si>
  <si>
    <t>The Keeper of the Lake</t>
  </si>
  <si>
    <t>Magitek Gunship</t>
  </si>
  <si>
    <t>bmag4</t>
  </si>
  <si>
    <t>raid</t>
  </si>
  <si>
    <t>Alphascape V3.0</t>
  </si>
  <si>
    <t>Omega</t>
  </si>
  <si>
    <t>bmag5</t>
  </si>
  <si>
    <t>Aqua Breath</t>
  </si>
  <si>
    <t>trial</t>
  </si>
  <si>
    <t>The Dragon's Neck</t>
  </si>
  <si>
    <t>Ultros</t>
  </si>
  <si>
    <t>bmag6</t>
  </si>
  <si>
    <t>The Whorleater (Hard/Extreme)</t>
  </si>
  <si>
    <t>Leviathan</t>
  </si>
  <si>
    <t>bmag7</t>
  </si>
  <si>
    <t>Masked Carnivale (Miss Typhon)</t>
  </si>
  <si>
    <t>Stage 20</t>
  </si>
  <si>
    <t>bmag8</t>
  </si>
  <si>
    <t>Flying Frenzy</t>
  </si>
  <si>
    <t>hunt</t>
  </si>
  <si>
    <t>Outer La Noscea</t>
  </si>
  <si>
    <t>Cornu</t>
  </si>
  <si>
    <t>Rank A Elite Mark</t>
  </si>
  <si>
    <t>bmag9</t>
  </si>
  <si>
    <t>Pharos Sirius</t>
  </si>
  <si>
    <t>Zu</t>
  </si>
  <si>
    <t>Defeat 2 eggs to trigger the Boss to cast</t>
  </si>
  <si>
    <t>bmag10</t>
  </si>
  <si>
    <t>Various locations</t>
  </si>
  <si>
    <t>Alpha Zu</t>
  </si>
  <si>
    <t>Use Unhidden Leather Map</t>
  </si>
  <si>
    <t>bmag11</t>
  </si>
  <si>
    <t>Drill Cannons</t>
  </si>
  <si>
    <t>fate</t>
  </si>
  <si>
    <t>Northern Thanalan</t>
  </si>
  <si>
    <t>Abandoned Vanguard</t>
  </si>
  <si>
    <t>Reverse Engineering</t>
  </si>
  <si>
    <t>bmag12</t>
  </si>
  <si>
    <t>Magitek Vanguard H-2</t>
  </si>
  <si>
    <t>bmag13</t>
  </si>
  <si>
    <t>Castrum Meridianum</t>
  </si>
  <si>
    <t>Magitek Vanguard / Magitek Vanguard H-1</t>
  </si>
  <si>
    <t>bmag14</t>
  </si>
  <si>
    <t>Magitek Vangob G-III</t>
  </si>
  <si>
    <t>bmag15</t>
  </si>
  <si>
    <t>High Voltage</t>
  </si>
  <si>
    <t>The Binding Coil of Bahamut (Turn 1/Turn 2)</t>
  </si>
  <si>
    <t>ADS</t>
  </si>
  <si>
    <t>bmag16</t>
  </si>
  <si>
    <t>Masked Carnivale (The Me Nobody Nodes)</t>
  </si>
  <si>
    <t>Bestial Node</t>
  </si>
  <si>
    <t>Stage 15</t>
  </si>
  <si>
    <t>bmag17</t>
  </si>
  <si>
    <t>Loom</t>
  </si>
  <si>
    <t>Flame Sergeant Dalvag</t>
  </si>
  <si>
    <t>Rank B Elite Mark</t>
  </si>
  <si>
    <t>bmag18</t>
  </si>
  <si>
    <t>The Tam-Tara Deepcroft (Hard)</t>
  </si>
  <si>
    <t>Dantalion / Phantom Knight</t>
  </si>
  <si>
    <t>bmag19</t>
  </si>
  <si>
    <t>The Lost City of Amdapor</t>
  </si>
  <si>
    <t>Baalzephon</t>
  </si>
  <si>
    <t>bmag20</t>
  </si>
  <si>
    <t>Final Sting</t>
  </si>
  <si>
    <t>Killer Wespe</t>
  </si>
  <si>
    <t>bmag21</t>
  </si>
  <si>
    <t>The Sunken Temple of Qarn</t>
  </si>
  <si>
    <t>Temple Bee</t>
  </si>
  <si>
    <t>bmag22</t>
  </si>
  <si>
    <t>Song of Torment</t>
  </si>
  <si>
    <t>Siren</t>
  </si>
  <si>
    <t>bmag23</t>
  </si>
  <si>
    <t>Il Mheg</t>
  </si>
  <si>
    <t>Aglaope</t>
  </si>
  <si>
    <t>Rank S Elite Mark</t>
  </si>
  <si>
    <t>bmag24</t>
  </si>
  <si>
    <t>Glower</t>
  </si>
  <si>
    <t>The Aurum Vale</t>
  </si>
  <si>
    <t>Coincounter</t>
  </si>
  <si>
    <t>bmag25</t>
  </si>
  <si>
    <t>Central Thanalan</t>
  </si>
  <si>
    <t>Brontes</t>
  </si>
  <si>
    <t>bmag26</t>
  </si>
  <si>
    <t>Heritage Found</t>
  </si>
  <si>
    <t>Eyeclops</t>
  </si>
  <si>
    <t>bmag27</t>
  </si>
  <si>
    <t>Plaincracker</t>
  </si>
  <si>
    <t>North Shroud</t>
  </si>
  <si>
    <t>Clay Golem</t>
  </si>
  <si>
    <t>bmag28</t>
  </si>
  <si>
    <t>Southern Thanalan</t>
  </si>
  <si>
    <t>Sandstone Golem</t>
  </si>
  <si>
    <t>bmag29</t>
  </si>
  <si>
    <t>Nunyunuwi</t>
  </si>
  <si>
    <t>bmag30</t>
  </si>
  <si>
    <t>Basalt Golem</t>
  </si>
  <si>
    <t>bmag31</t>
  </si>
  <si>
    <t>Copperbell Mines (Hard)</t>
  </si>
  <si>
    <t>Gogmagolem</t>
  </si>
  <si>
    <t>bmag32</t>
  </si>
  <si>
    <t>Masked Carnivale (Dirty Rotten Azulmagia)</t>
  </si>
  <si>
    <t>Azulmagia</t>
  </si>
  <si>
    <t>bmag33</t>
  </si>
  <si>
    <t>Bristle</t>
  </si>
  <si>
    <t>levequest</t>
  </si>
  <si>
    <t>Central Shroud</t>
  </si>
  <si>
    <t>Angry Sow</t>
  </si>
  <si>
    <t>Stay for a Vile and Water</t>
  </si>
  <si>
    <t>bmag34</t>
  </si>
  <si>
    <t>Charging Hog</t>
  </si>
  <si>
    <t>A Mother Scorned</t>
  </si>
  <si>
    <t>bmag35</t>
  </si>
  <si>
    <t>East Shroud</t>
  </si>
  <si>
    <t>Wild Boar</t>
  </si>
  <si>
    <t>bmag36</t>
  </si>
  <si>
    <t>White Wind</t>
  </si>
  <si>
    <t>totem</t>
  </si>
  <si>
    <t>Ul'dah - Steps of Thal</t>
  </si>
  <si>
    <t>Whalaqee White Wind Totem</t>
  </si>
  <si>
    <t>Learn 10 Blue Magic Spells</t>
  </si>
  <si>
    <t>bmag37</t>
  </si>
  <si>
    <t>Battle in the Big Keep</t>
  </si>
  <si>
    <t>Enkidu</t>
  </si>
  <si>
    <t>bmag38</t>
  </si>
  <si>
    <t>Deltascape V3.0 (Savage)</t>
  </si>
  <si>
    <t>White Flame</t>
  </si>
  <si>
    <t>bmag39</t>
  </si>
  <si>
    <t>Level 5 Petrify</t>
  </si>
  <si>
    <t>Haukke Manor</t>
  </si>
  <si>
    <t>Manor Sentry</t>
  </si>
  <si>
    <t>bmag40</t>
  </si>
  <si>
    <t>Sharpened Knife</t>
  </si>
  <si>
    <t>Upper La Noscea</t>
  </si>
  <si>
    <t>Marberry</t>
  </si>
  <si>
    <t>bmag41</t>
  </si>
  <si>
    <t>The Wanderer's Palace</t>
  </si>
  <si>
    <t>Tonberry King</t>
  </si>
  <si>
    <t>bmag42</t>
  </si>
  <si>
    <t>Ice Spikes</t>
  </si>
  <si>
    <t>Trickster Imp</t>
  </si>
  <si>
    <t>bmag43</t>
  </si>
  <si>
    <t>Eastern Thanalan</t>
  </si>
  <si>
    <t>Vandalous Imp</t>
  </si>
  <si>
    <t>bmag44</t>
  </si>
  <si>
    <t>Manor Jester</t>
  </si>
  <si>
    <t>bmag45</t>
  </si>
  <si>
    <t>Stage 25</t>
  </si>
  <si>
    <t>bmag46</t>
  </si>
  <si>
    <t>Blood Drain</t>
  </si>
  <si>
    <t>Chigoe</t>
  </si>
  <si>
    <t>bmag47</t>
  </si>
  <si>
    <t>Lower La Noscea</t>
  </si>
  <si>
    <t>Cave Bat</t>
  </si>
  <si>
    <t>bmag48</t>
  </si>
  <si>
    <t>bmag49</t>
  </si>
  <si>
    <t>Western La Noscea</t>
  </si>
  <si>
    <t>Dusk Bat</t>
  </si>
  <si>
    <t>bmag50</t>
  </si>
  <si>
    <t>Black Bat</t>
  </si>
  <si>
    <t>bmag51</t>
  </si>
  <si>
    <t>Barbastelle</t>
  </si>
  <si>
    <t>bmag52</t>
  </si>
  <si>
    <t>Attic Bat</t>
  </si>
  <si>
    <t>bmag53</t>
  </si>
  <si>
    <t>Cutter's Cry</t>
  </si>
  <si>
    <t>Sand Bat</t>
  </si>
  <si>
    <t>bmag54</t>
  </si>
  <si>
    <t>Acorn Bomb</t>
  </si>
  <si>
    <t>Treant Sapling</t>
  </si>
  <si>
    <t>bmag55</t>
  </si>
  <si>
    <t>bmag56</t>
  </si>
  <si>
    <t>bmag57</t>
  </si>
  <si>
    <t>Wulgaru</t>
  </si>
  <si>
    <t>bmag58</t>
  </si>
  <si>
    <t>Bomb Toss</t>
  </si>
  <si>
    <t>Goblin Fisher / Goblin Gambler</t>
  </si>
  <si>
    <t>bmag59</t>
  </si>
  <si>
    <t>The Dravanian Hinterlands</t>
  </si>
  <si>
    <t>Goblin Glider / Goblin Brandisher</t>
  </si>
  <si>
    <t>bmag60</t>
  </si>
  <si>
    <t>Slipkinx Steeljoints</t>
  </si>
  <si>
    <t>bmag61</t>
  </si>
  <si>
    <t>Illuminati Commander</t>
  </si>
  <si>
    <t>bmag62</t>
  </si>
  <si>
    <t>Off-guard</t>
  </si>
  <si>
    <t>Whalaqee Off-guard Totem</t>
  </si>
  <si>
    <t>Learn 5 Blue Magic Spells</t>
  </si>
  <si>
    <t>bmag63</t>
  </si>
  <si>
    <t>Self-destruct</t>
  </si>
  <si>
    <t>Western Thanalan</t>
  </si>
  <si>
    <t>Glide Bomb</t>
  </si>
  <si>
    <t>bmag64</t>
  </si>
  <si>
    <t>Copperbell Mines</t>
  </si>
  <si>
    <t>Blasting Cap</t>
  </si>
  <si>
    <t>bmag65</t>
  </si>
  <si>
    <t>Flambeau</t>
  </si>
  <si>
    <t>bmag66</t>
  </si>
  <si>
    <t>Gas Bomb</t>
  </si>
  <si>
    <t>Halatali</t>
  </si>
  <si>
    <t>bmag67</t>
  </si>
  <si>
    <t>Shrapnel</t>
  </si>
  <si>
    <t>bmag68</t>
  </si>
  <si>
    <t>Masked Carnivale (Bomb-edy of Errors)</t>
  </si>
  <si>
    <t>Arena Cherry Bomb</t>
  </si>
  <si>
    <t>Stage 8</t>
  </si>
  <si>
    <t>bmag69</t>
  </si>
  <si>
    <t>Transfusion</t>
  </si>
  <si>
    <t>Whalaqee Transfusion Totem</t>
  </si>
  <si>
    <t>Learn 20 Blue Magic Spells</t>
  </si>
  <si>
    <t>bmag70</t>
  </si>
  <si>
    <t>Faze</t>
  </si>
  <si>
    <t>Qiqirn Gullroaster</t>
  </si>
  <si>
    <t>Survivor Rats</t>
  </si>
  <si>
    <t>bmag71</t>
  </si>
  <si>
    <t>Qiqirn Shellsweeper</t>
  </si>
  <si>
    <t>bmag72</t>
  </si>
  <si>
    <t>Qiqirn Eggdigger</t>
  </si>
  <si>
    <t>bmag73</t>
  </si>
  <si>
    <t>Eastern La Noscea</t>
  </si>
  <si>
    <t>Careless Whiskers</t>
  </si>
  <si>
    <t>bmag74</t>
  </si>
  <si>
    <t>bmag75</t>
  </si>
  <si>
    <t>Flying Sardine</t>
  </si>
  <si>
    <t>Apkallu</t>
  </si>
  <si>
    <t>bmag76</t>
  </si>
  <si>
    <t>Bloody Mary</t>
  </si>
  <si>
    <t>bmag77</t>
  </si>
  <si>
    <t>Snort</t>
  </si>
  <si>
    <t>Typhon</t>
  </si>
  <si>
    <t>bmag78</t>
  </si>
  <si>
    <t>bmag79</t>
  </si>
  <si>
    <t>Masked Carnivale (Lock up Your Snorters)</t>
  </si>
  <si>
    <t>Stage 27</t>
  </si>
  <si>
    <t>bmag80</t>
  </si>
  <si>
    <t>4-tonze Weight</t>
  </si>
  <si>
    <t>bmag81</t>
  </si>
  <si>
    <t>The Look</t>
  </si>
  <si>
    <t>Mor Dhona</t>
  </si>
  <si>
    <t>Denizen of the Dark</t>
  </si>
  <si>
    <t>Necrologos: The Liminal Ones</t>
  </si>
  <si>
    <t>bmag82</t>
  </si>
  <si>
    <t>Amdapor Keep</t>
  </si>
  <si>
    <t>Anantaboga</t>
  </si>
  <si>
    <t>bmag83</t>
  </si>
  <si>
    <t>The Labyrinth of the Ancients</t>
  </si>
  <si>
    <t>Valefor</t>
  </si>
  <si>
    <t>bmag84</t>
  </si>
  <si>
    <t>The Great Gubal Library (Hard)</t>
  </si>
  <si>
    <t>Bibliolater</t>
  </si>
  <si>
    <t>bmag85</t>
  </si>
  <si>
    <t>Bad Breath</t>
  </si>
  <si>
    <t>Stroper</t>
  </si>
  <si>
    <t>bmag86</t>
  </si>
  <si>
    <t>Halitostroper</t>
  </si>
  <si>
    <t>bmag87</t>
  </si>
  <si>
    <t>South Shroud</t>
  </si>
  <si>
    <t>bmag88</t>
  </si>
  <si>
    <t>Masked Carnivale (On a Clear Day You Can Smell Forever)</t>
  </si>
  <si>
    <t>Reflective Rebekkah</t>
  </si>
  <si>
    <t>bmag89</t>
  </si>
  <si>
    <t>Morbol</t>
  </si>
  <si>
    <t>bmag90</t>
  </si>
  <si>
    <t>Diamondback</t>
  </si>
  <si>
    <t>The Stone Vigil (Hard)</t>
  </si>
  <si>
    <t>Cuca Fera</t>
  </si>
  <si>
    <t>bmag91</t>
  </si>
  <si>
    <t>Mighty Guard</t>
  </si>
  <si>
    <t>Whalaqee Mighty Guard Totem</t>
  </si>
  <si>
    <t>bmag92</t>
  </si>
  <si>
    <t>Sticky Tongue</t>
  </si>
  <si>
    <t>Cane Toad</t>
  </si>
  <si>
    <t>You Call that a Toad</t>
  </si>
  <si>
    <t>bmag93</t>
  </si>
  <si>
    <t>Toxic Toad</t>
  </si>
  <si>
    <t>bmag94</t>
  </si>
  <si>
    <t>Doomed Gigantoad</t>
  </si>
  <si>
    <t>Doomed</t>
  </si>
  <si>
    <t>bmag95</t>
  </si>
  <si>
    <t>Laughing Toad</t>
  </si>
  <si>
    <t>bmag96</t>
  </si>
  <si>
    <t>Gigantoad</t>
  </si>
  <si>
    <t>bmag97</t>
  </si>
  <si>
    <t>Dzemael Darkhold</t>
  </si>
  <si>
    <t>Bone Nix</t>
  </si>
  <si>
    <t>bmag98</t>
  </si>
  <si>
    <t>Toad Oil</t>
  </si>
  <si>
    <t>Giggling Gigantoad</t>
  </si>
  <si>
    <t>bmag99</t>
  </si>
  <si>
    <t>The Ram's Voice</t>
  </si>
  <si>
    <t>Chimera</t>
  </si>
  <si>
    <t>bmag100</t>
  </si>
  <si>
    <t>Gorgimera</t>
  </si>
  <si>
    <t>Go, Go, Gorgimera</t>
  </si>
  <si>
    <t>bmag101</t>
  </si>
  <si>
    <t>A Relic Reborn: The Chimera</t>
  </si>
  <si>
    <t>Dhorme Chimera</t>
  </si>
  <si>
    <t>bmag102</t>
  </si>
  <si>
    <t>Masked Carnivale (Chimera on a Hot Tin Roof)</t>
  </si>
  <si>
    <t>Apademak</t>
  </si>
  <si>
    <t>Stage 21</t>
  </si>
  <si>
    <t>bmag103</t>
  </si>
  <si>
    <t>bmag104</t>
  </si>
  <si>
    <t>Dun Scaith</t>
  </si>
  <si>
    <t>Shadowcourt Hound</t>
  </si>
  <si>
    <t>bmag105</t>
  </si>
  <si>
    <t>Lakeland</t>
  </si>
  <si>
    <t>Tyger</t>
  </si>
  <si>
    <t>bmag106</t>
  </si>
  <si>
    <t>The Dragon's Voice</t>
  </si>
  <si>
    <t>bmag107</t>
  </si>
  <si>
    <t>bmag108</t>
  </si>
  <si>
    <t>bmag109</t>
  </si>
  <si>
    <t>bmag110</t>
  </si>
  <si>
    <t>bmag111</t>
  </si>
  <si>
    <t>bmag112</t>
  </si>
  <si>
    <t>bmag113</t>
  </si>
  <si>
    <t>Missile</t>
  </si>
  <si>
    <t>bmag114</t>
  </si>
  <si>
    <t>Sigmascape V3.0</t>
  </si>
  <si>
    <t>Guardian</t>
  </si>
  <si>
    <t>bmag115</t>
  </si>
  <si>
    <t>1000 Needles</t>
  </si>
  <si>
    <t>Sabotender Bailaor</t>
  </si>
  <si>
    <t>Flower Power</t>
  </si>
  <si>
    <t>bmag116</t>
  </si>
  <si>
    <t>bmag117</t>
  </si>
  <si>
    <t>Sabotender Desertor</t>
  </si>
  <si>
    <t>bmag118</t>
  </si>
  <si>
    <t>Ink Jet</t>
  </si>
  <si>
    <t>Sastasha (Hard)</t>
  </si>
  <si>
    <t>Kraken</t>
  </si>
  <si>
    <t>bmag119</t>
  </si>
  <si>
    <t>Fire Angon</t>
  </si>
  <si>
    <t>The Wanderer's Palace (Hard)</t>
  </si>
  <si>
    <t>Frumious Koheel Ja</t>
  </si>
  <si>
    <t>bmag120</t>
  </si>
  <si>
    <t>Moon Flute</t>
  </si>
  <si>
    <t>Whalaqee Moon Flute Totem</t>
  </si>
  <si>
    <t>Clear 10 Stages in The Masked Carnivale</t>
  </si>
  <si>
    <t>bmag121</t>
  </si>
  <si>
    <t>Tail Screw</t>
  </si>
  <si>
    <t>Karlabos</t>
  </si>
  <si>
    <t>bmag122</t>
  </si>
  <si>
    <t>The Sirensong Sea</t>
  </si>
  <si>
    <t>Reflection of Karlabos</t>
  </si>
  <si>
    <t>bmag123</t>
  </si>
  <si>
    <t>The Peaks</t>
  </si>
  <si>
    <t>Crag Claw</t>
  </si>
  <si>
    <t>bmag124</t>
  </si>
  <si>
    <t>Brutal Barber</t>
  </si>
  <si>
    <t>Barbershoppe</t>
  </si>
  <si>
    <t>bmag125</t>
  </si>
  <si>
    <t>Alexander - The Arm of the Father</t>
  </si>
  <si>
    <t>Clay Claw</t>
  </si>
  <si>
    <t>bmag126</t>
  </si>
  <si>
    <t>Pterygotus</t>
  </si>
  <si>
    <t>bmag127</t>
  </si>
  <si>
    <t>Mind Blast</t>
  </si>
  <si>
    <t>The Tam-Tara Deepcroft</t>
  </si>
  <si>
    <t>Galvanth the Dominator</t>
  </si>
  <si>
    <t>bmag128</t>
  </si>
  <si>
    <t>Alexander - The Burden of the Son</t>
  </si>
  <si>
    <t>Blaster</t>
  </si>
  <si>
    <t>bmag129</t>
  </si>
  <si>
    <t>Mindflayer</t>
  </si>
  <si>
    <t>bmag130</t>
  </si>
  <si>
    <t>Doom</t>
  </si>
  <si>
    <t>Whalaqee Doom Totem</t>
  </si>
  <si>
    <t>Clear 20 Stages in The Masked Carnivale</t>
  </si>
  <si>
    <t>bmag131</t>
  </si>
  <si>
    <t>Peculiar Light</t>
  </si>
  <si>
    <t>Lentic Mudpuppy</t>
  </si>
  <si>
    <t>bmag132</t>
  </si>
  <si>
    <t>Kurrea</t>
  </si>
  <si>
    <t>bmag133</t>
  </si>
  <si>
    <t>Brayflox's Longstop</t>
  </si>
  <si>
    <t>Surf Eft</t>
  </si>
  <si>
    <t>bmag134</t>
  </si>
  <si>
    <t>Hellbender</t>
  </si>
  <si>
    <t>bmag135</t>
  </si>
  <si>
    <t>The Lochs</t>
  </si>
  <si>
    <t>Loch Nanka</t>
  </si>
  <si>
    <t>bmag136</t>
  </si>
  <si>
    <t>Feather Rain</t>
  </si>
  <si>
    <t>The Howling Eye (Extreme)</t>
  </si>
  <si>
    <t>Garuda</t>
  </si>
  <si>
    <t>bmag137</t>
  </si>
  <si>
    <t>Eruption</t>
  </si>
  <si>
    <t>The Bowl of Embers (Normal/Hard/Extreme)</t>
  </si>
  <si>
    <t>Ifrit</t>
  </si>
  <si>
    <t>bmag138</t>
  </si>
  <si>
    <t>Mountain Buster</t>
  </si>
  <si>
    <t>The Navel (Hard/Extreme)</t>
  </si>
  <si>
    <t>Titan</t>
  </si>
  <si>
    <t>bmag139</t>
  </si>
  <si>
    <t>Shock Strike</t>
  </si>
  <si>
    <t>The Striking Tree (Hard/Extreme)</t>
  </si>
  <si>
    <t>Ramuh</t>
  </si>
  <si>
    <t>bmag140</t>
  </si>
  <si>
    <t>Glass Dance</t>
  </si>
  <si>
    <t>The Akh Afah Amphitheatre (Extreme)</t>
  </si>
  <si>
    <t>Shiva</t>
  </si>
  <si>
    <t>bmag141</t>
  </si>
  <si>
    <t>Veil of the Whorl</t>
  </si>
  <si>
    <t>bmag142</t>
  </si>
  <si>
    <t>Alpine Draft</t>
  </si>
  <si>
    <t>The Dusk Vigil</t>
  </si>
  <si>
    <t>Opinicus</t>
  </si>
  <si>
    <t>bmag143</t>
  </si>
  <si>
    <t>The Sea of Clouds</t>
  </si>
  <si>
    <t>Griffin</t>
  </si>
  <si>
    <t>bmag144</t>
  </si>
  <si>
    <t>True Griffin</t>
  </si>
  <si>
    <t>bmag145</t>
  </si>
  <si>
    <t>Neckbreaker</t>
  </si>
  <si>
    <t>Breakneck</t>
  </si>
  <si>
    <t>bmag146</t>
  </si>
  <si>
    <t>Vochstein</t>
  </si>
  <si>
    <t>bmag147</t>
  </si>
  <si>
    <t>Protean Wave</t>
  </si>
  <si>
    <t>Salt and Light</t>
  </si>
  <si>
    <t>bmag148</t>
  </si>
  <si>
    <t>Living Liquid</t>
  </si>
  <si>
    <t>bmag149</t>
  </si>
  <si>
    <t>Masked Carnivale (Red, Fraught, and Blue)</t>
  </si>
  <si>
    <t>Shikigami of the Undertow</t>
  </si>
  <si>
    <t>Stage 29</t>
  </si>
  <si>
    <t>bmag150</t>
  </si>
  <si>
    <t>Northerlies</t>
  </si>
  <si>
    <t>Coerthas Western Highlands</t>
  </si>
  <si>
    <t>Lone Yeti</t>
  </si>
  <si>
    <t>bmag151</t>
  </si>
  <si>
    <t>Slate Yeti</t>
  </si>
  <si>
    <t>bmag152</t>
  </si>
  <si>
    <t>Mirka</t>
  </si>
  <si>
    <t>bmag153</t>
  </si>
  <si>
    <t>Snowcloak</t>
  </si>
  <si>
    <t>Yeti</t>
  </si>
  <si>
    <t>bmag154</t>
  </si>
  <si>
    <t>Electrogenesis</t>
  </si>
  <si>
    <t>Conodont</t>
  </si>
  <si>
    <t>bmag155</t>
  </si>
  <si>
    <t>Shisui of the Violet Tides</t>
  </si>
  <si>
    <t>Hikagiri</t>
  </si>
  <si>
    <t>bmag156</t>
  </si>
  <si>
    <t>Kaltstrahl</t>
  </si>
  <si>
    <t>Alexander - The Fist of the Father</t>
  </si>
  <si>
    <t>Faust &amp; Sturm Doll</t>
  </si>
  <si>
    <t>bmag157</t>
  </si>
  <si>
    <t>Alexander - The Cuff of the Father</t>
  </si>
  <si>
    <t>Jagd Doll</t>
  </si>
  <si>
    <t>bmag158</t>
  </si>
  <si>
    <t>Abyssal Transfixion</t>
  </si>
  <si>
    <t>Foundation</t>
  </si>
  <si>
    <t>Arch Demon</t>
  </si>
  <si>
    <t>Necrologos: His Treasure Forhelen</t>
  </si>
  <si>
    <t>bmag159</t>
  </si>
  <si>
    <t>Haukke Manor (Hard)</t>
  </si>
  <si>
    <t>Ash</t>
  </si>
  <si>
    <t>bmag160</t>
  </si>
  <si>
    <t>The Great Gubal Library</t>
  </si>
  <si>
    <t>The Everliving Bibliotaph</t>
  </si>
  <si>
    <t>Fail the mechanic and summon the third set of mobs</t>
  </si>
  <si>
    <t>bmag161</t>
  </si>
  <si>
    <t>Chirp</t>
  </si>
  <si>
    <t>Paissa</t>
  </si>
  <si>
    <t>bmag162</t>
  </si>
  <si>
    <t>Apotamkin</t>
  </si>
  <si>
    <t>A Long Way Down</t>
  </si>
  <si>
    <t>bmag163</t>
  </si>
  <si>
    <t>Squonk</t>
  </si>
  <si>
    <t>bmag164</t>
  </si>
  <si>
    <t>Stolas</t>
  </si>
  <si>
    <t>bmag165</t>
  </si>
  <si>
    <t>Eerie Soundwave</t>
  </si>
  <si>
    <t>bmag166</t>
  </si>
  <si>
    <t>Azys Lla</t>
  </si>
  <si>
    <t>Empuse</t>
  </si>
  <si>
    <t>bmag167</t>
  </si>
  <si>
    <t>Arioch</t>
  </si>
  <si>
    <t>bmag168</t>
  </si>
  <si>
    <t>Pom Cure</t>
  </si>
  <si>
    <t>Thornmarch (Hard/Extreme)</t>
  </si>
  <si>
    <t>Furryfoot Kupli Kipp</t>
  </si>
  <si>
    <t>bmag169</t>
  </si>
  <si>
    <t>Gobskin</t>
  </si>
  <si>
    <t>bmag170</t>
  </si>
  <si>
    <t>Alexander - The Breath of the Creator</t>
  </si>
  <si>
    <t>Alexandrian Hider/Alexandrian Slider</t>
  </si>
  <si>
    <t>bmag171</t>
  </si>
  <si>
    <t>Magic Hammer</t>
  </si>
  <si>
    <t>Apanda</t>
  </si>
  <si>
    <t>bmag172</t>
  </si>
  <si>
    <t>Masked Carnivale (Amazing Technicolor Pit Fiends)</t>
  </si>
  <si>
    <t>Epilogi</t>
  </si>
  <si>
    <t>Stage 24</t>
  </si>
  <si>
    <t>bmag173</t>
  </si>
  <si>
    <t>Avail</t>
  </si>
  <si>
    <t>Saint Mocianne's Arboretum</t>
  </si>
  <si>
    <t>Queen Hawk</t>
  </si>
  <si>
    <t>bmag174</t>
  </si>
  <si>
    <t>Frog Legs</t>
  </si>
  <si>
    <t>Poroggo</t>
  </si>
  <si>
    <t>bmag175</t>
  </si>
  <si>
    <t>Bero Roggo</t>
  </si>
  <si>
    <t>Toad Alone</t>
  </si>
  <si>
    <t>bmag176</t>
  </si>
  <si>
    <t>Sonic Boom</t>
  </si>
  <si>
    <t>Blackblood Zu</t>
  </si>
  <si>
    <t>Ancient Wisdom</t>
  </si>
  <si>
    <t>bmag177</t>
  </si>
  <si>
    <t>bmag178</t>
  </si>
  <si>
    <t>bmag179</t>
  </si>
  <si>
    <t>Anzu Crone</t>
  </si>
  <si>
    <t>Anzu Trois</t>
  </si>
  <si>
    <t>bmag180</t>
  </si>
  <si>
    <t>Anzu</t>
  </si>
  <si>
    <t>bmag181</t>
  </si>
  <si>
    <t>Whistle</t>
  </si>
  <si>
    <t>Dhalmel</t>
  </si>
  <si>
    <t>bmag182</t>
  </si>
  <si>
    <t>Jhammel</t>
  </si>
  <si>
    <t>bmag183</t>
  </si>
  <si>
    <t>Nenaunir</t>
  </si>
  <si>
    <t>Slaughterwife-five</t>
  </si>
  <si>
    <t>bmag184</t>
  </si>
  <si>
    <t>Neverreap</t>
  </si>
  <si>
    <t>bmag185</t>
  </si>
  <si>
    <t>White Knight's Tour</t>
  </si>
  <si>
    <t>The Vault</t>
  </si>
  <si>
    <t>White Knight</t>
  </si>
  <si>
    <t>bmag186</t>
  </si>
  <si>
    <t>Black Knight's Tour</t>
  </si>
  <si>
    <t>Black Knight</t>
  </si>
  <si>
    <t>bmag187</t>
  </si>
  <si>
    <t>Level 5 Death</t>
  </si>
  <si>
    <t>Page 64</t>
  </si>
  <si>
    <t>bmag188</t>
  </si>
  <si>
    <t>Launcher</t>
  </si>
  <si>
    <t>Lethal Weapon</t>
  </si>
  <si>
    <t>The Magitek Is Back</t>
  </si>
  <si>
    <t>bmag189</t>
  </si>
  <si>
    <t>Yanxia</t>
  </si>
  <si>
    <t>Gamma</t>
  </si>
  <si>
    <t>bmag190</t>
  </si>
  <si>
    <t>Baelsar's Wall</t>
  </si>
  <si>
    <t>Armored Weapon</t>
  </si>
  <si>
    <t>bmag191</t>
  </si>
  <si>
    <t>Doma Castle</t>
  </si>
  <si>
    <t>Doman Armored Weapon</t>
  </si>
  <si>
    <t>bmag192</t>
  </si>
  <si>
    <t>Perpetual Ray</t>
  </si>
  <si>
    <t>Alexander - The Burden of the Father (Normal/Savage)</t>
  </si>
  <si>
    <t>The Manipulator</t>
  </si>
  <si>
    <t>bmag193</t>
  </si>
  <si>
    <t>Cactguard</t>
  </si>
  <si>
    <t>The Sunken Temple of Qarn (Hard)</t>
  </si>
  <si>
    <t>Sabotender Guardia</t>
  </si>
  <si>
    <t>bmag194</t>
  </si>
  <si>
    <t>Revenge Blast</t>
  </si>
  <si>
    <t>Whalaqee Revenge Blast Totem</t>
  </si>
  <si>
    <t>Learn 50 Blue Magic Spells</t>
  </si>
  <si>
    <t>bmag195</t>
  </si>
  <si>
    <t>Angel Whisper</t>
  </si>
  <si>
    <t>Whalaqee Angel Whisper Totem</t>
  </si>
  <si>
    <t>Clear 30 Stages in The Masked Carnivale</t>
  </si>
  <si>
    <t>bmag196</t>
  </si>
  <si>
    <t>Exuviation</t>
  </si>
  <si>
    <t>Wamoura</t>
  </si>
  <si>
    <t>bmag197</t>
  </si>
  <si>
    <t>Abalathian Wamoura</t>
  </si>
  <si>
    <t>Damage a Window Wamouracampa in the fight first</t>
  </si>
  <si>
    <t>bmag198</t>
  </si>
  <si>
    <t>Reflux</t>
  </si>
  <si>
    <t>The Churning Mists</t>
  </si>
  <si>
    <t>Cloud Wyvern</t>
  </si>
  <si>
    <t>bmag199</t>
  </si>
  <si>
    <t>Devour</t>
  </si>
  <si>
    <t>Mahisha</t>
  </si>
  <si>
    <t>bmag200</t>
  </si>
  <si>
    <t>Thavnair</t>
  </si>
  <si>
    <t>Yilan</t>
  </si>
  <si>
    <t>bmag201</t>
  </si>
  <si>
    <t>Decaying Gourmand</t>
  </si>
  <si>
    <t>bmag202</t>
  </si>
  <si>
    <t>The Binding Coil of Bahamut - Turn 1</t>
  </si>
  <si>
    <t>Caduceus</t>
  </si>
  <si>
    <t>bmag203</t>
  </si>
  <si>
    <t>The Second Coil of Bahamut - Turn 1</t>
  </si>
  <si>
    <t>Rafflesia</t>
  </si>
  <si>
    <t>bmag204</t>
  </si>
  <si>
    <t>The World of Darkness</t>
  </si>
  <si>
    <t>Cerberus</t>
  </si>
  <si>
    <t>bmag205</t>
  </si>
  <si>
    <t>Saint Mocianne's Arboretum (Hard)</t>
  </si>
  <si>
    <t>Nullchu</t>
  </si>
  <si>
    <t>bmag206</t>
  </si>
  <si>
    <t>Condensed Libra</t>
  </si>
  <si>
    <t>Mechanoscribe</t>
  </si>
  <si>
    <t>bmag207</t>
  </si>
  <si>
    <t>Arena Scribe</t>
  </si>
  <si>
    <t>bmag208</t>
  </si>
  <si>
    <t>Aetheric Mimicry</t>
  </si>
  <si>
    <t>Pharos Sirius (Hard)</t>
  </si>
  <si>
    <t>Ghrah Luminary</t>
  </si>
  <si>
    <t>bmag209</t>
  </si>
  <si>
    <t>Surpanakha</t>
  </si>
  <si>
    <t>Thok ast Thok (Hard/Extreme)</t>
  </si>
  <si>
    <t>Ravana</t>
  </si>
  <si>
    <t>bmag210</t>
  </si>
  <si>
    <t>Quasar</t>
  </si>
  <si>
    <t>Containment Bay P1T6</t>
  </si>
  <si>
    <t>Sophia</t>
  </si>
  <si>
    <t>bmag211</t>
  </si>
  <si>
    <t>J Kick</t>
  </si>
  <si>
    <t>Brute Justice</t>
  </si>
  <si>
    <t>bmag212</t>
  </si>
  <si>
    <t>Triple Trident</t>
  </si>
  <si>
    <t>Thieving Namazu</t>
  </si>
  <si>
    <t>Rice and Shine</t>
  </si>
  <si>
    <t>bmag213</t>
  </si>
  <si>
    <t>Ebisu Catfish</t>
  </si>
  <si>
    <t>bmag214</t>
  </si>
  <si>
    <t>Gyorai Quickstrike</t>
  </si>
  <si>
    <t>bmag215</t>
  </si>
  <si>
    <t>Tingle</t>
  </si>
  <si>
    <t>bmag216</t>
  </si>
  <si>
    <t>bmag217</t>
  </si>
  <si>
    <t>bmag218</t>
  </si>
  <si>
    <t>Tatami-gaeshi</t>
  </si>
  <si>
    <t>Kugane Castle</t>
  </si>
  <si>
    <t>Dojun-maru</t>
  </si>
  <si>
    <t>bmag219</t>
  </si>
  <si>
    <t>Cold Fog</t>
  </si>
  <si>
    <t>The Burn</t>
  </si>
  <si>
    <t>Mist Dragon</t>
  </si>
  <si>
    <t>bmag220</t>
  </si>
  <si>
    <t>Stotram</t>
  </si>
  <si>
    <t>Emanation</t>
  </si>
  <si>
    <t>Lakshmi</t>
  </si>
  <si>
    <t>bmag221</t>
  </si>
  <si>
    <t>Saintly Beam</t>
  </si>
  <si>
    <t>Sigmascape V1.0</t>
  </si>
  <si>
    <t>Phantom Train</t>
  </si>
  <si>
    <t>bmag222</t>
  </si>
  <si>
    <t>Feculent Flood</t>
  </si>
  <si>
    <t>Tokkapchi</t>
  </si>
  <si>
    <t>bmag223</t>
  </si>
  <si>
    <t>The Mudman</t>
  </si>
  <si>
    <t>bmag224</t>
  </si>
  <si>
    <t>Angel's Snack</t>
  </si>
  <si>
    <t>Whalaqee Angel's Snack Totem</t>
  </si>
  <si>
    <t>Reach Blue Mage level 70</t>
  </si>
  <si>
    <t>bmag225</t>
  </si>
  <si>
    <t>Chelonian Gate</t>
  </si>
  <si>
    <t>Hells' Lid</t>
  </si>
  <si>
    <t>Genbu</t>
  </si>
  <si>
    <t>bmag226</t>
  </si>
  <si>
    <t>The Rose of Destruction</t>
  </si>
  <si>
    <t>The Temple of the Fist</t>
  </si>
  <si>
    <t>Ivon Coeurlfist</t>
  </si>
  <si>
    <t>bmag227</t>
  </si>
  <si>
    <t>Basic Instinct</t>
  </si>
  <si>
    <t>Master Coeurl</t>
  </si>
  <si>
    <t>bmag228</t>
  </si>
  <si>
    <t>Coeurl Smriti</t>
  </si>
  <si>
    <t>bmag229</t>
  </si>
  <si>
    <t>Ultravibration</t>
  </si>
  <si>
    <t>Kongamato</t>
  </si>
  <si>
    <t>bmag230</t>
  </si>
  <si>
    <t>Gwas-y-neidr</t>
  </si>
  <si>
    <t>bmag231</t>
  </si>
  <si>
    <t>Blaze</t>
  </si>
  <si>
    <t>Deltascape V1.0</t>
  </si>
  <si>
    <t>Alte Roite</t>
  </si>
  <si>
    <t>bmag232</t>
  </si>
  <si>
    <t>Mustard Bomb</t>
  </si>
  <si>
    <t>bmag233</t>
  </si>
  <si>
    <t>Dragon Force</t>
  </si>
  <si>
    <t>Whalaqee Dragon Force Totem</t>
  </si>
  <si>
    <t>Learn 100 Blue Magic Spells</t>
  </si>
  <si>
    <t>bmag234</t>
  </si>
  <si>
    <t>Aetherial Spark</t>
  </si>
  <si>
    <t>Salt Dhruva</t>
  </si>
  <si>
    <t>bmag235</t>
  </si>
  <si>
    <t>Luminare</t>
  </si>
  <si>
    <t>bmag236</t>
  </si>
  <si>
    <t>The Tempest</t>
  </si>
  <si>
    <t>Rusalka</t>
  </si>
  <si>
    <t>bmag237</t>
  </si>
  <si>
    <t>Hydro Pull</t>
  </si>
  <si>
    <t>The Drowned City of Skalla</t>
  </si>
  <si>
    <t>Kelpie</t>
  </si>
  <si>
    <t>bmag238</t>
  </si>
  <si>
    <t>Malediction of Water</t>
  </si>
  <si>
    <t>The Swallow's Compass</t>
  </si>
  <si>
    <t>Sai Taisui</t>
  </si>
  <si>
    <t>bmag239</t>
  </si>
  <si>
    <t>Choco Meteor</t>
  </si>
  <si>
    <t>The Dravanian Forelands</t>
  </si>
  <si>
    <t>Courser Chocobo</t>
  </si>
  <si>
    <t>bmag240</t>
  </si>
  <si>
    <t>Matra Magic</t>
  </si>
  <si>
    <t>Whalaqee Matra Magic Totem</t>
  </si>
  <si>
    <t>bmag241</t>
  </si>
  <si>
    <t>Peripheral Synthesis</t>
  </si>
  <si>
    <t>bmag242</t>
  </si>
  <si>
    <t>Both Ends</t>
  </si>
  <si>
    <t>Qitian Dasheng</t>
  </si>
  <si>
    <t>bmag243</t>
  </si>
  <si>
    <t>Phantom Flurry</t>
  </si>
  <si>
    <t>Hells' Kier</t>
  </si>
  <si>
    <t>Suzaku</t>
  </si>
  <si>
    <t>bmag244</t>
  </si>
  <si>
    <t>Nightbloom</t>
  </si>
  <si>
    <t>Castrum Fluminis</t>
  </si>
  <si>
    <t>Tsukuyomi</t>
  </si>
  <si>
    <t>bmag245</t>
  </si>
  <si>
    <t>Goblin Punch</t>
  </si>
  <si>
    <t>Kholusia</t>
  </si>
  <si>
    <t>Hobgoblin</t>
  </si>
  <si>
    <t>bmag246</t>
  </si>
  <si>
    <t>Hobgoblin Guard</t>
  </si>
  <si>
    <t>bmag247</t>
  </si>
  <si>
    <t>Li'l Murderer</t>
  </si>
  <si>
    <t>bmag248</t>
  </si>
  <si>
    <t>Right Round</t>
  </si>
  <si>
    <t>Malikah's Well</t>
  </si>
  <si>
    <t>Greater Armadillo</t>
  </si>
  <si>
    <t>bmag249</t>
  </si>
  <si>
    <t>Schiltron</t>
  </si>
  <si>
    <t>Amh Araeng</t>
  </si>
  <si>
    <t>Long-tailed Armadillo</t>
  </si>
  <si>
    <t>bmag250</t>
  </si>
  <si>
    <t>Vajrakumara</t>
  </si>
  <si>
    <t>bmag251</t>
  </si>
  <si>
    <t>Rehydration</t>
  </si>
  <si>
    <t>Slippery Armadillo</t>
  </si>
  <si>
    <t>bmag252</t>
  </si>
  <si>
    <t>Pack Armadillo</t>
  </si>
  <si>
    <t>bmag253</t>
  </si>
  <si>
    <t>Breath of Magic</t>
  </si>
  <si>
    <t>Whalaqee Breath of Magic Totem</t>
  </si>
  <si>
    <t>Reach Blue Mage level 80</t>
  </si>
  <si>
    <t>bmag254</t>
  </si>
  <si>
    <t>Wild Rage</t>
  </si>
  <si>
    <t>The Heroes' Gauntlet</t>
  </si>
  <si>
    <t>Spectral Berserker</t>
  </si>
  <si>
    <t>bmag255</t>
  </si>
  <si>
    <t>Peat Pelt</t>
  </si>
  <si>
    <t>Matoya's Relict</t>
  </si>
  <si>
    <t>Mudman</t>
  </si>
  <si>
    <t>bmag256</t>
  </si>
  <si>
    <t>Deep Clean</t>
  </si>
  <si>
    <t>The Grand Cosmos</t>
  </si>
  <si>
    <t>Seeker Of Solitude</t>
  </si>
  <si>
    <t>bmag257</t>
  </si>
  <si>
    <t>Ruby Dynamics</t>
  </si>
  <si>
    <t>Cinder Drift</t>
  </si>
  <si>
    <t>The Ruby Weapon</t>
  </si>
  <si>
    <t>bmag258</t>
  </si>
  <si>
    <t>Divination Rune</t>
  </si>
  <si>
    <t>The Dancing Plague</t>
  </si>
  <si>
    <t>Titania</t>
  </si>
  <si>
    <t>bmag259</t>
  </si>
  <si>
    <t>Dimensional Shift</t>
  </si>
  <si>
    <t>Eden's Gate: Resurrection</t>
  </si>
  <si>
    <t>Eden Prime</t>
  </si>
  <si>
    <t>bmag260</t>
  </si>
  <si>
    <t>Conviction Marcato</t>
  </si>
  <si>
    <t>Mt. Gulg</t>
  </si>
  <si>
    <t>Forgiven Obscenity</t>
  </si>
  <si>
    <t>bmag261</t>
  </si>
  <si>
    <t>Force Field</t>
  </si>
  <si>
    <t>Whalaqee Force Field Totem</t>
  </si>
  <si>
    <t>Learn 120 Blue Magic Spells</t>
  </si>
  <si>
    <t>bmag262</t>
  </si>
  <si>
    <t>Containment Bay S1T7 (Extreme)</t>
  </si>
  <si>
    <t>Sephirot</t>
  </si>
  <si>
    <t>bmag263</t>
  </si>
  <si>
    <t>Winged Reprobation</t>
  </si>
  <si>
    <t>The Crown of the Immaculate</t>
  </si>
  <si>
    <t>Innocence</t>
  </si>
  <si>
    <t>bmag264</t>
  </si>
  <si>
    <t>Laser Eye</t>
  </si>
  <si>
    <t>Eden's Promise: Eternity</t>
  </si>
  <si>
    <t>Eden's Promise</t>
  </si>
  <si>
    <t>bmag265</t>
  </si>
  <si>
    <t>Candy Cane</t>
  </si>
  <si>
    <t>Dohn Mheg</t>
  </si>
  <si>
    <t>Aenc Thon, Lord of the Lingering Gaze</t>
  </si>
  <si>
    <t>bmag266</t>
  </si>
  <si>
    <t>Mortal Flame</t>
  </si>
  <si>
    <t>Lugus</t>
  </si>
  <si>
    <t>bmag267</t>
  </si>
  <si>
    <t>Sea Shanty</t>
  </si>
  <si>
    <t>Nixie</t>
  </si>
  <si>
    <t>bmag268</t>
  </si>
  <si>
    <t>Apokalypsis</t>
  </si>
  <si>
    <t>Amaurot</t>
  </si>
  <si>
    <t>Therion</t>
  </si>
  <si>
    <t>bmag269</t>
  </si>
  <si>
    <t>Being Mortal</t>
  </si>
  <si>
    <t>region</t>
  </si>
  <si>
    <t>zone</t>
  </si>
  <si>
    <t>mapcode</t>
  </si>
  <si>
    <t>area</t>
  </si>
  <si>
    <t>point</t>
  </si>
  <si>
    <t>mapsize</t>
  </si>
  <si>
    <t>area1</t>
  </si>
  <si>
    <t>A Realm Reborn</t>
  </si>
  <si>
    <t>La Noscea</t>
  </si>
  <si>
    <t>Limsa Lominsa Upper Decks</t>
  </si>
  <si>
    <t>limsaLominsa</t>
  </si>
  <si>
    <t>town</t>
  </si>
  <si>
    <t>area2</t>
  </si>
  <si>
    <t>Limsa Lominsa Lower Decks</t>
  </si>
  <si>
    <t>area3</t>
  </si>
  <si>
    <t>Mist</t>
  </si>
  <si>
    <t>mist</t>
  </si>
  <si>
    <t>house</t>
  </si>
  <si>
    <t>area4</t>
  </si>
  <si>
    <t>Mist Subdivision</t>
  </si>
  <si>
    <t>area5</t>
  </si>
  <si>
    <t>Wolves' Den Pier</t>
  </si>
  <si>
    <t>wolvesDenPier</t>
  </si>
  <si>
    <t>side</t>
  </si>
  <si>
    <t>area63</t>
  </si>
  <si>
    <t>lowerLaNoscea</t>
  </si>
  <si>
    <t>Unnamed Island</t>
  </si>
  <si>
    <t>area6</t>
  </si>
  <si>
    <t>middleLaNoscea</t>
  </si>
  <si>
    <t>Zephyr Drift</t>
  </si>
  <si>
    <t>Zephyr Gate</t>
  </si>
  <si>
    <t>area7</t>
  </si>
  <si>
    <t>La Thagran Checkpoint</t>
  </si>
  <si>
    <t>area8</t>
  </si>
  <si>
    <t>Galadion Bay</t>
  </si>
  <si>
    <t>area9</t>
  </si>
  <si>
    <t>The Rogue River</t>
  </si>
  <si>
    <t>area10</t>
  </si>
  <si>
    <t>Summerford</t>
  </si>
  <si>
    <t>The Agelyss River</t>
  </si>
  <si>
    <t>area11</t>
  </si>
  <si>
    <t>Seasong Grotto</t>
  </si>
  <si>
    <t>area12</t>
  </si>
  <si>
    <t>The Cookpot</t>
  </si>
  <si>
    <t>area13</t>
  </si>
  <si>
    <t>Three-malm Bend</t>
  </si>
  <si>
    <t>The Descent</t>
  </si>
  <si>
    <t>area14</t>
  </si>
  <si>
    <t>The Nym River</t>
  </si>
  <si>
    <t>area15</t>
  </si>
  <si>
    <t>The Skylift</t>
  </si>
  <si>
    <t>area16</t>
  </si>
  <si>
    <t>Woad Whisper Canyon</t>
  </si>
  <si>
    <t>area17</t>
  </si>
  <si>
    <t>The Foremast</t>
  </si>
  <si>
    <t>area18</t>
  </si>
  <si>
    <t>The De Nevelle Checkpoint</t>
  </si>
  <si>
    <t>area19</t>
  </si>
  <si>
    <t>Moraby Bay</t>
  </si>
  <si>
    <t>Tempest Gate</t>
  </si>
  <si>
    <t>area20</t>
  </si>
  <si>
    <t>Oschon's Embrace</t>
  </si>
  <si>
    <t>area21</t>
  </si>
  <si>
    <t>Madman Bridge</t>
  </si>
  <si>
    <t>area22</t>
  </si>
  <si>
    <t>The Eyes</t>
  </si>
  <si>
    <t>area23</t>
  </si>
  <si>
    <t>The Mourning Widow</t>
  </si>
  <si>
    <t>area24</t>
  </si>
  <si>
    <t>Cedarwood</t>
  </si>
  <si>
    <t>Blind Iron Mines</t>
  </si>
  <si>
    <t>area25</t>
  </si>
  <si>
    <t>The Grey Fleet</t>
  </si>
  <si>
    <t>area26</t>
  </si>
  <si>
    <t>The Gods' Grip</t>
  </si>
  <si>
    <t>Empty Heart</t>
  </si>
  <si>
    <t>area27</t>
  </si>
  <si>
    <t>The Salt Strand</t>
  </si>
  <si>
    <t>area28</t>
  </si>
  <si>
    <t>Candlekeep Quay</t>
  </si>
  <si>
    <t>area29</t>
  </si>
  <si>
    <t>Oschon's Torch</t>
  </si>
  <si>
    <t>area30</t>
  </si>
  <si>
    <t>easternLaNoscea</t>
  </si>
  <si>
    <t>Bloodshore</t>
  </si>
  <si>
    <t>Gullperch Tower</t>
  </si>
  <si>
    <t>area31</t>
  </si>
  <si>
    <t>Isle of Endless Summer</t>
  </si>
  <si>
    <t>area32</t>
  </si>
  <si>
    <t>The Garlok's Lair</t>
  </si>
  <si>
    <t>area33</t>
  </si>
  <si>
    <t>Hidden Falls</t>
  </si>
  <si>
    <t>area34</t>
  </si>
  <si>
    <t>Raincatcher Gully</t>
  </si>
  <si>
    <t>The Severed String</t>
  </si>
  <si>
    <t>area35</t>
  </si>
  <si>
    <t>Red Mantis Falls</t>
  </si>
  <si>
    <t>area36</t>
  </si>
  <si>
    <t>area37</t>
  </si>
  <si>
    <t>Agelyss Wise</t>
  </si>
  <si>
    <t>Castrum Occidens</t>
  </si>
  <si>
    <t>area38</t>
  </si>
  <si>
    <t>westernLaNoscea</t>
  </si>
  <si>
    <t>Quarterstone</t>
  </si>
  <si>
    <t>The Flock</t>
  </si>
  <si>
    <t>area39</t>
  </si>
  <si>
    <t>The Brewer's Beacon</t>
  </si>
  <si>
    <t>area40</t>
  </si>
  <si>
    <t>Skull Valley</t>
  </si>
  <si>
    <t>Camp Skull Valley</t>
  </si>
  <si>
    <t>area41</t>
  </si>
  <si>
    <t>The Founder's Crypt</t>
  </si>
  <si>
    <t>area42</t>
  </si>
  <si>
    <t>North Tidegate</t>
  </si>
  <si>
    <t>area43</t>
  </si>
  <si>
    <t>South Tidegate</t>
  </si>
  <si>
    <t>area44</t>
  </si>
  <si>
    <t>The Isles of Umbra</t>
  </si>
  <si>
    <t>The Ship Graveyard</t>
  </si>
  <si>
    <t>area45</t>
  </si>
  <si>
    <t>Moonshade Isle</t>
  </si>
  <si>
    <t>area46</t>
  </si>
  <si>
    <t>Halfstone</t>
  </si>
  <si>
    <t>Sahagin Landbase</t>
  </si>
  <si>
    <t>area47</t>
  </si>
  <si>
    <t>Novv's Nursery</t>
  </si>
  <si>
    <t>area48</t>
  </si>
  <si>
    <t>The Serpent's Tongue</t>
  </si>
  <si>
    <t>area49</t>
  </si>
  <si>
    <t>Sapsa Spawning Grounds</t>
  </si>
  <si>
    <t>The Reef of Sending</t>
  </si>
  <si>
    <t>area50</t>
  </si>
  <si>
    <t>Reaver Hide</t>
  </si>
  <si>
    <t>area51</t>
  </si>
  <si>
    <t>upperLaNoscea</t>
  </si>
  <si>
    <t>Bronze Lake</t>
  </si>
  <si>
    <t>Jijiroon's Trading Post</t>
  </si>
  <si>
    <t>area52</t>
  </si>
  <si>
    <t>area53</t>
  </si>
  <si>
    <t>Zelma's Run</t>
  </si>
  <si>
    <t>area54</t>
  </si>
  <si>
    <t>Oakwood</t>
  </si>
  <si>
    <t>Thalaos</t>
  </si>
  <si>
    <t>area55</t>
  </si>
  <si>
    <t>Poor Maid's Mill</t>
  </si>
  <si>
    <t>area56</t>
  </si>
  <si>
    <t>Memeroon's Trading Post</t>
  </si>
  <si>
    <t>area57</t>
  </si>
  <si>
    <t>Fool Falls</t>
  </si>
  <si>
    <t>area58</t>
  </si>
  <si>
    <t>outerLaNoscea</t>
  </si>
  <si>
    <t>The Long Climb</t>
  </si>
  <si>
    <t>The Hermit's Hovel</t>
  </si>
  <si>
    <t>area59</t>
  </si>
  <si>
    <t>The Floating City of Nym</t>
  </si>
  <si>
    <t>area60</t>
  </si>
  <si>
    <t>Iron Lake</t>
  </si>
  <si>
    <t>Kobold Dig</t>
  </si>
  <si>
    <t>area61</t>
  </si>
  <si>
    <t>789th Order Dig</t>
  </si>
  <si>
    <t>area62</t>
  </si>
  <si>
    <t>U'Ghamaro Mines</t>
  </si>
  <si>
    <t>area64</t>
  </si>
  <si>
    <t>The Black Shroud</t>
  </si>
  <si>
    <t>New Gridania</t>
  </si>
  <si>
    <t>gridania</t>
  </si>
  <si>
    <t>area65</t>
  </si>
  <si>
    <t>Old Gridania</t>
  </si>
  <si>
    <t>area66</t>
  </si>
  <si>
    <t>Lavender Beds</t>
  </si>
  <si>
    <t>theLavenderBeds</t>
  </si>
  <si>
    <t>area67</t>
  </si>
  <si>
    <t>Lavender Beds Subdivision</t>
  </si>
  <si>
    <t>area68</t>
  </si>
  <si>
    <t>centralShroud</t>
  </si>
  <si>
    <t>Bentbranch</t>
  </si>
  <si>
    <t>Lilystone</t>
  </si>
  <si>
    <t>area69</t>
  </si>
  <si>
    <t>The Hedgetree</t>
  </si>
  <si>
    <t>area70</t>
  </si>
  <si>
    <t>area71</t>
  </si>
  <si>
    <t>Galvanth's Spire</t>
  </si>
  <si>
    <t>area72</t>
  </si>
  <si>
    <t>Everschade (The Guardian Tree)</t>
  </si>
  <si>
    <t>area73</t>
  </si>
  <si>
    <t>The Matron's Lethe</t>
  </si>
  <si>
    <t>area74</t>
  </si>
  <si>
    <t>Jadeite Thick</t>
  </si>
  <si>
    <t>Blue Badger Gate</t>
  </si>
  <si>
    <t>area75</t>
  </si>
  <si>
    <t>Gilbert's Spire</t>
  </si>
  <si>
    <t>area76</t>
  </si>
  <si>
    <t>The Standing Corses</t>
  </si>
  <si>
    <t>Spriggan Dig</t>
  </si>
  <si>
    <t>area77</t>
  </si>
  <si>
    <t>Sorrel Haven</t>
  </si>
  <si>
    <t>White Wolf Gate</t>
  </si>
  <si>
    <t>area78</t>
  </si>
  <si>
    <t>Hopeseed Pond</t>
  </si>
  <si>
    <t>area79</t>
  </si>
  <si>
    <t>Sanguine Perch</t>
  </si>
  <si>
    <t>area80</t>
  </si>
  <si>
    <t>Greentear</t>
  </si>
  <si>
    <t>Gabineaux's Bower</t>
  </si>
  <si>
    <t>area81</t>
  </si>
  <si>
    <t>Spirithold</t>
  </si>
  <si>
    <t>area82</t>
  </si>
  <si>
    <t>Lifemend Stump</t>
  </si>
  <si>
    <t>area83</t>
  </si>
  <si>
    <t>Naked Rock</t>
  </si>
  <si>
    <t>area84</t>
  </si>
  <si>
    <t>eastShroud</t>
  </si>
  <si>
    <t>The Honey Yard</t>
  </si>
  <si>
    <t>Fullflower Comb</t>
  </si>
  <si>
    <t>area85</t>
  </si>
  <si>
    <t>Sylphlands</t>
  </si>
  <si>
    <t>The Seedbed</t>
  </si>
  <si>
    <t>area86</t>
  </si>
  <si>
    <t>Hanging Barbs</t>
  </si>
  <si>
    <t>area87</t>
  </si>
  <si>
    <t>Moonspore Grove</t>
  </si>
  <si>
    <t>area88</t>
  </si>
  <si>
    <t>Goldleaf Dais</t>
  </si>
  <si>
    <t>area89</t>
  </si>
  <si>
    <t>Nine Ivies</t>
  </si>
  <si>
    <t>Amarissaix's Spire</t>
  </si>
  <si>
    <t>area90</t>
  </si>
  <si>
    <t>Castrum Oriens</t>
  </si>
  <si>
    <t>area91</t>
  </si>
  <si>
    <t>area92</t>
  </si>
  <si>
    <t>Little Solace</t>
  </si>
  <si>
    <t>area93</t>
  </si>
  <si>
    <t>Josselin's Spire</t>
  </si>
  <si>
    <t>area94</t>
  </si>
  <si>
    <t>The Bramble Patch</t>
  </si>
  <si>
    <t>Sanctum of the Twelve</t>
  </si>
  <si>
    <t>area95</t>
  </si>
  <si>
    <t>southShroud</t>
  </si>
  <si>
    <t>Lower Paths</t>
  </si>
  <si>
    <t>South Shroud Landing</t>
  </si>
  <si>
    <t>area96</t>
  </si>
  <si>
    <t>Silent Arbor</t>
  </si>
  <si>
    <t>Goblins' Meet</t>
  </si>
  <si>
    <t>area97</t>
  </si>
  <si>
    <t>Taker's Rot</t>
  </si>
  <si>
    <t>area98</t>
  </si>
  <si>
    <t>The Mun-Tuy Cellars</t>
  </si>
  <si>
    <t>area99</t>
  </si>
  <si>
    <t>Upper Paths</t>
  </si>
  <si>
    <t>Buscarron's Druthers</t>
  </si>
  <si>
    <t>area100</t>
  </si>
  <si>
    <t>Issom-Har</t>
  </si>
  <si>
    <t>area101</t>
  </si>
  <si>
    <t>No Man's Hovel</t>
  </si>
  <si>
    <t>area102</t>
  </si>
  <si>
    <t>Redbelly Hive</t>
  </si>
  <si>
    <t>area103</t>
  </si>
  <si>
    <t>Urth's Gift</t>
  </si>
  <si>
    <t>Urth's Fount</t>
  </si>
  <si>
    <t>area104</t>
  </si>
  <si>
    <t>northShroud</t>
  </si>
  <si>
    <t>Alder Springs</t>
  </si>
  <si>
    <t>Finders' Bluff</t>
  </si>
  <si>
    <t>area105</t>
  </si>
  <si>
    <t>Florentel's Spire</t>
  </si>
  <si>
    <t>area106</t>
  </si>
  <si>
    <t>Fallgourd Float</t>
  </si>
  <si>
    <t>The Bobbing Cork</t>
  </si>
  <si>
    <t>area107</t>
  </si>
  <si>
    <t>Treespeak</t>
  </si>
  <si>
    <t>Blessed Bud</t>
  </si>
  <si>
    <t>area108</t>
  </si>
  <si>
    <t>E-Tatt's Spire</t>
  </si>
  <si>
    <t>area109</t>
  </si>
  <si>
    <t>Yellow Serpent Gate</t>
  </si>
  <si>
    <t>area110</t>
  </si>
  <si>
    <t>Peacegarden</t>
  </si>
  <si>
    <t>area111</t>
  </si>
  <si>
    <t>Ehcatl</t>
  </si>
  <si>
    <t>area112</t>
  </si>
  <si>
    <t>Proud Creek</t>
  </si>
  <si>
    <t>Ixali Logging Grounds</t>
  </si>
  <si>
    <t>area113</t>
  </si>
  <si>
    <t>Gelmorra Ruins</t>
  </si>
  <si>
    <t>area114</t>
  </si>
  <si>
    <t>Eugenia's Spire</t>
  </si>
  <si>
    <t>area115</t>
  </si>
  <si>
    <t>Thanalan</t>
  </si>
  <si>
    <t>Ul'dah - Steps of Nald</t>
  </si>
  <si>
    <t>uldah</t>
  </si>
  <si>
    <t>area116</t>
  </si>
  <si>
    <t>The Merchants Strip</t>
  </si>
  <si>
    <t>area117</t>
  </si>
  <si>
    <t>The Hustings Strip</t>
  </si>
  <si>
    <t>area118</t>
  </si>
  <si>
    <t>The Goblet</t>
  </si>
  <si>
    <t>theGoblet</t>
  </si>
  <si>
    <t>area119</t>
  </si>
  <si>
    <t>The Goblet Subdivision</t>
  </si>
  <si>
    <t>area120</t>
  </si>
  <si>
    <t>The Gold Saucer</t>
  </si>
  <si>
    <t>area121</t>
  </si>
  <si>
    <t>Chocobo Square</t>
  </si>
  <si>
    <t>area122</t>
  </si>
  <si>
    <t>westernThanalan</t>
  </si>
  <si>
    <t>The Eighty Sins of Sasamo</t>
  </si>
  <si>
    <t>The Gate of the Sultana</t>
  </si>
  <si>
    <t>area123</t>
  </si>
  <si>
    <t>Hammerlea</t>
  </si>
  <si>
    <t>Nophica's Wells</t>
  </si>
  <si>
    <t>area124</t>
  </si>
  <si>
    <t>The East Hammer</t>
  </si>
  <si>
    <t>area125</t>
  </si>
  <si>
    <t>The West Hammer</t>
  </si>
  <si>
    <t>area126</t>
  </si>
  <si>
    <t>The South Hammer</t>
  </si>
  <si>
    <t>area127</t>
  </si>
  <si>
    <t>Beaconhill Lighthouse</t>
  </si>
  <si>
    <t>area128</t>
  </si>
  <si>
    <t>The Silver Bazaar</t>
  </si>
  <si>
    <t>area129</t>
  </si>
  <si>
    <t>Horizon's Edge</t>
  </si>
  <si>
    <t>Sunrise Gate</t>
  </si>
  <si>
    <t>area130</t>
  </si>
  <si>
    <t>Sunset Gate</t>
  </si>
  <si>
    <t>area131</t>
  </si>
  <si>
    <t>The Footfalls</t>
  </si>
  <si>
    <t>The Silent King</t>
  </si>
  <si>
    <t>area132</t>
  </si>
  <si>
    <t>The Waking Sands</t>
  </si>
  <si>
    <t>area133</t>
  </si>
  <si>
    <t>Cape Westwind</t>
  </si>
  <si>
    <t>Parata's Peace</t>
  </si>
  <si>
    <t>area134</t>
  </si>
  <si>
    <t>Imperial Outpost</t>
  </si>
  <si>
    <t>area135</t>
  </si>
  <si>
    <t>Castrum Marinum</t>
  </si>
  <si>
    <t>area136</t>
  </si>
  <si>
    <t>centralThanalan</t>
  </si>
  <si>
    <t>Spineless Basin</t>
  </si>
  <si>
    <t>The Gate of Thal</t>
  </si>
  <si>
    <t>area137</t>
  </si>
  <si>
    <t>Sagolii Gate</t>
  </si>
  <si>
    <t>area138</t>
  </si>
  <si>
    <t>Sultantree</t>
  </si>
  <si>
    <t>area139</t>
  </si>
  <si>
    <t>Ul'dah Dispatch Yard</t>
  </si>
  <si>
    <t>area140</t>
  </si>
  <si>
    <t>The Royal Plantations</t>
  </si>
  <si>
    <t>area141</t>
  </si>
  <si>
    <t>The Gate of Nald</t>
  </si>
  <si>
    <t>area142</t>
  </si>
  <si>
    <t>Fesca's Watch</t>
  </si>
  <si>
    <t>area143</t>
  </si>
  <si>
    <t>Stonesthrow</t>
  </si>
  <si>
    <t>area144</t>
  </si>
  <si>
    <t>The Clutch</t>
  </si>
  <si>
    <t>The Unholy Heir</t>
  </si>
  <si>
    <t>area145</t>
  </si>
  <si>
    <t>The Quiveron Manse</t>
  </si>
  <si>
    <t>area146</t>
  </si>
  <si>
    <t>Black Brush</t>
  </si>
  <si>
    <t>Sil'dih Excavation Site</t>
  </si>
  <si>
    <t>area147</t>
  </si>
  <si>
    <t>The Rat's Nest</t>
  </si>
  <si>
    <t>area148</t>
  </si>
  <si>
    <t>The Coffer &amp; Coffin</t>
  </si>
  <si>
    <t>area149</t>
  </si>
  <si>
    <t>Nanawa Mines</t>
  </si>
  <si>
    <t>area150</t>
  </si>
  <si>
    <t>The Bonfire</t>
  </si>
  <si>
    <t>area151</t>
  </si>
  <si>
    <t>Lost Hope</t>
  </si>
  <si>
    <t>area152</t>
  </si>
  <si>
    <t>easternThanalan</t>
  </si>
  <si>
    <t>Wellwick Wood</t>
  </si>
  <si>
    <t>Thal's Respite</t>
  </si>
  <si>
    <t>area153</t>
  </si>
  <si>
    <t>Yugr'am River</t>
  </si>
  <si>
    <t>area154</t>
  </si>
  <si>
    <t>The Burning Wall</t>
  </si>
  <si>
    <t>Burgundy Falls</t>
  </si>
  <si>
    <t>area155</t>
  </si>
  <si>
    <t>Sandgate</t>
  </si>
  <si>
    <t>Amalj'aa Encampment</t>
  </si>
  <si>
    <t>area156</t>
  </si>
  <si>
    <t>Final Prayer</t>
  </si>
  <si>
    <t>area157</t>
  </si>
  <si>
    <t>Drybone</t>
  </si>
  <si>
    <t>Church of Saint Adama Landama</t>
  </si>
  <si>
    <t>area158</t>
  </si>
  <si>
    <t>The Invisible City</t>
  </si>
  <si>
    <t>area159</t>
  </si>
  <si>
    <t>southernThanalan</t>
  </si>
  <si>
    <t>Sagolii Desert</t>
  </si>
  <si>
    <t>Byregot's Strike</t>
  </si>
  <si>
    <t>area160</t>
  </si>
  <si>
    <t>The Red Labyrinth</t>
  </si>
  <si>
    <t>Nald's Reflection</t>
  </si>
  <si>
    <t>area161</t>
  </si>
  <si>
    <t>Minotaur Malm</t>
  </si>
  <si>
    <t>area162</t>
  </si>
  <si>
    <t>Zanr'ak</t>
  </si>
  <si>
    <t>Zanr'ak Encampment</t>
  </si>
  <si>
    <t>area163</t>
  </si>
  <si>
    <t>Zanr'ak Altar</t>
  </si>
  <si>
    <t>area164</t>
  </si>
  <si>
    <t>Circle of the Tempered</t>
  </si>
  <si>
    <t>area165</t>
  </si>
  <si>
    <t>Zahar'ak</t>
  </si>
  <si>
    <t>area166</t>
  </si>
  <si>
    <t>Broken Water</t>
  </si>
  <si>
    <t>The Sepulchre</t>
  </si>
  <si>
    <t>area167</t>
  </si>
  <si>
    <t>Ring of Ash</t>
  </si>
  <si>
    <t>area168</t>
  </si>
  <si>
    <t>northernThanalan</t>
  </si>
  <si>
    <t>Bluefog</t>
  </si>
  <si>
    <t>West Watchtower</t>
  </si>
  <si>
    <t>area169</t>
  </si>
  <si>
    <t>East Watchtower</t>
  </si>
  <si>
    <t>area170</t>
  </si>
  <si>
    <t>Abandoned Amajina Mythril Mine</t>
  </si>
  <si>
    <t>area171</t>
  </si>
  <si>
    <t>Dalamud's Talons</t>
  </si>
  <si>
    <t>area172</t>
  </si>
  <si>
    <t>Raubahn's Push</t>
  </si>
  <si>
    <t>area173</t>
  </si>
  <si>
    <t>Forward Gates</t>
  </si>
  <si>
    <t>area174</t>
  </si>
  <si>
    <t>Coerthas</t>
  </si>
  <si>
    <t>ishgard</t>
  </si>
  <si>
    <t>area175</t>
  </si>
  <si>
    <t>The Pillars</t>
  </si>
  <si>
    <t>area245</t>
  </si>
  <si>
    <t>Dravania</t>
  </si>
  <si>
    <t>Idyllshire</t>
  </si>
  <si>
    <t>idyllshire</t>
  </si>
  <si>
    <t>area176</t>
  </si>
  <si>
    <t>Coerthas Central Highlands</t>
  </si>
  <si>
    <t>coerthasCentralHighlands</t>
  </si>
  <si>
    <t>Dragonhead</t>
  </si>
  <si>
    <t>Griffin Crossing</t>
  </si>
  <si>
    <t>area177</t>
  </si>
  <si>
    <t>Skyfire Locks</t>
  </si>
  <si>
    <t>area178</t>
  </si>
  <si>
    <t>Providence Point</t>
  </si>
  <si>
    <t>Witchdrop</t>
  </si>
  <si>
    <t>area179</t>
  </si>
  <si>
    <t>Steel Vigil</t>
  </si>
  <si>
    <t>area180</t>
  </si>
  <si>
    <t>The Ogre's Belly</t>
  </si>
  <si>
    <t>area181</t>
  </si>
  <si>
    <t>The Weeping Saint</t>
  </si>
  <si>
    <t>area182</t>
  </si>
  <si>
    <t>Natalan</t>
  </si>
  <si>
    <t>area183</t>
  </si>
  <si>
    <t>Boulder Downs</t>
  </si>
  <si>
    <t>area184</t>
  </si>
  <si>
    <t>Hall of the Seven Echoes</t>
  </si>
  <si>
    <t>area185</t>
  </si>
  <si>
    <t>Monument Tower</t>
  </si>
  <si>
    <t>area186</t>
  </si>
  <si>
    <t>The Fury's Gaze</t>
  </si>
  <si>
    <t>area187</t>
  </si>
  <si>
    <t>Daniffen Pass</t>
  </si>
  <si>
    <t>area188</t>
  </si>
  <si>
    <t>area189</t>
  </si>
  <si>
    <t>Whitebrim</t>
  </si>
  <si>
    <t>Behemoth's Dominion</t>
  </si>
  <si>
    <t>area190</t>
  </si>
  <si>
    <t>coerthasWesternHighlands</t>
  </si>
  <si>
    <t>Riversmeet</t>
  </si>
  <si>
    <t>The Pike</t>
  </si>
  <si>
    <t>area191</t>
  </si>
  <si>
    <t>Black Iron Bridge</t>
  </si>
  <si>
    <t>area192</t>
  </si>
  <si>
    <t>The Ninth Vare</t>
  </si>
  <si>
    <t>area193</t>
  </si>
  <si>
    <t>Camp Riversmeet</t>
  </si>
  <si>
    <t>area194</t>
  </si>
  <si>
    <t>Gorgagne Mills</t>
  </si>
  <si>
    <t>area195</t>
  </si>
  <si>
    <t>Hemlock</t>
  </si>
  <si>
    <t>area196</t>
  </si>
  <si>
    <t>Twinpools</t>
  </si>
  <si>
    <t>area197</t>
  </si>
  <si>
    <t>The Dreaming Dragon</t>
  </si>
  <si>
    <t>area198</t>
  </si>
  <si>
    <t>The Slate Mountains</t>
  </si>
  <si>
    <t>area199</t>
  </si>
  <si>
    <t>Dragonspit</t>
  </si>
  <si>
    <t>area200</t>
  </si>
  <si>
    <t>Gorgagne Holding</t>
  </si>
  <si>
    <t>area201</t>
  </si>
  <si>
    <t>The Convictory</t>
  </si>
  <si>
    <t>area202</t>
  </si>
  <si>
    <t>Coerthas River</t>
  </si>
  <si>
    <t>area203</t>
  </si>
  <si>
    <t>Red Rim</t>
  </si>
  <si>
    <t>The Bed of Bones</t>
  </si>
  <si>
    <t>area204</t>
  </si>
  <si>
    <t>The Watcher</t>
  </si>
  <si>
    <t>area205</t>
  </si>
  <si>
    <t>morDhona</t>
  </si>
  <si>
    <t>Fogfens</t>
  </si>
  <si>
    <t>Castrum Centri</t>
  </si>
  <si>
    <t>area206</t>
  </si>
  <si>
    <t>The Tangle</t>
  </si>
  <si>
    <t>area207</t>
  </si>
  <si>
    <t>Rathefrost</t>
  </si>
  <si>
    <t>area208</t>
  </si>
  <si>
    <t>Camp Revenant's Toll</t>
  </si>
  <si>
    <t>area209</t>
  </si>
  <si>
    <t>Revenant's Toll</t>
  </si>
  <si>
    <t>The Diamond Forge</t>
  </si>
  <si>
    <t>area210</t>
  </si>
  <si>
    <t>Rowena's House of Splendors</t>
  </si>
  <si>
    <t>area211</t>
  </si>
  <si>
    <t>The Rising Stones</t>
  </si>
  <si>
    <t>area212</t>
  </si>
  <si>
    <t>The Seventh Heaven</t>
  </si>
  <si>
    <t>area213</t>
  </si>
  <si>
    <t>North Silvertear</t>
  </si>
  <si>
    <t>Singing Shards</t>
  </si>
  <si>
    <t>area214</t>
  </si>
  <si>
    <t>area215</t>
  </si>
  <si>
    <t>The Eight Sentinels</t>
  </si>
  <si>
    <t>Crystal Gate</t>
  </si>
  <si>
    <t>area216</t>
  </si>
  <si>
    <t>Abalathia's Spine</t>
  </si>
  <si>
    <t>theSeaOfClouds</t>
  </si>
  <si>
    <t>Cloudtop</t>
  </si>
  <si>
    <t>The Protector</t>
  </si>
  <si>
    <t>area217</t>
  </si>
  <si>
    <t>The Rosehouse</t>
  </si>
  <si>
    <t>area218</t>
  </si>
  <si>
    <t>Last Step</t>
  </si>
  <si>
    <t>Ok' Gundu</t>
  </si>
  <si>
    <t>area219</t>
  </si>
  <si>
    <t>The Blue Window</t>
  </si>
  <si>
    <t>The Morrowmotes</t>
  </si>
  <si>
    <t>area220</t>
  </si>
  <si>
    <t>Ok' Gundu Nakki</t>
  </si>
  <si>
    <t>area221</t>
  </si>
  <si>
    <t>Voor Sian Siran</t>
  </si>
  <si>
    <t>The Nidifice</t>
  </si>
  <si>
    <t>area222</t>
  </si>
  <si>
    <t>Ok' Vundu Mok</t>
  </si>
  <si>
    <t>area223</t>
  </si>
  <si>
    <t>Hall of the Fallen Plume</t>
  </si>
  <si>
    <t>area224</t>
  </si>
  <si>
    <t>Ok' Vundu Vana</t>
  </si>
  <si>
    <t>area225</t>
  </si>
  <si>
    <t>Vundu Ok' Bendu</t>
  </si>
  <si>
    <t>area226</t>
  </si>
  <si>
    <t>The Gauntlet</t>
  </si>
  <si>
    <t>The Shattered Back</t>
  </si>
  <si>
    <t>area227</t>
  </si>
  <si>
    <t>Hengr's Crucible</t>
  </si>
  <si>
    <t>area228</t>
  </si>
  <si>
    <t>Coldwind</t>
  </si>
  <si>
    <t>area229</t>
  </si>
  <si>
    <t>Mok Oogl Island</t>
  </si>
  <si>
    <t>area230</t>
  </si>
  <si>
    <t>Provenance</t>
  </si>
  <si>
    <t>area231</t>
  </si>
  <si>
    <t>azysLla</t>
  </si>
  <si>
    <t>Alpha Quadrant</t>
  </si>
  <si>
    <t>Helix</t>
  </si>
  <si>
    <t>area232</t>
  </si>
  <si>
    <t>Centrifugal Crystal Engine</t>
  </si>
  <si>
    <t>area233</t>
  </si>
  <si>
    <t>Beta Quadrant</t>
  </si>
  <si>
    <t>Recombination Labs</t>
  </si>
  <si>
    <t>area234</t>
  </si>
  <si>
    <t>Biomass Incubation Complex</t>
  </si>
  <si>
    <t>area235</t>
  </si>
  <si>
    <t>The Habisphere</t>
  </si>
  <si>
    <t>area236</t>
  </si>
  <si>
    <t>Gamma Quadrant</t>
  </si>
  <si>
    <t>The Gration</t>
  </si>
  <si>
    <t>area237</t>
  </si>
  <si>
    <t>The Cathedral</t>
  </si>
  <si>
    <t>area238</t>
  </si>
  <si>
    <t>Delta Quadrant</t>
  </si>
  <si>
    <t>Esh Thom</t>
  </si>
  <si>
    <t>area239</t>
  </si>
  <si>
    <t>Antithesis</t>
  </si>
  <si>
    <t>area240</t>
  </si>
  <si>
    <t>The Flagship</t>
  </si>
  <si>
    <t>The Aetherochemical Research Facility</t>
  </si>
  <si>
    <t>area241</t>
  </si>
  <si>
    <t>The Fractal Continuum</t>
  </si>
  <si>
    <t>area242</t>
  </si>
  <si>
    <t>Quarantine Block</t>
  </si>
  <si>
    <t>area243</t>
  </si>
  <si>
    <t>Mobile Supply Cache</t>
  </si>
  <si>
    <t>area244</t>
  </si>
  <si>
    <t>Hyperstellar Downconverter</t>
  </si>
  <si>
    <t>area246</t>
  </si>
  <si>
    <t>theDravanianForelands</t>
  </si>
  <si>
    <t>Chocobo Forest</t>
  </si>
  <si>
    <t>The Hundred Throes</t>
  </si>
  <si>
    <t>area247</t>
  </si>
  <si>
    <t>Mare's Oath</t>
  </si>
  <si>
    <t>area248</t>
  </si>
  <si>
    <t>The Smoldering Wastes</t>
  </si>
  <si>
    <t>Loth ast Vath</t>
  </si>
  <si>
    <t>area249</t>
  </si>
  <si>
    <t>The Stained One</t>
  </si>
  <si>
    <t>area250</t>
  </si>
  <si>
    <t>Avalonia Fallen</t>
  </si>
  <si>
    <t>Anyx Minor</t>
  </si>
  <si>
    <t>area251</t>
  </si>
  <si>
    <t>Sohm Al Foothills</t>
  </si>
  <si>
    <t>Ehs Daih</t>
  </si>
  <si>
    <t>area252</t>
  </si>
  <si>
    <t>The Iron Feast</t>
  </si>
  <si>
    <t>area253</t>
  </si>
  <si>
    <t>Mourn</t>
  </si>
  <si>
    <t>Halo</t>
  </si>
  <si>
    <t>area254</t>
  </si>
  <si>
    <t>Anyx Old</t>
  </si>
  <si>
    <t>area255</t>
  </si>
  <si>
    <t>theDravanianHinterlands</t>
  </si>
  <si>
    <t>The Makers' Quarter</t>
  </si>
  <si>
    <t>The Arkhitekton</t>
  </si>
  <si>
    <t>area256</t>
  </si>
  <si>
    <t>The Daggers</t>
  </si>
  <si>
    <t>area257</t>
  </si>
  <si>
    <t>The Answering Quarter</t>
  </si>
  <si>
    <t>area258</t>
  </si>
  <si>
    <t>The Asulon</t>
  </si>
  <si>
    <t>area259</t>
  </si>
  <si>
    <t>The Ruling Quarter</t>
  </si>
  <si>
    <t>Quickspill Delta</t>
  </si>
  <si>
    <t>area260</t>
  </si>
  <si>
    <t>Matoya's Cave</t>
  </si>
  <si>
    <t>area261</t>
  </si>
  <si>
    <t>The Path of Knowing</t>
  </si>
  <si>
    <t>area262</t>
  </si>
  <si>
    <t>The Tipped Ewer</t>
  </si>
  <si>
    <t>area263</t>
  </si>
  <si>
    <t>theChurningMists</t>
  </si>
  <si>
    <t>area264</t>
  </si>
  <si>
    <t>Eil Tohm</t>
  </si>
  <si>
    <t>The House of Letters</t>
  </si>
  <si>
    <t>area265</t>
  </si>
  <si>
    <t>Monsterie</t>
  </si>
  <si>
    <t>area266</t>
  </si>
  <si>
    <t>Four Arms</t>
  </si>
  <si>
    <t>Bahrr Lehs</t>
  </si>
  <si>
    <t>Ohl Tahn</t>
  </si>
  <si>
    <t>area272</t>
  </si>
  <si>
    <t>Sothton Walls</t>
  </si>
  <si>
    <t>area273</t>
  </si>
  <si>
    <t>Weston Waters</t>
  </si>
  <si>
    <t>area274</t>
  </si>
  <si>
    <t>Easton Eyes</t>
  </si>
  <si>
    <t>area275</t>
  </si>
  <si>
    <t>The Aery</t>
  </si>
  <si>
    <t>area276</t>
  </si>
  <si>
    <t>Greensward</t>
  </si>
  <si>
    <t>Mother of the Sheave</t>
  </si>
  <si>
    <t>area277</t>
  </si>
  <si>
    <t>The Lost Landlord</t>
  </si>
  <si>
    <t>area278</t>
  </si>
  <si>
    <t>Landlord Colony</t>
  </si>
  <si>
    <t>area279</t>
  </si>
  <si>
    <t>Gyr Abania</t>
  </si>
  <si>
    <t>Rhalgr's Reach</t>
  </si>
  <si>
    <t>rhalgrsReach</t>
  </si>
  <si>
    <t>area280</t>
  </si>
  <si>
    <t>The Fringes</t>
  </si>
  <si>
    <t>theFringes</t>
  </si>
  <si>
    <t>East End</t>
  </si>
  <si>
    <t>Bittermill</t>
  </si>
  <si>
    <t>area281</t>
  </si>
  <si>
    <t>Owyn's Stash</t>
  </si>
  <si>
    <t>area282</t>
  </si>
  <si>
    <t>The Percipient One</t>
  </si>
  <si>
    <t>area283</t>
  </si>
  <si>
    <t>Dimwold</t>
  </si>
  <si>
    <t>Fletcher's Cabin</t>
  </si>
  <si>
    <t>area284</t>
  </si>
  <si>
    <t>Pike Falls</t>
  </si>
  <si>
    <t>The Comet's Tail</t>
  </si>
  <si>
    <t>area285</t>
  </si>
  <si>
    <t>The Pall of Clarity</t>
  </si>
  <si>
    <t>area286</t>
  </si>
  <si>
    <t>The Velodyna River</t>
  </si>
  <si>
    <t>area287</t>
  </si>
  <si>
    <t>The Striped Hills</t>
  </si>
  <si>
    <t>Schism</t>
  </si>
  <si>
    <t>area288</t>
  </si>
  <si>
    <t>The Circles of Answering</t>
  </si>
  <si>
    <t>area289</t>
  </si>
  <si>
    <t>Gyr Kehim</t>
  </si>
  <si>
    <t>area290</t>
  </si>
  <si>
    <t>Mirage Creek</t>
  </si>
  <si>
    <t>area291</t>
  </si>
  <si>
    <t>Virdjala</t>
  </si>
  <si>
    <t>Castellum Velodyna</t>
  </si>
  <si>
    <t>area292</t>
  </si>
  <si>
    <t>Vira Nilya</t>
  </si>
  <si>
    <t>area293</t>
  </si>
  <si>
    <t>Qalyana Nilya</t>
  </si>
  <si>
    <t>area294</t>
  </si>
  <si>
    <t>The Yawn</t>
  </si>
  <si>
    <t>area295</t>
  </si>
  <si>
    <t>thePeaks</t>
  </si>
  <si>
    <t>The Last Forest</t>
  </si>
  <si>
    <t>Emprise</t>
  </si>
  <si>
    <t>area296</t>
  </si>
  <si>
    <t>Grymm &amp; Enid</t>
  </si>
  <si>
    <t>area297</t>
  </si>
  <si>
    <t>Byron's Bread</t>
  </si>
  <si>
    <t>area298</t>
  </si>
  <si>
    <t>The Ziggurat</t>
  </si>
  <si>
    <t>area299</t>
  </si>
  <si>
    <t>The Carmine Kitchen</t>
  </si>
  <si>
    <t>area300</t>
  </si>
  <si>
    <t>Rustrock</t>
  </si>
  <si>
    <t>Mason's Falls</t>
  </si>
  <si>
    <t>area301</t>
  </si>
  <si>
    <t>Heather Falls</t>
  </si>
  <si>
    <t>area302</t>
  </si>
  <si>
    <t>Hidden Tear</t>
  </si>
  <si>
    <t>area303</t>
  </si>
  <si>
    <t>Sleeping Stones</t>
  </si>
  <si>
    <t>area304</t>
  </si>
  <si>
    <t>The Ephor</t>
  </si>
  <si>
    <t>area305</t>
  </si>
  <si>
    <t>Whitherwander</t>
  </si>
  <si>
    <t>area306</t>
  </si>
  <si>
    <t>Momoroon's Milk</t>
  </si>
  <si>
    <t>area307</t>
  </si>
  <si>
    <t>Wightrock</t>
  </si>
  <si>
    <t>Goodblade</t>
  </si>
  <si>
    <t>area308</t>
  </si>
  <si>
    <t>The Scabbard</t>
  </si>
  <si>
    <t>area309</t>
  </si>
  <si>
    <t>Specula Imperatoris</t>
  </si>
  <si>
    <t>area310</t>
  </si>
  <si>
    <t>The Choler</t>
  </si>
  <si>
    <t>area311</t>
  </si>
  <si>
    <t>The Arms of Meed</t>
  </si>
  <si>
    <t>area312</t>
  </si>
  <si>
    <t>Nyunkrepf's Hope</t>
  </si>
  <si>
    <t>area313</t>
  </si>
  <si>
    <t>Mount Yorn</t>
  </si>
  <si>
    <t>Castrum Abania</t>
  </si>
  <si>
    <t>area314</t>
  </si>
  <si>
    <t>Radiata</t>
  </si>
  <si>
    <t>area315</t>
  </si>
  <si>
    <t>The Ironroad</t>
  </si>
  <si>
    <t>area316</t>
  </si>
  <si>
    <t>Coldhearth</t>
  </si>
  <si>
    <t>area317</t>
  </si>
  <si>
    <t>theLochs</t>
  </si>
  <si>
    <t>The High Bank</t>
  </si>
  <si>
    <t>The Firkins</t>
  </si>
  <si>
    <t>area318</t>
  </si>
  <si>
    <t>Demilune</t>
  </si>
  <si>
    <t>area319</t>
  </si>
  <si>
    <t>Sothwatch</t>
  </si>
  <si>
    <t>area320</t>
  </si>
  <si>
    <t>Sali Monastery</t>
  </si>
  <si>
    <t>area321</t>
  </si>
  <si>
    <t>The Dark of Lasting Cumber</t>
  </si>
  <si>
    <t>area322</t>
  </si>
  <si>
    <t>Aenadem Ei</t>
  </si>
  <si>
    <t>area323</t>
  </si>
  <si>
    <t>Rothlyt</t>
  </si>
  <si>
    <t>area324</t>
  </si>
  <si>
    <t>The Pauper's Lode</t>
  </si>
  <si>
    <t>area325</t>
  </si>
  <si>
    <t>Sweetwater</t>
  </si>
  <si>
    <t>area326</t>
  </si>
  <si>
    <t>Stacks</t>
  </si>
  <si>
    <t>area327</t>
  </si>
  <si>
    <t>Loch Seld</t>
  </si>
  <si>
    <t>The Saltery</t>
  </si>
  <si>
    <t>area328</t>
  </si>
  <si>
    <t>Lochwatch</t>
  </si>
  <si>
    <t>area329</t>
  </si>
  <si>
    <t>The Destroyer</t>
  </si>
  <si>
    <t>area330</t>
  </si>
  <si>
    <t>The Divine Audience</t>
  </si>
  <si>
    <t>area331</t>
  </si>
  <si>
    <t>The Ruiner</t>
  </si>
  <si>
    <t>area332</t>
  </si>
  <si>
    <t>The White Aisle</t>
  </si>
  <si>
    <t>area333</t>
  </si>
  <si>
    <t>The Ala Mhigan Quarter</t>
  </si>
  <si>
    <t>Gylbarde's Gate</t>
  </si>
  <si>
    <t>area334</t>
  </si>
  <si>
    <t>The Fourth Royal Casern</t>
  </si>
  <si>
    <t>area335</t>
  </si>
  <si>
    <t>The Resonatorium</t>
  </si>
  <si>
    <t>area336</t>
  </si>
  <si>
    <t>The Queen's Gardens</t>
  </si>
  <si>
    <t>area337</t>
  </si>
  <si>
    <t>Abalathia's Skull</t>
  </si>
  <si>
    <t>The Third Royal Casern</t>
  </si>
  <si>
    <t>area338</t>
  </si>
  <si>
    <t>Cotter Tor</t>
  </si>
  <si>
    <t>area339</t>
  </si>
  <si>
    <t>Aenadem Ol</t>
  </si>
  <si>
    <t>area340</t>
  </si>
  <si>
    <t>Bloodhowe</t>
  </si>
  <si>
    <t>area341</t>
  </si>
  <si>
    <t>The Song of Kings</t>
  </si>
  <si>
    <t>area342</t>
  </si>
  <si>
    <t>The Tomb of King Manfred</t>
  </si>
  <si>
    <t>area343</t>
  </si>
  <si>
    <t>The Royal Hunting Grounds</t>
  </si>
  <si>
    <t>area344</t>
  </si>
  <si>
    <t>Hingashi</t>
  </si>
  <si>
    <t>Kugane</t>
  </si>
  <si>
    <t>kugane</t>
  </si>
  <si>
    <t>area345</t>
  </si>
  <si>
    <t>Shirogane</t>
  </si>
  <si>
    <t>shirogane</t>
  </si>
  <si>
    <t>area346</t>
  </si>
  <si>
    <t>Shirogane Subdivision</t>
  </si>
  <si>
    <t>area347</t>
  </si>
  <si>
    <t>Othard</t>
  </si>
  <si>
    <t>The Ruby Sea</t>
  </si>
  <si>
    <t>theRubySea</t>
  </si>
  <si>
    <t>Rasen Kaikyo</t>
  </si>
  <si>
    <t>The Ruby Price</t>
  </si>
  <si>
    <t>area348</t>
  </si>
  <si>
    <t>Barrier Isle</t>
  </si>
  <si>
    <t>area349</t>
  </si>
  <si>
    <t>Sakazuki</t>
  </si>
  <si>
    <t>area350</t>
  </si>
  <si>
    <t>area351</t>
  </si>
  <si>
    <t>The Crab Pots</t>
  </si>
  <si>
    <t>area352</t>
  </si>
  <si>
    <t>The Isle of Bekko</t>
  </si>
  <si>
    <t>area353</t>
  </si>
  <si>
    <t>Onokoro</t>
  </si>
  <si>
    <t>area354</t>
  </si>
  <si>
    <t>Crick</t>
  </si>
  <si>
    <t>area355</t>
  </si>
  <si>
    <t>Heaven-on-High</t>
  </si>
  <si>
    <t>area356</t>
  </si>
  <si>
    <t>Ten-thousand-year Pine</t>
  </si>
  <si>
    <t>area357</t>
  </si>
  <si>
    <t>Quickscape Pier</t>
  </si>
  <si>
    <t>area358</t>
  </si>
  <si>
    <t>Shoal Rock</t>
  </si>
  <si>
    <t>area359</t>
  </si>
  <si>
    <t>The Coral Banquet</t>
  </si>
  <si>
    <t>area364</t>
  </si>
  <si>
    <t>The Adventure</t>
  </si>
  <si>
    <t>area365</t>
  </si>
  <si>
    <t>The Isle of Zekki</t>
  </si>
  <si>
    <t>The Dive</t>
  </si>
  <si>
    <t>area366</t>
  </si>
  <si>
    <t>The Air of the Opulent</t>
  </si>
  <si>
    <t>area367</t>
  </si>
  <si>
    <t>The Turquoise Trench</t>
  </si>
  <si>
    <t>area368</t>
  </si>
  <si>
    <t>East Othard Coastline</t>
  </si>
  <si>
    <t>area369</t>
  </si>
  <si>
    <t>Isari</t>
  </si>
  <si>
    <t>area370</t>
  </si>
  <si>
    <t>yanxia</t>
  </si>
  <si>
    <t>The Gensui Chain</t>
  </si>
  <si>
    <t>The Drunken Toad</t>
  </si>
  <si>
    <t>area371</t>
  </si>
  <si>
    <t>Unseen Spirits Laughing</t>
  </si>
  <si>
    <t>area372</t>
  </si>
  <si>
    <t>The Heron's Flight</t>
  </si>
  <si>
    <t>area373</t>
  </si>
  <si>
    <t>Plum Spring</t>
  </si>
  <si>
    <t>area374</t>
  </si>
  <si>
    <t>The Glittering Basin</t>
  </si>
  <si>
    <t>Kusakari</t>
  </si>
  <si>
    <t>area375</t>
  </si>
  <si>
    <t>Eastern Ryurin Bridge</t>
  </si>
  <si>
    <t>area376</t>
  </si>
  <si>
    <t>Western Ryurin Bridge</t>
  </si>
  <si>
    <t>area377</t>
  </si>
  <si>
    <t>area378</t>
  </si>
  <si>
    <t>Yuzuka Manor</t>
  </si>
  <si>
    <t>area379</t>
  </si>
  <si>
    <t>area380</t>
  </si>
  <si>
    <t>The Dairyu Moon Gates</t>
  </si>
  <si>
    <t>area381</t>
  </si>
  <si>
    <t>Imperial Hypersonic Assault Craft L-XXIII</t>
  </si>
  <si>
    <t>area382</t>
  </si>
  <si>
    <t>Valley of the Fallen Rainbow</t>
  </si>
  <si>
    <t>Prism Lake</t>
  </si>
  <si>
    <t>area383</t>
  </si>
  <si>
    <t>The Ribbons</t>
  </si>
  <si>
    <t>area384</t>
  </si>
  <si>
    <t>Doma</t>
  </si>
  <si>
    <t>area385</t>
  </si>
  <si>
    <t>The Coattails</t>
  </si>
  <si>
    <t>area386</t>
  </si>
  <si>
    <t>Monzen</t>
  </si>
  <si>
    <t>area387</t>
  </si>
  <si>
    <t>Mercantile Docks</t>
  </si>
  <si>
    <t>area388</t>
  </si>
  <si>
    <t>The Dragon's Struggle</t>
  </si>
  <si>
    <t>area389</t>
  </si>
  <si>
    <t>The Doman Enclave</t>
  </si>
  <si>
    <t>area390</t>
  </si>
  <si>
    <t>The Azim Steppe</t>
  </si>
  <si>
    <t>theAzimSteppe</t>
  </si>
  <si>
    <t>The Sea of Blades</t>
  </si>
  <si>
    <t>Ragill's Reckoning</t>
  </si>
  <si>
    <t>area391</t>
  </si>
  <si>
    <t>Kahkol Iloh</t>
  </si>
  <si>
    <t>area392</t>
  </si>
  <si>
    <t>The Wound</t>
  </si>
  <si>
    <t>area393</t>
  </si>
  <si>
    <t>The Path of the Craven</t>
  </si>
  <si>
    <t>area394</t>
  </si>
  <si>
    <t>Azim Khaat</t>
  </si>
  <si>
    <t>The Bridge of High Rule Warrior</t>
  </si>
  <si>
    <t>area395</t>
  </si>
  <si>
    <t>Onsal Hakair</t>
  </si>
  <si>
    <t>The House of the Crooked Coin</t>
  </si>
  <si>
    <t>area396</t>
  </si>
  <si>
    <t>Moonrise</t>
  </si>
  <si>
    <t>area397</t>
  </si>
  <si>
    <t>Chakha Zoh</t>
  </si>
  <si>
    <t>area398</t>
  </si>
  <si>
    <t>Ceol Aen</t>
  </si>
  <si>
    <t>area399</t>
  </si>
  <si>
    <t>Bardam's Mettle</t>
  </si>
  <si>
    <t>area400</t>
  </si>
  <si>
    <t>The Towering Still</t>
  </si>
  <si>
    <t>The Uyagir Caves</t>
  </si>
  <si>
    <t>area401</t>
  </si>
  <si>
    <t>The Hundred-and-one Revelations</t>
  </si>
  <si>
    <t>area402</t>
  </si>
  <si>
    <t>Qerel Iloh</t>
  </si>
  <si>
    <t>area403</t>
  </si>
  <si>
    <t>Nhaama's Retreat</t>
  </si>
  <si>
    <t>The Dusk Throne</t>
  </si>
  <si>
    <t>area404</t>
  </si>
  <si>
    <t>Dotharl Khaa</t>
  </si>
  <si>
    <t>area405</t>
  </si>
  <si>
    <t>Norvrandt</t>
  </si>
  <si>
    <t>lakeland</t>
  </si>
  <si>
    <t>Weathering</t>
  </si>
  <si>
    <t>Northern Staging Point</t>
  </si>
  <si>
    <t>area406</t>
  </si>
  <si>
    <t>Inviolate Witness</t>
  </si>
  <si>
    <t>area407</t>
  </si>
  <si>
    <t>The Stay</t>
  </si>
  <si>
    <t>area408</t>
  </si>
  <si>
    <t>Clearmelt</t>
  </si>
  <si>
    <t>area409</t>
  </si>
  <si>
    <t>Hare Among Giants</t>
  </si>
  <si>
    <t>area410</t>
  </si>
  <si>
    <t>Watts's Anvil</t>
  </si>
  <si>
    <t>area411</t>
  </si>
  <si>
    <t>Laxan Loft</t>
  </si>
  <si>
    <t>The Hall of the Thrice Born</t>
  </si>
  <si>
    <t>area412</t>
  </si>
  <si>
    <t>The Hanging Tower</t>
  </si>
  <si>
    <t>area413</t>
  </si>
  <si>
    <t>The Forest of the Lost Shepherd</t>
  </si>
  <si>
    <t>Wolves of Shadow</t>
  </si>
  <si>
    <t>area414</t>
  </si>
  <si>
    <t>Radisca's Round</t>
  </si>
  <si>
    <t>area415</t>
  </si>
  <si>
    <t>The Hour of Certain Durance</t>
  </si>
  <si>
    <t>area416</t>
  </si>
  <si>
    <t>Mortal Irons</t>
  </si>
  <si>
    <t>area417</t>
  </si>
  <si>
    <t>Embrasure</t>
  </si>
  <si>
    <t>area418</t>
  </si>
  <si>
    <t>The Belt</t>
  </si>
  <si>
    <t>area419</t>
  </si>
  <si>
    <t>The Thirstless Shore</t>
  </si>
  <si>
    <t>Dampsole</t>
  </si>
  <si>
    <t>area420</t>
  </si>
  <si>
    <t>The Source</t>
  </si>
  <si>
    <t>The Isle of Ken</t>
  </si>
  <si>
    <t>area421</t>
  </si>
  <si>
    <t>The Exarch Gate</t>
  </si>
  <si>
    <t>The Bridges</t>
  </si>
  <si>
    <t>area422</t>
  </si>
  <si>
    <t>The Accensor Gate</t>
  </si>
  <si>
    <t>area423</t>
  </si>
  <si>
    <t>Fort Jobb</t>
  </si>
  <si>
    <t>The Church of the First Light</t>
  </si>
  <si>
    <t>area424</t>
  </si>
  <si>
    <t>Sullen</t>
  </si>
  <si>
    <t>Weed</t>
  </si>
  <si>
    <t>area425</t>
  </si>
  <si>
    <t>Brick</t>
  </si>
  <si>
    <t>area426</t>
  </si>
  <si>
    <t>Knot</t>
  </si>
  <si>
    <t>area427</t>
  </si>
  <si>
    <t>Lap</t>
  </si>
  <si>
    <t>area428</t>
  </si>
  <si>
    <t>The Chiliad</t>
  </si>
  <si>
    <t>area429</t>
  </si>
  <si>
    <t>kholusia</t>
  </si>
  <si>
    <t>The Bright Cliff</t>
  </si>
  <si>
    <t>Governor's Row</t>
  </si>
  <si>
    <t>area430</t>
  </si>
  <si>
    <t>Greely Sties</t>
  </si>
  <si>
    <t>area431</t>
  </si>
  <si>
    <t>Greely Bridge</t>
  </si>
  <si>
    <t>area432</t>
  </si>
  <si>
    <t>Southern Crossing</t>
  </si>
  <si>
    <t>area433</t>
  </si>
  <si>
    <t>Cracked Shell Beach</t>
  </si>
  <si>
    <t>area434</t>
  </si>
  <si>
    <t>The Chisel</t>
  </si>
  <si>
    <t>area435</t>
  </si>
  <si>
    <t>The Codger's Crook</t>
  </si>
  <si>
    <t>area436</t>
  </si>
  <si>
    <t>Open Arms</t>
  </si>
  <si>
    <t>area437</t>
  </si>
  <si>
    <t>The Clave</t>
  </si>
  <si>
    <t>area438</t>
  </si>
  <si>
    <t>The Whale's Breach</t>
  </si>
  <si>
    <t>Gatetown</t>
  </si>
  <si>
    <t>area439</t>
  </si>
  <si>
    <t>Stilltide</t>
  </si>
  <si>
    <t>The Leaky Keel</t>
  </si>
  <si>
    <t>area440</t>
  </si>
  <si>
    <t>The Duergar Mountains</t>
  </si>
  <si>
    <t>The Duergar's Tewel</t>
  </si>
  <si>
    <t>area441</t>
  </si>
  <si>
    <t>Dwarven Hollows</t>
  </si>
  <si>
    <t>area442</t>
  </si>
  <si>
    <t>Flue Bridge</t>
  </si>
  <si>
    <t>area443</t>
  </si>
  <si>
    <t>The Wet Whistle</t>
  </si>
  <si>
    <t>area444</t>
  </si>
  <si>
    <t>Komra</t>
  </si>
  <si>
    <t>area445</t>
  </si>
  <si>
    <t>Boiled Oil Bridge</t>
  </si>
  <si>
    <t>area446</t>
  </si>
  <si>
    <t>White Oil Falls</t>
  </si>
  <si>
    <t>area447</t>
  </si>
  <si>
    <t>Scree</t>
  </si>
  <si>
    <t>Pit 8</t>
  </si>
  <si>
    <t>area448</t>
  </si>
  <si>
    <t>Top Rung</t>
  </si>
  <si>
    <t>area449</t>
  </si>
  <si>
    <t>The Ladder</t>
  </si>
  <si>
    <t>area450</t>
  </si>
  <si>
    <t>Amity</t>
  </si>
  <si>
    <t>area451</t>
  </si>
  <si>
    <t>Tomra</t>
  </si>
  <si>
    <t>Longbeard Council</t>
  </si>
  <si>
    <t>area452</t>
  </si>
  <si>
    <t>Shadow Fault</t>
  </si>
  <si>
    <t>Bottom Rung</t>
  </si>
  <si>
    <t>area457</t>
  </si>
  <si>
    <t>The Split Hull</t>
  </si>
  <si>
    <t>area458</t>
  </si>
  <si>
    <t>Venmont Yards</t>
  </si>
  <si>
    <t>area459</t>
  </si>
  <si>
    <t>Seagazer</t>
  </si>
  <si>
    <t>area460</t>
  </si>
  <si>
    <t>The Lawns</t>
  </si>
  <si>
    <t>area461</t>
  </si>
  <si>
    <t>Slowroad</t>
  </si>
  <si>
    <t>area462</t>
  </si>
  <si>
    <t>Stonegazer</t>
  </si>
  <si>
    <t>area463</t>
  </si>
  <si>
    <t>Sharptongue Drip</t>
  </si>
  <si>
    <t>area464</t>
  </si>
  <si>
    <t>amhAraeng</t>
  </si>
  <si>
    <t>The Northern Hills of Amber</t>
  </si>
  <si>
    <t>Mount Biran Mines</t>
  </si>
  <si>
    <t>area465</t>
  </si>
  <si>
    <t>Garik</t>
  </si>
  <si>
    <t>area466</t>
  </si>
  <si>
    <t>The Central Hills of Amber</t>
  </si>
  <si>
    <t>The Dragging Tail</t>
  </si>
  <si>
    <t>area467</t>
  </si>
  <si>
    <t>Our Ladies' Hands</t>
  </si>
  <si>
    <t>area468</t>
  </si>
  <si>
    <t>Nuvy's Leavings</t>
  </si>
  <si>
    <t>area469</t>
  </si>
  <si>
    <t>Kelk</t>
  </si>
  <si>
    <t>area470</t>
  </si>
  <si>
    <t>Lift Station</t>
  </si>
  <si>
    <t>area471</t>
  </si>
  <si>
    <t>Our Ladies' Feet</t>
  </si>
  <si>
    <t>area472</t>
  </si>
  <si>
    <t>The Southern Hills of Amber</t>
  </si>
  <si>
    <t>Ladle</t>
  </si>
  <si>
    <t>area473</t>
  </si>
  <si>
    <t>Nabaath Areng</t>
  </si>
  <si>
    <t>The Pristine Palace of Amh Malik</t>
  </si>
  <si>
    <t>area474</t>
  </si>
  <si>
    <t>The Derrick</t>
  </si>
  <si>
    <t>area475</t>
  </si>
  <si>
    <t>area476</t>
  </si>
  <si>
    <t>The Nabaath Severance</t>
  </si>
  <si>
    <t>area477</t>
  </si>
  <si>
    <t>Mord Souq</t>
  </si>
  <si>
    <t>The Rack</t>
  </si>
  <si>
    <t>area478</t>
  </si>
  <si>
    <t>The Fields of Amber</t>
  </si>
  <si>
    <t>Samiel's Backbone</t>
  </si>
  <si>
    <t>area479</t>
  </si>
  <si>
    <t>Snitch</t>
  </si>
  <si>
    <t>area480</t>
  </si>
  <si>
    <t>Pitch</t>
  </si>
  <si>
    <t>area481</t>
  </si>
  <si>
    <t>Twitch</t>
  </si>
  <si>
    <t>area482</t>
  </si>
  <si>
    <t>The Inn at Journey's Head</t>
  </si>
  <si>
    <t>area483</t>
  </si>
  <si>
    <t>The Empty</t>
  </si>
  <si>
    <t>area484</t>
  </si>
  <si>
    <t>ilMheg</t>
  </si>
  <si>
    <t>Timh Gyeus</t>
  </si>
  <si>
    <t>Phisor Lran</t>
  </si>
  <si>
    <t>area485</t>
  </si>
  <si>
    <t>The March of the Marchioness</t>
  </si>
  <si>
    <t>area486</t>
  </si>
  <si>
    <t>Good Jenanna's Grace</t>
  </si>
  <si>
    <t>Handmirror Lake</t>
  </si>
  <si>
    <t>area487</t>
  </si>
  <si>
    <t>The Bookman's Shelves</t>
  </si>
  <si>
    <t>area488</t>
  </si>
  <si>
    <t>The Woolen Way</t>
  </si>
  <si>
    <t>area489</t>
  </si>
  <si>
    <t>Longmirror Lake</t>
  </si>
  <si>
    <t>Thysm Lran</t>
  </si>
  <si>
    <t>area490</t>
  </si>
  <si>
    <t>Deepwood Swim</t>
  </si>
  <si>
    <t>area491</t>
  </si>
  <si>
    <t>The House of the First Light</t>
  </si>
  <si>
    <t>area492</t>
  </si>
  <si>
    <t>Mithai Glorianda</t>
  </si>
  <si>
    <t>Lyhe Ghiah</t>
  </si>
  <si>
    <t>area493</t>
  </si>
  <si>
    <t>Old Earra Bridge</t>
  </si>
  <si>
    <t>area494</t>
  </si>
  <si>
    <t>The Silent Cliffs</t>
  </si>
  <si>
    <t>area495</t>
  </si>
  <si>
    <t>Voeburtenburg</t>
  </si>
  <si>
    <t>The Church at Dammroen Field</t>
  </si>
  <si>
    <t>area496</t>
  </si>
  <si>
    <t>Father Collard's Chambers</t>
  </si>
  <si>
    <t>area497</t>
  </si>
  <si>
    <t>Saint Fathric's Temple</t>
  </si>
  <si>
    <t>area498</t>
  </si>
  <si>
    <t>Anden's Airs</t>
  </si>
  <si>
    <t>area499</t>
  </si>
  <si>
    <t>Sextuplet Shallow</t>
  </si>
  <si>
    <t>area500</t>
  </si>
  <si>
    <t>The Rak'tika Greatwood</t>
  </si>
  <si>
    <t>theRaktikaGreatwood</t>
  </si>
  <si>
    <t>Slitherbough</t>
  </si>
  <si>
    <t>The Darker</t>
  </si>
  <si>
    <t>area501</t>
  </si>
  <si>
    <t>The Citia Swamps</t>
  </si>
  <si>
    <t>The Trip</t>
  </si>
  <si>
    <t>area502</t>
  </si>
  <si>
    <t>Fort Gohn</t>
  </si>
  <si>
    <t>area503</t>
  </si>
  <si>
    <t>The Deliberating Doll</t>
  </si>
  <si>
    <t>area504</t>
  </si>
  <si>
    <t>The Red Chalice</t>
  </si>
  <si>
    <t>area505</t>
  </si>
  <si>
    <t>Woven Oath</t>
  </si>
  <si>
    <t>area506</t>
  </si>
  <si>
    <t>Cleric</t>
  </si>
  <si>
    <t>area507</t>
  </si>
  <si>
    <t>Lozatl's Conquest</t>
  </si>
  <si>
    <t>area508</t>
  </si>
  <si>
    <t>The Womb</t>
  </si>
  <si>
    <t>area509</t>
  </si>
  <si>
    <t>Lake Tusi Mek'ta</t>
  </si>
  <si>
    <t>The Husk</t>
  </si>
  <si>
    <t>area510</t>
  </si>
  <si>
    <t>The Covered Halls of Dwatl</t>
  </si>
  <si>
    <t>area511</t>
  </si>
  <si>
    <t>Fruit of the Protector</t>
  </si>
  <si>
    <t>area512</t>
  </si>
  <si>
    <t>Fanow</t>
  </si>
  <si>
    <t>Sleepaway Common</t>
  </si>
  <si>
    <t>area513</t>
  </si>
  <si>
    <t>The Blind Forest of Yx'Maja</t>
  </si>
  <si>
    <t>Bowrest</t>
  </si>
  <si>
    <t>area514</t>
  </si>
  <si>
    <t>The Wild Fete</t>
  </si>
  <si>
    <t>area515</t>
  </si>
  <si>
    <t>Mjrl's Regret</t>
  </si>
  <si>
    <t>area516</t>
  </si>
  <si>
    <t>The K'mul Astropolis</t>
  </si>
  <si>
    <t>The Morning Stars</t>
  </si>
  <si>
    <t>area517</t>
  </si>
  <si>
    <t>Ox'Gatorl Mul</t>
  </si>
  <si>
    <t>area518</t>
  </si>
  <si>
    <t>Ox'Charl Mul</t>
  </si>
  <si>
    <t>area519</t>
  </si>
  <si>
    <t>Yx'Lokwa Mul</t>
  </si>
  <si>
    <t>area520</t>
  </si>
  <si>
    <t>Yx'Anpa Mul</t>
  </si>
  <si>
    <t>area521</t>
  </si>
  <si>
    <t>The Great Pyramid of Ux'ner</t>
  </si>
  <si>
    <t>area522</t>
  </si>
  <si>
    <t>The Confessional of Toupasa the Elder</t>
  </si>
  <si>
    <t>area523</t>
  </si>
  <si>
    <t>The Ox'Dalan Gap</t>
  </si>
  <si>
    <t>The Isle of Consorts</t>
  </si>
  <si>
    <t>area524</t>
  </si>
  <si>
    <t>The Isle of Bows</t>
  </si>
  <si>
    <t>area525</t>
  </si>
  <si>
    <t>The Isle of Sisters</t>
  </si>
  <si>
    <t>area526</t>
  </si>
  <si>
    <t>Hopl's Stopple</t>
  </si>
  <si>
    <t>area527</t>
  </si>
  <si>
    <t>theTempest</t>
  </si>
  <si>
    <t>The Norvrandt Slope</t>
  </si>
  <si>
    <t>Where the Dry Return</t>
  </si>
  <si>
    <t>area528</t>
  </si>
  <si>
    <t>Walls of the Forgotten</t>
  </si>
  <si>
    <t>area529</t>
  </si>
  <si>
    <t>The Founders' Floor</t>
  </si>
  <si>
    <t>area530</t>
  </si>
  <si>
    <t>The Crock of Pearls</t>
  </si>
  <si>
    <t>area531</t>
  </si>
  <si>
    <t>The Workbench</t>
  </si>
  <si>
    <t>area532</t>
  </si>
  <si>
    <t>The Ondo Cups</t>
  </si>
  <si>
    <t>area533</t>
  </si>
  <si>
    <t>The Caliban Gorge</t>
  </si>
  <si>
    <t>The Caliban Gap</t>
  </si>
  <si>
    <t>area534</t>
  </si>
  <si>
    <t>The Swallowed Spire</t>
  </si>
  <si>
    <t>area535</t>
  </si>
  <si>
    <t>Purpure</t>
  </si>
  <si>
    <t>area536</t>
  </si>
  <si>
    <t>The Trinculo Shelf</t>
  </si>
  <si>
    <t>area537</t>
  </si>
  <si>
    <t>Achora Heights</t>
  </si>
  <si>
    <t>area538</t>
  </si>
  <si>
    <t>Bureau of the Architect</t>
  </si>
  <si>
    <t>area539</t>
  </si>
  <si>
    <t>The Hall of Rhetoric</t>
  </si>
  <si>
    <t>area540</t>
  </si>
  <si>
    <t>The Polyleritae District</t>
  </si>
  <si>
    <t>area541</t>
  </si>
  <si>
    <t>Bureau of the Administrator</t>
  </si>
  <si>
    <t>area548</t>
  </si>
  <si>
    <t>The Northern Empty</t>
  </si>
  <si>
    <t>Old Sharlayan</t>
  </si>
  <si>
    <t>area549</t>
  </si>
  <si>
    <t>Labyrinthos</t>
  </si>
  <si>
    <t>The Outer Circuit</t>
  </si>
  <si>
    <t>The Path of Artifice</t>
  </si>
  <si>
    <t>area550</t>
  </si>
  <si>
    <t>The Phreatic Conduit</t>
  </si>
  <si>
    <t>area551</t>
  </si>
  <si>
    <t>Upper Acrinthos</t>
  </si>
  <si>
    <t>area552</t>
  </si>
  <si>
    <t>Hatching Canal</t>
  </si>
  <si>
    <t>area553</t>
  </si>
  <si>
    <t>The Aesthete's Tholos</t>
  </si>
  <si>
    <t>area554</t>
  </si>
  <si>
    <t>Passemerrant Pasturponics</t>
  </si>
  <si>
    <t>area555</t>
  </si>
  <si>
    <t>Troglophile's Deep</t>
  </si>
  <si>
    <t>area556</t>
  </si>
  <si>
    <t>The Medial Circuit</t>
  </si>
  <si>
    <t>Lower Acrinthos</t>
  </si>
  <si>
    <t>area557</t>
  </si>
  <si>
    <t>Mitato</t>
  </si>
  <si>
    <t>area558</t>
  </si>
  <si>
    <t>Pneuma</t>
  </si>
  <si>
    <t>area559</t>
  </si>
  <si>
    <t>Phoibos</t>
  </si>
  <si>
    <t>area560</t>
  </si>
  <si>
    <t>Psyche</t>
  </si>
  <si>
    <t>area561</t>
  </si>
  <si>
    <t>Meryall Agronomics</t>
  </si>
  <si>
    <t>area562</t>
  </si>
  <si>
    <t>The Thirty-third Facet</t>
  </si>
  <si>
    <t>area563</t>
  </si>
  <si>
    <t>Mornveil Forest</t>
  </si>
  <si>
    <t>Mistloom</t>
  </si>
  <si>
    <t>area564</t>
  </si>
  <si>
    <t>The Central Circuit</t>
  </si>
  <si>
    <t>Logistikon Alpha</t>
  </si>
  <si>
    <t>area565</t>
  </si>
  <si>
    <t>Logistikon Beta</t>
  </si>
  <si>
    <t>area566</t>
  </si>
  <si>
    <t>Logistikon Gamma</t>
  </si>
  <si>
    <t>area567</t>
  </si>
  <si>
    <t>Kokkol's Forge</t>
  </si>
  <si>
    <t>area568</t>
  </si>
  <si>
    <t>Thaumazein</t>
  </si>
  <si>
    <t>area569</t>
  </si>
  <si>
    <t>Sharlayan Hamlet</t>
  </si>
  <si>
    <t>area570</t>
  </si>
  <si>
    <t>Ilsabard</t>
  </si>
  <si>
    <t>Radz-at-Han</t>
  </si>
  <si>
    <t>area571</t>
  </si>
  <si>
    <t>The Shroud of the Samgha</t>
  </si>
  <si>
    <t>The Wakeful Torana</t>
  </si>
  <si>
    <t>area572</t>
  </si>
  <si>
    <t>The Burning Field</t>
  </si>
  <si>
    <t>area573</t>
  </si>
  <si>
    <t>Pavana's Remorse</t>
  </si>
  <si>
    <t>area574</t>
  </si>
  <si>
    <t>Agama Temple</t>
  </si>
  <si>
    <t>area575</t>
  </si>
  <si>
    <t>The Font of Maya</t>
  </si>
  <si>
    <t>area576</t>
  </si>
  <si>
    <t>Purusa</t>
  </si>
  <si>
    <t>area577</t>
  </si>
  <si>
    <t>The Perfumed Rise</t>
  </si>
  <si>
    <t>Giantsgall Grounds</t>
  </si>
  <si>
    <t>area578</t>
  </si>
  <si>
    <t>The Hamsa Hatchery</t>
  </si>
  <si>
    <t>area579</t>
  </si>
  <si>
    <t>Kadjaya's Footsteps</t>
  </si>
  <si>
    <t>area580</t>
  </si>
  <si>
    <t>Jnanamandapa</t>
  </si>
  <si>
    <t>area581</t>
  </si>
  <si>
    <t>The Great Work</t>
  </si>
  <si>
    <t>area582</t>
  </si>
  <si>
    <t>Saltwind's Welcome</t>
  </si>
  <si>
    <t>Akyaali</t>
  </si>
  <si>
    <t>area583</t>
  </si>
  <si>
    <t>Svarna</t>
  </si>
  <si>
    <t>area584</t>
  </si>
  <si>
    <t>Tebqeyiq</t>
  </si>
  <si>
    <t>area585</t>
  </si>
  <si>
    <t>Ussaqeyiq</t>
  </si>
  <si>
    <t>area586</t>
  </si>
  <si>
    <t>Yedlihmad</t>
  </si>
  <si>
    <t>area587</t>
  </si>
  <si>
    <t>Night's Watch</t>
  </si>
  <si>
    <t>area588</t>
  </si>
  <si>
    <t>Garlemald</t>
  </si>
  <si>
    <t>The Eblan Rime</t>
  </si>
  <si>
    <t>Horrea Campi</t>
  </si>
  <si>
    <t>area589</t>
  </si>
  <si>
    <t>Monitoring Station G</t>
  </si>
  <si>
    <t>area590</t>
  </si>
  <si>
    <t>Victors' Spoils</t>
  </si>
  <si>
    <t>area591</t>
  </si>
  <si>
    <t>Cerulea Ingens</t>
  </si>
  <si>
    <t>Juturna Platform G</t>
  </si>
  <si>
    <t>area592</t>
  </si>
  <si>
    <t>Tapper's Den</t>
  </si>
  <si>
    <t>area593</t>
  </si>
  <si>
    <t>Regio Domorum</t>
  </si>
  <si>
    <t>Liminal Station IV</t>
  </si>
  <si>
    <t>area594</t>
  </si>
  <si>
    <t>The Runaway Train</t>
  </si>
  <si>
    <t>area595</t>
  </si>
  <si>
    <t>Forum Patens</t>
  </si>
  <si>
    <t>area596</t>
  </si>
  <si>
    <t>The Enceladeum</t>
  </si>
  <si>
    <t>area597</t>
  </si>
  <si>
    <t>Regio Urbanissima</t>
  </si>
  <si>
    <t>Palatium Novum</t>
  </si>
  <si>
    <t>area598</t>
  </si>
  <si>
    <t>Forum Solius</t>
  </si>
  <si>
    <t>area599</t>
  </si>
  <si>
    <t>Senaculum Imperialis</t>
  </si>
  <si>
    <t>area600</t>
  </si>
  <si>
    <t>The Pipe</t>
  </si>
  <si>
    <t>area601</t>
  </si>
  <si>
    <t>Tertium</t>
  </si>
  <si>
    <t>area602</t>
  </si>
  <si>
    <t>Camp Broken Glass</t>
  </si>
  <si>
    <t>area603</t>
  </si>
  <si>
    <t>The Sea of Stars</t>
  </si>
  <si>
    <t>Mare Lamentorum</t>
  </si>
  <si>
    <t>Sinus Lacrimarum</t>
  </si>
  <si>
    <t>The Watcher's Palace</t>
  </si>
  <si>
    <t>area604</t>
  </si>
  <si>
    <t>Southern Mare Lamentorum</t>
  </si>
  <si>
    <t>The Drowning Brand</t>
  </si>
  <si>
    <t>area605</t>
  </si>
  <si>
    <t>The Numbing Brand</t>
  </si>
  <si>
    <t>area606</t>
  </si>
  <si>
    <t>The Crushing Brand</t>
  </si>
  <si>
    <t>area607</t>
  </si>
  <si>
    <t>The Chlorophosgrot</t>
  </si>
  <si>
    <t>area608</t>
  </si>
  <si>
    <t>Vallis Vulneris</t>
  </si>
  <si>
    <t>area609</t>
  </si>
  <si>
    <t>The Cradle of Darkness</t>
  </si>
  <si>
    <t>area610</t>
  </si>
  <si>
    <t>Sinus Tormenti</t>
  </si>
  <si>
    <t>Heimdall's Last Sight</t>
  </si>
  <si>
    <t>area611</t>
  </si>
  <si>
    <t>Northern Mare Lamentorum</t>
  </si>
  <si>
    <t>Kydonia Knolls</t>
  </si>
  <si>
    <t>area612</t>
  </si>
  <si>
    <t>The Biting Brand</t>
  </si>
  <si>
    <t>area613</t>
  </si>
  <si>
    <t>The Striking Brand</t>
  </si>
  <si>
    <t>area614</t>
  </si>
  <si>
    <t>Lovingway's Darlings</t>
  </si>
  <si>
    <t>area615</t>
  </si>
  <si>
    <t>The Searing Brand</t>
  </si>
  <si>
    <t>area616</t>
  </si>
  <si>
    <t>Bestways Burrow</t>
  </si>
  <si>
    <t>Hoper's Hold</t>
  </si>
  <si>
    <t>area617</t>
  </si>
  <si>
    <t>The Carrotorium</t>
  </si>
  <si>
    <t>area618</t>
  </si>
  <si>
    <t>Greatest Endsvale</t>
  </si>
  <si>
    <t>area619</t>
  </si>
  <si>
    <t>Ultima Thule</t>
  </si>
  <si>
    <t>Ostrakon Deka-okto</t>
  </si>
  <si>
    <t>The Ragnarok</t>
  </si>
  <si>
    <t>area620</t>
  </si>
  <si>
    <t>The Vitrified Fort</t>
  </si>
  <si>
    <t>area621</t>
  </si>
  <si>
    <t>Ahm Nohl</t>
  </si>
  <si>
    <t>area622</t>
  </si>
  <si>
    <t>Reah Tahra</t>
  </si>
  <si>
    <t>area623</t>
  </si>
  <si>
    <t>Ostrakon Tria</t>
  </si>
  <si>
    <t>The Wellspring of Regret</t>
  </si>
  <si>
    <t>area624</t>
  </si>
  <si>
    <t>Hollow of the Flesh</t>
  </si>
  <si>
    <t>area625</t>
  </si>
  <si>
    <t>Elegeia</t>
  </si>
  <si>
    <t>area626</t>
  </si>
  <si>
    <t>The Tube</t>
  </si>
  <si>
    <t>area627</t>
  </si>
  <si>
    <t>Ostrakon Deka-hexi</t>
  </si>
  <si>
    <t>The Lost Hydraulic</t>
  </si>
  <si>
    <t>area628</t>
  </si>
  <si>
    <t>The Tree of Life</t>
  </si>
  <si>
    <t>area629</t>
  </si>
  <si>
    <t>Empty Portal</t>
  </si>
  <si>
    <t>area630</t>
  </si>
  <si>
    <t>Clouded Portal</t>
  </si>
  <si>
    <t>area631</t>
  </si>
  <si>
    <t>Fallow Portal</t>
  </si>
  <si>
    <t>area632</t>
  </si>
  <si>
    <t>Stigma-1</t>
  </si>
  <si>
    <t>area633</t>
  </si>
  <si>
    <t>Unmemoried Portal</t>
  </si>
  <si>
    <t>area634</t>
  </si>
  <si>
    <t>A-4 Research</t>
  </si>
  <si>
    <t>area647</t>
  </si>
  <si>
    <t>The World Unsundered</t>
  </si>
  <si>
    <t>Elpis</t>
  </si>
  <si>
    <t>Kallimelios Zephyros</t>
  </si>
  <si>
    <t>Peripeteia Krystalline</t>
  </si>
  <si>
    <t>area648</t>
  </si>
  <si>
    <t>Northerly Zephyrneus</t>
  </si>
  <si>
    <t>area649</t>
  </si>
  <si>
    <t>Southerly Zephyrneus</t>
  </si>
  <si>
    <t>area650</t>
  </si>
  <si>
    <t>Metabaseos Thalassai</t>
  </si>
  <si>
    <t>area651</t>
  </si>
  <si>
    <t>Ethoseletikos Boreas</t>
  </si>
  <si>
    <t>Ktisis Hyperboreia</t>
  </si>
  <si>
    <t>area652</t>
  </si>
  <si>
    <t>Easterly Boreneus</t>
  </si>
  <si>
    <t>area653</t>
  </si>
  <si>
    <t>Southerly Boreneus</t>
  </si>
  <si>
    <t>area654</t>
  </si>
  <si>
    <t>Misopses Euros</t>
  </si>
  <si>
    <t>The Hungering Gardens</t>
  </si>
  <si>
    <t>area655</t>
  </si>
  <si>
    <t>Lethe</t>
  </si>
  <si>
    <t>area656</t>
  </si>
  <si>
    <t>Euroneus</t>
  </si>
  <si>
    <t>area657</t>
  </si>
  <si>
    <t>Yok Tural</t>
  </si>
  <si>
    <t>Tuliyollal</t>
  </si>
  <si>
    <t>area658</t>
  </si>
  <si>
    <t>Urqopacha</t>
  </si>
  <si>
    <t>Chabayuqeq</t>
  </si>
  <si>
    <t>Agave Jaws</t>
  </si>
  <si>
    <t>area659</t>
  </si>
  <si>
    <t>Povlu's Peddlery</t>
  </si>
  <si>
    <t>area660</t>
  </si>
  <si>
    <t>Icuvlo's Inn</t>
  </si>
  <si>
    <t>area661</t>
  </si>
  <si>
    <t>Panaqpelu Retreat</t>
  </si>
  <si>
    <t>area662</t>
  </si>
  <si>
    <t>Chabameki</t>
  </si>
  <si>
    <t>Miplu's Mate Garden</t>
  </si>
  <si>
    <t>area663</t>
  </si>
  <si>
    <t>Ciblu's Coffee Grounds</t>
  </si>
  <si>
    <t>area664</t>
  </si>
  <si>
    <t>Oruncanca</t>
  </si>
  <si>
    <t>area665</t>
  </si>
  <si>
    <t>Solace</t>
  </si>
  <si>
    <t>Shades of Grief</t>
  </si>
  <si>
    <t>area666</t>
  </si>
  <si>
    <t>Naryor Gorna</t>
  </si>
  <si>
    <t>area667</t>
  </si>
  <si>
    <t>Sorrow</t>
  </si>
  <si>
    <t>Sunken Stars</t>
  </si>
  <si>
    <t>area668</t>
  </si>
  <si>
    <t>Proof</t>
  </si>
  <si>
    <t>area669</t>
  </si>
  <si>
    <t>Chirwagur Saltern</t>
  </si>
  <si>
    <t>area670</t>
  </si>
  <si>
    <t>Chirwagur Lake</t>
  </si>
  <si>
    <t>area671</t>
  </si>
  <si>
    <t>Larh Tortoh</t>
  </si>
  <si>
    <t>Worqor Lar Dor</t>
  </si>
  <si>
    <t>area672</t>
  </si>
  <si>
    <t>Sentinel</t>
  </si>
  <si>
    <t>area673</t>
  </si>
  <si>
    <t>Indelible Passage</t>
  </si>
  <si>
    <t>area674</t>
  </si>
  <si>
    <t>Karvarhur the First</t>
  </si>
  <si>
    <t>area675</t>
  </si>
  <si>
    <t>Wachunpelo</t>
  </si>
  <si>
    <t>The Family Ranch</t>
  </si>
  <si>
    <t>area676</t>
  </si>
  <si>
    <t>Mezcal Distillery</t>
  </si>
  <si>
    <t>area677</t>
  </si>
  <si>
    <t>Delicate Designs</t>
  </si>
  <si>
    <t>area678</t>
  </si>
  <si>
    <t>Worlar's Echo</t>
  </si>
  <si>
    <t>Karryorzar the Gracious</t>
  </si>
  <si>
    <t>area679</t>
  </si>
  <si>
    <t>Ten Thousand Steps</t>
  </si>
  <si>
    <t>area680</t>
  </si>
  <si>
    <t>Kozama'uka</t>
  </si>
  <si>
    <t>Uyuyub'</t>
  </si>
  <si>
    <t>House of Winds High</t>
  </si>
  <si>
    <t>area681</t>
  </si>
  <si>
    <t>Bopo'uihih</t>
  </si>
  <si>
    <t>area682</t>
  </si>
  <si>
    <t>Xodune</t>
  </si>
  <si>
    <t>area683</t>
  </si>
  <si>
    <t>Cave Kikitola</t>
  </si>
  <si>
    <t>area684</t>
  </si>
  <si>
    <t>Xo'onu</t>
  </si>
  <si>
    <t>area685</t>
  </si>
  <si>
    <t>Xopik'</t>
  </si>
  <si>
    <t>area686</t>
  </si>
  <si>
    <t>Miyakabek'zu</t>
  </si>
  <si>
    <t>House of Waters High</t>
  </si>
  <si>
    <t>area687</t>
  </si>
  <si>
    <t>Ok'bek'be</t>
  </si>
  <si>
    <t>area688</t>
  </si>
  <si>
    <t>Fields of Gold</t>
  </si>
  <si>
    <t>area689</t>
  </si>
  <si>
    <t>Bridge Puyhu</t>
  </si>
  <si>
    <t>area690</t>
  </si>
  <si>
    <t>Breath Between</t>
  </si>
  <si>
    <t>area691</t>
  </si>
  <si>
    <t>Ku'uxage</t>
  </si>
  <si>
    <t>area692</t>
  </si>
  <si>
    <t>Uyuypoga</t>
  </si>
  <si>
    <t>Kozanuakiy</t>
  </si>
  <si>
    <t>area693</t>
  </si>
  <si>
    <t>Stride of the Sun</t>
  </si>
  <si>
    <t>area694</t>
  </si>
  <si>
    <t>Flight of We Wingless</t>
  </si>
  <si>
    <t>area695</t>
  </si>
  <si>
    <t>The Dewspun Bank</t>
  </si>
  <si>
    <t>Deceiver's Mantel</t>
  </si>
  <si>
    <t>area696</t>
  </si>
  <si>
    <t>Dock Tumu</t>
  </si>
  <si>
    <t>area697</t>
  </si>
  <si>
    <t>Miyakabek'zoma</t>
  </si>
  <si>
    <t>Marsh Ligaka</t>
  </si>
  <si>
    <t>area698</t>
  </si>
  <si>
    <t>The Glostfired Bank</t>
  </si>
  <si>
    <t>Ihuykatumu</t>
  </si>
  <si>
    <t>area699</t>
  </si>
  <si>
    <t>Shoals of No Return</t>
  </si>
  <si>
    <t>area700</t>
  </si>
  <si>
    <t>Cracked Cistern</t>
  </si>
  <si>
    <t>area701</t>
  </si>
  <si>
    <t>Earthenshire</t>
  </si>
  <si>
    <t>The Workpot</t>
  </si>
  <si>
    <t>area702</t>
  </si>
  <si>
    <t>Yak T'el</t>
  </si>
  <si>
    <t>The Ut'ohmu Horizon</t>
  </si>
  <si>
    <t>Xd'aa Talat Tsoly</t>
  </si>
  <si>
    <t>area703</t>
  </si>
  <si>
    <t>The Fanged Foundry</t>
  </si>
  <si>
    <t>area704</t>
  </si>
  <si>
    <t>Xmun Hojaw</t>
  </si>
  <si>
    <t>area705</t>
  </si>
  <si>
    <t>Nightstalker's Shadow</t>
  </si>
  <si>
    <t>area706</t>
  </si>
  <si>
    <t>Yak Awak Tsoly</t>
  </si>
  <si>
    <t>area707</t>
  </si>
  <si>
    <t>Dirigible Landing</t>
  </si>
  <si>
    <t>area708</t>
  </si>
  <si>
    <t>Iq Br'aax</t>
  </si>
  <si>
    <t>Garden of the Stars</t>
  </si>
  <si>
    <t>area709</t>
  </si>
  <si>
    <t>The Xobr'it Cinderfield</t>
  </si>
  <si>
    <t>Iq Rrax Tsoly</t>
  </si>
  <si>
    <t>area710</t>
  </si>
  <si>
    <t>Xobr'it Tsoly</t>
  </si>
  <si>
    <t>area711</t>
  </si>
  <si>
    <t>Village of Ilyon Asoh</t>
  </si>
  <si>
    <t>area712</t>
  </si>
  <si>
    <t>The Ty'iinbek Traverse</t>
  </si>
  <si>
    <t>area713</t>
  </si>
  <si>
    <t>Xty'iinbek Tsoly</t>
  </si>
  <si>
    <t>area714</t>
  </si>
  <si>
    <t>Mamook</t>
  </si>
  <si>
    <t>Sapsweet Cenote</t>
  </si>
  <si>
    <t>area715</t>
  </si>
  <si>
    <t>The Glory of Moxuk Reloonuk</t>
  </si>
  <si>
    <t>area716</t>
  </si>
  <si>
    <t>The Ja Tiika Heartland</t>
  </si>
  <si>
    <t>Blue-eyes' Abode</t>
  </si>
  <si>
    <t>area717</t>
  </si>
  <si>
    <t>Bitterbark Cenote</t>
  </si>
  <si>
    <t>area718</t>
  </si>
  <si>
    <t>Golmajiik Grove</t>
  </si>
  <si>
    <t>area719</t>
  </si>
  <si>
    <t>Tree of Living Light</t>
  </si>
  <si>
    <t>area720</t>
  </si>
  <si>
    <t>Cenote Neyozzote</t>
  </si>
  <si>
    <t>area721</t>
  </si>
  <si>
    <t>Choliselvaas</t>
  </si>
  <si>
    <t>area722</t>
  </si>
  <si>
    <t>Moxutural Zooj</t>
  </si>
  <si>
    <t>area723</t>
  </si>
  <si>
    <t>The Cerulean Cexudross</t>
  </si>
  <si>
    <t>Cenote Jayunja</t>
  </si>
  <si>
    <t>area724</t>
  </si>
  <si>
    <t>Whetstone</t>
  </si>
  <si>
    <t>area725</t>
  </si>
  <si>
    <t>Ankledeep</t>
  </si>
  <si>
    <t>area726</t>
  </si>
  <si>
    <t>Gok Draak Descent</t>
  </si>
  <si>
    <t>area727</t>
  </si>
  <si>
    <t>The Skydeep Cenote</t>
  </si>
  <si>
    <t>area728</t>
  </si>
  <si>
    <t>Skydeep Cenote Inner Chamber</t>
  </si>
  <si>
    <t>area729</t>
  </si>
  <si>
    <t>Xak Tural</t>
  </si>
  <si>
    <t>Solution Nine</t>
  </si>
  <si>
    <t>area742</t>
  </si>
  <si>
    <t>Shaaloani</t>
  </si>
  <si>
    <t>Pyariyoanaan Plain</t>
  </si>
  <si>
    <t>Sandnest</t>
  </si>
  <si>
    <t>area743</t>
  </si>
  <si>
    <t>Everkeep Ward</t>
  </si>
  <si>
    <t>Spire of Trial</t>
  </si>
  <si>
    <t>area744</t>
  </si>
  <si>
    <t>The Driftdowns</t>
  </si>
  <si>
    <t>area745</t>
  </si>
  <si>
    <t>Everkeep</t>
  </si>
  <si>
    <t>area746</t>
  </si>
  <si>
    <t>Tumbled Hearthrises</t>
  </si>
  <si>
    <t>area747</t>
  </si>
  <si>
    <t>Yyupye's Halo</t>
  </si>
  <si>
    <t>area748</t>
  </si>
  <si>
    <t>Earthen Sky</t>
  </si>
  <si>
    <t>area749</t>
  </si>
  <si>
    <t>Earthen Sky Hideout</t>
  </si>
  <si>
    <t>area750</t>
  </si>
  <si>
    <t>East Yyasulani</t>
  </si>
  <si>
    <t>Vanguard</t>
  </si>
  <si>
    <t>area751</t>
  </si>
  <si>
    <t>Tesh'pyani Village</t>
  </si>
  <si>
    <t>area752</t>
  </si>
  <si>
    <t>The Thunderyards</t>
  </si>
  <si>
    <t>area753</t>
  </si>
  <si>
    <t>Electric Potential</t>
  </si>
  <si>
    <t>area754</t>
  </si>
  <si>
    <t>Archeo Alexandria</t>
  </si>
  <si>
    <t>Cracking Chasm</t>
  </si>
  <si>
    <t>area755</t>
  </si>
  <si>
    <t>The Nameslates</t>
  </si>
  <si>
    <t>area756</t>
  </si>
  <si>
    <t>Submerged Skyline</t>
  </si>
  <si>
    <t>area757</t>
  </si>
  <si>
    <t>Unlost World</t>
  </si>
  <si>
    <t>Living Memory</t>
  </si>
  <si>
    <t>Gate of Remembrance</t>
  </si>
  <si>
    <t>Meso Terminal</t>
  </si>
  <si>
    <t>area758</t>
  </si>
  <si>
    <t>Canal Town</t>
  </si>
  <si>
    <t>The Promenade</t>
  </si>
  <si>
    <t>area759</t>
  </si>
  <si>
    <t>Font of Devotion</t>
  </si>
  <si>
    <t>area760</t>
  </si>
  <si>
    <t>The Immovable</t>
  </si>
  <si>
    <t>area761</t>
  </si>
  <si>
    <t>Daguerreo Medical Collection</t>
  </si>
  <si>
    <t>area762</t>
  </si>
  <si>
    <t>Hydro Terminal</t>
  </si>
  <si>
    <t>area763</t>
  </si>
  <si>
    <t>Yesterland</t>
  </si>
  <si>
    <t>Starglass</t>
  </si>
  <si>
    <t>area764</t>
  </si>
  <si>
    <t>Bergmahr-Ring</t>
  </si>
  <si>
    <t>area765</t>
  </si>
  <si>
    <t>Esperance Wheels</t>
  </si>
  <si>
    <t>area766</t>
  </si>
  <si>
    <t>Tower of Mu</t>
  </si>
  <si>
    <t>area767</t>
  </si>
  <si>
    <t>Air Cab Station</t>
  </si>
  <si>
    <t>area768</t>
  </si>
  <si>
    <t>Proto Alexandria</t>
  </si>
  <si>
    <t>area769</t>
  </si>
  <si>
    <t>Geo Terminal</t>
  </si>
  <si>
    <t>area770</t>
  </si>
  <si>
    <t>Asyle Volcane</t>
  </si>
  <si>
    <t>Opal Springs</t>
  </si>
  <si>
    <t>area771</t>
  </si>
  <si>
    <t>Heatwells</t>
  </si>
  <si>
    <t>area772</t>
  </si>
  <si>
    <t>Arena of Valor</t>
  </si>
  <si>
    <t>area773</t>
  </si>
  <si>
    <t>Steps of the Speaker</t>
  </si>
  <si>
    <t>area774</t>
  </si>
  <si>
    <t>Matchlock Menagerie</t>
  </si>
  <si>
    <t>area775</t>
  </si>
  <si>
    <t>Pyro Terminal</t>
  </si>
  <si>
    <t>area776</t>
  </si>
  <si>
    <t>Windspath Gardens</t>
  </si>
  <si>
    <t>Blooms of Discovery</t>
  </si>
  <si>
    <t>area777</t>
  </si>
  <si>
    <t>Cleyra Museum of Nature</t>
  </si>
  <si>
    <t>area778</t>
  </si>
  <si>
    <t>The Knowable</t>
  </si>
  <si>
    <t>start0</t>
  </si>
  <si>
    <t>end0</t>
  </si>
  <si>
    <t>start1</t>
  </si>
  <si>
    <t>end1</t>
  </si>
  <si>
    <t>start2</t>
  </si>
  <si>
    <t>end2</t>
  </si>
  <si>
    <t>timer1</t>
  </si>
  <si>
    <t>timer2</t>
  </si>
  <si>
    <t>timer3</t>
  </si>
  <si>
    <t>timer4</t>
  </si>
  <si>
    <t>timer5</t>
  </si>
  <si>
    <t>timer6</t>
  </si>
  <si>
    <t>timer7</t>
  </si>
  <si>
    <t>timer8</t>
  </si>
  <si>
    <t>timer9</t>
  </si>
  <si>
    <t>timer10</t>
  </si>
  <si>
    <t>timer11</t>
  </si>
  <si>
    <t>timer12</t>
  </si>
  <si>
    <t>timer13</t>
  </si>
  <si>
    <t>timer14</t>
  </si>
  <si>
    <t>timer15</t>
  </si>
  <si>
    <t>timer16</t>
  </si>
  <si>
    <t>timer17</t>
  </si>
  <si>
    <t>timer18</t>
  </si>
  <si>
    <t>timer19</t>
  </si>
  <si>
    <t>timer20</t>
  </si>
  <si>
    <t>timer21</t>
  </si>
  <si>
    <t>timer22</t>
  </si>
  <si>
    <t>timer23</t>
  </si>
  <si>
    <t>timer24</t>
  </si>
  <si>
    <t>timer25</t>
  </si>
  <si>
    <t>timer26</t>
  </si>
  <si>
    <t>timer27</t>
  </si>
  <si>
    <t>timer28</t>
  </si>
  <si>
    <t>timer29</t>
  </si>
  <si>
    <t>timer30</t>
  </si>
  <si>
    <t>timer31</t>
  </si>
  <si>
    <t>timer32</t>
  </si>
  <si>
    <t>timer33</t>
  </si>
  <si>
    <t>timer34</t>
  </si>
  <si>
    <t>timer35</t>
  </si>
  <si>
    <t>timer36</t>
  </si>
  <si>
    <t>transx</t>
  </si>
  <si>
    <t>transy</t>
  </si>
  <si>
    <t>node_code</t>
  </si>
  <si>
    <t>unlock</t>
  </si>
  <si>
    <t>aeth0</t>
  </si>
  <si>
    <t>aeth1</t>
  </si>
  <si>
    <t>aeth2</t>
  </si>
  <si>
    <t>aeth3</t>
  </si>
  <si>
    <t>aeth4</t>
  </si>
  <si>
    <t>Bridge Over Frozen Water</t>
  </si>
  <si>
    <t>Disclosure</t>
  </si>
  <si>
    <t>aeth5</t>
  </si>
  <si>
    <t>For All the Nights to Come</t>
  </si>
  <si>
    <t>Sounding Out the Amphitheatre</t>
  </si>
  <si>
    <t>aeth6</t>
  </si>
  <si>
    <t>Baby Steps</t>
  </si>
  <si>
    <t>aeth7</t>
  </si>
  <si>
    <t>Protecting What's Important</t>
  </si>
  <si>
    <t>Camp of the Convictors</t>
  </si>
  <si>
    <t>aeth8</t>
  </si>
  <si>
    <t>Purple Flame, Purple Flame</t>
  </si>
  <si>
    <t>aeth9</t>
  </si>
  <si>
    <t>aeth10</t>
  </si>
  <si>
    <t>aeth11</t>
  </si>
  <si>
    <t>aeth12</t>
  </si>
  <si>
    <t>aeth13</t>
  </si>
  <si>
    <t>Some Bad News</t>
  </si>
  <si>
    <t>Where the Chocobos Roam</t>
  </si>
  <si>
    <t>aeth14</t>
  </si>
  <si>
    <t>Stolen Munitions</t>
  </si>
  <si>
    <t>The Nonmind</t>
  </si>
  <si>
    <t>aeth15</t>
  </si>
  <si>
    <t>A Lesson in Humility</t>
  </si>
  <si>
    <t>A Gnathic Deity</t>
  </si>
  <si>
    <t>aeth16</t>
  </si>
  <si>
    <t>The Hunter Becomes the Kweh</t>
  </si>
  <si>
    <t>aeth17</t>
  </si>
  <si>
    <t>Mourn in Passing</t>
  </si>
  <si>
    <t>aeth18</t>
  </si>
  <si>
    <t>aeth19</t>
  </si>
  <si>
    <t>aeth20</t>
  </si>
  <si>
    <t>aeth21</t>
  </si>
  <si>
    <t>aeth22</t>
  </si>
  <si>
    <t>Clipped Wings</t>
  </si>
  <si>
    <t>aeth23</t>
  </si>
  <si>
    <t>Honoring the Past</t>
  </si>
  <si>
    <t>He Who Would Not Be Denied</t>
  </si>
  <si>
    <t>aeth24</t>
  </si>
  <si>
    <t>Sleepless in Ok' Zundu</t>
  </si>
  <si>
    <t>Black and the White</t>
  </si>
  <si>
    <t>aeth25</t>
  </si>
  <si>
    <t>Flying the Nest</t>
  </si>
  <si>
    <t>aeth26</t>
  </si>
  <si>
    <t>Bolt, Chain, and Island</t>
  </si>
  <si>
    <t>aeth27</t>
  </si>
  <si>
    <t>aeth28</t>
  </si>
  <si>
    <t>aeth29</t>
  </si>
  <si>
    <t>aeth30</t>
  </si>
  <si>
    <t>aeth31</t>
  </si>
  <si>
    <t>The Bathing Bully</t>
  </si>
  <si>
    <t>Moghan's Trial</t>
  </si>
  <si>
    <t>aeth32</t>
  </si>
  <si>
    <t>Waiting to Inhale</t>
  </si>
  <si>
    <t>Heart of Ice</t>
  </si>
  <si>
    <t>aeth33</t>
  </si>
  <si>
    <t>Road Kill</t>
  </si>
  <si>
    <t>Leaving Moghome</t>
  </si>
  <si>
    <t>aeth34</t>
  </si>
  <si>
    <t>Hide Your Moogles</t>
  </si>
  <si>
    <t>The Wyrm's Lair</t>
  </si>
  <si>
    <t>aeth35</t>
  </si>
  <si>
    <t>Into the Aery</t>
  </si>
  <si>
    <t>aeth36</t>
  </si>
  <si>
    <t>aeth37</t>
  </si>
  <si>
    <t>aeth38</t>
  </si>
  <si>
    <t>aeth39</t>
  </si>
  <si>
    <t>aeth40</t>
  </si>
  <si>
    <t>Louder than Words</t>
  </si>
  <si>
    <t>A Great New Nation</t>
  </si>
  <si>
    <t>aeth41</t>
  </si>
  <si>
    <t>aeth76</t>
  </si>
  <si>
    <t>Ebb and Aetherflow</t>
  </si>
  <si>
    <t>An Illuminati Incident</t>
  </si>
  <si>
    <t>aeth42</t>
  </si>
  <si>
    <t>aeth56</t>
  </si>
  <si>
    <t>Leaving Idyllshire</t>
  </si>
  <si>
    <t>aeth43</t>
  </si>
  <si>
    <t>aeth66</t>
  </si>
  <si>
    <t>aeth44</t>
  </si>
  <si>
    <t>aeth45</t>
  </si>
  <si>
    <t>Systematic Exploration</t>
  </si>
  <si>
    <t>aeth46</t>
  </si>
  <si>
    <t>In Node We Trust</t>
  </si>
  <si>
    <t>aeth47</t>
  </si>
  <si>
    <t>Chimerical Maintenance</t>
  </si>
  <si>
    <t>aeth48</t>
  </si>
  <si>
    <t>Close Encounters of the VIth Kind</t>
  </si>
  <si>
    <t>aeth49</t>
  </si>
  <si>
    <t>Fetters of Lament</t>
  </si>
  <si>
    <t>aeth50</t>
  </si>
  <si>
    <t>aeth51</t>
  </si>
  <si>
    <t>aeth52</t>
  </si>
  <si>
    <t>aeth53</t>
  </si>
  <si>
    <t>aeth54</t>
  </si>
  <si>
    <t>Saint Sayer</t>
  </si>
  <si>
    <t>The Fires Fade</t>
  </si>
  <si>
    <t>aeth55</t>
  </si>
  <si>
    <t>A Hunger for Trade</t>
  </si>
  <si>
    <t>Where Courage Endures</t>
  </si>
  <si>
    <t>Out of Sight</t>
  </si>
  <si>
    <t>The Path Forward</t>
  </si>
  <si>
    <t>aeth57</t>
  </si>
  <si>
    <t>Closing Up Shop</t>
  </si>
  <si>
    <t>Raubahn's Invitation</t>
  </si>
  <si>
    <t>aeth58</t>
  </si>
  <si>
    <t>Liberty or Death</t>
  </si>
  <si>
    <t>aeth59</t>
  </si>
  <si>
    <t>aeth60</t>
  </si>
  <si>
    <t>aeth61</t>
  </si>
  <si>
    <t>aeth62</t>
  </si>
  <si>
    <t>aeth63</t>
  </si>
  <si>
    <t>Magiteknical Failure</t>
  </si>
  <si>
    <t>Signed, Sealed, to Be Delivered</t>
  </si>
  <si>
    <t>aeth64</t>
  </si>
  <si>
    <t>The Hidden Truth</t>
  </si>
  <si>
    <t>Divide and Conquer</t>
  </si>
  <si>
    <t>aeth65</t>
  </si>
  <si>
    <t>Eyes Bigger Than Her Stomach</t>
  </si>
  <si>
    <t>Rising Fortunes, Rising Spirits</t>
  </si>
  <si>
    <t>Unexpected Guests</t>
  </si>
  <si>
    <t>The Lure of the Dream</t>
  </si>
  <si>
    <t>aeth67</t>
  </si>
  <si>
    <t>The Silence of the Gods</t>
  </si>
  <si>
    <t>aeth68</t>
  </si>
  <si>
    <t>aeth69</t>
  </si>
  <si>
    <t>aeth70</t>
  </si>
  <si>
    <t>aeth71</t>
  </si>
  <si>
    <t>aeth72</t>
  </si>
  <si>
    <t>Are They Ill-Tempered</t>
  </si>
  <si>
    <t>The Legacy of Our Fathers</t>
  </si>
  <si>
    <t>aeth73</t>
  </si>
  <si>
    <t>If I Were a Fish</t>
  </si>
  <si>
    <t>aeth74</t>
  </si>
  <si>
    <t>A Rite to Rest</t>
  </si>
  <si>
    <t>Upon the Great Loch's Shore</t>
  </si>
  <si>
    <t>aeth75</t>
  </si>
  <si>
    <t>It's a Zu Out There</t>
  </si>
  <si>
    <t>aeth77</t>
  </si>
  <si>
    <t>aeth78</t>
  </si>
  <si>
    <t>aeth79</t>
  </si>
  <si>
    <t>aeth80</t>
  </si>
  <si>
    <t>aeth81</t>
  </si>
  <si>
    <t>The Price of Betrayal</t>
  </si>
  <si>
    <t>Boys with Boats</t>
  </si>
  <si>
    <t>aeth82</t>
  </si>
  <si>
    <t>Pulling Double Booty</t>
  </si>
  <si>
    <t>Alisaie's Stones</t>
  </si>
  <si>
    <t>aeth83</t>
  </si>
  <si>
    <t>The Sword in the Stone</t>
  </si>
  <si>
    <t>Of Kojin and Kami</t>
  </si>
  <si>
    <t>aeth84</t>
  </si>
  <si>
    <t>The Palace of Lost Souls</t>
  </si>
  <si>
    <t>Forever and Ever Apart</t>
  </si>
  <si>
    <t>aeth85</t>
  </si>
  <si>
    <t>Tide Goes in, Imperials Go Out</t>
  </si>
  <si>
    <t>aeth86</t>
  </si>
  <si>
    <t>aeth87</t>
  </si>
  <si>
    <t>aeth88</t>
  </si>
  <si>
    <t>aeth89</t>
  </si>
  <si>
    <t>aeth90</t>
  </si>
  <si>
    <t>Mauci of the Seven Worries</t>
  </si>
  <si>
    <t>The Undying Ones</t>
  </si>
  <si>
    <t>aeth91</t>
  </si>
  <si>
    <t>Forty Years and Counting</t>
  </si>
  <si>
    <t>For Love of the Moon</t>
  </si>
  <si>
    <t>aeth92</t>
  </si>
  <si>
    <t>Sheep Snatcher</t>
  </si>
  <si>
    <t>The Heart of Nations</t>
  </si>
  <si>
    <t>aeth93</t>
  </si>
  <si>
    <t>Words Are Very Unnecessary</t>
  </si>
  <si>
    <t>A Season for War</t>
  </si>
  <si>
    <t>aeth94</t>
  </si>
  <si>
    <t>Glory to the Khagan</t>
  </si>
  <si>
    <t>aeth95</t>
  </si>
  <si>
    <t>aeth96</t>
  </si>
  <si>
    <t>aeth97</t>
  </si>
  <si>
    <t>aeth98</t>
  </si>
  <si>
    <t>aeth99</t>
  </si>
  <si>
    <t>Wolves and Weeds</t>
  </si>
  <si>
    <t>The Ones We Leave Behind</t>
  </si>
  <si>
    <t>aeth100</t>
  </si>
  <si>
    <t>Whacking Day</t>
  </si>
  <si>
    <t>aeth101</t>
  </si>
  <si>
    <t>Fly, My Pretties</t>
  </si>
  <si>
    <t>The Stubborn Remainder</t>
  </si>
  <si>
    <t>aeth102</t>
  </si>
  <si>
    <t>Something Smells</t>
  </si>
  <si>
    <t>aeth103</t>
  </si>
  <si>
    <t>All the Little Angels</t>
  </si>
  <si>
    <t>aeth104</t>
  </si>
  <si>
    <t>aeth105</t>
  </si>
  <si>
    <t>aeth106</t>
  </si>
  <si>
    <t>aeth107</t>
  </si>
  <si>
    <t>aeth108</t>
  </si>
  <si>
    <t>An Unreasonable Request</t>
  </si>
  <si>
    <t>Logistics of War</t>
  </si>
  <si>
    <t>aeth109</t>
  </si>
  <si>
    <t>The Astute Amaro</t>
  </si>
  <si>
    <t>aeth110</t>
  </si>
  <si>
    <t>Imperative Repairs</t>
  </si>
  <si>
    <t>aeth111</t>
  </si>
  <si>
    <t>A Jobb Well Done</t>
  </si>
  <si>
    <t>Warrior of Darkness</t>
  </si>
  <si>
    <t>aeth112</t>
  </si>
  <si>
    <t>aeth113</t>
  </si>
  <si>
    <t>aeth114</t>
  </si>
  <si>
    <t>aeth115</t>
  </si>
  <si>
    <t>aeth116</t>
  </si>
  <si>
    <t>aeth117</t>
  </si>
  <si>
    <t>A Vein Pursuit</t>
  </si>
  <si>
    <t>A Dirty Job</t>
  </si>
  <si>
    <t>aeth118</t>
  </si>
  <si>
    <t>Scavengers Assemble</t>
  </si>
  <si>
    <t>On Track</t>
  </si>
  <si>
    <t>aeth119</t>
  </si>
  <si>
    <t>Charmless Man</t>
  </si>
  <si>
    <t>The Truth Hurts</t>
  </si>
  <si>
    <t>aeth120</t>
  </si>
  <si>
    <t>Work to Live or Live to Work</t>
  </si>
  <si>
    <t>Working Off the Meal</t>
  </si>
  <si>
    <t>aeth121</t>
  </si>
  <si>
    <t>A Fresh Start</t>
  </si>
  <si>
    <t>aeth122</t>
  </si>
  <si>
    <t>aeth123</t>
  </si>
  <si>
    <t>aeth124</t>
  </si>
  <si>
    <t>aeth125</t>
  </si>
  <si>
    <t>aeth126</t>
  </si>
  <si>
    <t>The Forbidden Lran</t>
  </si>
  <si>
    <t>Il Mheg, the Faerie Kingdom</t>
  </si>
  <si>
    <t>aeth127</t>
  </si>
  <si>
    <t>Delightful Decorations</t>
  </si>
  <si>
    <t>Unto the Truth</t>
  </si>
  <si>
    <t>aeth128</t>
  </si>
  <si>
    <t>The Path to Popularity</t>
  </si>
  <si>
    <t>Courting Cooperation</t>
  </si>
  <si>
    <t>aeth129</t>
  </si>
  <si>
    <t>A New Amaro</t>
  </si>
  <si>
    <t>A Resounding Roar</t>
  </si>
  <si>
    <t>aeth130</t>
  </si>
  <si>
    <t>Acht-la Ormh Inn</t>
  </si>
  <si>
    <t>aeth131</t>
  </si>
  <si>
    <t>aeth132</t>
  </si>
  <si>
    <t>aeth133</t>
  </si>
  <si>
    <t>aeth134</t>
  </si>
  <si>
    <t>aeth135</t>
  </si>
  <si>
    <t>A Plankless Task</t>
  </si>
  <si>
    <t>A Flickle Existence</t>
  </si>
  <si>
    <t>aeth136</t>
  </si>
  <si>
    <t>Village of Woe</t>
  </si>
  <si>
    <t>aeth137</t>
  </si>
  <si>
    <t>A Disagreeable Dwarf</t>
  </si>
  <si>
    <t>Meet the Tholls</t>
  </si>
  <si>
    <t>aeth138</t>
  </si>
  <si>
    <t>Fugitive of Fear</t>
  </si>
  <si>
    <t>Rich Veins of Hope</t>
  </si>
  <si>
    <t>aeth139</t>
  </si>
  <si>
    <t>Extinguishing the Last Light</t>
  </si>
  <si>
    <t>aeth140</t>
  </si>
  <si>
    <t>aeth141</t>
  </si>
  <si>
    <t>aeth142</t>
  </si>
  <si>
    <t>aeth143</t>
  </si>
  <si>
    <t>aeth144</t>
  </si>
  <si>
    <t>What We Do for Family</t>
  </si>
  <si>
    <t>A Day in the Neighborhood</t>
  </si>
  <si>
    <t>aeth145</t>
  </si>
  <si>
    <t>The Great Deceiver</t>
  </si>
  <si>
    <t>An Unwanted Proposal</t>
  </si>
  <si>
    <t>aeth146</t>
  </si>
  <si>
    <t>Suit Up</t>
  </si>
  <si>
    <t>Top of the Tree</t>
  </si>
  <si>
    <t>aeth147</t>
  </si>
  <si>
    <t>Stand on Ceremony</t>
  </si>
  <si>
    <t>In Good Faith</t>
  </si>
  <si>
    <t>aeth148</t>
  </si>
  <si>
    <t>The Burden of Knowledge</t>
  </si>
  <si>
    <t>aeth149</t>
  </si>
  <si>
    <t>aeth150</t>
  </si>
  <si>
    <t>aeth151</t>
  </si>
  <si>
    <t>aeth152</t>
  </si>
  <si>
    <t>aeth153</t>
  </si>
  <si>
    <t>Koal of the Cups</t>
  </si>
  <si>
    <t>Waiting in the Depths</t>
  </si>
  <si>
    <t>aeth154</t>
  </si>
  <si>
    <t>Community Cohesion</t>
  </si>
  <si>
    <t>The End of a World</t>
  </si>
  <si>
    <t>aeth155</t>
  </si>
  <si>
    <t>Debate and Discourse</t>
  </si>
  <si>
    <t>aeth156</t>
  </si>
  <si>
    <t>Responsible Creation</t>
  </si>
  <si>
    <t>aeth157</t>
  </si>
  <si>
    <t>A Greater Purpose</t>
  </si>
  <si>
    <t>aeth158</t>
  </si>
  <si>
    <t>aeth159</t>
  </si>
  <si>
    <t>aeth160</t>
  </si>
  <si>
    <t>aeth161</t>
  </si>
  <si>
    <t>aeth168</t>
  </si>
  <si>
    <t>Lost Little Troll</t>
  </si>
  <si>
    <t>The Full Report, Warts and All</t>
  </si>
  <si>
    <t>aeth169</t>
  </si>
  <si>
    <t>Let the Good Times Troll</t>
  </si>
  <si>
    <t>No Job Too Small</t>
  </si>
  <si>
    <t>aeth170</t>
  </si>
  <si>
    <t>The Lad in Labyrinthos</t>
  </si>
  <si>
    <t>Hither and Yarns</t>
  </si>
  <si>
    <t>aeth171</t>
  </si>
  <si>
    <t>Gleaner's Wish</t>
  </si>
  <si>
    <t>aeth172</t>
  </si>
  <si>
    <t>Bonds of Adamant(ite)</t>
  </si>
  <si>
    <t>aeth173</t>
  </si>
  <si>
    <t>aeth174</t>
  </si>
  <si>
    <t>aeth175</t>
  </si>
  <si>
    <t>aeth176</t>
  </si>
  <si>
    <t>aeth183</t>
  </si>
  <si>
    <t>Steppe Child</t>
  </si>
  <si>
    <t>A Fisherman's Friend</t>
  </si>
  <si>
    <t>aeth184</t>
  </si>
  <si>
    <t>Alchemist or Dancer</t>
  </si>
  <si>
    <t>Shadowed Footsteps</t>
  </si>
  <si>
    <t>aeth185</t>
  </si>
  <si>
    <t>Radiant Patrol</t>
  </si>
  <si>
    <t>Simple Pleasures</t>
  </si>
  <si>
    <t>aeth186</t>
  </si>
  <si>
    <t>In Agama's Footsteps</t>
  </si>
  <si>
    <t>aeth187</t>
  </si>
  <si>
    <t>aeth188</t>
  </si>
  <si>
    <t>aeth189</t>
  </si>
  <si>
    <t>aeth190</t>
  </si>
  <si>
    <t>aeth191</t>
  </si>
  <si>
    <t>aeth198</t>
  </si>
  <si>
    <t>In Pursuit of Power</t>
  </si>
  <si>
    <t>Strange Bedfellows</t>
  </si>
  <si>
    <t>aeth199</t>
  </si>
  <si>
    <t>Children Are Our Future</t>
  </si>
  <si>
    <t>aeth200</t>
  </si>
  <si>
    <t>Best Delivered Cold</t>
  </si>
  <si>
    <t>In from the Cold</t>
  </si>
  <si>
    <t>aeth201</t>
  </si>
  <si>
    <t>Stranded at the Station</t>
  </si>
  <si>
    <t>aeth202</t>
  </si>
  <si>
    <t>Gateway of the Gods</t>
  </si>
  <si>
    <t>aeth203</t>
  </si>
  <si>
    <t>aeth204</t>
  </si>
  <si>
    <t>aeth205</t>
  </si>
  <si>
    <t>aeth206</t>
  </si>
  <si>
    <t>aeth213</t>
  </si>
  <si>
    <t>True Carrot Crimes</t>
  </si>
  <si>
    <t>Styled a Hero</t>
  </si>
  <si>
    <t>aeth214</t>
  </si>
  <si>
    <t>Carrots: It's What's for Dinner</t>
  </si>
  <si>
    <t>aeth215</t>
  </si>
  <si>
    <t>Alluring Allag</t>
  </si>
  <si>
    <t>Setting Things Straight</t>
  </si>
  <si>
    <t>aeth216</t>
  </si>
  <si>
    <t>Name That Way</t>
  </si>
  <si>
    <t>aeth217</t>
  </si>
  <si>
    <t>Heart of the Matter</t>
  </si>
  <si>
    <t>aeth218</t>
  </si>
  <si>
    <t>aeth219</t>
  </si>
  <si>
    <t>aeth220</t>
  </si>
  <si>
    <t>aeth221</t>
  </si>
  <si>
    <t>aeth228</t>
  </si>
  <si>
    <t>Touring Anagnorisis, Part I</t>
  </si>
  <si>
    <t>Their Greatest Contribution</t>
  </si>
  <si>
    <t>aeth229</t>
  </si>
  <si>
    <t>You and the Ailouros</t>
  </si>
  <si>
    <t>A Sentimental Gift</t>
  </si>
  <si>
    <t>aeth230</t>
  </si>
  <si>
    <t>The Perks of Being a Lost Flower</t>
  </si>
  <si>
    <t>A Flower upon Your Return</t>
  </si>
  <si>
    <t>aeth231</t>
  </si>
  <si>
    <t>An Expected Guest</t>
  </si>
  <si>
    <t>aeth232</t>
  </si>
  <si>
    <t>Caging the Messenger</t>
  </si>
  <si>
    <t>aeth233</t>
  </si>
  <si>
    <t>aeth234</t>
  </si>
  <si>
    <t>aeth235</t>
  </si>
  <si>
    <t>aeth236</t>
  </si>
  <si>
    <t>aeth243</t>
  </si>
  <si>
    <t>A Most Stimulating Discussion</t>
  </si>
  <si>
    <t>specialappend1</t>
  </si>
  <si>
    <t>aeth244</t>
  </si>
  <si>
    <t>Ending as One</t>
  </si>
  <si>
    <t>aeth245</t>
  </si>
  <si>
    <t>Combat Evolved</t>
  </si>
  <si>
    <t>specialappend2</t>
  </si>
  <si>
    <t>aeth246</t>
  </si>
  <si>
    <t>Learn to Love</t>
  </si>
  <si>
    <t>aeth247</t>
  </si>
  <si>
    <t>You're Not Alone</t>
  </si>
  <si>
    <t>aeth248</t>
  </si>
  <si>
    <t>aeth249</t>
  </si>
  <si>
    <t>aeth250</t>
  </si>
  <si>
    <t>aeth251</t>
  </si>
  <si>
    <t>aeth252</t>
  </si>
  <si>
    <t>aeth253</t>
  </si>
  <si>
    <t>aeth254</t>
  </si>
  <si>
    <t>aeth255</t>
  </si>
  <si>
    <t>aeth256</t>
  </si>
  <si>
    <t>aeth257</t>
  </si>
  <si>
    <t>aeth258</t>
  </si>
  <si>
    <t>A Crisis of Corruption</t>
  </si>
  <si>
    <t>Knowing the Pelupelu</t>
  </si>
  <si>
    <t>aeth259</t>
  </si>
  <si>
    <t>A Traveler to the Rescue</t>
  </si>
  <si>
    <t>aeth260</t>
  </si>
  <si>
    <t>The Feat of Ice</t>
  </si>
  <si>
    <t>aeth261</t>
  </si>
  <si>
    <t>The Flame Burns No More</t>
  </si>
  <si>
    <t>aeth262</t>
  </si>
  <si>
    <t>An Illuminating Ritual</t>
  </si>
  <si>
    <t>aeth263</t>
  </si>
  <si>
    <t>aeth264</t>
  </si>
  <si>
    <t>aeth265</t>
  </si>
  <si>
    <t>aeth266</t>
  </si>
  <si>
    <t>aeth267</t>
  </si>
  <si>
    <t>aeth268</t>
  </si>
  <si>
    <t>aeth269</t>
  </si>
  <si>
    <t>aeth270</t>
  </si>
  <si>
    <t>aeth271</t>
  </si>
  <si>
    <t>aeth272</t>
  </si>
  <si>
    <t>aeth273</t>
  </si>
  <si>
    <t>Rite of the Wind's Chosen</t>
  </si>
  <si>
    <t>Knowing the Hanuhanu</t>
  </si>
  <si>
    <t>aeth274</t>
  </si>
  <si>
    <t>Ripe for the Offering</t>
  </si>
  <si>
    <t>aeth275</t>
  </si>
  <si>
    <t>All Good Potpacts Must Come to an End</t>
  </si>
  <si>
    <t>The Shape of Peace</t>
  </si>
  <si>
    <t>aeth276</t>
  </si>
  <si>
    <t>Divine Inspiration</t>
  </si>
  <si>
    <t>aeth277</t>
  </si>
  <si>
    <t>Sibling Rescue</t>
  </si>
  <si>
    <t>aeth278</t>
  </si>
  <si>
    <t>aeth279</t>
  </si>
  <si>
    <t>aeth280</t>
  </si>
  <si>
    <t>aeth281</t>
  </si>
  <si>
    <t>aeth282</t>
  </si>
  <si>
    <t>aeth283</t>
  </si>
  <si>
    <t>aeth284</t>
  </si>
  <si>
    <t>aeth285</t>
  </si>
  <si>
    <t>aeth286</t>
  </si>
  <si>
    <t>aeth287</t>
  </si>
  <si>
    <t>aeth288</t>
  </si>
  <si>
    <t>Aiming High</t>
  </si>
  <si>
    <t>Taking a Stand</t>
  </si>
  <si>
    <t>aeth289</t>
  </si>
  <si>
    <t>Secrets in the Cinderfield</t>
  </si>
  <si>
    <t>aeth290</t>
  </si>
  <si>
    <t>Road to the Golden City</t>
  </si>
  <si>
    <t>aeth291</t>
  </si>
  <si>
    <t>Beast of the Heartlands</t>
  </si>
  <si>
    <t>The Feat of the Brotherhood</t>
  </si>
  <si>
    <t>aeth292</t>
  </si>
  <si>
    <t>Lost and Powerless</t>
  </si>
  <si>
    <t>aeth293</t>
  </si>
  <si>
    <t>aeth294</t>
  </si>
  <si>
    <t>aeth295</t>
  </si>
  <si>
    <t>aeth296</t>
  </si>
  <si>
    <t>aeth297</t>
  </si>
  <si>
    <t>aeth298</t>
  </si>
  <si>
    <t>aeth299</t>
  </si>
  <si>
    <t>aeth300</t>
  </si>
  <si>
    <t>aeth301</t>
  </si>
  <si>
    <t>aeth302</t>
  </si>
  <si>
    <t>aeth303</t>
  </si>
  <si>
    <t>When the Bill Comes Due</t>
  </si>
  <si>
    <t>Law of the Land</t>
  </si>
  <si>
    <t>aeth304</t>
  </si>
  <si>
    <t>Meeting of the Spirits</t>
  </si>
  <si>
    <t>aeth305</t>
  </si>
  <si>
    <t>Rroneek Seeker</t>
  </si>
  <si>
    <t>One with Nature</t>
  </si>
  <si>
    <t>aeth306</t>
  </si>
  <si>
    <t>A Bad Case of the Blue Devils</t>
  </si>
  <si>
    <t>Yyasulani's Shadow</t>
  </si>
  <si>
    <t>aeth307</t>
  </si>
  <si>
    <t>A Hot Commodity</t>
  </si>
  <si>
    <t>aeth308</t>
  </si>
  <si>
    <t>aeth309</t>
  </si>
  <si>
    <t>aeth310</t>
  </si>
  <si>
    <t>aeth311</t>
  </si>
  <si>
    <t>aeth312</t>
  </si>
  <si>
    <t>aeth313</t>
  </si>
  <si>
    <t>aeth314</t>
  </si>
  <si>
    <t>aeth315</t>
  </si>
  <si>
    <t>aeth316</t>
  </si>
  <si>
    <t>aeth317</t>
  </si>
  <si>
    <t>aeth318</t>
  </si>
  <si>
    <t>Stressed Testing</t>
  </si>
  <si>
    <t>Gone and Forgotten</t>
  </si>
  <si>
    <t>aeth319</t>
  </si>
  <si>
    <t>Aunty Knows Best</t>
  </si>
  <si>
    <t>aeth320</t>
  </si>
  <si>
    <t>He Who Remembers</t>
  </si>
  <si>
    <t>Memories of a Knight</t>
  </si>
  <si>
    <t>aeth321</t>
  </si>
  <si>
    <t>Phyt for Survival</t>
  </si>
  <si>
    <t>aeth322</t>
  </si>
  <si>
    <t>Unto the Summit</t>
  </si>
  <si>
    <t>aeth323</t>
  </si>
  <si>
    <t>aeth324</t>
  </si>
  <si>
    <t>aeth325</t>
  </si>
  <si>
    <t>aeth326</t>
  </si>
  <si>
    <t>aeth327</t>
  </si>
  <si>
    <t>aeth328</t>
  </si>
  <si>
    <t>aeth329</t>
  </si>
  <si>
    <t>aeth330</t>
  </si>
  <si>
    <t>aeth331</t>
  </si>
  <si>
    <t>aeth332</t>
  </si>
  <si>
    <t>aeth333</t>
  </si>
  <si>
    <t>Well-wishing at the Wishing Well</t>
  </si>
  <si>
    <t>In Serenity and Sorrow</t>
  </si>
  <si>
    <t>aeth334</t>
  </si>
  <si>
    <t>Perplexing Puzzles, Endless Fun</t>
  </si>
  <si>
    <t>A Knight of Alexandria</t>
  </si>
  <si>
    <t>aeth335</t>
  </si>
  <si>
    <t>Volcanic Disruptions</t>
  </si>
  <si>
    <t>Leafing through the Past</t>
  </si>
  <si>
    <t>aeth336</t>
  </si>
  <si>
    <t>Blueprint Protocol</t>
  </si>
  <si>
    <t>aeth337</t>
  </si>
  <si>
    <t>A Journey Never-ending</t>
  </si>
  <si>
    <t>aetheryte0</t>
  </si>
  <si>
    <t>aetheryte1</t>
  </si>
  <si>
    <t>Summerfold Farms</t>
  </si>
  <si>
    <t>aetheryte2</t>
  </si>
  <si>
    <t>Moraby Drydocks</t>
  </si>
  <si>
    <t>aetheryte3</t>
  </si>
  <si>
    <t>Costa del Sol</t>
  </si>
  <si>
    <t>aetheryte4</t>
  </si>
  <si>
    <t>Wineport</t>
  </si>
  <si>
    <t>aetheryte5</t>
  </si>
  <si>
    <t>Swiftperch</t>
  </si>
  <si>
    <t>aetheryte6</t>
  </si>
  <si>
    <t>Aleport</t>
  </si>
  <si>
    <t>aetheryte7</t>
  </si>
  <si>
    <t>Camp Bronze Lake</t>
  </si>
  <si>
    <t>aetheryte8</t>
  </si>
  <si>
    <t>Camp Overlook</t>
  </si>
  <si>
    <t>aetheryte9</t>
  </si>
  <si>
    <t>aetheryte10</t>
  </si>
  <si>
    <t>aetheryte11</t>
  </si>
  <si>
    <t>Bentbranch Meadows</t>
  </si>
  <si>
    <t>aetheryte12</t>
  </si>
  <si>
    <t>The Hawthorne Hut</t>
  </si>
  <si>
    <t>aetheryte13</t>
  </si>
  <si>
    <t>Quarrymill</t>
  </si>
  <si>
    <t>aetheryte14</t>
  </si>
  <si>
    <t>Camp Tranquil</t>
  </si>
  <si>
    <t>aetheryte15</t>
  </si>
  <si>
    <t>aetheryte16</t>
  </si>
  <si>
    <t>aetheryte17</t>
  </si>
  <si>
    <t>Horizon</t>
  </si>
  <si>
    <t>aetheryte18</t>
  </si>
  <si>
    <t>Black Brush Station</t>
  </si>
  <si>
    <t>aetheryte19</t>
  </si>
  <si>
    <t>Camp Drybone</t>
  </si>
  <si>
    <t>aetheryte20</t>
  </si>
  <si>
    <t>Little Ala Mhigo</t>
  </si>
  <si>
    <t>aetheryte21</t>
  </si>
  <si>
    <t>Forgotten Springs</t>
  </si>
  <si>
    <t>aetheryte22</t>
  </si>
  <si>
    <t>Camp Bluefog</t>
  </si>
  <si>
    <t>aetheryte23</t>
  </si>
  <si>
    <t>Ceruleum Processing Plant</t>
  </si>
  <si>
    <t>aetheryte24</t>
  </si>
  <si>
    <t>aetheryte25</t>
  </si>
  <si>
    <t>Camp Dragonhead</t>
  </si>
  <si>
    <t>aetheryte26</t>
  </si>
  <si>
    <t>aetheryte27</t>
  </si>
  <si>
    <t>aetheryte28</t>
  </si>
  <si>
    <t>Falcon's Nest</t>
  </si>
  <si>
    <t>aetheryte29</t>
  </si>
  <si>
    <t>Camp Cloudtop</t>
  </si>
  <si>
    <t>aetheryte30</t>
  </si>
  <si>
    <t>Ok' Zundu</t>
  </si>
  <si>
    <t>aetheryte31</t>
  </si>
  <si>
    <t>aetheryte32</t>
  </si>
  <si>
    <t>aetheryte33</t>
  </si>
  <si>
    <t>Tailfeather</t>
  </si>
  <si>
    <t>aetheryte34</t>
  </si>
  <si>
    <t>Anyx Trine</t>
  </si>
  <si>
    <t>aetheryte35</t>
  </si>
  <si>
    <t>Moghome</t>
  </si>
  <si>
    <t>aetheryte36</t>
  </si>
  <si>
    <t>Zenith</t>
  </si>
  <si>
    <t>aetheryte37</t>
  </si>
  <si>
    <t>aetheryte38</t>
  </si>
  <si>
    <t>aetheryte39</t>
  </si>
  <si>
    <t>The Peering Stones</t>
  </si>
  <si>
    <t>aetheryte40</t>
  </si>
  <si>
    <t>Ala Gannha</t>
  </si>
  <si>
    <t>aetheryte41</t>
  </si>
  <si>
    <t>Ala Ghiri</t>
  </si>
  <si>
    <t>aetheryte42</t>
  </si>
  <si>
    <t>Porta Praetoria</t>
  </si>
  <si>
    <t>aetheryte43</t>
  </si>
  <si>
    <t>aetheryte44</t>
  </si>
  <si>
    <t>aetheryte45</t>
  </si>
  <si>
    <t>Tamamizu</t>
  </si>
  <si>
    <t>aetheryte46</t>
  </si>
  <si>
    <t>aetheryte47</t>
  </si>
  <si>
    <t>Namai</t>
  </si>
  <si>
    <t>aetheryte48</t>
  </si>
  <si>
    <t>The House of the Fierce</t>
  </si>
  <si>
    <t>aetheryte49</t>
  </si>
  <si>
    <t>Reunion</t>
  </si>
  <si>
    <t>aetheryte50</t>
  </si>
  <si>
    <t>The Dawn Throne</t>
  </si>
  <si>
    <t>aetheryte51</t>
  </si>
  <si>
    <t>Dhoro Lloh</t>
  </si>
  <si>
    <t>aetheryte52</t>
  </si>
  <si>
    <t>aetheryte53</t>
  </si>
  <si>
    <t>The Crystarium</t>
  </si>
  <si>
    <t>aetheryte54</t>
  </si>
  <si>
    <t>Eulmore</t>
  </si>
  <si>
    <t>The Canopy</t>
  </si>
  <si>
    <t>aetheryte55</t>
  </si>
  <si>
    <t>For Jobb</t>
  </si>
  <si>
    <t>aetheryte56</t>
  </si>
  <si>
    <t>The Ostall Imperative</t>
  </si>
  <si>
    <t>aetheryte57</t>
  </si>
  <si>
    <t>aetheryte58</t>
  </si>
  <si>
    <t>Wright</t>
  </si>
  <si>
    <t>aetheryte59</t>
  </si>
  <si>
    <t>aetheryte60</t>
  </si>
  <si>
    <t>aetheryte61</t>
  </si>
  <si>
    <t>aetheryte62</t>
  </si>
  <si>
    <t>Twine</t>
  </si>
  <si>
    <t>aetheryte63</t>
  </si>
  <si>
    <t>Lydha Lran</t>
  </si>
  <si>
    <t>aetheryte64</t>
  </si>
  <si>
    <t>Pla Enni</t>
  </si>
  <si>
    <t>aetheryte65</t>
  </si>
  <si>
    <t>Wolekdorf</t>
  </si>
  <si>
    <t>aetheryte66</t>
  </si>
  <si>
    <t>aetheryte67</t>
  </si>
  <si>
    <t>aetheryte68</t>
  </si>
  <si>
    <t>aetheryte69</t>
  </si>
  <si>
    <t>The Macarenses Angle</t>
  </si>
  <si>
    <t>aetheryte70</t>
  </si>
  <si>
    <t>aetheryte71</t>
  </si>
  <si>
    <t>Yedihmad</t>
  </si>
  <si>
    <t>aetheryte72</t>
  </si>
  <si>
    <t>aetheryte73</t>
  </si>
  <si>
    <t>Palaka's Stand</t>
  </si>
  <si>
    <t>aetheryte74</t>
  </si>
  <si>
    <t>aetheryte75</t>
  </si>
  <si>
    <t>aetheryte76</t>
  </si>
  <si>
    <t>aetheryte77</t>
  </si>
  <si>
    <t>The Archeion</t>
  </si>
  <si>
    <t>aetheryte78</t>
  </si>
  <si>
    <t>aetheryte79</t>
  </si>
  <si>
    <t>Aporia</t>
  </si>
  <si>
    <t>aetheryte80</t>
  </si>
  <si>
    <t>aetheryte81</t>
  </si>
  <si>
    <t>aetheryte82</t>
  </si>
  <si>
    <t>aetheryte83</t>
  </si>
  <si>
    <t>Abode of the Ea</t>
  </si>
  <si>
    <t>aetheryte84</t>
  </si>
  <si>
    <t>Base Omicron</t>
  </si>
  <si>
    <t>aetheryte85</t>
  </si>
  <si>
    <t>Anagnorisis</t>
  </si>
  <si>
    <t>aetheryte86</t>
  </si>
  <si>
    <t>The Twelve Wonders</t>
  </si>
  <si>
    <t>aetheryte87</t>
  </si>
  <si>
    <t>Poieten Oikos</t>
  </si>
  <si>
    <t>aetheryte88</t>
  </si>
  <si>
    <t>aetheryte89</t>
  </si>
  <si>
    <t>aetheryte90</t>
  </si>
  <si>
    <t>aetheryte91</t>
  </si>
  <si>
    <t>Ok'hanu</t>
  </si>
  <si>
    <t>aetheryte92</t>
  </si>
  <si>
    <t>Many Fires</t>
  </si>
  <si>
    <t>aetheryte93</t>
  </si>
  <si>
    <t>aetheryte94</t>
  </si>
  <si>
    <t>Dock Poga</t>
  </si>
  <si>
    <t>aetheryte95</t>
  </si>
  <si>
    <t>aetheryte96</t>
  </si>
  <si>
    <t>aetheryte97</t>
  </si>
  <si>
    <t>aetheryte98</t>
  </si>
  <si>
    <t>Hhusatahwi</t>
  </si>
  <si>
    <t>aetheryte99</t>
  </si>
  <si>
    <t>Sheshenewezi Springs</t>
  </si>
  <si>
    <t>aetheryte100</t>
  </si>
  <si>
    <t>Mehwahhetsoan</t>
  </si>
  <si>
    <t>aetheryte101</t>
  </si>
  <si>
    <t>Yyasulani Station</t>
  </si>
  <si>
    <t>aetheryte102</t>
  </si>
  <si>
    <t>The Outskirts</t>
  </si>
  <si>
    <t>aetheryte103</t>
  </si>
  <si>
    <t>Electrope Strike</t>
  </si>
  <si>
    <t>aetheryte104</t>
  </si>
  <si>
    <t>Leynode Mnemo</t>
  </si>
  <si>
    <t>aetheryte105</t>
  </si>
  <si>
    <t>Leynode Pyo</t>
  </si>
  <si>
    <t>aetheryte106</t>
  </si>
  <si>
    <t>Leynode Aerro</t>
  </si>
  <si>
    <t>job</t>
  </si>
  <si>
    <t>job_sub</t>
  </si>
  <si>
    <t>attribute</t>
  </si>
  <si>
    <t>usage</t>
  </si>
  <si>
    <t>node_name</t>
  </si>
  <si>
    <t>tomb</t>
  </si>
  <si>
    <t>perception</t>
  </si>
  <si>
    <t>node_level</t>
  </si>
  <si>
    <t>logg1</t>
  </si>
  <si>
    <t>logging</t>
  </si>
  <si>
    <t>Latex</t>
  </si>
  <si>
    <t>log</t>
  </si>
  <si>
    <t>logg2</t>
  </si>
  <si>
    <t>logg3</t>
  </si>
  <si>
    <t>Fire Shard</t>
  </si>
  <si>
    <t>logg4</t>
  </si>
  <si>
    <t>logg5</t>
  </si>
  <si>
    <t>Ice Shard</t>
  </si>
  <si>
    <t>logg6</t>
  </si>
  <si>
    <t>logg7</t>
  </si>
  <si>
    <t>logg8</t>
  </si>
  <si>
    <t>logg9</t>
  </si>
  <si>
    <t>logg10</t>
  </si>
  <si>
    <t>logg11</t>
  </si>
  <si>
    <t>logg12</t>
  </si>
  <si>
    <t>logg13</t>
  </si>
  <si>
    <t>Wind Shard</t>
  </si>
  <si>
    <t>logg14</t>
  </si>
  <si>
    <t>logg15</t>
  </si>
  <si>
    <t>logg16</t>
  </si>
  <si>
    <t>logg17</t>
  </si>
  <si>
    <t>logg18</t>
  </si>
  <si>
    <t>logg19</t>
  </si>
  <si>
    <t>Earth Shard</t>
  </si>
  <si>
    <t>logg20</t>
  </si>
  <si>
    <t>logg21</t>
  </si>
  <si>
    <t>logg22</t>
  </si>
  <si>
    <t>logg23</t>
  </si>
  <si>
    <t>logg24</t>
  </si>
  <si>
    <t>logg25</t>
  </si>
  <si>
    <t>Lightning Shard</t>
  </si>
  <si>
    <t>logg26</t>
  </si>
  <si>
    <t>logg27</t>
  </si>
  <si>
    <t>logg28</t>
  </si>
  <si>
    <t>logg29</t>
  </si>
  <si>
    <t>logg30</t>
  </si>
  <si>
    <t>Water Shard</t>
  </si>
  <si>
    <t>logg31</t>
  </si>
  <si>
    <t>logg32</t>
  </si>
  <si>
    <t>logg33</t>
  </si>
  <si>
    <t>Allagan Snail</t>
  </si>
  <si>
    <t>logg34</t>
  </si>
  <si>
    <t>Maple Sap</t>
  </si>
  <si>
    <t>logg35</t>
  </si>
  <si>
    <t>Maple Log</t>
  </si>
  <si>
    <t>logg36</t>
  </si>
  <si>
    <t>logg37</t>
  </si>
  <si>
    <t>Cinnamon</t>
  </si>
  <si>
    <t>logg38</t>
  </si>
  <si>
    <t>Maple Branch</t>
  </si>
  <si>
    <t>logg39</t>
  </si>
  <si>
    <t>logg40</t>
  </si>
  <si>
    <t>Beehive Chip</t>
  </si>
  <si>
    <t>logg41</t>
  </si>
  <si>
    <t>Cock Feather</t>
  </si>
  <si>
    <t>logg42</t>
  </si>
  <si>
    <t>Tinolqa Mistletoe</t>
  </si>
  <si>
    <t>logg43</t>
  </si>
  <si>
    <t>logg44</t>
  </si>
  <si>
    <t>La Noscean Orange</t>
  </si>
  <si>
    <t>logg45</t>
  </si>
  <si>
    <t>La Noscean Orange Seeds</t>
  </si>
  <si>
    <t>Hidden</t>
  </si>
  <si>
    <t>logg46</t>
  </si>
  <si>
    <t>Ash Log</t>
  </si>
  <si>
    <t>logg47</t>
  </si>
  <si>
    <t>logg48</t>
  </si>
  <si>
    <t>Kukuru Bean</t>
  </si>
  <si>
    <t>logg49</t>
  </si>
  <si>
    <t>Ash Branch</t>
  </si>
  <si>
    <t>logg50</t>
  </si>
  <si>
    <t>logg51</t>
  </si>
  <si>
    <t>Cloves</t>
  </si>
  <si>
    <t>logg52</t>
  </si>
  <si>
    <t>Crow Feather</t>
  </si>
  <si>
    <t>logg53</t>
  </si>
  <si>
    <t>Elm Log</t>
  </si>
  <si>
    <t>logg54</t>
  </si>
  <si>
    <t>Gridanian Chestnut</t>
  </si>
  <si>
    <t>logg55</t>
  </si>
  <si>
    <t>Faerie Apple</t>
  </si>
  <si>
    <t>logg56</t>
  </si>
  <si>
    <t>Faerie Apple Seeds</t>
  </si>
  <si>
    <t>logg57</t>
  </si>
  <si>
    <t>Sun Lemon</t>
  </si>
  <si>
    <t>logg58</t>
  </si>
  <si>
    <t>Sun Lemon Seeds</t>
  </si>
  <si>
    <t>logg59</t>
  </si>
  <si>
    <t>Nopales</t>
  </si>
  <si>
    <t>logg60</t>
  </si>
  <si>
    <t>Yew Log</t>
  </si>
  <si>
    <t>logg61</t>
  </si>
  <si>
    <t>Yew Branch</t>
  </si>
  <si>
    <t>logg62</t>
  </si>
  <si>
    <t>Grade 1 Carbonized Matter</t>
  </si>
  <si>
    <t>logg63</t>
  </si>
  <si>
    <t>Gridanian Walnut</t>
  </si>
  <si>
    <t>logg64</t>
  </si>
  <si>
    <t>Matron's Mistletoe</t>
  </si>
  <si>
    <t>logg65</t>
  </si>
  <si>
    <t>Walnut Log</t>
  </si>
  <si>
    <t>logg66</t>
  </si>
  <si>
    <t>logg67</t>
  </si>
  <si>
    <t>logg68</t>
  </si>
  <si>
    <t>logg69</t>
  </si>
  <si>
    <t>logg70</t>
  </si>
  <si>
    <t>logg71</t>
  </si>
  <si>
    <t>logg72</t>
  </si>
  <si>
    <t>logg73</t>
  </si>
  <si>
    <t>logg74</t>
  </si>
  <si>
    <t>logg75</t>
  </si>
  <si>
    <t>Ephemeral</t>
  </si>
  <si>
    <t>logg76</t>
  </si>
  <si>
    <t>logg77</t>
  </si>
  <si>
    <t>logg78</t>
  </si>
  <si>
    <t>logg79</t>
  </si>
  <si>
    <t>logg80</t>
  </si>
  <si>
    <t>logg81</t>
  </si>
  <si>
    <t>logg82</t>
  </si>
  <si>
    <t>logg83</t>
  </si>
  <si>
    <t>logg84</t>
  </si>
  <si>
    <t>logg85</t>
  </si>
  <si>
    <t>logg86</t>
  </si>
  <si>
    <t>logg87</t>
  </si>
  <si>
    <t>logg88</t>
  </si>
  <si>
    <t>logg89</t>
  </si>
  <si>
    <t>Eshceyaani Wilds</t>
  </si>
  <si>
    <t>logg90</t>
  </si>
  <si>
    <t>logg91</t>
  </si>
  <si>
    <t>logg92</t>
  </si>
  <si>
    <t>logg93</t>
  </si>
  <si>
    <t>logg94</t>
  </si>
  <si>
    <t>logg95</t>
  </si>
  <si>
    <t>logg96</t>
  </si>
  <si>
    <t>logg97</t>
  </si>
  <si>
    <t>logg98</t>
  </si>
  <si>
    <t>logg99</t>
  </si>
  <si>
    <t>logg100</t>
  </si>
  <si>
    <t>logg101</t>
  </si>
  <si>
    <t>logg102</t>
  </si>
  <si>
    <t>logg103</t>
  </si>
  <si>
    <t>logg104</t>
  </si>
  <si>
    <t>logg105</t>
  </si>
  <si>
    <t>logg106</t>
  </si>
  <si>
    <t>logg107</t>
  </si>
  <si>
    <t>logg108</t>
  </si>
  <si>
    <t>logg109</t>
  </si>
  <si>
    <t>Blue Pigment</t>
  </si>
  <si>
    <t>logg110</t>
  </si>
  <si>
    <t>Red Pigment</t>
  </si>
  <si>
    <t>logg111</t>
  </si>
  <si>
    <t>Yellow Pigment</t>
  </si>
  <si>
    <t>logg112</t>
  </si>
  <si>
    <t>Grey Pigment</t>
  </si>
  <si>
    <t>logg113</t>
  </si>
  <si>
    <t>Brown Pigment</t>
  </si>
  <si>
    <t>logg114</t>
  </si>
  <si>
    <t>Green Pigment</t>
  </si>
  <si>
    <t>logg115</t>
  </si>
  <si>
    <t>Purple Pigment</t>
  </si>
  <si>
    <t>logg116</t>
  </si>
  <si>
    <t>Chocobo Feather</t>
  </si>
  <si>
    <t>logg117</t>
  </si>
  <si>
    <t>Alligator Pear</t>
  </si>
  <si>
    <t>logg118</t>
  </si>
  <si>
    <t>Oak Branch</t>
  </si>
  <si>
    <t>logg119</t>
  </si>
  <si>
    <t>Oak Log</t>
  </si>
  <si>
    <t>logg120</t>
  </si>
  <si>
    <t>Tarantula</t>
  </si>
  <si>
    <t>logg121</t>
  </si>
  <si>
    <t>Iron Acorn</t>
  </si>
  <si>
    <t>logg122</t>
  </si>
  <si>
    <t>Mahogany Log</t>
  </si>
  <si>
    <t>logg123</t>
  </si>
  <si>
    <t>Nutmeg</t>
  </si>
  <si>
    <t>logg124</t>
  </si>
  <si>
    <t>Almonds</t>
  </si>
  <si>
    <t>logg125</t>
  </si>
  <si>
    <t>Almond Seeds</t>
  </si>
  <si>
    <t>logg126</t>
  </si>
  <si>
    <t>Mirror Apple</t>
  </si>
  <si>
    <t>logg127</t>
  </si>
  <si>
    <t>Mirror Apple Seeds</t>
  </si>
  <si>
    <t>logg128</t>
  </si>
  <si>
    <t>Mistletoe</t>
  </si>
  <si>
    <t>logg129</t>
  </si>
  <si>
    <t>Rosewood Log</t>
  </si>
  <si>
    <t>logg130</t>
  </si>
  <si>
    <t>Rosewood Branch</t>
  </si>
  <si>
    <t>logg131</t>
  </si>
  <si>
    <t>Unspoiled</t>
  </si>
  <si>
    <t>logg132</t>
  </si>
  <si>
    <t>logg133</t>
  </si>
  <si>
    <t>logg134</t>
  </si>
  <si>
    <t>logg135</t>
  </si>
  <si>
    <t>logg136</t>
  </si>
  <si>
    <t>logg137</t>
  </si>
  <si>
    <t>logg138</t>
  </si>
  <si>
    <t>logg139</t>
  </si>
  <si>
    <t>Prickly Pineapple</t>
  </si>
  <si>
    <t>logg140</t>
  </si>
  <si>
    <t>Spruce Log</t>
  </si>
  <si>
    <t>logg141</t>
  </si>
  <si>
    <t>Thavnairian Mistletoe</t>
  </si>
  <si>
    <t>logg142</t>
  </si>
  <si>
    <t>Vampire Plant</t>
  </si>
  <si>
    <t>logg143</t>
  </si>
  <si>
    <t>Prickly Pineapple Seeds</t>
  </si>
  <si>
    <t>logg144</t>
  </si>
  <si>
    <t>Unaspected Crystal</t>
  </si>
  <si>
    <t>logg145</t>
  </si>
  <si>
    <t>logg146</t>
  </si>
  <si>
    <t>logg147</t>
  </si>
  <si>
    <t>logg148</t>
  </si>
  <si>
    <t>logg149</t>
  </si>
  <si>
    <t>logg150</t>
  </si>
  <si>
    <t>logg151</t>
  </si>
  <si>
    <t>logg152</t>
  </si>
  <si>
    <t>logg153</t>
  </si>
  <si>
    <t>logg154</t>
  </si>
  <si>
    <t>logg155</t>
  </si>
  <si>
    <t>logg156</t>
  </si>
  <si>
    <t>Fragrant Log</t>
  </si>
  <si>
    <t>logg157</t>
  </si>
  <si>
    <t>Apricot</t>
  </si>
  <si>
    <t>logg158</t>
  </si>
  <si>
    <t>Blood Orange</t>
  </si>
  <si>
    <t>logg159</t>
  </si>
  <si>
    <t>Bamboo Stick</t>
  </si>
  <si>
    <t>logg160</t>
  </si>
  <si>
    <t>Redolent Log</t>
  </si>
  <si>
    <t>logg161</t>
  </si>
  <si>
    <t>Scarlet Sap</t>
  </si>
  <si>
    <t>logg162</t>
  </si>
  <si>
    <t>Dark Matter Cluster</t>
  </si>
  <si>
    <t>logg163</t>
  </si>
  <si>
    <t>logg164</t>
  </si>
  <si>
    <t>logg165</t>
  </si>
  <si>
    <t>logg166</t>
  </si>
  <si>
    <t>logg167</t>
  </si>
  <si>
    <t>logg168</t>
  </si>
  <si>
    <t>logg169</t>
  </si>
  <si>
    <t>logg170</t>
  </si>
  <si>
    <t>logg171</t>
  </si>
  <si>
    <t>logg172</t>
  </si>
  <si>
    <t>logg173</t>
  </si>
  <si>
    <t>logg174</t>
  </si>
  <si>
    <t>Cypress Log</t>
  </si>
  <si>
    <t>logg175</t>
  </si>
  <si>
    <t>Ebony Log</t>
  </si>
  <si>
    <t>logg176</t>
  </si>
  <si>
    <t>Cedar Log</t>
  </si>
  <si>
    <t>logg177</t>
  </si>
  <si>
    <t>Cedar Branch</t>
  </si>
  <si>
    <t>logg178</t>
  </si>
  <si>
    <t>Porcini</t>
  </si>
  <si>
    <t>logg179</t>
  </si>
  <si>
    <t>Dark Chestnut Log</t>
  </si>
  <si>
    <t>logg180</t>
  </si>
  <si>
    <t>Dravanian Mistletoe</t>
  </si>
  <si>
    <t>logg181</t>
  </si>
  <si>
    <t>Dark Chestnut</t>
  </si>
  <si>
    <t>logg182</t>
  </si>
  <si>
    <t>Dark Chestnut Branch</t>
  </si>
  <si>
    <t>logg183</t>
  </si>
  <si>
    <t>Heavens Lemon</t>
  </si>
  <si>
    <t>logg184</t>
  </si>
  <si>
    <t>Wind Widow</t>
  </si>
  <si>
    <t>logg185</t>
  </si>
  <si>
    <t>Cloud Banana</t>
  </si>
  <si>
    <t>logg186</t>
  </si>
  <si>
    <t>Birch Log</t>
  </si>
  <si>
    <t>logg187</t>
  </si>
  <si>
    <t>Birch Branch</t>
  </si>
  <si>
    <t>logg188</t>
  </si>
  <si>
    <t>Abalathian Mistletoe</t>
  </si>
  <si>
    <t>logg189</t>
  </si>
  <si>
    <t>Morel</t>
  </si>
  <si>
    <t>logg190</t>
  </si>
  <si>
    <t>Birch Sap</t>
  </si>
  <si>
    <t>logg191</t>
  </si>
  <si>
    <t>Cloud Mushroom</t>
  </si>
  <si>
    <t>logg192</t>
  </si>
  <si>
    <t>Camphorwood Log</t>
  </si>
  <si>
    <t>logg193</t>
  </si>
  <si>
    <t>Camphorwood Branch</t>
  </si>
  <si>
    <t>logg194</t>
  </si>
  <si>
    <t>Loquat</t>
  </si>
  <si>
    <t>logg195</t>
  </si>
  <si>
    <t>Beech Log</t>
  </si>
  <si>
    <t>logg196</t>
  </si>
  <si>
    <t>Beech Branch</t>
  </si>
  <si>
    <t>logg197</t>
  </si>
  <si>
    <t>Bamboo Shoot</t>
  </si>
  <si>
    <t>logg198</t>
  </si>
  <si>
    <t>Larch Log</t>
  </si>
  <si>
    <t>logg199</t>
  </si>
  <si>
    <t>Pine Resin</t>
  </si>
  <si>
    <t>logg200</t>
  </si>
  <si>
    <t>Sparkstone</t>
  </si>
  <si>
    <t>Collectability</t>
  </si>
  <si>
    <t>customdelivery</t>
  </si>
  <si>
    <t>Adkiragh</t>
  </si>
  <si>
    <t>logg201</t>
  </si>
  <si>
    <t>Shiitake Mushroom</t>
  </si>
  <si>
    <t>logg202</t>
  </si>
  <si>
    <t>Pine Log</t>
  </si>
  <si>
    <t>logg203</t>
  </si>
  <si>
    <t>Malleable Still Material</t>
  </si>
  <si>
    <t>logg204</t>
  </si>
  <si>
    <t>Persimmon Leaf</t>
  </si>
  <si>
    <t>logg205</t>
  </si>
  <si>
    <t>Persimmon</t>
  </si>
  <si>
    <t>logg206</t>
  </si>
  <si>
    <t>Persimmon Log</t>
  </si>
  <si>
    <t>logg207</t>
  </si>
  <si>
    <t>Hard Place Furnishing Materials</t>
  </si>
  <si>
    <t>logg208</t>
  </si>
  <si>
    <t>Othardian Plum</t>
  </si>
  <si>
    <t>logg209</t>
  </si>
  <si>
    <t>Zelkova Log</t>
  </si>
  <si>
    <t>logg210</t>
  </si>
  <si>
    <t>Sturdy Vat Material</t>
  </si>
  <si>
    <t>logg211</t>
  </si>
  <si>
    <t>Raven Coal</t>
  </si>
  <si>
    <t>Kai-Shirr</t>
  </si>
  <si>
    <t>logg212</t>
  </si>
  <si>
    <t>aetherial</t>
  </si>
  <si>
    <t>logg213</t>
  </si>
  <si>
    <t>Kholusian Miscellany</t>
  </si>
  <si>
    <t>logg214</t>
  </si>
  <si>
    <t>logg215</t>
  </si>
  <si>
    <t>Pixie Apple</t>
  </si>
  <si>
    <t>logg216</t>
  </si>
  <si>
    <t>Frantoio</t>
  </si>
  <si>
    <t>logg217</t>
  </si>
  <si>
    <t>White Oak Log</t>
  </si>
  <si>
    <t>logg218</t>
  </si>
  <si>
    <t>White Oak Branch</t>
  </si>
  <si>
    <t>logg219</t>
  </si>
  <si>
    <t>Patient Necessity Materials</t>
  </si>
  <si>
    <t>Charlemend de Durendaire</t>
  </si>
  <si>
    <t>logg220</t>
  </si>
  <si>
    <t>Miracle Apple Log</t>
  </si>
  <si>
    <t>logg221</t>
  </si>
  <si>
    <t>Weaving Paraphernalia</t>
  </si>
  <si>
    <t>Ehll Tou</t>
  </si>
  <si>
    <t>logg222</t>
  </si>
  <si>
    <t>Rehabilitation Aid Materials</t>
  </si>
  <si>
    <t>logg223</t>
  </si>
  <si>
    <t>White Ash Log</t>
  </si>
  <si>
    <t>logg224</t>
  </si>
  <si>
    <t>Handpicked Ingredients</t>
  </si>
  <si>
    <t>logg225</t>
  </si>
  <si>
    <t>Gianthive Chip</t>
  </si>
  <si>
    <t>logg226</t>
  </si>
  <si>
    <t>High Tea Ingredients</t>
  </si>
  <si>
    <t>logg227</t>
  </si>
  <si>
    <t>Amber Cloves</t>
  </si>
  <si>
    <t>logg228</t>
  </si>
  <si>
    <t>Sandteak Log</t>
  </si>
  <si>
    <t>logg229</t>
  </si>
  <si>
    <t>Harcot</t>
  </si>
  <si>
    <t>logg230</t>
  </si>
  <si>
    <t>Lemonette</t>
  </si>
  <si>
    <t>logg231</t>
  </si>
  <si>
    <t>Lignum Vitae Log</t>
  </si>
  <si>
    <t>logg232</t>
  </si>
  <si>
    <t>Horse Chestnut Log</t>
  </si>
  <si>
    <t>logg233</t>
  </si>
  <si>
    <t>Coconut</t>
  </si>
  <si>
    <t>logg234</t>
  </si>
  <si>
    <t>Palm Syrup</t>
  </si>
  <si>
    <t>logg235</t>
  </si>
  <si>
    <t>Palm Log</t>
  </si>
  <si>
    <t>logg236</t>
  </si>
  <si>
    <t>Luncheon Coffer Materials</t>
  </si>
  <si>
    <t>Ameliance</t>
  </si>
  <si>
    <t>logg237</t>
  </si>
  <si>
    <t>Aetheroconductive Mammet Materials</t>
  </si>
  <si>
    <t>logg238</t>
  </si>
  <si>
    <t>School Supply Materials</t>
  </si>
  <si>
    <t>logg239</t>
  </si>
  <si>
    <t>Red Pine Log</t>
  </si>
  <si>
    <t>logg240</t>
  </si>
  <si>
    <t>Ironwood Log</t>
  </si>
  <si>
    <t>logg241</t>
  </si>
  <si>
    <t>Sykon</t>
  </si>
  <si>
    <t>logg242</t>
  </si>
  <si>
    <t>Elder Nutmeg Seeds</t>
  </si>
  <si>
    <t>logg243</t>
  </si>
  <si>
    <t>Integral Log</t>
  </si>
  <si>
    <t>logg244</t>
  </si>
  <si>
    <t>logg245</t>
  </si>
  <si>
    <t>Wild Ja Tiika Bananas</t>
  </si>
  <si>
    <t>logg246</t>
  </si>
  <si>
    <t>Royal Maple Sap</t>
  </si>
  <si>
    <t>logg247</t>
  </si>
  <si>
    <t>Ginseng Log</t>
  </si>
  <si>
    <t>logg248</t>
  </si>
  <si>
    <t>Ceiba Log</t>
  </si>
  <si>
    <t>logg249</t>
  </si>
  <si>
    <t>Sweet Kukuru Bean</t>
  </si>
  <si>
    <t>logg250</t>
  </si>
  <si>
    <t>Turali Pineapple</t>
  </si>
  <si>
    <t>logg251</t>
  </si>
  <si>
    <t>Dark Mahogany Log</t>
  </si>
  <si>
    <t>logg252</t>
  </si>
  <si>
    <t>Mesquite Beans</t>
  </si>
  <si>
    <t>logg253</t>
  </si>
  <si>
    <t>Acacia Log</t>
  </si>
  <si>
    <t>logg254</t>
  </si>
  <si>
    <t>Acacia Bark</t>
  </si>
  <si>
    <t>logg255</t>
  </si>
  <si>
    <t>Claro Walnut Log</t>
  </si>
  <si>
    <t>logg256</t>
  </si>
  <si>
    <t>Rarefied Dark Chestnut Sap</t>
  </si>
  <si>
    <t>scripts</t>
  </si>
  <si>
    <t>purple</t>
  </si>
  <si>
    <t>collect</t>
  </si>
  <si>
    <t>logg257</t>
  </si>
  <si>
    <t>Rarefied Dark Chestnut Log</t>
  </si>
  <si>
    <t>logg258</t>
  </si>
  <si>
    <t>Rarefied Dark Chestnut Branch</t>
  </si>
  <si>
    <t>logg259</t>
  </si>
  <si>
    <t>Rarefied Dark Chestnut</t>
  </si>
  <si>
    <t>logg260</t>
  </si>
  <si>
    <t>Rarefied Dark Chestnut Resin</t>
  </si>
  <si>
    <t>logg261</t>
  </si>
  <si>
    <t>Rarefied Larch Log</t>
  </si>
  <si>
    <t>logg262</t>
  </si>
  <si>
    <t>Rarefied Shiitake Mushroom</t>
  </si>
  <si>
    <t>logg263</t>
  </si>
  <si>
    <t>Rarefied Larch Sap</t>
  </si>
  <si>
    <t>logg264</t>
  </si>
  <si>
    <t>Rarefied Pine Resin</t>
  </si>
  <si>
    <t>logg265</t>
  </si>
  <si>
    <t>Rarefied Pine Log</t>
  </si>
  <si>
    <t>logg266</t>
  </si>
  <si>
    <t>Rarefied Pixie Apple</t>
  </si>
  <si>
    <t>logg267</t>
  </si>
  <si>
    <t>Rarefied White Oak Log</t>
  </si>
  <si>
    <t>logg268</t>
  </si>
  <si>
    <t>Rarefied Miracle Apple Log</t>
  </si>
  <si>
    <t>logg269</t>
  </si>
  <si>
    <t>Rarefied Sandteak Log</t>
  </si>
  <si>
    <t>logg270</t>
  </si>
  <si>
    <t>Rarefied Kelp</t>
  </si>
  <si>
    <t>logg271</t>
  </si>
  <si>
    <t>Rarefied Amber Cloves</t>
  </si>
  <si>
    <t>logg272</t>
  </si>
  <si>
    <t>Rarefied Coral</t>
  </si>
  <si>
    <t>logg273</t>
  </si>
  <si>
    <t>Rarefied Urunday Log</t>
  </si>
  <si>
    <t>logg274</t>
  </si>
  <si>
    <t>Rarefied Palm Log</t>
  </si>
  <si>
    <t>logg275</t>
  </si>
  <si>
    <t>Rarefied Red Pine Log</t>
  </si>
  <si>
    <t>logg276</t>
  </si>
  <si>
    <t>Rarefied Coconut</t>
  </si>
  <si>
    <t>logg277</t>
  </si>
  <si>
    <t>Rarefied Sykon</t>
  </si>
  <si>
    <t>logg278</t>
  </si>
  <si>
    <t>Rarefied Ironwood Log</t>
  </si>
  <si>
    <t>logg279</t>
  </si>
  <si>
    <t>Rarefied Elder Nutmeg</t>
  </si>
  <si>
    <t>logg280</t>
  </si>
  <si>
    <t>Rarefied Sweet Kukuru Bean</t>
  </si>
  <si>
    <t>logg281</t>
  </si>
  <si>
    <t>Rarefied Acacia Bark</t>
  </si>
  <si>
    <t>logg282</t>
  </si>
  <si>
    <t>Rarefied Dark Mahogany Log</t>
  </si>
  <si>
    <t>orange</t>
  </si>
  <si>
    <t>logg283</t>
  </si>
  <si>
    <t>Rarefied Acacia Log</t>
  </si>
  <si>
    <t>logg284</t>
  </si>
  <si>
    <t>Old-growth Camphorwood Log</t>
  </si>
  <si>
    <t>folklore</t>
  </si>
  <si>
    <t>Legendary</t>
  </si>
  <si>
    <t>Tome of Botanical Folklore - Dravania</t>
  </si>
  <si>
    <t>logg285</t>
  </si>
  <si>
    <t>Crystallized Sap</t>
  </si>
  <si>
    <t>logg286</t>
  </si>
  <si>
    <t>Brown Mushroom</t>
  </si>
  <si>
    <t>logg287</t>
  </si>
  <si>
    <t>Teak Log</t>
  </si>
  <si>
    <t>logg288</t>
  </si>
  <si>
    <t>Honeydew Almonds</t>
  </si>
  <si>
    <t>Tome of Botanical Folklore - Abalathia's Spine</t>
  </si>
  <si>
    <t>logg289</t>
  </si>
  <si>
    <t>Wattle Bark</t>
  </si>
  <si>
    <t>logg290</t>
  </si>
  <si>
    <t>Torreya Log</t>
  </si>
  <si>
    <t>Tome of Botanical Folklore - Gyr Abania</t>
  </si>
  <si>
    <t>logg291</t>
  </si>
  <si>
    <t>Black Willow Log</t>
  </si>
  <si>
    <t>logg292</t>
  </si>
  <si>
    <t>Hardened Veteran Tree Sap</t>
  </si>
  <si>
    <t>logg293</t>
  </si>
  <si>
    <t>Urunday Log</t>
  </si>
  <si>
    <t>logg294</t>
  </si>
  <si>
    <t>Sandalwood Log</t>
  </si>
  <si>
    <t>Tome of Botanical Folklore - Norvrandt</t>
  </si>
  <si>
    <t>logg295</t>
  </si>
  <si>
    <t>Sandalwood Sap</t>
  </si>
  <si>
    <t>logg296</t>
  </si>
  <si>
    <t>Merbau Log</t>
  </si>
  <si>
    <t>logg297</t>
  </si>
  <si>
    <t>Silver Beech Log</t>
  </si>
  <si>
    <t>logg298</t>
  </si>
  <si>
    <t>Wattle Petribark</t>
  </si>
  <si>
    <t>logg299</t>
  </si>
  <si>
    <t>Haritaki</t>
  </si>
  <si>
    <t>Tome of Botanical Folklore - Ilsabard and the Northern Empty</t>
  </si>
  <si>
    <t>logg300</t>
  </si>
  <si>
    <t>Bayberry</t>
  </si>
  <si>
    <t>logg301</t>
  </si>
  <si>
    <t>Mornveil Tree Bark</t>
  </si>
  <si>
    <t>logg302</t>
  </si>
  <si>
    <t>Dark Cherry Log</t>
  </si>
  <si>
    <t>logg303</t>
  </si>
  <si>
    <t>logg304</t>
  </si>
  <si>
    <t>logg305</t>
  </si>
  <si>
    <t>logg306</t>
  </si>
  <si>
    <t>logg307</t>
  </si>
  <si>
    <t>Potent Spice</t>
  </si>
  <si>
    <t>Tome of Botanical Folklore - The World Unsundered</t>
  </si>
  <si>
    <t>logg308</t>
  </si>
  <si>
    <t>Mempisang Log</t>
  </si>
  <si>
    <t>logg309</t>
  </si>
  <si>
    <t>Paldao Log</t>
  </si>
  <si>
    <t>logg310</t>
  </si>
  <si>
    <t>logg311</t>
  </si>
  <si>
    <t>harv1</t>
  </si>
  <si>
    <t>harvesting</t>
  </si>
  <si>
    <t>harv2</t>
  </si>
  <si>
    <t>harv3</t>
  </si>
  <si>
    <t>harv4</t>
  </si>
  <si>
    <t>harv5</t>
  </si>
  <si>
    <t>harv6</t>
  </si>
  <si>
    <t>harv7</t>
  </si>
  <si>
    <t>harv8</t>
  </si>
  <si>
    <t>harv9</t>
  </si>
  <si>
    <t>harv10</t>
  </si>
  <si>
    <t>harv11</t>
  </si>
  <si>
    <t>harv12</t>
  </si>
  <si>
    <t>harv13</t>
  </si>
  <si>
    <t>harv14</t>
  </si>
  <si>
    <t>harv15</t>
  </si>
  <si>
    <t>harv16</t>
  </si>
  <si>
    <t>harv17</t>
  </si>
  <si>
    <t>harv18</t>
  </si>
  <si>
    <t>harv19</t>
  </si>
  <si>
    <t>harv20</t>
  </si>
  <si>
    <t>Firelight Seeds</t>
  </si>
  <si>
    <t>harv21</t>
  </si>
  <si>
    <t>Icelight Seeds</t>
  </si>
  <si>
    <t>harv22</t>
  </si>
  <si>
    <t>Windlight Seeds</t>
  </si>
  <si>
    <t>harv23</t>
  </si>
  <si>
    <t>Earthlight Seeds</t>
  </si>
  <si>
    <t>harv24</t>
  </si>
  <si>
    <t>Levinlight Seeds</t>
  </si>
  <si>
    <t>harv25</t>
  </si>
  <si>
    <t>Waterlight Seeds</t>
  </si>
  <si>
    <t>harv26</t>
  </si>
  <si>
    <t>Lowland Grapes</t>
  </si>
  <si>
    <t>harv27</t>
  </si>
  <si>
    <t>Chanterelle</t>
  </si>
  <si>
    <t>harv28</t>
  </si>
  <si>
    <t>Rye</t>
  </si>
  <si>
    <t>harv29</t>
  </si>
  <si>
    <t>Sunset Wheat</t>
  </si>
  <si>
    <t>harv30</t>
  </si>
  <si>
    <t>Garlean Garlic</t>
  </si>
  <si>
    <t>harv31</t>
  </si>
  <si>
    <t>Tree Toad</t>
  </si>
  <si>
    <t>harv32</t>
  </si>
  <si>
    <t>Moko Grass</t>
  </si>
  <si>
    <t>harv33</t>
  </si>
  <si>
    <t>Yellow Ginseng</t>
  </si>
  <si>
    <t>harv34</t>
  </si>
  <si>
    <t>Lowland Grape Seeds</t>
  </si>
  <si>
    <t>harv35</t>
  </si>
  <si>
    <t>Garlic Cloves</t>
  </si>
  <si>
    <t>harv36</t>
  </si>
  <si>
    <t>Wild Onion</t>
  </si>
  <si>
    <t>harv37</t>
  </si>
  <si>
    <t>Buffalo Beans</t>
  </si>
  <si>
    <t>harv38</t>
  </si>
  <si>
    <t>Straw</t>
  </si>
  <si>
    <t>harv39</t>
  </si>
  <si>
    <t>Lavender</t>
  </si>
  <si>
    <t>harv40</t>
  </si>
  <si>
    <t>Grass Viper</t>
  </si>
  <si>
    <t>harv41</t>
  </si>
  <si>
    <t>Wild Onion Set</t>
  </si>
  <si>
    <t>harv42</t>
  </si>
  <si>
    <t>Lavender Seeds</t>
  </si>
  <si>
    <t>harv43</t>
  </si>
  <si>
    <t>Coerthan Carrot</t>
  </si>
  <si>
    <t>harv44</t>
  </si>
  <si>
    <t>Ogre Pumpkin</t>
  </si>
  <si>
    <t>harv45</t>
  </si>
  <si>
    <t>La Noscean Lettuce</t>
  </si>
  <si>
    <t>harv46</t>
  </si>
  <si>
    <t>Cinderfoot Olive</t>
  </si>
  <si>
    <t>harv47</t>
  </si>
  <si>
    <t>Humus</t>
  </si>
  <si>
    <t>harv48</t>
  </si>
  <si>
    <t>Carnation</t>
  </si>
  <si>
    <t>harv49</t>
  </si>
  <si>
    <t>Coerthan Carrot Seeds</t>
  </si>
  <si>
    <t>harv50</t>
  </si>
  <si>
    <t>La Noscean Lettuce Seeds</t>
  </si>
  <si>
    <t>harv51</t>
  </si>
  <si>
    <t>Olive Seeds</t>
  </si>
  <si>
    <t>harv52</t>
  </si>
  <si>
    <t>Cieldalaes Spinach</t>
  </si>
  <si>
    <t>harv53</t>
  </si>
  <si>
    <t>Black Pepper</t>
  </si>
  <si>
    <t>harv54</t>
  </si>
  <si>
    <t>Cotton Boll</t>
  </si>
  <si>
    <t>harv55</t>
  </si>
  <si>
    <t>Black Pepper Seeds</t>
  </si>
  <si>
    <t>harv56</t>
  </si>
  <si>
    <t>Ruby Tomato</t>
  </si>
  <si>
    <t>harv57</t>
  </si>
  <si>
    <t>Alpine Parsnip</t>
  </si>
  <si>
    <t>harv58</t>
  </si>
  <si>
    <t>Highland Parsley</t>
  </si>
  <si>
    <t>harv59</t>
  </si>
  <si>
    <t>Marjoram</t>
  </si>
  <si>
    <t>harv60</t>
  </si>
  <si>
    <t>Paprika</t>
  </si>
  <si>
    <t>harv61</t>
  </si>
  <si>
    <t>Galago Mint</t>
  </si>
  <si>
    <t>harv62</t>
  </si>
  <si>
    <t>Paprika Seeds</t>
  </si>
  <si>
    <t>harv63</t>
  </si>
  <si>
    <t>Lalafellin Lentil</t>
  </si>
  <si>
    <t>harv64</t>
  </si>
  <si>
    <t>Popoto</t>
  </si>
  <si>
    <t>harv65</t>
  </si>
  <si>
    <t>Belladonna</t>
  </si>
  <si>
    <t>harv66</t>
  </si>
  <si>
    <t>Popoto Set</t>
  </si>
  <si>
    <t>harv67</t>
  </si>
  <si>
    <t>Gil Bun</t>
  </si>
  <si>
    <t>harv68</t>
  </si>
  <si>
    <t>Island Seedling</t>
  </si>
  <si>
    <t>harv69</t>
  </si>
  <si>
    <t>Shroud Seedling</t>
  </si>
  <si>
    <t>harv70</t>
  </si>
  <si>
    <t>Desert Seedling</t>
  </si>
  <si>
    <t>harv71</t>
  </si>
  <si>
    <t>White Scorpion</t>
  </si>
  <si>
    <t>harv72</t>
  </si>
  <si>
    <t>Pixie Plums</t>
  </si>
  <si>
    <t>harv73</t>
  </si>
  <si>
    <t>Pixie Plum Seeds</t>
  </si>
  <si>
    <t>harv74</t>
  </si>
  <si>
    <t>Noble Grapes</t>
  </si>
  <si>
    <t>harv75</t>
  </si>
  <si>
    <t>Button Mushroom</t>
  </si>
  <si>
    <t>harv76</t>
  </si>
  <si>
    <t>Ala Mhigan Mustard</t>
  </si>
  <si>
    <t>harv77</t>
  </si>
  <si>
    <t>Ala Mhigan Mustard Seeds</t>
  </si>
  <si>
    <t>harv78</t>
  </si>
  <si>
    <t>Pearl Ginger</t>
  </si>
  <si>
    <t>harv79</t>
  </si>
  <si>
    <t>Chamomile</t>
  </si>
  <si>
    <t>harv80</t>
  </si>
  <si>
    <t>Pearl Ginger Root</t>
  </si>
  <si>
    <t>harv81</t>
  </si>
  <si>
    <t>Chamomile Seeds</t>
  </si>
  <si>
    <t>harv82</t>
  </si>
  <si>
    <t>Sticky Rice</t>
  </si>
  <si>
    <t>harv83</t>
  </si>
  <si>
    <t>Millioncorn</t>
  </si>
  <si>
    <t>harv84</t>
  </si>
  <si>
    <t>Millioncorn Seeds</t>
  </si>
  <si>
    <t>harv85</t>
  </si>
  <si>
    <t>Jade Peas</t>
  </si>
  <si>
    <t>harv86</t>
  </si>
  <si>
    <t>harv87</t>
  </si>
  <si>
    <t>harv88</t>
  </si>
  <si>
    <t>harv89</t>
  </si>
  <si>
    <t>harv90</t>
  </si>
  <si>
    <t>harv91</t>
  </si>
  <si>
    <t>harv92</t>
  </si>
  <si>
    <t>harv93</t>
  </si>
  <si>
    <t>harv94</t>
  </si>
  <si>
    <t>harv95</t>
  </si>
  <si>
    <t>harv96</t>
  </si>
  <si>
    <t>harv97</t>
  </si>
  <si>
    <t>harv98</t>
  </si>
  <si>
    <t>harv99</t>
  </si>
  <si>
    <t>harv100</t>
  </si>
  <si>
    <t>harv101</t>
  </si>
  <si>
    <t>harv102</t>
  </si>
  <si>
    <t>harv103</t>
  </si>
  <si>
    <t>harv104</t>
  </si>
  <si>
    <t>harv105</t>
  </si>
  <si>
    <t>harv106</t>
  </si>
  <si>
    <t>harv107</t>
  </si>
  <si>
    <t>harv108</t>
  </si>
  <si>
    <t>harv109</t>
  </si>
  <si>
    <t>harv110</t>
  </si>
  <si>
    <t>harv111</t>
  </si>
  <si>
    <t>harv112</t>
  </si>
  <si>
    <t>harv113</t>
  </si>
  <si>
    <t>harv114</t>
  </si>
  <si>
    <t>harv115</t>
  </si>
  <si>
    <t>Yawtanane Grasslands</t>
  </si>
  <si>
    <t>harv116</t>
  </si>
  <si>
    <t>harv117</t>
  </si>
  <si>
    <t>harv118</t>
  </si>
  <si>
    <t>harv119</t>
  </si>
  <si>
    <t>harv120</t>
  </si>
  <si>
    <t>harv121</t>
  </si>
  <si>
    <t>harv122</t>
  </si>
  <si>
    <t>harv123</t>
  </si>
  <si>
    <t>harv124</t>
  </si>
  <si>
    <t>harv125</t>
  </si>
  <si>
    <t>harv126</t>
  </si>
  <si>
    <t>harv127</t>
  </si>
  <si>
    <t>harv128</t>
  </si>
  <si>
    <t>harv129</t>
  </si>
  <si>
    <t>harv130</t>
  </si>
  <si>
    <t>harv131</t>
  </si>
  <si>
    <t>harv132</t>
  </si>
  <si>
    <t>harv133</t>
  </si>
  <si>
    <t>harv134</t>
  </si>
  <si>
    <t>harv135</t>
  </si>
  <si>
    <t>harv136</t>
  </si>
  <si>
    <t>harv137</t>
  </si>
  <si>
    <t>harv138</t>
  </si>
  <si>
    <t>harv139</t>
  </si>
  <si>
    <t>harv140</t>
  </si>
  <si>
    <t>harv141</t>
  </si>
  <si>
    <t>harv142</t>
  </si>
  <si>
    <t>harv143</t>
  </si>
  <si>
    <t>harv144</t>
  </si>
  <si>
    <t>harv145</t>
  </si>
  <si>
    <t>harv146</t>
  </si>
  <si>
    <t>harv147</t>
  </si>
  <si>
    <t>harv148</t>
  </si>
  <si>
    <t>harv149</t>
  </si>
  <si>
    <t>harv150</t>
  </si>
  <si>
    <t>harv151</t>
  </si>
  <si>
    <t>harv152</t>
  </si>
  <si>
    <t>harv153</t>
  </si>
  <si>
    <t>Wizard Eggplant</t>
  </si>
  <si>
    <t>harv154</t>
  </si>
  <si>
    <t>Wizard Eggplant Seeds</t>
  </si>
  <si>
    <t>harv155</t>
  </si>
  <si>
    <t>Midland Cabbage</t>
  </si>
  <si>
    <t>harv156</t>
  </si>
  <si>
    <t>Midland Cabbage Seeds</t>
  </si>
  <si>
    <t>harv157</t>
  </si>
  <si>
    <t>Moor Leech</t>
  </si>
  <si>
    <t>harv158</t>
  </si>
  <si>
    <t>Flax</t>
  </si>
  <si>
    <t>harv159</t>
  </si>
  <si>
    <t>Yafaemi Wildgrass</t>
  </si>
  <si>
    <t>harv160</t>
  </si>
  <si>
    <t>Linseed</t>
  </si>
  <si>
    <t>harv161</t>
  </si>
  <si>
    <t>Aloe</t>
  </si>
  <si>
    <t>harv162</t>
  </si>
  <si>
    <t>Midland Basil</t>
  </si>
  <si>
    <t>harv163</t>
  </si>
  <si>
    <t>Midland Basil Seeds</t>
  </si>
  <si>
    <t>harv164</t>
  </si>
  <si>
    <t>White Truffle</t>
  </si>
  <si>
    <t>harv165</t>
  </si>
  <si>
    <t>Bloodgrass</t>
  </si>
  <si>
    <t>harv166</t>
  </si>
  <si>
    <t>Mandrake</t>
  </si>
  <si>
    <t>harv167</t>
  </si>
  <si>
    <t>Mandrake Seeds</t>
  </si>
  <si>
    <t>harv168</t>
  </si>
  <si>
    <t>Salt Leek</t>
  </si>
  <si>
    <t>harv169</t>
  </si>
  <si>
    <t>Laurel</t>
  </si>
  <si>
    <t>harv170</t>
  </si>
  <si>
    <t>Wildfowl Feather</t>
  </si>
  <si>
    <t>harv171</t>
  </si>
  <si>
    <t>Dragon Pepper</t>
  </si>
  <si>
    <t>harv172</t>
  </si>
  <si>
    <t>Desert Saffron</t>
  </si>
  <si>
    <t>harv173</t>
  </si>
  <si>
    <t>Blood Currants</t>
  </si>
  <si>
    <t>harv174</t>
  </si>
  <si>
    <t>Blood Currant Seeds</t>
  </si>
  <si>
    <t>harv175</t>
  </si>
  <si>
    <t>Mugwort</t>
  </si>
  <si>
    <t>harv176</t>
  </si>
  <si>
    <t>Maiden Artichoke</t>
  </si>
  <si>
    <t>harv177</t>
  </si>
  <si>
    <t>Ramhorn Zucchini</t>
  </si>
  <si>
    <t>harv178</t>
  </si>
  <si>
    <t>Thyme</t>
  </si>
  <si>
    <t>harv179</t>
  </si>
  <si>
    <t>Sagolii Sage</t>
  </si>
  <si>
    <t>harv180</t>
  </si>
  <si>
    <t>Black Scorpion</t>
  </si>
  <si>
    <t>harv181</t>
  </si>
  <si>
    <t>Rolanberry</t>
  </si>
  <si>
    <t>harv182</t>
  </si>
  <si>
    <t>Rolanberry Seeds</t>
  </si>
  <si>
    <t>harv183</t>
  </si>
  <si>
    <t>Dart Frog</t>
  </si>
  <si>
    <t>harv184</t>
  </si>
  <si>
    <t>Thanalan Tea Leaves</t>
  </si>
  <si>
    <t>harv185</t>
  </si>
  <si>
    <t>Lava Toad</t>
  </si>
  <si>
    <t>harv186</t>
  </si>
  <si>
    <t>Maiden Grass</t>
  </si>
  <si>
    <t>harv187</t>
  </si>
  <si>
    <t>harv188</t>
  </si>
  <si>
    <t>harv189</t>
  </si>
  <si>
    <t>harv190</t>
  </si>
  <si>
    <t>harv191</t>
  </si>
  <si>
    <t>harv192</t>
  </si>
  <si>
    <t>harv193</t>
  </si>
  <si>
    <t>harv194</t>
  </si>
  <si>
    <t>harv195</t>
  </si>
  <si>
    <t>harv196</t>
  </si>
  <si>
    <t>harv197</t>
  </si>
  <si>
    <t>harv198</t>
  </si>
  <si>
    <t>harv199</t>
  </si>
  <si>
    <t>harv200</t>
  </si>
  <si>
    <t>Dzemael Tomato</t>
  </si>
  <si>
    <t>harv201</t>
  </si>
  <si>
    <t>Honey Lemon</t>
  </si>
  <si>
    <t>harv202</t>
  </si>
  <si>
    <t>Black Truffle</t>
  </si>
  <si>
    <t>harv203</t>
  </si>
  <si>
    <t>Silkworm Cocoon</t>
  </si>
  <si>
    <t>harv204</t>
  </si>
  <si>
    <t>Trillium</t>
  </si>
  <si>
    <t>harv205</t>
  </si>
  <si>
    <t>Trillium Bulb</t>
  </si>
  <si>
    <t>harv206</t>
  </si>
  <si>
    <t>Kidragora</t>
  </si>
  <si>
    <t>harv207</t>
  </si>
  <si>
    <t>Dzemael Tomato Seeds</t>
  </si>
  <si>
    <t>harv208</t>
  </si>
  <si>
    <t>Honey Lemon Seeds</t>
  </si>
  <si>
    <t>harv209</t>
  </si>
  <si>
    <t>harv210</t>
  </si>
  <si>
    <t>harv211</t>
  </si>
  <si>
    <t>harv212</t>
  </si>
  <si>
    <t>harv213</t>
  </si>
  <si>
    <t>harv214</t>
  </si>
  <si>
    <t>harv215</t>
  </si>
  <si>
    <t>harv216</t>
  </si>
  <si>
    <t>harv217</t>
  </si>
  <si>
    <t>harv218</t>
  </si>
  <si>
    <t>Mazlaya Greens</t>
  </si>
  <si>
    <t>harv219</t>
  </si>
  <si>
    <t>harv220</t>
  </si>
  <si>
    <t>harv221</t>
  </si>
  <si>
    <t>harv222</t>
  </si>
  <si>
    <t>harv223</t>
  </si>
  <si>
    <t>harv224</t>
  </si>
  <si>
    <t>harv225</t>
  </si>
  <si>
    <t>La Noscean Leek</t>
  </si>
  <si>
    <t>harv226</t>
  </si>
  <si>
    <t>Young Cieldalaes Spinach</t>
  </si>
  <si>
    <t>harv227</t>
  </si>
  <si>
    <t>Waterfowl Feather</t>
  </si>
  <si>
    <t>harv228</t>
  </si>
  <si>
    <t>Shroud Tea Leaves</t>
  </si>
  <si>
    <t>harv229</t>
  </si>
  <si>
    <t>harv230</t>
  </si>
  <si>
    <t>harv231</t>
  </si>
  <si>
    <t>harv232</t>
  </si>
  <si>
    <t>harv233</t>
  </si>
  <si>
    <t>harv234</t>
  </si>
  <si>
    <t>harv235</t>
  </si>
  <si>
    <t>harv236</t>
  </si>
  <si>
    <t>harv237</t>
  </si>
  <si>
    <t>harv238</t>
  </si>
  <si>
    <t>harv239</t>
  </si>
  <si>
    <t>Old World Fig</t>
  </si>
  <si>
    <t>harv240</t>
  </si>
  <si>
    <t>Old World Fig Seeds</t>
  </si>
  <si>
    <t>harv241</t>
  </si>
  <si>
    <t>Rosemary</t>
  </si>
  <si>
    <t>harv242</t>
  </si>
  <si>
    <t>Rainbow Cotton Boll</t>
  </si>
  <si>
    <t>harv243</t>
  </si>
  <si>
    <t>Pearl Sprouts</t>
  </si>
  <si>
    <t>harv244</t>
  </si>
  <si>
    <t>Mist Dill</t>
  </si>
  <si>
    <t>harv245</t>
  </si>
  <si>
    <t>Pearl Sprout Seeds</t>
  </si>
  <si>
    <t>harv246</t>
  </si>
  <si>
    <t>Cyclops Onion</t>
  </si>
  <si>
    <t>harv247</t>
  </si>
  <si>
    <t>Highland Wheat</t>
  </si>
  <si>
    <t>harv248</t>
  </si>
  <si>
    <t>Coerthan Tea Leaves</t>
  </si>
  <si>
    <t>harv249</t>
  </si>
  <si>
    <t>Coerthan Tea Seeds</t>
  </si>
  <si>
    <t>harv250</t>
  </si>
  <si>
    <t>Stalk of Ramie</t>
  </si>
  <si>
    <t>harv251</t>
  </si>
  <si>
    <t>Magma Beet</t>
  </si>
  <si>
    <t>harv252</t>
  </si>
  <si>
    <t>Emerald Beans</t>
  </si>
  <si>
    <t>harv253</t>
  </si>
  <si>
    <t>Chives</t>
  </si>
  <si>
    <t>harv254</t>
  </si>
  <si>
    <t>Highland Oregano</t>
  </si>
  <si>
    <t>harv255</t>
  </si>
  <si>
    <t>harv256</t>
  </si>
  <si>
    <t>harv257</t>
  </si>
  <si>
    <t>harv258</t>
  </si>
  <si>
    <t>harv259</t>
  </si>
  <si>
    <t>harv260</t>
  </si>
  <si>
    <t>harv261</t>
  </si>
  <si>
    <t>Coneflower</t>
  </si>
  <si>
    <t>harv262</t>
  </si>
  <si>
    <t>Sesame Seeds</t>
  </si>
  <si>
    <t>harv263</t>
  </si>
  <si>
    <t>Cow Bitter</t>
  </si>
  <si>
    <t>harv264</t>
  </si>
  <si>
    <t>Dated Radz-at-Han Coin</t>
  </si>
  <si>
    <t>Zhloe Aliapoh</t>
  </si>
  <si>
    <t>harv265</t>
  </si>
  <si>
    <t>Furymint</t>
  </si>
  <si>
    <t>harv266</t>
  </si>
  <si>
    <t>harv267</t>
  </si>
  <si>
    <t>harv268</t>
  </si>
  <si>
    <t>harv269</t>
  </si>
  <si>
    <t>Ice Stalagmite</t>
  </si>
  <si>
    <t>harv270</t>
  </si>
  <si>
    <t>harv271</t>
  </si>
  <si>
    <t>harv272</t>
  </si>
  <si>
    <t>harv273</t>
  </si>
  <si>
    <t>Rue</t>
  </si>
  <si>
    <t>harv274</t>
  </si>
  <si>
    <t>Duskfall Moss</t>
  </si>
  <si>
    <t>harv275</t>
  </si>
  <si>
    <t>Dandelion</t>
  </si>
  <si>
    <t>harv276</t>
  </si>
  <si>
    <t>Coriander</t>
  </si>
  <si>
    <t>harv277</t>
  </si>
  <si>
    <t>Chysahl Greens</t>
  </si>
  <si>
    <t>harv278</t>
  </si>
  <si>
    <t>Clary Sage</t>
  </si>
  <si>
    <t>harv279</t>
  </si>
  <si>
    <t>harv280</t>
  </si>
  <si>
    <t>harv281</t>
  </si>
  <si>
    <t>harv282</t>
  </si>
  <si>
    <t>Black Soil</t>
  </si>
  <si>
    <t>harv283</t>
  </si>
  <si>
    <t>harv284</t>
  </si>
  <si>
    <t>harv285</t>
  </si>
  <si>
    <t>harv286</t>
  </si>
  <si>
    <t>harv287</t>
  </si>
  <si>
    <t>harv288</t>
  </si>
  <si>
    <t>Gaelicatnip</t>
  </si>
  <si>
    <t>harv289</t>
  </si>
  <si>
    <t>Periwinkle</t>
  </si>
  <si>
    <t>harv290</t>
  </si>
  <si>
    <t>harv291</t>
  </si>
  <si>
    <t>harv292</t>
  </si>
  <si>
    <t>harv293</t>
  </si>
  <si>
    <t>Glass Eye</t>
  </si>
  <si>
    <t>harv294</t>
  </si>
  <si>
    <t>Starcrack Sand</t>
  </si>
  <si>
    <t>M'naago</t>
  </si>
  <si>
    <t>harv295</t>
  </si>
  <si>
    <t>Shishu Koban</t>
  </si>
  <si>
    <t>harv296</t>
  </si>
  <si>
    <t>Cotter Dynasty Relic</t>
  </si>
  <si>
    <t>harv297</t>
  </si>
  <si>
    <t>harv298</t>
  </si>
  <si>
    <t>harv299</t>
  </si>
  <si>
    <t>harv300</t>
  </si>
  <si>
    <t>harv301</t>
  </si>
  <si>
    <t>harv302</t>
  </si>
  <si>
    <t>Whitefrost Cotton Boll</t>
  </si>
  <si>
    <t>harv303</t>
  </si>
  <si>
    <t>Rainbow Pigment</t>
  </si>
  <si>
    <t>harv304</t>
  </si>
  <si>
    <t>Peaks Pigment</t>
  </si>
  <si>
    <t>harv305</t>
  </si>
  <si>
    <t>Yellow Kudzu Root</t>
  </si>
  <si>
    <t>harv306</t>
  </si>
  <si>
    <t>Gyr Abanian Wheat</t>
  </si>
  <si>
    <t>harv307</t>
  </si>
  <si>
    <t>Bloodhemp</t>
  </si>
  <si>
    <t>harv308</t>
  </si>
  <si>
    <t>Pinch of Active Ingredients</t>
  </si>
  <si>
    <t>Kurenai</t>
  </si>
  <si>
    <t>harv309</t>
  </si>
  <si>
    <t>Mountain Popoto</t>
  </si>
  <si>
    <t>harv310</t>
  </si>
  <si>
    <t>Buckwheat Kernels</t>
  </si>
  <si>
    <t>harv311</t>
  </si>
  <si>
    <t>Gem Algae</t>
  </si>
  <si>
    <t>harv312</t>
  </si>
  <si>
    <t>Harpoon Head</t>
  </si>
  <si>
    <t>harv313</t>
  </si>
  <si>
    <t>Ruby Cotton Boll</t>
  </si>
  <si>
    <t>harv314</t>
  </si>
  <si>
    <t>Holy Basil</t>
  </si>
  <si>
    <t>harv315</t>
  </si>
  <si>
    <t>Phial of Thermal Fluid</t>
  </si>
  <si>
    <t>harv316</t>
  </si>
  <si>
    <t>Sugar Beet</t>
  </si>
  <si>
    <t>harv317</t>
  </si>
  <si>
    <t>Green Leek</t>
  </si>
  <si>
    <t>harv318</t>
  </si>
  <si>
    <t>Soybeans</t>
  </si>
  <si>
    <t>harv319</t>
  </si>
  <si>
    <t>Ama Nori</t>
  </si>
  <si>
    <t>harv320</t>
  </si>
  <si>
    <t>Shisui Jewel</t>
  </si>
  <si>
    <t>harv321</t>
  </si>
  <si>
    <t>Kudzu Root</t>
  </si>
  <si>
    <t>harv322</t>
  </si>
  <si>
    <t>Cumin Seeds</t>
  </si>
  <si>
    <t>harv323</t>
  </si>
  <si>
    <t>Kudzu Vine</t>
  </si>
  <si>
    <t>harv324</t>
  </si>
  <si>
    <t>Cloudkin Feather</t>
  </si>
  <si>
    <t>harv325</t>
  </si>
  <si>
    <t>Daikon Radish</t>
  </si>
  <si>
    <t>harv326</t>
  </si>
  <si>
    <t>Gyr Abanian Carrot</t>
  </si>
  <si>
    <t>harv327</t>
  </si>
  <si>
    <t>Lotus Root</t>
  </si>
  <si>
    <t>harv328</t>
  </si>
  <si>
    <t>Sun Cabbage</t>
  </si>
  <si>
    <t>harv329</t>
  </si>
  <si>
    <t>Fennel</t>
  </si>
  <si>
    <t>harv330</t>
  </si>
  <si>
    <t>harv331</t>
  </si>
  <si>
    <t>Windtea Leaves</t>
  </si>
  <si>
    <t>harv332</t>
  </si>
  <si>
    <t>harv333</t>
  </si>
  <si>
    <t>Strong Steppe Spice</t>
  </si>
  <si>
    <t>harv334</t>
  </si>
  <si>
    <t>Ruby Tide Kelp</t>
  </si>
  <si>
    <t>harv335</t>
  </si>
  <si>
    <t>Jhammel Ginger</t>
  </si>
  <si>
    <t>harv336</t>
  </si>
  <si>
    <t>Yanxian Parsley</t>
  </si>
  <si>
    <t>harv337</t>
  </si>
  <si>
    <t>Alyssum</t>
  </si>
  <si>
    <t>harv338</t>
  </si>
  <si>
    <t>Nagxian Cudweed</t>
  </si>
  <si>
    <t>harv339</t>
  </si>
  <si>
    <t>Chickweed</t>
  </si>
  <si>
    <t>harv340</t>
  </si>
  <si>
    <t>Nipplewort</t>
  </si>
  <si>
    <t>harv341</t>
  </si>
  <si>
    <t>Doman Eggplant</t>
  </si>
  <si>
    <t>harv342</t>
  </si>
  <si>
    <t>Twincoon</t>
  </si>
  <si>
    <t>harv343</t>
  </si>
  <si>
    <t>Amh Araeng Seasonings</t>
  </si>
  <si>
    <t>harv344</t>
  </si>
  <si>
    <t>Clinquant Stones</t>
  </si>
  <si>
    <t>harv345</t>
  </si>
  <si>
    <t>Animal Trace</t>
  </si>
  <si>
    <t>harv346</t>
  </si>
  <si>
    <t>Hallowed Basil</t>
  </si>
  <si>
    <t>harv347</t>
  </si>
  <si>
    <t>Airship Fitting Components</t>
  </si>
  <si>
    <t>harv348</t>
  </si>
  <si>
    <t>harv349</t>
  </si>
  <si>
    <t>harv350</t>
  </si>
  <si>
    <t>Night Pepper</t>
  </si>
  <si>
    <t>harv351</t>
  </si>
  <si>
    <t>Purple Carrot</t>
  </si>
  <si>
    <t>harv352</t>
  </si>
  <si>
    <t>Curly Parsley</t>
  </si>
  <si>
    <t>harv353</t>
  </si>
  <si>
    <t>Blood Tomato</t>
  </si>
  <si>
    <t>harv354</t>
  </si>
  <si>
    <t>Bright Flax</t>
  </si>
  <si>
    <t>harv355</t>
  </si>
  <si>
    <t>Gathering Tool Paraphernalia</t>
  </si>
  <si>
    <t>harv356</t>
  </si>
  <si>
    <t>Garden Beet</t>
  </si>
  <si>
    <t>harv357</t>
  </si>
  <si>
    <t>Broad Beans</t>
  </si>
  <si>
    <t>harv358</t>
  </si>
  <si>
    <t>Iridescent Cocoon</t>
  </si>
  <si>
    <t>harv359</t>
  </si>
  <si>
    <t>Medical Supply Materials</t>
  </si>
  <si>
    <t>harv360</t>
  </si>
  <si>
    <t>Upland Wheat</t>
  </si>
  <si>
    <t>harv361</t>
  </si>
  <si>
    <t>Crafting Tool Paraphernalia</t>
  </si>
  <si>
    <t>harv362</t>
  </si>
  <si>
    <t>Animal Droppings</t>
  </si>
  <si>
    <t>harv363</t>
  </si>
  <si>
    <t>Peppermint</t>
  </si>
  <si>
    <t>harv364</t>
  </si>
  <si>
    <t>Pixie Floss Boll</t>
  </si>
  <si>
    <t>harv365</t>
  </si>
  <si>
    <t>Royal Grapes</t>
  </si>
  <si>
    <t>harv366</t>
  </si>
  <si>
    <t>Creamtop Mushroom</t>
  </si>
  <si>
    <t>harv367</t>
  </si>
  <si>
    <t>Printing Paraphernalia</t>
  </si>
  <si>
    <t>harv368</t>
  </si>
  <si>
    <t>Megafauna Leftovers</t>
  </si>
  <si>
    <t>harv369</t>
  </si>
  <si>
    <t>Russet Popoto</t>
  </si>
  <si>
    <t>harv370</t>
  </si>
  <si>
    <t>harv371</t>
  </si>
  <si>
    <t>Sweet Alyssum</t>
  </si>
  <si>
    <t>harv372</t>
  </si>
  <si>
    <t>harv373</t>
  </si>
  <si>
    <t>Fernleaf Lavender</t>
  </si>
  <si>
    <t>harv374</t>
  </si>
  <si>
    <t>Art Supply Materials</t>
  </si>
  <si>
    <t>harv375</t>
  </si>
  <si>
    <t>Mist Spinach</t>
  </si>
  <si>
    <t>harv376</t>
  </si>
  <si>
    <t>Bomba Rice</t>
  </si>
  <si>
    <t>harv377</t>
  </si>
  <si>
    <t>Coffee Beans</t>
  </si>
  <si>
    <t>harv378</t>
  </si>
  <si>
    <t>Lime Basil</t>
  </si>
  <si>
    <t>harv379</t>
  </si>
  <si>
    <t>Megafauna Trace</t>
  </si>
  <si>
    <t>harv380</t>
  </si>
  <si>
    <t>Dwarven Cotton Boll</t>
  </si>
  <si>
    <t>harv381</t>
  </si>
  <si>
    <t>Tiger Lily</t>
  </si>
  <si>
    <t>harv382</t>
  </si>
  <si>
    <t>Light Gerbera</t>
  </si>
  <si>
    <t>harv383</t>
  </si>
  <si>
    <t>harv384</t>
  </si>
  <si>
    <t>harv385</t>
  </si>
  <si>
    <t>harv386</t>
  </si>
  <si>
    <t>harv387</t>
  </si>
  <si>
    <t>Iceberg Lettuce</t>
  </si>
  <si>
    <t>harv388</t>
  </si>
  <si>
    <t>Dark Rye</t>
  </si>
  <si>
    <t>harv389</t>
  </si>
  <si>
    <t>Dark Hemp</t>
  </si>
  <si>
    <t>harv390</t>
  </si>
  <si>
    <t>Aetheroconductive Feather</t>
  </si>
  <si>
    <t>harv391</t>
  </si>
  <si>
    <t>Aetheroconductive Focus Materials</t>
  </si>
  <si>
    <t>harv392</t>
  </si>
  <si>
    <t>Raw Sheep Fodder</t>
  </si>
  <si>
    <t>Anden</t>
  </si>
  <si>
    <t>harv393</t>
  </si>
  <si>
    <t>Cushion Care Package Materials</t>
  </si>
  <si>
    <t>Margrat</t>
  </si>
  <si>
    <t>harv394</t>
  </si>
  <si>
    <t>Thavnairian Paprika</t>
  </si>
  <si>
    <t>harv395</t>
  </si>
  <si>
    <t>Thavnairian Perilla Leaf</t>
  </si>
  <si>
    <t>harv396</t>
  </si>
  <si>
    <t>Combustible Fuel</t>
  </si>
  <si>
    <t>harv397</t>
  </si>
  <si>
    <t>Feline Fascinators</t>
  </si>
  <si>
    <t>harv398</t>
  </si>
  <si>
    <t>Cucumber</t>
  </si>
  <si>
    <t>harv399</t>
  </si>
  <si>
    <t>Eblan Lentils</t>
  </si>
  <si>
    <t>harv400</t>
  </si>
  <si>
    <t>Natural Ingredients</t>
  </si>
  <si>
    <t>harv401</t>
  </si>
  <si>
    <t>Mesmerizing Miniature Materials</t>
  </si>
  <si>
    <t>harv402</t>
  </si>
  <si>
    <t>Beet</t>
  </si>
  <si>
    <t>harv403</t>
  </si>
  <si>
    <t>Snow Flax</t>
  </si>
  <si>
    <t>harv404</t>
  </si>
  <si>
    <t>Crafters' Supplies</t>
  </si>
  <si>
    <t>harv405</t>
  </si>
  <si>
    <t>Carrot of Happiness</t>
  </si>
  <si>
    <t>harv406</t>
  </si>
  <si>
    <t>Lovely Knickknacks</t>
  </si>
  <si>
    <t>harv407</t>
  </si>
  <si>
    <t>Energizing Eye-lixir Materials</t>
  </si>
  <si>
    <t>harv408</t>
  </si>
  <si>
    <t>Scarlet Moko Grass</t>
  </si>
  <si>
    <t>harv409</t>
  </si>
  <si>
    <t>harv410</t>
  </si>
  <si>
    <t>Giant Popoto</t>
  </si>
  <si>
    <t>harv411</t>
  </si>
  <si>
    <t>Researcher's Relaxation Kit Materials</t>
  </si>
  <si>
    <t>harv412</t>
  </si>
  <si>
    <t>Sideritis Leaves</t>
  </si>
  <si>
    <t>harv413</t>
  </si>
  <si>
    <t>AR-Caean Cotton Boll</t>
  </si>
  <si>
    <t>harv414</t>
  </si>
  <si>
    <t>Alien Onion</t>
  </si>
  <si>
    <t>harv415</t>
  </si>
  <si>
    <t>harv416</t>
  </si>
  <si>
    <t>Ut'ohmu Tomato</t>
  </si>
  <si>
    <t>harv417</t>
  </si>
  <si>
    <t>Snow Cotton</t>
  </si>
  <si>
    <t>harv418</t>
  </si>
  <si>
    <t>Eucalyptus</t>
  </si>
  <si>
    <t>harv419</t>
  </si>
  <si>
    <t>Turali Aloe</t>
  </si>
  <si>
    <t>harv420</t>
  </si>
  <si>
    <t>Shaaloani Oilseeds</t>
  </si>
  <si>
    <t>harv421</t>
  </si>
  <si>
    <t>Turali Corn</t>
  </si>
  <si>
    <t>harv422</t>
  </si>
  <si>
    <t>Mountain Flax</t>
  </si>
  <si>
    <t>harv423</t>
  </si>
  <si>
    <t>Kozama'uka Chamomile</t>
  </si>
  <si>
    <t>harv424</t>
  </si>
  <si>
    <t>White Pepper</t>
  </si>
  <si>
    <t>harv425</t>
  </si>
  <si>
    <t>Sarcenet</t>
  </si>
  <si>
    <t>harv426</t>
  </si>
  <si>
    <t>harv427</t>
  </si>
  <si>
    <t>Bell Pepper</t>
  </si>
  <si>
    <t>harv428</t>
  </si>
  <si>
    <t>Yyasulani Garlic</t>
  </si>
  <si>
    <t>harv429</t>
  </si>
  <si>
    <t>Levinsilk</t>
  </si>
  <si>
    <t>harv430</t>
  </si>
  <si>
    <t>Wind Parsley</t>
  </si>
  <si>
    <t>harv431</t>
  </si>
  <si>
    <t>Windsbalm Bay Leaf</t>
  </si>
  <si>
    <t>harv432</t>
  </si>
  <si>
    <t>Pearl Grass</t>
  </si>
  <si>
    <t>harv433</t>
  </si>
  <si>
    <t>Broccoli</t>
  </si>
  <si>
    <t>harv434</t>
  </si>
  <si>
    <t>harv435</t>
  </si>
  <si>
    <t>Rarefied Rainbow Cotton Boll</t>
  </si>
  <si>
    <t>harv436</t>
  </si>
  <si>
    <t>Rarefied Bloodhemp</t>
  </si>
  <si>
    <t>harv437</t>
  </si>
  <si>
    <t>Rarefied Bright Flax</t>
  </si>
  <si>
    <t>harv438</t>
  </si>
  <si>
    <t>Rarefied Night Pepper</t>
  </si>
  <si>
    <t>harv439</t>
  </si>
  <si>
    <t>Rarefied Thavnairian Perilla Leaf</t>
  </si>
  <si>
    <t>harv440</t>
  </si>
  <si>
    <t>Rarefied Dark Rye</t>
  </si>
  <si>
    <t>harv441</t>
  </si>
  <si>
    <t>Rarefied Iceberg Lettuce</t>
  </si>
  <si>
    <t>harv442</t>
  </si>
  <si>
    <t>Rarefied AR-Caean Cotton Boll</t>
  </si>
  <si>
    <t>harv443</t>
  </si>
  <si>
    <t>Rarefied Kozama'uka Chamomile</t>
  </si>
  <si>
    <t>harv444</t>
  </si>
  <si>
    <t>Rarefied Mountain Flax</t>
  </si>
  <si>
    <t>harv445</t>
  </si>
  <si>
    <t>Rarefied Wild Agave</t>
  </si>
  <si>
    <t>harv446</t>
  </si>
  <si>
    <t>Rarefied Windsbalm Bay Leaf</t>
  </si>
  <si>
    <t>harv447</t>
  </si>
  <si>
    <t>Dravanian Paprika</t>
  </si>
  <si>
    <t>Tome of Botanical Folklore - Coerthas</t>
  </si>
  <si>
    <t>harv448</t>
  </si>
  <si>
    <t>Vanilla Beans</t>
  </si>
  <si>
    <t>harv449</t>
  </si>
  <si>
    <t>Frost Cotton Boll</t>
  </si>
  <si>
    <t>harv450</t>
  </si>
  <si>
    <t>Snurbleberry</t>
  </si>
  <si>
    <t>harv451</t>
  </si>
  <si>
    <t>Seventh Heaven</t>
  </si>
  <si>
    <t>harv452</t>
  </si>
  <si>
    <t>Noble Sage</t>
  </si>
  <si>
    <t>harv453</t>
  </si>
  <si>
    <t>Star Cotton Boll</t>
  </si>
  <si>
    <t>harv454</t>
  </si>
  <si>
    <t>Hingan Flax</t>
  </si>
  <si>
    <t>harv455</t>
  </si>
  <si>
    <t>Rhea</t>
  </si>
  <si>
    <t>Tome of Botanical Folklore - Othard</t>
  </si>
  <si>
    <t>harv456</t>
  </si>
  <si>
    <t>Azim Cotton Boll</t>
  </si>
  <si>
    <t>harv457</t>
  </si>
  <si>
    <t>Yanxian Cotton Boll</t>
  </si>
  <si>
    <t>harv458</t>
  </si>
  <si>
    <t>Ethereal Cocoon</t>
  </si>
  <si>
    <t>harv459</t>
  </si>
  <si>
    <t>Duskblooms</t>
  </si>
  <si>
    <t>harv460</t>
  </si>
  <si>
    <t>Imperial Fern</t>
  </si>
  <si>
    <t>harv461</t>
  </si>
  <si>
    <t>Tender Dill</t>
  </si>
  <si>
    <t>harv462</t>
  </si>
  <si>
    <t>Raindrop Cotton Boll</t>
  </si>
  <si>
    <t>harv463</t>
  </si>
  <si>
    <t>harv464</t>
  </si>
  <si>
    <t>Golden Cocoon</t>
  </si>
  <si>
    <t>harv465</t>
  </si>
  <si>
    <t>Thavnairian Corn</t>
  </si>
  <si>
    <t>harv466</t>
  </si>
  <si>
    <t>Field Mustard</t>
  </si>
  <si>
    <t>harv467</t>
  </si>
  <si>
    <t>Tome of Botanical Folklore - The Sea of Stars</t>
  </si>
  <si>
    <t>harv468</t>
  </si>
  <si>
    <t>Double-edged Herb</t>
  </si>
  <si>
    <t>harv469</t>
  </si>
  <si>
    <t>harv470</t>
  </si>
  <si>
    <t>harv471</t>
  </si>
  <si>
    <t>Lovingbloom</t>
  </si>
  <si>
    <t>mine1</t>
  </si>
  <si>
    <t>mining</t>
  </si>
  <si>
    <t>Copper Ore</t>
  </si>
  <si>
    <t>mine2</t>
  </si>
  <si>
    <t>mine3</t>
  </si>
  <si>
    <t>mine4</t>
  </si>
  <si>
    <t>mine5</t>
  </si>
  <si>
    <t>mine6</t>
  </si>
  <si>
    <t>mine7</t>
  </si>
  <si>
    <t>mine8</t>
  </si>
  <si>
    <t>mine9</t>
  </si>
  <si>
    <t>mine10</t>
  </si>
  <si>
    <t>mine11</t>
  </si>
  <si>
    <t>mine12</t>
  </si>
  <si>
    <t>mine13</t>
  </si>
  <si>
    <t>mine14</t>
  </si>
  <si>
    <t>mine15</t>
  </si>
  <si>
    <t>mine16</t>
  </si>
  <si>
    <t>mine17</t>
  </si>
  <si>
    <t>mine18</t>
  </si>
  <si>
    <t>mine19</t>
  </si>
  <si>
    <t>mine20</t>
  </si>
  <si>
    <t>mine21</t>
  </si>
  <si>
    <t>mine22</t>
  </si>
  <si>
    <t>mine23</t>
  </si>
  <si>
    <t>mine24</t>
  </si>
  <si>
    <t>mine25</t>
  </si>
  <si>
    <t>mine26</t>
  </si>
  <si>
    <t>mine27</t>
  </si>
  <si>
    <t>mine28</t>
  </si>
  <si>
    <t>Muddy Water</t>
  </si>
  <si>
    <t>mine29</t>
  </si>
  <si>
    <t>mine30</t>
  </si>
  <si>
    <t>Bone Chip</t>
  </si>
  <si>
    <t>mine31</t>
  </si>
  <si>
    <t>Tin Ore</t>
  </si>
  <si>
    <t>mine32</t>
  </si>
  <si>
    <t>mine33</t>
  </si>
  <si>
    <t>Raw Sunstone</t>
  </si>
  <si>
    <t>mine34</t>
  </si>
  <si>
    <t>Raw Lapis Lazuli</t>
  </si>
  <si>
    <t>mine35</t>
  </si>
  <si>
    <t>Soiled Femur</t>
  </si>
  <si>
    <t>mine36</t>
  </si>
  <si>
    <t>mine37</t>
  </si>
  <si>
    <t>Zinc Ore</t>
  </si>
  <si>
    <t>mine38</t>
  </si>
  <si>
    <t>mine39</t>
  </si>
  <si>
    <t>Obsidian</t>
  </si>
  <si>
    <t>mine40</t>
  </si>
  <si>
    <t>Potter's Clay</t>
  </si>
  <si>
    <t>mine41</t>
  </si>
  <si>
    <t>Iron Ore</t>
  </si>
  <si>
    <t>mine42</t>
  </si>
  <si>
    <t>Raw Malachite</t>
  </si>
  <si>
    <t>mine43</t>
  </si>
  <si>
    <t>Raw Sphene</t>
  </si>
  <si>
    <t>mine44</t>
  </si>
  <si>
    <t>Raw Fluorite</t>
  </si>
  <si>
    <t>mine45</t>
  </si>
  <si>
    <t>Raw Danburite</t>
  </si>
  <si>
    <t>mine46</t>
  </si>
  <si>
    <t>Sunrise Tellin</t>
  </si>
  <si>
    <t>mine47</t>
  </si>
  <si>
    <t>Alumen</t>
  </si>
  <si>
    <t>mine48</t>
  </si>
  <si>
    <t>Effervescent Water</t>
  </si>
  <si>
    <t>mine49</t>
  </si>
  <si>
    <t>Silver Ore</t>
  </si>
  <si>
    <t>mine50</t>
  </si>
  <si>
    <t>mine51</t>
  </si>
  <si>
    <t>mine52</t>
  </si>
  <si>
    <t>mine53</t>
  </si>
  <si>
    <t>mine54</t>
  </si>
  <si>
    <t>mine55</t>
  </si>
  <si>
    <t>mine56</t>
  </si>
  <si>
    <t>mine57</t>
  </si>
  <si>
    <t>mine58</t>
  </si>
  <si>
    <t>mine59</t>
  </si>
  <si>
    <t>mine60</t>
  </si>
  <si>
    <t>mine61</t>
  </si>
  <si>
    <t>mine62</t>
  </si>
  <si>
    <t>mine63</t>
  </si>
  <si>
    <t>mine64</t>
  </si>
  <si>
    <t>mine65</t>
  </si>
  <si>
    <t>mine66</t>
  </si>
  <si>
    <t>mine67</t>
  </si>
  <si>
    <t>mine68</t>
  </si>
  <si>
    <t>mine69</t>
  </si>
  <si>
    <t>mine70</t>
  </si>
  <si>
    <t>mine71</t>
  </si>
  <si>
    <t>mine72</t>
  </si>
  <si>
    <t>mine73</t>
  </si>
  <si>
    <t>mine74</t>
  </si>
  <si>
    <t>mine75</t>
  </si>
  <si>
    <t>mine76</t>
  </si>
  <si>
    <t>mine77</t>
  </si>
  <si>
    <t>mine78</t>
  </si>
  <si>
    <t>mine79</t>
  </si>
  <si>
    <t>mine80</t>
  </si>
  <si>
    <t>mine81</t>
  </si>
  <si>
    <t>mine82</t>
  </si>
  <si>
    <t>mine83</t>
  </si>
  <si>
    <t>mine84</t>
  </si>
  <si>
    <t>mine85</t>
  </si>
  <si>
    <t>mine86</t>
  </si>
  <si>
    <t>mine87</t>
  </si>
  <si>
    <t>mine88</t>
  </si>
  <si>
    <t>mine89</t>
  </si>
  <si>
    <t>mine90</t>
  </si>
  <si>
    <t>mine91</t>
  </si>
  <si>
    <t>mine92</t>
  </si>
  <si>
    <t>mine93</t>
  </si>
  <si>
    <t>mine94</t>
  </si>
  <si>
    <t>mine95</t>
  </si>
  <si>
    <t>mine96</t>
  </si>
  <si>
    <t>mine97</t>
  </si>
  <si>
    <t>mine98</t>
  </si>
  <si>
    <t>Wyvern Obsidian</t>
  </si>
  <si>
    <t>mine99</t>
  </si>
  <si>
    <t>Saltpeter</t>
  </si>
  <si>
    <t>mine100</t>
  </si>
  <si>
    <t>Granite</t>
  </si>
  <si>
    <t>mine101</t>
  </si>
  <si>
    <t>Raw Garnet</t>
  </si>
  <si>
    <t>mine102</t>
  </si>
  <si>
    <t>Little Worm</t>
  </si>
  <si>
    <t>mine103</t>
  </si>
  <si>
    <t>Raw Heliodor</t>
  </si>
  <si>
    <t>mine104</t>
  </si>
  <si>
    <t>Raw Goshenite</t>
  </si>
  <si>
    <t>mine105</t>
  </si>
  <si>
    <t>Raw Peridot</t>
  </si>
  <si>
    <t>mine106</t>
  </si>
  <si>
    <t>Mythril Ore</t>
  </si>
  <si>
    <t>mine107</t>
  </si>
  <si>
    <t>Raw Amethyst</t>
  </si>
  <si>
    <t>mine108</t>
  </si>
  <si>
    <t>Raw Aquamarine</t>
  </si>
  <si>
    <t>mine109</t>
  </si>
  <si>
    <t>Raw Tourmaline</t>
  </si>
  <si>
    <t>mine110</t>
  </si>
  <si>
    <t>Raw Spinel</t>
  </si>
  <si>
    <t>mine111</t>
  </si>
  <si>
    <t>Raw Zircon</t>
  </si>
  <si>
    <t>mine112</t>
  </si>
  <si>
    <t>Jade</t>
  </si>
  <si>
    <t>mine113</t>
  </si>
  <si>
    <t>Black Alumen</t>
  </si>
  <si>
    <t>mine114</t>
  </si>
  <si>
    <t>Raw Turquoise</t>
  </si>
  <si>
    <t>mine115</t>
  </si>
  <si>
    <t>Electrum Ore</t>
  </si>
  <si>
    <t>mine116</t>
  </si>
  <si>
    <t>Raw Amber</t>
  </si>
  <si>
    <t>mine117</t>
  </si>
  <si>
    <t>Raw Rubellite</t>
  </si>
  <si>
    <t>mine118</t>
  </si>
  <si>
    <t>Basilisk Egg</t>
  </si>
  <si>
    <t>mine119</t>
  </si>
  <si>
    <t>Cobalt Ore</t>
  </si>
  <si>
    <t>mine120</t>
  </si>
  <si>
    <t>Adamantoise Shell</t>
  </si>
  <si>
    <t>mine121</t>
  </si>
  <si>
    <t>Ogre Horn</t>
  </si>
  <si>
    <t>mine122</t>
  </si>
  <si>
    <t>mine123</t>
  </si>
  <si>
    <t>mine124</t>
  </si>
  <si>
    <t>mine125</t>
  </si>
  <si>
    <t>mine126</t>
  </si>
  <si>
    <t>mine127</t>
  </si>
  <si>
    <t>Gold Ore</t>
  </si>
  <si>
    <t>mine128</t>
  </si>
  <si>
    <t>Darksteel Ore</t>
  </si>
  <si>
    <t>mine129</t>
  </si>
  <si>
    <t>Coblyn Larva</t>
  </si>
  <si>
    <t>mine130</t>
  </si>
  <si>
    <t>mine131</t>
  </si>
  <si>
    <t>mine132</t>
  </si>
  <si>
    <t>mine133</t>
  </si>
  <si>
    <t>mine134</t>
  </si>
  <si>
    <t>mine135</t>
  </si>
  <si>
    <t>mine136</t>
  </si>
  <si>
    <t>mine137</t>
  </si>
  <si>
    <t>Gregarious Worm</t>
  </si>
  <si>
    <t>mine138</t>
  </si>
  <si>
    <t>mine139</t>
  </si>
  <si>
    <t>mine140</t>
  </si>
  <si>
    <t>mine141</t>
  </si>
  <si>
    <t>mine142</t>
  </si>
  <si>
    <t>mine143</t>
  </si>
  <si>
    <t>mine144</t>
  </si>
  <si>
    <t>Ferberite</t>
  </si>
  <si>
    <t>mine145</t>
  </si>
  <si>
    <t>Native Gold</t>
  </si>
  <si>
    <t>mine146</t>
  </si>
  <si>
    <t>Raw Ruby</t>
  </si>
  <si>
    <t>mine147</t>
  </si>
  <si>
    <t>Raw Diamond</t>
  </si>
  <si>
    <t>mine148</t>
  </si>
  <si>
    <t>Raw Emerald</t>
  </si>
  <si>
    <t>mine149</t>
  </si>
  <si>
    <t>Raw Topaz</t>
  </si>
  <si>
    <t>mine150</t>
  </si>
  <si>
    <t>Raw Lolite</t>
  </si>
  <si>
    <t>mine151</t>
  </si>
  <si>
    <t>Raw Sapphire</t>
  </si>
  <si>
    <t>mine152</t>
  </si>
  <si>
    <t>mine153</t>
  </si>
  <si>
    <t>mine154</t>
  </si>
  <si>
    <t>mine155</t>
  </si>
  <si>
    <t>mine156</t>
  </si>
  <si>
    <t>mine157</t>
  </si>
  <si>
    <t>mine158</t>
  </si>
  <si>
    <t>mine159</t>
  </si>
  <si>
    <t>Yellow Copper Ore</t>
  </si>
  <si>
    <t>mine160</t>
  </si>
  <si>
    <t>Platinum Ore</t>
  </si>
  <si>
    <t>mine161</t>
  </si>
  <si>
    <t>Dragon Obsidian</t>
  </si>
  <si>
    <t>mine162</t>
  </si>
  <si>
    <t>Virgin Basilisk Egg</t>
  </si>
  <si>
    <t>mine163</t>
  </si>
  <si>
    <t>Pyrite</t>
  </si>
  <si>
    <t>mine164</t>
  </si>
  <si>
    <t>Raw Agate</t>
  </si>
  <si>
    <t>mine165</t>
  </si>
  <si>
    <t>Raw Tiger's Eye</t>
  </si>
  <si>
    <t>mine166</t>
  </si>
  <si>
    <t>Mythrite Ore</t>
  </si>
  <si>
    <t>mine167</t>
  </si>
  <si>
    <t>Chalcocite</t>
  </si>
  <si>
    <t>mine168</t>
  </si>
  <si>
    <t>Raw Larimar</t>
  </si>
  <si>
    <t>mine169</t>
  </si>
  <si>
    <t>Limonite</t>
  </si>
  <si>
    <t>mine170</t>
  </si>
  <si>
    <t>Raw Mormorion</t>
  </si>
  <si>
    <t>mine171</t>
  </si>
  <si>
    <t>Dravanian Spring Water</t>
  </si>
  <si>
    <t>mine172</t>
  </si>
  <si>
    <t>Titanium Ore</t>
  </si>
  <si>
    <t>mine173</t>
  </si>
  <si>
    <t>Raw Star Ruby</t>
  </si>
  <si>
    <t>mine174</t>
  </si>
  <si>
    <t>Raw Star Sapphire</t>
  </si>
  <si>
    <t>mine175</t>
  </si>
  <si>
    <t>Light Kidney Ore</t>
  </si>
  <si>
    <t>mine176</t>
  </si>
  <si>
    <t>Raw Opal</t>
  </si>
  <si>
    <t>mine177</t>
  </si>
  <si>
    <t>Abalathian Spring Water</t>
  </si>
  <si>
    <t>mine178</t>
  </si>
  <si>
    <t>mine179</t>
  </si>
  <si>
    <t>Hardsilver Ore</t>
  </si>
  <si>
    <t>mine180</t>
  </si>
  <si>
    <t>Raw Carnelian</t>
  </si>
  <si>
    <t>mine181</t>
  </si>
  <si>
    <t>mine182</t>
  </si>
  <si>
    <t>Cuprite</t>
  </si>
  <si>
    <t>mine183</t>
  </si>
  <si>
    <t>Raw Citrine</t>
  </si>
  <si>
    <t>mine184</t>
  </si>
  <si>
    <t>Aurum Regis Sand</t>
  </si>
  <si>
    <t>mine185</t>
  </si>
  <si>
    <t>Adamantite Ore</t>
  </si>
  <si>
    <t>mine186</t>
  </si>
  <si>
    <t>Eventide Jade</t>
  </si>
  <si>
    <t>mine187</t>
  </si>
  <si>
    <t>mine188</t>
  </si>
  <si>
    <t>mine189</t>
  </si>
  <si>
    <t>mine190</t>
  </si>
  <si>
    <t>Raw Chrysolite</t>
  </si>
  <si>
    <t>mine191</t>
  </si>
  <si>
    <t>Wyrm Obsidian</t>
  </si>
  <si>
    <t>mine192</t>
  </si>
  <si>
    <t>mine193</t>
  </si>
  <si>
    <t>mine194</t>
  </si>
  <si>
    <t>mine195</t>
  </si>
  <si>
    <t>mine196</t>
  </si>
  <si>
    <t>Beastkin Horn</t>
  </si>
  <si>
    <t>mine197</t>
  </si>
  <si>
    <t>mine198</t>
  </si>
  <si>
    <t>mine199</t>
  </si>
  <si>
    <t>mine200</t>
  </si>
  <si>
    <t>Raw Triphane</t>
  </si>
  <si>
    <t>mine201</t>
  </si>
  <si>
    <t>Gyr Abanian Alumen</t>
  </si>
  <si>
    <t>mine202</t>
  </si>
  <si>
    <t>Gyr Abanian Mineral Water</t>
  </si>
  <si>
    <t>mine203</t>
  </si>
  <si>
    <t>Raw Kyanite</t>
  </si>
  <si>
    <t>mine204</t>
  </si>
  <si>
    <t>mine205</t>
  </si>
  <si>
    <t>Koppranickel Ore</t>
  </si>
  <si>
    <t>mine206</t>
  </si>
  <si>
    <t>Raw Star Spinel</t>
  </si>
  <si>
    <t>mine207</t>
  </si>
  <si>
    <t>mine208</t>
  </si>
  <si>
    <t>Crescent Spring Water</t>
  </si>
  <si>
    <t>mine209</t>
  </si>
  <si>
    <t>mine210</t>
  </si>
  <si>
    <t>Doman Iron Ore</t>
  </si>
  <si>
    <t>mine211</t>
  </si>
  <si>
    <t>mine212</t>
  </si>
  <si>
    <t>mine213</t>
  </si>
  <si>
    <t>Raw Azurite</t>
  </si>
  <si>
    <t>mine214</t>
  </si>
  <si>
    <t>Durium Ore</t>
  </si>
  <si>
    <t>mine215</t>
  </si>
  <si>
    <t>Raw Imperial Jade</t>
  </si>
  <si>
    <t>mine216</t>
  </si>
  <si>
    <t>mine217</t>
  </si>
  <si>
    <t>Molybdenum Ore</t>
  </si>
  <si>
    <t>mine218</t>
  </si>
  <si>
    <t>Raw Rhodonite</t>
  </si>
  <si>
    <t>mine219</t>
  </si>
  <si>
    <t>mine220</t>
  </si>
  <si>
    <t>mine221</t>
  </si>
  <si>
    <t>Almandine</t>
  </si>
  <si>
    <t>mine222</t>
  </si>
  <si>
    <t>mine223</t>
  </si>
  <si>
    <t>Raw Hematite</t>
  </si>
  <si>
    <t>mine224</t>
  </si>
  <si>
    <t>mine225</t>
  </si>
  <si>
    <t>mine226</t>
  </si>
  <si>
    <t>mine227</t>
  </si>
  <si>
    <t>Truegold Ore</t>
  </si>
  <si>
    <t>mine228</t>
  </si>
  <si>
    <t>Raw Diaspore</t>
  </si>
  <si>
    <t>mine229</t>
  </si>
  <si>
    <t>mine230</t>
  </si>
  <si>
    <t>mine231</t>
  </si>
  <si>
    <t>Highland Spring Water</t>
  </si>
  <si>
    <t>mine232</t>
  </si>
  <si>
    <t>mine233</t>
  </si>
  <si>
    <t>mine234</t>
  </si>
  <si>
    <t>mine235</t>
  </si>
  <si>
    <t>Bluespirit Ore</t>
  </si>
  <si>
    <t>mine236</t>
  </si>
  <si>
    <t>Raw Lazurite</t>
  </si>
  <si>
    <t>mine237</t>
  </si>
  <si>
    <t>mine238</t>
  </si>
  <si>
    <t>mine239</t>
  </si>
  <si>
    <t>mine240</t>
  </si>
  <si>
    <t>mine241</t>
  </si>
  <si>
    <t>Raw Triplite</t>
  </si>
  <si>
    <t>mine242</t>
  </si>
  <si>
    <t>Extra Effervescent Water</t>
  </si>
  <si>
    <t>mine243</t>
  </si>
  <si>
    <t>Titancopper Ore</t>
  </si>
  <si>
    <t>mine244</t>
  </si>
  <si>
    <t>Raw Petalite</t>
  </si>
  <si>
    <t>mine245</t>
  </si>
  <si>
    <t>Underground Spring Water</t>
  </si>
  <si>
    <t>mine246</t>
  </si>
  <si>
    <t>mine247</t>
  </si>
  <si>
    <t>Dimythrite Ore</t>
  </si>
  <si>
    <t>mine248</t>
  </si>
  <si>
    <t>Raw Onyx</t>
  </si>
  <si>
    <t>mine249</t>
  </si>
  <si>
    <t>mine250</t>
  </si>
  <si>
    <t>mine251</t>
  </si>
  <si>
    <t>Sharlayan Rock Salt</t>
  </si>
  <si>
    <t>mine252</t>
  </si>
  <si>
    <t>Raw Ametrine</t>
  </si>
  <si>
    <t>mine253</t>
  </si>
  <si>
    <t>mine254</t>
  </si>
  <si>
    <t>High Durium Ore</t>
  </si>
  <si>
    <t>mine255</t>
  </si>
  <si>
    <t>mine256</t>
  </si>
  <si>
    <t>Bismuth Ore</t>
  </si>
  <si>
    <t>mine257</t>
  </si>
  <si>
    <t>mine258</t>
  </si>
  <si>
    <t>mine259</t>
  </si>
  <si>
    <t>Manganese Ore</t>
  </si>
  <si>
    <t>mine260</t>
  </si>
  <si>
    <t>Chondrite</t>
  </si>
  <si>
    <t>mine261</t>
  </si>
  <si>
    <t>mine262</t>
  </si>
  <si>
    <t>Mountain Chromite Ore</t>
  </si>
  <si>
    <t>mine263</t>
  </si>
  <si>
    <t>Lar Ore</t>
  </si>
  <si>
    <t>mine264</t>
  </si>
  <si>
    <t>Raw Ihuykanite</t>
  </si>
  <si>
    <t>mine265</t>
  </si>
  <si>
    <t>Ruthenium Ore</t>
  </si>
  <si>
    <t>mine266</t>
  </si>
  <si>
    <t>Cobalt Tungsten Ore</t>
  </si>
  <si>
    <t>mine267</t>
  </si>
  <si>
    <t>Raw Pink Beryl</t>
  </si>
  <si>
    <t>mine268</t>
  </si>
  <si>
    <t>Yak T'el Spring Water</t>
  </si>
  <si>
    <t>mine269</t>
  </si>
  <si>
    <t>Titanium Gold Ore</t>
  </si>
  <si>
    <t>mine270</t>
  </si>
  <si>
    <t>Raw Black Star</t>
  </si>
  <si>
    <t>mine271</t>
  </si>
  <si>
    <t>White Gold Ore</t>
  </si>
  <si>
    <t>mine272</t>
  </si>
  <si>
    <t>Ra'Kaznar Ore</t>
  </si>
  <si>
    <t>mine273</t>
  </si>
  <si>
    <t>Rarefied Pyrite</t>
  </si>
  <si>
    <t>mine274</t>
  </si>
  <si>
    <t>Rarefied Chalcocite</t>
  </si>
  <si>
    <t>mine275</t>
  </si>
  <si>
    <t>Rarefied Limonite</t>
  </si>
  <si>
    <t>mine276</t>
  </si>
  <si>
    <t>Rarefied Abalathian Spring Water</t>
  </si>
  <si>
    <t>mine277</t>
  </si>
  <si>
    <t>Rarefied Aurum Regis Sand</t>
  </si>
  <si>
    <t>mine278</t>
  </si>
  <si>
    <t>Rarefied Raw Triphane</t>
  </si>
  <si>
    <t>mine279</t>
  </si>
  <si>
    <t>Rarefied Gyr Abanian Mineral Water</t>
  </si>
  <si>
    <t>mine280</t>
  </si>
  <si>
    <t>Rarefied Raw Star Spinel</t>
  </si>
  <si>
    <t>mine281</t>
  </si>
  <si>
    <t>Rarefied Raw Kyanite</t>
  </si>
  <si>
    <t>mine282</t>
  </si>
  <si>
    <t>Rarefied Raw Azurite</t>
  </si>
  <si>
    <t>mine283</t>
  </si>
  <si>
    <t>Rarefied Silvergrace Ore</t>
  </si>
  <si>
    <t>mine284</t>
  </si>
  <si>
    <t>Rarefied Titancopper Ore</t>
  </si>
  <si>
    <t>mine285</t>
  </si>
  <si>
    <t>Rarefied Bluespirit Ore</t>
  </si>
  <si>
    <t>mine286</t>
  </si>
  <si>
    <t>Rarefied Raw Lazurite</t>
  </si>
  <si>
    <t>mine287</t>
  </si>
  <si>
    <t>Rarefied Raw Petalite</t>
  </si>
  <si>
    <t>mine288</t>
  </si>
  <si>
    <t>Rarefied Sea Salt</t>
  </si>
  <si>
    <t>mine289</t>
  </si>
  <si>
    <t>Rarefied Reef Rock</t>
  </si>
  <si>
    <t>mine290</t>
  </si>
  <si>
    <t>Rarefied Raw Onyx</t>
  </si>
  <si>
    <t>mine291</t>
  </si>
  <si>
    <t>Rarefied Tungsten Ore</t>
  </si>
  <si>
    <t>mine292</t>
  </si>
  <si>
    <t>Rarefied Gyr Abanian Alumen</t>
  </si>
  <si>
    <t>mine293</t>
  </si>
  <si>
    <t>Rarefied High Durium Ore</t>
  </si>
  <si>
    <t>mine294</t>
  </si>
  <si>
    <t>Rarefied Raw Ametrine</t>
  </si>
  <si>
    <t>mine295</t>
  </si>
  <si>
    <t>Rarefied Bismuth Ore</t>
  </si>
  <si>
    <t>mine296</t>
  </si>
  <si>
    <t>Rarefied Sharlayan Rock Salt</t>
  </si>
  <si>
    <t>mine297</t>
  </si>
  <si>
    <t>Rarefied Raw Ihuykanite</t>
  </si>
  <si>
    <t>mine298</t>
  </si>
  <si>
    <t>Rarefied Raw Dark Amber</t>
  </si>
  <si>
    <t>mine299</t>
  </si>
  <si>
    <t>Rarefied Titanium Gold Ore</t>
  </si>
  <si>
    <t>mine300</t>
  </si>
  <si>
    <t>Rarefied White Gold Ore</t>
  </si>
  <si>
    <t>mine301</t>
  </si>
  <si>
    <t>Rarefied Magnesite Ore</t>
  </si>
  <si>
    <t>mine302</t>
  </si>
  <si>
    <t>Rarefied Ra'Kaznar Ore</t>
  </si>
  <si>
    <t>mine303</t>
  </si>
  <si>
    <t>Tungstite</t>
  </si>
  <si>
    <t>Tome of Geological Folklore - Coerthas</t>
  </si>
  <si>
    <t>mine304</t>
  </si>
  <si>
    <t>Aurum Regis Ore</t>
  </si>
  <si>
    <t>Tome of Geological Folklore - Dravania</t>
  </si>
  <si>
    <t>mine305</t>
  </si>
  <si>
    <t>Lumythrite Ore</t>
  </si>
  <si>
    <t>mine306</t>
  </si>
  <si>
    <t>Red Alumen</t>
  </si>
  <si>
    <t>Tome of Geological Folklore - Abalathia's Spine</t>
  </si>
  <si>
    <t>mine307</t>
  </si>
  <si>
    <t>Smithsonite Ore</t>
  </si>
  <si>
    <t>mine308</t>
  </si>
  <si>
    <t>Meteorite</t>
  </si>
  <si>
    <t>mine309</t>
  </si>
  <si>
    <t>Luminium Ore</t>
  </si>
  <si>
    <t>mine310</t>
  </si>
  <si>
    <t>Chromite Ore</t>
  </si>
  <si>
    <t>Tome of Geological Folklore - Gyr Abania</t>
  </si>
  <si>
    <t>mine311</t>
  </si>
  <si>
    <t>Gyr Abanian Spring Water</t>
  </si>
  <si>
    <t>mine312</t>
  </si>
  <si>
    <t>Gyr Abanian Ore</t>
  </si>
  <si>
    <t>mine313</t>
  </si>
  <si>
    <t>Evergleam Ore</t>
  </si>
  <si>
    <t>mine314</t>
  </si>
  <si>
    <t>Palladium Ore</t>
  </si>
  <si>
    <t>Tome of Geological Folklore - Othard</t>
  </si>
  <si>
    <t>mine315</t>
  </si>
  <si>
    <t>Nightsteel Ore</t>
  </si>
  <si>
    <t>mine316</t>
  </si>
  <si>
    <t>Silvergrace Ore</t>
  </si>
  <si>
    <t>mine317</t>
  </si>
  <si>
    <t>Hawk's Eye</t>
  </si>
  <si>
    <t>mine318</t>
  </si>
  <si>
    <t>Azim Spring Water</t>
  </si>
  <si>
    <t>mine319</t>
  </si>
  <si>
    <t>Tungsten Ore</t>
  </si>
  <si>
    <t>Tome of Geological Folklore - Norvrandt</t>
  </si>
  <si>
    <t>mine320</t>
  </si>
  <si>
    <t>Prismstone</t>
  </si>
  <si>
    <t>mine321</t>
  </si>
  <si>
    <t>Beryllium Ore</t>
  </si>
  <si>
    <t>mine322</t>
  </si>
  <si>
    <t>Fireheart Cobalt</t>
  </si>
  <si>
    <t>mine323</t>
  </si>
  <si>
    <t>Brashgold Ore</t>
  </si>
  <si>
    <t>mine324</t>
  </si>
  <si>
    <t>Dolomite</t>
  </si>
  <si>
    <t>mine325</t>
  </si>
  <si>
    <t>Hard Water</t>
  </si>
  <si>
    <t>mine326</t>
  </si>
  <si>
    <t>Stonehard Water</t>
  </si>
  <si>
    <t>Tome of Geological Folklore - Ilsabard and the Northern Empty</t>
  </si>
  <si>
    <t>mine327</t>
  </si>
  <si>
    <t>Rime Dolomite</t>
  </si>
  <si>
    <t>mine328</t>
  </si>
  <si>
    <t>Raw Eblan Danburite</t>
  </si>
  <si>
    <t>mine329</t>
  </si>
  <si>
    <t>mine330</t>
  </si>
  <si>
    <t>mine331</t>
  </si>
  <si>
    <t>Ilmenite</t>
  </si>
  <si>
    <t>Tome of Geological Folklore - The Sea of Stars</t>
  </si>
  <si>
    <t>mine332</t>
  </si>
  <si>
    <t>mine333</t>
  </si>
  <si>
    <t>mine334</t>
  </si>
  <si>
    <t>Softsilver Ore</t>
  </si>
  <si>
    <t>mine335</t>
  </si>
  <si>
    <t>mine336</t>
  </si>
  <si>
    <t>mine337</t>
  </si>
  <si>
    <t>Raw Spodumene</t>
  </si>
  <si>
    <t>Tome of Geological Folklore - The World Unsundered</t>
  </si>
  <si>
    <t>quar1</t>
  </si>
  <si>
    <t>quarrying</t>
  </si>
  <si>
    <t>quar2</t>
  </si>
  <si>
    <t>quar3</t>
  </si>
  <si>
    <t>quar4</t>
  </si>
  <si>
    <t>quar5</t>
  </si>
  <si>
    <t>quar6</t>
  </si>
  <si>
    <t>quar7</t>
  </si>
  <si>
    <t>quar8</t>
  </si>
  <si>
    <t>quar9</t>
  </si>
  <si>
    <t>quar10</t>
  </si>
  <si>
    <t>quar11</t>
  </si>
  <si>
    <t>quar12</t>
  </si>
  <si>
    <t>quar13</t>
  </si>
  <si>
    <t>quar14</t>
  </si>
  <si>
    <t>quar15</t>
  </si>
  <si>
    <t>quar16</t>
  </si>
  <si>
    <t>quar17</t>
  </si>
  <si>
    <t>quar18</t>
  </si>
  <si>
    <t>quar19</t>
  </si>
  <si>
    <t>quar20</t>
  </si>
  <si>
    <t>quar21</t>
  </si>
  <si>
    <t>quar22</t>
  </si>
  <si>
    <t>Fine Sand</t>
  </si>
  <si>
    <t>quar23</t>
  </si>
  <si>
    <t>Copper Sand</t>
  </si>
  <si>
    <t>quar24</t>
  </si>
  <si>
    <t>Rock Salt</t>
  </si>
  <si>
    <t>quar25</t>
  </si>
  <si>
    <t>Ragstone</t>
  </si>
  <si>
    <t>quar26</t>
  </si>
  <si>
    <t>Iron Sand</t>
  </si>
  <si>
    <t>quar27</t>
  </si>
  <si>
    <t>Cinnabar</t>
  </si>
  <si>
    <t>quar28</t>
  </si>
  <si>
    <t>Limestone</t>
  </si>
  <si>
    <t>quar29</t>
  </si>
  <si>
    <t>Mudstone</t>
  </si>
  <si>
    <t>quar30</t>
  </si>
  <si>
    <t>quar31</t>
  </si>
  <si>
    <t>Earth Rock</t>
  </si>
  <si>
    <t>quar32</t>
  </si>
  <si>
    <t>Silver Sand</t>
  </si>
  <si>
    <t>quar33</t>
  </si>
  <si>
    <t>Fire Rock</t>
  </si>
  <si>
    <t>quar34</t>
  </si>
  <si>
    <t>Ice Rock</t>
  </si>
  <si>
    <t>quar35</t>
  </si>
  <si>
    <t>Wind Rock</t>
  </si>
  <si>
    <t>quar36</t>
  </si>
  <si>
    <t>Lightning Rock</t>
  </si>
  <si>
    <t>quar37</t>
  </si>
  <si>
    <t>Water Rock</t>
  </si>
  <si>
    <t>quar38</t>
  </si>
  <si>
    <t>Bomb Ash</t>
  </si>
  <si>
    <t>quar39</t>
  </si>
  <si>
    <t>quar40</t>
  </si>
  <si>
    <t>quar41</t>
  </si>
  <si>
    <t>quar42</t>
  </si>
  <si>
    <t>quar43</t>
  </si>
  <si>
    <t>quar44</t>
  </si>
  <si>
    <t>quar45</t>
  </si>
  <si>
    <t>quar46</t>
  </si>
  <si>
    <t>quar47</t>
  </si>
  <si>
    <t>quar48</t>
  </si>
  <si>
    <t>quar49</t>
  </si>
  <si>
    <t>quar50</t>
  </si>
  <si>
    <t>quar51</t>
  </si>
  <si>
    <t>quar52</t>
  </si>
  <si>
    <t>quar53</t>
  </si>
  <si>
    <t>quar54</t>
  </si>
  <si>
    <t>quar55</t>
  </si>
  <si>
    <t>quar56</t>
  </si>
  <si>
    <t>quar57</t>
  </si>
  <si>
    <t>quar58</t>
  </si>
  <si>
    <t>quar59</t>
  </si>
  <si>
    <t>quar60</t>
  </si>
  <si>
    <t>quar61</t>
  </si>
  <si>
    <t>quar62</t>
  </si>
  <si>
    <t>quar63</t>
  </si>
  <si>
    <t>quar64</t>
  </si>
  <si>
    <t>quar65</t>
  </si>
  <si>
    <t>quar66</t>
  </si>
  <si>
    <t>quar67</t>
  </si>
  <si>
    <t>quar68</t>
  </si>
  <si>
    <t>quar69</t>
  </si>
  <si>
    <t>quar70</t>
  </si>
  <si>
    <t>quar71</t>
  </si>
  <si>
    <t>quar72</t>
  </si>
  <si>
    <t>quar73</t>
  </si>
  <si>
    <t>quar74</t>
  </si>
  <si>
    <t>quar75</t>
  </si>
  <si>
    <t>quar76</t>
  </si>
  <si>
    <t>quar77</t>
  </si>
  <si>
    <t>quar78</t>
  </si>
  <si>
    <t>The Kobayashi Maru</t>
  </si>
  <si>
    <t>quar79</t>
  </si>
  <si>
    <t>quar80</t>
  </si>
  <si>
    <t>quar81</t>
  </si>
  <si>
    <t>quar82</t>
  </si>
  <si>
    <t>Silex</t>
  </si>
  <si>
    <t>quar83</t>
  </si>
  <si>
    <t>quar84</t>
  </si>
  <si>
    <t>quar85</t>
  </si>
  <si>
    <t>quar86</t>
  </si>
  <si>
    <t>quar87</t>
  </si>
  <si>
    <t>quar88</t>
  </si>
  <si>
    <t>quar89</t>
  </si>
  <si>
    <t>quar90</t>
  </si>
  <si>
    <t>Brimstone</t>
  </si>
  <si>
    <t>quar91</t>
  </si>
  <si>
    <t>Siltstone</t>
  </si>
  <si>
    <t>quar92</t>
  </si>
  <si>
    <t>Grade 1 La Noscean Topsoil</t>
  </si>
  <si>
    <t>quar93</t>
  </si>
  <si>
    <t>Grade 1 Shroud Topsoil</t>
  </si>
  <si>
    <t>quar94</t>
  </si>
  <si>
    <t>Grade 1 Thanalan Topsoil</t>
  </si>
  <si>
    <t>quar95</t>
  </si>
  <si>
    <t>Mythril Sand</t>
  </si>
  <si>
    <t>quar96</t>
  </si>
  <si>
    <t>Grenade Ash</t>
  </si>
  <si>
    <t>quar97</t>
  </si>
  <si>
    <t>Electrum Sand</t>
  </si>
  <si>
    <t>quar98</t>
  </si>
  <si>
    <t>Marble</t>
  </si>
  <si>
    <t>quar99</t>
  </si>
  <si>
    <t>Grade 2 La Noscean Topsoil</t>
  </si>
  <si>
    <t>quar100</t>
  </si>
  <si>
    <t>Grade 2 Shroud Topsoil</t>
  </si>
  <si>
    <t>quar101</t>
  </si>
  <si>
    <t>Grade 2 Thanalan Topsoil</t>
  </si>
  <si>
    <t>quar102</t>
  </si>
  <si>
    <t>Black Limestone</t>
  </si>
  <si>
    <t>quar103</t>
  </si>
  <si>
    <t>quar104</t>
  </si>
  <si>
    <t>quar105</t>
  </si>
  <si>
    <t>quar106</t>
  </si>
  <si>
    <t>quar107</t>
  </si>
  <si>
    <t>quar108</t>
  </si>
  <si>
    <t>quar109</t>
  </si>
  <si>
    <t>quar110</t>
  </si>
  <si>
    <t>quar111</t>
  </si>
  <si>
    <t>quar112</t>
  </si>
  <si>
    <t>quar113</t>
  </si>
  <si>
    <t>quar114</t>
  </si>
  <si>
    <t>quar115</t>
  </si>
  <si>
    <t>quar116</t>
  </si>
  <si>
    <t>quar117</t>
  </si>
  <si>
    <t>quar118</t>
  </si>
  <si>
    <t>quar119</t>
  </si>
  <si>
    <t>quar120</t>
  </si>
  <si>
    <t>quar121</t>
  </si>
  <si>
    <t>Astral Rock</t>
  </si>
  <si>
    <t>quar122</t>
  </si>
  <si>
    <t>Gold Sand</t>
  </si>
  <si>
    <t>quar123</t>
  </si>
  <si>
    <t>Volcanic Rock Salt</t>
  </si>
  <si>
    <t>quar124</t>
  </si>
  <si>
    <t>quar125</t>
  </si>
  <si>
    <t>quar126</t>
  </si>
  <si>
    <t>quar127</t>
  </si>
  <si>
    <t>quar128</t>
  </si>
  <si>
    <t>quar129</t>
  </si>
  <si>
    <t>quar130</t>
  </si>
  <si>
    <t>quar131</t>
  </si>
  <si>
    <t>quar132</t>
  </si>
  <si>
    <t>quar133</t>
  </si>
  <si>
    <t>Umbral Rock</t>
  </si>
  <si>
    <t>quar134</t>
  </si>
  <si>
    <t>Grade 3 La Noscean Topsoil</t>
  </si>
  <si>
    <t>quar135</t>
  </si>
  <si>
    <t>Grade 3 Shroud Topsoil</t>
  </si>
  <si>
    <t>quar136</t>
  </si>
  <si>
    <t>Grade 3 Thanalan Topsoil</t>
  </si>
  <si>
    <t>quar137</t>
  </si>
  <si>
    <t>Antumbral Rock</t>
  </si>
  <si>
    <t>quar138</t>
  </si>
  <si>
    <t>quar139</t>
  </si>
  <si>
    <t>quar140</t>
  </si>
  <si>
    <t>quar141</t>
  </si>
  <si>
    <t>quar142</t>
  </si>
  <si>
    <t>quar143</t>
  </si>
  <si>
    <t>quar144</t>
  </si>
  <si>
    <t>quar145</t>
  </si>
  <si>
    <t>quar146</t>
  </si>
  <si>
    <t>quar147</t>
  </si>
  <si>
    <t>Pumice</t>
  </si>
  <si>
    <t>quar148</t>
  </si>
  <si>
    <t>Mythrite Sand</t>
  </si>
  <si>
    <t>quar149</t>
  </si>
  <si>
    <t>Yellow Quartz</t>
  </si>
  <si>
    <t>quar150</t>
  </si>
  <si>
    <t>Green Quartz</t>
  </si>
  <si>
    <t>quar151</t>
  </si>
  <si>
    <t>Abalathian Rock Salt</t>
  </si>
  <si>
    <t>quar152</t>
  </si>
  <si>
    <t>quar153</t>
  </si>
  <si>
    <t>quar154</t>
  </si>
  <si>
    <t>quar155</t>
  </si>
  <si>
    <t>quar156</t>
  </si>
  <si>
    <t>quar157</t>
  </si>
  <si>
    <t>Hardsilver Sand</t>
  </si>
  <si>
    <t>quar158</t>
  </si>
  <si>
    <t>Fossilized Dragon Bone</t>
  </si>
  <si>
    <t>quar159</t>
  </si>
  <si>
    <t>Cloud Mica</t>
  </si>
  <si>
    <t>quar160</t>
  </si>
  <si>
    <t>Red Quartz</t>
  </si>
  <si>
    <t>quar161</t>
  </si>
  <si>
    <t>quar162</t>
  </si>
  <si>
    <t>quar163</t>
  </si>
  <si>
    <t>quar164</t>
  </si>
  <si>
    <t>quar165</t>
  </si>
  <si>
    <t>quar166</t>
  </si>
  <si>
    <t>Tektite</t>
  </si>
  <si>
    <t>quar167</t>
  </si>
  <si>
    <t>quar168</t>
  </si>
  <si>
    <t>quar169</t>
  </si>
  <si>
    <t>quar170</t>
  </si>
  <si>
    <t>quar171</t>
  </si>
  <si>
    <t>quar172</t>
  </si>
  <si>
    <t>quar173</t>
  </si>
  <si>
    <t>Lumythrite Sand</t>
  </si>
  <si>
    <t>quar174</t>
  </si>
  <si>
    <t>quar175</t>
  </si>
  <si>
    <t>quar176</t>
  </si>
  <si>
    <t>quar177</t>
  </si>
  <si>
    <t>quar178</t>
  </si>
  <si>
    <t>quar179</t>
  </si>
  <si>
    <t>Stiperstone</t>
  </si>
  <si>
    <t>quar180</t>
  </si>
  <si>
    <t>Koppranickel Sand</t>
  </si>
  <si>
    <t>quar181</t>
  </si>
  <si>
    <t>quar182</t>
  </si>
  <si>
    <t>Slate</t>
  </si>
  <si>
    <t>quar183</t>
  </si>
  <si>
    <t>Diatomite</t>
  </si>
  <si>
    <t>quar184</t>
  </si>
  <si>
    <t>quar185</t>
  </si>
  <si>
    <t>quar186</t>
  </si>
  <si>
    <t>Perlite</t>
  </si>
  <si>
    <t>quar187</t>
  </si>
  <si>
    <t>quar188</t>
  </si>
  <si>
    <t>Durium Sand</t>
  </si>
  <si>
    <t>quar189</t>
  </si>
  <si>
    <t>quar190</t>
  </si>
  <si>
    <t>Doman Iron Sand</t>
  </si>
  <si>
    <t>quar191</t>
  </si>
  <si>
    <t>Palladium Sand</t>
  </si>
  <si>
    <t>quar192</t>
  </si>
  <si>
    <t>Ala Mhigan Salt Crystal</t>
  </si>
  <si>
    <t>quar193</t>
  </si>
  <si>
    <t>quar194</t>
  </si>
  <si>
    <t>quar195</t>
  </si>
  <si>
    <t>quar196</t>
  </si>
  <si>
    <t>quar197</t>
  </si>
  <si>
    <t>quar198</t>
  </si>
  <si>
    <t>quar199</t>
  </si>
  <si>
    <t>Coarse Saltpeter</t>
  </si>
  <si>
    <t>quar200</t>
  </si>
  <si>
    <t>Yellow Alumen</t>
  </si>
  <si>
    <t>quar201</t>
  </si>
  <si>
    <t>Hard Mudstone</t>
  </si>
  <si>
    <t>quar202</t>
  </si>
  <si>
    <t>Truegold Sand</t>
  </si>
  <si>
    <t>quar203</t>
  </si>
  <si>
    <t>quar204</t>
  </si>
  <si>
    <t>quar205</t>
  </si>
  <si>
    <t>Manasilver Sand</t>
  </si>
  <si>
    <t>quar206</t>
  </si>
  <si>
    <t>quar207</t>
  </si>
  <si>
    <t>Volcanic Tuff</t>
  </si>
  <si>
    <t>quar208</t>
  </si>
  <si>
    <t>Titancopper Sand</t>
  </si>
  <si>
    <t>quar209</t>
  </si>
  <si>
    <t>quar210</t>
  </si>
  <si>
    <t>Dimythrite Sand</t>
  </si>
  <si>
    <t>quar211</t>
  </si>
  <si>
    <t>quar212</t>
  </si>
  <si>
    <t>quar213</t>
  </si>
  <si>
    <t>High Durium Sand</t>
  </si>
  <si>
    <t>quar214</t>
  </si>
  <si>
    <t>Chloroschist</t>
  </si>
  <si>
    <t>quar215</t>
  </si>
  <si>
    <t>quar216</t>
  </si>
  <si>
    <t>quar217</t>
  </si>
  <si>
    <t>quar218</t>
  </si>
  <si>
    <t>Pewter Ore</t>
  </si>
  <si>
    <t>quar219</t>
  </si>
  <si>
    <t>quar220</t>
  </si>
  <si>
    <t>quar221</t>
  </si>
  <si>
    <t>quar222</t>
  </si>
  <si>
    <t>quar223</t>
  </si>
  <si>
    <t>Phrygian Gold Ore</t>
  </si>
  <si>
    <t>quar224</t>
  </si>
  <si>
    <t>quar225</t>
  </si>
  <si>
    <t>quar226</t>
  </si>
  <si>
    <t>Eblan Alumen</t>
  </si>
  <si>
    <t>quar227</t>
  </si>
  <si>
    <t>quar228</t>
  </si>
  <si>
    <t>Raw Blue Zircon</t>
  </si>
  <si>
    <t>quar229</t>
  </si>
  <si>
    <t>quar230</t>
  </si>
  <si>
    <t>Annite</t>
  </si>
  <si>
    <t>quar231</t>
  </si>
  <si>
    <t>quar232</t>
  </si>
  <si>
    <t>Ambrosial Water</t>
  </si>
  <si>
    <t>quar233</t>
  </si>
  <si>
    <t>Raw Star Quartz</t>
  </si>
  <si>
    <t>quar234</t>
  </si>
  <si>
    <t>quar235</t>
  </si>
  <si>
    <t>Mountain Rock Salt</t>
  </si>
  <si>
    <t>quar236</t>
  </si>
  <si>
    <t>quar237</t>
  </si>
  <si>
    <t>Magnesia Powder</t>
  </si>
  <si>
    <t>quar238</t>
  </si>
  <si>
    <t>quar239</t>
  </si>
  <si>
    <t>Rarefied Mythrite Sand</t>
  </si>
  <si>
    <t>quar240</t>
  </si>
  <si>
    <t>Rarefied Manasilver Sand</t>
  </si>
  <si>
    <t>quar241</t>
  </si>
  <si>
    <t>Rarefied Phrygian Gold Ore</t>
  </si>
  <si>
    <t>quar242</t>
  </si>
  <si>
    <t>Rarefied Blue Zircon</t>
  </si>
  <si>
    <t>quar243</t>
  </si>
  <si>
    <t>Rarefied Chloroschist</t>
  </si>
  <si>
    <t>quar244</t>
  </si>
  <si>
    <t>Rarefied Eblan Alumen</t>
  </si>
  <si>
    <t>quar245</t>
  </si>
  <si>
    <t>Rarefied Annite</t>
  </si>
  <si>
    <t>quar246</t>
  </si>
  <si>
    <t>Rarefied Pewter Ore</t>
  </si>
  <si>
    <t>quar247</t>
  </si>
  <si>
    <t>Rarefied Artificial Volcanic Rock</t>
  </si>
  <si>
    <t>quar248</t>
  </si>
  <si>
    <t>Rarefied Ash Soil</t>
  </si>
  <si>
    <t>quar249</t>
  </si>
  <si>
    <t>Violet Quartz</t>
  </si>
  <si>
    <t>quar250</t>
  </si>
  <si>
    <t>Astral Moraine</t>
  </si>
  <si>
    <t>quar251</t>
  </si>
  <si>
    <t>Blue Quartz</t>
  </si>
  <si>
    <t>quar252</t>
  </si>
  <si>
    <t>Zeolite Ore</t>
  </si>
  <si>
    <t>quar253</t>
  </si>
  <si>
    <t>Sun Mica</t>
  </si>
  <si>
    <t>quar254</t>
  </si>
  <si>
    <t>Purpure Shell Chip</t>
  </si>
  <si>
    <t>quar255</t>
  </si>
  <si>
    <t>Ashen Alumen</t>
  </si>
  <si>
    <t>quar256</t>
  </si>
  <si>
    <t>Solstice Stone</t>
  </si>
  <si>
    <t>quar257</t>
  </si>
  <si>
    <t>Raw Rutilated Quartz</t>
  </si>
  <si>
    <t>quar258</t>
  </si>
  <si>
    <t>Ash Diatomite</t>
  </si>
  <si>
    <t>quar259</t>
  </si>
  <si>
    <t>Raw Zoisite</t>
  </si>
  <si>
    <t>quar260</t>
  </si>
  <si>
    <t>Maghemite</t>
  </si>
  <si>
    <t>quar261</t>
  </si>
  <si>
    <t>quar262</t>
  </si>
  <si>
    <t>quar263</t>
  </si>
  <si>
    <t>Lunar Adamantite Ore</t>
  </si>
  <si>
    <t>quar264</t>
  </si>
  <si>
    <t>quar265</t>
  </si>
  <si>
    <t>quar266</t>
  </si>
  <si>
    <t>Rhodium Sand</t>
  </si>
  <si>
    <t>The Rookery</t>
  </si>
  <si>
    <t>Gron Rhei</t>
  </si>
  <si>
    <t xml:space="preserve"> Saibai Cavern</t>
  </si>
  <si>
    <t>Exile</t>
  </si>
  <si>
    <t>The Anemone Gardens</t>
  </si>
  <si>
    <t>area360</t>
  </si>
  <si>
    <t>area361</t>
  </si>
  <si>
    <t>area362</t>
  </si>
  <si>
    <t>area363</t>
  </si>
  <si>
    <t>Wax Seal Mills</t>
  </si>
  <si>
    <t>Whisperwind Cove</t>
  </si>
  <si>
    <t>Barrow Isle</t>
  </si>
  <si>
    <t>area453</t>
  </si>
  <si>
    <t>area454</t>
  </si>
  <si>
    <t>area455</t>
  </si>
  <si>
    <t>area456</t>
  </si>
  <si>
    <t>area542</t>
  </si>
  <si>
    <t>area543</t>
  </si>
  <si>
    <t>area544</t>
  </si>
  <si>
    <t>area545</t>
  </si>
  <si>
    <t>area546</t>
  </si>
  <si>
    <t>area547</t>
  </si>
  <si>
    <t>Bureau of the Secretariat</t>
  </si>
  <si>
    <t>The Capitol</t>
  </si>
  <si>
    <t>The Buttress</t>
  </si>
  <si>
    <t>The Understory</t>
  </si>
  <si>
    <t>area635</t>
  </si>
  <si>
    <t>area636</t>
  </si>
  <si>
    <t>area637</t>
  </si>
  <si>
    <t>area638</t>
  </si>
  <si>
    <t>area639</t>
  </si>
  <si>
    <t>area640</t>
  </si>
  <si>
    <t>area641</t>
  </si>
  <si>
    <t>area642</t>
  </si>
  <si>
    <t>area643</t>
  </si>
  <si>
    <t>area644</t>
  </si>
  <si>
    <t>area645</t>
  </si>
  <si>
    <t>area646</t>
  </si>
  <si>
    <t>The Nekropolis</t>
  </si>
  <si>
    <t>The Last Dregs</t>
  </si>
  <si>
    <t>Absolute Horizon</t>
  </si>
  <si>
    <t>Ostrakon Hena</t>
  </si>
  <si>
    <t>Notoneus</t>
  </si>
  <si>
    <t>The Mourning Dew</t>
  </si>
  <si>
    <t>The Cthonic Horns</t>
  </si>
  <si>
    <t>Noetophoreon</t>
  </si>
  <si>
    <t>First Bloom</t>
  </si>
  <si>
    <t>Propylaion</t>
  </si>
  <si>
    <t>Philomythes Notos</t>
  </si>
  <si>
    <t>Disappearing Falls</t>
  </si>
  <si>
    <t>The Eddies</t>
  </si>
  <si>
    <t>The Cromlech</t>
  </si>
  <si>
    <t>The Whale's Crown</t>
  </si>
  <si>
    <t>Hearth of the Mighty Bendu</t>
  </si>
  <si>
    <t>Cooling Station</t>
  </si>
  <si>
    <t>Castrum Solus</t>
  </si>
  <si>
    <t>The Pappus Tree</t>
  </si>
  <si>
    <t>The Aqueduct</t>
  </si>
  <si>
    <t>Whilom River</t>
  </si>
  <si>
    <t>The Hissing Cobbles</t>
  </si>
  <si>
    <t>The Danneroad</t>
  </si>
  <si>
    <t>Tharl Oom Khash</t>
  </si>
  <si>
    <t>Mol Lloh</t>
  </si>
  <si>
    <t>Aero Terminal</t>
  </si>
  <si>
    <t>Lake Toari</t>
  </si>
  <si>
    <t>Boughs of Hwittayoanaan</t>
  </si>
  <si>
    <t>Otsekarri Shore</t>
  </si>
  <si>
    <t>Luwateninyawawsa</t>
  </si>
  <si>
    <t>Yowekwa Canyon</t>
  </si>
  <si>
    <t>Pyaayehe'pya</t>
  </si>
  <si>
    <t>Tuliyollal Trailhead</t>
  </si>
  <si>
    <t>Maw of Sansheya</t>
  </si>
  <si>
    <t>Tonatenyawi</t>
  </si>
  <si>
    <t>Shaaloani Station</t>
  </si>
  <si>
    <t>Yoweya-hwitto Cemetery</t>
  </si>
  <si>
    <t>Mount Loazensasaya</t>
  </si>
  <si>
    <t>Gok Golma</t>
  </si>
  <si>
    <t>area267</t>
  </si>
  <si>
    <t>area268</t>
  </si>
  <si>
    <t>area269</t>
  </si>
  <si>
    <t>area270</t>
  </si>
  <si>
    <t>area271</t>
  </si>
  <si>
    <t>area730</t>
  </si>
  <si>
    <t>area731</t>
  </si>
  <si>
    <t>area732</t>
  </si>
  <si>
    <t>area733</t>
  </si>
  <si>
    <t>area734</t>
  </si>
  <si>
    <t>area735</t>
  </si>
  <si>
    <t>area736</t>
  </si>
  <si>
    <t>area737</t>
  </si>
  <si>
    <t>area738</t>
  </si>
  <si>
    <t>area739</t>
  </si>
  <si>
    <t>area740</t>
  </si>
  <si>
    <t>area741</t>
  </si>
  <si>
    <t>area779</t>
  </si>
  <si>
    <t>area780</t>
  </si>
  <si>
    <t>area781</t>
  </si>
  <si>
    <t>area782</t>
  </si>
  <si>
    <t>area783</t>
  </si>
  <si>
    <t>area784</t>
  </si>
  <si>
    <t>area785</t>
  </si>
  <si>
    <t>name_level</t>
  </si>
  <si>
    <t>unlock_level</t>
  </si>
  <si>
    <t>name_type</t>
  </si>
  <si>
    <t>feature</t>
  </si>
  <si>
    <t>main</t>
  </si>
  <si>
    <t>unlock_type</t>
  </si>
  <si>
    <t>set</t>
  </si>
  <si>
    <t>mount</t>
  </si>
  <si>
    <t>weather1</t>
  </si>
  <si>
    <t>weather2</t>
  </si>
  <si>
    <t>emote</t>
  </si>
  <si>
    <t>sightsee0</t>
  </si>
  <si>
    <t>Barracuda Piers</t>
  </si>
  <si>
    <t>sigh9578</t>
  </si>
  <si>
    <t>Fair Skies</t>
  </si>
  <si>
    <t>Clear Skies</t>
  </si>
  <si>
    <t>Lookout</t>
  </si>
  <si>
    <t>sightsee1</t>
  </si>
  <si>
    <t>The Astalicia</t>
  </si>
  <si>
    <t>sigh71151</t>
  </si>
  <si>
    <t>sightsee2</t>
  </si>
  <si>
    <t>sigh203191</t>
  </si>
  <si>
    <t>Rain</t>
  </si>
  <si>
    <t>Showers</t>
  </si>
  <si>
    <t>Pray</t>
  </si>
  <si>
    <t>sightsee3</t>
  </si>
  <si>
    <t>sigh16173</t>
  </si>
  <si>
    <t>sightsee4</t>
  </si>
  <si>
    <t>La Thagran Eastroad</t>
  </si>
  <si>
    <t>sigh253275</t>
  </si>
  <si>
    <t>Clouds</t>
  </si>
  <si>
    <t>sightsee5</t>
  </si>
  <si>
    <t>sigh231402</t>
  </si>
  <si>
    <t>sightsee6</t>
  </si>
  <si>
    <t>Red Rooster Stead</t>
  </si>
  <si>
    <t>sigh335193</t>
  </si>
  <si>
    <t>Fog</t>
  </si>
  <si>
    <t>sightsee7</t>
  </si>
  <si>
    <t>Brewer's Beacon</t>
  </si>
  <si>
    <t>sigh299307</t>
  </si>
  <si>
    <t>sightsee8</t>
  </si>
  <si>
    <t>The Leatherworkers' Guild</t>
  </si>
  <si>
    <t>sigh12878</t>
  </si>
  <si>
    <t>sightsee9</t>
  </si>
  <si>
    <t>Apkallu Falls</t>
  </si>
  <si>
    <t>sigh10864</t>
  </si>
  <si>
    <t>sightsee10</t>
  </si>
  <si>
    <t>sigh218218</t>
  </si>
  <si>
    <t>Sit</t>
  </si>
  <si>
    <t>sightsee11</t>
  </si>
  <si>
    <t>The Sanctum of the Twelve</t>
  </si>
  <si>
    <t>sigh176182</t>
  </si>
  <si>
    <t>sightsee12</t>
  </si>
  <si>
    <t>sigh223262</t>
  </si>
  <si>
    <t>sightsee13</t>
  </si>
  <si>
    <t>Royal Promenade</t>
  </si>
  <si>
    <t>sigh111116</t>
  </si>
  <si>
    <t>Salute</t>
  </si>
  <si>
    <t>sightsee14</t>
  </si>
  <si>
    <t>The Gold Court</t>
  </si>
  <si>
    <t>sigh115112</t>
  </si>
  <si>
    <t>sightsee15</t>
  </si>
  <si>
    <t>The Jewel of the Desert</t>
  </si>
  <si>
    <t>sigh223223</t>
  </si>
  <si>
    <t>sightsee16</t>
  </si>
  <si>
    <t>The Ruins of Sil'dih</t>
  </si>
  <si>
    <t>sigh159229</t>
  </si>
  <si>
    <t>sightsee17</t>
  </si>
  <si>
    <t>The Lonely Giant</t>
  </si>
  <si>
    <t>sigh195247</t>
  </si>
  <si>
    <t>Comfort</t>
  </si>
  <si>
    <t>sightsee18</t>
  </si>
  <si>
    <t>sigh143185</t>
  </si>
  <si>
    <t>sightsee19</t>
  </si>
  <si>
    <t>Highbridge</t>
  </si>
  <si>
    <t>sigh21208</t>
  </si>
  <si>
    <t>sightsee20</t>
  </si>
  <si>
    <t>sigh20131</t>
  </si>
  <si>
    <t>sightsee21</t>
  </si>
  <si>
    <t>Summerford Farms</t>
  </si>
  <si>
    <t>sigh25717</t>
  </si>
  <si>
    <t>sightsee22</t>
  </si>
  <si>
    <t>sigh315127</t>
  </si>
  <si>
    <t>sightsee23</t>
  </si>
  <si>
    <t>sigh326235</t>
  </si>
  <si>
    <t>sightsee24</t>
  </si>
  <si>
    <t>sigh296338</t>
  </si>
  <si>
    <t>sightsee25</t>
  </si>
  <si>
    <t>The Navigator</t>
  </si>
  <si>
    <t>sigh269266</t>
  </si>
  <si>
    <t>sightsee26</t>
  </si>
  <si>
    <t>sigh171362</t>
  </si>
  <si>
    <t>Gales</t>
  </si>
  <si>
    <t>sightsee27</t>
  </si>
  <si>
    <t>sigh228224</t>
  </si>
  <si>
    <t>sightsee28</t>
  </si>
  <si>
    <t>Tidegate</t>
  </si>
  <si>
    <t>sigh194224</t>
  </si>
  <si>
    <t>sightsee29</t>
  </si>
  <si>
    <t>sigh308224</t>
  </si>
  <si>
    <t>sightsee30</t>
  </si>
  <si>
    <t>sigh12922</t>
  </si>
  <si>
    <t>sightsee31</t>
  </si>
  <si>
    <t>sigh291254</t>
  </si>
  <si>
    <t>Thunderstorms</t>
  </si>
  <si>
    <t>sightsee32</t>
  </si>
  <si>
    <t>sigh127151</t>
  </si>
  <si>
    <t>sightsee33</t>
  </si>
  <si>
    <t>sigh171163</t>
  </si>
  <si>
    <t>sightsee34</t>
  </si>
  <si>
    <t>sigh234117</t>
  </si>
  <si>
    <t>sightsee35</t>
  </si>
  <si>
    <t>sigh154101</t>
  </si>
  <si>
    <t>sightsee36</t>
  </si>
  <si>
    <t>The Carline Canopy</t>
  </si>
  <si>
    <t>sigh143143</t>
  </si>
  <si>
    <t>sightsee37</t>
  </si>
  <si>
    <t>The Lancer's Guild</t>
  </si>
  <si>
    <t>sigh14259</t>
  </si>
  <si>
    <t>sightsee38</t>
  </si>
  <si>
    <t>The Bannock</t>
  </si>
  <si>
    <t>sigh234199</t>
  </si>
  <si>
    <t>sightsee39</t>
  </si>
  <si>
    <t>sigh136231</t>
  </si>
  <si>
    <t>sightsee40</t>
  </si>
  <si>
    <t>The Guardian Tree</t>
  </si>
  <si>
    <t>sigh163223</t>
  </si>
  <si>
    <t>sightsee41</t>
  </si>
  <si>
    <t>Rainbow Bridge</t>
  </si>
  <si>
    <t>sigh265188</t>
  </si>
  <si>
    <t>sightsee42</t>
  </si>
  <si>
    <t>sigh209107</t>
  </si>
  <si>
    <t>Thunder</t>
  </si>
  <si>
    <t>sightsee43</t>
  </si>
  <si>
    <t>sigh178201</t>
  </si>
  <si>
    <t>sightsee44</t>
  </si>
  <si>
    <t>sigh147339</t>
  </si>
  <si>
    <t>sightsee45</t>
  </si>
  <si>
    <t>sigh333239</t>
  </si>
  <si>
    <t>sightsee46</t>
  </si>
  <si>
    <t>sigh254211</t>
  </si>
  <si>
    <t>sightsee47</t>
  </si>
  <si>
    <t>sigh184195</t>
  </si>
  <si>
    <t>sightsee48</t>
  </si>
  <si>
    <t>Fallen Neurolink</t>
  </si>
  <si>
    <t>sigh15832</t>
  </si>
  <si>
    <t>sightsee49</t>
  </si>
  <si>
    <t>sigh154272</t>
  </si>
  <si>
    <t>sightsee50</t>
  </si>
  <si>
    <t>sigh8752</t>
  </si>
  <si>
    <t>sightsee51</t>
  </si>
  <si>
    <t>Vesper Bay</t>
  </si>
  <si>
    <t>sigh124148</t>
  </si>
  <si>
    <t>Point</t>
  </si>
  <si>
    <t>sightsee52</t>
  </si>
  <si>
    <t>sigh214175</t>
  </si>
  <si>
    <t>Dust Storms</t>
  </si>
  <si>
    <t>sightsee53</t>
  </si>
  <si>
    <t>Gate of Nald</t>
  </si>
  <si>
    <t>sigh185261</t>
  </si>
  <si>
    <t>sightsee54</t>
  </si>
  <si>
    <t>sigh307265</t>
  </si>
  <si>
    <t>sightsee55</t>
  </si>
  <si>
    <t>The Golden Bazaar</t>
  </si>
  <si>
    <t>sigh10167</t>
  </si>
  <si>
    <t>On top of the scaffolding, in the center</t>
  </si>
  <si>
    <t>sightsee56</t>
  </si>
  <si>
    <t>sigh252147</t>
  </si>
  <si>
    <t>At the base of the statue.</t>
  </si>
  <si>
    <t>sightsee57</t>
  </si>
  <si>
    <t>sigh122229</t>
  </si>
  <si>
    <t>sightsee58</t>
  </si>
  <si>
    <t>sigh193205</t>
  </si>
  <si>
    <t>sightsee59</t>
  </si>
  <si>
    <t>The Sagolii Desert</t>
  </si>
  <si>
    <t>sigh213386</t>
  </si>
  <si>
    <t>Heat Waves</t>
  </si>
  <si>
    <t>sightsee60</t>
  </si>
  <si>
    <t>sigh238118</t>
  </si>
  <si>
    <t>sightsee61</t>
  </si>
  <si>
    <t>sigh146265</t>
  </si>
  <si>
    <t>Psych</t>
  </si>
  <si>
    <t>sightsee62</t>
  </si>
  <si>
    <t>sigh222257</t>
  </si>
  <si>
    <t>sightsee63</t>
  </si>
  <si>
    <t>Ceruleum Pipeline</t>
  </si>
  <si>
    <t>sigh206295</t>
  </si>
  <si>
    <t>sightsee64</t>
  </si>
  <si>
    <t>sigh208225</t>
  </si>
  <si>
    <t>sightsee65</t>
  </si>
  <si>
    <t>sigh20177</t>
  </si>
  <si>
    <t>sightsee66</t>
  </si>
  <si>
    <t>sigh264227</t>
  </si>
  <si>
    <t>sightsee67</t>
  </si>
  <si>
    <t>The Nail</t>
  </si>
  <si>
    <t>sigh254299</t>
  </si>
  <si>
    <t>sightsee68</t>
  </si>
  <si>
    <t>The Observatorium</t>
  </si>
  <si>
    <t>sigh255298</t>
  </si>
  <si>
    <t>sightsee69</t>
  </si>
  <si>
    <t>The Frozen Fang</t>
  </si>
  <si>
    <t>sigh117158</t>
  </si>
  <si>
    <t>Blizzards</t>
  </si>
  <si>
    <t>sightsee70</t>
  </si>
  <si>
    <t>The Holy See of Ishgard</t>
  </si>
  <si>
    <t>sigh128173</t>
  </si>
  <si>
    <t>sightsee71</t>
  </si>
  <si>
    <t>sigh78289</t>
  </si>
  <si>
    <t>sightsee72</t>
  </si>
  <si>
    <t>sigh79313</t>
  </si>
  <si>
    <t>sightsee73</t>
  </si>
  <si>
    <t>sigh22214</t>
  </si>
  <si>
    <t>sightsee74</t>
  </si>
  <si>
    <t>sigh265177</t>
  </si>
  <si>
    <t>sightsee75</t>
  </si>
  <si>
    <t>The Steel Vigil</t>
  </si>
  <si>
    <t>sigh282103</t>
  </si>
  <si>
    <t>sightsee76</t>
  </si>
  <si>
    <t>sigh98135</t>
  </si>
  <si>
    <t>Gloom</t>
  </si>
  <si>
    <t>sightsee77</t>
  </si>
  <si>
    <t>The Crystal Tower</t>
  </si>
  <si>
    <t>sigh2748</t>
  </si>
  <si>
    <t>sightsee78</t>
  </si>
  <si>
    <t>sigh186177</t>
  </si>
  <si>
    <t>sightsee79</t>
  </si>
  <si>
    <t>sigh261112</t>
  </si>
  <si>
    <t>sightsee80</t>
  </si>
  <si>
    <t>sigh3236</t>
  </si>
  <si>
    <t>At the top of the tower</t>
  </si>
  <si>
    <t>sightsee81</t>
  </si>
  <si>
    <t>sigh2023</t>
  </si>
  <si>
    <t>On the head of the dragon skeleton</t>
  </si>
  <si>
    <t>sightsee82</t>
  </si>
  <si>
    <t>sigh10318</t>
  </si>
  <si>
    <t>On the head of the dreaming dragon's head</t>
  </si>
  <si>
    <t>sightsee83</t>
  </si>
  <si>
    <t>sigh2066</t>
  </si>
  <si>
    <t>On top of the stone wall</t>
  </si>
  <si>
    <t>sightsee84</t>
  </si>
  <si>
    <t>sigh31648</t>
  </si>
  <si>
    <t>On the top of the bridge that enter's The Sea of Clouds</t>
  </si>
  <si>
    <t>sightsee85</t>
  </si>
  <si>
    <t>sigh362192</t>
  </si>
  <si>
    <t>On top of the south-most house</t>
  </si>
  <si>
    <t>sightsee86</t>
  </si>
  <si>
    <t>sigh205365</t>
  </si>
  <si>
    <t>Above the Cliffs, east of the entrance to The Dravanian Hinterlands</t>
  </si>
  <si>
    <t>sightsee87</t>
  </si>
  <si>
    <t>Loth ast Gnath</t>
  </si>
  <si>
    <t>sigh274363</t>
  </si>
  <si>
    <t>At the highest point, on a ledge</t>
  </si>
  <si>
    <t>sightsee88</t>
  </si>
  <si>
    <t>sigh12394</t>
  </si>
  <si>
    <t>On top of the statue on the roof</t>
  </si>
  <si>
    <t>sightsee89</t>
  </si>
  <si>
    <t>sigh165233</t>
  </si>
  <si>
    <t>On the dragon's head statue at the very top of Anyx Trine</t>
  </si>
  <si>
    <t>sightsee90</t>
  </si>
  <si>
    <t>sigh29661</t>
  </si>
  <si>
    <t>On top of the arch</t>
  </si>
  <si>
    <t>sightsee91</t>
  </si>
  <si>
    <t>sigh8261</t>
  </si>
  <si>
    <t>At the entrance to Sohm Al</t>
  </si>
  <si>
    <t>sightsee92</t>
  </si>
  <si>
    <t>sigh339235</t>
  </si>
  <si>
    <t>Above the entrance to the town (east of the Aetheryte)</t>
  </si>
  <si>
    <t>sightsee93</t>
  </si>
  <si>
    <t>Sohm Al</t>
  </si>
  <si>
    <t>sigh114134</t>
  </si>
  <si>
    <t>On the mountain side; as high as the Anyx Trine tower</t>
  </si>
  <si>
    <t>sightsee94</t>
  </si>
  <si>
    <t>sigh294351</t>
  </si>
  <si>
    <t>On the green mushroom in Mog's Home</t>
  </si>
  <si>
    <t>sightsee95</t>
  </si>
  <si>
    <t>sigh29213</t>
  </si>
  <si>
    <t>On the edge of the bridge</t>
  </si>
  <si>
    <t>sightsee96</t>
  </si>
  <si>
    <t>sigh18664</t>
  </si>
  <si>
    <t>At the top of the ruins</t>
  </si>
  <si>
    <t>sightsee97</t>
  </si>
  <si>
    <t>sigh7827</t>
  </si>
  <si>
    <t>At the very top of the tower</t>
  </si>
  <si>
    <t>sightsee98</t>
  </si>
  <si>
    <t>sigh176372</t>
  </si>
  <si>
    <t>sightsee99</t>
  </si>
  <si>
    <t>sigh351204</t>
  </si>
  <si>
    <t>sightsee100</t>
  </si>
  <si>
    <t>sigh232186</t>
  </si>
  <si>
    <t>Land above, then carefully walk downward</t>
  </si>
  <si>
    <t>sightsee101</t>
  </si>
  <si>
    <t>sigh152377</t>
  </si>
  <si>
    <t>On top of the blue tarp</t>
  </si>
  <si>
    <t>sightsee102</t>
  </si>
  <si>
    <t>sigh372401</t>
  </si>
  <si>
    <t>Inside of the nest (second from the bottom)</t>
  </si>
  <si>
    <t>Doze</t>
  </si>
  <si>
    <t>sightsee103</t>
  </si>
  <si>
    <t>sigh399219</t>
  </si>
  <si>
    <t>At the base of the tree on the west side</t>
  </si>
  <si>
    <t>sightsee104</t>
  </si>
  <si>
    <t>sigh139</t>
  </si>
  <si>
    <t>On the lone island</t>
  </si>
  <si>
    <t>sightsee105</t>
  </si>
  <si>
    <t>sigh18527</t>
  </si>
  <si>
    <t>At the top of the building at the highest point</t>
  </si>
  <si>
    <t>sightsee106</t>
  </si>
  <si>
    <t>sigh25239</t>
  </si>
  <si>
    <t>On a small edge near the bottom</t>
  </si>
  <si>
    <t>sightsee107</t>
  </si>
  <si>
    <t>sigh381117</t>
  </si>
  <si>
    <t>On the edge of the island</t>
  </si>
  <si>
    <t>sightsee108</t>
  </si>
  <si>
    <t>sigh401218</t>
  </si>
  <si>
    <t>Along the side of the cliff side</t>
  </si>
  <si>
    <t>sightsee109</t>
  </si>
  <si>
    <t>sigh179232</t>
  </si>
  <si>
    <t>Hidden in a waterfall cave near the base of the cliff</t>
  </si>
  <si>
    <t>sightsee110</t>
  </si>
  <si>
    <t>The Cenotaph</t>
  </si>
  <si>
    <t>sigh221276</t>
  </si>
  <si>
    <t>At the top of The Tipped Ewer</t>
  </si>
  <si>
    <t>sightsee111</t>
  </si>
  <si>
    <t>sigh101359</t>
  </si>
  <si>
    <t>On top of the ladder (the sweet spot to land is directly on the vista)</t>
  </si>
  <si>
    <t>sightsee112</t>
  </si>
  <si>
    <t>Great Gubal Library</t>
  </si>
  <si>
    <t>sigh288378</t>
  </si>
  <si>
    <t>On top of the building at the center of the arch</t>
  </si>
  <si>
    <t>sightsee113</t>
  </si>
  <si>
    <t>The Orn Wild</t>
  </si>
  <si>
    <t>sigh327119</t>
  </si>
  <si>
    <t>On the west side of a lone island</t>
  </si>
  <si>
    <t>sightsee114</t>
  </si>
  <si>
    <t>sigh13216</t>
  </si>
  <si>
    <t>On top of the tower</t>
  </si>
  <si>
    <t>sightsee115</t>
  </si>
  <si>
    <t>sigh39217</t>
  </si>
  <si>
    <t>On top of the north-most column</t>
  </si>
  <si>
    <t>sightsee116</t>
  </si>
  <si>
    <t>sigh334356</t>
  </si>
  <si>
    <t>sightsee117</t>
  </si>
  <si>
    <t>sigh6306</t>
  </si>
  <si>
    <t>At the top of the hill</t>
  </si>
  <si>
    <t>sightsee118</t>
  </si>
  <si>
    <t>Aetherochemical Research Facility</t>
  </si>
  <si>
    <t>sigh109356</t>
  </si>
  <si>
    <t>At the edge of the platform</t>
  </si>
  <si>
    <t>sightsee119</t>
  </si>
  <si>
    <t>sigh6199</t>
  </si>
  <si>
    <t>At the top of the structure</t>
  </si>
  <si>
    <t>sightsee120</t>
  </si>
  <si>
    <t>sigh94215</t>
  </si>
  <si>
    <t>sightsee121</t>
  </si>
  <si>
    <t>sigh304114</t>
  </si>
  <si>
    <t>Top of the structure</t>
  </si>
  <si>
    <t>sightsee122</t>
  </si>
  <si>
    <t>sigh326282</t>
  </si>
  <si>
    <t>On the arm of the statue</t>
  </si>
  <si>
    <t>Rally</t>
  </si>
  <si>
    <t>sightsee123</t>
  </si>
  <si>
    <t>sigh299238</t>
  </si>
  <si>
    <t>Climb from the wall upwards on the chain, then fall onto the lantern</t>
  </si>
  <si>
    <t>sightsee124</t>
  </si>
  <si>
    <t>sigh9104</t>
  </si>
  <si>
    <t>In the pond</t>
  </si>
  <si>
    <t>sightsee125</t>
  </si>
  <si>
    <t>sigh12782</t>
  </si>
  <si>
    <t>On the lance that's stuck in the dragon's head</t>
  </si>
  <si>
    <t>Me</t>
  </si>
  <si>
    <t>sightsee126</t>
  </si>
  <si>
    <t>sigh234394</t>
  </si>
  <si>
    <t>Land near by and walk along the side of the hill</t>
  </si>
  <si>
    <t>sightsee127</t>
  </si>
  <si>
    <t>sigh242188</t>
  </si>
  <si>
    <t>On top of the middle stake sticking out of the hill</t>
  </si>
  <si>
    <t>sightsee128</t>
  </si>
  <si>
    <t>sigh343158</t>
  </si>
  <si>
    <t>On top of the broken wall</t>
  </si>
  <si>
    <t>sightsee129</t>
  </si>
  <si>
    <t>sigh186326</t>
  </si>
  <si>
    <t>sightsee130</t>
  </si>
  <si>
    <t>Statue of the Unsung</t>
  </si>
  <si>
    <t>sigh338324</t>
  </si>
  <si>
    <t>On the floating island, in front of the statue</t>
  </si>
  <si>
    <t>sightsee131</t>
  </si>
  <si>
    <t>sigh373144</t>
  </si>
  <si>
    <t>On a lone floating island</t>
  </si>
  <si>
    <t>sightsee132</t>
  </si>
  <si>
    <t>The Old Father</t>
  </si>
  <si>
    <t>sigh14725</t>
  </si>
  <si>
    <t>On a small island floating above</t>
  </si>
  <si>
    <t>sightsee133</t>
  </si>
  <si>
    <t>sigh646</t>
  </si>
  <si>
    <t>Behind a bush near the entrance to Coerthas Western Highlands</t>
  </si>
  <si>
    <t>sightsee134</t>
  </si>
  <si>
    <t>sigh26769</t>
  </si>
  <si>
    <t>At the base of the tree</t>
  </si>
  <si>
    <t>sightsee135</t>
  </si>
  <si>
    <t>sigh99287</t>
  </si>
  <si>
    <t>At the base of the tree on the north side</t>
  </si>
  <si>
    <t>sightsee136</t>
  </si>
  <si>
    <t>The Sage's Cataract</t>
  </si>
  <si>
    <t>sigh12213</t>
  </si>
  <si>
    <t>South end of the broken wall</t>
  </si>
  <si>
    <t>sightsee137</t>
  </si>
  <si>
    <t>sigh197381</t>
  </si>
  <si>
    <t>On the broken column</t>
  </si>
  <si>
    <t>sightsee138</t>
  </si>
  <si>
    <t>sigh304313</t>
  </si>
  <si>
    <t>Hidden behind a tree on the cliffside</t>
  </si>
  <si>
    <t>sightsee139</t>
  </si>
  <si>
    <t>sigh10148</t>
  </si>
  <si>
    <t>Inside the building along the west wall</t>
  </si>
  <si>
    <t>sightsee140</t>
  </si>
  <si>
    <t>sigh35564</t>
  </si>
  <si>
    <t>Fall onto the roots (cannot land using flying mount)</t>
  </si>
  <si>
    <t>sightsee141</t>
  </si>
  <si>
    <t>sigh259286</t>
  </si>
  <si>
    <t>From the top of the wall, slowly fall down onto the next level</t>
  </si>
  <si>
    <t>sightsee142</t>
  </si>
  <si>
    <t>sigh219269</t>
  </si>
  <si>
    <t>At the top of the house on the east side of Castellum Velodyna</t>
  </si>
  <si>
    <t>sightsee143</t>
  </si>
  <si>
    <t>sigh242162</t>
  </si>
  <si>
    <t>Near the top of the ruins of Gyr Kehim on the west side</t>
  </si>
  <si>
    <t>sightsee144</t>
  </si>
  <si>
    <t>sigh23272</t>
  </si>
  <si>
    <t>Above the doorway inside of the Schism</t>
  </si>
  <si>
    <t>sightsee145</t>
  </si>
  <si>
    <t>sigh93108</t>
  </si>
  <si>
    <t>Near the top of the tower, north-east of the Aetheryte</t>
  </si>
  <si>
    <t>sightsee146</t>
  </si>
  <si>
    <t>sigh86264</t>
  </si>
  <si>
    <t>On an orb embedded into the tree at The Percipient One</t>
  </si>
  <si>
    <t>sightsee147</t>
  </si>
  <si>
    <t>Djanan Qhat</t>
  </si>
  <si>
    <t>sigh365164</t>
  </si>
  <si>
    <t>On top of the monument</t>
  </si>
  <si>
    <t>sightsee148</t>
  </si>
  <si>
    <t>sigh30252</t>
  </si>
  <si>
    <t>At the very top of the mountain</t>
  </si>
  <si>
    <t>sightsee149</t>
  </si>
  <si>
    <t>sigh333102</t>
  </si>
  <si>
    <t>On the edge of a broken bridge</t>
  </si>
  <si>
    <t>sightsee150</t>
  </si>
  <si>
    <t>sigh27368</t>
  </si>
  <si>
    <t>On the west tower in Coldhearth</t>
  </si>
  <si>
    <t>sightsee151</t>
  </si>
  <si>
    <t>sigh22328</t>
  </si>
  <si>
    <t>On top of the ship in Nyunkrepf's Hope</t>
  </si>
  <si>
    <t>sightsee152</t>
  </si>
  <si>
    <t>sigh25158</t>
  </si>
  <si>
    <t>North-east cliff side on the highest point</t>
  </si>
  <si>
    <t>sightsee153</t>
  </si>
  <si>
    <t>sigh199234</t>
  </si>
  <si>
    <t>On the west ledge of the north-west tower in Specula Imperatoris</t>
  </si>
  <si>
    <t>sightsee154</t>
  </si>
  <si>
    <t>sigh81375</t>
  </si>
  <si>
    <t>West ledge of The Arms of Meed</t>
  </si>
  <si>
    <t>sightsee155</t>
  </si>
  <si>
    <t>sigh183143</t>
  </si>
  <si>
    <t>On the hill north west of The Ziggurat</t>
  </si>
  <si>
    <t>sightsee156</t>
  </si>
  <si>
    <t>sigh7576</t>
  </si>
  <si>
    <t>On top of the south west pillar inside Emprise</t>
  </si>
  <si>
    <t>sightsee157</t>
  </si>
  <si>
    <t>Ala Mhigo</t>
  </si>
  <si>
    <t>sigh235337</t>
  </si>
  <si>
    <t>At the top of the pillar hill</t>
  </si>
  <si>
    <t>sightsee158</t>
  </si>
  <si>
    <t>sigh352332</t>
  </si>
  <si>
    <t>On top of the building in The Aka Mhigan Quarter</t>
  </si>
  <si>
    <t>sightsee159</t>
  </si>
  <si>
    <t>sigh138355</t>
  </si>
  <si>
    <t>On top of the Sothwatch tower</t>
  </si>
  <si>
    <t>sightsee160</t>
  </si>
  <si>
    <t>sigh205165</t>
  </si>
  <si>
    <t>At the top of the stairs of The Divine Audience</t>
  </si>
  <si>
    <t>sightsee161</t>
  </si>
  <si>
    <t>The Hidden Tunnel</t>
  </si>
  <si>
    <t>sigh339302</t>
  </si>
  <si>
    <t>Enter the underground Tunnels via the Ala Mhigan Resistance Gate Guard (x35, y31.7). By the storage crates</t>
  </si>
  <si>
    <t>sightsee162</t>
  </si>
  <si>
    <t>sigh5922</t>
  </si>
  <si>
    <t>On top of the tower south of the entrance to The Peaks</t>
  </si>
  <si>
    <t>sightsee163</t>
  </si>
  <si>
    <t>The Sekiseigumi Barracks</t>
  </si>
  <si>
    <t>sigh14396</t>
  </si>
  <si>
    <t>On the balcony of the building south of Sekiseigumi Barracks</t>
  </si>
  <si>
    <t>sightsee164</t>
  </si>
  <si>
    <t>Bokairo Inn</t>
  </si>
  <si>
    <t>sigh9473</t>
  </si>
  <si>
    <t>In the tub at the very top of the Bokairo Inn.</t>
  </si>
  <si>
    <t>sightsee165</t>
  </si>
  <si>
    <t>Kogane Dori</t>
  </si>
  <si>
    <t>sigh132127</t>
  </si>
  <si>
    <t>From The Ruby Bazaar entrance, jump over the rail onto the roof, then onto the balcony</t>
  </si>
  <si>
    <t>sightsee166</t>
  </si>
  <si>
    <t>Kogane Alleyways</t>
  </si>
  <si>
    <t>sigh119117</t>
  </si>
  <si>
    <t>From the east balcony, jump onto the ledges of the buildings</t>
  </si>
  <si>
    <t>sightsee167</t>
  </si>
  <si>
    <t>Shiokaze Hostelry</t>
  </si>
  <si>
    <t>sigh10210</t>
  </si>
  <si>
    <t>Climb the Shiokaze Hostelry tower to the very top</t>
  </si>
  <si>
    <t>sightsee168</t>
  </si>
  <si>
    <t>sigh25913</t>
  </si>
  <si>
    <t>[Underwater] On the ledge of a reef</t>
  </si>
  <si>
    <t>sightsee169</t>
  </si>
  <si>
    <t>sigh32987</t>
  </si>
  <si>
    <t>On the east side of the Shoal Rock hill</t>
  </si>
  <si>
    <t>sightsee170</t>
  </si>
  <si>
    <t>sigh2456</t>
  </si>
  <si>
    <t>On the north side of the hill</t>
  </si>
  <si>
    <t>sightsee171</t>
  </si>
  <si>
    <t>sigh315372</t>
  </si>
  <si>
    <t>On top of the east tower in Sakazuki</t>
  </si>
  <si>
    <t>sightsee172</t>
  </si>
  <si>
    <t>sigh101267</t>
  </si>
  <si>
    <t>On the rock to the right of The Dive</t>
  </si>
  <si>
    <t>sightsee173</t>
  </si>
  <si>
    <t>sigh64108</t>
  </si>
  <si>
    <t>sightsee174</t>
  </si>
  <si>
    <t>sigh124267</t>
  </si>
  <si>
    <t>On the ledge north of the door at The Swallow's Compass</t>
  </si>
  <si>
    <t>sightsee175</t>
  </si>
  <si>
    <t>sigh303329</t>
  </si>
  <si>
    <t>On top of the north tower in Castrum Fluminis</t>
  </si>
  <si>
    <t>sightsee176</t>
  </si>
  <si>
    <t>sigh343183</t>
  </si>
  <si>
    <t>sightsee177</t>
  </si>
  <si>
    <t>sigh30462</t>
  </si>
  <si>
    <t>On a stone pillar east of Prism Lake</t>
  </si>
  <si>
    <t>sightsee178</t>
  </si>
  <si>
    <t>sigh14963</t>
  </si>
  <si>
    <t>On top of the building in The Coattails</t>
  </si>
  <si>
    <t>sightsee179</t>
  </si>
  <si>
    <t>Dairyu Moon Gates</t>
  </si>
  <si>
    <t>sigh195205</t>
  </si>
  <si>
    <t>On the south ledge of the south-east gate of The Dairyu Moon Gates</t>
  </si>
  <si>
    <t>sightsee180</t>
  </si>
  <si>
    <t>sigh152316</t>
  </si>
  <si>
    <t>On the roof of the Yuzuka Manor</t>
  </si>
  <si>
    <t>sightsee181</t>
  </si>
  <si>
    <t>sigh14298</t>
  </si>
  <si>
    <t>On top of the pillar</t>
  </si>
  <si>
    <t>sightsee182</t>
  </si>
  <si>
    <t>sigh12232</t>
  </si>
  <si>
    <t>On the hill north of Dotharl Khaa</t>
  </si>
  <si>
    <t>sightsee183</t>
  </si>
  <si>
    <t>sigh198337</t>
  </si>
  <si>
    <t>On the head of The Dusk Throne statue</t>
  </si>
  <si>
    <t>sightsee184</t>
  </si>
  <si>
    <t>sigh345319</t>
  </si>
  <si>
    <t>On top of the cliffs just south of Nem Khaal</t>
  </si>
  <si>
    <t>sightsee185</t>
  </si>
  <si>
    <t>sigh20126</t>
  </si>
  <si>
    <t>On top of the building in Chakha Zoh</t>
  </si>
  <si>
    <t>sightsee186</t>
  </si>
  <si>
    <t>sigh226212</t>
  </si>
  <si>
    <t>On the north-east tower of The Dawn Throne</t>
  </si>
  <si>
    <t>sightsee187</t>
  </si>
  <si>
    <t>sigh114139</t>
  </si>
  <si>
    <t>Climb on top of the leaning tower, then SPRINT jump onto the broken pillar</t>
  </si>
  <si>
    <t>sightsee188</t>
  </si>
  <si>
    <t>Bloodstorm</t>
  </si>
  <si>
    <t>sigh10597</t>
  </si>
  <si>
    <t>From (x10.1, y9.3), jump on the small ledges to the top of the structure</t>
  </si>
  <si>
    <t>sightsee189</t>
  </si>
  <si>
    <t>sigh275351</t>
  </si>
  <si>
    <t>West of the The Yawn near the top of the mountain side</t>
  </si>
  <si>
    <t>sightsee190</t>
  </si>
  <si>
    <t>sigh143366</t>
  </si>
  <si>
    <t>West pillar of Ala Ghiri</t>
  </si>
  <si>
    <t>sightsee191</t>
  </si>
  <si>
    <t>Specula Imperatoris #2</t>
  </si>
  <si>
    <t>sigh204229</t>
  </si>
  <si>
    <t>Fly to the ledge above the vista point, then fall down onto the lamp</t>
  </si>
  <si>
    <t>sightsee192</t>
  </si>
  <si>
    <t>The Sunken Destroyer</t>
  </si>
  <si>
    <t>sigh171192</t>
  </si>
  <si>
    <t>[Underwater] On the statue's palm in Loch Seld</t>
  </si>
  <si>
    <t>sightsee193</t>
  </si>
  <si>
    <t>The Ala Mhigan Quarter #2</t>
  </si>
  <si>
    <t>sigh36335</t>
  </si>
  <si>
    <t>On the lampost south-east of point #17</t>
  </si>
  <si>
    <t>sightsee194</t>
  </si>
  <si>
    <t>The Statue of Zuiko</t>
  </si>
  <si>
    <t>sigh11199</t>
  </si>
  <si>
    <t>From the top of the Shiokaze Hostelry tower, SPRINT jump from (x10.5, y9.9)</t>
  </si>
  <si>
    <t>sightsee195</t>
  </si>
  <si>
    <t>Rakuza District</t>
  </si>
  <si>
    <t>sigh9883</t>
  </si>
  <si>
    <t>On top of the gate just south of the Bokairo Inn Aetheryte</t>
  </si>
  <si>
    <t>sightsee196</t>
  </si>
  <si>
    <t>Tenkonto</t>
  </si>
  <si>
    <t>sigh125106</t>
  </si>
  <si>
    <t>Jump from the east side onto the ledges and across onto the west most house. Use SPRINT for easy jumps</t>
  </si>
  <si>
    <t>sightsee197</t>
  </si>
  <si>
    <t>Kugane Ofunakura</t>
  </si>
  <si>
    <t>sigh97123</t>
  </si>
  <si>
    <t>Inside Kugane Ofunakura, jump from ribbon to ribbon onto the ledge of the wall</t>
  </si>
  <si>
    <t>sightsee198</t>
  </si>
  <si>
    <t>sigh5364</t>
  </si>
  <si>
    <t>[Underwater] On the coral, north side of the path to Shisui of the Violet Tides</t>
  </si>
  <si>
    <t>sightsee199</t>
  </si>
  <si>
    <t>sigh9519</t>
  </si>
  <si>
    <t>On the north side of a lone island</t>
  </si>
  <si>
    <t>sightsee200</t>
  </si>
  <si>
    <t>sigh215119</t>
  </si>
  <si>
    <t>On the mast of the ship</t>
  </si>
  <si>
    <t>sightsee201</t>
  </si>
  <si>
    <t>sigh356388</t>
  </si>
  <si>
    <t>[Underwater] By the destroyed Imperial Hypersonic Assault Craft L-XXIII</t>
  </si>
  <si>
    <t>sightsee202</t>
  </si>
  <si>
    <t>Mol Iloh</t>
  </si>
  <si>
    <t>sigh313115</t>
  </si>
  <si>
    <t>On top of the tent in Mol Iloh</t>
  </si>
  <si>
    <t>sightsee203</t>
  </si>
  <si>
    <t>Moai Statue</t>
  </si>
  <si>
    <t>sigh218203</t>
  </si>
  <si>
    <t>[Underwater] East of the stonehenge statue</t>
  </si>
  <si>
    <t>sightsee204</t>
  </si>
  <si>
    <t>The Rotunda</t>
  </si>
  <si>
    <t>sigh86112</t>
  </si>
  <si>
    <t>On the arch at the entrance to The Rotunda</t>
  </si>
  <si>
    <t>sightsee205</t>
  </si>
  <si>
    <t>Musica Universalis</t>
  </si>
  <si>
    <t>sigh104131</t>
  </si>
  <si>
    <t>From the second floor, SPRINT jump onto the tent</t>
  </si>
  <si>
    <t>sightsee206</t>
  </si>
  <si>
    <t>The Cabinet of Curiosity</t>
  </si>
  <si>
    <t>sigh9959</t>
  </si>
  <si>
    <t>On the second floor table of The Cabinet of Curiosity</t>
  </si>
  <si>
    <t>sightsee207</t>
  </si>
  <si>
    <t>Rapture</t>
  </si>
  <si>
    <t>sigh1147</t>
  </si>
  <si>
    <t>At the end of the platform in The Amaro Launch</t>
  </si>
  <si>
    <t>sightsee208</t>
  </si>
  <si>
    <t>Temenos Rookery</t>
  </si>
  <si>
    <t>sigh7196</t>
  </si>
  <si>
    <t>From the second floor balcony, SPRINT jump onto the lamp post</t>
  </si>
  <si>
    <t>sightsee209</t>
  </si>
  <si>
    <t>The Glory Gate</t>
  </si>
  <si>
    <t>sigh11784</t>
  </si>
  <si>
    <t>From the ship east of the vista, SPRINT jump onto the roof</t>
  </si>
  <si>
    <t>sightsee210</t>
  </si>
  <si>
    <t>The Derelicts</t>
  </si>
  <si>
    <t>sigh12414</t>
  </si>
  <si>
    <t>On the bow of the ship wreck</t>
  </si>
  <si>
    <t>sightsee211</t>
  </si>
  <si>
    <t>Eulmoran Army Headquarters</t>
  </si>
  <si>
    <t>sigh111114</t>
  </si>
  <si>
    <t>In The Understory, SPRINT jump from the highest balcony onto the lamp post</t>
  </si>
  <si>
    <t>sightsee212</t>
  </si>
  <si>
    <t>The Beehive</t>
  </si>
  <si>
    <t>sigh123104</t>
  </si>
  <si>
    <t>In The Canopy, along the south wall in The Beehive</t>
  </si>
  <si>
    <t>sightsee213</t>
  </si>
  <si>
    <t>sigh374209</t>
  </si>
  <si>
    <t>On top of the landing pad east side of Fort Jobb</t>
  </si>
  <si>
    <t>sightsee214</t>
  </si>
  <si>
    <t>sigh184187</t>
  </si>
  <si>
    <t>On top of the landing pad in Radisca's Round</t>
  </si>
  <si>
    <t>sightsee215</t>
  </si>
  <si>
    <t>sigh221151</t>
  </si>
  <si>
    <t>At the very top of The Hall of the Thrice Born</t>
  </si>
  <si>
    <t>sightsee216</t>
  </si>
  <si>
    <t>sigh63152</t>
  </si>
  <si>
    <t>At the top of the large tower in The Ostall Imperative</t>
  </si>
  <si>
    <t>sightsee217</t>
  </si>
  <si>
    <t>sigh87229</t>
  </si>
  <si>
    <t>At the edge of the cliff east of The Hour of Certain Durance</t>
  </si>
  <si>
    <t>sightsee218</t>
  </si>
  <si>
    <t>sigh215362</t>
  </si>
  <si>
    <t>On top of the rock formation in Brick</t>
  </si>
  <si>
    <t>sightsee219</t>
  </si>
  <si>
    <t>sigh332289</t>
  </si>
  <si>
    <t>On top of the rock formation south-west of Stilltide</t>
  </si>
  <si>
    <t>sightsee220</t>
  </si>
  <si>
    <t>sigh288221</t>
  </si>
  <si>
    <t>At the bottom of the White Oil Falls waterfall</t>
  </si>
  <si>
    <t>sightsee221</t>
  </si>
  <si>
    <t>sigh236381</t>
  </si>
  <si>
    <t>On top of the stacked crates on the south-west side of Gatetown</t>
  </si>
  <si>
    <t>sightsee222</t>
  </si>
  <si>
    <t>sigh182293</t>
  </si>
  <si>
    <t>On the hill-top east of Wright</t>
  </si>
  <si>
    <t>sightsee223</t>
  </si>
  <si>
    <t>sigh121221</t>
  </si>
  <si>
    <t>At the top of The Ladder, overlooking the south</t>
  </si>
  <si>
    <t>sightsee224</t>
  </si>
  <si>
    <t>sigh13698</t>
  </si>
  <si>
    <t>At the top of the stone pillar south-east of Tomra</t>
  </si>
  <si>
    <t>sightsee225</t>
  </si>
  <si>
    <t>sigh371115</t>
  </si>
  <si>
    <t>In a small alcove on the east side of The Duergar's Tewel</t>
  </si>
  <si>
    <t>sightsee226</t>
  </si>
  <si>
    <t>The Red Serai</t>
  </si>
  <si>
    <t>sigh336135</t>
  </si>
  <si>
    <t>On the edge of the cliff north-west of Pitch</t>
  </si>
  <si>
    <t>sightsee227</t>
  </si>
  <si>
    <t>sigh253166</t>
  </si>
  <si>
    <t>On top of the 'The Rack' tower in Mord Souq</t>
  </si>
  <si>
    <t>sightsee228</t>
  </si>
  <si>
    <t>sigh285319</t>
  </si>
  <si>
    <t>On top of the wooden tower in The Derrick</t>
  </si>
  <si>
    <t>sightsee229</t>
  </si>
  <si>
    <t>sigh22194</t>
  </si>
  <si>
    <t>On top of the barrel with two carts attached</t>
  </si>
  <si>
    <t>sightsee230</t>
  </si>
  <si>
    <t>sigh111169</t>
  </si>
  <si>
    <t>On the lift north of the Aetheryte</t>
  </si>
  <si>
    <t>sightsee231</t>
  </si>
  <si>
    <t>sigh204213</t>
  </si>
  <si>
    <t>On a broken column in Kelk</t>
  </si>
  <si>
    <t>sightsee232</t>
  </si>
  <si>
    <t>sigh148319</t>
  </si>
  <si>
    <t>On top of the tallest structure in Lydha Lran</t>
  </si>
  <si>
    <t>sightsee233</t>
  </si>
  <si>
    <t>sigh87168</t>
  </si>
  <si>
    <t>On the roof the The Bookman's Shelves</t>
  </si>
  <si>
    <t>sightsee234</t>
  </si>
  <si>
    <t>sigh20246</t>
  </si>
  <si>
    <t>On a mushroom just south of the Aetheryte in Pla Enni</t>
  </si>
  <si>
    <t>sightsee235</t>
  </si>
  <si>
    <t>sigh214209</t>
  </si>
  <si>
    <t>[Underwater] On a platform leading up in Deepwood Swim</t>
  </si>
  <si>
    <t>sightsee236</t>
  </si>
  <si>
    <t>sigh208163</t>
  </si>
  <si>
    <t>At the top of the spiral tower at the entrance to Lyhe Ghiah</t>
  </si>
  <si>
    <t>sightsee237</t>
  </si>
  <si>
    <t>sigh357248</t>
  </si>
  <si>
    <t>Near the base of the waterfall in Saint Fathric's Temple</t>
  </si>
  <si>
    <t>sightsee238</t>
  </si>
  <si>
    <t>sigh136325</t>
  </si>
  <si>
    <t>On top of the highest tower in Fort Gohn</t>
  </si>
  <si>
    <t>sightsee239</t>
  </si>
  <si>
    <t>sigh89251</t>
  </si>
  <si>
    <t>On a root above the water north-east of Fruit of the Protector</t>
  </si>
  <si>
    <t>sightsee240</t>
  </si>
  <si>
    <t>sigh43272</t>
  </si>
  <si>
    <t>[Underwater] Above the door inside of The Covered Halls of Dwatl</t>
  </si>
  <si>
    <t>sightsee241</t>
  </si>
  <si>
    <t>sigh141183</t>
  </si>
  <si>
    <t>On the west cliffside at the base of the waterfalls in Lozatl's Conquest</t>
  </si>
  <si>
    <t>sightsee242</t>
  </si>
  <si>
    <t>sigh29119</t>
  </si>
  <si>
    <t>South side of Fanow</t>
  </si>
  <si>
    <t>sightsee243</t>
  </si>
  <si>
    <t>sigh26410</t>
  </si>
  <si>
    <t>On the south-east entrance of The Great Pyramid of Ux'ner</t>
  </si>
  <si>
    <t>sightsee244</t>
  </si>
  <si>
    <t>sigh33162</t>
  </si>
  <si>
    <t>On the edge of a cliff, north-side of The Ondo Cups</t>
  </si>
  <si>
    <t>sightsee245</t>
  </si>
  <si>
    <t>sigh345254</t>
  </si>
  <si>
    <t>Inside The Workbench in front of the NPC (Grenoldt)</t>
  </si>
  <si>
    <t>sightsee246</t>
  </si>
  <si>
    <t>sigh37166</t>
  </si>
  <si>
    <t>By the water in Where the Dry Return</t>
  </si>
  <si>
    <t>sightsee247</t>
  </si>
  <si>
    <t>sigh343306</t>
  </si>
  <si>
    <t>On the rocks inside Purpure. Entrance to cave is (x29.2, y29.7, z-7.9)</t>
  </si>
  <si>
    <t>sightsee248</t>
  </si>
  <si>
    <t>sigh137368</t>
  </si>
  <si>
    <t>On top of the tower in The Capitol</t>
  </si>
  <si>
    <t>sightsee249</t>
  </si>
  <si>
    <t>The Leveilleur Estate</t>
  </si>
  <si>
    <t>sigh1568</t>
  </si>
  <si>
    <t>sightsee250</t>
  </si>
  <si>
    <t>Scholar's Harbor</t>
  </si>
  <si>
    <t>sigh118158</t>
  </si>
  <si>
    <t>sightsee251</t>
  </si>
  <si>
    <t>The Forum</t>
  </si>
  <si>
    <t>sigh10868</t>
  </si>
  <si>
    <t>On the south-west corner of the outer ring floor of The Rostra</t>
  </si>
  <si>
    <t>sightsee252</t>
  </si>
  <si>
    <t>Noumenon</t>
  </si>
  <si>
    <t>sigh45113</t>
  </si>
  <si>
    <t>On the north corner of the Noumenon Library</t>
  </si>
  <si>
    <t>sightsee253</t>
  </si>
  <si>
    <t>The Rostra</t>
  </si>
  <si>
    <t>sigh11210</t>
  </si>
  <si>
    <t>sightsee254</t>
  </si>
  <si>
    <t>Journey's End</t>
  </si>
  <si>
    <t>sigh1594</t>
  </si>
  <si>
    <t>By the fountain in Auk's Landing</t>
  </si>
  <si>
    <t>sightsee255</t>
  </si>
  <si>
    <t>Learners' Meet</t>
  </si>
  <si>
    <t>sigh3389</t>
  </si>
  <si>
    <t>Behind the podium in Learners' Meet</t>
  </si>
  <si>
    <t>sightsee256</t>
  </si>
  <si>
    <t>Ruveydah Fibers</t>
  </si>
  <si>
    <t>sigh79133</t>
  </si>
  <si>
    <t>sightsee257</t>
  </si>
  <si>
    <t>Balshahn Bazaar</t>
  </si>
  <si>
    <t>sigh10694</t>
  </si>
  <si>
    <t>On top of the crates in West Balshanhn Bazaar</t>
  </si>
  <si>
    <t>sightsee258</t>
  </si>
  <si>
    <t>Nilopala Nourishments</t>
  </si>
  <si>
    <t>sigh77141</t>
  </si>
  <si>
    <t>sightsee259</t>
  </si>
  <si>
    <t>Mehryde's Meyhane</t>
  </si>
  <si>
    <t>sigh11272</t>
  </si>
  <si>
    <t>sightsee260</t>
  </si>
  <si>
    <t>Meghaduta</t>
  </si>
  <si>
    <t>sigh51132</t>
  </si>
  <si>
    <t>Side of the cliff south of Dharma</t>
  </si>
  <si>
    <t>sightsee261</t>
  </si>
  <si>
    <t>Alzadaal's Peace</t>
  </si>
  <si>
    <t>sigh109121</t>
  </si>
  <si>
    <t>From the bridge, jump off onto the roof from the south-west corner</t>
  </si>
  <si>
    <t>sightsee262</t>
  </si>
  <si>
    <t>Ruveydah Fibers Rooftop Garden</t>
  </si>
  <si>
    <t>sigh86131</t>
  </si>
  <si>
    <t>sightsee263</t>
  </si>
  <si>
    <t>sigh20475</t>
  </si>
  <si>
    <t>On the balcony of Upper Acrinthos</t>
  </si>
  <si>
    <t>sightsee264</t>
  </si>
  <si>
    <t>sigh15253</t>
  </si>
  <si>
    <t>sightsee265</t>
  </si>
  <si>
    <t>sigh308187</t>
  </si>
  <si>
    <t>On top of the north-east building in Meryall Agronomics</t>
  </si>
  <si>
    <t>sightsee266</t>
  </si>
  <si>
    <t>sigh384137</t>
  </si>
  <si>
    <t>On the east side of the Troglophile's Deep Cave</t>
  </si>
  <si>
    <t>sightsee267</t>
  </si>
  <si>
    <t>sigh224175</t>
  </si>
  <si>
    <t>sightsee268</t>
  </si>
  <si>
    <t>sigh262336</t>
  </si>
  <si>
    <t>On top of the building in Yedihmad</t>
  </si>
  <si>
    <t>sightsee269</t>
  </si>
  <si>
    <t>sigh225196</t>
  </si>
  <si>
    <t>Land on the corner of the tower, then jump onto the pole in Kadjaya's Footsteps</t>
  </si>
  <si>
    <t>sightsee270</t>
  </si>
  <si>
    <t>sigh19969</t>
  </si>
  <si>
    <t>On the cliffside of Giantsgall Grounds</t>
  </si>
  <si>
    <t>sightsee271</t>
  </si>
  <si>
    <t>sigh293249</t>
  </si>
  <si>
    <t>On top of the rock east of The Font of Maya</t>
  </si>
  <si>
    <t>sightsee272</t>
  </si>
  <si>
    <t>sigh265241</t>
  </si>
  <si>
    <t>On the east side of The Font of Maya</t>
  </si>
  <si>
    <t>sightsee273</t>
  </si>
  <si>
    <t>sigh98232</t>
  </si>
  <si>
    <t>sightsee274</t>
  </si>
  <si>
    <t>sigh323185</t>
  </si>
  <si>
    <t>On top of the crates on the railway tracks in Terium</t>
  </si>
  <si>
    <t>sightsee275</t>
  </si>
  <si>
    <t>sigh297341</t>
  </si>
  <si>
    <t>On top of the south-most crane in Juturna Platform G</t>
  </si>
  <si>
    <t>sightsee276</t>
  </si>
  <si>
    <t>sigh296233</t>
  </si>
  <si>
    <t>On the pipeline above the derailed train in The Runaway Train</t>
  </si>
  <si>
    <t>sightsee277</t>
  </si>
  <si>
    <t>sigh16992</t>
  </si>
  <si>
    <t>On the south-end roof the middle building in Senaculum Imperialis</t>
  </si>
  <si>
    <t>sightsee278</t>
  </si>
  <si>
    <t>sigh193168</t>
  </si>
  <si>
    <t>On top of a ruined building, south-west in Regio Urbanissima</t>
  </si>
  <si>
    <t>sightsee279</t>
  </si>
  <si>
    <t>sigh29186</t>
  </si>
  <si>
    <t>On the 3-way children's slide in Forum Solius</t>
  </si>
  <si>
    <t>sightsee280</t>
  </si>
  <si>
    <t>sigh33293</t>
  </si>
  <si>
    <t>Lone south-east most island in The Cthonic Horns</t>
  </si>
  <si>
    <t>sightsee281</t>
  </si>
  <si>
    <t>sigh101135</t>
  </si>
  <si>
    <t>East end of the Metabaseos Thalassai building</t>
  </si>
  <si>
    <t>sightsee282</t>
  </si>
  <si>
    <t>sigh317157</t>
  </si>
  <si>
    <t>On top of the gazebo in Lethe</t>
  </si>
  <si>
    <t>sightsee283</t>
  </si>
  <si>
    <t>sigh14972</t>
  </si>
  <si>
    <t>On the arch in front of the Ktisis Hyperboreia dungeon</t>
  </si>
  <si>
    <t>sightsee284</t>
  </si>
  <si>
    <t>sigh245228</t>
  </si>
  <si>
    <t>On the side of the north building in Anagnorisis</t>
  </si>
  <si>
    <t>sightsee285</t>
  </si>
  <si>
    <t>sigh11322</t>
  </si>
  <si>
    <t>On the forehead of the statue in Kydonia Knolls</t>
  </si>
  <si>
    <t>sightsee286</t>
  </si>
  <si>
    <t>sigh7361</t>
  </si>
  <si>
    <t>sightsee287</t>
  </si>
  <si>
    <t>sigh35993</t>
  </si>
  <si>
    <t>sightsee288</t>
  </si>
  <si>
    <t>sigh343294</t>
  </si>
  <si>
    <t>At the end of a destroyed vessel piece in Heimdall's Last Sight</t>
  </si>
  <si>
    <t>sightsee289</t>
  </si>
  <si>
    <t>sigh135326</t>
  </si>
  <si>
    <t>On the east most arch of The Watcher's Palace</t>
  </si>
  <si>
    <t>sightsee290</t>
  </si>
  <si>
    <t>sigh326299</t>
  </si>
  <si>
    <t>At the edge of the platform in Stigma-1</t>
  </si>
  <si>
    <t>sightsee291</t>
  </si>
  <si>
    <t>sigh336268</t>
  </si>
  <si>
    <t>On top of a tower in Fallow Portal</t>
  </si>
  <si>
    <t>sightsee292</t>
  </si>
  <si>
    <t>sigh187137</t>
  </si>
  <si>
    <t>Top of the cliff north-east of Hollow of the Flesh</t>
  </si>
  <si>
    <t>sightsee293</t>
  </si>
  <si>
    <t>sigh89181</t>
  </si>
  <si>
    <t>sightsee294</t>
  </si>
  <si>
    <t>On the west-most platform of The Nekropolis buildings</t>
  </si>
  <si>
    <t>sightsee295</t>
  </si>
  <si>
    <t>Bayside Bevy</t>
  </si>
  <si>
    <t>sigh12114</t>
  </si>
  <si>
    <t>sightsee296</t>
  </si>
  <si>
    <t>The Resplendent Quarter</t>
  </si>
  <si>
    <t>sigh79107</t>
  </si>
  <si>
    <t>sightsee297</t>
  </si>
  <si>
    <t>High Tide Harbor</t>
  </si>
  <si>
    <t>sigh147151</t>
  </si>
  <si>
    <t>sightsee298</t>
  </si>
  <si>
    <t>The For'ard Cabins</t>
  </si>
  <si>
    <t>sigh10222</t>
  </si>
  <si>
    <t>sightsee299</t>
  </si>
  <si>
    <t>Hunu'iliy</t>
  </si>
  <si>
    <t>sigh18431</t>
  </si>
  <si>
    <t>sightsee300</t>
  </si>
  <si>
    <t>sigh29126</t>
  </si>
  <si>
    <t>sightsee301</t>
  </si>
  <si>
    <t>sigh14488</t>
  </si>
  <si>
    <t>sightsee302</t>
  </si>
  <si>
    <t>sigh267242</t>
  </si>
  <si>
    <t>sightsee303</t>
  </si>
  <si>
    <t>sigh346252</t>
  </si>
  <si>
    <t>sightsee304</t>
  </si>
  <si>
    <t>sigh219352</t>
  </si>
  <si>
    <t>sightsee305</t>
  </si>
  <si>
    <t>sigh9222</t>
  </si>
  <si>
    <t>sightsee306</t>
  </si>
  <si>
    <t>sigh91119</t>
  </si>
  <si>
    <t>sightsee307</t>
  </si>
  <si>
    <t>sigh182207</t>
  </si>
  <si>
    <t>sightsee308</t>
  </si>
  <si>
    <t>sigh247191</t>
  </si>
  <si>
    <t>sightsee309</t>
  </si>
  <si>
    <t>sigh346109</t>
  </si>
  <si>
    <t>sightsee310</t>
  </si>
  <si>
    <t>sigh10728</t>
  </si>
  <si>
    <t>sightsee311</t>
  </si>
  <si>
    <t>sigh288287</t>
  </si>
  <si>
    <t>sightsee312</t>
  </si>
  <si>
    <t>sigh115141</t>
  </si>
  <si>
    <t>sightsee313</t>
  </si>
  <si>
    <t>sigh32965</t>
  </si>
  <si>
    <t>sightsee314</t>
  </si>
  <si>
    <t>sigh295152</t>
  </si>
  <si>
    <t>sightsee315</t>
  </si>
  <si>
    <t>sigh244235</t>
  </si>
  <si>
    <t>sightsee316</t>
  </si>
  <si>
    <t>sigh195324</t>
  </si>
  <si>
    <t>sightsee317</t>
  </si>
  <si>
    <t>sigh252272</t>
  </si>
  <si>
    <t>sightsee318</t>
  </si>
  <si>
    <t>sigh285296</t>
  </si>
  <si>
    <t>sightsee319</t>
  </si>
  <si>
    <t>sigh276119</t>
  </si>
  <si>
    <t>sightsee320</t>
  </si>
  <si>
    <t>sigh324135</t>
  </si>
  <si>
    <t>sightsee321</t>
  </si>
  <si>
    <t>sigh137343</t>
  </si>
  <si>
    <t>sightsee322</t>
  </si>
  <si>
    <t>sigh102123</t>
  </si>
  <si>
    <t>sightsee323</t>
  </si>
  <si>
    <t>Resolution</t>
  </si>
  <si>
    <t>sigh10855</t>
  </si>
  <si>
    <t>sightsee324</t>
  </si>
  <si>
    <t>Residential Sector</t>
  </si>
  <si>
    <t>sigh4169</t>
  </si>
  <si>
    <t>sightsee325</t>
  </si>
  <si>
    <t>Mosaic</t>
  </si>
  <si>
    <t>sigh55147</t>
  </si>
  <si>
    <t>sightsee326</t>
  </si>
  <si>
    <t>True Vue</t>
  </si>
  <si>
    <t>sigh20115</t>
  </si>
  <si>
    <t>sightsee327</t>
  </si>
  <si>
    <t>Nexus Arcade</t>
  </si>
  <si>
    <t>sigh76133</t>
  </si>
  <si>
    <t>sightsee328</t>
  </si>
  <si>
    <t>sigh334135</t>
  </si>
  <si>
    <t>sightsee329</t>
  </si>
  <si>
    <t>sigh20179</t>
  </si>
  <si>
    <t>sightsee330</t>
  </si>
  <si>
    <t>sigh17652</t>
  </si>
  <si>
    <t>sightsee331</t>
  </si>
  <si>
    <t>Crackling Chasm</t>
  </si>
  <si>
    <t>sigh20725</t>
  </si>
  <si>
    <t>sightsee332</t>
  </si>
  <si>
    <t>sigh254346</t>
  </si>
  <si>
    <t>sightsee333</t>
  </si>
  <si>
    <t>sigh94372</t>
  </si>
  <si>
    <t>sightsee334</t>
  </si>
  <si>
    <t>sigh21836</t>
  </si>
  <si>
    <t>sightsee335</t>
  </si>
  <si>
    <t>sigh192334</t>
  </si>
  <si>
    <t>sightsee336</t>
  </si>
  <si>
    <t>sigh288292</t>
  </si>
  <si>
    <t>sightsee337</t>
  </si>
  <si>
    <t>sigh64136</t>
  </si>
  <si>
    <t>sightsee338</t>
  </si>
  <si>
    <t>sigh302187</t>
  </si>
  <si>
    <t>sightsee339</t>
  </si>
  <si>
    <t>sigh30476</t>
  </si>
  <si>
    <t>hunt1</t>
  </si>
  <si>
    <t>Skogs Fru</t>
  </si>
  <si>
    <t>Leech King</t>
  </si>
  <si>
    <t>Naul</t>
  </si>
  <si>
    <t>Phecda</t>
  </si>
  <si>
    <t>Stinging Sophie</t>
  </si>
  <si>
    <t>Monarch Ogrefly</t>
  </si>
  <si>
    <t>White Joker</t>
  </si>
  <si>
    <t>Albin the Ashen</t>
  </si>
  <si>
    <t>Gatling</t>
  </si>
  <si>
    <t>Sewer Syrup</t>
  </si>
  <si>
    <t>Ovjang</t>
  </si>
  <si>
    <t>Vuokho</t>
  </si>
  <si>
    <t>Myradrosh</t>
  </si>
  <si>
    <t>Dark Helmet</t>
  </si>
  <si>
    <t>respawn</t>
  </si>
  <si>
    <t>Vogaal Ja</t>
  </si>
  <si>
    <t>Unktehi</t>
  </si>
  <si>
    <t>Nahn</t>
  </si>
  <si>
    <t>Hellsclaw</t>
  </si>
  <si>
    <t>Sabotender Bailarina</t>
  </si>
  <si>
    <t>Alectryon</t>
  </si>
  <si>
    <t>Maahes</t>
  </si>
  <si>
    <t>Zanig'oh</t>
  </si>
  <si>
    <t>Dalvag's Final Flame</t>
  </si>
  <si>
    <t>Forneus</t>
  </si>
  <si>
    <t>Ghede Ti Malice</t>
  </si>
  <si>
    <t>Melt</t>
  </si>
  <si>
    <t>Girtab</t>
  </si>
  <si>
    <t>Marraco</t>
  </si>
  <si>
    <t>trigger</t>
  </si>
  <si>
    <t>Croque-Mitaine</t>
  </si>
  <si>
    <t>Croakadile</t>
  </si>
  <si>
    <t>Bonnacon</t>
  </si>
  <si>
    <t>The Garlok</t>
  </si>
  <si>
    <t>Nandi</t>
  </si>
  <si>
    <t>Chernobog</t>
  </si>
  <si>
    <t>Zona Seeker</t>
  </si>
  <si>
    <t>Lampalagua</t>
  </si>
  <si>
    <t>Minhocao</t>
  </si>
  <si>
    <t>Laideronnette</t>
  </si>
  <si>
    <t>Thousand-cast Theda</t>
  </si>
  <si>
    <t>Safat</t>
  </si>
  <si>
    <t>Agrippa The Mighty</t>
  </si>
  <si>
    <t>maintenance</t>
  </si>
  <si>
    <t>65-75 hrs</t>
  </si>
  <si>
    <t>50 hrs</t>
  </si>
  <si>
    <t>42-48 hrs</t>
  </si>
  <si>
    <t>47-53 hrs</t>
  </si>
  <si>
    <t>65-71 hrs</t>
  </si>
  <si>
    <t>66-78 hrs</t>
  </si>
  <si>
    <t>57-63 hrs</t>
  </si>
  <si>
    <t>44-54 hrs</t>
  </si>
  <si>
    <t>60-84 hrs</t>
  </si>
  <si>
    <t>39-45 hrs</t>
  </si>
  <si>
    <t>30 hrs</t>
  </si>
  <si>
    <t>21-29 hrs</t>
  </si>
  <si>
    <t>28-32 hrs</t>
  </si>
  <si>
    <t>39-43 hrs</t>
  </si>
  <si>
    <t>39-47 hrs</t>
  </si>
  <si>
    <t>34-38 hrs</t>
  </si>
  <si>
    <t>26-33 hrs</t>
  </si>
  <si>
    <t>25-29 hrs</t>
  </si>
  <si>
    <t>36-51 hrs</t>
  </si>
  <si>
    <t>3.5-5 hrs</t>
  </si>
  <si>
    <t>4-5 hrs</t>
  </si>
  <si>
    <t>Traverse spawn points during a Full Moon.</t>
  </si>
  <si>
    <t>Traverse spawn points with a minion.</t>
  </si>
  <si>
    <t>A player dying.</t>
  </si>
  <si>
    <t>Eat food at spawn points.</t>
  </si>
  <si>
    <t>Initiate a Battlecraft Leves.</t>
  </si>
  <si>
    <t>Ensure all FATEs succeed for exactly 1 hour straight.</t>
  </si>
  <si>
    <t>Kill 100 Earth Sprites.</t>
  </si>
  <si>
    <t>Spawns 6 minutes into the second of a double Rain.</t>
  </si>
  <si>
    <t>Traverse spawn points at 00:00 during a New Moon.</t>
  </si>
  <si>
    <t>Initiate Battlecraft Leves.</t>
  </si>
  <si>
    <t>Fall off cliffs to 1 HP.</t>
  </si>
  <si>
    <t>Complete Treasure Maps.</t>
  </si>
  <si>
    <t>Mine 'Grade 3 La Noscean Topsoil'.</t>
  </si>
  <si>
    <t>Harvest 'La Noscean Leeks'.</t>
  </si>
  <si>
    <t>Spawns after its random timer expires. Rain puts it to sleep, ensuring it won't spawn for 3 hours 20 minutes.</t>
  </si>
  <si>
    <t>Catch a 'Glimmerscale'.</t>
  </si>
  <si>
    <t>Fish a 'Judgeray' at 5-9pm.</t>
  </si>
  <si>
    <t>hunt2</t>
  </si>
  <si>
    <t>hunt3</t>
  </si>
  <si>
    <t>hunt4</t>
  </si>
  <si>
    <t>hunt5</t>
  </si>
  <si>
    <t>hunt6</t>
  </si>
  <si>
    <t>hunt7</t>
  </si>
  <si>
    <t>hunt8</t>
  </si>
  <si>
    <t>hunt9</t>
  </si>
  <si>
    <t>hunt10</t>
  </si>
  <si>
    <t>hunt11</t>
  </si>
  <si>
    <t>hunt12</t>
  </si>
  <si>
    <t>hunt13</t>
  </si>
  <si>
    <t>hunt14</t>
  </si>
  <si>
    <t>hunt15</t>
  </si>
  <si>
    <t>hunt16</t>
  </si>
  <si>
    <t>hunt17</t>
  </si>
  <si>
    <t>hunt18</t>
  </si>
  <si>
    <t>hunt19</t>
  </si>
  <si>
    <t>hunt20</t>
  </si>
  <si>
    <t>hunt21</t>
  </si>
  <si>
    <t>hunt22</t>
  </si>
  <si>
    <t>hunt23</t>
  </si>
  <si>
    <t>hunt24</t>
  </si>
  <si>
    <t>hunt25</t>
  </si>
  <si>
    <t>hunt26</t>
  </si>
  <si>
    <t>hunt27</t>
  </si>
  <si>
    <t>hunt28</t>
  </si>
  <si>
    <t>hunt29</t>
  </si>
  <si>
    <t>hunt30</t>
  </si>
  <si>
    <t>hunt31</t>
  </si>
  <si>
    <t>hunt32</t>
  </si>
  <si>
    <t>hunt33</t>
  </si>
  <si>
    <t>hunt34</t>
  </si>
  <si>
    <t>hunt35</t>
  </si>
  <si>
    <t>hunt36</t>
  </si>
  <si>
    <t>hunt37</t>
  </si>
  <si>
    <t>hunt38</t>
  </si>
  <si>
    <t>hunt39</t>
  </si>
  <si>
    <t>hunt40</t>
  </si>
  <si>
    <t>hunt41</t>
  </si>
  <si>
    <t>hunt42</t>
  </si>
  <si>
    <t>hunt43</t>
  </si>
  <si>
    <t>hunt44</t>
  </si>
  <si>
    <t>hunt45</t>
  </si>
  <si>
    <t>hunt46</t>
  </si>
  <si>
    <t>hunt47</t>
  </si>
  <si>
    <t>hunt48</t>
  </si>
  <si>
    <t>hunt49</t>
  </si>
  <si>
    <t>hunt50</t>
  </si>
  <si>
    <t>hunt51</t>
  </si>
  <si>
    <t>Omni</t>
  </si>
  <si>
    <t>Lycidas</t>
  </si>
  <si>
    <t>False Gigantopithecus</t>
  </si>
  <si>
    <t>Sanu Vali of Dancing Wings</t>
  </si>
  <si>
    <t>The Scarecrow</t>
  </si>
  <si>
    <t>Scitalis</t>
  </si>
  <si>
    <t>Thextera</t>
  </si>
  <si>
    <t>Gnath Cometdrone</t>
  </si>
  <si>
    <t>Kreutzet</t>
  </si>
  <si>
    <t>Alteci</t>
  </si>
  <si>
    <t>Stench Blossom</t>
  </si>
  <si>
    <t>Campacti</t>
  </si>
  <si>
    <t>Sisiutl</t>
  </si>
  <si>
    <t>Enkelados</t>
  </si>
  <si>
    <t>Agathos</t>
  </si>
  <si>
    <t>Bune</t>
  </si>
  <si>
    <t>Lord of the Wyverns</t>
  </si>
  <si>
    <t>Pylraster</t>
  </si>
  <si>
    <t>Lyuba</t>
  </si>
  <si>
    <t>4-6 hrs</t>
  </si>
  <si>
    <t>Kaiser Behemoth</t>
  </si>
  <si>
    <t>Senmurv</t>
  </si>
  <si>
    <t>Gandarewa</t>
  </si>
  <si>
    <t>Bird of Paradise</t>
  </si>
  <si>
    <t>The Pale Rider</t>
  </si>
  <si>
    <t>Leucrotta</t>
  </si>
  <si>
    <t>Fly over spawn points with Behemoth Heir.</t>
  </si>
  <si>
    <t>Complete the "Cerf's Up" FATE 5 times in a row.</t>
  </si>
  <si>
    <t>Squonk's Chirp AOE has a chance to spawn it.</t>
  </si>
  <si>
    <t>84-132 hrs</t>
  </si>
  <si>
    <t>50-80 hrs</t>
  </si>
  <si>
    <t>hunt52</t>
  </si>
  <si>
    <t>hunt53</t>
  </si>
  <si>
    <t>hunt54</t>
  </si>
  <si>
    <t>hunt55</t>
  </si>
  <si>
    <t>hunt56</t>
  </si>
  <si>
    <t>hunt57</t>
  </si>
  <si>
    <t>hunt58</t>
  </si>
  <si>
    <t>hunt59</t>
  </si>
  <si>
    <t>hunt60</t>
  </si>
  <si>
    <t>hunt61</t>
  </si>
  <si>
    <t>hunt62</t>
  </si>
  <si>
    <t>hunt63</t>
  </si>
  <si>
    <t>hunt64</t>
  </si>
  <si>
    <t>hunt65</t>
  </si>
  <si>
    <t>hunt66</t>
  </si>
  <si>
    <t>hunt67</t>
  </si>
  <si>
    <t>hunt68</t>
  </si>
  <si>
    <t>hunt69</t>
  </si>
  <si>
    <t>hunt70</t>
  </si>
  <si>
    <t>hunt71</t>
  </si>
  <si>
    <t>hunt72</t>
  </si>
  <si>
    <t>hunt73</t>
  </si>
  <si>
    <t>hunt74</t>
  </si>
  <si>
    <t>hunt75</t>
  </si>
  <si>
    <t>hunt76</t>
  </si>
  <si>
    <t>hunt77</t>
  </si>
  <si>
    <t>hunt78</t>
  </si>
  <si>
    <t>hunt79</t>
  </si>
  <si>
    <t>hunt80</t>
  </si>
  <si>
    <t>hunt81</t>
  </si>
  <si>
    <t>Manes</t>
  </si>
  <si>
    <t>Kiwa</t>
  </si>
  <si>
    <t>Kurma</t>
  </si>
  <si>
    <t>Aswang</t>
  </si>
  <si>
    <t>Buccaboo</t>
  </si>
  <si>
    <t>Gauki Strongblade</t>
  </si>
  <si>
    <t>Guhuo Niao</t>
  </si>
  <si>
    <t>Deidar</t>
  </si>
  <si>
    <t>Ouzelum</t>
  </si>
  <si>
    <t>Shadow-dweller Yamini</t>
  </si>
  <si>
    <t>5 Seconds</t>
  </si>
  <si>
    <t>Sum</t>
  </si>
  <si>
    <t>Girimekhala</t>
  </si>
  <si>
    <t>Aqrabuamelu</t>
  </si>
  <si>
    <t>Oni Yumemi</t>
  </si>
  <si>
    <t>Funa Yurei</t>
  </si>
  <si>
    <t>Angada</t>
  </si>
  <si>
    <t>Gajasura</t>
  </si>
  <si>
    <t>Erle</t>
  </si>
  <si>
    <t>Orcus</t>
  </si>
  <si>
    <t>Udumbara</t>
  </si>
  <si>
    <t>Okina</t>
  </si>
  <si>
    <t>Bone Crawler</t>
  </si>
  <si>
    <t>Orghana</t>
  </si>
  <si>
    <t>Travel via chocobo porter.</t>
  </si>
  <si>
    <t>Discard items 50 times.</t>
  </si>
  <si>
    <t>hunt82</t>
  </si>
  <si>
    <t>hunt83</t>
  </si>
  <si>
    <t>hunt84</t>
  </si>
  <si>
    <t>hunt85</t>
  </si>
  <si>
    <t>hunt86</t>
  </si>
  <si>
    <t>hunt87</t>
  </si>
  <si>
    <t>hunt88</t>
  </si>
  <si>
    <t>hunt89</t>
  </si>
  <si>
    <t>hunt90</t>
  </si>
  <si>
    <t>hunt91</t>
  </si>
  <si>
    <t>hunt92</t>
  </si>
  <si>
    <t>hunt93</t>
  </si>
  <si>
    <t>hunt94</t>
  </si>
  <si>
    <t>hunt95</t>
  </si>
  <si>
    <t>hunt96</t>
  </si>
  <si>
    <t>hunt97</t>
  </si>
  <si>
    <t>hunt98</t>
  </si>
  <si>
    <t>hunt99</t>
  </si>
  <si>
    <t>hunt100</t>
  </si>
  <si>
    <t>hunt101</t>
  </si>
  <si>
    <t>hunt102</t>
  </si>
  <si>
    <t>hunt103</t>
  </si>
  <si>
    <t>hunt104</t>
  </si>
  <si>
    <t>hunt105</t>
  </si>
  <si>
    <t>hunt106</t>
  </si>
  <si>
    <t>hunt107</t>
  </si>
  <si>
    <t>hunt108</t>
  </si>
  <si>
    <t>hunt109</t>
  </si>
  <si>
    <t>hunt110</t>
  </si>
  <si>
    <t>hunt111</t>
  </si>
  <si>
    <t>Baal</t>
  </si>
  <si>
    <t>Supay</t>
  </si>
  <si>
    <t>Grassman</t>
  </si>
  <si>
    <t>Sugaar</t>
  </si>
  <si>
    <t>Maliktender</t>
  </si>
  <si>
    <t>Huracan</t>
  </si>
  <si>
    <t>O Poorest Pauldia</t>
  </si>
  <si>
    <t>Nuckelavee</t>
  </si>
  <si>
    <t>Nariphon</t>
  </si>
  <si>
    <t>Gilshs Aath Swiftclaw</t>
  </si>
  <si>
    <t>Deacon</t>
  </si>
  <si>
    <t>Pachamama</t>
  </si>
  <si>
    <t>Mindmaker</t>
  </si>
  <si>
    <t>Juggler Hecatomb</t>
  </si>
  <si>
    <t>Worm of the Well</t>
  </si>
  <si>
    <t>Indomitable</t>
  </si>
  <si>
    <t>Coquecigrue</t>
  </si>
  <si>
    <t>Vulpangue</t>
  </si>
  <si>
    <t>Domovoi</t>
  </si>
  <si>
    <t>Itzpapalotl</t>
  </si>
  <si>
    <t>La Velue</t>
  </si>
  <si>
    <t>hunt112</t>
  </si>
  <si>
    <t>hunt113</t>
  </si>
  <si>
    <t>hunt114</t>
  </si>
  <si>
    <t>hunt115</t>
  </si>
  <si>
    <t>hunt116</t>
  </si>
  <si>
    <t>hunt117</t>
  </si>
  <si>
    <t>hunt118</t>
  </si>
  <si>
    <t>hunt119</t>
  </si>
  <si>
    <t>hunt120</t>
  </si>
  <si>
    <t>hunt121</t>
  </si>
  <si>
    <t>hunt122</t>
  </si>
  <si>
    <t>hunt123</t>
  </si>
  <si>
    <t>hunt124</t>
  </si>
  <si>
    <t>hunt125</t>
  </si>
  <si>
    <t>hunt126</t>
  </si>
  <si>
    <t>hunt127</t>
  </si>
  <si>
    <t>hunt128</t>
  </si>
  <si>
    <t>hunt129</t>
  </si>
  <si>
    <t>hunt130</t>
  </si>
  <si>
    <t>hunt131</t>
  </si>
  <si>
    <t>hunt132</t>
  </si>
  <si>
    <t>hunt133</t>
  </si>
  <si>
    <t>hunt134</t>
  </si>
  <si>
    <t>hunt135</t>
  </si>
  <si>
    <t>Gunitt</t>
  </si>
  <si>
    <t>Ixtab</t>
  </si>
  <si>
    <t>Tarchia</t>
  </si>
  <si>
    <t>Forgiven Pedantry</t>
  </si>
  <si>
    <t>hunt136</t>
  </si>
  <si>
    <t>hunt137</t>
  </si>
  <si>
    <t>hunt138</t>
  </si>
  <si>
    <t>hunt139</t>
  </si>
  <si>
    <t>hunt140</t>
  </si>
  <si>
    <t>hunt141</t>
  </si>
  <si>
    <t>Forgiven Rebellion</t>
  </si>
  <si>
    <t>SS</t>
  </si>
  <si>
    <t>hunt142</t>
  </si>
  <si>
    <t>Ker</t>
  </si>
  <si>
    <t>Narrow-rift</t>
  </si>
  <si>
    <t>Ophioneus</t>
  </si>
  <si>
    <t>Ruminator</t>
  </si>
  <si>
    <t>Armstrong</t>
  </si>
  <si>
    <t>Sphatika</t>
  </si>
  <si>
    <t>Burfurlur the Canny</t>
  </si>
  <si>
    <t>Fan Ail</t>
  </si>
  <si>
    <t>Arch-Eta</t>
  </si>
  <si>
    <t>Gurangatch</t>
  </si>
  <si>
    <t>Petalodus</t>
  </si>
  <si>
    <t>Lunatender Queen</t>
  </si>
  <si>
    <t>Mousse Princess</t>
  </si>
  <si>
    <t>Minerva</t>
  </si>
  <si>
    <t>Aegeiros</t>
  </si>
  <si>
    <t>Sugriva</t>
  </si>
  <si>
    <t>Storsie</t>
  </si>
  <si>
    <t>Hulder</t>
  </si>
  <si>
    <t>Level Cheater</t>
  </si>
  <si>
    <t>Oskh Rhei</t>
  </si>
  <si>
    <t>Yumcax</t>
  </si>
  <si>
    <t>Shockmaw</t>
  </si>
  <si>
    <t>Daphnia Magna</t>
  </si>
  <si>
    <t>Genesis Rock</t>
  </si>
  <si>
    <t>Warmonger</t>
  </si>
  <si>
    <t>Emperor's Rose</t>
  </si>
  <si>
    <t>Iravati</t>
  </si>
  <si>
    <t>Green Archon</t>
  </si>
  <si>
    <t>Ü-u-ü-u</t>
  </si>
  <si>
    <t>hunt143</t>
  </si>
  <si>
    <t>hunt144</t>
  </si>
  <si>
    <t>hunt145</t>
  </si>
  <si>
    <t>hunt146</t>
  </si>
  <si>
    <t>hunt147</t>
  </si>
  <si>
    <t>hunt148</t>
  </si>
  <si>
    <t>hunt149</t>
  </si>
  <si>
    <t>hunt150</t>
  </si>
  <si>
    <t>hunt151</t>
  </si>
  <si>
    <t>hunt152</t>
  </si>
  <si>
    <t>hunt153</t>
  </si>
  <si>
    <t>hunt154</t>
  </si>
  <si>
    <t>hunt155</t>
  </si>
  <si>
    <t>hunt156</t>
  </si>
  <si>
    <t>hunt157</t>
  </si>
  <si>
    <t>hunt158</t>
  </si>
  <si>
    <t>hunt159</t>
  </si>
  <si>
    <t>hunt160</t>
  </si>
  <si>
    <t>hunt161</t>
  </si>
  <si>
    <t>hunt162</t>
  </si>
  <si>
    <t>hunt163</t>
  </si>
  <si>
    <t>hunt164</t>
  </si>
  <si>
    <t>hunt165</t>
  </si>
  <si>
    <t>hunt166</t>
  </si>
  <si>
    <t>hunt167</t>
  </si>
  <si>
    <t>hunt168</t>
  </si>
  <si>
    <t>hunt169</t>
  </si>
  <si>
    <t>hunt170</t>
  </si>
  <si>
    <t>hunt171</t>
  </si>
  <si>
    <t>hunt172</t>
  </si>
  <si>
    <t>hunt173</t>
  </si>
  <si>
    <t>Arch Aethereater</t>
  </si>
  <si>
    <t>The Forecaster</t>
  </si>
  <si>
    <t>Atticus the Primogenitor</t>
  </si>
  <si>
    <t>Sansheya</t>
  </si>
  <si>
    <t>Neyoozoteel</t>
  </si>
  <si>
    <t>Kirlirger the Abhorrent</t>
  </si>
  <si>
    <t>Ihnuxokiy</t>
  </si>
  <si>
    <t>Sally the Sweeper</t>
  </si>
  <si>
    <t>Cat's Eye</t>
  </si>
  <si>
    <t>Urna Variabilis</t>
  </si>
  <si>
    <t>Heshuala</t>
  </si>
  <si>
    <t>Yehehetoaua'pyo</t>
  </si>
  <si>
    <t>Keheniheyamewi</t>
  </si>
  <si>
    <t>Starcrier</t>
  </si>
  <si>
    <t>Rrax Yity'a</t>
  </si>
  <si>
    <t>Nechuciho</t>
  </si>
  <si>
    <t>The Raintriller</t>
  </si>
  <si>
    <t>Pkuucha</t>
  </si>
  <si>
    <t>Jewel Bearer</t>
  </si>
  <si>
    <t>13th Child</t>
  </si>
  <si>
    <t>Gargant</t>
  </si>
  <si>
    <t>Gallowsbeak</t>
  </si>
  <si>
    <t>Uktena</t>
  </si>
  <si>
    <t>Nopalitender Fabuloso</t>
  </si>
  <si>
    <t>Xty'iinbek</t>
  </si>
  <si>
    <t>Leafscourge Hadoll Ja</t>
  </si>
  <si>
    <t>Mad Maguey</t>
  </si>
  <si>
    <t>Chupacabra</t>
  </si>
  <si>
    <t>The Slammer</t>
  </si>
  <si>
    <t>Go'ozoabek'be</t>
  </si>
  <si>
    <t>hunt174</t>
  </si>
  <si>
    <t>hunt175</t>
  </si>
  <si>
    <t>hunt176</t>
  </si>
  <si>
    <t>hunt177</t>
  </si>
  <si>
    <t>hunt178</t>
  </si>
  <si>
    <t>hunt179</t>
  </si>
  <si>
    <t>hunt180</t>
  </si>
  <si>
    <t>hunt181</t>
  </si>
  <si>
    <t>hunt182</t>
  </si>
  <si>
    <t>hunt183</t>
  </si>
  <si>
    <t>hunt184</t>
  </si>
  <si>
    <t>hunt185</t>
  </si>
  <si>
    <t>hunt186</t>
  </si>
  <si>
    <t>hunt187</t>
  </si>
  <si>
    <t>hunt188</t>
  </si>
  <si>
    <t>hunt189</t>
  </si>
  <si>
    <t>hunt190</t>
  </si>
  <si>
    <t>hunt191</t>
  </si>
  <si>
    <t>hunt192</t>
  </si>
  <si>
    <t>hunt193</t>
  </si>
  <si>
    <t>hunt194</t>
  </si>
  <si>
    <t>hunt195</t>
  </si>
  <si>
    <t>hunt196</t>
  </si>
  <si>
    <t>hunt197</t>
  </si>
  <si>
    <t>hunt198</t>
  </si>
  <si>
    <t>hunt199</t>
  </si>
  <si>
    <t>hunt200</t>
  </si>
  <si>
    <t>hunt201</t>
  </si>
  <si>
    <t>hunt202</t>
  </si>
  <si>
    <t>hunt203</t>
  </si>
  <si>
    <t>hunt204</t>
  </si>
  <si>
    <t>Harvest 'Seventh Heaven' or mine 'Aurum Regis Ore'.</t>
  </si>
  <si>
    <t>Open treasure coffers from 'Timeworn Wyvernskin Maps'.</t>
  </si>
  <si>
    <t>Kill 50 'Allagan Chimera', 50 'Meracydian Vouivre' and 50 'Lesser Hydra'.</t>
  </si>
  <si>
    <t>Kill 100 'Leshy' &amp; 100 'Diakka'.</t>
  </si>
  <si>
    <t>Fly over spawn points with the 'Toy Alexander' minion.</t>
  </si>
  <si>
    <t>Kill 100 'Yumemi' and 100 'Naked Yumemi'. Spawns from 12pm during a Full Moon.</t>
  </si>
  <si>
    <t>Complete "Not Just a Tribute" FATE, then fly over spawn points.</t>
  </si>
  <si>
    <t>Discard a 'Rail Tenderloin'.</t>
  </si>
  <si>
    <t>Travel over spawn points with the 'Scarlet Peacock' minion out.</t>
  </si>
  <si>
    <t>Gather 50 'Dwarven Cotton Bolls'.</t>
  </si>
  <si>
    <t>Cast the blue mage action 'Self-destruct' on spawn points.</t>
  </si>
  <si>
    <t>Kill 100 'Cracked Ronkan Dolls', 100 'Cracked Ronkan Thorns' and 100 'Cracked Ronkan Vessels'.</t>
  </si>
  <si>
    <t>Drag 3 'Deep-sea Leeches' to a Clionid and get hit by its attack "Buccal Cones".</t>
  </si>
  <si>
    <t>When an S rank dies in Norvrandt, it has a chance to spawn Forgiven Gossips which spawn Forgiven Rebellion when killed.</t>
  </si>
  <si>
    <t>Kill the Ker Shroud which have a chance to appear after killing an S rank.</t>
  </si>
  <si>
    <t>Use a 'Tiny Troll' minion on spawn points in Clear Skies / Fair Skies daytime.</t>
  </si>
  <si>
    <t>Kill 100 'Vajralangula', 100 'Pisaca' and 100 'Asvattha'.</t>
  </si>
  <si>
    <t>Wear 'Mended Imperial Pot Helm' and 'Mended Imperial Short Robe' and die on spawn points.</t>
  </si>
  <si>
    <t>Kill 100 'Thinkers', 100 'Weepers', and 100 'Wanderers'.</t>
  </si>
  <si>
    <t>Discard a stack of 5 'Egg of Elpis'.</t>
  </si>
  <si>
    <t>Have 10 people travel over spawn points with the 'Wee Ea' minion summoned.</t>
  </si>
  <si>
    <t>Use the 'Morpho' minion on spawn points.</t>
  </si>
  <si>
    <t>Be on a spawn point during fog and a new moon.</t>
  </si>
  <si>
    <t>Discard a stack of at least 50 'Fish Meal'.</t>
  </si>
  <si>
    <t>Complete "You Are What You Drink" FATE at three times in a row.</t>
  </si>
  <si>
    <t>Craft HQ 'Rroneek Steak'.</t>
  </si>
  <si>
    <t>Kill the Crystal Incarnation which have a chance to appear after killing an S rank.</t>
  </si>
  <si>
    <t>Cast the blue mage action 'Northerlies' on spawn points.</t>
  </si>
  <si>
    <t>pont1</t>
  </si>
  <si>
    <t>pont2</t>
  </si>
  <si>
    <t>pont3</t>
  </si>
  <si>
    <t>pont4</t>
  </si>
  <si>
    <t>pont5</t>
  </si>
  <si>
    <t>pont6</t>
  </si>
  <si>
    <t>pont7</t>
  </si>
  <si>
    <t>pont8</t>
  </si>
  <si>
    <t>pont9</t>
  </si>
  <si>
    <t>pont10</t>
  </si>
  <si>
    <t>pont11</t>
  </si>
  <si>
    <t>pont12</t>
  </si>
  <si>
    <t>pont13</t>
  </si>
  <si>
    <t>pont14</t>
  </si>
  <si>
    <t>pont15</t>
  </si>
  <si>
    <t>pont16</t>
  </si>
  <si>
    <t>pont17</t>
  </si>
  <si>
    <t>pont18</t>
  </si>
  <si>
    <t>pont19</t>
  </si>
  <si>
    <t>pont20</t>
  </si>
  <si>
    <t>pont21</t>
  </si>
  <si>
    <t>pont22</t>
  </si>
  <si>
    <t>pont23</t>
  </si>
  <si>
    <t>pont24</t>
  </si>
  <si>
    <t>pont25</t>
  </si>
  <si>
    <t>pont26</t>
  </si>
  <si>
    <t>pont27</t>
  </si>
  <si>
    <t>pont28</t>
  </si>
  <si>
    <t>pont29</t>
  </si>
  <si>
    <t>pont30</t>
  </si>
  <si>
    <t>pont31</t>
  </si>
  <si>
    <t>pont32</t>
  </si>
  <si>
    <t>pont33</t>
  </si>
  <si>
    <t>pont34</t>
  </si>
  <si>
    <t>pont35</t>
  </si>
  <si>
    <t>pont36</t>
  </si>
  <si>
    <t>pont37</t>
  </si>
  <si>
    <t>pont38</t>
  </si>
  <si>
    <t>pont39</t>
  </si>
  <si>
    <t>pont40</t>
  </si>
  <si>
    <t>pont41</t>
  </si>
  <si>
    <t>pont42</t>
  </si>
  <si>
    <t>pont43</t>
  </si>
  <si>
    <t>pont44</t>
  </si>
  <si>
    <t>pont45</t>
  </si>
  <si>
    <t>pont46</t>
  </si>
  <si>
    <t>pont47</t>
  </si>
  <si>
    <t>pont48</t>
  </si>
  <si>
    <t>pont49</t>
  </si>
  <si>
    <t>pont50</t>
  </si>
  <si>
    <t>pont51</t>
  </si>
  <si>
    <t>pont52</t>
  </si>
  <si>
    <t>pont53</t>
  </si>
  <si>
    <t>pont54</t>
  </si>
  <si>
    <t>pont55</t>
  </si>
  <si>
    <t>pont56</t>
  </si>
  <si>
    <t>pont57</t>
  </si>
  <si>
    <t>pont58</t>
  </si>
  <si>
    <t>pont59</t>
  </si>
  <si>
    <t>pont60</t>
  </si>
  <si>
    <t>pont61</t>
  </si>
  <si>
    <t>pont62</t>
  </si>
  <si>
    <t>pont63</t>
  </si>
  <si>
    <t>pont64</t>
  </si>
  <si>
    <t>pont65</t>
  </si>
  <si>
    <t>pont66</t>
  </si>
  <si>
    <t>pont67</t>
  </si>
  <si>
    <t>pont68</t>
  </si>
  <si>
    <t>pont69</t>
  </si>
  <si>
    <t>pont70</t>
  </si>
  <si>
    <t>pont71</t>
  </si>
  <si>
    <t>pont72</t>
  </si>
  <si>
    <t>pont73</t>
  </si>
  <si>
    <t>pont74</t>
  </si>
  <si>
    <t>pont75</t>
  </si>
  <si>
    <t>pont76</t>
  </si>
  <si>
    <t>pont77</t>
  </si>
  <si>
    <t>pont78</t>
  </si>
  <si>
    <t>pont79</t>
  </si>
  <si>
    <t>pont80</t>
  </si>
  <si>
    <t>pont81</t>
  </si>
  <si>
    <t>pont82</t>
  </si>
  <si>
    <t>pont83</t>
  </si>
  <si>
    <t>pont84</t>
  </si>
  <si>
    <t>pont85</t>
  </si>
  <si>
    <t>pont86</t>
  </si>
  <si>
    <t>pont87</t>
  </si>
  <si>
    <t>pont88</t>
  </si>
  <si>
    <t>pont89</t>
  </si>
  <si>
    <t>pont90</t>
  </si>
  <si>
    <t>pont91</t>
  </si>
  <si>
    <t>pont92</t>
  </si>
  <si>
    <t>pont93</t>
  </si>
  <si>
    <t>pont94</t>
  </si>
  <si>
    <t>pont95</t>
  </si>
  <si>
    <t>pont96</t>
  </si>
  <si>
    <t>pont97</t>
  </si>
  <si>
    <t>pont98</t>
  </si>
  <si>
    <t>pont99</t>
  </si>
  <si>
    <t>pont100</t>
  </si>
  <si>
    <t>pont101</t>
  </si>
  <si>
    <t>pont102</t>
  </si>
  <si>
    <t>pont103</t>
  </si>
  <si>
    <t>pont104</t>
  </si>
  <si>
    <t>pont105</t>
  </si>
  <si>
    <t>pont106</t>
  </si>
  <si>
    <t>pont107</t>
  </si>
  <si>
    <t>pont108</t>
  </si>
  <si>
    <t>pont109</t>
  </si>
  <si>
    <t>pont110</t>
  </si>
  <si>
    <t>pont111</t>
  </si>
  <si>
    <t>pont112</t>
  </si>
  <si>
    <t>pont113</t>
  </si>
  <si>
    <t>pont114</t>
  </si>
  <si>
    <t>pont115</t>
  </si>
  <si>
    <t>pont116</t>
  </si>
  <si>
    <t>pont117</t>
  </si>
  <si>
    <t>pont118</t>
  </si>
  <si>
    <t>pont119</t>
  </si>
  <si>
    <t>pont120</t>
  </si>
  <si>
    <t>pont121</t>
  </si>
  <si>
    <t>pont122</t>
  </si>
  <si>
    <t>pont123</t>
  </si>
  <si>
    <t>pont124</t>
  </si>
  <si>
    <t>pont125</t>
  </si>
  <si>
    <t>pont126</t>
  </si>
  <si>
    <t>pont127</t>
  </si>
  <si>
    <t>pont128</t>
  </si>
  <si>
    <t>pont129</t>
  </si>
  <si>
    <t>pont130</t>
  </si>
  <si>
    <t>pont131</t>
  </si>
  <si>
    <t>pont132</t>
  </si>
  <si>
    <t>pont133</t>
  </si>
  <si>
    <t>pont134</t>
  </si>
  <si>
    <t>pont135</t>
  </si>
  <si>
    <t>pont136</t>
  </si>
  <si>
    <t>pont137</t>
  </si>
  <si>
    <t>pont138</t>
  </si>
  <si>
    <t>pont139</t>
  </si>
  <si>
    <t>pont140</t>
  </si>
  <si>
    <t>pont141</t>
  </si>
  <si>
    <t>pont142</t>
  </si>
  <si>
    <t>pont143</t>
  </si>
  <si>
    <t>pont144</t>
  </si>
  <si>
    <t>pont145</t>
  </si>
  <si>
    <t>pont146</t>
  </si>
  <si>
    <t>pont147</t>
  </si>
  <si>
    <t>pont148</t>
  </si>
  <si>
    <t>pont149</t>
  </si>
  <si>
    <t>pont150</t>
  </si>
  <si>
    <t>pont151</t>
  </si>
  <si>
    <t>pont152</t>
  </si>
  <si>
    <t>pont153</t>
  </si>
  <si>
    <t>pont154</t>
  </si>
  <si>
    <t>pont155</t>
  </si>
  <si>
    <t>pont156</t>
  </si>
  <si>
    <t>pont157</t>
  </si>
  <si>
    <t>pont158</t>
  </si>
  <si>
    <t>pont159</t>
  </si>
  <si>
    <t>pont160</t>
  </si>
  <si>
    <t>pont161</t>
  </si>
  <si>
    <t>pont162</t>
  </si>
  <si>
    <t>pont163</t>
  </si>
  <si>
    <t>pont164</t>
  </si>
  <si>
    <t>pont165</t>
  </si>
  <si>
    <t>pont166</t>
  </si>
  <si>
    <t>pont167</t>
  </si>
  <si>
    <t>pont168</t>
  </si>
  <si>
    <t>pont169</t>
  </si>
  <si>
    <t>pont170</t>
  </si>
  <si>
    <t>pont171</t>
  </si>
  <si>
    <t>pont172</t>
  </si>
  <si>
    <t>pont173</t>
  </si>
  <si>
    <t>pont174</t>
  </si>
  <si>
    <t>pont175</t>
  </si>
  <si>
    <t>pont176</t>
  </si>
  <si>
    <t>pont177</t>
  </si>
  <si>
    <t>pont178</t>
  </si>
  <si>
    <t>pont179</t>
  </si>
  <si>
    <t>pont180</t>
  </si>
  <si>
    <t>pont181</t>
  </si>
  <si>
    <t>pont182</t>
  </si>
  <si>
    <t>pont183</t>
  </si>
  <si>
    <t>pont184</t>
  </si>
  <si>
    <t>pont185</t>
  </si>
  <si>
    <t>pont186</t>
  </si>
  <si>
    <t>pont187</t>
  </si>
  <si>
    <t>pont188</t>
  </si>
  <si>
    <t>pont189</t>
  </si>
  <si>
    <t>pont190</t>
  </si>
  <si>
    <t>pont191</t>
  </si>
  <si>
    <t>pont192</t>
  </si>
  <si>
    <t>pont193</t>
  </si>
  <si>
    <t>pont194</t>
  </si>
  <si>
    <t>pont195</t>
  </si>
  <si>
    <t>pont196</t>
  </si>
  <si>
    <t>pont197</t>
  </si>
  <si>
    <t>pont198</t>
  </si>
  <si>
    <t>pont199</t>
  </si>
  <si>
    <t>pont200</t>
  </si>
  <si>
    <t>pont201</t>
  </si>
  <si>
    <t>pont202</t>
  </si>
  <si>
    <t>pont203</t>
  </si>
  <si>
    <t>pont204</t>
  </si>
  <si>
    <t>pont205</t>
  </si>
  <si>
    <t>pont206</t>
  </si>
  <si>
    <t>pont207</t>
  </si>
  <si>
    <t>pont208</t>
  </si>
  <si>
    <t>pont209</t>
  </si>
  <si>
    <t>pont210</t>
  </si>
  <si>
    <t>pont211</t>
  </si>
  <si>
    <t>pont213</t>
  </si>
  <si>
    <t>pont214</t>
  </si>
  <si>
    <t>pont215</t>
  </si>
  <si>
    <t>pont216</t>
  </si>
  <si>
    <t>pont217</t>
  </si>
  <si>
    <t>pont218</t>
  </si>
  <si>
    <t>pont219</t>
  </si>
  <si>
    <t>pont220</t>
  </si>
  <si>
    <t>pont221</t>
  </si>
  <si>
    <t>pont222</t>
  </si>
  <si>
    <t>pont223</t>
  </si>
  <si>
    <t>pont224</t>
  </si>
  <si>
    <t>pont225</t>
  </si>
  <si>
    <t>pont226</t>
  </si>
  <si>
    <t>pont227</t>
  </si>
  <si>
    <t>pont228</t>
  </si>
  <si>
    <t>pont229</t>
  </si>
  <si>
    <t>pont230</t>
  </si>
  <si>
    <t>pont231</t>
  </si>
  <si>
    <t>pont232</t>
  </si>
  <si>
    <t>pont233</t>
  </si>
  <si>
    <t>pont234</t>
  </si>
  <si>
    <t>pont235</t>
  </si>
  <si>
    <t>pont236</t>
  </si>
  <si>
    <t>pont237</t>
  </si>
  <si>
    <t>pont238</t>
  </si>
  <si>
    <t>pont239</t>
  </si>
  <si>
    <t>pont241</t>
  </si>
  <si>
    <t>pont242</t>
  </si>
  <si>
    <t>pont243</t>
  </si>
  <si>
    <t>pont244</t>
  </si>
  <si>
    <t>pont245</t>
  </si>
  <si>
    <t>pont246</t>
  </si>
  <si>
    <t>pont247</t>
  </si>
  <si>
    <t>pont248</t>
  </si>
  <si>
    <t>pont249</t>
  </si>
  <si>
    <t>pont250</t>
  </si>
  <si>
    <t>pont251</t>
  </si>
  <si>
    <t>pont252</t>
  </si>
  <si>
    <t>pont253</t>
  </si>
  <si>
    <t>pont254</t>
  </si>
  <si>
    <t>pont255</t>
  </si>
  <si>
    <t>pont256</t>
  </si>
  <si>
    <t>pont257</t>
  </si>
  <si>
    <t>pont258</t>
  </si>
  <si>
    <t>pont259</t>
  </si>
  <si>
    <t>pont260</t>
  </si>
  <si>
    <t>pont261</t>
  </si>
  <si>
    <t>pont262</t>
  </si>
  <si>
    <t>pont263</t>
  </si>
  <si>
    <t>pont264</t>
  </si>
  <si>
    <t>pont265</t>
  </si>
  <si>
    <t>pont266</t>
  </si>
  <si>
    <t>pont267</t>
  </si>
  <si>
    <t>pont268</t>
  </si>
  <si>
    <t>pont269</t>
  </si>
  <si>
    <t>pont270</t>
  </si>
  <si>
    <t>pont271</t>
  </si>
  <si>
    <t>pont273</t>
  </si>
  <si>
    <t>pont274</t>
  </si>
  <si>
    <t>pont275</t>
  </si>
  <si>
    <t>pont276</t>
  </si>
  <si>
    <t>pont277</t>
  </si>
  <si>
    <t>pont278</t>
  </si>
  <si>
    <t>pont279</t>
  </si>
  <si>
    <t>pont280</t>
  </si>
  <si>
    <t>pont281</t>
  </si>
  <si>
    <t>pont282</t>
  </si>
  <si>
    <t>pont283</t>
  </si>
  <si>
    <t>pont284</t>
  </si>
  <si>
    <t>pont285</t>
  </si>
  <si>
    <t>pont286</t>
  </si>
  <si>
    <t>pont287</t>
  </si>
  <si>
    <t>pont288</t>
  </si>
  <si>
    <t>pont289</t>
  </si>
  <si>
    <t>pont290</t>
  </si>
  <si>
    <t>pont291</t>
  </si>
  <si>
    <t>pont292</t>
  </si>
  <si>
    <t>pont293</t>
  </si>
  <si>
    <t>pont294</t>
  </si>
  <si>
    <t>pont295</t>
  </si>
  <si>
    <t>pont296</t>
  </si>
  <si>
    <t>pont297</t>
  </si>
  <si>
    <t>pont298</t>
  </si>
  <si>
    <t>pont299</t>
  </si>
  <si>
    <t>pont300</t>
  </si>
  <si>
    <t>pont301</t>
  </si>
  <si>
    <t>pont302</t>
  </si>
  <si>
    <t>pont303</t>
  </si>
  <si>
    <t>pont304</t>
  </si>
  <si>
    <t>pont305</t>
  </si>
  <si>
    <t>pont306</t>
  </si>
  <si>
    <t>pont307</t>
  </si>
  <si>
    <t>pont308</t>
  </si>
  <si>
    <t>pont309</t>
  </si>
  <si>
    <t>pont310</t>
  </si>
  <si>
    <t>pont311</t>
  </si>
  <si>
    <t>pont312</t>
  </si>
  <si>
    <t>pont314</t>
  </si>
  <si>
    <t>pont315</t>
  </si>
  <si>
    <t>pont316</t>
  </si>
  <si>
    <t>pont317</t>
  </si>
  <si>
    <t>pont318</t>
  </si>
  <si>
    <t>pont319</t>
  </si>
  <si>
    <t>pont320</t>
  </si>
  <si>
    <t>pont321</t>
  </si>
  <si>
    <t>pont322</t>
  </si>
  <si>
    <t>pont323</t>
  </si>
  <si>
    <t>pont324</t>
  </si>
  <si>
    <t>pont325</t>
  </si>
  <si>
    <t>pont326</t>
  </si>
  <si>
    <t>pont327</t>
  </si>
  <si>
    <t>pont328</t>
  </si>
  <si>
    <t>pont329</t>
  </si>
  <si>
    <t>pont330</t>
  </si>
  <si>
    <t>pont331</t>
  </si>
  <si>
    <t>pont332</t>
  </si>
  <si>
    <t>pont333</t>
  </si>
  <si>
    <t>pont334</t>
  </si>
  <si>
    <t>pont335</t>
  </si>
  <si>
    <t>pont336</t>
  </si>
  <si>
    <t>pont337</t>
  </si>
  <si>
    <t>pont338</t>
  </si>
  <si>
    <t>pont339</t>
  </si>
  <si>
    <t>pont340</t>
  </si>
  <si>
    <t>pont341</t>
  </si>
  <si>
    <t>pont342</t>
  </si>
  <si>
    <t>pont343</t>
  </si>
  <si>
    <t>pont344</t>
  </si>
  <si>
    <t>pont345</t>
  </si>
  <si>
    <t>pont346</t>
  </si>
  <si>
    <t>pont347</t>
  </si>
  <si>
    <t>pont348</t>
  </si>
  <si>
    <t>pont349</t>
  </si>
  <si>
    <t>pont350</t>
  </si>
  <si>
    <t>pont351</t>
  </si>
  <si>
    <t>pont352</t>
  </si>
  <si>
    <t>pont353</t>
  </si>
  <si>
    <t>pont354</t>
  </si>
  <si>
    <t>pont355</t>
  </si>
  <si>
    <t>pont356</t>
  </si>
  <si>
    <t>pont357</t>
  </si>
  <si>
    <t>pont358</t>
  </si>
  <si>
    <t>pont359</t>
  </si>
  <si>
    <t>pont360</t>
  </si>
  <si>
    <t>pont361</t>
  </si>
  <si>
    <t>pont362</t>
  </si>
  <si>
    <t>pont363</t>
  </si>
  <si>
    <t>pont364</t>
  </si>
  <si>
    <t>pont365</t>
  </si>
  <si>
    <t>pont366</t>
  </si>
  <si>
    <t>pont367</t>
  </si>
  <si>
    <t>pont368</t>
  </si>
  <si>
    <t>pont369</t>
  </si>
  <si>
    <t>pont370</t>
  </si>
  <si>
    <t>pont371</t>
  </si>
  <si>
    <t>pont372</t>
  </si>
  <si>
    <t>pont373</t>
  </si>
  <si>
    <t>pont374</t>
  </si>
  <si>
    <t>pont375</t>
  </si>
  <si>
    <t>pont376</t>
  </si>
  <si>
    <t>pont377</t>
  </si>
  <si>
    <t>pont378</t>
  </si>
  <si>
    <t>pont379</t>
  </si>
  <si>
    <t>pont380</t>
  </si>
  <si>
    <t>pont381</t>
  </si>
  <si>
    <t>pont382</t>
  </si>
  <si>
    <t>pont383</t>
  </si>
  <si>
    <t>pont384</t>
  </si>
  <si>
    <t>pont385</t>
  </si>
  <si>
    <t>pont386</t>
  </si>
  <si>
    <t>pont387</t>
  </si>
  <si>
    <t>pont388</t>
  </si>
  <si>
    <t>pont389</t>
  </si>
  <si>
    <t>pont390</t>
  </si>
  <si>
    <t>pont391</t>
  </si>
  <si>
    <t>pont392</t>
  </si>
  <si>
    <t>pont393</t>
  </si>
  <si>
    <t>pont394</t>
  </si>
  <si>
    <t>pont395</t>
  </si>
  <si>
    <t>pont396</t>
  </si>
  <si>
    <t>pont397</t>
  </si>
  <si>
    <t>pont398</t>
  </si>
  <si>
    <t>pont399</t>
  </si>
  <si>
    <t>pont400</t>
  </si>
  <si>
    <t>pont401</t>
  </si>
  <si>
    <t>pont402</t>
  </si>
  <si>
    <t>pont403</t>
  </si>
  <si>
    <t>pont404</t>
  </si>
  <si>
    <t>pont405</t>
  </si>
  <si>
    <t>pont406</t>
  </si>
  <si>
    <t>pont407</t>
  </si>
  <si>
    <t>pont408</t>
  </si>
  <si>
    <t>pont409</t>
  </si>
  <si>
    <t>pont410</t>
  </si>
  <si>
    <t>pont411</t>
  </si>
  <si>
    <t>pont412</t>
  </si>
  <si>
    <t>pont413</t>
  </si>
  <si>
    <t>pont414</t>
  </si>
  <si>
    <t>pont415</t>
  </si>
  <si>
    <t>pont416</t>
  </si>
  <si>
    <t>pont417</t>
  </si>
  <si>
    <t>pont418</t>
  </si>
  <si>
    <t>pont419</t>
  </si>
  <si>
    <t>pont420</t>
  </si>
  <si>
    <t>pont421</t>
  </si>
  <si>
    <t>pont422</t>
  </si>
  <si>
    <t>pont423</t>
  </si>
  <si>
    <t>pont424</t>
  </si>
  <si>
    <t>pont425</t>
  </si>
  <si>
    <t>pont426</t>
  </si>
  <si>
    <t>pont427</t>
  </si>
  <si>
    <t>pont428</t>
  </si>
  <si>
    <t>pont429</t>
  </si>
  <si>
    <t>pont430</t>
  </si>
  <si>
    <t>pont431</t>
  </si>
  <si>
    <t>pont432</t>
  </si>
  <si>
    <t>pont433</t>
  </si>
  <si>
    <t>pont434</t>
  </si>
  <si>
    <t>pont435</t>
  </si>
  <si>
    <t>pont436</t>
  </si>
  <si>
    <t>pont437</t>
  </si>
  <si>
    <t>pont438</t>
  </si>
  <si>
    <t>pont439</t>
  </si>
  <si>
    <t>pont440</t>
  </si>
  <si>
    <t>pont441</t>
  </si>
  <si>
    <t>pont442</t>
  </si>
  <si>
    <t>pont443</t>
  </si>
  <si>
    <t>pont444</t>
  </si>
  <si>
    <t>pont445</t>
  </si>
  <si>
    <t>pont446</t>
  </si>
  <si>
    <t>pont447</t>
  </si>
  <si>
    <t>pont448</t>
  </si>
  <si>
    <t>pont449</t>
  </si>
  <si>
    <t>pont450</t>
  </si>
  <si>
    <t>pont451</t>
  </si>
  <si>
    <t>pont452</t>
  </si>
  <si>
    <t>pont453</t>
  </si>
  <si>
    <t>pont454</t>
  </si>
  <si>
    <t>pont455</t>
  </si>
  <si>
    <t>pont456</t>
  </si>
  <si>
    <t>pont457</t>
  </si>
  <si>
    <t>pont458</t>
  </si>
  <si>
    <t>pont459</t>
  </si>
  <si>
    <t>pont460</t>
  </si>
  <si>
    <t>pont461</t>
  </si>
  <si>
    <t>pont462</t>
  </si>
  <si>
    <t>pont463</t>
  </si>
  <si>
    <t>pont464</t>
  </si>
  <si>
    <t>pont465</t>
  </si>
  <si>
    <t>pont466</t>
  </si>
  <si>
    <t>pont467</t>
  </si>
  <si>
    <t>pont468</t>
  </si>
  <si>
    <t>pont469</t>
  </si>
  <si>
    <t>pont470</t>
  </si>
  <si>
    <t>pont471</t>
  </si>
  <si>
    <t>pont472</t>
  </si>
  <si>
    <t>pont473</t>
  </si>
  <si>
    <t>B1</t>
  </si>
  <si>
    <t>A1</t>
  </si>
  <si>
    <t>S1</t>
  </si>
  <si>
    <t>B2</t>
  </si>
  <si>
    <t>ranks</t>
  </si>
  <si>
    <t>B1A1S1</t>
  </si>
  <si>
    <t>B1A1</t>
  </si>
  <si>
    <t>B1S1</t>
  </si>
  <si>
    <t>B2A1S1</t>
  </si>
  <si>
    <t>B1A1A2S1</t>
  </si>
  <si>
    <t>B2A1A2S1</t>
  </si>
  <si>
    <t>A1A2S1</t>
  </si>
  <si>
    <t>pont479</t>
  </si>
  <si>
    <t>pont480</t>
  </si>
  <si>
    <t>pont481</t>
  </si>
  <si>
    <t>pont482</t>
  </si>
  <si>
    <t>pont483</t>
  </si>
  <si>
    <t>pont484</t>
  </si>
  <si>
    <t>pont485</t>
  </si>
  <si>
    <t>pont486</t>
  </si>
  <si>
    <t>pont487</t>
  </si>
  <si>
    <t>pont488</t>
  </si>
  <si>
    <t>pont489</t>
  </si>
  <si>
    <t>pont490</t>
  </si>
  <si>
    <t>pont491</t>
  </si>
  <si>
    <t>pont492</t>
  </si>
  <si>
    <t>pont493</t>
  </si>
  <si>
    <t>pont494</t>
  </si>
  <si>
    <t>pont495</t>
  </si>
  <si>
    <t>pont496</t>
  </si>
  <si>
    <t>pont497</t>
  </si>
  <si>
    <t>pont498</t>
  </si>
  <si>
    <t>pont499</t>
  </si>
  <si>
    <t>pont500</t>
  </si>
  <si>
    <t>pont501</t>
  </si>
  <si>
    <t>pont502</t>
  </si>
  <si>
    <t>B2S1</t>
  </si>
  <si>
    <t>A2</t>
  </si>
  <si>
    <t>pont503</t>
  </si>
  <si>
    <t>pont504</t>
  </si>
  <si>
    <t>pont505</t>
  </si>
  <si>
    <t>pont506</t>
  </si>
  <si>
    <t>pont507</t>
  </si>
  <si>
    <t>pont508</t>
  </si>
  <si>
    <t>pont509</t>
  </si>
  <si>
    <t>pont510</t>
  </si>
  <si>
    <t>pont511</t>
  </si>
  <si>
    <t>pont512</t>
  </si>
  <si>
    <t>pont513</t>
  </si>
  <si>
    <t>pont514</t>
  </si>
  <si>
    <t>pont515</t>
  </si>
  <si>
    <t>pont516</t>
  </si>
  <si>
    <t>pont517</t>
  </si>
  <si>
    <t>pont518</t>
  </si>
  <si>
    <t>pont519</t>
  </si>
  <si>
    <t>pont520</t>
  </si>
  <si>
    <t>pont521</t>
  </si>
  <si>
    <t>pont522</t>
  </si>
  <si>
    <t>pont523</t>
  </si>
  <si>
    <t>pont524</t>
  </si>
  <si>
    <t>pont525</t>
  </si>
  <si>
    <t>pont526</t>
  </si>
  <si>
    <t>pont527</t>
  </si>
  <si>
    <t>B1A2S1</t>
  </si>
  <si>
    <t>B2A2S1</t>
  </si>
  <si>
    <t>B2A2</t>
  </si>
  <si>
    <t>B1A1A2</t>
  </si>
  <si>
    <t>pont528</t>
  </si>
  <si>
    <t>pont529</t>
  </si>
  <si>
    <t>pont530</t>
  </si>
  <si>
    <t>pont531</t>
  </si>
  <si>
    <t>pont532</t>
  </si>
  <si>
    <t>pont533</t>
  </si>
  <si>
    <t>pont534</t>
  </si>
  <si>
    <t>pont535</t>
  </si>
  <si>
    <t>pont536</t>
  </si>
  <si>
    <t>pont537</t>
  </si>
  <si>
    <t>pont538</t>
  </si>
  <si>
    <t>pont539</t>
  </si>
  <si>
    <t>pont540</t>
  </si>
  <si>
    <t>pont541</t>
  </si>
  <si>
    <t>pont542</t>
  </si>
  <si>
    <t>pont543</t>
  </si>
  <si>
    <t>pont544</t>
  </si>
  <si>
    <t>pont545</t>
  </si>
  <si>
    <t>pont546</t>
  </si>
  <si>
    <t>pont547</t>
  </si>
  <si>
    <t>pont548</t>
  </si>
  <si>
    <t>pont549</t>
  </si>
  <si>
    <t>pont550</t>
  </si>
  <si>
    <t>pont551</t>
  </si>
  <si>
    <t>pont552</t>
  </si>
  <si>
    <t>pont553</t>
  </si>
  <si>
    <t>pont554</t>
  </si>
  <si>
    <t>pont555</t>
  </si>
  <si>
    <t>pont556</t>
  </si>
  <si>
    <t>pont557</t>
  </si>
  <si>
    <t>pont558</t>
  </si>
  <si>
    <t>pont559</t>
  </si>
  <si>
    <t>pont560</t>
  </si>
  <si>
    <t>pont561</t>
  </si>
  <si>
    <t>pont562</t>
  </si>
  <si>
    <t>pont563</t>
  </si>
  <si>
    <t>pont564</t>
  </si>
  <si>
    <t>pont565</t>
  </si>
  <si>
    <t>pont566</t>
  </si>
  <si>
    <t>pont567</t>
  </si>
  <si>
    <t>pont568</t>
  </si>
  <si>
    <t>pont569</t>
  </si>
  <si>
    <t>pont570</t>
  </si>
  <si>
    <t>pont571</t>
  </si>
  <si>
    <t>pont572</t>
  </si>
  <si>
    <t>pont573</t>
  </si>
  <si>
    <t>pont574</t>
  </si>
  <si>
    <t>pont575</t>
  </si>
  <si>
    <t>pont576</t>
  </si>
  <si>
    <t>pont577</t>
  </si>
  <si>
    <t>pont578</t>
  </si>
  <si>
    <t>pont579</t>
  </si>
  <si>
    <t>pont580</t>
  </si>
  <si>
    <t>pont581</t>
  </si>
  <si>
    <t>pont582</t>
  </si>
  <si>
    <t>pont583</t>
  </si>
  <si>
    <t>pont584</t>
  </si>
  <si>
    <t>pont585</t>
  </si>
  <si>
    <t>pont586</t>
  </si>
  <si>
    <t>pont587</t>
  </si>
  <si>
    <t>pont588</t>
  </si>
  <si>
    <t>pont589</t>
  </si>
  <si>
    <t>pont590</t>
  </si>
  <si>
    <t>pont591</t>
  </si>
  <si>
    <t>pont592</t>
  </si>
  <si>
    <t>pont593</t>
  </si>
  <si>
    <t>pont594</t>
  </si>
  <si>
    <t>pont595</t>
  </si>
  <si>
    <t>pont596</t>
  </si>
  <si>
    <t>pont597</t>
  </si>
  <si>
    <t>pont598</t>
  </si>
  <si>
    <t>pont599</t>
  </si>
  <si>
    <t>pont600</t>
  </si>
  <si>
    <t>pont601</t>
  </si>
  <si>
    <t>pont602</t>
  </si>
  <si>
    <t>pont603</t>
  </si>
  <si>
    <t>pont604</t>
  </si>
  <si>
    <t>pont605</t>
  </si>
  <si>
    <t>pont606</t>
  </si>
  <si>
    <t>pont607</t>
  </si>
  <si>
    <t>pont608</t>
  </si>
  <si>
    <t>pont619</t>
  </si>
  <si>
    <t>pont620</t>
  </si>
  <si>
    <t>pont621</t>
  </si>
  <si>
    <t>pont622</t>
  </si>
  <si>
    <t>pont623</t>
  </si>
  <si>
    <t>B2A1</t>
  </si>
  <si>
    <t>pont624</t>
  </si>
  <si>
    <t>pont625</t>
  </si>
  <si>
    <t>pont626</t>
  </si>
  <si>
    <t>pont627</t>
  </si>
  <si>
    <t>pont628</t>
  </si>
  <si>
    <t>pont629</t>
  </si>
  <si>
    <t>pont630</t>
  </si>
  <si>
    <t>pont631</t>
  </si>
  <si>
    <t>pont632</t>
  </si>
  <si>
    <t>pont633</t>
  </si>
  <si>
    <t>pont634</t>
  </si>
  <si>
    <t>pont635</t>
  </si>
  <si>
    <t>pont636</t>
  </si>
  <si>
    <t>pont637</t>
  </si>
  <si>
    <t>pont638</t>
  </si>
  <si>
    <t>pont639</t>
  </si>
  <si>
    <t>pont640</t>
  </si>
  <si>
    <t>pont641</t>
  </si>
  <si>
    <t>pont642</t>
  </si>
  <si>
    <t>pont643</t>
  </si>
  <si>
    <t>pont644</t>
  </si>
  <si>
    <t>pont645</t>
  </si>
  <si>
    <t>pont646</t>
  </si>
  <si>
    <t>pont647</t>
  </si>
  <si>
    <t>pont648</t>
  </si>
  <si>
    <t>pont649</t>
  </si>
  <si>
    <t>pont650</t>
  </si>
  <si>
    <t>pont651</t>
  </si>
  <si>
    <t>pont652</t>
  </si>
  <si>
    <t>pont653</t>
  </si>
  <si>
    <t>pont654</t>
  </si>
  <si>
    <t>pont655</t>
  </si>
  <si>
    <t>pont656</t>
  </si>
  <si>
    <t>pont657</t>
  </si>
  <si>
    <t>pont658</t>
  </si>
  <si>
    <t>B2A1A2</t>
  </si>
  <si>
    <t>pont659</t>
  </si>
  <si>
    <t>pont660</t>
  </si>
  <si>
    <t>pont661</t>
  </si>
  <si>
    <t>pont662</t>
  </si>
  <si>
    <t>pont663</t>
  </si>
  <si>
    <t>pont664</t>
  </si>
  <si>
    <t>pont665</t>
  </si>
  <si>
    <t>pont666</t>
  </si>
  <si>
    <t>pont667</t>
  </si>
  <si>
    <t>pont668</t>
  </si>
  <si>
    <t>pont669</t>
  </si>
  <si>
    <t>pont670</t>
  </si>
  <si>
    <t>pont671</t>
  </si>
  <si>
    <t>pont672</t>
  </si>
  <si>
    <t>pont673</t>
  </si>
  <si>
    <t>pont674</t>
  </si>
  <si>
    <t>pont675</t>
  </si>
  <si>
    <t>pont676</t>
  </si>
  <si>
    <t>pont677</t>
  </si>
  <si>
    <t>pont678</t>
  </si>
  <si>
    <t>pont679</t>
  </si>
  <si>
    <t>pont680</t>
  </si>
  <si>
    <t>pont681</t>
  </si>
  <si>
    <t>pont682</t>
  </si>
  <si>
    <t>pont683</t>
  </si>
  <si>
    <t>pont684</t>
  </si>
  <si>
    <t>pont685</t>
  </si>
  <si>
    <t>pont686</t>
  </si>
  <si>
    <t>pont687</t>
  </si>
  <si>
    <t>pont688</t>
  </si>
  <si>
    <t>pont689</t>
  </si>
  <si>
    <t>pont690</t>
  </si>
  <si>
    <t>pont691</t>
  </si>
  <si>
    <t>pont692</t>
  </si>
  <si>
    <t>pont693</t>
  </si>
  <si>
    <t>pont694</t>
  </si>
  <si>
    <t>pont695</t>
  </si>
  <si>
    <t>pont696</t>
  </si>
  <si>
    <t>pont697</t>
  </si>
  <si>
    <t>pont698</t>
  </si>
  <si>
    <t>pont699</t>
  </si>
  <si>
    <t>pont700</t>
  </si>
  <si>
    <t>pont701</t>
  </si>
  <si>
    <t>pont702</t>
  </si>
  <si>
    <t>pont703</t>
  </si>
  <si>
    <t>pont704</t>
  </si>
  <si>
    <t>pont705</t>
  </si>
  <si>
    <t>pont706</t>
  </si>
  <si>
    <t>pont707</t>
  </si>
  <si>
    <t>pont708</t>
  </si>
  <si>
    <t>A2S1</t>
  </si>
  <si>
    <t>pont709</t>
  </si>
  <si>
    <t>pont710</t>
  </si>
  <si>
    <t>pont711</t>
  </si>
  <si>
    <t>pont712</t>
  </si>
  <si>
    <t>pont713</t>
  </si>
  <si>
    <t>pont714</t>
  </si>
  <si>
    <t>pont715</t>
  </si>
  <si>
    <t>pont716</t>
  </si>
  <si>
    <t>pont717</t>
  </si>
  <si>
    <t>pont718</t>
  </si>
  <si>
    <t>pont719</t>
  </si>
  <si>
    <t>pont720</t>
  </si>
  <si>
    <t>pont721</t>
  </si>
  <si>
    <t>pont722</t>
  </si>
  <si>
    <t>pont723</t>
  </si>
  <si>
    <t>pont724</t>
  </si>
  <si>
    <t>pont725</t>
  </si>
  <si>
    <t>pont726</t>
  </si>
  <si>
    <t>pont727</t>
  </si>
  <si>
    <t>pont728</t>
  </si>
  <si>
    <t>pont729</t>
  </si>
  <si>
    <t>pont730</t>
  </si>
  <si>
    <t>pont731</t>
  </si>
  <si>
    <t>pont732</t>
  </si>
  <si>
    <t>pont733</t>
  </si>
  <si>
    <t>pont734</t>
  </si>
  <si>
    <t>pont735</t>
  </si>
  <si>
    <t>pont736</t>
  </si>
  <si>
    <t>pont737</t>
  </si>
  <si>
    <t>pont738</t>
  </si>
  <si>
    <t>pont739</t>
  </si>
  <si>
    <t>pont740</t>
  </si>
  <si>
    <t>pont741</t>
  </si>
  <si>
    <t>pont742</t>
  </si>
  <si>
    <t>pont743</t>
  </si>
  <si>
    <t>pont744</t>
  </si>
  <si>
    <t>pont745</t>
  </si>
  <si>
    <t>pont746</t>
  </si>
  <si>
    <t>pont747</t>
  </si>
  <si>
    <t>pont748</t>
  </si>
  <si>
    <t>pont749</t>
  </si>
  <si>
    <t>pont750</t>
  </si>
  <si>
    <t>pont751</t>
  </si>
  <si>
    <t>pont752</t>
  </si>
  <si>
    <t>pont753</t>
  </si>
  <si>
    <t>pont754</t>
  </si>
  <si>
    <t>pont755</t>
  </si>
  <si>
    <t>pont756</t>
  </si>
  <si>
    <t>pont757</t>
  </si>
  <si>
    <t>pont758</t>
  </si>
  <si>
    <t>pont759</t>
  </si>
  <si>
    <t>pont760</t>
  </si>
  <si>
    <t>pont761</t>
  </si>
  <si>
    <t>pont762</t>
  </si>
  <si>
    <t>pont763</t>
  </si>
  <si>
    <t>pont764</t>
  </si>
  <si>
    <t>pont765</t>
  </si>
  <si>
    <t>pont766</t>
  </si>
  <si>
    <t>pont767</t>
  </si>
  <si>
    <t>pont768</t>
  </si>
  <si>
    <t>pont769</t>
  </si>
  <si>
    <t>pont770</t>
  </si>
  <si>
    <t>pont771</t>
  </si>
  <si>
    <t>pont772</t>
  </si>
  <si>
    <t>pont773</t>
  </si>
  <si>
    <t>pont774</t>
  </si>
  <si>
    <t>pont775</t>
  </si>
  <si>
    <t>pont776</t>
  </si>
  <si>
    <t>pont777</t>
  </si>
  <si>
    <t>pont778</t>
  </si>
  <si>
    <t>pont779</t>
  </si>
  <si>
    <t>pont780</t>
  </si>
  <si>
    <t>pont781</t>
  </si>
  <si>
    <t>pont782</t>
  </si>
  <si>
    <t>pont783</t>
  </si>
  <si>
    <t>pont784</t>
  </si>
  <si>
    <t>pont785</t>
  </si>
  <si>
    <t>pont786</t>
  </si>
  <si>
    <t>pont787</t>
  </si>
  <si>
    <t>pont788</t>
  </si>
  <si>
    <t>pont789</t>
  </si>
  <si>
    <t>pont790</t>
  </si>
  <si>
    <t>pont791</t>
  </si>
  <si>
    <t>pont792</t>
  </si>
  <si>
    <t>pont793</t>
  </si>
  <si>
    <t>pont794</t>
  </si>
  <si>
    <t>pont795</t>
  </si>
  <si>
    <t>pont796</t>
  </si>
  <si>
    <t>pont797</t>
  </si>
  <si>
    <t>pont798</t>
  </si>
  <si>
    <t>pont799</t>
  </si>
  <si>
    <t>pont800</t>
  </si>
  <si>
    <t>pont801</t>
  </si>
  <si>
    <t>pont802</t>
  </si>
  <si>
    <t>pont803</t>
  </si>
  <si>
    <t>pont804</t>
  </si>
  <si>
    <t>pont805</t>
  </si>
  <si>
    <t>pont806</t>
  </si>
  <si>
    <t>pont807</t>
  </si>
  <si>
    <t>pont808</t>
  </si>
  <si>
    <t>pont809</t>
  </si>
  <si>
    <t>pont810</t>
  </si>
  <si>
    <t>pont811</t>
  </si>
  <si>
    <t>pont812</t>
  </si>
  <si>
    <t>pont813</t>
  </si>
  <si>
    <t>pont814</t>
  </si>
  <si>
    <t>pont815</t>
  </si>
  <si>
    <t>pont816</t>
  </si>
  <si>
    <t>pont817</t>
  </si>
  <si>
    <t>pont818</t>
  </si>
  <si>
    <t>pont819</t>
  </si>
  <si>
    <t>pont820</t>
  </si>
  <si>
    <t>pont821</t>
  </si>
  <si>
    <t>pont822</t>
  </si>
  <si>
    <t>pont823</t>
  </si>
  <si>
    <t>pont824</t>
  </si>
  <si>
    <t>pont825</t>
  </si>
  <si>
    <t>pont826</t>
  </si>
  <si>
    <t>pont827</t>
  </si>
  <si>
    <t>pont828</t>
  </si>
  <si>
    <t>pont829</t>
  </si>
  <si>
    <t>pont830</t>
  </si>
  <si>
    <t>pont831</t>
  </si>
  <si>
    <t>pont832</t>
  </si>
  <si>
    <t>pont833</t>
  </si>
  <si>
    <t>pont834</t>
  </si>
  <si>
    <t>pont835</t>
  </si>
  <si>
    <t>pont836</t>
  </si>
  <si>
    <t>pont837</t>
  </si>
  <si>
    <t>pont838</t>
  </si>
  <si>
    <t>pont839</t>
  </si>
  <si>
    <t>pont840</t>
  </si>
  <si>
    <t>pont841</t>
  </si>
  <si>
    <t>pont842</t>
  </si>
  <si>
    <t>B1A2</t>
  </si>
  <si>
    <t>pont843</t>
  </si>
  <si>
    <t>pont844</t>
  </si>
  <si>
    <t>pont863</t>
  </si>
  <si>
    <t>pont864</t>
  </si>
  <si>
    <t>pont865</t>
  </si>
  <si>
    <t>pont866</t>
  </si>
  <si>
    <t>pont867</t>
  </si>
  <si>
    <t>pont868</t>
  </si>
  <si>
    <t>pont869</t>
  </si>
  <si>
    <t>pont870</t>
  </si>
  <si>
    <t>pont871</t>
  </si>
  <si>
    <t>pont872</t>
  </si>
  <si>
    <t>pont873</t>
  </si>
  <si>
    <t>pont874</t>
  </si>
  <si>
    <t>pont875</t>
  </si>
  <si>
    <t>pont876</t>
  </si>
  <si>
    <t>pont877</t>
  </si>
  <si>
    <t>pont878</t>
  </si>
  <si>
    <t>pont879</t>
  </si>
  <si>
    <t>pont880</t>
  </si>
  <si>
    <t>pont881</t>
  </si>
  <si>
    <t>pont882</t>
  </si>
  <si>
    <t>pont883</t>
  </si>
  <si>
    <t>pont884</t>
  </si>
  <si>
    <t>pont885</t>
  </si>
  <si>
    <t>pont886</t>
  </si>
  <si>
    <t>pont887</t>
  </si>
  <si>
    <t>pont888</t>
  </si>
  <si>
    <t>pont889</t>
  </si>
  <si>
    <t>pont890</t>
  </si>
  <si>
    <t>pont891</t>
  </si>
  <si>
    <t>pont892</t>
  </si>
  <si>
    <t>pont893</t>
  </si>
  <si>
    <t>pont894</t>
  </si>
  <si>
    <t>pont895</t>
  </si>
  <si>
    <t>pont896</t>
  </si>
  <si>
    <t>pont897</t>
  </si>
  <si>
    <t>pont898</t>
  </si>
  <si>
    <t>pont899</t>
  </si>
  <si>
    <t>pont900</t>
  </si>
  <si>
    <t>pont901</t>
  </si>
  <si>
    <t>pont902</t>
  </si>
  <si>
    <t>pont903</t>
  </si>
  <si>
    <t>pont904</t>
  </si>
  <si>
    <t>pont905</t>
  </si>
  <si>
    <t>pont906</t>
  </si>
  <si>
    <t>pont907</t>
  </si>
  <si>
    <t>pont908</t>
  </si>
  <si>
    <t>pont909</t>
  </si>
  <si>
    <t>pont910</t>
  </si>
  <si>
    <t>pont911</t>
  </si>
  <si>
    <t>pont912</t>
  </si>
  <si>
    <t>pont913</t>
  </si>
  <si>
    <t>pont914</t>
  </si>
  <si>
    <t>pont915</t>
  </si>
  <si>
    <t>pont916</t>
  </si>
  <si>
    <t>pont917</t>
  </si>
  <si>
    <t>pont918</t>
  </si>
  <si>
    <t>pont919</t>
  </si>
  <si>
    <t>pont920</t>
  </si>
  <si>
    <t>pont921</t>
  </si>
  <si>
    <t>pont922</t>
  </si>
  <si>
    <t>pont923</t>
  </si>
  <si>
    <t>pont924</t>
  </si>
  <si>
    <t>pont925</t>
  </si>
  <si>
    <t>pont926</t>
  </si>
  <si>
    <t>pont927</t>
  </si>
  <si>
    <t>pont928</t>
  </si>
  <si>
    <t>pont929</t>
  </si>
  <si>
    <t>pont930</t>
  </si>
  <si>
    <t>pont931</t>
  </si>
  <si>
    <t>pont932</t>
  </si>
  <si>
    <t>pont933</t>
  </si>
  <si>
    <t>pont934</t>
  </si>
  <si>
    <t>pont935</t>
  </si>
  <si>
    <t>pont936</t>
  </si>
  <si>
    <t>pont937</t>
  </si>
  <si>
    <t>pont938</t>
  </si>
  <si>
    <t>pont939</t>
  </si>
  <si>
    <t>pont940</t>
  </si>
  <si>
    <t>pont941</t>
  </si>
  <si>
    <t>pont942</t>
  </si>
  <si>
    <t>pont943</t>
  </si>
  <si>
    <t>pont944</t>
  </si>
  <si>
    <t>pont945</t>
  </si>
  <si>
    <t>pont946</t>
  </si>
  <si>
    <t>pont947</t>
  </si>
  <si>
    <t>pont948</t>
  </si>
  <si>
    <t>pont949</t>
  </si>
  <si>
    <t>pont950</t>
  </si>
  <si>
    <t>pont951</t>
  </si>
  <si>
    <t>pont952</t>
  </si>
  <si>
    <t>pont953</t>
  </si>
  <si>
    <t>pont954</t>
  </si>
  <si>
    <t>pont955</t>
  </si>
  <si>
    <t>hunt205</t>
  </si>
  <si>
    <t>hunt206</t>
  </si>
  <si>
    <t>hunt207</t>
  </si>
  <si>
    <t>hunt208</t>
  </si>
  <si>
    <t>hunt209</t>
  </si>
  <si>
    <t>hunt210</t>
  </si>
  <si>
    <t>hunt211</t>
  </si>
  <si>
    <t>hunt212</t>
  </si>
  <si>
    <t>hunt213</t>
  </si>
  <si>
    <t>hunt214</t>
  </si>
  <si>
    <t>hunt215</t>
  </si>
  <si>
    <t>hunt216</t>
  </si>
  <si>
    <t>hunt217</t>
  </si>
  <si>
    <t>hunt218</t>
  </si>
  <si>
    <t>hunt219</t>
  </si>
  <si>
    <t>pont212</t>
  </si>
  <si>
    <t>pont240</t>
  </si>
  <si>
    <t>pont272</t>
  </si>
  <si>
    <t>pont313</t>
  </si>
  <si>
    <t>exp</t>
  </si>
  <si>
    <t>gil</t>
  </si>
  <si>
    <t>seals</t>
  </si>
  <si>
    <t>gemstones</t>
  </si>
  <si>
    <t>bossname</t>
  </si>
  <si>
    <t>chain_set</t>
  </si>
  <si>
    <t>chain_no</t>
  </si>
  <si>
    <t>fate1</t>
  </si>
  <si>
    <t>On the Lamb</t>
  </si>
  <si>
    <t>slayenemies</t>
  </si>
  <si>
    <t>Middle La Noscea </t>
  </si>
  <si>
    <t>240 </t>
  </si>
  <si>
    <t>6 </t>
  </si>
  <si>
    <t>17 </t>
  </si>
  <si>
    <t>fate2</t>
  </si>
  <si>
    <t>Taking It to the Streams</t>
  </si>
  <si>
    <t>260 </t>
  </si>
  <si>
    <t>8 </t>
  </si>
  <si>
    <t>23 </t>
  </si>
  <si>
    <t>fate3</t>
  </si>
  <si>
    <t>Overnight Migration</t>
  </si>
  <si>
    <t>350 </t>
  </si>
  <si>
    <t>10 </t>
  </si>
  <si>
    <t>28 </t>
  </si>
  <si>
    <t>fate4</t>
  </si>
  <si>
    <t>Yellow-bellied Greenbacks</t>
  </si>
  <si>
    <t>fate5</t>
  </si>
  <si>
    <t>Thwack-a-Mole</t>
  </si>
  <si>
    <t>450 </t>
  </si>
  <si>
    <t>12 </t>
  </si>
  <si>
    <t>34 </t>
  </si>
  <si>
    <t>fate6</t>
  </si>
  <si>
    <t>Hello, Work</t>
  </si>
  <si>
    <t>560 </t>
  </si>
  <si>
    <t>14 </t>
  </si>
  <si>
    <t>40 </t>
  </si>
  <si>
    <t>fate7</t>
  </si>
  <si>
    <t>Crying over Spilled Salt</t>
  </si>
  <si>
    <t>fate8</t>
  </si>
  <si>
    <t>Menuis at Work</t>
  </si>
  <si>
    <t>680 </t>
  </si>
  <si>
    <t>16 </t>
  </si>
  <si>
    <t>46 </t>
  </si>
  <si>
    <t>fate9</t>
  </si>
  <si>
    <t>The Orange Boxes</t>
  </si>
  <si>
    <t>defense</t>
  </si>
  <si>
    <t>810 </t>
  </si>
  <si>
    <t>18 </t>
  </si>
  <si>
    <t>51 </t>
  </si>
  <si>
    <t>fate10</t>
  </si>
  <si>
    <t>Shearing Is Caring</t>
  </si>
  <si>
    <t>855 </t>
  </si>
  <si>
    <t>20 </t>
  </si>
  <si>
    <t>57 </t>
  </si>
  <si>
    <t>fate11</t>
  </si>
  <si>
    <t>Sister Crustacean</t>
  </si>
  <si>
    <t>1,155 </t>
  </si>
  <si>
    <t>24 </t>
  </si>
  <si>
    <t>69 </t>
  </si>
  <si>
    <t>fate12</t>
  </si>
  <si>
    <t>Go Wespe</t>
  </si>
  <si>
    <t>1,320 </t>
  </si>
  <si>
    <t>26 </t>
  </si>
  <si>
    <t>74 </t>
  </si>
  <si>
    <t>fate13</t>
  </si>
  <si>
    <t>The Truth Is out There</t>
  </si>
  <si>
    <t>1,380 </t>
  </si>
  <si>
    <t>80 </t>
  </si>
  <si>
    <t>fate14</t>
  </si>
  <si>
    <t>A Mad, Mad, Mad Sergeant</t>
  </si>
  <si>
    <t>fate15</t>
  </si>
  <si>
    <t>The Boy Who Cried Jackal</t>
  </si>
  <si>
    <t>966 </t>
  </si>
  <si>
    <t>fate16</t>
  </si>
  <si>
    <t>I Melt with You</t>
  </si>
  <si>
    <t>Lower La Noscea </t>
  </si>
  <si>
    <t>fate17</t>
  </si>
  <si>
    <t>You Call That a Toad</t>
  </si>
  <si>
    <t>fate18</t>
  </si>
  <si>
    <t>Fight the Flower</t>
  </si>
  <si>
    <t>fate19</t>
  </si>
  <si>
    <t>Caving In</t>
  </si>
  <si>
    <t>fate20</t>
  </si>
  <si>
    <t>Man of the Flour</t>
  </si>
  <si>
    <t>fate21</t>
  </si>
  <si>
    <t>Enter Beastman</t>
  </si>
  <si>
    <t>567 </t>
  </si>
  <si>
    <t>fate22</t>
  </si>
  <si>
    <t>One Pickman Enters</t>
  </si>
  <si>
    <t>fate23</t>
  </si>
  <si>
    <t>In the Name of Love</t>
  </si>
  <si>
    <t>fate24</t>
  </si>
  <si>
    <t>Under the Bridge</t>
  </si>
  <si>
    <t>fate25</t>
  </si>
  <si>
    <t>Away in a Bilge Hold</t>
  </si>
  <si>
    <t>1,000 </t>
  </si>
  <si>
    <t>22 </t>
  </si>
  <si>
    <t>63 </t>
  </si>
  <si>
    <t>fate26</t>
  </si>
  <si>
    <t>Don't Drink the Water</t>
  </si>
  <si>
    <t>fate27</t>
  </si>
  <si>
    <t>One Prince</t>
  </si>
  <si>
    <t>fate28</t>
  </si>
  <si>
    <t>Eastern La Noscea </t>
  </si>
  <si>
    <t>3,120 </t>
  </si>
  <si>
    <t>60 </t>
  </si>
  <si>
    <t>172 </t>
  </si>
  <si>
    <t>fate29</t>
  </si>
  <si>
    <t>Crab and Go</t>
  </si>
  <si>
    <t>fate30</t>
  </si>
  <si>
    <t>Just a Matter of Rut</t>
  </si>
  <si>
    <t>3,200 </t>
  </si>
  <si>
    <t>62 </t>
  </si>
  <si>
    <t>178 </t>
  </si>
  <si>
    <t>fate31</t>
  </si>
  <si>
    <t>Say My Name</t>
  </si>
  <si>
    <t>3,485 </t>
  </si>
  <si>
    <t>64 </t>
  </si>
  <si>
    <t>184 </t>
  </si>
  <si>
    <t>fate32</t>
  </si>
  <si>
    <t>Cliff Hanger</t>
  </si>
  <si>
    <t>fate33</t>
  </si>
  <si>
    <t>The Pelican Briefing</t>
  </si>
  <si>
    <t>gathering</t>
  </si>
  <si>
    <t>fate34</t>
  </si>
  <si>
    <t>Finding Wine</t>
  </si>
  <si>
    <t>fate35</t>
  </si>
  <si>
    <t>The Thirst</t>
  </si>
  <si>
    <t>fate36</t>
  </si>
  <si>
    <t>It's Not Lupus</t>
  </si>
  <si>
    <t>fate37</t>
  </si>
  <si>
    <t>Jewels of the Isle</t>
  </si>
  <si>
    <t>fate38</t>
  </si>
  <si>
    <t>9 to 5</t>
  </si>
  <si>
    <t>fate39</t>
  </si>
  <si>
    <t>Them</t>
  </si>
  <si>
    <t>3,570 </t>
  </si>
  <si>
    <t>66 </t>
  </si>
  <si>
    <t>189 </t>
  </si>
  <si>
    <t>fate40</t>
  </si>
  <si>
    <t>Ho Ho Ho</t>
  </si>
  <si>
    <t>fate41</t>
  </si>
  <si>
    <t>Thrill of the Hunt</t>
  </si>
  <si>
    <t>fate42</t>
  </si>
  <si>
    <t>Long Way Home</t>
  </si>
  <si>
    <t>fate43</t>
  </si>
  <si>
    <t>No Lip</t>
  </si>
  <si>
    <t>fate44</t>
  </si>
  <si>
    <t>Consigned, Sealed, and Undelivered</t>
  </si>
  <si>
    <t>escort</t>
  </si>
  <si>
    <t>fate45</t>
  </si>
  <si>
    <t>Sweeter than Honey</t>
  </si>
  <si>
    <t>fate46</t>
  </si>
  <si>
    <t>Follow the Light</t>
  </si>
  <si>
    <t>fate47</t>
  </si>
  <si>
    <t>Closing Time</t>
  </si>
  <si>
    <t>3,655 </t>
  </si>
  <si>
    <t>68 </t>
  </si>
  <si>
    <t>195 </t>
  </si>
  <si>
    <t>fate48</t>
  </si>
  <si>
    <t>Barometz Soup</t>
  </si>
  <si>
    <t>Western La Noscea </t>
  </si>
  <si>
    <t>fate49</t>
  </si>
  <si>
    <t>Shredding Wheat</t>
  </si>
  <si>
    <t>fate50</t>
  </si>
  <si>
    <t>Tender Buttons</t>
  </si>
  <si>
    <t>fate51</t>
  </si>
  <si>
    <t>The Last Straw</t>
  </si>
  <si>
    <t>fate52</t>
  </si>
  <si>
    <t>(I Just) Died in Six Arms Tonight</t>
  </si>
  <si>
    <t>fate53</t>
  </si>
  <si>
    <t>Goblin Chain</t>
  </si>
  <si>
    <t>1,440 </t>
  </si>
  <si>
    <t>30 </t>
  </si>
  <si>
    <t>86 </t>
  </si>
  <si>
    <t>fate54</t>
  </si>
  <si>
    <t>Between Aurochs</t>
  </si>
  <si>
    <t>Absolutely, Positively</t>
  </si>
  <si>
    <t>1,500 </t>
  </si>
  <si>
    <t>32 </t>
  </si>
  <si>
    <t>92 </t>
  </si>
  <si>
    <t>fate56</t>
  </si>
  <si>
    <t>In the Sac</t>
  </si>
  <si>
    <t>fate57</t>
  </si>
  <si>
    <t>Don't Call Him a Fishback</t>
  </si>
  <si>
    <t>1,560 </t>
  </si>
  <si>
    <t>97 </t>
  </si>
  <si>
    <t>fate58</t>
  </si>
  <si>
    <t>Letters from Tidegate</t>
  </si>
  <si>
    <t>fate59</t>
  </si>
  <si>
    <t>Iron Contra Affair</t>
  </si>
  <si>
    <t>1,620 </t>
  </si>
  <si>
    <t>36 </t>
  </si>
  <si>
    <t>103 </t>
  </si>
  <si>
    <t>fate60</t>
  </si>
  <si>
    <t>Tryp Fantastic</t>
  </si>
  <si>
    <t>fate61</t>
  </si>
  <si>
    <t>Dead Man's Rest</t>
  </si>
  <si>
    <t>5,390 </t>
  </si>
  <si>
    <t>230 </t>
  </si>
  <si>
    <t>fate62</t>
  </si>
  <si>
    <t>The King's Justice</t>
  </si>
  <si>
    <t>fate63</t>
  </si>
  <si>
    <t>Gauging North Tidegate</t>
  </si>
  <si>
    <t>5,830 </t>
  </si>
  <si>
    <t>88 </t>
  </si>
  <si>
    <t>253 </t>
  </si>
  <si>
    <t>fate64</t>
  </si>
  <si>
    <t>Breaching North Tidegate</t>
  </si>
  <si>
    <t>fate65</t>
  </si>
  <si>
    <t>Sharknado</t>
  </si>
  <si>
    <t>fate66</t>
  </si>
  <si>
    <t>Gauging South Tidegate</t>
  </si>
  <si>
    <t>4,158 </t>
  </si>
  <si>
    <t>90 </t>
  </si>
  <si>
    <t>258 </t>
  </si>
  <si>
    <t>fate67</t>
  </si>
  <si>
    <t>Breaching South Tidegate</t>
  </si>
  <si>
    <t>fate68</t>
  </si>
  <si>
    <t>Tail of a Whale</t>
  </si>
  <si>
    <t>6,325 </t>
  </si>
  <si>
    <t>264 </t>
  </si>
  <si>
    <t>fate69</t>
  </si>
  <si>
    <t>Watch Your Tongue</t>
  </si>
  <si>
    <t>6,840 </t>
  </si>
  <si>
    <t>96 </t>
  </si>
  <si>
    <t>276 </t>
  </si>
  <si>
    <t>fate70</t>
  </si>
  <si>
    <t>Making Waves</t>
  </si>
  <si>
    <t>14,210 </t>
  </si>
  <si>
    <t>98 </t>
  </si>
  <si>
    <t>281 </t>
  </si>
  <si>
    <t>fate71</t>
  </si>
  <si>
    <t>Poor Maid's Misfortune</t>
  </si>
  <si>
    <t>Upper La Noscea </t>
  </si>
  <si>
    <t>1,740 </t>
  </si>
  <si>
    <t>115 </t>
  </si>
  <si>
    <t>fate72</t>
  </si>
  <si>
    <t>Poor Maid's Mishap</t>
  </si>
  <si>
    <t>fate73</t>
  </si>
  <si>
    <t>Poor Maid's Mess</t>
  </si>
  <si>
    <t>fate74</t>
  </si>
  <si>
    <t>Giant Enemy Crab</t>
  </si>
  <si>
    <t>1,800 </t>
  </si>
  <si>
    <t>42 </t>
  </si>
  <si>
    <t>120 </t>
  </si>
  <si>
    <t>fate75</t>
  </si>
  <si>
    <t>Simurgh Is the Word</t>
  </si>
  <si>
    <t>1,920 </t>
  </si>
  <si>
    <t>132 </t>
  </si>
  <si>
    <t>fate76</t>
  </si>
  <si>
    <t>The Road More Traveled</t>
  </si>
  <si>
    <t>fate77</t>
  </si>
  <si>
    <t>Truth in Faerie Tales</t>
  </si>
  <si>
    <t>fate78</t>
  </si>
  <si>
    <t>Nine-ilm Snails</t>
  </si>
  <si>
    <t>fate79</t>
  </si>
  <si>
    <t>Shell Shocked</t>
  </si>
  <si>
    <t>fate80</t>
  </si>
  <si>
    <t>Peeping Ja</t>
  </si>
  <si>
    <t>fate81</t>
  </si>
  <si>
    <t>Hop, Skip, and a Jump</t>
  </si>
  <si>
    <t>fate82</t>
  </si>
  <si>
    <t>Surprise</t>
  </si>
  <si>
    <t>fate83</t>
  </si>
  <si>
    <t>Peryton, Perhaps</t>
  </si>
  <si>
    <t>Outer La Noscea </t>
  </si>
  <si>
    <t>fate84</t>
  </si>
  <si>
    <t>Restless in O'Ghomoro</t>
  </si>
  <si>
    <t>fate85</t>
  </si>
  <si>
    <t>I'm a Rock, Not a Number</t>
  </si>
  <si>
    <t>fate86</t>
  </si>
  <si>
    <t>Overlooking the Obvious</t>
  </si>
  <si>
    <t>fate87</t>
  </si>
  <si>
    <t>The Only Way Is Up</t>
  </si>
  <si>
    <t>fate88</t>
  </si>
  <si>
    <t>When the Coeurl's Away</t>
  </si>
  <si>
    <t>fate89</t>
  </si>
  <si>
    <t>By a Whisker</t>
  </si>
  <si>
    <t>fate90</t>
  </si>
  <si>
    <t>5,500 </t>
  </si>
  <si>
    <t>82 </t>
  </si>
  <si>
    <t>235 </t>
  </si>
  <si>
    <t>fate91</t>
  </si>
  <si>
    <t>Fire in the Hole</t>
  </si>
  <si>
    <t>fate92</t>
  </si>
  <si>
    <t>Make It Rain</t>
  </si>
  <si>
    <t>fate93</t>
  </si>
  <si>
    <t>The Miner in the Mirror</t>
  </si>
  <si>
    <t>fate94</t>
  </si>
  <si>
    <t>Stopping the Shakes</t>
  </si>
  <si>
    <t>6,440 </t>
  </si>
  <si>
    <t>94 </t>
  </si>
  <si>
    <t>270 </t>
  </si>
  <si>
    <t>fate95</t>
  </si>
  <si>
    <t>Making the Rounds</t>
  </si>
  <si>
    <t>fate96</t>
  </si>
  <si>
    <t>Full Metal Alchemist</t>
  </si>
  <si>
    <t>fate97</t>
  </si>
  <si>
    <t>One Enchanted Eve</t>
  </si>
  <si>
    <t>Central Shroud </t>
  </si>
  <si>
    <t>fate98</t>
  </si>
  <si>
    <t>Clever Girls</t>
  </si>
  <si>
    <t>fate99</t>
  </si>
  <si>
    <t>Training Day</t>
  </si>
  <si>
    <t>fate100</t>
  </si>
  <si>
    <t>Lady Killer</t>
  </si>
  <si>
    <t>fate101</t>
  </si>
  <si>
    <t>fate102</t>
  </si>
  <si>
    <t>Something in the Water</t>
  </si>
  <si>
    <t>fate103</t>
  </si>
  <si>
    <t>Leader of the Pack</t>
  </si>
  <si>
    <t>fate104</t>
  </si>
  <si>
    <t>Alux of the Draw</t>
  </si>
  <si>
    <t>fate105</t>
  </si>
  <si>
    <t>Lethe on My Mind</t>
  </si>
  <si>
    <t>fate106</t>
  </si>
  <si>
    <t>Spirithold Run</t>
  </si>
  <si>
    <t>fate107</t>
  </si>
  <si>
    <t>Love Is in the Air</t>
  </si>
  <si>
    <t>fate108</t>
  </si>
  <si>
    <t>The Sting</t>
  </si>
  <si>
    <t>fate109</t>
  </si>
  <si>
    <t>Sleep Tight</t>
  </si>
  <si>
    <t>fate110</t>
  </si>
  <si>
    <t>Bleeding Green</t>
  </si>
  <si>
    <t>fate111</t>
  </si>
  <si>
    <t>There's Something about Lou</t>
  </si>
  <si>
    <t>fate112</t>
  </si>
  <si>
    <t>What's Your Poison</t>
  </si>
  <si>
    <t>fate113</t>
  </si>
  <si>
    <t>My Baby Green</t>
  </si>
  <si>
    <t>fate114</t>
  </si>
  <si>
    <t>Revenant Things</t>
  </si>
  <si>
    <t>fate115</t>
  </si>
  <si>
    <t>The Lindwurm Has Turned</t>
  </si>
  <si>
    <t>fate116</t>
  </si>
  <si>
    <t>If I Only Had a Soul</t>
  </si>
  <si>
    <t>fate117</t>
  </si>
  <si>
    <t>Asipatra Attacks</t>
  </si>
  <si>
    <t>fate118</t>
  </si>
  <si>
    <t>In Spite of It All</t>
  </si>
  <si>
    <t>5,720 </t>
  </si>
  <si>
    <t>247 </t>
  </si>
  <si>
    <t>fate119</t>
  </si>
  <si>
    <t>Carrion Baggage</t>
  </si>
  <si>
    <t>East Shroud </t>
  </si>
  <si>
    <t>fate120</t>
  </si>
  <si>
    <t>Now I See Bees I Won</t>
  </si>
  <si>
    <t>fate121</t>
  </si>
  <si>
    <t>Royal Rumble</t>
  </si>
  <si>
    <t>fate122</t>
  </si>
  <si>
    <t>Stopping the Spread</t>
  </si>
  <si>
    <t>fate123</t>
  </si>
  <si>
    <t>Ivy League</t>
  </si>
  <si>
    <t>1,680 </t>
  </si>
  <si>
    <t>38 </t>
  </si>
  <si>
    <t>109 </t>
  </si>
  <si>
    <t>fate124</t>
  </si>
  <si>
    <t>Jack of All Trades</t>
  </si>
  <si>
    <t>fate125</t>
  </si>
  <si>
    <t>Protecting the Patch</t>
  </si>
  <si>
    <t>fate126</t>
  </si>
  <si>
    <t>Lazy for You</t>
  </si>
  <si>
    <t>fate127</t>
  </si>
  <si>
    <t>What Have You Done for Mead Lately</t>
  </si>
  <si>
    <t>fate128</t>
  </si>
  <si>
    <t>Thunderstruck</t>
  </si>
  <si>
    <t>fate129</t>
  </si>
  <si>
    <t>All Vine and No Popotoes</t>
  </si>
  <si>
    <t>fate130</t>
  </si>
  <si>
    <t>Collecting Keepsakes</t>
  </si>
  <si>
    <t>fate131</t>
  </si>
  <si>
    <t>The Enemy of My Enemy</t>
  </si>
  <si>
    <t>5,610 </t>
  </si>
  <si>
    <t>84 </t>
  </si>
  <si>
    <t>241 </t>
  </si>
  <si>
    <t>fate132</t>
  </si>
  <si>
    <t>The Enmity of My Enemy</t>
  </si>
  <si>
    <t>fate133</t>
  </si>
  <si>
    <t>A Wrench in the Works</t>
  </si>
  <si>
    <t>fate134</t>
  </si>
  <si>
    <t>The Squirrel Trapper's Wife</t>
  </si>
  <si>
    <t>fate135</t>
  </si>
  <si>
    <t>Below His Station</t>
  </si>
  <si>
    <t>fate136</t>
  </si>
  <si>
    <t>Got Milkroot</t>
  </si>
  <si>
    <t>fate137</t>
  </si>
  <si>
    <t>Breaking Dawn</t>
  </si>
  <si>
    <t>fate138</t>
  </si>
  <si>
    <t>Bush Blade</t>
  </si>
  <si>
    <t>fate139</t>
  </si>
  <si>
    <t>Handful of Dreams</t>
  </si>
  <si>
    <t>6,960 </t>
  </si>
  <si>
    <t>fate140</t>
  </si>
  <si>
    <t>The Gale that Rocks the Cradle</t>
  </si>
  <si>
    <t>fate141</t>
  </si>
  <si>
    <t>What a Boar</t>
  </si>
  <si>
    <t>fate142</t>
  </si>
  <si>
    <t>Everything's Better</t>
  </si>
  <si>
    <t>fate143</t>
  </si>
  <si>
    <t>Stag Parting</t>
  </si>
  <si>
    <t>South Shroud </t>
  </si>
  <si>
    <t>fate144</t>
  </si>
  <si>
    <t>Kickin' It with the Kedtraps</t>
  </si>
  <si>
    <t>1,860 </t>
  </si>
  <si>
    <t>44 </t>
  </si>
  <si>
    <t>126 </t>
  </si>
  <si>
    <t>fate145</t>
  </si>
  <si>
    <t>Another Round</t>
  </si>
  <si>
    <t>fate146</t>
  </si>
  <si>
    <t>To Whom the Toll Goes</t>
  </si>
  <si>
    <t>fate147</t>
  </si>
  <si>
    <t>The Hunted</t>
  </si>
  <si>
    <t>fate148</t>
  </si>
  <si>
    <t>Conspiracy Theory</t>
  </si>
  <si>
    <t>1,980 </t>
  </si>
  <si>
    <t>48 </t>
  </si>
  <si>
    <t>138 </t>
  </si>
  <si>
    <t>fate149</t>
  </si>
  <si>
    <t>The Negotiators</t>
  </si>
  <si>
    <t>1,942 </t>
  </si>
  <si>
    <t>56 </t>
  </si>
  <si>
    <t>161 </t>
  </si>
  <si>
    <t>fate150</t>
  </si>
  <si>
    <t>The Coeurl King</t>
  </si>
  <si>
    <t>6,080 </t>
  </si>
  <si>
    <t>58 </t>
  </si>
  <si>
    <t>166 </t>
  </si>
  <si>
    <t>fate151</t>
  </si>
  <si>
    <t>Robbin' Goblins</t>
  </si>
  <si>
    <t>3,040 </t>
  </si>
  <si>
    <t>fate152</t>
  </si>
  <si>
    <t>Hide and Seek</t>
  </si>
  <si>
    <t>fate153</t>
  </si>
  <si>
    <t>To Train a Tortoise</t>
  </si>
  <si>
    <t>fate154</t>
  </si>
  <si>
    <t>Fate Is a Fecal Mistress</t>
  </si>
  <si>
    <t>fate155</t>
  </si>
  <si>
    <t>Defending the Hive</t>
  </si>
  <si>
    <t>2,439 </t>
  </si>
  <si>
    <t>fate156</t>
  </si>
  <si>
    <t>Keeping the Hive</t>
  </si>
  <si>
    <t>fate157</t>
  </si>
  <si>
    <t>A Tale of Two-tails</t>
  </si>
  <si>
    <t>fate158</t>
  </si>
  <si>
    <t>Breaching the Hive</t>
  </si>
  <si>
    <t>fate159</t>
  </si>
  <si>
    <t>Clearing the Hive</t>
  </si>
  <si>
    <t>fate160</t>
  </si>
  <si>
    <t>Rogue on the Water</t>
  </si>
  <si>
    <t>fate161</t>
  </si>
  <si>
    <t>Eft for Dead</t>
  </si>
  <si>
    <t>fate162</t>
  </si>
  <si>
    <t>What Gored Before</t>
  </si>
  <si>
    <t>91 </t>
  </si>
  <si>
    <t>fate163</t>
  </si>
  <si>
    <t>Breaking Bud</t>
  </si>
  <si>
    <t>North Shroud </t>
  </si>
  <si>
    <t>fate164</t>
  </si>
  <si>
    <t>Dschubba Snacks</t>
  </si>
  <si>
    <t>fate165</t>
  </si>
  <si>
    <t>No Birds Allowed</t>
  </si>
  <si>
    <t>fate166</t>
  </si>
  <si>
    <t>The Magical Fruit</t>
  </si>
  <si>
    <t>fate167</t>
  </si>
  <si>
    <t>Micromanaging</t>
  </si>
  <si>
    <t>fate168</t>
  </si>
  <si>
    <t>The Big Issue</t>
  </si>
  <si>
    <t>2,040 </t>
  </si>
  <si>
    <t>50 </t>
  </si>
  <si>
    <t>143 </t>
  </si>
  <si>
    <t>fate169</t>
  </si>
  <si>
    <t>It Ziz What It Is</t>
  </si>
  <si>
    <t>2,520 </t>
  </si>
  <si>
    <t>54 </t>
  </si>
  <si>
    <t>155 </t>
  </si>
  <si>
    <t>fate170</t>
  </si>
  <si>
    <t>Hare Today</t>
  </si>
  <si>
    <t>fate171</t>
  </si>
  <si>
    <t>That Which Binds Us</t>
  </si>
  <si>
    <t>2,775 </t>
  </si>
  <si>
    <t>fate172</t>
  </si>
  <si>
    <t>Waiting for a Moon to Fall</t>
  </si>
  <si>
    <t>fate173</t>
  </si>
  <si>
    <t>Don't Disturb This Grove</t>
  </si>
  <si>
    <t>4,370 </t>
  </si>
  <si>
    <t>212 </t>
  </si>
  <si>
    <t>fate174</t>
  </si>
  <si>
    <t>Smells Like Tree Spirit</t>
  </si>
  <si>
    <t>fate175</t>
  </si>
  <si>
    <t>Air Supply</t>
  </si>
  <si>
    <t>fate176</t>
  </si>
  <si>
    <t>Rude Awakening</t>
  </si>
  <si>
    <t>fate177</t>
  </si>
  <si>
    <t>Needles to Slay</t>
  </si>
  <si>
    <t>Western Thanalan </t>
  </si>
  <si>
    <t>fate178</t>
  </si>
  <si>
    <t>A Matter of Rust</t>
  </si>
  <si>
    <t>fate179</t>
  </si>
  <si>
    <t>Things that Make You Go Home</t>
  </si>
  <si>
    <t>fate180</t>
  </si>
  <si>
    <t>Please Hammers, Don't Hurt Them</t>
  </si>
  <si>
    <t>fate181</t>
  </si>
  <si>
    <t>Deface the Facts</t>
  </si>
  <si>
    <t>fate182</t>
  </si>
  <si>
    <t>The Cores</t>
  </si>
  <si>
    <t>fate183</t>
  </si>
  <si>
    <t>The Villain</t>
  </si>
  <si>
    <t>fate184</t>
  </si>
  <si>
    <t>fate185</t>
  </si>
  <si>
    <t>Copied Peistes</t>
  </si>
  <si>
    <t>fate186</t>
  </si>
  <si>
    <t>Dog Eat Dog</t>
  </si>
  <si>
    <t>fate187</t>
  </si>
  <si>
    <t>Pound for Pound</t>
  </si>
  <si>
    <t>fate188</t>
  </si>
  <si>
    <t>Bigger Fish to Fry</t>
  </si>
  <si>
    <t>fate189</t>
  </si>
  <si>
    <t>Bubble Trouble</t>
  </si>
  <si>
    <t>fate190</t>
  </si>
  <si>
    <t>Staying Dead</t>
  </si>
  <si>
    <t>fate191</t>
  </si>
  <si>
    <t>There Might Be Giants</t>
  </si>
  <si>
    <t>fate192</t>
  </si>
  <si>
    <t>Tripped up by the Fruit of Another</t>
  </si>
  <si>
    <t>fate193</t>
  </si>
  <si>
    <t>He's Got Legs</t>
  </si>
  <si>
    <t>fate194</t>
  </si>
  <si>
    <t>Juggernaut Down</t>
  </si>
  <si>
    <t>fate195</t>
  </si>
  <si>
    <t>Something to Prove</t>
  </si>
  <si>
    <t>Central Thanalan </t>
  </si>
  <si>
    <t>fate196</t>
  </si>
  <si>
    <t>Let them Eat Cactus</t>
  </si>
  <si>
    <t>fate197</t>
  </si>
  <si>
    <t>Like an Eft out of Water</t>
  </si>
  <si>
    <t>fate198</t>
  </si>
  <si>
    <t>fate199</t>
  </si>
  <si>
    <t>A Warm Welcome</t>
  </si>
  <si>
    <t>fate200</t>
  </si>
  <si>
    <t>Big Time</t>
  </si>
  <si>
    <t>fate201</t>
  </si>
  <si>
    <t>Wrecked Rats</t>
  </si>
  <si>
    <t>fate202</t>
  </si>
  <si>
    <t>Cracked</t>
  </si>
  <si>
    <t>fate203</t>
  </si>
  <si>
    <t>For the Queen</t>
  </si>
  <si>
    <t>fate204</t>
  </si>
  <si>
    <t>A Few Arrows Short of a Quiver</t>
  </si>
  <si>
    <t>fate205</t>
  </si>
  <si>
    <t>Leaving the Nest</t>
  </si>
  <si>
    <t>fate206</t>
  </si>
  <si>
    <t>Cold-blooded</t>
  </si>
  <si>
    <t>fate207</t>
  </si>
  <si>
    <t>Orobon Part Two: The Spawning</t>
  </si>
  <si>
    <t>fate208</t>
  </si>
  <si>
    <t>License to Quill</t>
  </si>
  <si>
    <t>Eastern Thanalan </t>
  </si>
  <si>
    <t>fate209</t>
  </si>
  <si>
    <t>Bazaar Blood Triangle</t>
  </si>
  <si>
    <t>fate210</t>
  </si>
  <si>
    <t>Deep in the Heart of Sagolii</t>
  </si>
  <si>
    <t>fate211</t>
  </si>
  <si>
    <t>Grim Undertakings</t>
  </si>
  <si>
    <t>fate212</t>
  </si>
  <si>
    <t>Simple Minds</t>
  </si>
  <si>
    <t>fate213</t>
  </si>
  <si>
    <t>Almost Paradise</t>
  </si>
  <si>
    <t>fate214</t>
  </si>
  <si>
    <t>Westward Bound</t>
  </si>
  <si>
    <t>fate215</t>
  </si>
  <si>
    <t>Bad Camp</t>
  </si>
  <si>
    <t>fate216</t>
  </si>
  <si>
    <t>Men Who See Goats</t>
  </si>
  <si>
    <t>fate217</t>
  </si>
  <si>
    <t>Attack on Highbridge: Act II</t>
  </si>
  <si>
    <t>2,275 </t>
  </si>
  <si>
    <t>52 </t>
  </si>
  <si>
    <t>149 </t>
  </si>
  <si>
    <t>fate218</t>
  </si>
  <si>
    <t>Attack on Highbridge: Act III</t>
  </si>
  <si>
    <t>4,550 </t>
  </si>
  <si>
    <t>fate219</t>
  </si>
  <si>
    <t>Attack on Highbridge: Denouement</t>
  </si>
  <si>
    <t>fate220</t>
  </si>
  <si>
    <t>Attack on Highbridge: Prelude</t>
  </si>
  <si>
    <t>1,137 </t>
  </si>
  <si>
    <t>fate221</t>
  </si>
  <si>
    <t>Desert Rose</t>
  </si>
  <si>
    <t>fate222</t>
  </si>
  <si>
    <t>Attack on Highbridge: Act I</t>
  </si>
  <si>
    <t>1,592 </t>
  </si>
  <si>
    <t>fate223</t>
  </si>
  <si>
    <t>Manifest Destiny</t>
  </si>
  <si>
    <t>fate224</t>
  </si>
  <si>
    <t>Spare the Hair</t>
  </si>
  <si>
    <t>fate225</t>
  </si>
  <si>
    <t>A Man Rides Through</t>
  </si>
  <si>
    <t>fate226</t>
  </si>
  <si>
    <t>The Big Bagoly Theory</t>
  </si>
  <si>
    <t>fate227</t>
  </si>
  <si>
    <t>Bad Hair Day</t>
  </si>
  <si>
    <t>fate228</t>
  </si>
  <si>
    <t>Quartz Coupling</t>
  </si>
  <si>
    <t>fate229</t>
  </si>
  <si>
    <t>Downwind</t>
  </si>
  <si>
    <t>Southern Thanalan </t>
  </si>
  <si>
    <t>fate230</t>
  </si>
  <si>
    <t>Run Like a Flame</t>
  </si>
  <si>
    <t>fate231</t>
  </si>
  <si>
    <t>The Corpse Bribe</t>
  </si>
  <si>
    <t>fate232</t>
  </si>
  <si>
    <t>Bump and Grind</t>
  </si>
  <si>
    <t>fate233</t>
  </si>
  <si>
    <t>Adventures in Throat Slitting</t>
  </si>
  <si>
    <t>fate234</t>
  </si>
  <si>
    <t>Harder, Bigger, Faster, Stronger</t>
  </si>
  <si>
    <t>fate235</t>
  </si>
  <si>
    <t>Soul Man</t>
  </si>
  <si>
    <t>fate236</t>
  </si>
  <si>
    <t>Children of the Sands</t>
  </si>
  <si>
    <t>fate237</t>
  </si>
  <si>
    <t>Fish out of Water</t>
  </si>
  <si>
    <t>fate238</t>
  </si>
  <si>
    <t>Revenge of the Worms</t>
  </si>
  <si>
    <t>fate239</t>
  </si>
  <si>
    <t>Blood, Augur, Hex, Magicks</t>
  </si>
  <si>
    <t>fate240</t>
  </si>
  <si>
    <t>From Point A</t>
  </si>
  <si>
    <t>fate241</t>
  </si>
  <si>
    <t>Heroes of the 2nd</t>
  </si>
  <si>
    <t>5,940 </t>
  </si>
  <si>
    <t>fate242</t>
  </si>
  <si>
    <t>Taken</t>
  </si>
  <si>
    <t>fate243</t>
  </si>
  <si>
    <t>Call Me, Mayhaps</t>
  </si>
  <si>
    <t>fate244</t>
  </si>
  <si>
    <t>Fallen Corpses Writhe in Style</t>
  </si>
  <si>
    <t>fate245</t>
  </si>
  <si>
    <t>Full of Rigor Mortis</t>
  </si>
  <si>
    <t>fate246</t>
  </si>
  <si>
    <t>Bigger than Life</t>
  </si>
  <si>
    <t>fate247</t>
  </si>
  <si>
    <t>Tempered, Tempered</t>
  </si>
  <si>
    <t>fate248</t>
  </si>
  <si>
    <t>Book of Pride</t>
  </si>
  <si>
    <t>fate249</t>
  </si>
  <si>
    <t>An Inconvenient Truth</t>
  </si>
  <si>
    <t>fate250</t>
  </si>
  <si>
    <t>Diamond in the Rough</t>
  </si>
  <si>
    <t>fate251</t>
  </si>
  <si>
    <t>Future Shock</t>
  </si>
  <si>
    <t>fate252</t>
  </si>
  <si>
    <t>He's a Firestarter</t>
  </si>
  <si>
    <t>fate253</t>
  </si>
  <si>
    <t>Hunters and the Hunted</t>
  </si>
  <si>
    <t>fate254</t>
  </si>
  <si>
    <t>Quenching the Flame</t>
  </si>
  <si>
    <t>4,960 </t>
  </si>
  <si>
    <t>fate255</t>
  </si>
  <si>
    <t>Return to Cinder</t>
  </si>
  <si>
    <t>fate256</t>
  </si>
  <si>
    <t>Spark off the Bench</t>
  </si>
  <si>
    <t>fate257</t>
  </si>
  <si>
    <t>Gyve Talk</t>
  </si>
  <si>
    <t>fate258</t>
  </si>
  <si>
    <t>The Ceruleum Road</t>
  </si>
  <si>
    <t>Northern Thanalan </t>
  </si>
  <si>
    <t>fate259</t>
  </si>
  <si>
    <t>Dark Devices - The Switch</t>
  </si>
  <si>
    <t>fate260</t>
  </si>
  <si>
    <t>fate261</t>
  </si>
  <si>
    <t>The Red Baron</t>
  </si>
  <si>
    <t>fate262</t>
  </si>
  <si>
    <t>Dark Devices - The End</t>
  </si>
  <si>
    <t>fate263</t>
  </si>
  <si>
    <t>Just a Sip</t>
  </si>
  <si>
    <t>fate264</t>
  </si>
  <si>
    <t>Twinkle, Twinkle Little Trap</t>
  </si>
  <si>
    <t>fate265</t>
  </si>
  <si>
    <t>Boom Goes the Ceruleum</t>
  </si>
  <si>
    <t>fate266</t>
  </si>
  <si>
    <t>Knock on Steel</t>
  </si>
  <si>
    <t>fate267</t>
  </si>
  <si>
    <t>Dark Devices - The Plea</t>
  </si>
  <si>
    <t>3,480 </t>
  </si>
  <si>
    <t>fate268</t>
  </si>
  <si>
    <t>Under the Nails</t>
  </si>
  <si>
    <t>fate269</t>
  </si>
  <si>
    <t>Core Blimey</t>
  </si>
  <si>
    <t>fate270</t>
  </si>
  <si>
    <t>fate271</t>
  </si>
  <si>
    <t>Dark Devices - The Bait</t>
  </si>
  <si>
    <t>4,872 </t>
  </si>
  <si>
    <t>fate272</t>
  </si>
  <si>
    <t>With One Eye Open</t>
  </si>
  <si>
    <t>fate273</t>
  </si>
  <si>
    <t>East Meets Worst</t>
  </si>
  <si>
    <t>fate274</t>
  </si>
  <si>
    <t>Twelve Ilms of Snow</t>
  </si>
  <si>
    <t>Coerthas Central Highlands </t>
  </si>
  <si>
    <t>3,960 </t>
  </si>
  <si>
    <t>70 </t>
  </si>
  <si>
    <t>201 </t>
  </si>
  <si>
    <t>fate275</t>
  </si>
  <si>
    <t>A Log Up</t>
  </si>
  <si>
    <t>fate276</t>
  </si>
  <si>
    <t>Gavial</t>
  </si>
  <si>
    <t>fate277</t>
  </si>
  <si>
    <t>Baa Baa Black Sheep</t>
  </si>
  <si>
    <t>4,275 </t>
  </si>
  <si>
    <t>72 </t>
  </si>
  <si>
    <t>207 </t>
  </si>
  <si>
    <t>fate278</t>
  </si>
  <si>
    <t>Croc-y Road</t>
  </si>
  <si>
    <t>fate279</t>
  </si>
  <si>
    <t>Whiteout</t>
  </si>
  <si>
    <t>fate280</t>
  </si>
  <si>
    <t>Wish Upon a Star</t>
  </si>
  <si>
    <t>fate281</t>
  </si>
  <si>
    <t>A Fire in the Distance</t>
  </si>
  <si>
    <t>fate282</t>
  </si>
  <si>
    <t>Coming to a Head</t>
  </si>
  <si>
    <t>fate283</t>
  </si>
  <si>
    <t>Svara's Fall</t>
  </si>
  <si>
    <t>4,700 </t>
  </si>
  <si>
    <t>76 </t>
  </si>
  <si>
    <t>218 </t>
  </si>
  <si>
    <t>fate284</t>
  </si>
  <si>
    <t>Simply Red</t>
  </si>
  <si>
    <t>fate285</t>
  </si>
  <si>
    <t>Spring Forward, Fall Back</t>
  </si>
  <si>
    <t>fate286</t>
  </si>
  <si>
    <t>Svara's Flight</t>
  </si>
  <si>
    <t>fate287</t>
  </si>
  <si>
    <t>Svara's Fury</t>
  </si>
  <si>
    <t>fate288</t>
  </si>
  <si>
    <t>Svara's Fear</t>
  </si>
  <si>
    <t>fate289</t>
  </si>
  <si>
    <t>The Grey</t>
  </si>
  <si>
    <t>fate290</t>
  </si>
  <si>
    <t>A Freeze Is Coming</t>
  </si>
  <si>
    <t>5,040 </t>
  </si>
  <si>
    <t>78 </t>
  </si>
  <si>
    <t>224 </t>
  </si>
  <si>
    <t>fate291</t>
  </si>
  <si>
    <t>Bellyful</t>
  </si>
  <si>
    <t>fate292</t>
  </si>
  <si>
    <t>Judge, Jury, and Executioner</t>
  </si>
  <si>
    <t>fate293</t>
  </si>
  <si>
    <t>Roc of Ages</t>
  </si>
  <si>
    <t>fate294</t>
  </si>
  <si>
    <t>The Eyes Have It</t>
  </si>
  <si>
    <t>fate295</t>
  </si>
  <si>
    <t>The Taste of Fear</t>
  </si>
  <si>
    <t>fate296</t>
  </si>
  <si>
    <t>Front and Center</t>
  </si>
  <si>
    <t>fate297</t>
  </si>
  <si>
    <t>Giant Seps</t>
  </si>
  <si>
    <t>fate298</t>
  </si>
  <si>
    <t>If This Wall Could Talk</t>
  </si>
  <si>
    <t>fate299</t>
  </si>
  <si>
    <t>Riddle Me This</t>
  </si>
  <si>
    <t>fate300</t>
  </si>
  <si>
    <t>In the Saint's Wake</t>
  </si>
  <si>
    <t>fate301</t>
  </si>
  <si>
    <t>Tower of Power</t>
  </si>
  <si>
    <t>fate302</t>
  </si>
  <si>
    <t>The Bigger They Are</t>
  </si>
  <si>
    <t>fate303</t>
  </si>
  <si>
    <t>What's on Your Mind</t>
  </si>
  <si>
    <t>fate304</t>
  </si>
  <si>
    <t>Turn Off Your Hearthlight</t>
  </si>
  <si>
    <t>fate305</t>
  </si>
  <si>
    <t>Does Anyone Hear It</t>
  </si>
  <si>
    <t>fate306</t>
  </si>
  <si>
    <t>Inspector Hatchet</t>
  </si>
  <si>
    <t>fate307</t>
  </si>
  <si>
    <t>The Four Winds</t>
  </si>
  <si>
    <t>fate308</t>
  </si>
  <si>
    <t>The Storm Caller</t>
  </si>
  <si>
    <t>fate309</t>
  </si>
  <si>
    <t>V for Vinedetta</t>
  </si>
  <si>
    <t>Mor Dhona </t>
  </si>
  <si>
    <t>fate310</t>
  </si>
  <si>
    <t>Mud about You</t>
  </si>
  <si>
    <t>fate311</t>
  </si>
  <si>
    <t>Good to Be Bud</t>
  </si>
  <si>
    <t>fate312</t>
  </si>
  <si>
    <t>Toll Collector</t>
  </si>
  <si>
    <t>fate313</t>
  </si>
  <si>
    <t>Among Giants</t>
  </si>
  <si>
    <t>fate314</t>
  </si>
  <si>
    <t>Black and Nburu</t>
  </si>
  <si>
    <t>fate315</t>
  </si>
  <si>
    <t>The Prodigal Son</t>
  </si>
  <si>
    <t>fate316</t>
  </si>
  <si>
    <t>That's What Adventurers Are For</t>
  </si>
  <si>
    <t>fate317</t>
  </si>
  <si>
    <t>Gone with the Shadow</t>
  </si>
  <si>
    <t>fate318</t>
  </si>
  <si>
    <t>Home Is Where the Horn Is</t>
  </si>
  <si>
    <t>fate319</t>
  </si>
  <si>
    <t>Another Day, Another Demon</t>
  </si>
  <si>
    <t>fate320</t>
  </si>
  <si>
    <t>One Giant Leap</t>
  </si>
  <si>
    <t>fate321</t>
  </si>
  <si>
    <t>Standing Guard</t>
  </si>
  <si>
    <t>fate322</t>
  </si>
  <si>
    <t>Another Notch on the Torch</t>
  </si>
  <si>
    <t>fate323</t>
  </si>
  <si>
    <t>One Whiskey, One Goat, One Spear</t>
  </si>
  <si>
    <t>Coerthas Western Highlands </t>
  </si>
  <si>
    <t>10,530 </t>
  </si>
  <si>
    <t>100 </t>
  </si>
  <si>
    <t>287 </t>
  </si>
  <si>
    <t>fate324</t>
  </si>
  <si>
    <t>Panic Rheum</t>
  </si>
  <si>
    <t>fate325</t>
  </si>
  <si>
    <t>Apparent Trap</t>
  </si>
  <si>
    <t>fate326</t>
  </si>
  <si>
    <t>Run, Riders, Run</t>
  </si>
  <si>
    <t>fate327</t>
  </si>
  <si>
    <t>Don of the Mylodons</t>
  </si>
  <si>
    <t>fate328</t>
  </si>
  <si>
    <t>Eye in the Sky</t>
  </si>
  <si>
    <t>fate329</t>
  </si>
  <si>
    <t>What You See Is What You Get</t>
  </si>
  <si>
    <t>fate330</t>
  </si>
  <si>
    <t>Null and Void</t>
  </si>
  <si>
    <t>fate331</t>
  </si>
  <si>
    <t>Follow the Sleet</t>
  </si>
  <si>
    <t>fate332</t>
  </si>
  <si>
    <t>Dawn of the Mylodons</t>
  </si>
  <si>
    <t>fate333</t>
  </si>
  <si>
    <t>Sugar, Sugar</t>
  </si>
  <si>
    <t>fate334</t>
  </si>
  <si>
    <t>Land of the Freeze</t>
  </si>
  <si>
    <t>fate335</t>
  </si>
  <si>
    <t>No Ifs, Ands, or Butts</t>
  </si>
  <si>
    <t>fate336</t>
  </si>
  <si>
    <t>A Dung Deal</t>
  </si>
  <si>
    <t>fate337</t>
  </si>
  <si>
    <t>Abominable Me</t>
  </si>
  <si>
    <t>10,705 </t>
  </si>
  <si>
    <t>102 </t>
  </si>
  <si>
    <t>293 </t>
  </si>
  <si>
    <t>fate338</t>
  </si>
  <si>
    <t>The Polar Express</t>
  </si>
  <si>
    <t>fate339</t>
  </si>
  <si>
    <t>Dishonored</t>
  </si>
  <si>
    <t>fate340</t>
  </si>
  <si>
    <t>True Convictions</t>
  </si>
  <si>
    <t>fate341</t>
  </si>
  <si>
    <t>In Command</t>
  </si>
  <si>
    <t>fate342</t>
  </si>
  <si>
    <t>We Fought a Dzu</t>
  </si>
  <si>
    <t>fate343</t>
  </si>
  <si>
    <t>Unsilent Vigil</t>
  </si>
  <si>
    <t>fate344</t>
  </si>
  <si>
    <t>Requiem for a Dragon</t>
  </si>
  <si>
    <t>fate345</t>
  </si>
  <si>
    <t>Pico de Gallows</t>
  </si>
  <si>
    <t>fate346</t>
  </si>
  <si>
    <t>Sick Pack</t>
  </si>
  <si>
    <t>fate347</t>
  </si>
  <si>
    <t>Sphenopalatine Ganglioneuralgia</t>
  </si>
  <si>
    <t>11,583 </t>
  </si>
  <si>
    <t>112 </t>
  </si>
  <si>
    <t>322 </t>
  </si>
  <si>
    <t>fate348</t>
  </si>
  <si>
    <t>A Stihi Situation</t>
  </si>
  <si>
    <t>fate349</t>
  </si>
  <si>
    <t>One Turned Over the Cloudkin's Nest</t>
  </si>
  <si>
    <t>The Sea of Clouds </t>
  </si>
  <si>
    <t>fate350</t>
  </si>
  <si>
    <t>This Is How We Gundu</t>
  </si>
  <si>
    <t>fate351</t>
  </si>
  <si>
    <t>fate352</t>
  </si>
  <si>
    <t>Youth Must Be Severed</t>
  </si>
  <si>
    <t>fate353</t>
  </si>
  <si>
    <t>fate354</t>
  </si>
  <si>
    <t>Mint Condition</t>
  </si>
  <si>
    <t>fate355</t>
  </si>
  <si>
    <t>Food Fight</t>
  </si>
  <si>
    <t>fate356</t>
  </si>
  <si>
    <t>Saved the Nests for Last</t>
  </si>
  <si>
    <t>fate357</t>
  </si>
  <si>
    <t>Leech the Sky</t>
  </si>
  <si>
    <t>fate358</t>
  </si>
  <si>
    <t>Bones</t>
  </si>
  <si>
    <t>11,758 </t>
  </si>
  <si>
    <t>114 </t>
  </si>
  <si>
    <t>327 </t>
  </si>
  <si>
    <t>fate359</t>
  </si>
  <si>
    <t>On Dangerous Ground</t>
  </si>
  <si>
    <t>fate360</t>
  </si>
  <si>
    <t>Come to My Window</t>
  </si>
  <si>
    <t>fate361</t>
  </si>
  <si>
    <t>Hearts Like Steel, Fists Like Thunder</t>
  </si>
  <si>
    <t>fate362</t>
  </si>
  <si>
    <t>The Fugitive</t>
  </si>
  <si>
    <t>fate363</t>
  </si>
  <si>
    <t>Leather and Mace</t>
  </si>
  <si>
    <t>fate364</t>
  </si>
  <si>
    <t>Zuns on the Run</t>
  </si>
  <si>
    <t>fate365</t>
  </si>
  <si>
    <t>Obey their Thirst</t>
  </si>
  <si>
    <t>fate366</t>
  </si>
  <si>
    <t>Guano a Mano</t>
  </si>
  <si>
    <t>12,109 </t>
  </si>
  <si>
    <t>118 </t>
  </si>
  <si>
    <t>339 </t>
  </si>
  <si>
    <t>fate367</t>
  </si>
  <si>
    <t>Bismarcking Time</t>
  </si>
  <si>
    <t>fate368</t>
  </si>
  <si>
    <t>Rebel Yehl</t>
  </si>
  <si>
    <t>fate369</t>
  </si>
  <si>
    <t>Let There Be Acolytes</t>
  </si>
  <si>
    <t>fate370</t>
  </si>
  <si>
    <t>The Sound of Madness</t>
  </si>
  <si>
    <t>fate371</t>
  </si>
  <si>
    <t>A Disturbing Lack of Faith</t>
  </si>
  <si>
    <t>fate372</t>
  </si>
  <si>
    <t>You Eat What You Aren't</t>
  </si>
  <si>
    <t>fate373</t>
  </si>
  <si>
    <t>A Dream, Perchance to Eat</t>
  </si>
  <si>
    <t>fate374</t>
  </si>
  <si>
    <t>Phi Slamma Gamma West</t>
  </si>
  <si>
    <t>Azys Lla </t>
  </si>
  <si>
    <t>fate375</t>
  </si>
  <si>
    <t>A Bug's Death</t>
  </si>
  <si>
    <t>fate376</t>
  </si>
  <si>
    <t>The Monster Mass</t>
  </si>
  <si>
    <t>fate377</t>
  </si>
  <si>
    <t>No Greater Goryshche</t>
  </si>
  <si>
    <t>fate378</t>
  </si>
  <si>
    <t>A Room without Books</t>
  </si>
  <si>
    <t>fate379</t>
  </si>
  <si>
    <t>Prey Online</t>
  </si>
  <si>
    <t>fate380</t>
  </si>
  <si>
    <t>Curiously Strong Things</t>
  </si>
  <si>
    <t>fate381</t>
  </si>
  <si>
    <t>The Mystery Machine</t>
  </si>
  <si>
    <t>fate382</t>
  </si>
  <si>
    <t>Out of Sight, Out of Mind</t>
  </si>
  <si>
    <t>fate383</t>
  </si>
  <si>
    <t>Rampant Speculation</t>
  </si>
  <si>
    <t>fate384</t>
  </si>
  <si>
    <t>Do Spinners Dream of Electric Rooks</t>
  </si>
  <si>
    <t>fate385</t>
  </si>
  <si>
    <t>The Root of Evil</t>
  </si>
  <si>
    <t>fate386</t>
  </si>
  <si>
    <t>Pet, Smart</t>
  </si>
  <si>
    <t>fate387</t>
  </si>
  <si>
    <t>Put the Knives Down</t>
  </si>
  <si>
    <t>fate388</t>
  </si>
  <si>
    <t>Still Ticking</t>
  </si>
  <si>
    <t>fate389</t>
  </si>
  <si>
    <t>Harvest Moon</t>
  </si>
  <si>
    <t>fate390</t>
  </si>
  <si>
    <t>Phi Slamma Gamma South</t>
  </si>
  <si>
    <t>fate391</t>
  </si>
  <si>
    <t>Phi Slamma Gamma East</t>
  </si>
  <si>
    <t>fate392</t>
  </si>
  <si>
    <t>Scared Sylla</t>
  </si>
  <si>
    <t>fate393</t>
  </si>
  <si>
    <t>The Late Escape</t>
  </si>
  <si>
    <t>fate394</t>
  </si>
  <si>
    <t>Life of Brain</t>
  </si>
  <si>
    <t>fate395</t>
  </si>
  <si>
    <t>Yak It Up</t>
  </si>
  <si>
    <t>fate396</t>
  </si>
  <si>
    <t>The Rite Stuff</t>
  </si>
  <si>
    <t>The Dravanian Forelands </t>
  </si>
  <si>
    <t>10,881 </t>
  </si>
  <si>
    <t>104 </t>
  </si>
  <si>
    <t>299 </t>
  </si>
  <si>
    <t>fate397</t>
  </si>
  <si>
    <t>Nothing but the Truth</t>
  </si>
  <si>
    <t>fate398</t>
  </si>
  <si>
    <t>Who's the Moss</t>
  </si>
  <si>
    <t>fate399</t>
  </si>
  <si>
    <t>Glawackus On, Glawackus Off</t>
  </si>
  <si>
    <t>fate400</t>
  </si>
  <si>
    <t>The Whole Truth</t>
  </si>
  <si>
    <t>fate401</t>
  </si>
  <si>
    <t>By the Horns</t>
  </si>
  <si>
    <t>fate402</t>
  </si>
  <si>
    <t>The Migas Touch</t>
  </si>
  <si>
    <t>fate403</t>
  </si>
  <si>
    <t>Birds of a Feather</t>
  </si>
  <si>
    <t>fate404</t>
  </si>
  <si>
    <t>Bear Apparent</t>
  </si>
  <si>
    <t>fate405</t>
  </si>
  <si>
    <t>Run, Run Away</t>
  </si>
  <si>
    <t>fate406</t>
  </si>
  <si>
    <t>Dead Meat</t>
  </si>
  <si>
    <t>fate407</t>
  </si>
  <si>
    <t>Ladies First</t>
  </si>
  <si>
    <t>fate408</t>
  </si>
  <si>
    <t>Drone Under</t>
  </si>
  <si>
    <t>fate409</t>
  </si>
  <si>
    <t>Cerf's Up</t>
  </si>
  <si>
    <t>11,056 </t>
  </si>
  <si>
    <t>106 </t>
  </si>
  <si>
    <t>304 </t>
  </si>
  <si>
    <t>fate410</t>
  </si>
  <si>
    <t>The Mourning After</t>
  </si>
  <si>
    <t>fate411</t>
  </si>
  <si>
    <t>El Miacid</t>
  </si>
  <si>
    <t>fate412</t>
  </si>
  <si>
    <t>Stamp the Yard</t>
  </si>
  <si>
    <t>fate413</t>
  </si>
  <si>
    <t>Elephant in the Brume</t>
  </si>
  <si>
    <t>fate414</t>
  </si>
  <si>
    <t>Special Tarasque Force</t>
  </si>
  <si>
    <t>fate415</t>
  </si>
  <si>
    <t>Hearing Voices</t>
  </si>
  <si>
    <t>fate416</t>
  </si>
  <si>
    <t>Come to My Arms</t>
  </si>
  <si>
    <t>fate417</t>
  </si>
  <si>
    <t>Ware the Maiden Fair</t>
  </si>
  <si>
    <t>fate418</t>
  </si>
  <si>
    <t>The Nuts</t>
  </si>
  <si>
    <t>The Churning Mists </t>
  </si>
  <si>
    <t>11,232 </t>
  </si>
  <si>
    <t>108 </t>
  </si>
  <si>
    <t>310 </t>
  </si>
  <si>
    <t>fate419</t>
  </si>
  <si>
    <t>Ain't Misbehaving</t>
  </si>
  <si>
    <t>fate420</t>
  </si>
  <si>
    <t>It's the Moogle, Reinvented</t>
  </si>
  <si>
    <t>fate421</t>
  </si>
  <si>
    <t>How to Cane Your Dragon</t>
  </si>
  <si>
    <t>fate422</t>
  </si>
  <si>
    <t>Waugyl Waugyl Waugyl</t>
  </si>
  <si>
    <t>fate423</t>
  </si>
  <si>
    <t>Asah, I Came, I Conquered</t>
  </si>
  <si>
    <t>fate424</t>
  </si>
  <si>
    <t>Mogicide</t>
  </si>
  <si>
    <t>fate425</t>
  </si>
  <si>
    <t>Say it Tulihand</t>
  </si>
  <si>
    <t>fate426</t>
  </si>
  <si>
    <t>Wave Good-bye</t>
  </si>
  <si>
    <t>fate427</t>
  </si>
  <si>
    <t>Corporal Pomishment</t>
  </si>
  <si>
    <t>fate428</t>
  </si>
  <si>
    <t>Sprite Club</t>
  </si>
  <si>
    <t>fate429</t>
  </si>
  <si>
    <t>Aevis Has Left the Building</t>
  </si>
  <si>
    <t>fate430</t>
  </si>
  <si>
    <t>Whole Food</t>
  </si>
  <si>
    <t>fate431</t>
  </si>
  <si>
    <t>End of the Rainbow</t>
  </si>
  <si>
    <t>fate432</t>
  </si>
  <si>
    <t>Supper Time</t>
  </si>
  <si>
    <t>fate433</t>
  </si>
  <si>
    <t>Vouivre Believre</t>
  </si>
  <si>
    <t>fate434</t>
  </si>
  <si>
    <t>Glycon Air</t>
  </si>
  <si>
    <t>fate435</t>
  </si>
  <si>
    <t>Rastaban Vibration</t>
  </si>
  <si>
    <t>11,407 </t>
  </si>
  <si>
    <t>110 </t>
  </si>
  <si>
    <t>316 </t>
  </si>
  <si>
    <t>fate436</t>
  </si>
  <si>
    <t>Darkscale Disappeareth</t>
  </si>
  <si>
    <t>fate437</t>
  </si>
  <si>
    <t>Treehouse of the Spirits</t>
  </si>
  <si>
    <t>fate438</t>
  </si>
  <si>
    <t>From Dusk till Gone</t>
  </si>
  <si>
    <t>fate439</t>
  </si>
  <si>
    <t>Darkscale Devoureth</t>
  </si>
  <si>
    <t>fate440</t>
  </si>
  <si>
    <t>Waiting for Fjalar to Stall</t>
  </si>
  <si>
    <t>fate441</t>
  </si>
  <si>
    <t>Coin Toss</t>
  </si>
  <si>
    <t>fate442</t>
  </si>
  <si>
    <t>Infamous</t>
  </si>
  <si>
    <t>fate443</t>
  </si>
  <si>
    <t>Darkscale Descendeth</t>
  </si>
  <si>
    <t>fate444</t>
  </si>
  <si>
    <t>Don't Know Wyvern</t>
  </si>
  <si>
    <t>fate445</t>
  </si>
  <si>
    <t>Vedrfolnir Devoteth</t>
  </si>
  <si>
    <t>fate446</t>
  </si>
  <si>
    <t>As the World Burns</t>
  </si>
  <si>
    <t>fate447</t>
  </si>
  <si>
    <t>Silkworm</t>
  </si>
  <si>
    <t>The Dravanian Hinterlands </t>
  </si>
  <si>
    <t>11,934 </t>
  </si>
  <si>
    <t>116 </t>
  </si>
  <si>
    <t>333 </t>
  </si>
  <si>
    <t>fate448</t>
  </si>
  <si>
    <t>Metal Gears Revengeance 2</t>
  </si>
  <si>
    <t>fate449</t>
  </si>
  <si>
    <t>Tome Raider</t>
  </si>
  <si>
    <t>fate450</t>
  </si>
  <si>
    <t>Olympus Has Pollen</t>
  </si>
  <si>
    <t>fate451</t>
  </si>
  <si>
    <t>Pop Goes the Whizzle</t>
  </si>
  <si>
    <t>fate452</t>
  </si>
  <si>
    <t>Sun Bear, Sun Bear, What Do You Eat</t>
  </si>
  <si>
    <t>fate453</t>
  </si>
  <si>
    <t>Dobharch Did It for the Best</t>
  </si>
  <si>
    <t>fate454</t>
  </si>
  <si>
    <t>Toss 'Em Back</t>
  </si>
  <si>
    <t>fate455</t>
  </si>
  <si>
    <t>On Melancholic Hill</t>
  </si>
  <si>
    <t>fate456</t>
  </si>
  <si>
    <t>Metal Gears Rising</t>
  </si>
  <si>
    <t>fate457</t>
  </si>
  <si>
    <t>Tarantula Hawk, Pro Stinger</t>
  </si>
  <si>
    <t>fate458</t>
  </si>
  <si>
    <t>Feed Me, See More</t>
  </si>
  <si>
    <t>fate459</t>
  </si>
  <si>
    <t>Wild Wilde Death</t>
  </si>
  <si>
    <t>fate460</t>
  </si>
  <si>
    <t>Out of the Woodwork</t>
  </si>
  <si>
    <t>fate461</t>
  </si>
  <si>
    <t>Revenge of the Vengeful Revengeance</t>
  </si>
  <si>
    <t>fate462</t>
  </si>
  <si>
    <t>The Bear Up There</t>
  </si>
  <si>
    <t>fate463</t>
  </si>
  <si>
    <t>Gets the Red Out</t>
  </si>
  <si>
    <t>fate464</t>
  </si>
  <si>
    <t>Ratel and Hum</t>
  </si>
  <si>
    <t>fate465</t>
  </si>
  <si>
    <t>Metal Gears Revengeance</t>
  </si>
  <si>
    <t>fate466</t>
  </si>
  <si>
    <t>The Birds and the Bears</t>
  </si>
  <si>
    <t>fate467</t>
  </si>
  <si>
    <t>Infant Vangob</t>
  </si>
  <si>
    <t>fate468</t>
  </si>
  <si>
    <t>Come Shells or High Water</t>
  </si>
  <si>
    <t>fate469</t>
  </si>
  <si>
    <t>Poroggo Stuck</t>
  </si>
  <si>
    <t>fate470</t>
  </si>
  <si>
    <t>Frog Days of Summer</t>
  </si>
  <si>
    <t>fate471</t>
  </si>
  <si>
    <t>fate472</t>
  </si>
  <si>
    <t>How Do You Feed a Hungry Manlike Monster</t>
  </si>
  <si>
    <t>fate473</t>
  </si>
  <si>
    <t>Makes the Very Best...Nests</t>
  </si>
  <si>
    <t>fate474</t>
  </si>
  <si>
    <t>Cockatrice Block</t>
  </si>
  <si>
    <t>fate475</t>
  </si>
  <si>
    <t>Morbol Man</t>
  </si>
  <si>
    <t>fate476</t>
  </si>
  <si>
    <t>Roid Rage</t>
  </si>
  <si>
    <t>The Fringes </t>
  </si>
  <si>
    <t>22,500 </t>
  </si>
  <si>
    <t>345 </t>
  </si>
  <si>
    <t>fate477</t>
  </si>
  <si>
    <t>Dizzy Miss Grizzly</t>
  </si>
  <si>
    <t>fate478</t>
  </si>
  <si>
    <t>Thank You for Not Mossling</t>
  </si>
  <si>
    <t>fate479</t>
  </si>
  <si>
    <t>Double Dhara</t>
  </si>
  <si>
    <t>fate480</t>
  </si>
  <si>
    <t>Showing the Officers What For</t>
  </si>
  <si>
    <t>fate481</t>
  </si>
  <si>
    <t>Unbearable</t>
  </si>
  <si>
    <t>fate482</t>
  </si>
  <si>
    <t>Showing the Commanders What For</t>
  </si>
  <si>
    <t>fate483</t>
  </si>
  <si>
    <t>Keeping More Peace</t>
  </si>
  <si>
    <t>fate484</t>
  </si>
  <si>
    <t>Showing the Recruits What For</t>
  </si>
  <si>
    <t>fate485</t>
  </si>
  <si>
    <t>Bold This Way</t>
  </si>
  <si>
    <t>fate486</t>
  </si>
  <si>
    <t>Keeping the Peace</t>
  </si>
  <si>
    <t>fate487</t>
  </si>
  <si>
    <t>Death Beckons</t>
  </si>
  <si>
    <t>fate488</t>
  </si>
  <si>
    <t>The Mail Must Get Through</t>
  </si>
  <si>
    <t>22,725 </t>
  </si>
  <si>
    <t>122 </t>
  </si>
  <si>
    <t>fate489</t>
  </si>
  <si>
    <t>The Morning After</t>
  </si>
  <si>
    <t>fate490</t>
  </si>
  <si>
    <t>The Secret Life of Plants</t>
  </si>
  <si>
    <t>fate491</t>
  </si>
  <si>
    <t>Diakka Round</t>
  </si>
  <si>
    <t>fate492</t>
  </si>
  <si>
    <t>The Spiderweb Chronicles</t>
  </si>
  <si>
    <t>fate493</t>
  </si>
  <si>
    <t>The Evil Seed</t>
  </si>
  <si>
    <t>fate494</t>
  </si>
  <si>
    <t>Yes, This Is Dogs</t>
  </si>
  <si>
    <t>fate495</t>
  </si>
  <si>
    <t>Flappy Berda</t>
  </si>
  <si>
    <t>24,075 </t>
  </si>
  <si>
    <t>134 </t>
  </si>
  <si>
    <t>385 </t>
  </si>
  <si>
    <t>fate496</t>
  </si>
  <si>
    <t>The Tele-tale Hunt</t>
  </si>
  <si>
    <t>fate497</t>
  </si>
  <si>
    <t>Pop the Trunk</t>
  </si>
  <si>
    <t>fate498</t>
  </si>
  <si>
    <t>Get Sharp</t>
  </si>
  <si>
    <t>fate499</t>
  </si>
  <si>
    <t>Raisin' Hell</t>
  </si>
  <si>
    <t>fate500</t>
  </si>
  <si>
    <t>M Bop</t>
  </si>
  <si>
    <t>fate501</t>
  </si>
  <si>
    <t>A Pain in the Neck</t>
  </si>
  <si>
    <t>fate502</t>
  </si>
  <si>
    <t>Really Don't Keratyrannos</t>
  </si>
  <si>
    <t>fate503</t>
  </si>
  <si>
    <t>Ananta and Her Sisters</t>
  </si>
  <si>
    <t>fate504</t>
  </si>
  <si>
    <t>The Antlion's Share</t>
  </si>
  <si>
    <t>fate505</t>
  </si>
  <si>
    <t>Churlish Chapuli</t>
  </si>
  <si>
    <t>The Peaks </t>
  </si>
  <si>
    <t>fate506</t>
  </si>
  <si>
    <t>A Bone to Pick</t>
  </si>
  <si>
    <t>fate507</t>
  </si>
  <si>
    <t>And the Bandits Played On</t>
  </si>
  <si>
    <t>fate508</t>
  </si>
  <si>
    <t>Down with the Sickness</t>
  </si>
  <si>
    <t>fate509</t>
  </si>
  <si>
    <t>Das Bhoot</t>
  </si>
  <si>
    <t>fate510</t>
  </si>
  <si>
    <t>Resist, Die, Repeat</t>
  </si>
  <si>
    <t>fate511</t>
  </si>
  <si>
    <t>Moth to a Flame</t>
  </si>
  <si>
    <t>fate512</t>
  </si>
  <si>
    <t>A New Leaf</t>
  </si>
  <si>
    <t>fate513</t>
  </si>
  <si>
    <t>Beat Boxes</t>
  </si>
  <si>
    <t>fate514</t>
  </si>
  <si>
    <t>Of Mice and Men</t>
  </si>
  <si>
    <t>fate515</t>
  </si>
  <si>
    <t>Salad Days</t>
  </si>
  <si>
    <t>fate516</t>
  </si>
  <si>
    <t>Attack of the Groans</t>
  </si>
  <si>
    <t>fate517</t>
  </si>
  <si>
    <t>Child's Plague</t>
  </si>
  <si>
    <t>fate518</t>
  </si>
  <si>
    <t>Winging It</t>
  </si>
  <si>
    <t>fate519</t>
  </si>
  <si>
    <t>Venting</t>
  </si>
  <si>
    <t>fate520</t>
  </si>
  <si>
    <t>Days of Fluturini Past</t>
  </si>
  <si>
    <t>fate521</t>
  </si>
  <si>
    <t>You Don't Know Jack</t>
  </si>
  <si>
    <t>fate522</t>
  </si>
  <si>
    <t>fate523</t>
  </si>
  <si>
    <t>Diceman Cometh</t>
  </si>
  <si>
    <t>fate524</t>
  </si>
  <si>
    <t>Stuck in the Muud</t>
  </si>
  <si>
    <t>fate525</t>
  </si>
  <si>
    <t>Fletching Returns</t>
  </si>
  <si>
    <t>24,300 </t>
  </si>
  <si>
    <t>136 </t>
  </si>
  <si>
    <t>391 </t>
  </si>
  <si>
    <t>fate526</t>
  </si>
  <si>
    <t>fate527</t>
  </si>
  <si>
    <t>Mouth for Water</t>
  </si>
  <si>
    <t>fate528</t>
  </si>
  <si>
    <t>Forget-me-not</t>
  </si>
  <si>
    <t>fate529</t>
  </si>
  <si>
    <t>Rattle and Humbaba</t>
  </si>
  <si>
    <t>fate530</t>
  </si>
  <si>
    <t>fate531</t>
  </si>
  <si>
    <t>Home on the Range</t>
  </si>
  <si>
    <t>fate532</t>
  </si>
  <si>
    <t>Love Me, Tindalos</t>
  </si>
  <si>
    <t>fate533</t>
  </si>
  <si>
    <t>fate534</t>
  </si>
  <si>
    <t>The Day of the Griffins</t>
  </si>
  <si>
    <t>fate535</t>
  </si>
  <si>
    <t>Eat Big or Go Home</t>
  </si>
  <si>
    <t>fate536</t>
  </si>
  <si>
    <t>5-year Energy</t>
  </si>
  <si>
    <t>fate537</t>
  </si>
  <si>
    <t>About Face</t>
  </si>
  <si>
    <t>The Lochs </t>
  </si>
  <si>
    <t>24,525 </t>
  </si>
  <si>
    <t>396 </t>
  </si>
  <si>
    <t>fate538</t>
  </si>
  <si>
    <t>When It Pains It Pours</t>
  </si>
  <si>
    <t>fate539</t>
  </si>
  <si>
    <t>Pounding Salt</t>
  </si>
  <si>
    <t>fate540</t>
  </si>
  <si>
    <t>Kingsgrave</t>
  </si>
  <si>
    <t>fate541</t>
  </si>
  <si>
    <t>Fate No Morpho</t>
  </si>
  <si>
    <t>fate542</t>
  </si>
  <si>
    <t>Tall Tale</t>
  </si>
  <si>
    <t>fate543</t>
  </si>
  <si>
    <t>OK, Golem</t>
  </si>
  <si>
    <t>fate544</t>
  </si>
  <si>
    <t>Dive In</t>
  </si>
  <si>
    <t>fate545</t>
  </si>
  <si>
    <t>Who's Phoebad</t>
  </si>
  <si>
    <t>fate546</t>
  </si>
  <si>
    <t>Sip When I'm Dead</t>
  </si>
  <si>
    <t>fate547</t>
  </si>
  <si>
    <t>Lalla Land</t>
  </si>
  <si>
    <t>fate548</t>
  </si>
  <si>
    <t>One Bad Mother Chukwa</t>
  </si>
  <si>
    <t>fate549</t>
  </si>
  <si>
    <t>Tellus a Tale</t>
  </si>
  <si>
    <t>fate550</t>
  </si>
  <si>
    <t>Off Their Yabby</t>
  </si>
  <si>
    <t>fate551</t>
  </si>
  <si>
    <t>Dude, Where's My Karya</t>
  </si>
  <si>
    <t>fate552</t>
  </si>
  <si>
    <t>Enemy Territory</t>
  </si>
  <si>
    <t>fate553</t>
  </si>
  <si>
    <t>Yabby Hunters</t>
  </si>
  <si>
    <t>fate554</t>
  </si>
  <si>
    <t>Sisyphus Cooling</t>
  </si>
  <si>
    <t>fate555</t>
  </si>
  <si>
    <t>Mazeless Runner</t>
  </si>
  <si>
    <t>fate556</t>
  </si>
  <si>
    <t>Ancelot's Folly</t>
  </si>
  <si>
    <t>fate557</t>
  </si>
  <si>
    <t>The Smell That Leeched Her Heart</t>
  </si>
  <si>
    <t>fate558</t>
  </si>
  <si>
    <t>Old Bucket of Boruta</t>
  </si>
  <si>
    <t>fate559</t>
  </si>
  <si>
    <t>Foul Bachelor Frogamander</t>
  </si>
  <si>
    <t>fate560</t>
  </si>
  <si>
    <t>Give Bees a Chance</t>
  </si>
  <si>
    <t>fate561</t>
  </si>
  <si>
    <t>Sob Story</t>
  </si>
  <si>
    <t>fate562</t>
  </si>
  <si>
    <t>Minotaurs on My Mind</t>
  </si>
  <si>
    <t>fate563</t>
  </si>
  <si>
    <t>Ancelot's Finale</t>
  </si>
  <si>
    <t>fate564</t>
  </si>
  <si>
    <t>To Leech His Own</t>
  </si>
  <si>
    <t>fate565</t>
  </si>
  <si>
    <t>Par for the Course</t>
  </si>
  <si>
    <t>fate566</t>
  </si>
  <si>
    <t>I Can Feel the Earth Move</t>
  </si>
  <si>
    <t>fate567</t>
  </si>
  <si>
    <t>Ancelot's Fear</t>
  </si>
  <si>
    <t>fate568</t>
  </si>
  <si>
    <t>Dusk till Abaddon</t>
  </si>
  <si>
    <t>fate569</t>
  </si>
  <si>
    <t>Taking Kurrea Business</t>
  </si>
  <si>
    <t>fate570</t>
  </si>
  <si>
    <t>No Time Is a Good Time</t>
  </si>
  <si>
    <t>fate571</t>
  </si>
  <si>
    <t>A Horse Outside</t>
  </si>
  <si>
    <t>140 </t>
  </si>
  <si>
    <t>fate572</t>
  </si>
  <si>
    <t>Soak Up the Sun</t>
  </si>
  <si>
    <t>The Ruby Sea </t>
  </si>
  <si>
    <t>22,950 </t>
  </si>
  <si>
    <t>124 </t>
  </si>
  <si>
    <t>356 </t>
  </si>
  <si>
    <t>fate573</t>
  </si>
  <si>
    <t>Clean Bill of Health</t>
  </si>
  <si>
    <t>fate574</t>
  </si>
  <si>
    <t>Uncivil Serpents</t>
  </si>
  <si>
    <t>fate575</t>
  </si>
  <si>
    <t>Princess, Princess</t>
  </si>
  <si>
    <t>fate576</t>
  </si>
  <si>
    <t>Bilge-hold Jin</t>
  </si>
  <si>
    <t>fate577</t>
  </si>
  <si>
    <t>The Big Banquet Theory</t>
  </si>
  <si>
    <t>fate578</t>
  </si>
  <si>
    <t>Crab Mentality</t>
  </si>
  <si>
    <t>fate579</t>
  </si>
  <si>
    <t>Another One Bites the Dust</t>
  </si>
  <si>
    <t>fate580</t>
  </si>
  <si>
    <t>Wet</t>
  </si>
  <si>
    <t>fate581</t>
  </si>
  <si>
    <t>Raise the Red Flag</t>
  </si>
  <si>
    <t>fate582</t>
  </si>
  <si>
    <t>Days of Plunder</t>
  </si>
  <si>
    <t>fate583</t>
  </si>
  <si>
    <t>The Coral High Ground</t>
  </si>
  <si>
    <t>fate584</t>
  </si>
  <si>
    <t>Jumping the Shark</t>
  </si>
  <si>
    <t>fate585</t>
  </si>
  <si>
    <t>Ranging Bull</t>
  </si>
  <si>
    <t>fate586</t>
  </si>
  <si>
    <t>Forever Younglier</t>
  </si>
  <si>
    <t>fate587</t>
  </si>
  <si>
    <t>The F-bomb</t>
  </si>
  <si>
    <t>fate588</t>
  </si>
  <si>
    <t>Never Say Daimyo</t>
  </si>
  <si>
    <t>fate589</t>
  </si>
  <si>
    <t>Ray Band</t>
  </si>
  <si>
    <t>fate590</t>
  </si>
  <si>
    <t>Agni's Philosophy</t>
  </si>
  <si>
    <t>fate591</t>
  </si>
  <si>
    <t>Turtle Power</t>
  </si>
  <si>
    <t>fate592</t>
  </si>
  <si>
    <t>Pool Party</t>
  </si>
  <si>
    <t>fate593</t>
  </si>
  <si>
    <t>Kill the Messenger</t>
  </si>
  <si>
    <t>23,175 </t>
  </si>
  <si>
    <t>362 </t>
  </si>
  <si>
    <t>fate594</t>
  </si>
  <si>
    <t>Treasure Island</t>
  </si>
  <si>
    <t>fate595</t>
  </si>
  <si>
    <t>Lay of the Lang</t>
  </si>
  <si>
    <t>fate596</t>
  </si>
  <si>
    <t>Red Cliff</t>
  </si>
  <si>
    <t>fate597</t>
  </si>
  <si>
    <t>Quoth the Raven</t>
  </si>
  <si>
    <t>fate598</t>
  </si>
  <si>
    <t>Double Dream Clams</t>
  </si>
  <si>
    <t>fate599</t>
  </si>
  <si>
    <t>Sailor Marooned</t>
  </si>
  <si>
    <t>fate600</t>
  </si>
  <si>
    <t>Independence Ray</t>
  </si>
  <si>
    <t>fate601</t>
  </si>
  <si>
    <t>There Be Dragonflies</t>
  </si>
  <si>
    <t>fate602</t>
  </si>
  <si>
    <t>Oneblade Wonder</t>
  </si>
  <si>
    <t>Yanxia </t>
  </si>
  <si>
    <t>23,400 </t>
  </si>
  <si>
    <t>128 </t>
  </si>
  <si>
    <t>368 </t>
  </si>
  <si>
    <t>fate603</t>
  </si>
  <si>
    <t>Get Ready for a Nu Wave</t>
  </si>
  <si>
    <t>fate604</t>
  </si>
  <si>
    <t>Falling Drown</t>
  </si>
  <si>
    <t>fate605</t>
  </si>
  <si>
    <t>This Is a Da, This Is a Peng</t>
  </si>
  <si>
    <t>fate606</t>
  </si>
  <si>
    <t>Leave the Meters Running</t>
  </si>
  <si>
    <t>fate607</t>
  </si>
  <si>
    <t>Deep Red Sea</t>
  </si>
  <si>
    <t>fate608</t>
  </si>
  <si>
    <t>Raze the Red Lantern</t>
  </si>
  <si>
    <t>fate609</t>
  </si>
  <si>
    <t>Dead to Rites: Koja</t>
  </si>
  <si>
    <t>fate610</t>
  </si>
  <si>
    <t>Footing the Bills</t>
  </si>
  <si>
    <t>fate611</t>
  </si>
  <si>
    <t>Tiger Need</t>
  </si>
  <si>
    <t>fate612</t>
  </si>
  <si>
    <t>Linquan Continental</t>
  </si>
  <si>
    <t>fate613</t>
  </si>
  <si>
    <t>Dead to Rites: Kiyofusa</t>
  </si>
  <si>
    <t>fate614</t>
  </si>
  <si>
    <t>Stay of Eggsecution</t>
  </si>
  <si>
    <t>fate615</t>
  </si>
  <si>
    <t>fate616</t>
  </si>
  <si>
    <t>Tsurubebi Snugly</t>
  </si>
  <si>
    <t>fate617</t>
  </si>
  <si>
    <t>Long Hands, Long Fingers</t>
  </si>
  <si>
    <t>fate618</t>
  </si>
  <si>
    <t>A Tisket, a Tasket</t>
  </si>
  <si>
    <t>fate619</t>
  </si>
  <si>
    <t>To Catch a Weasel</t>
  </si>
  <si>
    <t>fate620</t>
  </si>
  <si>
    <t>The Long and Rhino Road</t>
  </si>
  <si>
    <t>fate621</t>
  </si>
  <si>
    <t>In One Basket</t>
  </si>
  <si>
    <t>fate622</t>
  </si>
  <si>
    <t>Motherly Love</t>
  </si>
  <si>
    <t>fate623</t>
  </si>
  <si>
    <t>A Fish to Fry</t>
  </si>
  <si>
    <t>fate624</t>
  </si>
  <si>
    <t>The Virgin Homicides</t>
  </si>
  <si>
    <t>fate625</t>
  </si>
  <si>
    <t>Killer Apsaras</t>
  </si>
  <si>
    <t>fate626</t>
  </si>
  <si>
    <t>Très Bian</t>
  </si>
  <si>
    <t>fate627</t>
  </si>
  <si>
    <t>Wolves of a Feather</t>
  </si>
  <si>
    <t>fate628</t>
  </si>
  <si>
    <t>Mister Whiskers</t>
  </si>
  <si>
    <t>fate629</t>
  </si>
  <si>
    <t>Goodwill Hunterling</t>
  </si>
  <si>
    <t>fate630</t>
  </si>
  <si>
    <t>Crying Wolves</t>
  </si>
  <si>
    <t>fate631</t>
  </si>
  <si>
    <t>Curiosity Killed the Catfish</t>
  </si>
  <si>
    <t>fate632</t>
  </si>
  <si>
    <t>Tora Tora Tora</t>
  </si>
  <si>
    <t>fate633</t>
  </si>
  <si>
    <t>Scared Straightheart</t>
  </si>
  <si>
    <t>fate634</t>
  </si>
  <si>
    <t>Ragoh to Extremes</t>
  </si>
  <si>
    <t>fate635</t>
  </si>
  <si>
    <t>Mada's Ilk</t>
  </si>
  <si>
    <t>fate636</t>
  </si>
  <si>
    <t>Man to Mangas</t>
  </si>
  <si>
    <t>The Azim Steppe </t>
  </si>
  <si>
    <t>23,625 </t>
  </si>
  <si>
    <t>130 </t>
  </si>
  <si>
    <t>373 </t>
  </si>
  <si>
    <t>fate637</t>
  </si>
  <si>
    <t>The Dataqi Chronicles: Dominion</t>
  </si>
  <si>
    <t>fate638</t>
  </si>
  <si>
    <t>The Dataqi Chronicles: Deterrence</t>
  </si>
  <si>
    <t>fate639</t>
  </si>
  <si>
    <t>The State of Reunion</t>
  </si>
  <si>
    <t>fate640</t>
  </si>
  <si>
    <t>Eat You Better</t>
  </si>
  <si>
    <t>fate641</t>
  </si>
  <si>
    <t>A Good Day to Die</t>
  </si>
  <si>
    <t>fate642</t>
  </si>
  <si>
    <t>They Shall Not Want</t>
  </si>
  <si>
    <t>fate643</t>
  </si>
  <si>
    <t>The Dataqi Chronicles: Departures</t>
  </si>
  <si>
    <t>fate644</t>
  </si>
  <si>
    <t>More than You Chaochu</t>
  </si>
  <si>
    <t>fate645</t>
  </si>
  <si>
    <t>A Walk Through the Valley</t>
  </si>
  <si>
    <t>fate646</t>
  </si>
  <si>
    <t>The Dataqi Chronicles: Desperation</t>
  </si>
  <si>
    <t>fate647</t>
  </si>
  <si>
    <t>Wham, Bam, Thank You, Mammoth</t>
  </si>
  <si>
    <t>fate648</t>
  </si>
  <si>
    <t>Good Day to Mate</t>
  </si>
  <si>
    <t>fate649</t>
  </si>
  <si>
    <t>The Dataqi Chronicles: Decimation</t>
  </si>
  <si>
    <t>fate650</t>
  </si>
  <si>
    <t>The Dataqi Chronicles: Distractions</t>
  </si>
  <si>
    <t>fate651</t>
  </si>
  <si>
    <t>Not Just a Tribute</t>
  </si>
  <si>
    <t>fate652</t>
  </si>
  <si>
    <t>Wooly Boys</t>
  </si>
  <si>
    <t>fate653</t>
  </si>
  <si>
    <t>The Dataqi Chronicles: Distress</t>
  </si>
  <si>
    <t>fate654</t>
  </si>
  <si>
    <t>Killing Dzo</t>
  </si>
  <si>
    <t>fate655</t>
  </si>
  <si>
    <t>The Dataqi Chronicles: Divergence</t>
  </si>
  <si>
    <t>fate656</t>
  </si>
  <si>
    <t>The Dataqi Chronicles: Duty</t>
  </si>
  <si>
    <t>fate657</t>
  </si>
  <si>
    <t>Purbol Reign</t>
  </si>
  <si>
    <t>fate658</t>
  </si>
  <si>
    <t>A Tall Order</t>
  </si>
  <si>
    <t>fate659</t>
  </si>
  <si>
    <t>The Dataqi Chronicles: Displacement</t>
  </si>
  <si>
    <t>fate660</t>
  </si>
  <si>
    <t>Live for the Mettle</t>
  </si>
  <si>
    <t>fate661</t>
  </si>
  <si>
    <t>The Dataqi Chronicles: Declarations</t>
  </si>
  <si>
    <t>fate662</t>
  </si>
  <si>
    <t>The Dataqi Chronicles: Deprivation</t>
  </si>
  <si>
    <t>fate663</t>
  </si>
  <si>
    <t>Rock for Food</t>
  </si>
  <si>
    <t>fate664</t>
  </si>
  <si>
    <t>Duck and Cover</t>
  </si>
  <si>
    <t>fate665</t>
  </si>
  <si>
    <t>Hook, Line, and Stinker</t>
  </si>
  <si>
    <t>fate666</t>
  </si>
  <si>
    <t>The Dataqi Chronicles: Diplomacy</t>
  </si>
  <si>
    <t>fate667</t>
  </si>
  <si>
    <t>Cold Comes the Wind</t>
  </si>
  <si>
    <t>23,850 </t>
  </si>
  <si>
    <t>379 </t>
  </si>
  <si>
    <t>fate668</t>
  </si>
  <si>
    <t>Hey, Manzasiri</t>
  </si>
  <si>
    <t>fate669</t>
  </si>
  <si>
    <t>Don't You Mean Kirata</t>
  </si>
  <si>
    <t>fate670</t>
  </si>
  <si>
    <t>Khan Artist</t>
  </si>
  <si>
    <t>fate671</t>
  </si>
  <si>
    <t>Get Out the Vochu</t>
  </si>
  <si>
    <t>fate672</t>
  </si>
  <si>
    <t>Feel the Noise</t>
  </si>
  <si>
    <t>fate673</t>
  </si>
  <si>
    <t>Razing the Baras</t>
  </si>
  <si>
    <t>fate674</t>
  </si>
  <si>
    <t>Burn After Evening</t>
  </si>
  <si>
    <t>fate675</t>
  </si>
  <si>
    <t>Fired</t>
  </si>
  <si>
    <t>fate676</t>
  </si>
  <si>
    <t>The Fangover</t>
  </si>
  <si>
    <t>fate677</t>
  </si>
  <si>
    <t>Buzzkill</t>
  </si>
  <si>
    <t>fate678</t>
  </si>
  <si>
    <t>Hat's Off</t>
  </si>
  <si>
    <t>fate679</t>
  </si>
  <si>
    <t>Toxic Nightshade</t>
  </si>
  <si>
    <t>Lakeland </t>
  </si>
  <si>
    <t>48,924 </t>
  </si>
  <si>
    <t>142 </t>
  </si>
  <si>
    <t>fate680</t>
  </si>
  <si>
    <t>Draconian Measures</t>
  </si>
  <si>
    <t>fate681</t>
  </si>
  <si>
    <t>Calm a Chameleon</t>
  </si>
  <si>
    <t>fate682</t>
  </si>
  <si>
    <t>Deadly Nightshade</t>
  </si>
  <si>
    <t>fate683</t>
  </si>
  <si>
    <t>Economic Peril</t>
  </si>
  <si>
    <t>fate684</t>
  </si>
  <si>
    <t>Creeping Nightshade</t>
  </si>
  <si>
    <t>fate685</t>
  </si>
  <si>
    <t>A Beast among Men</t>
  </si>
  <si>
    <t>fate686</t>
  </si>
  <si>
    <t>Behind Anemone Lines</t>
  </si>
  <si>
    <t>fate687</t>
  </si>
  <si>
    <t>Little Gate of Horrors</t>
  </si>
  <si>
    <t>fate688</t>
  </si>
  <si>
    <t>Flowering Nightshade</t>
  </si>
  <si>
    <t>fate689</t>
  </si>
  <si>
    <t>Cry Not Wolf</t>
  </si>
  <si>
    <t>fate690</t>
  </si>
  <si>
    <t>Looming Nightshade</t>
  </si>
  <si>
    <t>fate691</t>
  </si>
  <si>
    <t>Subtle Nightshade</t>
  </si>
  <si>
    <t>fate692</t>
  </si>
  <si>
    <t>Don't Feed the Gremlins</t>
  </si>
  <si>
    <t>fate693</t>
  </si>
  <si>
    <t>Pick-up Sticks</t>
  </si>
  <si>
    <t>fate694</t>
  </si>
  <si>
    <t>Roadside Dinner</t>
  </si>
  <si>
    <t>Kholusia </t>
  </si>
  <si>
    <t>48,600 </t>
  </si>
  <si>
    <t>fate695</t>
  </si>
  <si>
    <t>The Wright Stuff</t>
  </si>
  <si>
    <t>fate696</t>
  </si>
  <si>
    <t>Bitter Barley</t>
  </si>
  <si>
    <t>fate697</t>
  </si>
  <si>
    <t>JELL-NO</t>
  </si>
  <si>
    <t>fate698</t>
  </si>
  <si>
    <t>Shadow over Stilltide</t>
  </si>
  <si>
    <t>fate699</t>
  </si>
  <si>
    <t>One-punch Mantis</t>
  </si>
  <si>
    <t>fate700</t>
  </si>
  <si>
    <t>Ironbeard Builders - Resist</t>
  </si>
  <si>
    <t>51,192 </t>
  </si>
  <si>
    <t>156 </t>
  </si>
  <si>
    <t>fate701</t>
  </si>
  <si>
    <t>Ironbeard Builders - Revolt</t>
  </si>
  <si>
    <t>fate702</t>
  </si>
  <si>
    <t>Not Today</t>
  </si>
  <si>
    <t>fate703</t>
  </si>
  <si>
    <t>The Amity Village Horror</t>
  </si>
  <si>
    <t>fate704</t>
  </si>
  <si>
    <t>Foes Most Formidable</t>
  </si>
  <si>
    <t>fate705</t>
  </si>
  <si>
    <t>Knockout</t>
  </si>
  <si>
    <t>fate706</t>
  </si>
  <si>
    <t>A Family Most Formidable</t>
  </si>
  <si>
    <t>fate707</t>
  </si>
  <si>
    <t>Season of Our Discord</t>
  </si>
  <si>
    <t>fate708</t>
  </si>
  <si>
    <t>Tolba No. 1</t>
  </si>
  <si>
    <t>Amh Araeng </t>
  </si>
  <si>
    <t>fate709</t>
  </si>
  <si>
    <t>Theft from Above</t>
  </si>
  <si>
    <t>fate710</t>
  </si>
  <si>
    <t>Bayawak Attack</t>
  </si>
  <si>
    <t>fate711</t>
  </si>
  <si>
    <t>Scavengers Hunted</t>
  </si>
  <si>
    <t>fate712</t>
  </si>
  <si>
    <t>Harbingers of Bloom</t>
  </si>
  <si>
    <t>fate713</t>
  </si>
  <si>
    <t>Reptilian Roadblock</t>
  </si>
  <si>
    <t>fate714</t>
  </si>
  <si>
    <t>Pray Destroy the Waking Sands</t>
  </si>
  <si>
    <t>fate715</t>
  </si>
  <si>
    <t>Cactus Makes Perfect</t>
  </si>
  <si>
    <t>fate716</t>
  </si>
  <si>
    <t>Baddie Longlegs</t>
  </si>
  <si>
    <t>50,544 </t>
  </si>
  <si>
    <t>152 </t>
  </si>
  <si>
    <t>fate717</t>
  </si>
  <si>
    <t>Sand and Deliver</t>
  </si>
  <si>
    <t>fate718</t>
  </si>
  <si>
    <t>Bloody Simple</t>
  </si>
  <si>
    <t>fate719</t>
  </si>
  <si>
    <t>This Time, It's Personal</t>
  </si>
  <si>
    <t>fate720</t>
  </si>
  <si>
    <t>Let's Dance (with Swords)</t>
  </si>
  <si>
    <t>fate721</t>
  </si>
  <si>
    <t>Armadillo Peccadillo</t>
  </si>
  <si>
    <t>fate722</t>
  </si>
  <si>
    <t>The Elderblade</t>
  </si>
  <si>
    <t>fate723</t>
  </si>
  <si>
    <t>Anti-eruption Measures</t>
  </si>
  <si>
    <t>50,868 </t>
  </si>
  <si>
    <t>154 </t>
  </si>
  <si>
    <t>fate724</t>
  </si>
  <si>
    <t>The Odd Couple</t>
  </si>
  <si>
    <t>fate725</t>
  </si>
  <si>
    <t>Weave 'Em and Weep</t>
  </si>
  <si>
    <t>Il Mheg </t>
  </si>
  <si>
    <t>49,248 </t>
  </si>
  <si>
    <t>144 </t>
  </si>
  <si>
    <t>fate726</t>
  </si>
  <si>
    <t>Bear Necessities</t>
  </si>
  <si>
    <t>fate727</t>
  </si>
  <si>
    <t>Hedge Mazed</t>
  </si>
  <si>
    <t>fate728</t>
  </si>
  <si>
    <t>Once Upon a Time</t>
  </si>
  <si>
    <t>fate729</t>
  </si>
  <si>
    <t>Locus Terribilis</t>
  </si>
  <si>
    <t>fate730</t>
  </si>
  <si>
    <t>Twice Upon a Time</t>
  </si>
  <si>
    <t>fate731</t>
  </si>
  <si>
    <t>Mad Magic</t>
  </si>
  <si>
    <t>fate732</t>
  </si>
  <si>
    <t>Thrice Upon a Time</t>
  </si>
  <si>
    <t>fate733</t>
  </si>
  <si>
    <t>Brute Fuath</t>
  </si>
  <si>
    <t>49,572 </t>
  </si>
  <si>
    <t>146 </t>
  </si>
  <si>
    <t>fate734</t>
  </si>
  <si>
    <t>Frog Standard</t>
  </si>
  <si>
    <t>fate735</t>
  </si>
  <si>
    <t>Breaking the Fuath Wall</t>
  </si>
  <si>
    <t>fate736</t>
  </si>
  <si>
    <t>Great Daens</t>
  </si>
  <si>
    <t>fate737</t>
  </si>
  <si>
    <t>Go Fuath a Conqueror</t>
  </si>
  <si>
    <t>fate738</t>
  </si>
  <si>
    <t>Fuath of Habit</t>
  </si>
  <si>
    <t>fate739</t>
  </si>
  <si>
    <t>Fuath to Be Reckoned With</t>
  </si>
  <si>
    <t>fate740</t>
  </si>
  <si>
    <t>Back and Fuath</t>
  </si>
  <si>
    <t>fate741</t>
  </si>
  <si>
    <t>Six Fulm Turkeys</t>
  </si>
  <si>
    <t>The Rak'tika Greatwood </t>
  </si>
  <si>
    <t>49,896 </t>
  </si>
  <si>
    <t>148 </t>
  </si>
  <si>
    <t>fate742</t>
  </si>
  <si>
    <t>We Are Venom</t>
  </si>
  <si>
    <t>fate743</t>
  </si>
  <si>
    <t>Picking Up the Pieces</t>
  </si>
  <si>
    <t>fate744</t>
  </si>
  <si>
    <t>Attack of the Killer Tomatl</t>
  </si>
  <si>
    <t>fate745</t>
  </si>
  <si>
    <t>Dark Matters</t>
  </si>
  <si>
    <t>fate746</t>
  </si>
  <si>
    <t>I'll Be Bark</t>
  </si>
  <si>
    <t>fate747</t>
  </si>
  <si>
    <t>Pluck of the Draw</t>
  </si>
  <si>
    <t>50,220 </t>
  </si>
  <si>
    <t>150 </t>
  </si>
  <si>
    <t>fate748</t>
  </si>
  <si>
    <t>Tojil Eclipse</t>
  </si>
  <si>
    <t>fate749</t>
  </si>
  <si>
    <t>Shot Through the Hart</t>
  </si>
  <si>
    <t>fate750</t>
  </si>
  <si>
    <t>The End of the Sentry</t>
  </si>
  <si>
    <t>fate751</t>
  </si>
  <si>
    <t>Attack the Block</t>
  </si>
  <si>
    <t>fate752</t>
  </si>
  <si>
    <t>Tojil War</t>
  </si>
  <si>
    <t>fate753</t>
  </si>
  <si>
    <t>Monkeying Around</t>
  </si>
  <si>
    <t>fate754</t>
  </si>
  <si>
    <t>Barking Mad</t>
  </si>
  <si>
    <t>fate755</t>
  </si>
  <si>
    <t>Tojil Annihilation</t>
  </si>
  <si>
    <t>fate756</t>
  </si>
  <si>
    <t>Nest of Kin</t>
  </si>
  <si>
    <t>fate757</t>
  </si>
  <si>
    <t>Creepy Crawlers</t>
  </si>
  <si>
    <t>fate758</t>
  </si>
  <si>
    <t>Tojil Carnage</t>
  </si>
  <si>
    <t>fate759</t>
  </si>
  <si>
    <t>Queen of the Harpies</t>
  </si>
  <si>
    <t>fate760</t>
  </si>
  <si>
    <t>A Lot to Swallow</t>
  </si>
  <si>
    <t>The Tempest </t>
  </si>
  <si>
    <t>51,516 </t>
  </si>
  <si>
    <t>158 </t>
  </si>
  <si>
    <t>fate761</t>
  </si>
  <si>
    <t>The Nets Best Thing</t>
  </si>
  <si>
    <t>fate762</t>
  </si>
  <si>
    <t>Hydrozoan of the Enders</t>
  </si>
  <si>
    <t>fate763</t>
  </si>
  <si>
    <t>The Seashells He Sells</t>
  </si>
  <si>
    <t>fate764</t>
  </si>
  <si>
    <t>Natural Prawn Killers</t>
  </si>
  <si>
    <t>fate765</t>
  </si>
  <si>
    <t>Where Has the Dagon</t>
  </si>
  <si>
    <t>fate766</t>
  </si>
  <si>
    <t>My Friend's Enemy Is Anemone of Mine</t>
  </si>
  <si>
    <t>fate767</t>
  </si>
  <si>
    <t>Pearls Apart</t>
  </si>
  <si>
    <t>fate768</t>
  </si>
  <si>
    <t>Ondo of Blood</t>
  </si>
  <si>
    <t>fate769</t>
  </si>
  <si>
    <t>The Devil in the Deep Blue Sea</t>
  </si>
  <si>
    <t>fate770</t>
  </si>
  <si>
    <t>Homecrawling</t>
  </si>
  <si>
    <t>Labyrinthos </t>
  </si>
  <si>
    <t>151,470 </t>
  </si>
  <si>
    <t>160 </t>
  </si>
  <si>
    <t>fate771</t>
  </si>
  <si>
    <t>Incident Files: Seeds of Chaos</t>
  </si>
  <si>
    <t>fate772</t>
  </si>
  <si>
    <t>Bite the Pellet</t>
  </si>
  <si>
    <t>fate773</t>
  </si>
  <si>
    <t>Let It Grow</t>
  </si>
  <si>
    <t>fate774</t>
  </si>
  <si>
    <t>Breakfast, Lunch, and Dinner</t>
  </si>
  <si>
    <t>153,697 </t>
  </si>
  <si>
    <t>162 </t>
  </si>
  <si>
    <t>fate775</t>
  </si>
  <si>
    <t>Incident Files: Steamed Vegetable</t>
  </si>
  <si>
    <t>fate776</t>
  </si>
  <si>
    <t>The Hills Are Alive</t>
  </si>
  <si>
    <t>fate777</t>
  </si>
  <si>
    <t>Acid in Flight, Shepherd's Fright</t>
  </si>
  <si>
    <t>fate778</t>
  </si>
  <si>
    <t>Incident Files: Elemental Attraction</t>
  </si>
  <si>
    <t>162,607 </t>
  </si>
  <si>
    <t>170 </t>
  </si>
  <si>
    <t>fate779</t>
  </si>
  <si>
    <t>Incident Files: Ice of the Tiger</t>
  </si>
  <si>
    <t>fate780</t>
  </si>
  <si>
    <t>The Frailty of Life</t>
  </si>
  <si>
    <t>169,290 </t>
  </si>
  <si>
    <t>176 </t>
  </si>
  <si>
    <t>fate781</t>
  </si>
  <si>
    <t>Wasted XIV</t>
  </si>
  <si>
    <t>fate782</t>
  </si>
  <si>
    <t>Moisture Farming</t>
  </si>
  <si>
    <t>fate783</t>
  </si>
  <si>
    <t>Residual Complications</t>
  </si>
  <si>
    <t>fate784</t>
  </si>
  <si>
    <t>Empty the Nest</t>
  </si>
  <si>
    <t>fate785</t>
  </si>
  <si>
    <t>Sheaves on the Wind</t>
  </si>
  <si>
    <t>fate786</t>
  </si>
  <si>
    <t>When Gaja Go Gaga</t>
  </si>
  <si>
    <t>Thavnair </t>
  </si>
  <si>
    <t>fate787</t>
  </si>
  <si>
    <t>Full Petal Alchemist: Perilous Pickings</t>
  </si>
  <si>
    <t>fate788</t>
  </si>
  <si>
    <t>Full Petal Alchemist: Risky Return</t>
  </si>
  <si>
    <t>fate789</t>
  </si>
  <si>
    <t>The Accursed Kanabhuti</t>
  </si>
  <si>
    <t>fate790</t>
  </si>
  <si>
    <t>Shiver and Shock</t>
  </si>
  <si>
    <t>fate791</t>
  </si>
  <si>
    <t>Of Claws and Gall</t>
  </si>
  <si>
    <t>fate792</t>
  </si>
  <si>
    <t>I Am the Valras</t>
  </si>
  <si>
    <t>fate793</t>
  </si>
  <si>
    <t>The Little Nanka That Could</t>
  </si>
  <si>
    <t>fate794</t>
  </si>
  <si>
    <t>Monkeys on Your Back</t>
  </si>
  <si>
    <t>fate795</t>
  </si>
  <si>
    <t>Stalkers in the Shroud</t>
  </si>
  <si>
    <t>fate796</t>
  </si>
  <si>
    <t>Devout Pilgrims vs. the Jungle Lizards</t>
  </si>
  <si>
    <t>fate797</t>
  </si>
  <si>
    <t>Swipe Eft</t>
  </si>
  <si>
    <t>fate798</t>
  </si>
  <si>
    <t>Devout Pilgrims vs. the Apalala</t>
  </si>
  <si>
    <t>fate799</t>
  </si>
  <si>
    <t>Peek-a-Bhujamga</t>
  </si>
  <si>
    <t>fate800</t>
  </si>
  <si>
    <t>Return of the Tyrant</t>
  </si>
  <si>
    <t>fate801</t>
  </si>
  <si>
    <t>Mesmerizing Moths</t>
  </si>
  <si>
    <t>fate802</t>
  </si>
  <si>
    <t>Devout Pilgrims vs. Daivadipa</t>
  </si>
  <si>
    <t>323,977 </t>
  </si>
  <si>
    <t>180 </t>
  </si>
  <si>
    <t>fate803</t>
  </si>
  <si>
    <t>Not Yeti</t>
  </si>
  <si>
    <t>Garlemald </t>
  </si>
  <si>
    <t>155,925 </t>
  </si>
  <si>
    <t>164 </t>
  </si>
  <si>
    <t>fate804</t>
  </si>
  <si>
    <t>Artificial Malevolence: The Drone Army</t>
  </si>
  <si>
    <t>fate805</t>
  </si>
  <si>
    <t>A Snowball's Chance</t>
  </si>
  <si>
    <t>fate806</t>
  </si>
  <si>
    <t>Trespassers Will Be Eaten</t>
  </si>
  <si>
    <t>fate807</t>
  </si>
  <si>
    <t>Amazing Crates</t>
  </si>
  <si>
    <t>fate808</t>
  </si>
  <si>
    <t>Roses Are Red, Violence Is Due</t>
  </si>
  <si>
    <t>fate809</t>
  </si>
  <si>
    <t>Artificial Malevolence: 15 Minutes to Comply</t>
  </si>
  <si>
    <t>fate810</t>
  </si>
  <si>
    <t>Nettle Gear Solid</t>
  </si>
  <si>
    <t>fate811</t>
  </si>
  <si>
    <t>Stray Dog Strut</t>
  </si>
  <si>
    <t>158,152 </t>
  </si>
  <si>
    <t>fate812</t>
  </si>
  <si>
    <t>Artificial Malevolence: Mighty Metatron</t>
  </si>
  <si>
    <t>fate813</t>
  </si>
  <si>
    <t>A Bit of a Problem</t>
  </si>
  <si>
    <t>fate814</t>
  </si>
  <si>
    <t>The Man with the Golden Son</t>
  </si>
  <si>
    <t>fate815</t>
  </si>
  <si>
    <t>Parts Unknown</t>
  </si>
  <si>
    <t>fate816</t>
  </si>
  <si>
    <t>Artificial Malevolence: Unmanned Aerial Villains</t>
  </si>
  <si>
    <t>fate817</t>
  </si>
  <si>
    <t>Rocker, Roller, Out-of-controller</t>
  </si>
  <si>
    <t>fate818</t>
  </si>
  <si>
    <t>Exterminate, Exterminate</t>
  </si>
  <si>
    <t>fate819</t>
  </si>
  <si>
    <t>Droids Gone Wild</t>
  </si>
  <si>
    <t>Mare Lamentorum </t>
  </si>
  <si>
    <t>fate820</t>
  </si>
  <si>
    <t>Mantids on the Moon</t>
  </si>
  <si>
    <t>fate821</t>
  </si>
  <si>
    <t>The Stones of Silence</t>
  </si>
  <si>
    <t>fate822</t>
  </si>
  <si>
    <t>One Giant Weep</t>
  </si>
  <si>
    <t>fate823</t>
  </si>
  <si>
    <t>The Strolling Stones</t>
  </si>
  <si>
    <t>fate824</t>
  </si>
  <si>
    <t>Cactus What You Preach</t>
  </si>
  <si>
    <t>fate825</t>
  </si>
  <si>
    <t>Lepus Lamentorum: Crazy Contraption</t>
  </si>
  <si>
    <t>160,380 </t>
  </si>
  <si>
    <t>168 </t>
  </si>
  <si>
    <t>fate826</t>
  </si>
  <si>
    <t>Taking Care of the Caretakers</t>
  </si>
  <si>
    <t>fate827</t>
  </si>
  <si>
    <t>Lepus Lamentorum: Dynamite Disaster</t>
  </si>
  <si>
    <t>fate828</t>
  </si>
  <si>
    <t>Tech Support Cull</t>
  </si>
  <si>
    <t>fate829</t>
  </si>
  <si>
    <t>Head Empty, Only Thoughts</t>
  </si>
  <si>
    <t>fate830</t>
  </si>
  <si>
    <t>Hunger Strikes</t>
  </si>
  <si>
    <t>fate831</t>
  </si>
  <si>
    <t>Lepus Lamentorum: Cleaner Catastrophe</t>
  </si>
  <si>
    <t>fate832</t>
  </si>
  <si>
    <t>Scrapping the Scrapers</t>
  </si>
  <si>
    <t>fate833</t>
  </si>
  <si>
    <t>What a Thrill</t>
  </si>
  <si>
    <t>fate834</t>
  </si>
  <si>
    <t>Nevermore</t>
  </si>
  <si>
    <t>Ultima Thule </t>
  </si>
  <si>
    <t>171,517 </t>
  </si>
  <si>
    <t>fate835</t>
  </si>
  <si>
    <t>Beacons of Lost Hope</t>
  </si>
  <si>
    <t>fate836</t>
  </si>
  <si>
    <t>Only Just Begun</t>
  </si>
  <si>
    <t>fate837</t>
  </si>
  <si>
    <t>Dead Inside</t>
  </si>
  <si>
    <t>fate838</t>
  </si>
  <si>
    <t>Sound and Fury</t>
  </si>
  <si>
    <t>fate839</t>
  </si>
  <si>
    <t>Fallen from Grace</t>
  </si>
  <si>
    <t>fate840</t>
  </si>
  <si>
    <t>Staring into the Void</t>
  </si>
  <si>
    <t>fate841</t>
  </si>
  <si>
    <t>Far from the Madding Horde</t>
  </si>
  <si>
    <t>fate842</t>
  </si>
  <si>
    <t>Wings of Glory</t>
  </si>
  <si>
    <t>fate843</t>
  </si>
  <si>
    <t>(No) Wind beneath Our Wings</t>
  </si>
  <si>
    <t>fate844</t>
  </si>
  <si>
    <t>Butterfly Kisses of Death</t>
  </si>
  <si>
    <t>Elpis </t>
  </si>
  <si>
    <t>164,835 </t>
  </si>
  <si>
    <t>fate845</t>
  </si>
  <si>
    <t>You Hurt My Researcher, Prepare to Die</t>
  </si>
  <si>
    <t>fate846</t>
  </si>
  <si>
    <t>Drawing the Thunderstroke</t>
  </si>
  <si>
    <t>fate847</t>
  </si>
  <si>
    <t>The Rustling of Murderous Leaves</t>
  </si>
  <si>
    <t>fate848</t>
  </si>
  <si>
    <t>Grand Designs: Aigokeros</t>
  </si>
  <si>
    <t>fate849</t>
  </si>
  <si>
    <t>Nature's Staunch Protector</t>
  </si>
  <si>
    <t>fate850</t>
  </si>
  <si>
    <t>Grand Designs: Io</t>
  </si>
  <si>
    <t>fate851</t>
  </si>
  <si>
    <t>Ophion-mania</t>
  </si>
  <si>
    <t>fate852</t>
  </si>
  <si>
    <t>Grand Designs: The Newest of New</t>
  </si>
  <si>
    <t>167,062 </t>
  </si>
  <si>
    <t>174 </t>
  </si>
  <si>
    <t>fate853</t>
  </si>
  <si>
    <t>So Sorry, Sokles</t>
  </si>
  <si>
    <t>fate854</t>
  </si>
  <si>
    <t>Grand Designs: Unknown Execution</t>
  </si>
  <si>
    <t>fate855</t>
  </si>
  <si>
    <t>Eurydike: All Bark, No Bite</t>
  </si>
  <si>
    <t>fate856</t>
  </si>
  <si>
    <t>King of the Hill</t>
  </si>
  <si>
    <t>fate857</t>
  </si>
  <si>
    <t>There's a Snake in My Water Supply!</t>
  </si>
  <si>
    <t>fate858</t>
  </si>
  <si>
    <t>Why Did It Have to Be Medusae?</t>
  </si>
  <si>
    <t>fate859</t>
  </si>
  <si>
    <t>Ratels So Ravenous</t>
  </si>
  <si>
    <t>Urqopacha </t>
  </si>
  <si>
    <t>335,664 </t>
  </si>
  <si>
    <t>fate860</t>
  </si>
  <si>
    <t>Fire Suppression</t>
  </si>
  <si>
    <t>fate861</t>
  </si>
  <si>
    <t>Panaq Attack</t>
  </si>
  <si>
    <t>fate862</t>
  </si>
  <si>
    <t>Weeding the Garden</t>
  </si>
  <si>
    <t>340,200 </t>
  </si>
  <si>
    <t>182 </t>
  </si>
  <si>
    <t>fate863</t>
  </si>
  <si>
    <t>Too Irate to Migrate</t>
  </si>
  <si>
    <t>fate864</t>
  </si>
  <si>
    <t>Pasture Expiration Date</t>
  </si>
  <si>
    <t>fate865</t>
  </si>
  <si>
    <t>Birds Up</t>
  </si>
  <si>
    <t>fate866</t>
  </si>
  <si>
    <t>Wolf Parade</t>
  </si>
  <si>
    <t>fate867</t>
  </si>
  <si>
    <t>Megamaguey Mayhem</t>
  </si>
  <si>
    <t>fate868</t>
  </si>
  <si>
    <t>Salty Showdown</t>
  </si>
  <si>
    <t>349,272 </t>
  </si>
  <si>
    <t>186 </t>
  </si>
  <si>
    <t>fate869</t>
  </si>
  <si>
    <t>So Long, Suckers</t>
  </si>
  <si>
    <t>fate870</t>
  </si>
  <si>
    <t>A Valiant Duel</t>
  </si>
  <si>
    <t>fate871</t>
  </si>
  <si>
    <t>Claws and Effect</t>
  </si>
  <si>
    <t>fate872</t>
  </si>
  <si>
    <t>By Your Powers Combined</t>
  </si>
  <si>
    <t>fate873</t>
  </si>
  <si>
    <t>Lay Off the Horns</t>
  </si>
  <si>
    <t>fate874</t>
  </si>
  <si>
    <t>Gust Stop Already</t>
  </si>
  <si>
    <t>fate875</t>
  </si>
  <si>
    <t>Young Volcanoes</t>
  </si>
  <si>
    <t>fate876</t>
  </si>
  <si>
    <t>Big Storm Coming</t>
  </si>
  <si>
    <t>fate877</t>
  </si>
  <si>
    <t>Reeds in Need</t>
  </si>
  <si>
    <t>Kozama'uka </t>
  </si>
  <si>
    <t>fate878</t>
  </si>
  <si>
    <t>This Kills the Craklaw</t>
  </si>
  <si>
    <t>fate879</t>
  </si>
  <si>
    <t>Combing the Area</t>
  </si>
  <si>
    <t>fate880</t>
  </si>
  <si>
    <t>There's Always a Bigger Beast</t>
  </si>
  <si>
    <t>fate881</t>
  </si>
  <si>
    <t>Crocs of the Creek</t>
  </si>
  <si>
    <t>fate882</t>
  </si>
  <si>
    <t>Feathery Dustup</t>
  </si>
  <si>
    <t>fate883</t>
  </si>
  <si>
    <t>The Pama-yawa Dilemma</t>
  </si>
  <si>
    <t>fate884</t>
  </si>
  <si>
    <t>Toucalibri at That Game</t>
  </si>
  <si>
    <t>fate885</t>
  </si>
  <si>
    <t>Putting the Fun in Fungicide</t>
  </si>
  <si>
    <t>344,736 </t>
  </si>
  <si>
    <t>fate886</t>
  </si>
  <si>
    <t>Tax Dodging</t>
  </si>
  <si>
    <t>fate887</t>
  </si>
  <si>
    <t>Caphunter, Mushroom Muncher</t>
  </si>
  <si>
    <t>fate888</t>
  </si>
  <si>
    <t>Ruffling Feathers</t>
  </si>
  <si>
    <t>fate889</t>
  </si>
  <si>
    <t>Mole Patrol</t>
  </si>
  <si>
    <t>fate890</t>
  </si>
  <si>
    <t>Sting Operation</t>
  </si>
  <si>
    <t>fate891</t>
  </si>
  <si>
    <t>Tegu or Not Tegu</t>
  </si>
  <si>
    <t>fate892</t>
  </si>
  <si>
    <t>Borne on the Backs of Burrowers</t>
  </si>
  <si>
    <t>fate893</t>
  </si>
  <si>
    <t>Bandit Tax, Paid in Full</t>
  </si>
  <si>
    <t>fate894</t>
  </si>
  <si>
    <t>Sayona Your Prayers</t>
  </si>
  <si>
    <t>fate895</t>
  </si>
  <si>
    <t>The Fruit of the Problem</t>
  </si>
  <si>
    <t>Yak T'el </t>
  </si>
  <si>
    <t>353,808 </t>
  </si>
  <si>
    <t>188 </t>
  </si>
  <si>
    <t>fate896</t>
  </si>
  <si>
    <t>Porting Is Such Sweet Sorrow</t>
  </si>
  <si>
    <t>fate897</t>
  </si>
  <si>
    <t>La Selva se lo Llevó</t>
  </si>
  <si>
    <t>fate898</t>
  </si>
  <si>
    <t>Sick, Ornery Wivres</t>
  </si>
  <si>
    <t>fate899</t>
  </si>
  <si>
    <t>My Star</t>
  </si>
  <si>
    <t>fate900</t>
  </si>
  <si>
    <t>Escape Shroom</t>
  </si>
  <si>
    <t>fate901</t>
  </si>
  <si>
    <t>The Departed</t>
  </si>
  <si>
    <t>fate902</t>
  </si>
  <si>
    <t>I Ain't Afraid of No Ghost</t>
  </si>
  <si>
    <t>fate903</t>
  </si>
  <si>
    <t>Najool of Denial</t>
  </si>
  <si>
    <t>fate904</t>
  </si>
  <si>
    <t>Fright or Flight</t>
  </si>
  <si>
    <t>fate905</t>
  </si>
  <si>
    <t>Stabbing Gutward</t>
  </si>
  <si>
    <t>fate906</t>
  </si>
  <si>
    <t>Moths Are Tough</t>
  </si>
  <si>
    <t>fate907</t>
  </si>
  <si>
    <t>Stick it to the Mantis</t>
  </si>
  <si>
    <t>fate908</t>
  </si>
  <si>
    <t>Trial by Firedance</t>
  </si>
  <si>
    <t>fate909</t>
  </si>
  <si>
    <t>Could've Found Something Bigger</t>
  </si>
  <si>
    <t>fate910</t>
  </si>
  <si>
    <t>The Spawning</t>
  </si>
  <si>
    <t>fate911</t>
  </si>
  <si>
    <t>The Dead Never Die</t>
  </si>
  <si>
    <t>Shaaloani </t>
  </si>
  <si>
    <t>358,344 </t>
  </si>
  <si>
    <t>190 </t>
  </si>
  <si>
    <t>fate912</t>
  </si>
  <si>
    <t>Nopal Hunters</t>
  </si>
  <si>
    <t>fate913</t>
  </si>
  <si>
    <t>Gonna Have Me Some Fur</t>
  </si>
  <si>
    <t>fate914</t>
  </si>
  <si>
    <t>Claw and Order</t>
  </si>
  <si>
    <t>fate915</t>
  </si>
  <si>
    <t>Dhara Dared</t>
  </si>
  <si>
    <t>fate916</t>
  </si>
  <si>
    <t>You Are What You Drink</t>
  </si>
  <si>
    <t>fate917</t>
  </si>
  <si>
    <t>That's Me and the Porter</t>
  </si>
  <si>
    <t>fate918</t>
  </si>
  <si>
    <t>A Raptor Runs Through It</t>
  </si>
  <si>
    <t>362,880 </t>
  </si>
  <si>
    <t>192 </t>
  </si>
  <si>
    <t>fate919</t>
  </si>
  <si>
    <t>Ain't What I Herd</t>
  </si>
  <si>
    <t>fate920</t>
  </si>
  <si>
    <t>Helms off to the Bull</t>
  </si>
  <si>
    <t>fate921</t>
  </si>
  <si>
    <t>A Tortoise of a Tale</t>
  </si>
  <si>
    <t>fate922</t>
  </si>
  <si>
    <t>Breaking the Jaw</t>
  </si>
  <si>
    <t>fate923</t>
  </si>
  <si>
    <t>It's Super Defective</t>
  </si>
  <si>
    <t>Heritage Found </t>
  </si>
  <si>
    <t>367,416 </t>
  </si>
  <si>
    <t>194 </t>
  </si>
  <si>
    <t>fate924</t>
  </si>
  <si>
    <t>Hack the Planet</t>
  </si>
  <si>
    <t>fate925</t>
  </si>
  <si>
    <t>Running of the Katobleps</t>
  </si>
  <si>
    <t>fate926</t>
  </si>
  <si>
    <t>A Scythe to an Axe Fight</t>
  </si>
  <si>
    <t>fate927</t>
  </si>
  <si>
    <t>Anger Issues</t>
  </si>
  <si>
    <t>fate928</t>
  </si>
  <si>
    <t>License to Dill</t>
  </si>
  <si>
    <t>fate929</t>
  </si>
  <si>
    <t>Ware the Wolves</t>
  </si>
  <si>
    <t>fate930</t>
  </si>
  <si>
    <t>Days of Thunder</t>
  </si>
  <si>
    <t>fate931</t>
  </si>
  <si>
    <t>Mr. Roboto</t>
  </si>
  <si>
    <t>371,952 </t>
  </si>
  <si>
    <t>196 </t>
  </si>
  <si>
    <t>fate932</t>
  </si>
  <si>
    <t>(Got My Eye) Set on You</t>
  </si>
  <si>
    <t>fate933</t>
  </si>
  <si>
    <t>Old Stampeding Grounds</t>
  </si>
  <si>
    <t>fate934</t>
  </si>
  <si>
    <t>When It's So Salvage</t>
  </si>
  <si>
    <t>fate935</t>
  </si>
  <si>
    <t>Pulling the Wool</t>
  </si>
  <si>
    <t>fate936</t>
  </si>
  <si>
    <t>Print('I hate snakes')</t>
  </si>
  <si>
    <t>fate937</t>
  </si>
  <si>
    <t>To Each His Drone</t>
  </si>
  <si>
    <t>fate938</t>
  </si>
  <si>
    <t>Domo Arigato</t>
  </si>
  <si>
    <t>fate939</t>
  </si>
  <si>
    <t>Mi Casa Es Mi Casa</t>
  </si>
  <si>
    <t>fate940</t>
  </si>
  <si>
    <t>Plumbers Don't Fear Slimes</t>
  </si>
  <si>
    <t>Living Memory </t>
  </si>
  <si>
    <t>376,488 </t>
  </si>
  <si>
    <t>198 </t>
  </si>
  <si>
    <t>fate941</t>
  </si>
  <si>
    <t>Horse in the Round</t>
  </si>
  <si>
    <t>fate942</t>
  </si>
  <si>
    <t>Slime to Die</t>
  </si>
  <si>
    <t>fate943</t>
  </si>
  <si>
    <t>Invaders from Asyle</t>
  </si>
  <si>
    <t>fate944</t>
  </si>
  <si>
    <t>Canal Carnage</t>
  </si>
  <si>
    <t>fate945</t>
  </si>
  <si>
    <t>Feed Me, Sentries</t>
  </si>
  <si>
    <t>fate946</t>
  </si>
  <si>
    <t>Scattered Memories</t>
  </si>
  <si>
    <t>fate947</t>
  </si>
  <si>
    <t>No Loitering</t>
  </si>
  <si>
    <t>fate948</t>
  </si>
  <si>
    <t>Seeds of Tomorrow</t>
  </si>
  <si>
    <t>fate949</t>
  </si>
  <si>
    <t>Critical Corruption</t>
  </si>
  <si>
    <t>Behold Now Behemoth</t>
  </si>
  <si>
    <t>7,080 </t>
  </si>
  <si>
    <t>He Taketh It with His Eyes</t>
  </si>
  <si>
    <t>boss</t>
  </si>
  <si>
    <t>Behemoth</t>
  </si>
  <si>
    <t>Steel Reign</t>
  </si>
  <si>
    <t>Odin</t>
  </si>
  <si>
    <t>fate964</t>
  </si>
  <si>
    <t>Long Live the Coeurl</t>
  </si>
  <si>
    <t>fate965</t>
  </si>
  <si>
    <t>Coeurls Chase Boys</t>
  </si>
  <si>
    <t>fate966</t>
  </si>
  <si>
    <t>Coeurls Chase Boys Chase Coeurls</t>
  </si>
  <si>
    <t>Coeurlregina</t>
  </si>
  <si>
    <t>fate967</t>
  </si>
  <si>
    <t>fate968</t>
  </si>
  <si>
    <t>fate969</t>
  </si>
  <si>
    <t>Noctilucale</t>
  </si>
  <si>
    <t>fate970</t>
  </si>
  <si>
    <t>fate971</t>
  </si>
  <si>
    <t>fate972</t>
  </si>
  <si>
    <t>fate973</t>
  </si>
  <si>
    <t>Ixion</t>
  </si>
  <si>
    <t>fate974</t>
  </si>
  <si>
    <t>fate975</t>
  </si>
  <si>
    <t>fate976</t>
  </si>
  <si>
    <t>More to Offer</t>
  </si>
  <si>
    <t>fate977</t>
  </si>
  <si>
    <t>Freedom Flies</t>
  </si>
  <si>
    <t>fate978</t>
  </si>
  <si>
    <t>Outfoxed</t>
  </si>
  <si>
    <t>fate979</t>
  </si>
  <si>
    <t>Foxy Lady</t>
  </si>
  <si>
    <t>Tamamo Gozen</t>
  </si>
  <si>
    <t>fate980</t>
  </si>
  <si>
    <t>fate981</t>
  </si>
  <si>
    <t>fate982</t>
  </si>
  <si>
    <t>fate983</t>
  </si>
  <si>
    <t>Formidable</t>
  </si>
  <si>
    <t>fate984</t>
  </si>
  <si>
    <t>Ironbeard Builders - Rebuilt</t>
  </si>
  <si>
    <t>fate985</t>
  </si>
  <si>
    <t>A Finale Most Formidable</t>
  </si>
  <si>
    <t>286,110 </t>
  </si>
  <si>
    <t>1,458 </t>
  </si>
  <si>
    <t>fate986</t>
  </si>
  <si>
    <t>fate987</t>
  </si>
  <si>
    <t>fate988</t>
  </si>
  <si>
    <t>Lookin' Back on the Track</t>
  </si>
  <si>
    <t>fate989</t>
  </si>
  <si>
    <t>Coral Support</t>
  </si>
  <si>
    <t>fate990</t>
  </si>
  <si>
    <t>Low Coral Fiber</t>
  </si>
  <si>
    <t>fate991</t>
  </si>
  <si>
    <t>Nothing Like a Trappin' Life</t>
  </si>
  <si>
    <t>fate992</t>
  </si>
  <si>
    <t>The Head, the Tail, the Whole Damned Thing</t>
  </si>
  <si>
    <t>Archaeotania</t>
  </si>
  <si>
    <t>fate993</t>
  </si>
  <si>
    <t>fate994</t>
  </si>
  <si>
    <t>fate995</t>
  </si>
  <si>
    <t>Daivadipa</t>
  </si>
  <si>
    <t>fate996</t>
  </si>
  <si>
    <t>Omicron Recall: Comms Expansion</t>
  </si>
  <si>
    <t>fate997</t>
  </si>
  <si>
    <t>Omicron Recall: Secure Connection</t>
  </si>
  <si>
    <t>fate998</t>
  </si>
  <si>
    <t>Omicron Recall: Killing Order</t>
  </si>
  <si>
    <t>Chi</t>
  </si>
  <si>
    <t>fate999</t>
  </si>
  <si>
    <t>The Serpentlord Stirs</t>
  </si>
  <si>
    <t>fate1000</t>
  </si>
  <si>
    <t>The Serpentlord Speaks</t>
  </si>
  <si>
    <t>The Serpentlord Sires</t>
  </si>
  <si>
    <t>The Serpentlord Suffers</t>
  </si>
  <si>
    <t>The Serpentlord Seethes</t>
  </si>
  <si>
    <t>711,144 </t>
  </si>
  <si>
    <t>200 </t>
  </si>
  <si>
    <t>Ttokrrone</t>
  </si>
  <si>
    <t>Mascot March</t>
  </si>
  <si>
    <t>Mascot Mayhem</t>
  </si>
  <si>
    <t>Mascot Murder</t>
  </si>
  <si>
    <t>Mica the Magical Mu</t>
  </si>
  <si>
    <t>bluemage</t>
  </si>
  <si>
    <t>Octahedrite</t>
  </si>
  <si>
    <t>Tome of Geological Folklore - Yok Tural</t>
  </si>
  <si>
    <t>Fine Silver Ore</t>
  </si>
  <si>
    <t>Harmonite Ore</t>
  </si>
  <si>
    <t>Alexandrian Ore</t>
  </si>
  <si>
    <t>mine338</t>
  </si>
  <si>
    <t>mine339</t>
  </si>
  <si>
    <t>mine340</t>
  </si>
  <si>
    <t>mine341</t>
  </si>
  <si>
    <t>Tome of Geological Folklore - Xak Tural</t>
  </si>
  <si>
    <t>Tome of Geological Folklore - Alexandria</t>
  </si>
  <si>
    <t>Turali Alumen</t>
  </si>
  <si>
    <t>Raw Rhodochrosite</t>
  </si>
  <si>
    <t>Fulgurite</t>
  </si>
  <si>
    <t>quar267</t>
  </si>
  <si>
    <t>quar268</t>
  </si>
  <si>
    <t>quar269</t>
  </si>
  <si>
    <t>Ipe Log</t>
  </si>
  <si>
    <t>Cordia Log</t>
  </si>
  <si>
    <t>Nopaliflower</t>
  </si>
  <si>
    <t>Cochineal Pigment</t>
  </si>
  <si>
    <t>logg312</t>
  </si>
  <si>
    <t>logg313</t>
  </si>
  <si>
    <t>logg314</t>
  </si>
  <si>
    <t>logg315</t>
  </si>
  <si>
    <t>Tome of Botanical Folklore - Yok Tural</t>
  </si>
  <si>
    <t>Tome of Botanical Folklore - Xak Tural</t>
  </si>
  <si>
    <t>Tome of Botanical Folklore - Alexandria</t>
  </si>
  <si>
    <t>Shaaloani Coffee</t>
  </si>
  <si>
    <t>Blackseed Cotton Boll</t>
  </si>
  <si>
    <t>Optical Fibergrass</t>
  </si>
  <si>
    <t>harv472</t>
  </si>
  <si>
    <t>harv473</t>
  </si>
  <si>
    <t>harv474</t>
  </si>
  <si>
    <t>name_area</t>
  </si>
  <si>
    <t>pont474</t>
  </si>
  <si>
    <t>pont475</t>
  </si>
  <si>
    <t>pont476</t>
  </si>
  <si>
    <t>pont477</t>
  </si>
  <si>
    <t>pont478</t>
  </si>
  <si>
    <t>B1S1A1</t>
  </si>
  <si>
    <t>Taking Stock (Matoya's Cave)</t>
  </si>
  <si>
    <t>Saro Roggo's Common Life (Matoya's Cave)</t>
  </si>
  <si>
    <t>Forbidden Knowledge (Matoya's Cave)</t>
  </si>
  <si>
    <t>The Backroom</t>
  </si>
  <si>
    <t>pont609</t>
  </si>
  <si>
    <t>pont610</t>
  </si>
  <si>
    <t>pont611</t>
  </si>
  <si>
    <t>pont612</t>
  </si>
  <si>
    <t>pont613</t>
  </si>
  <si>
    <t>pont614</t>
  </si>
  <si>
    <t>pont615</t>
  </si>
  <si>
    <t>pont616</t>
  </si>
  <si>
    <t>pont617</t>
  </si>
  <si>
    <t>pont618</t>
  </si>
  <si>
    <t>B1S2</t>
  </si>
  <si>
    <t>pont845</t>
  </si>
  <si>
    <t>pont846</t>
  </si>
  <si>
    <t>pont847</t>
  </si>
  <si>
    <t>pont848</t>
  </si>
  <si>
    <t>pont849</t>
  </si>
  <si>
    <t>pont850</t>
  </si>
  <si>
    <t>pont851</t>
  </si>
  <si>
    <t>pont852</t>
  </si>
  <si>
    <t>pont853</t>
  </si>
  <si>
    <t>pont854</t>
  </si>
  <si>
    <t>pont855</t>
  </si>
  <si>
    <t>pont856</t>
  </si>
  <si>
    <t>pont857</t>
  </si>
  <si>
    <t>pont858</t>
  </si>
  <si>
    <t>pont859</t>
  </si>
  <si>
    <t>pont860</t>
  </si>
  <si>
    <t>pont861</t>
  </si>
  <si>
    <t>pont862</t>
  </si>
  <si>
    <t>B1B2A1A2S1</t>
  </si>
  <si>
    <t>icon</t>
  </si>
  <si>
    <t>arr</t>
  </si>
  <si>
    <t>hwd</t>
  </si>
  <si>
    <t>sbd</t>
  </si>
  <si>
    <t>sbs</t>
  </si>
  <si>
    <t>ewr</t>
  </si>
  <si>
    <t>dtl</t>
  </si>
  <si>
    <t>time</t>
  </si>
  <si>
    <t>chase</t>
  </si>
  <si>
    <t>worldboss</t>
  </si>
  <si>
    <t>trigger1</t>
  </si>
  <si>
    <t>trigger2</t>
  </si>
  <si>
    <t>trigger3</t>
  </si>
  <si>
    <t>Fate only seen on minimap.</t>
  </si>
  <si>
    <t>Weather can erupt at any time for 2-3 min.</t>
  </si>
  <si>
    <t>On the right side of Xbalyav Ty'e's entrance</t>
  </si>
  <si>
    <t>Southwest of Downripple on the wooden platform</t>
  </si>
  <si>
    <t>At the end of the dock east of Gornitruq Gleamsands</t>
  </si>
  <si>
    <t>At the south end of The For'ard Cabins dock</t>
  </si>
  <si>
    <t>On the cliffs northeast of the Wachunpelo Aetheryte</t>
  </si>
  <si>
    <t>On the northeast side of Miplu's Mate Garden</t>
  </si>
  <si>
    <t>On top of the southeast tower in Shades of Grief</t>
  </si>
  <si>
    <t>At the end of the cliff north in Naryor Gorna</t>
  </si>
  <si>
    <t>At the top of the southern building in Chirwagur Saltern</t>
  </si>
  <si>
    <t>At the top of the building in Sentinel</t>
  </si>
  <si>
    <t>At the top of the treehouse in House of Winds High</t>
  </si>
  <si>
    <t>At the base of the waterfall in Xopik'</t>
  </si>
  <si>
    <t>East end of the waterfalls in Breath Between</t>
  </si>
  <si>
    <t>Second floor balcony in Kozanuakiy</t>
  </si>
  <si>
    <t>On the balcony of the southwest house in Earthenshire</t>
  </si>
  <si>
    <t>Northeast of Marsh Ligaka</t>
  </si>
  <si>
    <t>Second floor balcony, southeast of Garden of the Stars</t>
  </si>
  <si>
    <t>Near two turrets south of the Village of Llyon Asoh</t>
  </si>
  <si>
    <t>On the east side of Choliselvaas</t>
  </si>
  <si>
    <t>On the cliff south of Cenote Jayunja</t>
  </si>
  <si>
    <t>On the fallen tree southeast of Tree of Living Light</t>
  </si>
  <si>
    <t>On the balcony north of the Hnusatahwi Aetheyte</t>
  </si>
  <si>
    <t>Between the group of mounds south of Mehwahhetsoan Aetheyte</t>
  </si>
  <si>
    <t>South at the edge of the cliff iin Pyaatehe'pya</t>
  </si>
  <si>
    <t>At the top of Mount Loazensasaya</t>
  </si>
  <si>
    <t>Southwest corner of Resolution</t>
  </si>
  <si>
    <t>West island like park in Residential Radius 9-14</t>
  </si>
  <si>
    <t>Southwest table in Mosaic</t>
  </si>
  <si>
    <t>In the corner around the stairs in True Vue</t>
  </si>
  <si>
    <t>West side of Nexus Arcade</t>
  </si>
  <si>
    <t>Edge of the cliff northeast of The Thunderyards</t>
  </si>
  <si>
    <t>Top of the highest tower east of The Outskirts Aetheryte</t>
  </si>
  <si>
    <t>On a rock in the ravine north of The Outskirts Aetheryte</t>
  </si>
  <si>
    <t>On the edge of the cliff south of Crackling Chasm</t>
  </si>
  <si>
    <t>West of the house in The Nameslates</t>
  </si>
  <si>
    <t>Southwest edge of Submerged Skyline</t>
  </si>
  <si>
    <t>Northwest of Leynode Mnemo Aetheryte</t>
  </si>
  <si>
    <t>At the end of the dock southeast of The Promenade</t>
  </si>
  <si>
    <t>At the top of the Air Cab Station</t>
  </si>
  <si>
    <t>West tower of Cleyra Museum of Nature</t>
  </si>
  <si>
    <t>Edge of a cliff west of Opal Springs</t>
  </si>
  <si>
    <t>Top floor west of Steps of the Speake</t>
  </si>
  <si>
    <t>On the second floor balcony outside of The Leveilleur Estate</t>
  </si>
  <si>
    <t>At the edge of the pier east of The Thaliak Stoa</t>
  </si>
  <si>
    <t>On top of the fountain north of Old Sharlayan Aetheyte Plaza Aetheryte</t>
  </si>
  <si>
    <t>Fall from the second floor balcony onto the platform in Ruveydah Fibers</t>
  </si>
  <si>
    <t>Jump onto the fence, then the cart, then house, then ledge, and finally onto the lampost</t>
  </si>
  <si>
    <t>Just up the small stairs east in Mehryde's Meyhane</t>
  </si>
  <si>
    <t>North side of Thaumazein on upper balcony (Cannot fly inside building)</t>
  </si>
  <si>
    <t>On top of the north-most tower in Sharlayan Hamlet</t>
  </si>
  <si>
    <t>On the arch of the highest building in The Great Work</t>
  </si>
  <si>
    <t>On top of the glowing structure northwest of The Carrotorium</t>
  </si>
  <si>
    <t>On the ground east in Greatest Endsvale</t>
  </si>
  <si>
    <t>On top of the cliff north of Ostrakon Deka-okto</t>
  </si>
  <si>
    <t>Tension</t>
  </si>
  <si>
    <t>Royal Levin</t>
  </si>
  <si>
    <t>Hyperelectricity</t>
  </si>
  <si>
    <t>Quick Levin</t>
  </si>
  <si>
    <t>underwater</t>
  </si>
  <si>
    <t>Above the rock west of Otsekarri Shore</t>
  </si>
  <si>
    <t>On a mound in Iq Rrax Tsoly</t>
  </si>
  <si>
    <t>jump puzzle</t>
  </si>
  <si>
    <t>Starts at (x18.7, y3.4)</t>
  </si>
  <si>
    <t>Start at (x9.4, y14.1)</t>
  </si>
  <si>
    <t>expa1</t>
  </si>
  <si>
    <t>expa2</t>
  </si>
  <si>
    <t>expa3</t>
  </si>
  <si>
    <t>expa4</t>
  </si>
  <si>
    <t>expa5</t>
  </si>
  <si>
    <t>expa6</t>
  </si>
  <si>
    <t>vista_min</t>
  </si>
  <si>
    <t>vista_max</t>
  </si>
  <si>
    <t>vista_exp</t>
  </si>
  <si>
    <t>sets</t>
  </si>
  <si>
    <t>After server maintenance: Respawn within 72 Hours</t>
  </si>
  <si>
    <t>After Defeat: 36 hour cooldown</t>
  </si>
  <si>
    <t>Menuis</t>
  </si>
  <si>
    <t>Shearing Sheridan</t>
  </si>
  <si>
    <t>Cuachac</t>
  </si>
  <si>
    <t>426th Order Pickman Bu Ga</t>
  </si>
  <si>
    <t>Padfoot</t>
  </si>
  <si>
    <t>Mandragora Prince</t>
  </si>
  <si>
    <t>Kokoroon Quickfingers</t>
  </si>
  <si>
    <t>Cancer</t>
  </si>
  <si>
    <t>Jolly Green</t>
  </si>
  <si>
    <t>Sekhmet</t>
  </si>
  <si>
    <t>Fiebras the Dull, Anselm Larkscall</t>
  </si>
  <si>
    <t>Barometz</t>
  </si>
  <si>
    <t>Gluttonous Gertrude</t>
  </si>
  <si>
    <t>Old Six-arms</t>
  </si>
  <si>
    <t>Tryptix Stumblemox</t>
  </si>
  <si>
    <t>Mantis King</t>
  </si>
  <si>
    <t>Meww the Pusher</t>
  </si>
  <si>
    <t>Voll the Sharkskinned</t>
  </si>
  <si>
    <t>Mouu the Puller</t>
  </si>
  <si>
    <t>Worr the Whalefin</t>
  </si>
  <si>
    <t>Aermswys the Stained</t>
  </si>
  <si>
    <t>Yarr the Wavefiend</t>
  </si>
  <si>
    <t>Slasher</t>
  </si>
  <si>
    <t>382nd Order Pickman Ge Bu</t>
  </si>
  <si>
    <t>Karkinos</t>
  </si>
  <si>
    <t>Simurgh</t>
  </si>
  <si>
    <t>Oannes</t>
  </si>
  <si>
    <t>Zoredonite</t>
  </si>
  <si>
    <t>Scarface Bugaal Ja</t>
  </si>
  <si>
    <t>Peryton</t>
  </si>
  <si>
    <t>Ose</t>
  </si>
  <si>
    <t>Number 128</t>
  </si>
  <si>
    <t>59th Order Matriarch Go Zu</t>
  </si>
  <si>
    <t>Brounger</t>
  </si>
  <si>
    <t>59th Order Pickman Be Ze</t>
  </si>
  <si>
    <t>59th Order Roundsman Ge Ga</t>
  </si>
  <si>
    <t>5th Order Patriarch Ze Bu</t>
  </si>
  <si>
    <t>59th Order Bedesman Bi Go</t>
  </si>
  <si>
    <t>Stagnant Water Sprite</t>
  </si>
  <si>
    <t>Alpha Anole</t>
  </si>
  <si>
    <t>Alux</t>
  </si>
  <si>
    <t>Matagaigai</t>
  </si>
  <si>
    <t>Lou Carcolh</t>
  </si>
  <si>
    <t>Jaded Jody</t>
  </si>
  <si>
    <t>Asipatra</t>
  </si>
  <si>
    <t>Spiteful</t>
  </si>
  <si>
    <t>Prince of Pestilence</t>
  </si>
  <si>
    <t>Jackanapes</t>
  </si>
  <si>
    <t>Lazy Laurence</t>
  </si>
  <si>
    <t>Proto Armor</t>
  </si>
  <si>
    <t>Capricious Cassie</t>
  </si>
  <si>
    <t>Aulus rem Vulso</t>
  </si>
  <si>
    <t>Daxio of the Dawn</t>
  </si>
  <si>
    <t>Volxia of the Blade</t>
  </si>
  <si>
    <t>Pulxio of the Short Gale</t>
  </si>
  <si>
    <t>Kafre</t>
  </si>
  <si>
    <t>Sirocco</t>
  </si>
  <si>
    <t>Coeurlclaw King</t>
  </si>
  <si>
    <t>Yabi Two-tails</t>
  </si>
  <si>
    <t>Phaia</t>
  </si>
  <si>
    <t>Severaint Seven Splinter, Shredder</t>
  </si>
  <si>
    <t>Dschubba</t>
  </si>
  <si>
    <t>Curupira</t>
  </si>
  <si>
    <t>Great Oak</t>
  </si>
  <si>
    <t>Daedalus</t>
  </si>
  <si>
    <t>Cactuar Jack</t>
  </si>
  <si>
    <t>Bubbly Bernie</t>
  </si>
  <si>
    <t>Crier Briareos</t>
  </si>
  <si>
    <t>Daddy Longlegs</t>
  </si>
  <si>
    <t>Grishild the Ungood</t>
  </si>
  <si>
    <t>Spitfire</t>
  </si>
  <si>
    <t>Babaroon Halfshell</t>
  </si>
  <si>
    <t>Nest Commander</t>
  </si>
  <si>
    <t>Vodyanoi</t>
  </si>
  <si>
    <t>Undertaker</t>
  </si>
  <si>
    <t>Glassjaw Nazagg Gah</t>
  </si>
  <si>
    <t>Gilpincher Zuzuroon</t>
  </si>
  <si>
    <t>Nayokk Roh</t>
  </si>
  <si>
    <t>Gossamer</t>
  </si>
  <si>
    <t>Bagoly</t>
  </si>
  <si>
    <t>Aeetes</t>
  </si>
  <si>
    <t>Gisfrid the Grinder</t>
  </si>
  <si>
    <t>Milleuda the Slitter</t>
  </si>
  <si>
    <t>Blackbile Maladd Chah</t>
  </si>
  <si>
    <t>Aspidochelone</t>
  </si>
  <si>
    <t>Bibireze Greysteel</t>
  </si>
  <si>
    <t>Diamondjaw Nezedd Gah</t>
  </si>
  <si>
    <t>Flamecrest Afajj Koh</t>
  </si>
  <si>
    <t>Flamefang Commander</t>
  </si>
  <si>
    <t>Cindersoot Pegujj Chah</t>
  </si>
  <si>
    <t>Whitespark Hepugg Roh</t>
  </si>
  <si>
    <t>Bomb Baron</t>
  </si>
  <si>
    <t>Milburh the Malicious</t>
  </si>
  <si>
    <t>Vanguard Prototype</t>
  </si>
  <si>
    <t>Arimaspi</t>
  </si>
  <si>
    <t>Twin-tongued Addison, Milburh</t>
  </si>
  <si>
    <t>Downy Dunstan</t>
  </si>
  <si>
    <t>Svara</t>
  </si>
  <si>
    <t>Lutin</t>
  </si>
  <si>
    <t>Roc</t>
  </si>
  <si>
    <t>Gargamelle</t>
  </si>
  <si>
    <t>Steropes</t>
  </si>
  <si>
    <t>Sebek</t>
  </si>
  <si>
    <t>Seps</t>
  </si>
  <si>
    <t>Rongeur</t>
  </si>
  <si>
    <t>Klythios</t>
  </si>
  <si>
    <t>Kozol Nomotl the Turbulent</t>
  </si>
  <si>
    <t>Gozol Itzcan the Hatchet</t>
  </si>
  <si>
    <t>Voluptuous Vivian</t>
  </si>
  <si>
    <t>Nburu</t>
  </si>
  <si>
    <t>Gwyllgi</t>
  </si>
  <si>
    <t>Dione</t>
  </si>
  <si>
    <t>Porus</t>
  </si>
  <si>
    <t>Alaimbert of the Spiked Butt</t>
  </si>
  <si>
    <t>Peluda</t>
  </si>
  <si>
    <t>Heidrun</t>
  </si>
  <si>
    <t>Yetitrap</t>
  </si>
  <si>
    <t>The Beholder</t>
  </si>
  <si>
    <t>Werner the Cowardly</t>
  </si>
  <si>
    <t>Picolaton</t>
  </si>
  <si>
    <t>Dzu-Teh</t>
  </si>
  <si>
    <t>Stihi</t>
  </si>
  <si>
    <t>Tartufo, White Truffle</t>
  </si>
  <si>
    <t>Diatryma</t>
  </si>
  <si>
    <t>Oonu Vali</t>
  </si>
  <si>
    <t>Groundseater</t>
  </si>
  <si>
    <t>Kena Vanu</t>
  </si>
  <si>
    <t>Yehl</t>
  </si>
  <si>
    <t>Podarge</t>
  </si>
  <si>
    <t>Akhekhu</t>
  </si>
  <si>
    <t>Sutali Hueloc of the North Wind, Sateli Hueloc of the South Wind, Sethuli Hueloc of the West Wind, Sotoli Hueloc of the East Wind</t>
  </si>
  <si>
    <t>Kena Vanu, Skvader</t>
  </si>
  <si>
    <t>Stheno</t>
  </si>
  <si>
    <t>Chimera Brain</t>
  </si>
  <si>
    <t>Clockwork Overlord</t>
  </si>
  <si>
    <t>Goryshche</t>
  </si>
  <si>
    <t>Sylla mal Albinus</t>
  </si>
  <si>
    <t>Spinner-rick</t>
  </si>
  <si>
    <t>Muchalinda</t>
  </si>
  <si>
    <t>Truthspeaker Huibairten</t>
  </si>
  <si>
    <t>Bull Chocobo</t>
  </si>
  <si>
    <t>Glawackus</t>
  </si>
  <si>
    <t>Migas</t>
  </si>
  <si>
    <t>Yowie</t>
  </si>
  <si>
    <t>Tarasque</t>
  </si>
  <si>
    <t>Bloodbearer Robairlain</t>
  </si>
  <si>
    <t>Svarog</t>
  </si>
  <si>
    <t>Dragon Maiden</t>
  </si>
  <si>
    <t>Waugyl</t>
  </si>
  <si>
    <t>Mogoosh the Misbehaving</t>
  </si>
  <si>
    <t>Cuelebre</t>
  </si>
  <si>
    <t>Glycon</t>
  </si>
  <si>
    <t>Thuban</t>
  </si>
  <si>
    <t>Vedrfolnir</t>
  </si>
  <si>
    <t>Abelisk</t>
  </si>
  <si>
    <t>Minaruja</t>
  </si>
  <si>
    <t>Kucedre</t>
  </si>
  <si>
    <t>Tiggers 0-30 min AFTER 'Hyperelectricity' weather starts.</t>
  </si>
  <si>
    <t>Epaphus</t>
  </si>
  <si>
    <t>Jangletype Magitek Vangob G-III</t>
  </si>
  <si>
    <t>Moundrinx Eightclinks</t>
  </si>
  <si>
    <t>Ruginis</t>
  </si>
  <si>
    <t>Dubhe</t>
  </si>
  <si>
    <t>Dobharch</t>
  </si>
  <si>
    <t>Habetrot</t>
  </si>
  <si>
    <t>Melancholic Moira</t>
  </si>
  <si>
    <t>Opken</t>
  </si>
  <si>
    <t>Revenant Grizzly</t>
  </si>
  <si>
    <t>Crocoroid</t>
  </si>
  <si>
    <t>Kirnis</t>
  </si>
  <si>
    <t>Ankabut</t>
  </si>
  <si>
    <t>Sunmaid Drisana</t>
  </si>
  <si>
    <t>Rampaging Marid</t>
  </si>
  <si>
    <t>Jateryu</t>
  </si>
  <si>
    <t>Berda</t>
  </si>
  <si>
    <t>Keratyrannos</t>
  </si>
  <si>
    <t>Ser Arscelin, Storm Commander Bharbennsyn, Serpent Lieutenant Nelhah, Flame Lieutenant Nonoku Noku</t>
  </si>
  <si>
    <t>Supernal Chapuli</t>
  </si>
  <si>
    <t>Qiqirn Bonecruncher</t>
  </si>
  <si>
    <t>Ventus</t>
  </si>
  <si>
    <t>Etain</t>
  </si>
  <si>
    <t>Ignamoth</t>
  </si>
  <si>
    <t>Crapaud</t>
  </si>
  <si>
    <t>Lumber Jack</t>
  </si>
  <si>
    <t>Tindalos</t>
  </si>
  <si>
    <t>Energetic Eruca</t>
  </si>
  <si>
    <t>Humbaba</t>
  </si>
  <si>
    <t>Serra</t>
  </si>
  <si>
    <t>Chukwa</t>
  </si>
  <si>
    <t>King Manifred the Dead</t>
  </si>
  <si>
    <t>Frogamander</t>
  </si>
  <si>
    <t>Asterion</t>
  </si>
  <si>
    <t>Boruta</t>
  </si>
  <si>
    <t>Mixed-up Soblyn</t>
  </si>
  <si>
    <t>Lalla Mira</t>
  </si>
  <si>
    <t>Tall Mountain</t>
  </si>
  <si>
    <t>Karya</t>
  </si>
  <si>
    <t>Aroma Leech</t>
  </si>
  <si>
    <t>Sisyphus</t>
  </si>
  <si>
    <t>The Loch Seld Monster</t>
  </si>
  <si>
    <t>Tellus</t>
  </si>
  <si>
    <t>After Defeat: 36-72 hour cooldown</t>
  </si>
  <si>
    <t>Quick Levin will replace any weather at any time</t>
  </si>
  <si>
    <t>Spawns 4-12 hours after pervious FATE completion</t>
  </si>
  <si>
    <t>Jinrinki</t>
  </si>
  <si>
    <t>Katabira the Younglier</t>
  </si>
  <si>
    <t>Daimyo Yumemi</t>
  </si>
  <si>
    <t>Senban Oneblade</t>
  </si>
  <si>
    <t>Yahiro</t>
  </si>
  <si>
    <t>Nure-onna</t>
  </si>
  <si>
    <t>Agni</t>
  </si>
  <si>
    <t>Mishirushi</t>
  </si>
  <si>
    <t>Forevermore</t>
  </si>
  <si>
    <t>Sogenbi</t>
  </si>
  <si>
    <t>Kuimu Lang</t>
  </si>
  <si>
    <t>Nu Wa</t>
  </si>
  <si>
    <t>Fuchikari</t>
  </si>
  <si>
    <t>Gyogun of the Most Bountiful Catch</t>
  </si>
  <si>
    <t>Tsurubebi</t>
  </si>
  <si>
    <t>Linquan</t>
  </si>
  <si>
    <t>Dapeng</t>
  </si>
  <si>
    <t>Shikigami Koja</t>
  </si>
  <si>
    <t>Must complete 'Freedom Flies' and 'More to Offer'.</t>
  </si>
  <si>
    <t>Spawns 0-48 hours after pervious FATE completion</t>
  </si>
  <si>
    <t>Will not spawn if previous FATEs are active</t>
  </si>
  <si>
    <t>Songsi</t>
  </si>
  <si>
    <t>Apsaras</t>
  </si>
  <si>
    <t>Bian</t>
  </si>
  <si>
    <t>Wakizashi the Hunterling</t>
  </si>
  <si>
    <t>Kidomaru</t>
  </si>
  <si>
    <t>Ragoh</t>
  </si>
  <si>
    <t>Manikantha</t>
  </si>
  <si>
    <t>Undsiig</t>
  </si>
  <si>
    <t>Tsaagan Mangas</t>
  </si>
  <si>
    <t>Narantsetseg</t>
  </si>
  <si>
    <t>Tribute to Gergei</t>
  </si>
  <si>
    <t>Stinkskin</t>
  </si>
  <si>
    <t>Sampati</t>
  </si>
  <si>
    <t>Bukidai the Wandering River</t>
  </si>
  <si>
    <t>Mahishasura</t>
  </si>
  <si>
    <t>Vochu</t>
  </si>
  <si>
    <t>Kirata</t>
  </si>
  <si>
    <t>Hatan</t>
  </si>
  <si>
    <t>Qatun Coldwind</t>
  </si>
  <si>
    <t>Rudra</t>
  </si>
  <si>
    <t>Gulo Khan</t>
  </si>
  <si>
    <t>Lugarhoo</t>
  </si>
  <si>
    <t>FATE may fail to spawn if 'Economic Peril' FATE is active</t>
  </si>
  <si>
    <t>Nussknacker</t>
  </si>
  <si>
    <t>Ophion</t>
  </si>
  <si>
    <t>Crawling Death</t>
  </si>
  <si>
    <t>Cuijatender</t>
  </si>
  <si>
    <t>Offscoursman</t>
  </si>
  <si>
    <t>Master's Weapon</t>
  </si>
  <si>
    <t>Bayawak</t>
  </si>
  <si>
    <t>Kurukadi, Mumba</t>
  </si>
  <si>
    <t>Rukh</t>
  </si>
  <si>
    <t>Samyaza</t>
  </si>
  <si>
    <t>Necropsyche</t>
  </si>
  <si>
    <t>The Daens</t>
  </si>
  <si>
    <t>Daen Lor, Daen Wyd</t>
  </si>
  <si>
    <t>Chantico</t>
  </si>
  <si>
    <t>Killer Tomatl</t>
  </si>
  <si>
    <t>Tojil</t>
  </si>
  <si>
    <t>Eye of Gatorl</t>
  </si>
  <si>
    <t>Kelaino</t>
  </si>
  <si>
    <t>Zumshs Aath Deepdread</t>
  </si>
  <si>
    <t>Chain reset if 'The Head, the Tail, the Whole Damned Thing' FATE is on cooldown</t>
  </si>
  <si>
    <t>Chain may reset after completion</t>
  </si>
  <si>
    <t>Halimede</t>
  </si>
  <si>
    <t>Nivalis</t>
  </si>
  <si>
    <t>Steamy Samantha</t>
  </si>
  <si>
    <t>Fraelissa</t>
  </si>
  <si>
    <t>Kanabhuti</t>
  </si>
  <si>
    <t>Valin</t>
  </si>
  <si>
    <t>Manned Death Machine</t>
  </si>
  <si>
    <t>Metatron</t>
  </si>
  <si>
    <t>Heliogabalus</t>
  </si>
  <si>
    <t>Seneca</t>
  </si>
  <si>
    <t>Tranquillityite</t>
  </si>
  <si>
    <t>Cerebrator</t>
  </si>
  <si>
    <t>Supercarrot</t>
  </si>
  <si>
    <t>Than Oskh</t>
  </si>
  <si>
    <t>Ahl Ein</t>
  </si>
  <si>
    <t>Poe</t>
  </si>
  <si>
    <t>Alseis</t>
  </si>
  <si>
    <t>Man-made Io</t>
  </si>
  <si>
    <t>Eurydike</t>
  </si>
  <si>
    <t>Primordial Kyklops</t>
  </si>
  <si>
    <t>Pelu Eater</t>
  </si>
  <si>
    <t>Racaqurq</t>
  </si>
  <si>
    <t>Durzurgir</t>
  </si>
  <si>
    <t>Vorjirzur the Valiant</t>
  </si>
  <si>
    <t>Mighty Maip</t>
  </si>
  <si>
    <t>Huik'ku'uxo</t>
  </si>
  <si>
    <t>Pama-yawa</t>
  </si>
  <si>
    <t>Caphunter</t>
  </si>
  <si>
    <t>Sayona</t>
  </si>
  <si>
    <t>Milyurrul</t>
  </si>
  <si>
    <t>Cinderscorned Quheel Ja</t>
  </si>
  <si>
    <t>Firedance Magmaal Ja</t>
  </si>
  <si>
    <t>Ghost Moth</t>
  </si>
  <si>
    <t>fate950</t>
  </si>
  <si>
    <t>fate951</t>
  </si>
  <si>
    <t>fate952</t>
  </si>
  <si>
    <t>fate953</t>
  </si>
  <si>
    <t>Flamedrinker</t>
  </si>
  <si>
    <t>Zawtekwa the Undertaken</t>
  </si>
  <si>
    <t>The Outjaw</t>
  </si>
  <si>
    <t>Hwittaeki</t>
  </si>
  <si>
    <t>fate954</t>
  </si>
  <si>
    <t>fate955</t>
  </si>
  <si>
    <t>fate956</t>
  </si>
  <si>
    <t>fate957</t>
  </si>
  <si>
    <t>fate958</t>
  </si>
  <si>
    <t>fate959</t>
  </si>
  <si>
    <t>fate960</t>
  </si>
  <si>
    <t>fate961</t>
  </si>
  <si>
    <t>fate962</t>
  </si>
  <si>
    <t>fate963</t>
  </si>
  <si>
    <t>Scythebeak</t>
  </si>
  <si>
    <t>The Avenger</t>
  </si>
  <si>
    <t>Defective Sentry GX</t>
  </si>
  <si>
    <t>Canal Deepdrinker</t>
  </si>
  <si>
    <t>Lampos</t>
  </si>
  <si>
    <t>Plant Brain</t>
  </si>
  <si>
    <t>White Funny-bunny, Black Funny-bunny</t>
  </si>
  <si>
    <t>usage_info</t>
  </si>
  <si>
    <t>group</t>
  </si>
  <si>
    <t>rank</t>
  </si>
  <si>
    <t>specialClass</t>
  </si>
  <si>
    <t>breakspace</t>
  </si>
  <si>
    <t>isshard</t>
  </si>
  <si>
    <t>Regular</t>
  </si>
  <si>
    <t>issubarea</t>
  </si>
  <si>
    <t>inoverview</t>
  </si>
  <si>
    <t>regionicon</t>
  </si>
  <si>
    <t>lanoscea</t>
  </si>
  <si>
    <t>theblackshroud</t>
  </si>
  <si>
    <t>thanalan</t>
  </si>
  <si>
    <t>coerthas</t>
  </si>
  <si>
    <t>aetheryte</t>
  </si>
  <si>
    <t>gyrabania</t>
  </si>
  <si>
    <t>hingashi</t>
  </si>
  <si>
    <t>thecrystarium</t>
  </si>
  <si>
    <t>eulmore</t>
  </si>
  <si>
    <t>thavnair</t>
  </si>
  <si>
    <t>garlemald</t>
  </si>
  <si>
    <t>thenorthernempty</t>
  </si>
  <si>
    <t>xaktural</t>
  </si>
  <si>
    <t>yoktural</t>
  </si>
  <si>
    <t>Talk to 'A Farmer in Need'</t>
  </si>
  <si>
    <t>Talk to 'Storm Sergeant Doenfarr'</t>
  </si>
  <si>
    <t>Talk to 'A Furious Farmer'</t>
  </si>
  <si>
    <t>Talk to 'Yellowjacket'</t>
  </si>
  <si>
    <t>Talk to 'Yellowjacket Drill Sergeant'</t>
  </si>
  <si>
    <t>Talk to 'Troubled Tiller'</t>
  </si>
  <si>
    <t>Talk to 'Miller in Need'</t>
  </si>
  <si>
    <t>Talk to 'Yellowjacket Veteran'</t>
  </si>
  <si>
    <t>Beside the NPC on the Skylift bridge looking southwest.</t>
  </si>
  <si>
    <t>Underground in Seasong Grotto. Entrance in (x20.3, y19.7).</t>
  </si>
  <si>
    <t>Inside the Summerford Farms settlement; on top of the shelves.</t>
  </si>
  <si>
    <t>On the roof of the House of Sticks.</t>
  </si>
  <si>
    <t>After crossing the wooden bridge, on the ledge next to the Water Sprite.</t>
  </si>
  <si>
    <t>On the roof of the outpost connected to Mist.</t>
  </si>
  <si>
    <t>On the bolder in Oschon's torch, looking towards Candlekeep Quay.</t>
  </si>
  <si>
    <t>On the southern fence to Lower La Noscea at La Thagran Checkpoint.</t>
  </si>
  <si>
    <t>On ledge of the balcony west of the Culinarians' Guild.</t>
  </si>
  <si>
    <t>On the end of the bow of The Astalicia.</t>
  </si>
  <si>
    <t>On the eastmost chair on the docks of Hidden Falls.</t>
  </si>
  <si>
    <t>Talk to 'Jijiroon of the Silver Clutch'</t>
  </si>
  <si>
    <t>Our Favorite Pastime</t>
  </si>
  <si>
    <t>fate1001</t>
  </si>
  <si>
    <t>Talk to 'Lominsan Merchant'</t>
  </si>
  <si>
    <t>Talk to 'Oyster Hunter'</t>
  </si>
  <si>
    <t>Talk to 'Storm Sergeant'</t>
  </si>
  <si>
    <t>Southeast of the large statue in Aleport. Along the fence, looking at the Levemete NPC.</t>
  </si>
  <si>
    <t>Beside the pot in The Ship Graveyard on the southeast corner.</t>
  </si>
  <si>
    <t>On the post closest to the NPC Ahtzatrach in Camp Skull Valley.</t>
  </si>
  <si>
    <t>On top of the Gullperch Tower, on the ledge.</t>
  </si>
  <si>
    <t>jumppuzzle</t>
  </si>
  <si>
    <t>Use [SPRINT] to jump high enough onto the posts and finish on the highest post of the tent.</t>
  </si>
  <si>
    <t>Talk to 'Off-duty Porter'</t>
  </si>
  <si>
    <t>Talk to 'Yellowjacket Captain'</t>
  </si>
  <si>
    <t>Talk to 'Cute Courtesan'</t>
  </si>
  <si>
    <t>Talk to 'Vinyard Bond'</t>
  </si>
  <si>
    <t>Talk to 'Storm Private'</t>
  </si>
  <si>
    <t>Talk to 'Cowering Coachman'</t>
  </si>
  <si>
    <t>On the edge of the roof of the highest house in Camp Bronze Lake</t>
  </si>
  <si>
    <t>Either jump from the broken wall using [SPRINT] or use a flying mount to reach the arch.</t>
  </si>
  <si>
    <t>In Thalaos, use [SPRINT] to run up the large bone in the northern area.</t>
  </si>
  <si>
    <t>Talk to 'Perturbed Porter'</t>
  </si>
  <si>
    <t>Talk to 'Storm Courier'</t>
  </si>
  <si>
    <t>From the stairs near Blue Badger Gate, [SPRINT] jump from the railing of the stairs, to the gate door, then to the other gate on the north side.</t>
  </si>
  <si>
    <t>Go to the very back of the Leatherworkers' Guild and jump on the bookcases to the highest point.</t>
  </si>
  <si>
    <t>In the corner between the fence and the lighthouse in The Brewer's Beacon.</t>
  </si>
  <si>
    <t>From (x10.4, y6.6), jump along the rockface onto the cliff, then [SPRINT] jump onto the lamp post closest to the water.</t>
  </si>
  <si>
    <t>From the back of the Lancers' Guild, jump onto the shelves towards the opposite corner.</t>
  </si>
  <si>
    <t>On the west most edge of The Floating City of Nym.</t>
  </si>
  <si>
    <t>On the second floor of the house in The Hermit's Hovel.</t>
  </si>
  <si>
    <t>From (x17.1, y15.9), jump into the broken arch onto the pillar on the south end.</t>
  </si>
  <si>
    <t>From (x23.4, y12), navigate your way to the highest point using [SPRINT].</t>
  </si>
  <si>
    <t>Talk to 'Serpent Recruit'</t>
  </si>
  <si>
    <t>Talk to 'Wood Wailer Lance'</t>
  </si>
  <si>
    <t>The Way of the Samurai</t>
  </si>
  <si>
    <t>In Bentbrancch Meadows, sit next to the NPC Margeria, north of the Aetheryte</t>
  </si>
  <si>
    <t>In The Bannock, on top of the arch above the NPC Alixie.</t>
  </si>
  <si>
    <t>On the bridge that crosses the river in East Vein, jump onto the middle-north post.</t>
  </si>
  <si>
    <t>On the tree that creates a path between Sanguine Perch and Hopeseed Pond.</t>
  </si>
  <si>
    <t>South along the wall, jump onto the cliffside beside the roots, and onto the roots themselves. Use [SPRINT] to jump higher.</t>
  </si>
  <si>
    <t>Between the entrance gate closest to Sanctum of the Twelve.</t>
  </si>
  <si>
    <t>On the roof above the NPC Sylphic Vendor in Little Solace.</t>
  </si>
  <si>
    <t>Just south of the tree in the center of The Seedbed.</t>
  </si>
  <si>
    <t>Talk to 'Greatloam Farmer'</t>
  </si>
  <si>
    <t>Talk to 'Bothered Beekeper'</t>
  </si>
  <si>
    <t>Talk to 'Nameless Conjurer'</t>
  </si>
  <si>
    <t>Talk to 'Mianne Thousandmalm'</t>
  </si>
  <si>
    <t>fate55</t>
  </si>
  <si>
    <t>fate1002</t>
  </si>
  <si>
    <t>Talk to 'Mead-porting Midlander'</t>
  </si>
  <si>
    <t>In Quarrymill, stand on top of the south-most chimney; closest to NPC Simmie.</t>
  </si>
  <si>
    <t>In Urth's Found, stand beneith the rock, close to a large glowing rock along the path.</t>
  </si>
  <si>
    <t>Stand on top of the raling above the entrance to the bar in Buscarron's Druthers.</t>
  </si>
  <si>
    <t>Sand on the ledge of the window of the hut in South Shroud Landing.</t>
  </si>
  <si>
    <t>Use [SPRINT] to jump onto the center log, in the northwest part of Ixali Loggin Grounds.</t>
  </si>
  <si>
    <t>North of Finders' Bluff, where all the Ziz's are gathered, climb down from the cliff and onto the end of a withered brach.</t>
  </si>
  <si>
    <t>South of Finders' Bluff, where all the Pumice Golem's are gathered, walk to the south-most edge of the cliff.</t>
  </si>
  <si>
    <t>Talk to 'Crestfallen Merchant'</t>
  </si>
  <si>
    <t>Must fully complete 'Breaching the Hive'</t>
  </si>
  <si>
    <t>Must fail 'Breaching the Hive'</t>
  </si>
  <si>
    <t>Talk to 'Phanaxio of the New Leaf'</t>
  </si>
  <si>
    <t>Fly onto the rooftop, and fall onto the red cover.</t>
  </si>
  <si>
    <t>On ther corner pillar of building directly east of the Delivery Moogle. Walk up the stairs on the outside and jump onto the rails towards the northwest pillar.</t>
  </si>
  <si>
    <t>Bit tricky, [SPRINT] jump onto the west side of the stacked crates, then round to the top of the northwest stacked crates. Finish on top othe the lamp post.</t>
  </si>
  <si>
    <t>From the top of the north building, [SPRINT] jump onto the nearby post. Must jump from z0.4 height.</t>
  </si>
  <si>
    <t>In Stonesthrow, from the rocks in the northwest, jump towards the southeast most red cover.</t>
  </si>
  <si>
    <t>From the cliffs, fall slowly downward onto the ledge below. Cannot use flying mount to land.</t>
  </si>
  <si>
    <t>Group of tree west of the NPC Jospaire.</t>
  </si>
  <si>
    <t>Up to the top of the fallen blacony just south of The Invisible City.</t>
  </si>
  <si>
    <t>Walk to the end of the lower platform on the Highbridge.</t>
  </si>
  <si>
    <t>Southeast lowest point in The Burning Wall, stand in the bushed along the cliffside.</t>
  </si>
  <si>
    <t>In The Golden Bazaar, fly on top of the balcony north of the NPC Aebbe, then jump onto the arch.</t>
  </si>
  <si>
    <t>Entrance to the Royal Promenade, stand on the southmost square on the balcony.</t>
  </si>
  <si>
    <t>From the Hustings Strip, jump down onto the eastmost lamppost.</t>
  </si>
  <si>
    <t>At the base of the statue in Nald's Reflection.</t>
  </si>
  <si>
    <t>At the base of the statue in Thal's Respite.</t>
  </si>
  <si>
    <t>On top of the rock pillar. May be possible without a mount, but much easier with one.</t>
  </si>
  <si>
    <t>Southeast of Byregot's Strike, stand at the northside of the ruin.</t>
  </si>
  <si>
    <t>Northeast square of the ruins to The Sunken Temple of Qarn, jump from the rocks, and onto the square platform.</t>
  </si>
  <si>
    <t>Stand between where the cactus and the trainer NPC is standing.</t>
  </si>
  <si>
    <t>At the East Watchtower, run to the top of the tower and onto the end of the flagpole.</t>
  </si>
  <si>
    <t xml:space="preserve">[SPRINT] jump from the ledge near the NPC Zezeragi and walk to the middle of the arch on the north side. </t>
  </si>
  <si>
    <t>From the ledge near the building where the NPC Edelstein stands, [SPRINT] jump onto the fence, next to the second post.</t>
  </si>
  <si>
    <t>In Dalamud's Talons, run up the vien pointed towards the south.</t>
  </si>
  <si>
    <t>In the Abandoned Amajina Mythril Mine, fly onto the east broken arch.</t>
  </si>
  <si>
    <t>On top of the south tower in First Decasterial Observcatorium of Aetherial and Astrological Phenomena. Jump on the lamp and onto the ladder.</t>
  </si>
  <si>
    <t>From the top of the steps in First Decasterial Observcatorium of Aetherial and Astrological Phenomena, jump onto the highest light hanging from the ceiling.</t>
  </si>
  <si>
    <t>From the base of the bridge leading into Whitebrim Front in the northwest, walk along the outer ridges of the bridge to the center.</t>
  </si>
  <si>
    <t>Top most arch of the southmost tower in Whitebrim Front.</t>
  </si>
  <si>
    <t>Top of the Monument Tower, stand next to the NPC on the east side.</t>
  </si>
  <si>
    <t>At the entrance to The Fury's Gaze center room.</t>
  </si>
  <si>
    <t>In Snowcloak, fly to the edge of the highest point.</t>
  </si>
  <si>
    <t>In Camp Dragonhead, fly to the top of the southeast building and walk to the south ledge.</t>
  </si>
  <si>
    <t>Start at (x28.7, y10.7), [SPRINT] jump along the wall and around the pillar to the broken side in the north.</t>
  </si>
  <si>
    <t>Jump from the gate round the water and onto the bridge's edge to the east end.</t>
  </si>
  <si>
    <t>Jump onto the mushroom, then onto the top of the rock.</t>
  </si>
  <si>
    <t>West side of the Singing Shards, walk up the cliffside and onto the edge overseeing the crater.</t>
  </si>
  <si>
    <t>Start at (x26.6, y11.5), [SPRINT] jump onto the broken side of the red metallic wreckage and then onto the back. Once up top, jump onto the tree branch.</t>
  </si>
  <si>
    <t>variant</t>
  </si>
  <si>
    <t>bait</t>
  </si>
  <si>
    <t>hookset</t>
  </si>
  <si>
    <t>timer37</t>
  </si>
  <si>
    <t>Precision Hookset</t>
  </si>
  <si>
    <t>Powerful Hookset</t>
  </si>
  <si>
    <t>Blue Octopus</t>
  </si>
  <si>
    <t>Octomammoth</t>
  </si>
  <si>
    <t>Lominsan Anchovy</t>
  </si>
  <si>
    <t>Merlthor Goby</t>
  </si>
  <si>
    <t>Malm Kelp</t>
  </si>
  <si>
    <t>Finger Shrimp</t>
  </si>
  <si>
    <t>Ocean Cloud</t>
  </si>
  <si>
    <t>Harbor Herring</t>
  </si>
  <si>
    <t>Coral Butterfly</t>
  </si>
  <si>
    <t>Lugworm</t>
  </si>
  <si>
    <t>Pill Bug</t>
  </si>
  <si>
    <t>mooch_name1</t>
  </si>
  <si>
    <t>mooch_name2</t>
  </si>
  <si>
    <t>mooch_name3</t>
  </si>
  <si>
    <t>Goldenfin</t>
  </si>
  <si>
    <t>timer38</t>
  </si>
  <si>
    <t>timer39</t>
  </si>
  <si>
    <t>timer40</t>
  </si>
  <si>
    <t>timer41</t>
  </si>
  <si>
    <t>Sea Cucumber</t>
  </si>
  <si>
    <t>Angelfish</t>
  </si>
  <si>
    <t>Rat Tail</t>
  </si>
  <si>
    <t>Zalera</t>
  </si>
  <si>
    <t>Crayfish</t>
  </si>
  <si>
    <t>Chub</t>
  </si>
  <si>
    <t>Dwarf Catfish</t>
  </si>
  <si>
    <t>Princess Trout</t>
  </si>
  <si>
    <t>La Noscean Perch</t>
  </si>
  <si>
    <t>Beguiler Chub</t>
  </si>
  <si>
    <t>Moth Pupa</t>
  </si>
  <si>
    <t>Midge Basket</t>
  </si>
  <si>
    <t>Gudgeon</t>
  </si>
  <si>
    <t>Great Gudgeon</t>
  </si>
  <si>
    <t>Crayfish Ball</t>
  </si>
  <si>
    <t>White Coral</t>
  </si>
  <si>
    <t>Vongola Clam</t>
  </si>
  <si>
    <t>Ogre Barracuda</t>
  </si>
  <si>
    <t>Silver Shark</t>
  </si>
  <si>
    <t>Wahoo</t>
  </si>
  <si>
    <t>Gigantshark</t>
  </si>
  <si>
    <t>Dusk Goby</t>
  </si>
  <si>
    <t>Maiden Carp</t>
  </si>
  <si>
    <t>Bloodworm</t>
  </si>
  <si>
    <t>High Perch</t>
  </si>
  <si>
    <t>Sinking Minnow</t>
  </si>
  <si>
    <t>River Crab</t>
  </si>
  <si>
    <t>Copperfish</t>
  </si>
  <si>
    <t>Butterworm</t>
  </si>
  <si>
    <t>Eunuch Crayfish</t>
  </si>
  <si>
    <t>Glass Perch</t>
  </si>
  <si>
    <t>Crow Fly</t>
  </si>
  <si>
    <t>Crystal Perch</t>
  </si>
  <si>
    <t>weather3</t>
  </si>
  <si>
    <t>fishing</t>
  </si>
  <si>
    <t>Caterwauler</t>
  </si>
  <si>
    <t>Moraby Flounder</t>
  </si>
  <si>
    <t>Goby Ball</t>
  </si>
  <si>
    <t>Pebble Crab</t>
  </si>
  <si>
    <t>Oschon's Print</t>
  </si>
  <si>
    <t>Tiger Cod</t>
  </si>
  <si>
    <t>Leafy Seadragon</t>
  </si>
  <si>
    <t>Spoon Worm</t>
  </si>
  <si>
    <t>Syldra</t>
  </si>
  <si>
    <t>Rothlyt Oyster</t>
  </si>
  <si>
    <t>Mahi-mahi</t>
  </si>
  <si>
    <t>Yumizuno</t>
  </si>
  <si>
    <t>Shall Shell</t>
  </si>
  <si>
    <t>Northern Krill</t>
  </si>
  <si>
    <t>Sabertooth Cod</t>
  </si>
  <si>
    <t>Navigator's Dagger</t>
  </si>
  <si>
    <t>Jacques the Snipper</t>
  </si>
  <si>
    <t>timer42</t>
  </si>
  <si>
    <t>timer43</t>
  </si>
  <si>
    <t>timer44</t>
  </si>
  <si>
    <t>timer45</t>
  </si>
  <si>
    <t>timer46</t>
  </si>
  <si>
    <t>timer47</t>
  </si>
  <si>
    <t>timer48</t>
  </si>
  <si>
    <t>timer49</t>
  </si>
  <si>
    <t>Crimson Crayfish</t>
  </si>
  <si>
    <t>Faerie Bass</t>
  </si>
  <si>
    <t>Acorn Snail</t>
  </si>
  <si>
    <t>Moat Carp</t>
  </si>
  <si>
    <t>Grip Killifish</t>
  </si>
  <si>
    <t>Chocobo Fly</t>
  </si>
  <si>
    <t>Faerie Queen</t>
  </si>
  <si>
    <t>Spinnerbait</t>
  </si>
  <si>
    <t>Helmet Crab</t>
  </si>
  <si>
    <t>Razor Clam</t>
  </si>
  <si>
    <t>Crab Ball</t>
  </si>
  <si>
    <t>Blowfish</t>
  </si>
  <si>
    <t>Floating Minnow</t>
  </si>
  <si>
    <t>Sea Bo</t>
  </si>
  <si>
    <t>Shrimp Cage Feeder</t>
  </si>
  <si>
    <t>Black Sole</t>
  </si>
  <si>
    <t>Tiny Tortoise</t>
  </si>
  <si>
    <t>Meteor Survivor</t>
  </si>
  <si>
    <t>Bone Crayfish</t>
  </si>
  <si>
    <t>Blindfish</t>
  </si>
  <si>
    <t>Syrphid Basket</t>
  </si>
  <si>
    <t>Lamp Marimo</t>
  </si>
  <si>
    <t>Cupfish</t>
  </si>
  <si>
    <t>Blue Coral</t>
  </si>
  <si>
    <t>Bianaq Bream</t>
  </si>
  <si>
    <t>Fullmoon Sardine</t>
  </si>
  <si>
    <t>Gigant Clam</t>
  </si>
  <si>
    <t>Heavy Steel Jig</t>
  </si>
  <si>
    <t>The Greatest Bream in the World</t>
  </si>
  <si>
    <t>Sea Pickle</t>
  </si>
  <si>
    <t>Ash Tuna</t>
  </si>
  <si>
    <t>Steel Jig</t>
  </si>
  <si>
    <t>Whitelip Oyster</t>
  </si>
  <si>
    <t>Herring Ball</t>
  </si>
  <si>
    <t>Balloonfish</t>
  </si>
  <si>
    <t>Red Coral</t>
  </si>
  <si>
    <t>Krill Cage Feeder</t>
  </si>
  <si>
    <t>Mazlaya Marlin</t>
  </si>
  <si>
    <t>Bombardfish</t>
  </si>
  <si>
    <t>Gigant Octopus</t>
  </si>
  <si>
    <t>The Old Man in the Sea</t>
  </si>
  <si>
    <t>weatherchain1</t>
  </si>
  <si>
    <t>weatherchain2</t>
  </si>
  <si>
    <t>Rock Lobster</t>
  </si>
  <si>
    <t>Little Thalaos</t>
  </si>
  <si>
    <t>Megalodon</t>
  </si>
  <si>
    <t>Giant Squid</t>
  </si>
  <si>
    <t>Nepto Dragon</t>
  </si>
  <si>
    <t>Dark Sleeper</t>
  </si>
  <si>
    <t>Mitten Crab</t>
  </si>
  <si>
    <t>Spotted Puffer</t>
  </si>
  <si>
    <t>Discus</t>
  </si>
  <si>
    <t>Honey Worm</t>
  </si>
  <si>
    <t>Snurble Fly</t>
  </si>
  <si>
    <t>Lamprey</t>
  </si>
  <si>
    <t>Monke Onke</t>
  </si>
  <si>
    <t>Loyal Pleco</t>
  </si>
  <si>
    <t>Stem Borer</t>
  </si>
  <si>
    <t>Archerfish</t>
  </si>
  <si>
    <t>Agelyss Carp</t>
  </si>
  <si>
    <t>Topwater Frog</t>
  </si>
  <si>
    <t>The Drowned Sniper</t>
  </si>
  <si>
    <t>Giant Bass</t>
  </si>
  <si>
    <t>Thunderbolt Sculpin</t>
  </si>
  <si>
    <t>Spinner</t>
  </si>
  <si>
    <t>The Terpsichorean</t>
  </si>
  <si>
    <t>Mudcrab</t>
  </si>
  <si>
    <t>Silverfish</t>
  </si>
  <si>
    <t>Sludgeskipper</t>
  </si>
  <si>
    <t>Vampire Lampern</t>
  </si>
  <si>
    <t>Mirrorscale</t>
  </si>
  <si>
    <t>Clown Loach</t>
  </si>
  <si>
    <t>Knifefish</t>
  </si>
  <si>
    <t>Glowworm</t>
  </si>
  <si>
    <t>Goldfish</t>
  </si>
  <si>
    <t>Jungle Catfish</t>
  </si>
  <si>
    <t>Imperial Goldfish</t>
  </si>
  <si>
    <t>Castaway Chocobo Chick</t>
  </si>
  <si>
    <t>timer50</t>
  </si>
  <si>
    <t>timer51</t>
  </si>
  <si>
    <t>timer52</t>
  </si>
  <si>
    <t>timer53</t>
  </si>
  <si>
    <t>timer54</t>
  </si>
  <si>
    <t>timer55</t>
  </si>
  <si>
    <t>timer56</t>
  </si>
  <si>
    <t>timer57</t>
  </si>
  <si>
    <t>timer58</t>
  </si>
  <si>
    <t>Little Perykos</t>
  </si>
  <si>
    <t>Halibut</t>
  </si>
  <si>
    <t>Armorer</t>
  </si>
  <si>
    <t>Goosefish</t>
  </si>
  <si>
    <t>Junkmonger</t>
  </si>
  <si>
    <t>Navigator's Brand</t>
  </si>
  <si>
    <t>Saber Sardine</t>
  </si>
  <si>
    <t>Hammerhead Shark</t>
  </si>
  <si>
    <t>Lavender Remora</t>
  </si>
  <si>
    <t>The Lone Ripper</t>
  </si>
  <si>
    <t>Silver Sovereign</t>
  </si>
  <si>
    <t>Indigo Herring</t>
  </si>
  <si>
    <t>Shark Tuna</t>
  </si>
  <si>
    <t>Timeworn Goatskin Map</t>
  </si>
  <si>
    <t>Pipira</t>
  </si>
  <si>
    <t>Raincaller</t>
  </si>
  <si>
    <t>Stormdancer</t>
  </si>
  <si>
    <t>Bloody Brewer</t>
  </si>
  <si>
    <t>Matron Carp</t>
  </si>
  <si>
    <t>Carp Diem</t>
  </si>
  <si>
    <t>Striped Goby</t>
  </si>
  <si>
    <t>Brass Loach</t>
  </si>
  <si>
    <t>Chirurgeon</t>
  </si>
  <si>
    <t>Tricolored Carp</t>
  </si>
  <si>
    <t>Ghost Carp</t>
  </si>
  <si>
    <t>Black Eel</t>
  </si>
  <si>
    <t>Bass Ball</t>
  </si>
  <si>
    <t>Ala Mhigan Fighting Fish</t>
  </si>
  <si>
    <t>Spotted Pleco</t>
  </si>
  <si>
    <t>Silver Spoon Lure</t>
  </si>
  <si>
    <t>Bonytongue</t>
  </si>
  <si>
    <t>Levinlight</t>
  </si>
  <si>
    <t>Black Ghost</t>
  </si>
  <si>
    <t>Mudskipper</t>
  </si>
  <si>
    <t>Streamer</t>
  </si>
  <si>
    <t>Seema</t>
  </si>
  <si>
    <t>The Green Jester</t>
  </si>
  <si>
    <t>Bloodbath</t>
  </si>
  <si>
    <t>Dark Ambusher</t>
  </si>
  <si>
    <t>Rainbow Trout</t>
  </si>
  <si>
    <t>Bluebell Salmon</t>
  </si>
  <si>
    <t>Moldva</t>
  </si>
  <si>
    <t>Pond Mussel</t>
  </si>
  <si>
    <t>Dark Bass</t>
  </si>
  <si>
    <t>The Assassin</t>
  </si>
  <si>
    <t>Climbing Perch</t>
  </si>
  <si>
    <t>Yugr'am Salmon</t>
  </si>
  <si>
    <t>Fall Jumper</t>
  </si>
  <si>
    <t>Sylphsbane</t>
  </si>
  <si>
    <t>Velodyna Carp</t>
  </si>
  <si>
    <t>Wildfowl Fly</t>
  </si>
  <si>
    <t>Oakroot</t>
  </si>
  <si>
    <t>Common Sculpin</t>
  </si>
  <si>
    <t>Southern Pike</t>
  </si>
  <si>
    <t>Mushroom Crab</t>
  </si>
  <si>
    <t>Magicked Mushroom</t>
  </si>
  <si>
    <t>Vip Viper</t>
  </si>
  <si>
    <t>Floating Boulder</t>
  </si>
  <si>
    <t>The Grinner</t>
  </si>
  <si>
    <t>Five-ilm Pleco</t>
  </si>
  <si>
    <t>Armored Pleco</t>
  </si>
  <si>
    <t>The Sinker</t>
  </si>
  <si>
    <t>Goblin Perch</t>
  </si>
  <si>
    <t>The Gobfather</t>
  </si>
  <si>
    <t>Root Skipper</t>
  </si>
  <si>
    <t>Judgment Staff</t>
  </si>
  <si>
    <t>Caddisfly Larva</t>
  </si>
  <si>
    <t>Son of Levin</t>
  </si>
  <si>
    <t>Boxing Pleco</t>
  </si>
  <si>
    <t>Takitaro</t>
  </si>
  <si>
    <t>Giant Takitaro</t>
  </si>
  <si>
    <t>Namitaro</t>
  </si>
  <si>
    <t>Blue Widow</t>
  </si>
  <si>
    <t>Shadow Catfish</t>
  </si>
  <si>
    <t>Judgeray</t>
  </si>
  <si>
    <t>Golden Loach</t>
  </si>
  <si>
    <t>Pirarucu</t>
  </si>
  <si>
    <t>Shadowstreak</t>
  </si>
  <si>
    <t>Timeworn Leather Map</t>
  </si>
  <si>
    <t>Assassin Betta</t>
  </si>
  <si>
    <t>Bowfin</t>
  </si>
  <si>
    <t>Cornelia</t>
  </si>
  <si>
    <t>Rainbow Spoon Lure</t>
  </si>
  <si>
    <t>Timeworn Peisteskin Map</t>
  </si>
  <si>
    <t>Glimmerscale</t>
  </si>
  <si>
    <t>Mud Golem</t>
  </si>
  <si>
    <t>Rivet Oyster</t>
  </si>
  <si>
    <t>Monkfish</t>
  </si>
  <si>
    <t>Fingers</t>
  </si>
  <si>
    <t>Haraldr Haddock</t>
  </si>
  <si>
    <t>Dirty Herry</t>
  </si>
  <si>
    <t>Blacklip Oyster</t>
  </si>
  <si>
    <t>Plaice</t>
  </si>
  <si>
    <t>Sea Devil</t>
  </si>
  <si>
    <t>Titanic Sawfish</t>
  </si>
  <si>
    <t>Pirate's Bane</t>
  </si>
  <si>
    <t>Garpike</t>
  </si>
  <si>
    <t>Ndendecki</t>
  </si>
  <si>
    <t>Ignus Snail</t>
  </si>
  <si>
    <t>Boltfish</t>
  </si>
  <si>
    <t>Ilsabardian Bass</t>
  </si>
  <si>
    <t>Bat-o'-Nine-Tails</t>
  </si>
  <si>
    <t>Dream Goby</t>
  </si>
  <si>
    <t>Aegis Shrimp</t>
  </si>
  <si>
    <t>Slime King</t>
  </si>
  <si>
    <t>Old Softie</t>
  </si>
  <si>
    <t>Dark Knight</t>
  </si>
  <si>
    <t>Bone Cleaner</t>
  </si>
  <si>
    <t>Marrow Sucker</t>
  </si>
  <si>
    <t>Mud Pilgrim</t>
  </si>
  <si>
    <t>Warmwater Trout</t>
  </si>
  <si>
    <t>Trader Eel</t>
  </si>
  <si>
    <t>The Warden's Wand</t>
  </si>
  <si>
    <t>Gigantpole</t>
  </si>
  <si>
    <t>Sundisc</t>
  </si>
  <si>
    <t>The Thousand-year Itch</t>
  </si>
  <si>
    <t>Plaguefish</t>
  </si>
  <si>
    <t>Old Hollow Eyes</t>
  </si>
  <si>
    <t>Paglth'an Discus</t>
  </si>
  <si>
    <t>Discobolus</t>
  </si>
  <si>
    <t>Ropefish</t>
  </si>
  <si>
    <t>Iron Noose</t>
  </si>
  <si>
    <t>Sandfish</t>
  </si>
  <si>
    <t>Sand Leech</t>
  </si>
  <si>
    <t>Sand Bream</t>
  </si>
  <si>
    <t>Dustfish</t>
  </si>
  <si>
    <t>Storm Rider</t>
  </si>
  <si>
    <t>Antlion Slug</t>
  </si>
  <si>
    <t>Sand Gecko</t>
  </si>
  <si>
    <t>Dune Manta</t>
  </si>
  <si>
    <t>Sagolii Monkfish</t>
  </si>
  <si>
    <t>Magic Carpet</t>
  </si>
  <si>
    <t>Helicoprion</t>
  </si>
  <si>
    <t>Desert Catfish</t>
  </si>
  <si>
    <t>Caravan Eel</t>
  </si>
  <si>
    <t>Olgoi-Khorkhoi</t>
  </si>
  <si>
    <t>Alligator Garfish</t>
  </si>
  <si>
    <t>Hannibal</t>
  </si>
  <si>
    <t>Wootz Knifefish</t>
  </si>
  <si>
    <t>Wootz Knifefish Zenith</t>
  </si>
  <si>
    <t>Spearnose</t>
  </si>
  <si>
    <t>Crimson Trout</t>
  </si>
  <si>
    <t>Kissing Trout</t>
  </si>
  <si>
    <t>Daniffen's Mark</t>
  </si>
  <si>
    <t>Abalathian Smelt</t>
  </si>
  <si>
    <t>Cave Cherax</t>
  </si>
  <si>
    <t>Charon's Lantern</t>
  </si>
  <si>
    <t>Bronze Lake Trout</t>
  </si>
  <si>
    <t>Northern Pike</t>
  </si>
  <si>
    <t>Emperor Fish</t>
  </si>
  <si>
    <t>Starbright</t>
  </si>
  <si>
    <t>Dawn Maiden</t>
  </si>
  <si>
    <t>The Matriarch</t>
  </si>
  <si>
    <t>Angry Pike</t>
  </si>
  <si>
    <t>Darkstar</t>
  </si>
  <si>
    <t>Wandering Sculpin</t>
  </si>
  <si>
    <t>Blue Corpse</t>
  </si>
  <si>
    <t>Cloud Jellyfish</t>
  </si>
  <si>
    <t>Balloon Bug</t>
  </si>
  <si>
    <t>Skyfish</t>
  </si>
  <si>
    <t>Cloud Cutter</t>
  </si>
  <si>
    <t>Hoverworm</t>
  </si>
  <si>
    <t>Blind Manta</t>
  </si>
  <si>
    <t>Rift Sailor</t>
  </si>
  <si>
    <t>Anomalocaris</t>
  </si>
  <si>
    <t>Saucerfish</t>
  </si>
  <si>
    <t>Rhamphorhynchus</t>
  </si>
  <si>
    <t>Mahar</t>
  </si>
  <si>
    <t>Shonisaurus</t>
  </si>
  <si>
    <t>Coerthan Crab</t>
  </si>
  <si>
    <t>Metal Spinner</t>
  </si>
  <si>
    <t>Coerthan Puffer</t>
  </si>
  <si>
    <t>Purse Web Spider</t>
  </si>
  <si>
    <t>Fat Purse</t>
  </si>
  <si>
    <t>Brute Leech</t>
  </si>
  <si>
    <t>Cloud Coral</t>
  </si>
  <si>
    <t>Skyworm</t>
  </si>
  <si>
    <t>Glacier Core</t>
  </si>
  <si>
    <t>Red Balloon</t>
  </si>
  <si>
    <t>Warballoon</t>
  </si>
  <si>
    <t>Rime Eater</t>
  </si>
  <si>
    <t>Hailfinder</t>
  </si>
  <si>
    <t>Icepick</t>
  </si>
  <si>
    <t>Stonefly Nymph</t>
  </si>
  <si>
    <t>Ice Faerie</t>
  </si>
  <si>
    <t>Sorcerer Fish</t>
  </si>
  <si>
    <t>Albino Octopus</t>
  </si>
  <si>
    <t>Coerthan Clione</t>
  </si>
  <si>
    <t>Flarefish</t>
  </si>
  <si>
    <t>Hotrod</t>
  </si>
  <si>
    <t>Capelin</t>
  </si>
  <si>
    <t>Priestfish</t>
  </si>
  <si>
    <t>Ghost Faerie</t>
  </si>
  <si>
    <t>Bishopfish</t>
  </si>
  <si>
    <t>Charibenet</t>
  </si>
  <si>
    <t>Timeworn Dragonskin Map</t>
  </si>
  <si>
    <t>Ogre Horn Snail</t>
  </si>
  <si>
    <t>Cherry Trout</t>
  </si>
  <si>
    <t>Bladed Steel Jig</t>
  </si>
  <si>
    <t>Hospitalier Fish</t>
  </si>
  <si>
    <t>Spring Urchin</t>
  </si>
  <si>
    <t>Dragonspine</t>
  </si>
  <si>
    <t>Signature Skyball</t>
  </si>
  <si>
    <t>The Impaler</t>
  </si>
  <si>
    <t>Lake Urchin</t>
  </si>
  <si>
    <t>Ammonite</t>
  </si>
  <si>
    <t>Seema Patrician</t>
  </si>
  <si>
    <t>Fanged Clam</t>
  </si>
  <si>
    <t>Mountain Kraken</t>
  </si>
  <si>
    <t>Magic Bucket</t>
  </si>
  <si>
    <t>Captain Nemo</t>
  </si>
  <si>
    <t>Gigant Grouper</t>
  </si>
  <si>
    <t>Goblin Jig</t>
  </si>
  <si>
    <t>Battle Galley</t>
  </si>
  <si>
    <t>Northern Oyster</t>
  </si>
  <si>
    <t>La Reale</t>
  </si>
  <si>
    <t>Mercy Staff</t>
  </si>
  <si>
    <t>Snowcaller</t>
  </si>
  <si>
    <t>Coerthan Oyster</t>
  </si>
  <si>
    <t>Warmscale Pleco</t>
  </si>
  <si>
    <t>Merciless</t>
  </si>
  <si>
    <t>Heliobatis</t>
  </si>
  <si>
    <t>Aetherlouse</t>
  </si>
  <si>
    <t>Ignus Horn</t>
  </si>
  <si>
    <t>Blood Red Bonytongue</t>
  </si>
  <si>
    <t>Poxpike</t>
  </si>
  <si>
    <t>Void Bass</t>
  </si>
  <si>
    <t>Timeworn Toadskin Map</t>
  </si>
  <si>
    <t>Cadaver Carp</t>
  </si>
  <si>
    <t>Ninja Betta</t>
  </si>
  <si>
    <t>Timeworn Boarskin Map</t>
  </si>
  <si>
    <t>Morinabaligi</t>
  </si>
  <si>
    <t>Canavan</t>
  </si>
  <si>
    <t>Kuno the Killer</t>
  </si>
  <si>
    <t>Pike Eel</t>
  </si>
  <si>
    <t>Sunfish</t>
  </si>
  <si>
    <t>Helmsman's Hand</t>
  </si>
  <si>
    <t>Mummer Wrasse</t>
  </si>
  <si>
    <t>Frilled Shark</t>
  </si>
  <si>
    <t>Nautilus</t>
  </si>
  <si>
    <t>The Captain's Chalice</t>
  </si>
  <si>
    <t>Coelacanth</t>
  </si>
  <si>
    <t>Coelacanthus</t>
  </si>
  <si>
    <t>Endoceras</t>
  </si>
  <si>
    <t>Dinichthys</t>
  </si>
  <si>
    <t>Seahag</t>
  </si>
  <si>
    <t>Jade Eel</t>
  </si>
  <si>
    <t>Four-eyed Fish</t>
  </si>
  <si>
    <t>Coeurlfish</t>
  </si>
  <si>
    <t>Toramafish</t>
  </si>
  <si>
    <t>Joan of Trout</t>
  </si>
  <si>
    <t>Worm of Nym</t>
  </si>
  <si>
    <t>Giant Catfish</t>
  </si>
  <si>
    <t>King of the Spring</t>
  </si>
  <si>
    <t>Giant Donko</t>
  </si>
  <si>
    <t>Thundergut</t>
  </si>
  <si>
    <t>Twitchbeard</t>
  </si>
  <si>
    <t>spearfishing</t>
  </si>
  <si>
    <t>Lakeskipper</t>
  </si>
  <si>
    <t>Bronze Eel</t>
  </si>
  <si>
    <t>Striped Peacock Bass</t>
  </si>
  <si>
    <t>Bronze Trout</t>
  </si>
  <si>
    <t>Opal Tetra</t>
  </si>
  <si>
    <t>Grade 2 Artisanal Skybuilders' Cometfish</t>
  </si>
  <si>
    <t>Grade 2 Artisanal Skybuilders' Rhomaleosaurus</t>
  </si>
  <si>
    <t>Grade 4 Skybuilders' Ghost Faerie</t>
  </si>
  <si>
    <t>Grade 4 Skybuilders' Ashfish</t>
  </si>
  <si>
    <t>Grade 4 Skybuilders' Whitehorse</t>
  </si>
  <si>
    <t>Grade 4 Artisanal Skybuilders' Sweatfish</t>
  </si>
  <si>
    <t>Grade 4 Artisanal Skybuilders' Marrella</t>
  </si>
  <si>
    <t>Grade 2 Artisanal Skybuilders' Pterodactyl</t>
  </si>
  <si>
    <t>Grade 2 Artisanal Skybuilders' Skyfish</t>
  </si>
  <si>
    <t>Grade 2 Artisanal Skybuilders' Rhamphorhynchus</t>
  </si>
  <si>
    <t>Grade 2 Artisanal Skybuilders' Dragon's Soul</t>
  </si>
  <si>
    <t>Grade 3 Artisanal Skybuilders' Mosasaur</t>
  </si>
  <si>
    <t>Grade 3 Artisanal Skybuilders' Storm Chaser</t>
  </si>
  <si>
    <t>Grade 3 Artisanal Skybuilders' Wyvern</t>
  </si>
  <si>
    <t>Grade 3 Artisanal Skybuilders' Helicoprion</t>
  </si>
  <si>
    <t>Grade 4 Artisanal Skybuilders' Lightning Chaser</t>
  </si>
  <si>
    <t>Grade 2 Artisanal Skybuilders' Anomalocaris</t>
  </si>
  <si>
    <t>Grade 2 Artisanal Skybuilders' Gobbie Mask</t>
  </si>
  <si>
    <t>Grade 4 Skybuilders' Ocean Cloud</t>
  </si>
  <si>
    <t>Grade 4 Artisanal Skybuilders' Sculptor</t>
  </si>
  <si>
    <t>Grade 4 Artisanal Skybuilders' Crimson Namitaro</t>
  </si>
  <si>
    <t>Grade 4 Skybuilders' Starflower</t>
  </si>
  <si>
    <t>Grade 4 Skybuilders' Cyan Crab</t>
  </si>
  <si>
    <t>Grade 4 Skybuilders' Fickle Krait</t>
  </si>
  <si>
    <t>Grade 4 Skybuilders' Proto-hropken</t>
  </si>
  <si>
    <t>Grade 4 Skybuilders' Glacier Core</t>
  </si>
  <si>
    <t>Grade 4 Skybuilders' Kissing Fish</t>
  </si>
  <si>
    <t>Grade 4 Skybuilders' Cavalry Catfish</t>
  </si>
  <si>
    <t>Grade 4 Skybuilders' Manasail</t>
  </si>
  <si>
    <t>Grade 4 Skybuilders' Zagas Khaal</t>
  </si>
  <si>
    <t>Grade 4 Skybuilders' Goldsmith Crab</t>
  </si>
  <si>
    <t>Grade 4 Skybuilders' Common Bitterling</t>
  </si>
  <si>
    <t>Grade 4 Skybuilders' Skyloach</t>
  </si>
  <si>
    <t>Grade 4 Skybuilders' Black Fanfish</t>
  </si>
  <si>
    <t>Grade 4 Artisanal Skybuilders' Little Thalaos</t>
  </si>
  <si>
    <t>Grade 4 Artisanal Skybuilders' Griffin</t>
  </si>
  <si>
    <t>Grade 3 Artisanal Skybuilders' Oscar</t>
  </si>
  <si>
    <t>Grade 3 Artisanal Skybuilders' Blind Manta</t>
  </si>
  <si>
    <t>Grade 3 Artisanal Skybuilders' Archaeopteryx</t>
  </si>
  <si>
    <t>Grade 3 Artisanal Skybuilders' Cloudshark</t>
  </si>
  <si>
    <t>Grade 4 Skybuilders' Sunfish</t>
  </si>
  <si>
    <t>Grade 4 Artisanal Skybuilders' Meganeura</t>
  </si>
  <si>
    <t>Mosquito Fish</t>
  </si>
  <si>
    <t>Honeybee</t>
  </si>
  <si>
    <t>Pel Frog</t>
  </si>
  <si>
    <t>Golden Stonefly Nymph</t>
  </si>
  <si>
    <t>Petticoat Tetra</t>
  </si>
  <si>
    <t>Icuvlo's Barter</t>
  </si>
  <si>
    <t>Red Maggots</t>
  </si>
  <si>
    <t>Reasonscale Silverside</t>
  </si>
  <si>
    <t>Crimson Lugworm</t>
  </si>
  <si>
    <t>Stardust Shrimp</t>
  </si>
  <si>
    <t>Shucked Clam</t>
  </si>
  <si>
    <t>Shallows Sot</t>
  </si>
  <si>
    <t>Ghostfish</t>
  </si>
  <si>
    <t>Permit</t>
  </si>
  <si>
    <t>Ghost Nipper</t>
  </si>
  <si>
    <t>Inktopus</t>
  </si>
  <si>
    <t>Cabinkeep Permit</t>
  </si>
  <si>
    <t>Floating Fife</t>
  </si>
  <si>
    <t>Blue Purse</t>
  </si>
  <si>
    <t>Goldfin Cavalli</t>
  </si>
  <si>
    <t>Harbor Cloud</t>
  </si>
  <si>
    <t>Purse of Riches</t>
  </si>
  <si>
    <t>Sea Alpaca</t>
  </si>
  <si>
    <t>Silkmoth Pupa</t>
  </si>
  <si>
    <t>Marbled Hatchetfish</t>
  </si>
  <si>
    <t>Starsnipper</t>
  </si>
  <si>
    <t>Urqotrout</t>
  </si>
  <si>
    <t>Yok Huy Stonecutter</t>
  </si>
  <si>
    <t>Moongripper</t>
  </si>
  <si>
    <t>White Worm</t>
  </si>
  <si>
    <t>Chirwagur Loach</t>
  </si>
  <si>
    <t>Alright Alright Alright</t>
  </si>
  <si>
    <t>Zorlortor</t>
  </si>
  <si>
    <t>Shooting Starscale</t>
  </si>
  <si>
    <t>Ole Ole Ole</t>
  </si>
  <si>
    <t>First Feastfish</t>
  </si>
  <si>
    <t>Urqofrog</t>
  </si>
  <si>
    <t>Zeh Tortoh</t>
  </si>
  <si>
    <t>Morsel Trout</t>
  </si>
  <si>
    <t>Deepwarden</t>
  </si>
  <si>
    <t>Prime Adjudicator</t>
  </si>
  <si>
    <t>Kozama'uka Skipper</t>
  </si>
  <si>
    <t>Bopo'u Sleeper</t>
  </si>
  <si>
    <t>Poison Dyefrog</t>
  </si>
  <si>
    <t>Pleated Matamata</t>
  </si>
  <si>
    <t>Uyuy Xage</t>
  </si>
  <si>
    <t>Oily Ropefish</t>
  </si>
  <si>
    <t>Muttering Matamata</t>
  </si>
  <si>
    <t>Plattershell</t>
  </si>
  <si>
    <t>Pote'uka</t>
  </si>
  <si>
    <t>Cazuela Crab</t>
  </si>
  <si>
    <t>Candiru</t>
  </si>
  <si>
    <t>Trahira</t>
  </si>
  <si>
    <t>Driftwood Catfish</t>
  </si>
  <si>
    <t>Riverlong Candiru</t>
  </si>
  <si>
    <t>Oho Hunu</t>
  </si>
  <si>
    <t>Bronze Pleco</t>
  </si>
  <si>
    <t>Crenicichla</t>
  </si>
  <si>
    <t>Crenicichla Miyaka</t>
  </si>
  <si>
    <t>Hunu Peacock Bass</t>
  </si>
  <si>
    <t>Pelubane</t>
  </si>
  <si>
    <t>Giant Trahira</t>
  </si>
  <si>
    <t>Punutiy Pain</t>
  </si>
  <si>
    <t>Turali Loach</t>
  </si>
  <si>
    <t>Yok Huy Toad</t>
  </si>
  <si>
    <t>Stone Pleco</t>
  </si>
  <si>
    <t>Shark Catfish</t>
  </si>
  <si>
    <t>Zeh Lar Dor</t>
  </si>
  <si>
    <t>Karvarichthys</t>
  </si>
  <si>
    <t>Ku'uxage Bitterling</t>
  </si>
  <si>
    <t>Tonguesnatcher</t>
  </si>
  <si>
    <t>Corn Dace</t>
  </si>
  <si>
    <t>Ka Puyhu</t>
  </si>
  <si>
    <t>Purple Palate</t>
  </si>
  <si>
    <t>Shuckfin Dace</t>
  </si>
  <si>
    <t>Ligaka Guppy</t>
  </si>
  <si>
    <t>Dumplingfish</t>
  </si>
  <si>
    <t>Banded Candiru</t>
  </si>
  <si>
    <t>Oxydoras</t>
  </si>
  <si>
    <t>Popper Lure</t>
  </si>
  <si>
    <t>Honeycomb Sponge</t>
  </si>
  <si>
    <t>Iron Oxydoras</t>
  </si>
  <si>
    <t>Spotted Stingray</t>
  </si>
  <si>
    <t>Yellow Peacock Bass</t>
  </si>
  <si>
    <t>Excavator Catfish</t>
  </si>
  <si>
    <t>Shimmering Shadow</t>
  </si>
  <si>
    <t>Ut'ohmu Dawnfish</t>
  </si>
  <si>
    <t>Belonesox</t>
  </si>
  <si>
    <t>Xd'aa Talat Cichlid</t>
  </si>
  <si>
    <t>Ilyon Asoh Cichlid</t>
  </si>
  <si>
    <t>Iq Br'aax Sailfin</t>
  </si>
  <si>
    <t>Hunmu Ob</t>
  </si>
  <si>
    <t>Iq Ebaji</t>
  </si>
  <si>
    <t>Deep Canopy</t>
  </si>
  <si>
    <t>Apoda</t>
  </si>
  <si>
    <t>Mirror Carp</t>
  </si>
  <si>
    <t>Yak Awak Core</t>
  </si>
  <si>
    <t>Awaksbane Apoda</t>
  </si>
  <si>
    <t>Tsoly Mu</t>
  </si>
  <si>
    <t>Iq Rrax Leaffish</t>
  </si>
  <si>
    <t>Archmatron Angelfish</t>
  </si>
  <si>
    <t>Yak T'el Salamander</t>
  </si>
  <si>
    <t>Shadowtongue</t>
  </si>
  <si>
    <t>Iron Shadowtongue</t>
  </si>
  <si>
    <t>Cloud-eye Carp</t>
  </si>
  <si>
    <t>Xobr'it Lobster</t>
  </si>
  <si>
    <t>Sunbright Axolotl</t>
  </si>
  <si>
    <t>Lotl-in-waiting</t>
  </si>
  <si>
    <t>Turali Beaded Lizard</t>
  </si>
  <si>
    <t>Ankledeep Catfish</t>
  </si>
  <si>
    <t>Shin Snuffler</t>
  </si>
  <si>
    <t>Severum</t>
  </si>
  <si>
    <t>Ligaka Blossom</t>
  </si>
  <si>
    <t>Potglaze Stingray</t>
  </si>
  <si>
    <t>Emberwisp</t>
  </si>
  <si>
    <t>Ihuyka Colossoma</t>
  </si>
  <si>
    <t>Torchtail</t>
  </si>
  <si>
    <t>Variegated Sisterscale</t>
  </si>
  <si>
    <t>Kozama'uka Characin</t>
  </si>
  <si>
    <t>Charcoal Eel</t>
  </si>
  <si>
    <t>Rainbow Pipira</t>
  </si>
  <si>
    <t>Lau Lau</t>
  </si>
  <si>
    <t>Ligaka Pirarucu</t>
  </si>
  <si>
    <t>Piraputanga</t>
  </si>
  <si>
    <t>Purussaurus</t>
  </si>
  <si>
    <t>Mudfish</t>
  </si>
  <si>
    <t>Yak T'el Catfish</t>
  </si>
  <si>
    <t>Checkered Cichlid</t>
  </si>
  <si>
    <t>Moxutural Gar</t>
  </si>
  <si>
    <t>Moxutural Greatgar</t>
  </si>
  <si>
    <t>Variatus</t>
  </si>
  <si>
    <t>Welkin Catfish</t>
  </si>
  <si>
    <t>Flawless Saucer</t>
  </si>
  <si>
    <t>Moonmarking Saucer</t>
  </si>
  <si>
    <t>Glittergill</t>
  </si>
  <si>
    <t>Twig Catfish</t>
  </si>
  <si>
    <t>Autarch's Supper</t>
  </si>
  <si>
    <t>Blind Brotula</t>
  </si>
  <si>
    <t>Yak T'el Caiman</t>
  </si>
  <si>
    <t>Cenote Oyster</t>
  </si>
  <si>
    <t>Bitterbark Caiman</t>
  </si>
  <si>
    <t>Ut'ohmu Tiika</t>
  </si>
  <si>
    <t>Sharknose Goby</t>
  </si>
  <si>
    <t>Yak T'el Crab</t>
  </si>
  <si>
    <t>Xty'iinbek Sleeper</t>
  </si>
  <si>
    <t>Chain Shark</t>
  </si>
  <si>
    <t>Stardust Sleeper</t>
  </si>
  <si>
    <t>Everkeep Yabby</t>
  </si>
  <si>
    <t>Stickleback</t>
  </si>
  <si>
    <t>Custodian Carp</t>
  </si>
  <si>
    <t>Mosaic Loach</t>
  </si>
  <si>
    <t>Pixel Loach</t>
  </si>
  <si>
    <t>Bonytail Chub</t>
  </si>
  <si>
    <t>Niikwerepi Trout</t>
  </si>
  <si>
    <t>Pyariyoanaan Cichlid</t>
  </si>
  <si>
    <t>Shaaloani Salmon</t>
  </si>
  <si>
    <t>Hwittayoanaan Cichlid</t>
  </si>
  <si>
    <t>Trailtrout</t>
  </si>
  <si>
    <t>Toari Sucker</t>
  </si>
  <si>
    <t>Turali Paddlefish</t>
  </si>
  <si>
    <t>Ttokatoa</t>
  </si>
  <si>
    <t>Zorgor Core</t>
  </si>
  <si>
    <t>Cloudribbon</t>
  </si>
  <si>
    <t>Zorgor Scorpion</t>
  </si>
  <si>
    <t>Cactuar Jig</t>
  </si>
  <si>
    <t>Vagrant Cascade</t>
  </si>
  <si>
    <t>Zorgor Condor</t>
  </si>
  <si>
    <t>Sunray Ray</t>
  </si>
  <si>
    <t>Yowekwa Inkhead</t>
  </si>
  <si>
    <t>Vagrant Keeper</t>
  </si>
  <si>
    <t>Turali Land Crab</t>
  </si>
  <si>
    <t>Crested Goby</t>
  </si>
  <si>
    <t>Tsoly Turtle</t>
  </si>
  <si>
    <t>Viperfish</t>
  </si>
  <si>
    <t>Horizon Crocodile</t>
  </si>
  <si>
    <t>Tsoly Gar</t>
  </si>
  <si>
    <t>Fategazer</t>
  </si>
  <si>
    <t>Frillfin Goby</t>
  </si>
  <si>
    <t>Black Ibruq</t>
  </si>
  <si>
    <t>Speckled Peacock Bass</t>
  </si>
  <si>
    <t>Golden Characin</t>
  </si>
  <si>
    <t>Deadleaf Minnow</t>
  </si>
  <si>
    <t>Glistening Discus</t>
  </si>
  <si>
    <t>Lightning Eel</t>
  </si>
  <si>
    <t>Longwhisker Lungfish</t>
  </si>
  <si>
    <t>Minted Arowana</t>
  </si>
  <si>
    <t>Br'aaxfish</t>
  </si>
  <si>
    <t>Iq Rrax Crab</t>
  </si>
  <si>
    <t>Wivre Cod</t>
  </si>
  <si>
    <t>Cloud Wasp</t>
  </si>
  <si>
    <t>Azure Glider</t>
  </si>
  <si>
    <t>Hellsnow Shark</t>
  </si>
  <si>
    <t>Raging Hanuhead</t>
  </si>
  <si>
    <t>Cloudsail</t>
  </si>
  <si>
    <t>Azure Diver</t>
  </si>
  <si>
    <t>Heritage Loach</t>
  </si>
  <si>
    <t>Outskirts Sniffer</t>
  </si>
  <si>
    <t>Pumpkin Perch</t>
  </si>
  <si>
    <t>Tiger Muskellunge</t>
  </si>
  <si>
    <t>Sprouting Perch</t>
  </si>
  <si>
    <t>Moon Croppie</t>
  </si>
  <si>
    <t>Driftdowns Trout</t>
  </si>
  <si>
    <t>Burst Lungfish</t>
  </si>
  <si>
    <t>Thunderswift Trout</t>
  </si>
  <si>
    <t>Electrobetta</t>
  </si>
  <si>
    <t>Thundering Redbelly</t>
  </si>
  <si>
    <t>Yyasulani Bowfin</t>
  </si>
  <si>
    <t>Crackling Flounder</t>
  </si>
  <si>
    <t>Thunderous Flounder</t>
  </si>
  <si>
    <t>Goldentail</t>
  </si>
  <si>
    <t>Goldgrouper</t>
  </si>
  <si>
    <t>Heirloom Goldgrouper</t>
  </si>
  <si>
    <t>Rosebud Frog</t>
  </si>
  <si>
    <t>Knight Goby</t>
  </si>
  <si>
    <t>Windspath Eel</t>
  </si>
  <si>
    <t>Harlequin Lancer</t>
  </si>
  <si>
    <t>Harlequin Queen</t>
  </si>
  <si>
    <t>Giant Snakehead</t>
  </si>
  <si>
    <t>Gigagiant Snakehead</t>
  </si>
  <si>
    <t>Datnioides</t>
  </si>
  <si>
    <t>Neo Arowana</t>
  </si>
  <si>
    <t>Datnioides Aeroplanos</t>
  </si>
  <si>
    <t>Canal Bream</t>
  </si>
  <si>
    <t>Iris Wrasse</t>
  </si>
  <si>
    <t>Canal Drum</t>
  </si>
  <si>
    <t>Butterfly Ray</t>
  </si>
  <si>
    <t>Hydro Louvar</t>
  </si>
  <si>
    <t>Gondola Louvar</t>
  </si>
  <si>
    <t>Devotion Clam</t>
  </si>
  <si>
    <t>Forgotten One</t>
  </si>
  <si>
    <t>Copper Shark</t>
  </si>
  <si>
    <t>Shined Copper Shark</t>
  </si>
  <si>
    <t>Golden Day</t>
  </si>
  <si>
    <t>Starglass Gibel</t>
  </si>
  <si>
    <t>Scarlet Queen</t>
  </si>
  <si>
    <t>Ultimoat Carp</t>
  </si>
  <si>
    <t>Esperance Carp</t>
  </si>
  <si>
    <t>Warmouth</t>
  </si>
  <si>
    <t>Shaaloani Goby</t>
  </si>
  <si>
    <t>Sauger</t>
  </si>
  <si>
    <t>Niikwerepi Bass</t>
  </si>
  <si>
    <t>Midnight Carp</t>
  </si>
  <si>
    <t>Pecten</t>
  </si>
  <si>
    <t>Shrimp Ball</t>
  </si>
  <si>
    <t>Northern Herring</t>
  </si>
  <si>
    <t>Dog-faced Puffer</t>
  </si>
  <si>
    <t>Cobalt Chromis</t>
  </si>
  <si>
    <t>Guitarfish</t>
  </si>
  <si>
    <t>Aetherolectric Guitarfish</t>
  </si>
  <si>
    <t>Mackerel Strip</t>
  </si>
  <si>
    <t>Astacus</t>
  </si>
  <si>
    <t>Gold Salmon Roe</t>
  </si>
  <si>
    <t>Peacock Bass</t>
  </si>
  <si>
    <t>Mayfly</t>
  </si>
  <si>
    <t>Academician</t>
  </si>
  <si>
    <t>Swordspine Snook</t>
  </si>
  <si>
    <t>Greatsword Snook</t>
  </si>
  <si>
    <t>Ponderer</t>
  </si>
  <si>
    <t>Sky Spoon Lure</t>
  </si>
  <si>
    <t>Tidal Dahlia</t>
  </si>
  <si>
    <t>Catastrophizer</t>
  </si>
  <si>
    <t>Butterfly Fry</t>
  </si>
  <si>
    <t>Topminnow</t>
  </si>
  <si>
    <t>Tessera</t>
  </si>
  <si>
    <t>Giant Aetherlouse</t>
  </si>
  <si>
    <t>Fat Snook</t>
  </si>
  <si>
    <t>Jumbo Snook</t>
  </si>
  <si>
    <t>Prochilodus Luminosus</t>
  </si>
  <si>
    <t>Xenocypris</t>
  </si>
  <si>
    <t>Mesonauta</t>
  </si>
  <si>
    <t>Greengill Salmon</t>
  </si>
  <si>
    <t>Mossgill Salmon</t>
  </si>
  <si>
    <t>Raiamas</t>
  </si>
  <si>
    <t>Leech</t>
  </si>
  <si>
    <t>Swampsucker Bowfin</t>
  </si>
  <si>
    <t>Macrobrachium Lar</t>
  </si>
  <si>
    <t>Blowgun</t>
  </si>
  <si>
    <t>Darksteel Knifefish</t>
  </si>
  <si>
    <t>Onyx Knifefish</t>
  </si>
  <si>
    <t>Astacus Aetherius</t>
  </si>
  <si>
    <t>Labyrinthos Tilapia</t>
  </si>
  <si>
    <t>Circuit Tilapia</t>
  </si>
  <si>
    <t>Hyphalosaurus</t>
  </si>
  <si>
    <t>Trunkblessed</t>
  </si>
  <si>
    <t>Seema Duta</t>
  </si>
  <si>
    <t>Longear Sunfish</t>
  </si>
  <si>
    <t>Silver Characin</t>
  </si>
  <si>
    <t>Earful</t>
  </si>
  <si>
    <t>Thavnairian Goby</t>
  </si>
  <si>
    <t>Qeyiq Sole</t>
  </si>
  <si>
    <t>Gwl Crab</t>
  </si>
  <si>
    <t>Pantherscale Grouper</t>
  </si>
  <si>
    <t>Lale Crab</t>
  </si>
  <si>
    <t>Fate's Design</t>
  </si>
  <si>
    <t>Shadowdart Sardine</t>
  </si>
  <si>
    <t>Paksa Fish</t>
  </si>
  <si>
    <t>Chalky Coral</t>
  </si>
  <si>
    <t>Jhinga</t>
  </si>
  <si>
    <t>Durdina Fish</t>
  </si>
  <si>
    <t>Garjana Wrasse</t>
  </si>
  <si>
    <t>Golden Barramundi</t>
  </si>
  <si>
    <t>Sarikuyruk</t>
  </si>
  <si>
    <t>Vidyutvat Wrasse</t>
  </si>
  <si>
    <t>Kadjaya's Castaway</t>
  </si>
  <si>
    <t>Marid Frog</t>
  </si>
  <si>
    <t>Bluegill</t>
  </si>
  <si>
    <t>Bronze Pipira</t>
  </si>
  <si>
    <t>Hippo Frog</t>
  </si>
  <si>
    <t>Green Swordtail</t>
  </si>
  <si>
    <t>Ksirapayin</t>
  </si>
  <si>
    <t>Wakeful Watcher</t>
  </si>
  <si>
    <t>Red Drum</t>
  </si>
  <si>
    <t>Wakeful Warden</t>
  </si>
  <si>
    <t>Forgeflame</t>
  </si>
  <si>
    <t>Bicuda</t>
  </si>
  <si>
    <t>Seedtoad</t>
  </si>
  <si>
    <t>Bigcuda</t>
  </si>
  <si>
    <t>Radzbalik</t>
  </si>
  <si>
    <t>Half-moon Betta</t>
  </si>
  <si>
    <t>Banana Eel</t>
  </si>
  <si>
    <t>Browned Banana Eel</t>
  </si>
  <si>
    <t>Handy Hamsa</t>
  </si>
  <si>
    <t>Flowerhorn</t>
  </si>
  <si>
    <t>Thavnairian Caiman</t>
  </si>
  <si>
    <t>Mayaman</t>
  </si>
  <si>
    <t>Fiery Goby</t>
  </si>
  <si>
    <t>Puff-paya</t>
  </si>
  <si>
    <t>Narunnairian Octopus</t>
  </si>
  <si>
    <t>Roosterfish</t>
  </si>
  <si>
    <t>Basilosaurus</t>
  </si>
  <si>
    <t>Thavnairian Calamari</t>
  </si>
  <si>
    <t>Basilosaurus Rex</t>
  </si>
  <si>
    <t>Gharlichthys</t>
  </si>
  <si>
    <t>Garlean Clam</t>
  </si>
  <si>
    <t>Animulus</t>
  </si>
  <si>
    <t>Eblan Trout</t>
  </si>
  <si>
    <t>Cerule Core</t>
  </si>
  <si>
    <t>Icepike</t>
  </si>
  <si>
    <t>Rimepike</t>
  </si>
  <si>
    <t>Snowy Parexus</t>
  </si>
  <si>
    <t>Dark Crown</t>
  </si>
  <si>
    <t>Imperial Pleco</t>
  </si>
  <si>
    <t>Bluetail</t>
  </si>
  <si>
    <t>Kitty Herring</t>
  </si>
  <si>
    <t>Sovereign Shadow</t>
  </si>
  <si>
    <t>Star-blue Guppy</t>
  </si>
  <si>
    <t>Lunar Cichlid</t>
  </si>
  <si>
    <t>Teareye</t>
  </si>
  <si>
    <t>Replipirarucu</t>
  </si>
  <si>
    <t>Ossicula</t>
  </si>
  <si>
    <t>Disappirarucu</t>
  </si>
  <si>
    <t>Thavnairian Cucumber</t>
  </si>
  <si>
    <t>Spiny King Crab</t>
  </si>
  <si>
    <t>Thavnairian Eel</t>
  </si>
  <si>
    <t>Purusa Fish</t>
  </si>
  <si>
    <t>Giantsgall Jaw</t>
  </si>
  <si>
    <t>Akyaali Sardine</t>
  </si>
  <si>
    <t>Spicy Pickle</t>
  </si>
  <si>
    <t>Mayavahana</t>
  </si>
  <si>
    <t>Hedonfish</t>
  </si>
  <si>
    <t>Satrap Trapfish</t>
  </si>
  <si>
    <t>Blue Marlin</t>
  </si>
  <si>
    <t>Satrap's Whisper</t>
  </si>
  <si>
    <t>Meyhane Reveler</t>
  </si>
  <si>
    <t>Shallows Cod</t>
  </si>
  <si>
    <t>Rasa Fish</t>
  </si>
  <si>
    <t>Daemir's Alloy</t>
  </si>
  <si>
    <t>Dusky Shark</t>
  </si>
  <si>
    <t>Agama's Palm</t>
  </si>
  <si>
    <t>Rummy-nosed Tetra</t>
  </si>
  <si>
    <t>Monksblade</t>
  </si>
  <si>
    <t>Atamra Cichlid</t>
  </si>
  <si>
    <t>Root of Maya</t>
  </si>
  <si>
    <t>Floral Snakehead</t>
  </si>
  <si>
    <t>Xiphactinus</t>
  </si>
  <si>
    <t>Tebqeyiq Smelt</t>
  </si>
  <si>
    <t>Feverfish</t>
  </si>
  <si>
    <t>Grey Worm</t>
  </si>
  <si>
    <t>Calicia</t>
  </si>
  <si>
    <t>Chimera Worm</t>
  </si>
  <si>
    <t>Lunar Deathworm</t>
  </si>
  <si>
    <t>Chlorophos Deathworm</t>
  </si>
  <si>
    <t>Lopoceras Elegans</t>
  </si>
  <si>
    <t>Fleeting Brand</t>
  </si>
  <si>
    <t>Versatile Lure</t>
  </si>
  <si>
    <t>Regotoise</t>
  </si>
  <si>
    <t>Frozen Regotoise</t>
  </si>
  <si>
    <t>Superstring</t>
  </si>
  <si>
    <t>Dragonscale</t>
  </si>
  <si>
    <t>Star Eater</t>
  </si>
  <si>
    <t>Ypupîara</t>
  </si>
  <si>
    <t>Eehs Fan</t>
  </si>
  <si>
    <t>Glassfish</t>
  </si>
  <si>
    <t>Foun Myhk</t>
  </si>
  <si>
    <t>Foun Ahlm</t>
  </si>
  <si>
    <t>Vacuum Shrimp</t>
  </si>
  <si>
    <t>Cosmic Noise</t>
  </si>
  <si>
    <t>Cosmic Haze</t>
  </si>
  <si>
    <t>Protoflesh</t>
  </si>
  <si>
    <t>Katoptron</t>
  </si>
  <si>
    <t>Comet Tail</t>
  </si>
  <si>
    <t>Aoide</t>
  </si>
  <si>
    <t>Starscryer</t>
  </si>
  <si>
    <t>Wandering Starscale</t>
  </si>
  <si>
    <t>Starscale Ephemeris</t>
  </si>
  <si>
    <t>Wormhole Worm</t>
  </si>
  <si>
    <t>Panic Jig</t>
  </si>
  <si>
    <t>Unidentified Flying Biomass II</t>
  </si>
  <si>
    <t>Stardust</t>
  </si>
  <si>
    <t>Sophos Deka-okto</t>
  </si>
  <si>
    <t>Class Twenty-four</t>
  </si>
  <si>
    <t>Terrifyingway</t>
  </si>
  <si>
    <t>Alien Mertone</t>
  </si>
  <si>
    <t>Monster Carrot</t>
  </si>
  <si>
    <t>Forbiddingway</t>
  </si>
  <si>
    <t>Triaina</t>
  </si>
  <si>
    <t>Argonaut</t>
  </si>
  <si>
    <t>Echinos</t>
  </si>
  <si>
    <t>Space Bishop</t>
  </si>
  <si>
    <t>Alyketos</t>
  </si>
  <si>
    <t>Argonauta argo</t>
  </si>
  <si>
    <t>Horizon Event</t>
  </si>
  <si>
    <t>E.B.E.-9318</t>
  </si>
  <si>
    <t>Unbegotten</t>
  </si>
  <si>
    <t>Phallaina</t>
  </si>
  <si>
    <t>E.B.E.-852738</t>
  </si>
  <si>
    <t>Sidereal Whale</t>
  </si>
  <si>
    <t>Isle Skipper</t>
  </si>
  <si>
    <t>Albino Loach</t>
  </si>
  <si>
    <t>Iribainion</t>
  </si>
  <si>
    <t>Golden Shiner</t>
  </si>
  <si>
    <t>Mangar</t>
  </si>
  <si>
    <t>Planetes</t>
  </si>
  <si>
    <t>Dermogenys</t>
  </si>
  <si>
    <t>Colossoma</t>
  </si>
  <si>
    <t>Gilt Dermogenys</t>
  </si>
  <si>
    <t>Antheia</t>
  </si>
  <si>
    <t>Smaragdos</t>
  </si>
  <si>
    <t>Antheian Dahlia</t>
  </si>
  <si>
    <t>Furcacauda</t>
  </si>
  <si>
    <t>Hedgemole Cricket</t>
  </si>
  <si>
    <t>Cloudfish</t>
  </si>
  <si>
    <t>Bullfrog</t>
  </si>
  <si>
    <t>Maiboi</t>
  </si>
  <si>
    <t>Bubble Eye</t>
  </si>
  <si>
    <t>Cloud Kelp</t>
  </si>
  <si>
    <t>Inkfish</t>
  </si>
  <si>
    <t>Yalm Lobster</t>
  </si>
  <si>
    <t>Vanuhead</t>
  </si>
  <si>
    <t>Catkiller</t>
  </si>
  <si>
    <t>Red Sky Coral</t>
  </si>
  <si>
    <t>Paikiller</t>
  </si>
  <si>
    <t>Starflower</t>
  </si>
  <si>
    <t>Buoyant Oviform</t>
  </si>
  <si>
    <t>Mahu Wai</t>
  </si>
  <si>
    <t>Mitre Slug</t>
  </si>
  <si>
    <t>Blue Cloud Coral</t>
  </si>
  <si>
    <t>Fleece Stingray</t>
  </si>
  <si>
    <t>Giant Crane Fly</t>
  </si>
  <si>
    <t>Cirrostratus</t>
  </si>
  <si>
    <t>Sky Faerie</t>
  </si>
  <si>
    <t>Whiteloom</t>
  </si>
  <si>
    <t>Storm Core</t>
  </si>
  <si>
    <t>Winged Gurnard</t>
  </si>
  <si>
    <t>Sky Sweeper</t>
  </si>
  <si>
    <t>Tornado Shark</t>
  </si>
  <si>
    <t>Cloudweed</t>
  </si>
  <si>
    <t>The Second One</t>
  </si>
  <si>
    <t>Scorpionfly</t>
  </si>
  <si>
    <t>Moogle Spirit</t>
  </si>
  <si>
    <t>Vampiric Tapestry</t>
  </si>
  <si>
    <t>Heavens Coral</t>
  </si>
  <si>
    <t>Basking Shark</t>
  </si>
  <si>
    <t>Sea Butterfly</t>
  </si>
  <si>
    <t>Platinum Fish</t>
  </si>
  <si>
    <t>Fiend Worm</t>
  </si>
  <si>
    <t>Bullwhip</t>
  </si>
  <si>
    <t>Blood Skipper</t>
  </si>
  <si>
    <t>High Allagan Helmet</t>
  </si>
  <si>
    <t>Allagan Hunter</t>
  </si>
  <si>
    <t>Augmented High Allagan Helmet</t>
  </si>
  <si>
    <t>Aetherochemical Compound #123</t>
  </si>
  <si>
    <t>Proto-hropken</t>
  </si>
  <si>
    <t>Aetherochemical Compound #666</t>
  </si>
  <si>
    <t>Timeworn Wyvernskin Map</t>
  </si>
  <si>
    <t>Azysfish</t>
  </si>
  <si>
    <t>Oil Eel</t>
  </si>
  <si>
    <t>Mucous Minnow</t>
  </si>
  <si>
    <t>Oliphant's Trunk</t>
  </si>
  <si>
    <t>Ceti</t>
  </si>
  <si>
    <t>Fountfish</t>
  </si>
  <si>
    <t>Rockclimber</t>
  </si>
  <si>
    <t>Aether Eye</t>
  </si>
  <si>
    <t>Euphotic Pirarucu</t>
  </si>
  <si>
    <t>Pickled Pom</t>
  </si>
  <si>
    <t>Aphotic Pirarucu</t>
  </si>
  <si>
    <t>Crystalfin</t>
  </si>
  <si>
    <t>Lungfish</t>
  </si>
  <si>
    <t>Tiny Axolotl</t>
  </si>
  <si>
    <t>Flintstrike</t>
  </si>
  <si>
    <t>Hundred-eyed Axolotl</t>
  </si>
  <si>
    <t>Rudderfish</t>
  </si>
  <si>
    <t>Unidentified Flying Biomass</t>
  </si>
  <si>
    <t>Bomb Puffer</t>
  </si>
  <si>
    <t>Stupendemys</t>
  </si>
  <si>
    <t>Cobrafish</t>
  </si>
  <si>
    <t>Crystal Pigeon</t>
  </si>
  <si>
    <t>Jeweled Jellyfish</t>
  </si>
  <si>
    <t>Barreleye</t>
  </si>
  <si>
    <t>Functional Proto-hropken</t>
  </si>
  <si>
    <t>Allagan Bladeshark</t>
  </si>
  <si>
    <t>Opabinia</t>
  </si>
  <si>
    <t>Whilom Catfish</t>
  </si>
  <si>
    <t>Pipira Pira</t>
  </si>
  <si>
    <t>Blueclaw Shrimp</t>
  </si>
  <si>
    <t>Grass Carp</t>
  </si>
  <si>
    <t>Shadowhisker</t>
  </si>
  <si>
    <t>Dravanian Smelt</t>
  </si>
  <si>
    <t>River Shrimp</t>
  </si>
  <si>
    <t>Scaleripper</t>
  </si>
  <si>
    <t>Timeworn Archaeoskin Map</t>
  </si>
  <si>
    <t>Rock Mussel</t>
  </si>
  <si>
    <t>Three-lip Carp</t>
  </si>
  <si>
    <t>Twin-tongued Carp</t>
  </si>
  <si>
    <t>Warmwater Bichir</t>
  </si>
  <si>
    <t>Marble Oscar</t>
  </si>
  <si>
    <t>The Dreamweaver</t>
  </si>
  <si>
    <t>Thunderbolt Eel</t>
  </si>
  <si>
    <t>Amber Salamander</t>
  </si>
  <si>
    <t>Thunderscale</t>
  </si>
  <si>
    <t>Lava Crab</t>
  </si>
  <si>
    <t>Magma Worm</t>
  </si>
  <si>
    <t>Granite Crab</t>
  </si>
  <si>
    <t>Cindersmith</t>
  </si>
  <si>
    <t>Cometoise</t>
  </si>
  <si>
    <t>Oven Catfish</t>
  </si>
  <si>
    <t>Meteortoise</t>
  </si>
  <si>
    <t>Aithon's Colt</t>
  </si>
  <si>
    <t>Magma Tree</t>
  </si>
  <si>
    <t>Black Magefish</t>
  </si>
  <si>
    <t>Hraesvelgr's Tear</t>
  </si>
  <si>
    <t>Magma Louse</t>
  </si>
  <si>
    <t>Hoplite</t>
  </si>
  <si>
    <t>Riddle</t>
  </si>
  <si>
    <t>Fossiltongue</t>
  </si>
  <si>
    <t>Lavalord</t>
  </si>
  <si>
    <t>Lava Snail</t>
  </si>
  <si>
    <t>The Lord of Lords</t>
  </si>
  <si>
    <t>Problematicus</t>
  </si>
  <si>
    <t>Sweetfish</t>
  </si>
  <si>
    <t>Philosopher's Stone</t>
  </si>
  <si>
    <t>Shipworm</t>
  </si>
  <si>
    <t>Autumn Leaf</t>
  </si>
  <si>
    <t>Illuminati Perch</t>
  </si>
  <si>
    <t>Hinterlands Perch</t>
  </si>
  <si>
    <t>Thinker's Coral</t>
  </si>
  <si>
    <t>The Ewer King</t>
  </si>
  <si>
    <t>Orn Butterfly</t>
  </si>
  <si>
    <t>Tigerfish</t>
  </si>
  <si>
    <t>Gnomefish</t>
  </si>
  <si>
    <t>Dravanian Scallop</t>
  </si>
  <si>
    <t>Madam Butterfly</t>
  </si>
  <si>
    <t>Scholar Sculpin</t>
  </si>
  <si>
    <t>Loosetongue</t>
  </si>
  <si>
    <t>Armored Catfish</t>
  </si>
  <si>
    <t>Thavnairian Leaf</t>
  </si>
  <si>
    <t>The Speaker</t>
  </si>
  <si>
    <t>Armor Fish</t>
  </si>
  <si>
    <t>Berserker Betta</t>
  </si>
  <si>
    <t>Goblin Bass</t>
  </si>
  <si>
    <t>Inkshell</t>
  </si>
  <si>
    <t>Bobgoblin Bass</t>
  </si>
  <si>
    <t>Kissing Fish</t>
  </si>
  <si>
    <t>Noontide Oscar</t>
  </si>
  <si>
    <t>Vidofnir</t>
  </si>
  <si>
    <t>Mogpom</t>
  </si>
  <si>
    <t>Moggle Mogpom</t>
  </si>
  <si>
    <t>Holier-than Mogpom</t>
  </si>
  <si>
    <t>Dravanian Squeaker</t>
  </si>
  <si>
    <t>Weston Bowfin</t>
  </si>
  <si>
    <t>Hundred Fin</t>
  </si>
  <si>
    <t>Lovers' Clam</t>
  </si>
  <si>
    <t>Illuminati Mask</t>
  </si>
  <si>
    <t>Thousand Fin</t>
  </si>
  <si>
    <t>Gloaming Coral</t>
  </si>
  <si>
    <t>Cloud Rider</t>
  </si>
  <si>
    <t>Letter Puffer</t>
  </si>
  <si>
    <t>Dragon's Soul</t>
  </si>
  <si>
    <t>Sunsail</t>
  </si>
  <si>
    <t>The Soul of the Martyr</t>
  </si>
  <si>
    <t>Gobbie Mask</t>
  </si>
  <si>
    <t>Star Faerie</t>
  </si>
  <si>
    <t>Dimorphodon</t>
  </si>
  <si>
    <t>Brown Bolo</t>
  </si>
  <si>
    <t>Storm Chaser</t>
  </si>
  <si>
    <t>Nyctosaur</t>
  </si>
  <si>
    <t>Bloodchaser</t>
  </si>
  <si>
    <t>Raimdellopterus</t>
  </si>
  <si>
    <t>Galadion Goby</t>
  </si>
  <si>
    <t>Ragworm</t>
  </si>
  <si>
    <t>Galadion Chovy</t>
  </si>
  <si>
    <t>Krill</t>
  </si>
  <si>
    <t>Leopard Eel</t>
  </si>
  <si>
    <t>Plump Worm</t>
  </si>
  <si>
    <t>Jasperhead</t>
  </si>
  <si>
    <t>Tarnished Shark</t>
  </si>
  <si>
    <t>Rosy Bream</t>
  </si>
  <si>
    <t>Cyan Octopus</t>
  </si>
  <si>
    <t>Heavenswimmer</t>
  </si>
  <si>
    <t>Spectral Megalodon</t>
  </si>
  <si>
    <t>fish1000</t>
  </si>
  <si>
    <t>Drunkfish</t>
  </si>
  <si>
    <t>fish1001</t>
  </si>
  <si>
    <t>Merman's Mane</t>
  </si>
  <si>
    <t>fish1002</t>
  </si>
  <si>
    <t>Heavenskey</t>
  </si>
  <si>
    <t>fish1003</t>
  </si>
  <si>
    <t>Ghost Shark</t>
  </si>
  <si>
    <t>fish1004</t>
  </si>
  <si>
    <t>Fishmonger</t>
  </si>
  <si>
    <t>fish1005</t>
  </si>
  <si>
    <t>Navigator's Print</t>
  </si>
  <si>
    <t>fish1006</t>
  </si>
  <si>
    <t>Casket Oyster</t>
  </si>
  <si>
    <t>fish1007</t>
  </si>
  <si>
    <t>Quicksilver Blade</t>
  </si>
  <si>
    <t>fish1008</t>
  </si>
  <si>
    <t>Funnel Shark</t>
  </si>
  <si>
    <t>fish1009</t>
  </si>
  <si>
    <t>Nimble Dancer</t>
  </si>
  <si>
    <t>fish1010</t>
  </si>
  <si>
    <t>Sothis</t>
  </si>
  <si>
    <t>fish1011</t>
  </si>
  <si>
    <t>Ghoul Barracuda</t>
  </si>
  <si>
    <t>fish1012</t>
  </si>
  <si>
    <t>La Noscean Jelly</t>
  </si>
  <si>
    <t>fish1013</t>
  </si>
  <si>
    <t>Sunfly</t>
  </si>
  <si>
    <t>fish1014</t>
  </si>
  <si>
    <t>Marine Bomb</t>
  </si>
  <si>
    <t>fish1015</t>
  </si>
  <si>
    <t>Shaggy Seadragon</t>
  </si>
  <si>
    <t>fish1016</t>
  </si>
  <si>
    <t>Momora Mora</t>
  </si>
  <si>
    <t>fish1017</t>
  </si>
  <si>
    <t>Merlthor Butterfly</t>
  </si>
  <si>
    <t>fish1018</t>
  </si>
  <si>
    <t>Gladius</t>
  </si>
  <si>
    <t>fish1019</t>
  </si>
  <si>
    <t>Spectral Discus</t>
  </si>
  <si>
    <t>fish1020</t>
  </si>
  <si>
    <t>Little Leviathan</t>
  </si>
  <si>
    <t>fish1021</t>
  </si>
  <si>
    <t>Sea Nettle</t>
  </si>
  <si>
    <t>fish1022</t>
  </si>
  <si>
    <t>Great Grandmarlin</t>
  </si>
  <si>
    <t>fish1023</t>
  </si>
  <si>
    <t>Shipwreck's Sail</t>
  </si>
  <si>
    <t>fish1024</t>
  </si>
  <si>
    <t>Charlatan Survivor</t>
  </si>
  <si>
    <t>fish1025</t>
  </si>
  <si>
    <t>Hi-aetherlouse</t>
  </si>
  <si>
    <t>fish1026</t>
  </si>
  <si>
    <t>Azeyma's Sleeve</t>
  </si>
  <si>
    <t>fish1027</t>
  </si>
  <si>
    <t>Aetheric Seadragon</t>
  </si>
  <si>
    <t>fish1028</t>
  </si>
  <si>
    <t>Mythril Sovereign</t>
  </si>
  <si>
    <t>fish1029</t>
  </si>
  <si>
    <t>Roguesaurus</t>
  </si>
  <si>
    <t>fish1030</t>
  </si>
  <si>
    <t>Coral Manta</t>
  </si>
  <si>
    <t>fish1031</t>
  </si>
  <si>
    <t>Floefish</t>
  </si>
  <si>
    <t>fish1032</t>
  </si>
  <si>
    <t>Megasquid</t>
  </si>
  <si>
    <t>fish1033</t>
  </si>
  <si>
    <t>Oschon's Stone</t>
  </si>
  <si>
    <t>fish1034</t>
  </si>
  <si>
    <t>Tossed Dagger</t>
  </si>
  <si>
    <t>fish1035</t>
  </si>
  <si>
    <t>Tripod Fish</t>
  </si>
  <si>
    <t>fish1036</t>
  </si>
  <si>
    <t>Net Crawler</t>
  </si>
  <si>
    <t>fish1037</t>
  </si>
  <si>
    <t>Merlthor Lobster</t>
  </si>
  <si>
    <t>fish1038</t>
  </si>
  <si>
    <t>Elder Dinichthys</t>
  </si>
  <si>
    <t>fish1039</t>
  </si>
  <si>
    <t>Spectral Sea Bo</t>
  </si>
  <si>
    <t>fish1040</t>
  </si>
  <si>
    <t>Shooting Star</t>
  </si>
  <si>
    <t>fish1041</t>
  </si>
  <si>
    <t>Hammerclaw</t>
  </si>
  <si>
    <t>fish1042</t>
  </si>
  <si>
    <t>Coccosteus</t>
  </si>
  <si>
    <t>fish1043</t>
  </si>
  <si>
    <t>Bartholomew the Chopper</t>
  </si>
  <si>
    <t>fish1044</t>
  </si>
  <si>
    <t>Prowler</t>
  </si>
  <si>
    <t>fish1045</t>
  </si>
  <si>
    <t>Mopbeard</t>
  </si>
  <si>
    <t>fish1046</t>
  </si>
  <si>
    <t>Wild Urchin</t>
  </si>
  <si>
    <t>fish1047</t>
  </si>
  <si>
    <t>Gugrusaurus</t>
  </si>
  <si>
    <t>fish1048</t>
  </si>
  <si>
    <t>Coral Seadragon</t>
  </si>
  <si>
    <t>fish1049</t>
  </si>
  <si>
    <t>The Fallen One</t>
  </si>
  <si>
    <t>fish1050</t>
  </si>
  <si>
    <t>Elasmosaurus</t>
  </si>
  <si>
    <t>fish1051</t>
  </si>
  <si>
    <t>Rhotano Wahoo</t>
  </si>
  <si>
    <t>fish1052</t>
  </si>
  <si>
    <t>Rhotano Sardine</t>
  </si>
  <si>
    <t>fish1053</t>
  </si>
  <si>
    <t>Deep Plaice</t>
  </si>
  <si>
    <t>fish1054</t>
  </si>
  <si>
    <t>Crimson Monkfish</t>
  </si>
  <si>
    <t>fish1055</t>
  </si>
  <si>
    <t>Chrome Hammerhead</t>
  </si>
  <si>
    <t>fish1056</t>
  </si>
  <si>
    <t>Ogre Eel</t>
  </si>
  <si>
    <t>fish1057</t>
  </si>
  <si>
    <t>Dark Nautilus</t>
  </si>
  <si>
    <t>fish1058</t>
  </si>
  <si>
    <t>Lampfish</t>
  </si>
  <si>
    <t>fish1059</t>
  </si>
  <si>
    <t>Spectral Bass</t>
  </si>
  <si>
    <t>fish1060</t>
  </si>
  <si>
    <t>Sabaton</t>
  </si>
  <si>
    <t>fish1061</t>
  </si>
  <si>
    <t>Aronnax</t>
  </si>
  <si>
    <t>fish1062</t>
  </si>
  <si>
    <t>Sweeper</t>
  </si>
  <si>
    <t>fish1063</t>
  </si>
  <si>
    <t>Silencer</t>
  </si>
  <si>
    <t>fish1064</t>
  </si>
  <si>
    <t>Deep-sea Eel</t>
  </si>
  <si>
    <t>fish1065</t>
  </si>
  <si>
    <t>Executioner</t>
  </si>
  <si>
    <t>fish1066</t>
  </si>
  <si>
    <t>Floating Saucer</t>
  </si>
  <si>
    <t>fish1067</t>
  </si>
  <si>
    <t>True Barramundi</t>
  </si>
  <si>
    <t>fish1068</t>
  </si>
  <si>
    <t>Prodigal Son</t>
  </si>
  <si>
    <t>fish1069</t>
  </si>
  <si>
    <t>Slipsnail</t>
  </si>
  <si>
    <t>fish1070</t>
  </si>
  <si>
    <t>Stonescale</t>
  </si>
  <si>
    <t>fish1071</t>
  </si>
  <si>
    <t>Tortoiseshell Crab</t>
  </si>
  <si>
    <t>fish1072</t>
  </si>
  <si>
    <t>Lady's Cameo</t>
  </si>
  <si>
    <t>fish1073</t>
  </si>
  <si>
    <t>Metallic Boxfish</t>
  </si>
  <si>
    <t>fish1074</t>
  </si>
  <si>
    <t>Goobbue Ray</t>
  </si>
  <si>
    <t>fish1075</t>
  </si>
  <si>
    <t>Watermoura</t>
  </si>
  <si>
    <t>fish1076</t>
  </si>
  <si>
    <t>King Cobrafish</t>
  </si>
  <si>
    <t>fish1077</t>
  </si>
  <si>
    <t>Mamahi-mahi</t>
  </si>
  <si>
    <t>fish1078</t>
  </si>
  <si>
    <t>Lavandin Remora</t>
  </si>
  <si>
    <t>fish1079</t>
  </si>
  <si>
    <t>Spectral Butterfly</t>
  </si>
  <si>
    <t>fish1080</t>
  </si>
  <si>
    <t>Cieldalaes Geode</t>
  </si>
  <si>
    <t>fish1081</t>
  </si>
  <si>
    <t>Titanshell Crab</t>
  </si>
  <si>
    <t>fish1082</t>
  </si>
  <si>
    <t>Mythril Boxfish</t>
  </si>
  <si>
    <t>fish1083</t>
  </si>
  <si>
    <t>Mistbeard's Cup</t>
  </si>
  <si>
    <t>fish1084</t>
  </si>
  <si>
    <t>Anomalocaris Saron</t>
  </si>
  <si>
    <t>fish1085</t>
  </si>
  <si>
    <t>Flaming Eel</t>
  </si>
  <si>
    <t>fish1086</t>
  </si>
  <si>
    <t>Jetborne Manta</t>
  </si>
  <si>
    <t>fish1087</t>
  </si>
  <si>
    <t>Devil's Sting</t>
  </si>
  <si>
    <t>fish1088</t>
  </si>
  <si>
    <t>Callichthyid</t>
  </si>
  <si>
    <t>fish1089</t>
  </si>
  <si>
    <t>Meandering Mora</t>
  </si>
  <si>
    <t>fish1090</t>
  </si>
  <si>
    <t>Hafgufa</t>
  </si>
  <si>
    <t>Squid Strip</t>
  </si>
  <si>
    <t>fish1091</t>
  </si>
  <si>
    <t>Thaliak Crab</t>
  </si>
  <si>
    <t>fish1092</t>
  </si>
  <si>
    <t>Star of the Destroyer</t>
  </si>
  <si>
    <t>fish1093</t>
  </si>
  <si>
    <t>True Scad</t>
  </si>
  <si>
    <t>fish1094</t>
  </si>
  <si>
    <t>Blooded Wrasse</t>
  </si>
  <si>
    <t>fish1095</t>
  </si>
  <si>
    <t>Bloodpolish Crab</t>
  </si>
  <si>
    <t>fish1096</t>
  </si>
  <si>
    <t>Blue Stitcher</t>
  </si>
  <si>
    <t>fish1097</t>
  </si>
  <si>
    <t>Bloodfresh Tuna</t>
  </si>
  <si>
    <t>fish1098</t>
  </si>
  <si>
    <t>Sunken Mask</t>
  </si>
  <si>
    <t>fish1099</t>
  </si>
  <si>
    <t>Spectral Eel</t>
  </si>
  <si>
    <t>fish1100</t>
  </si>
  <si>
    <t>Bareface</t>
  </si>
  <si>
    <t>fish1101</t>
  </si>
  <si>
    <t>Oracular Crab</t>
  </si>
  <si>
    <t>fish1102</t>
  </si>
  <si>
    <t>Dravanian Bream</t>
  </si>
  <si>
    <t>fish1103</t>
  </si>
  <si>
    <t>Skaldminni</t>
  </si>
  <si>
    <t>fish1104</t>
  </si>
  <si>
    <t>Serrated Clam</t>
  </si>
  <si>
    <t>fish1105</t>
  </si>
  <si>
    <t>Beatific Vision</t>
  </si>
  <si>
    <t>fish1106</t>
  </si>
  <si>
    <t>Exterminator</t>
  </si>
  <si>
    <t>fish1107</t>
  </si>
  <si>
    <t>Gory Tuna</t>
  </si>
  <si>
    <t>fish1108</t>
  </si>
  <si>
    <t>Ticinepomis</t>
  </si>
  <si>
    <t>fish1109</t>
  </si>
  <si>
    <t>Quartz Hammerhead</t>
  </si>
  <si>
    <t>fish1110</t>
  </si>
  <si>
    <t>Seafaring Toad</t>
  </si>
  <si>
    <t>fish1111</t>
  </si>
  <si>
    <t>Crow Puffer</t>
  </si>
  <si>
    <t>fish1112</t>
  </si>
  <si>
    <t>Rothlyt Kelp</t>
  </si>
  <si>
    <t>fish1113</t>
  </si>
  <si>
    <t>Living Lantern</t>
  </si>
  <si>
    <t>fish1114</t>
  </si>
  <si>
    <t>Honeycomb Fish</t>
  </si>
  <si>
    <t>fish1115</t>
  </si>
  <si>
    <t>Godsbed</t>
  </si>
  <si>
    <t>fish1116</t>
  </si>
  <si>
    <t>Lansquenet</t>
  </si>
  <si>
    <t>fish1117</t>
  </si>
  <si>
    <t>Thavnairian Shark</t>
  </si>
  <si>
    <t>fish1118</t>
  </si>
  <si>
    <t>Nephrite Eel</t>
  </si>
  <si>
    <t>fish1119</t>
  </si>
  <si>
    <t>Spectresaur</t>
  </si>
  <si>
    <t>fish1120</t>
  </si>
  <si>
    <t>Ginkgo Fin</t>
  </si>
  <si>
    <t>fish1121</t>
  </si>
  <si>
    <t>Garum Jug</t>
  </si>
  <si>
    <t>fish1122</t>
  </si>
  <si>
    <t>Smooth Jaguar</t>
  </si>
  <si>
    <t>fish1123</t>
  </si>
  <si>
    <t>Rothlyt Mussel</t>
  </si>
  <si>
    <t>fish1124</t>
  </si>
  <si>
    <t>Levi Elver</t>
  </si>
  <si>
    <t>fish1125</t>
  </si>
  <si>
    <t>Pearl Bombfish</t>
  </si>
  <si>
    <t>fish1126</t>
  </si>
  <si>
    <t>Trollfish</t>
  </si>
  <si>
    <t>fish1127</t>
  </si>
  <si>
    <t>Panoptes</t>
  </si>
  <si>
    <t>fish1128</t>
  </si>
  <si>
    <t>Crepe Sole</t>
  </si>
  <si>
    <t>fish1129</t>
  </si>
  <si>
    <t>Knifejaw</t>
  </si>
  <si>
    <t>fish1130</t>
  </si>
  <si>
    <t>Placodus</t>
  </si>
  <si>
    <t>fish1131</t>
  </si>
  <si>
    <t>Deepshade Sardine</t>
  </si>
  <si>
    <t>fish1132</t>
  </si>
  <si>
    <t>Sirensong Mussel</t>
  </si>
  <si>
    <t>fish1133</t>
  </si>
  <si>
    <t>Arrowhead</t>
  </si>
  <si>
    <t>fish1134</t>
  </si>
  <si>
    <t>Pink Shrimp</t>
  </si>
  <si>
    <t>fish1135</t>
  </si>
  <si>
    <t>Sirensong Mullet</t>
  </si>
  <si>
    <t>fish1136</t>
  </si>
  <si>
    <t>Selkie Puffer</t>
  </si>
  <si>
    <t>fish1137</t>
  </si>
  <si>
    <t>Poet's Pipe</t>
  </si>
  <si>
    <t>fish1138</t>
  </si>
  <si>
    <t>Marine Matanga</t>
  </si>
  <si>
    <t>fish1139</t>
  </si>
  <si>
    <t>Spectral Coelacanth</t>
  </si>
  <si>
    <t>fish1140</t>
  </si>
  <si>
    <t>Dusk Shark</t>
  </si>
  <si>
    <t>fish1141</t>
  </si>
  <si>
    <t>Mermaid Scale</t>
  </si>
  <si>
    <t>fish1142</t>
  </si>
  <si>
    <t>Broadhead</t>
  </si>
  <si>
    <t>fish1143</t>
  </si>
  <si>
    <t>Vivid Pink Shrimp</t>
  </si>
  <si>
    <t>fish1144</t>
  </si>
  <si>
    <t>Sunken Coelacanth</t>
  </si>
  <si>
    <t>fish1145</t>
  </si>
  <si>
    <t>Siren's Sigh</t>
  </si>
  <si>
    <t>fish1146</t>
  </si>
  <si>
    <t>Black-jawed Helicoprion</t>
  </si>
  <si>
    <t>fish1147</t>
  </si>
  <si>
    <t>Impostopus</t>
  </si>
  <si>
    <t>fish1148</t>
  </si>
  <si>
    <t>Jade Mantis Shrimp</t>
  </si>
  <si>
    <t>fish1149</t>
  </si>
  <si>
    <t>Nymeia's Wheel</t>
  </si>
  <si>
    <t>fish1150</t>
  </si>
  <si>
    <t>Taniwha</t>
  </si>
  <si>
    <t>fish1151</t>
  </si>
  <si>
    <t>Ruby Herring</t>
  </si>
  <si>
    <t>fish1152</t>
  </si>
  <si>
    <t>Whirlpool Turban</t>
  </si>
  <si>
    <t>fish1153</t>
  </si>
  <si>
    <t>Leopard Prawn</t>
  </si>
  <si>
    <t>fish1154</t>
  </si>
  <si>
    <t>Spear Squid</t>
  </si>
  <si>
    <t>fish1155</t>
  </si>
  <si>
    <t>Floating Lantern</t>
  </si>
  <si>
    <t>fish1156</t>
  </si>
  <si>
    <t>Rubescent Tatsunoko</t>
  </si>
  <si>
    <t>fish1157</t>
  </si>
  <si>
    <t>Hatatate</t>
  </si>
  <si>
    <t>fish1158</t>
  </si>
  <si>
    <t>Silent Shark</t>
  </si>
  <si>
    <t>fish1159</t>
  </si>
  <si>
    <t>Spectral Wrasse</t>
  </si>
  <si>
    <t>fish1160</t>
  </si>
  <si>
    <t>Mizuhiki</t>
  </si>
  <si>
    <t>fish1161</t>
  </si>
  <si>
    <t>Snapping Koban</t>
  </si>
  <si>
    <t>fish1162</t>
  </si>
  <si>
    <t>Silkweft Prawn</t>
  </si>
  <si>
    <t>fish1163</t>
  </si>
  <si>
    <t>Stingfin Trevally</t>
  </si>
  <si>
    <t>fish1164</t>
  </si>
  <si>
    <t>Swordtip Squid</t>
  </si>
  <si>
    <t>fish1165</t>
  </si>
  <si>
    <t>Mailfish</t>
  </si>
  <si>
    <t>fish1166</t>
  </si>
  <si>
    <t>Idaten's Bolt</t>
  </si>
  <si>
    <t>fish1167</t>
  </si>
  <si>
    <t>Maelstrom Turban</t>
  </si>
  <si>
    <t>fish1168</t>
  </si>
  <si>
    <t>Shoshitsuki</t>
  </si>
  <si>
    <t>fish1169</t>
  </si>
  <si>
    <t>Spadefish</t>
  </si>
  <si>
    <t>fish1170</t>
  </si>
  <si>
    <t>Glass Dragon</t>
  </si>
  <si>
    <t>fish1171</t>
  </si>
  <si>
    <t>Crimson Kelp</t>
  </si>
  <si>
    <t>fish1172</t>
  </si>
  <si>
    <t>Reef Squid</t>
  </si>
  <si>
    <t>fish1173</t>
  </si>
  <si>
    <t>Pinebark Flounder</t>
  </si>
  <si>
    <t>fish1174</t>
  </si>
  <si>
    <t>Mantle Moray</t>
  </si>
  <si>
    <t>fish1175</t>
  </si>
  <si>
    <t>Barded Lobster</t>
  </si>
  <si>
    <t>fish1176</t>
  </si>
  <si>
    <t>Sanbaso</t>
  </si>
  <si>
    <t>fish1177</t>
  </si>
  <si>
    <t>Shisui Goby</t>
  </si>
  <si>
    <t>fish1178</t>
  </si>
  <si>
    <t>Violet Sentry</t>
  </si>
  <si>
    <t>fish1179</t>
  </si>
  <si>
    <t>Spectral Snake Eel</t>
  </si>
  <si>
    <t>fish1180</t>
  </si>
  <si>
    <t>Heavensent Shark</t>
  </si>
  <si>
    <t>fish1181</t>
  </si>
  <si>
    <t>Fleeting Squid</t>
  </si>
  <si>
    <t>fish1182</t>
  </si>
  <si>
    <t>Bowbarb Lobster</t>
  </si>
  <si>
    <t>fish1183</t>
  </si>
  <si>
    <t>Pitch Pickle</t>
  </si>
  <si>
    <t>fish1184</t>
  </si>
  <si>
    <t>Senbei Octopus</t>
  </si>
  <si>
    <t>fish1185</t>
  </si>
  <si>
    <t>Tentacle Thresher</t>
  </si>
  <si>
    <t>fish1186</t>
  </si>
  <si>
    <t>Bekko Rockhugger</t>
  </si>
  <si>
    <t>fish1187</t>
  </si>
  <si>
    <t>Yellow Iris</t>
  </si>
  <si>
    <t>fish1188</t>
  </si>
  <si>
    <t>Crimson Sentry</t>
  </si>
  <si>
    <t>fish1189</t>
  </si>
  <si>
    <t>Flying Squid</t>
  </si>
  <si>
    <t>fish1190</t>
  </si>
  <si>
    <t>Hells' Claw</t>
  </si>
  <si>
    <t>fish1191</t>
  </si>
  <si>
    <t>Catching Carp</t>
  </si>
  <si>
    <t>fish1192</t>
  </si>
  <si>
    <t>Garlean Bluegill</t>
  </si>
  <si>
    <t>fish1193</t>
  </si>
  <si>
    <t>Yanxian Softshell</t>
  </si>
  <si>
    <t>fish1194</t>
  </si>
  <si>
    <t>Princess Salmon</t>
  </si>
  <si>
    <t>fish1195</t>
  </si>
  <si>
    <t>Calligraph</t>
  </si>
  <si>
    <t>fish1196</t>
  </si>
  <si>
    <t>Singular Shrimp</t>
  </si>
  <si>
    <t>fish1197</t>
  </si>
  <si>
    <t>Brocade Carp</t>
  </si>
  <si>
    <t>fish1198</t>
  </si>
  <si>
    <t>Yanxian Sturgeon</t>
  </si>
  <si>
    <t>fish1199</t>
  </si>
  <si>
    <t>Spectral Kotsu Zetsu</t>
  </si>
  <si>
    <t>fish1200</t>
  </si>
  <si>
    <t>Fishy Shark</t>
  </si>
  <si>
    <t>fish1201</t>
  </si>
  <si>
    <t>Gensui Shrimp</t>
  </si>
  <si>
    <t>fish1202</t>
  </si>
  <si>
    <t>Yato-no-kami</t>
  </si>
  <si>
    <t>fish1203</t>
  </si>
  <si>
    <t>Heron's Eel</t>
  </si>
  <si>
    <t>fish1204</t>
  </si>
  <si>
    <t>Crowshadow Mussel</t>
  </si>
  <si>
    <t>fish1205</t>
  </si>
  <si>
    <t>Yanxian Goby</t>
  </si>
  <si>
    <t>fish1206</t>
  </si>
  <si>
    <t>Iridescent Trout</t>
  </si>
  <si>
    <t>fish1207</t>
  </si>
  <si>
    <t>Un-Namazu</t>
  </si>
  <si>
    <t>fish1208</t>
  </si>
  <si>
    <t>Gakugyo</t>
  </si>
  <si>
    <t>fish1209</t>
  </si>
  <si>
    <t>Ginrin Goshiki</t>
  </si>
  <si>
    <t>fish1210</t>
  </si>
  <si>
    <t>Jewel of Plum Spring</t>
  </si>
  <si>
    <t>fish1211</t>
  </si>
  <si>
    <t>First Mate's Finger</t>
  </si>
  <si>
    <t>fish1212</t>
  </si>
  <si>
    <t>Specterfish</t>
  </si>
  <si>
    <t>fish1213</t>
  </si>
  <si>
    <t>Rhotano Permit</t>
  </si>
  <si>
    <t>fish1214</t>
  </si>
  <si>
    <t>Rhotano Dahlia</t>
  </si>
  <si>
    <t>fish1215</t>
  </si>
  <si>
    <t>Lodesmate's Pen</t>
  </si>
  <si>
    <t>fish1216</t>
  </si>
  <si>
    <t>Rhotano Roosterfish</t>
  </si>
  <si>
    <t>fish1217</t>
  </si>
  <si>
    <t>Rhotanosaurus</t>
  </si>
  <si>
    <t>fish1218</t>
  </si>
  <si>
    <t>Royal Handmaiden</t>
  </si>
  <si>
    <t>fish1219</t>
  </si>
  <si>
    <t>Spectral Starfish</t>
  </si>
  <si>
    <t>fish1220</t>
  </si>
  <si>
    <t>Frolicsome Fish</t>
  </si>
  <si>
    <t>fish1221</t>
  </si>
  <si>
    <t>Captain's Finger</t>
  </si>
  <si>
    <t>fish1222</t>
  </si>
  <si>
    <t>Bright Red Coral</t>
  </si>
  <si>
    <t>fish1223</t>
  </si>
  <si>
    <t>Royal Favorite</t>
  </si>
  <si>
    <t>fish1224</t>
  </si>
  <si>
    <t>Pirate's Purse</t>
  </si>
  <si>
    <t>fish1225</t>
  </si>
  <si>
    <t>Captain's Pen</t>
  </si>
  <si>
    <t>fish1226</t>
  </si>
  <si>
    <t>Tylosaurus</t>
  </si>
  <si>
    <t>fish1227</t>
  </si>
  <si>
    <t>Cieldalaes Roosterfish</t>
  </si>
  <si>
    <t>fish1228</t>
  </si>
  <si>
    <t>Renegade Rhotanosaurus</t>
  </si>
  <si>
    <t>fish1229</t>
  </si>
  <si>
    <t>Red Boarfish</t>
  </si>
  <si>
    <t>fish1230</t>
  </si>
  <si>
    <t>Akupara</t>
  </si>
  <si>
    <t>fish1231</t>
  </si>
  <si>
    <t>Red Mantis</t>
  </si>
  <si>
    <t>fish1232</t>
  </si>
  <si>
    <t>Datli Gwl</t>
  </si>
  <si>
    <t>fish1233</t>
  </si>
  <si>
    <t>Agama's Strand</t>
  </si>
  <si>
    <t>fish1234</t>
  </si>
  <si>
    <t>Palaka's Blade</t>
  </si>
  <si>
    <t>fish1235</t>
  </si>
  <si>
    <t>Parjanya Wrasse</t>
  </si>
  <si>
    <t>fish1236</t>
  </si>
  <si>
    <t>Simolestes</t>
  </si>
  <si>
    <t>fish1237</t>
  </si>
  <si>
    <t>Thavnasaurus</t>
  </si>
  <si>
    <t>fish1238</t>
  </si>
  <si>
    <t>Junior Jinbei</t>
  </si>
  <si>
    <t>Any</t>
  </si>
  <si>
    <t>fish1239</t>
  </si>
  <si>
    <t>Spectral Grouper</t>
  </si>
  <si>
    <t>fish1240</t>
  </si>
  <si>
    <t>Silkfin</t>
  </si>
  <si>
    <t>fish1241</t>
  </si>
  <si>
    <t>Great Red Mantis</t>
  </si>
  <si>
    <t>fish1242</t>
  </si>
  <si>
    <t>Guzel Gwl</t>
  </si>
  <si>
    <t>fish1243</t>
  </si>
  <si>
    <t>Darpana</t>
  </si>
  <si>
    <t>fish1244</t>
  </si>
  <si>
    <t>Silverdart</t>
  </si>
  <si>
    <t>fish1245</t>
  </si>
  <si>
    <t>Satrapsaurus</t>
  </si>
  <si>
    <t>fish1246</t>
  </si>
  <si>
    <t>Tiger Mantis</t>
  </si>
  <si>
    <t>fish1247</t>
  </si>
  <si>
    <t>Mehi-mahi</t>
  </si>
  <si>
    <t>fish1248</t>
  </si>
  <si>
    <t>Pliosaurus</t>
  </si>
  <si>
    <t>fish1249</t>
  </si>
  <si>
    <t>Manasvin</t>
  </si>
  <si>
    <t>fish1250</t>
  </si>
  <si>
    <t>Abalathian Bitterling</t>
  </si>
  <si>
    <t>Nightcrawler</t>
  </si>
  <si>
    <t>fish1251</t>
  </si>
  <si>
    <t>Broken Crab</t>
  </si>
  <si>
    <t>Salmon Roe</t>
  </si>
  <si>
    <t>fish1252</t>
  </si>
  <si>
    <t>Miounnefish</t>
  </si>
  <si>
    <t>fish1253</t>
  </si>
  <si>
    <t>Gyr Abanian Trout</t>
  </si>
  <si>
    <t>Midge Larva</t>
  </si>
  <si>
    <t>fish1254</t>
  </si>
  <si>
    <t>Bloodsipper</t>
  </si>
  <si>
    <t>fish1255</t>
  </si>
  <si>
    <t>Hookstealer</t>
  </si>
  <si>
    <t>fish1256</t>
  </si>
  <si>
    <t>Golden Cichlid</t>
  </si>
  <si>
    <t>fish1257</t>
  </si>
  <si>
    <t>Temple Carp</t>
  </si>
  <si>
    <t>fish1258</t>
  </si>
  <si>
    <t>Monk Betta</t>
  </si>
  <si>
    <t>fish1259</t>
  </si>
  <si>
    <t>Electric Catfish</t>
  </si>
  <si>
    <t>fish1260</t>
  </si>
  <si>
    <t>Pagan Pirarucu</t>
  </si>
  <si>
    <t>fish1261</t>
  </si>
  <si>
    <t>Watcher Catfish</t>
  </si>
  <si>
    <t>fish1262</t>
  </si>
  <si>
    <t>Comet Minnow</t>
  </si>
  <si>
    <t>fish1263</t>
  </si>
  <si>
    <t>Balloon Frog</t>
  </si>
  <si>
    <t>fish1264</t>
  </si>
  <si>
    <t>Lantern Marimo</t>
  </si>
  <si>
    <t>fish1265</t>
  </si>
  <si>
    <t>Gilfish</t>
  </si>
  <si>
    <t>fish1266</t>
  </si>
  <si>
    <t>Redtail</t>
  </si>
  <si>
    <t>fish1267</t>
  </si>
  <si>
    <t>Bloodtail Zombie</t>
  </si>
  <si>
    <t>fish1268</t>
  </si>
  <si>
    <t>Steelhead Trout</t>
  </si>
  <si>
    <t>Stonefly Larva</t>
  </si>
  <si>
    <t>fish1269</t>
  </si>
  <si>
    <t>Death Loach</t>
  </si>
  <si>
    <t>fish1270</t>
  </si>
  <si>
    <t>Gyr Abanian Chub</t>
  </si>
  <si>
    <t>fish1271</t>
  </si>
  <si>
    <t>Hardhead Trout</t>
  </si>
  <si>
    <t>fish1272</t>
  </si>
  <si>
    <t>Xenacanthus</t>
  </si>
  <si>
    <t>fish1273</t>
  </si>
  <si>
    <t>Bone Melter</t>
  </si>
  <si>
    <t>Suspending Minnow</t>
  </si>
  <si>
    <t>fish1274</t>
  </si>
  <si>
    <t>Fallen Leaf</t>
  </si>
  <si>
    <t>fish1275</t>
  </si>
  <si>
    <t>Padjali Loach</t>
  </si>
  <si>
    <t>fish1276</t>
  </si>
  <si>
    <t>Cave Killifish</t>
  </si>
  <si>
    <t>fish1277</t>
  </si>
  <si>
    <t>Wraithfish</t>
  </si>
  <si>
    <t>fish1278</t>
  </si>
  <si>
    <t>Chakrafish</t>
  </si>
  <si>
    <t>fish1279</t>
  </si>
  <si>
    <t>Sapphire Fan</t>
  </si>
  <si>
    <t>fish1280</t>
  </si>
  <si>
    <t>Falling Star</t>
  </si>
  <si>
    <t>fish1281</t>
  </si>
  <si>
    <t>Capsized Squeaker</t>
  </si>
  <si>
    <t>fish1282</t>
  </si>
  <si>
    <t>Nirvana Crab</t>
  </si>
  <si>
    <t>fish1283</t>
  </si>
  <si>
    <t>Cardinalfish</t>
  </si>
  <si>
    <t>fish1284</t>
  </si>
  <si>
    <t>Lake Sphairai</t>
  </si>
  <si>
    <t>fish1285</t>
  </si>
  <si>
    <t>The Archbishop</t>
  </si>
  <si>
    <t>fish1286</t>
  </si>
  <si>
    <t>Velodyna Grass Carp</t>
  </si>
  <si>
    <t>fish1287</t>
  </si>
  <si>
    <t>Greenstream Loach</t>
  </si>
  <si>
    <t>fish1288</t>
  </si>
  <si>
    <t>Black Velodyna Carp</t>
  </si>
  <si>
    <t>fish1289</t>
  </si>
  <si>
    <t>Velodyna Salmon</t>
  </si>
  <si>
    <t>fish1290</t>
  </si>
  <si>
    <t>Downstream Loach</t>
  </si>
  <si>
    <t>fish1291</t>
  </si>
  <si>
    <t>Highland Perch</t>
  </si>
  <si>
    <t>fish1292</t>
  </si>
  <si>
    <t>Mirage Chub</t>
  </si>
  <si>
    <t>fish1293</t>
  </si>
  <si>
    <t>Gravel Gudgeon</t>
  </si>
  <si>
    <t>fish1294</t>
  </si>
  <si>
    <t>Rhalgr's Bolt</t>
  </si>
  <si>
    <t>fish1295</t>
  </si>
  <si>
    <t>Mirage Mahi</t>
  </si>
  <si>
    <t>fish1296</t>
  </si>
  <si>
    <t>Scarlet Frog</t>
  </si>
  <si>
    <t>fish1297</t>
  </si>
  <si>
    <t>Corpse Chub</t>
  </si>
  <si>
    <t>fish1298</t>
  </si>
  <si>
    <t>Grymm Crab</t>
  </si>
  <si>
    <t>fish1299</t>
  </si>
  <si>
    <t>Enid Shrimp</t>
  </si>
  <si>
    <t>fish1300</t>
  </si>
  <si>
    <t>Curefish</t>
  </si>
  <si>
    <t>fish1301</t>
  </si>
  <si>
    <t>Bondsplitter</t>
  </si>
  <si>
    <t>fish1302</t>
  </si>
  <si>
    <t>Drepanaspis</t>
  </si>
  <si>
    <t>fish1303</t>
  </si>
  <si>
    <t>Idle Goby</t>
  </si>
  <si>
    <t>fish1304</t>
  </si>
  <si>
    <t>Rapids Jumper</t>
  </si>
  <si>
    <t>fish1305</t>
  </si>
  <si>
    <t>Heather Charr</t>
  </si>
  <si>
    <t>fish1306</t>
  </si>
  <si>
    <t>Invisible Crayfish</t>
  </si>
  <si>
    <t>fish1307</t>
  </si>
  <si>
    <t>The Undecided</t>
  </si>
  <si>
    <t>fish1308</t>
  </si>
  <si>
    <t>Adamantite Bichir</t>
  </si>
  <si>
    <t>fish1309</t>
  </si>
  <si>
    <t>Abalathian Salamander</t>
  </si>
  <si>
    <t>fish1310</t>
  </si>
  <si>
    <t>Steelshark</t>
  </si>
  <si>
    <t>fish1311</t>
  </si>
  <si>
    <t>Purple Buckler</t>
  </si>
  <si>
    <t>fish1312</t>
  </si>
  <si>
    <t>The Last Tear</t>
  </si>
  <si>
    <t>fish1313</t>
  </si>
  <si>
    <t>Meditator</t>
  </si>
  <si>
    <t>fish1314</t>
  </si>
  <si>
    <t>Stonytongue</t>
  </si>
  <si>
    <t>fish1315</t>
  </si>
  <si>
    <t>Deemster</t>
  </si>
  <si>
    <t>fish1316</t>
  </si>
  <si>
    <t>Moksha</t>
  </si>
  <si>
    <t>fish1317</t>
  </si>
  <si>
    <t>fish1318</t>
  </si>
  <si>
    <t>Bull's Bite</t>
  </si>
  <si>
    <t>fish1319</t>
  </si>
  <si>
    <t>Peeping Pisces</t>
  </si>
  <si>
    <t>fish1320</t>
  </si>
  <si>
    <t>Alligator Snapping Turtle</t>
  </si>
  <si>
    <t>fish1321</t>
  </si>
  <si>
    <t>Hemon</t>
  </si>
  <si>
    <t>fish1322</t>
  </si>
  <si>
    <t>Gigant Bass</t>
  </si>
  <si>
    <t>fish1323</t>
  </si>
  <si>
    <t>Eastern Pike</t>
  </si>
  <si>
    <t>fish1324</t>
  </si>
  <si>
    <t>Scimitarfish</t>
  </si>
  <si>
    <t>fish1325</t>
  </si>
  <si>
    <t>Ala Mhigan Ribbon</t>
  </si>
  <si>
    <t>fish1326</t>
  </si>
  <si>
    <t>Rockfish</t>
  </si>
  <si>
    <t>fish1327</t>
  </si>
  <si>
    <t>Lily of the Veil</t>
  </si>
  <si>
    <t>fish1328</t>
  </si>
  <si>
    <t>Moondisc</t>
  </si>
  <si>
    <t>fish1329</t>
  </si>
  <si>
    <t>Bleached Bonytongue</t>
  </si>
  <si>
    <t>fish1330</t>
  </si>
  <si>
    <t>Typhoon Shrimp</t>
  </si>
  <si>
    <t>fish1331</t>
  </si>
  <si>
    <t>Salt Cellar</t>
  </si>
  <si>
    <t>fish1332</t>
  </si>
  <si>
    <t>Abalathian Pipira</t>
  </si>
  <si>
    <t>fish1333</t>
  </si>
  <si>
    <t>Flood Tuna</t>
  </si>
  <si>
    <t>fish1334</t>
  </si>
  <si>
    <t>Salt Shark</t>
  </si>
  <si>
    <t>fish1335</t>
  </si>
  <si>
    <t>Rock Oyster</t>
  </si>
  <si>
    <t>fish1336</t>
  </si>
  <si>
    <t>White Sturgeon</t>
  </si>
  <si>
    <t>fish1337</t>
  </si>
  <si>
    <t>Steel Loach</t>
  </si>
  <si>
    <t>fish1338</t>
  </si>
  <si>
    <t>Mercenary Crab</t>
  </si>
  <si>
    <t>fish1339</t>
  </si>
  <si>
    <t>King's Mantle</t>
  </si>
  <si>
    <t>fish1340</t>
  </si>
  <si>
    <t>Salt Urchin</t>
  </si>
  <si>
    <t>fish1341</t>
  </si>
  <si>
    <t>Carpenter Crab</t>
  </si>
  <si>
    <t>fish1342</t>
  </si>
  <si>
    <t>Tithe Collector</t>
  </si>
  <si>
    <t>fish1343</t>
  </si>
  <si>
    <t>Ivory Sole</t>
  </si>
  <si>
    <t>fish1344</t>
  </si>
  <si>
    <t>Ashfish</t>
  </si>
  <si>
    <t>fish1345</t>
  </si>
  <si>
    <t>Silken Sunfish</t>
  </si>
  <si>
    <t>fish1346</t>
  </si>
  <si>
    <t>Mosasaur</t>
  </si>
  <si>
    <t>fish1347</t>
  </si>
  <si>
    <t>Natron Puffer</t>
  </si>
  <si>
    <t>fish1348</t>
  </si>
  <si>
    <t>Diamond Dagger</t>
  </si>
  <si>
    <t>fish1349</t>
  </si>
  <si>
    <t>Queenly Fan</t>
  </si>
  <si>
    <t>fish1350</t>
  </si>
  <si>
    <t>Pale Panther</t>
  </si>
  <si>
    <t>fish1351</t>
  </si>
  <si>
    <t>Saltsquid</t>
  </si>
  <si>
    <t>fish1352</t>
  </si>
  <si>
    <t>Platinum Hammerhead</t>
  </si>
  <si>
    <t>fish1353</t>
  </si>
  <si>
    <t>Inksquid</t>
  </si>
  <si>
    <t>fish1354</t>
  </si>
  <si>
    <t>Grinning Anchovy</t>
  </si>
  <si>
    <t>Live Shrimp</t>
  </si>
  <si>
    <t>fish1355</t>
  </si>
  <si>
    <t>Glass Herring</t>
  </si>
  <si>
    <t>Blue Bobbit</t>
  </si>
  <si>
    <t>fish1356</t>
  </si>
  <si>
    <t>Coeurl Snake Eel</t>
  </si>
  <si>
    <t>fish1357</t>
  </si>
  <si>
    <t>Coral Horse</t>
  </si>
  <si>
    <t>fish1358</t>
  </si>
  <si>
    <t>Ku'er</t>
  </si>
  <si>
    <t>fish1359</t>
  </si>
  <si>
    <t>The Ruby Dragon</t>
  </si>
  <si>
    <t>fish1360</t>
  </si>
  <si>
    <t>Hellyfish</t>
  </si>
  <si>
    <t>fish1361</t>
  </si>
  <si>
    <t>Ruby Shrimp</t>
  </si>
  <si>
    <t>fish1362</t>
  </si>
  <si>
    <t>Blockhead</t>
  </si>
  <si>
    <t>fish1363</t>
  </si>
  <si>
    <t>Liopleurodon</t>
  </si>
  <si>
    <t>fish1364</t>
  </si>
  <si>
    <t>Ukiki</t>
  </si>
  <si>
    <t>fish1365</t>
  </si>
  <si>
    <t>Shrieker</t>
  </si>
  <si>
    <t>fish1366</t>
  </si>
  <si>
    <t>Wicked Wartfish</t>
  </si>
  <si>
    <t>fish1367</t>
  </si>
  <si>
    <t>The Vegetarian</t>
  </si>
  <si>
    <t>fish1368</t>
  </si>
  <si>
    <t>Dafu</t>
  </si>
  <si>
    <t>fish1369</t>
  </si>
  <si>
    <t>Glass Tuna</t>
  </si>
  <si>
    <t>fish1370</t>
  </si>
  <si>
    <t>Tawny Wench Shark</t>
  </si>
  <si>
    <t>fish1371</t>
  </si>
  <si>
    <t>Usuginu Octopus</t>
  </si>
  <si>
    <t>fish1372</t>
  </si>
  <si>
    <t>Fatty Herring</t>
  </si>
  <si>
    <t>fish1373</t>
  </si>
  <si>
    <t>Seven Stars</t>
  </si>
  <si>
    <t>fish1374</t>
  </si>
  <si>
    <t>Ruby Coral</t>
  </si>
  <si>
    <t>Bream Lure</t>
  </si>
  <si>
    <t>fish1375</t>
  </si>
  <si>
    <t>Sapphire Coral</t>
  </si>
  <si>
    <t>fish1376</t>
  </si>
  <si>
    <t>Bone Coral</t>
  </si>
  <si>
    <t>fish1377</t>
  </si>
  <si>
    <t>Butterfly Fish</t>
  </si>
  <si>
    <t>fish1378</t>
  </si>
  <si>
    <t>Harutsuge</t>
  </si>
  <si>
    <t>fish1379</t>
  </si>
  <si>
    <t>Ruby Laver</t>
  </si>
  <si>
    <t>fish1380</t>
  </si>
  <si>
    <t>The Winter Queen</t>
  </si>
  <si>
    <t>fish1381</t>
  </si>
  <si>
    <t>Leaf Tatsunoko</t>
  </si>
  <si>
    <t>fish1382</t>
  </si>
  <si>
    <t>Glass Flounder</t>
  </si>
  <si>
    <t>fish1383</t>
  </si>
  <si>
    <t>Blackfin Snake Eel</t>
  </si>
  <si>
    <t>fish1384</t>
  </si>
  <si>
    <t>Swordfish</t>
  </si>
  <si>
    <t>fish1385</t>
  </si>
  <si>
    <t>Hook Fish</t>
  </si>
  <si>
    <t>fish1386</t>
  </si>
  <si>
    <t>Argonautica</t>
  </si>
  <si>
    <t>fish1387</t>
  </si>
  <si>
    <t>Gliding Fish</t>
  </si>
  <si>
    <t>fish1388</t>
  </si>
  <si>
    <t>Globefish</t>
  </si>
  <si>
    <t>fish1389</t>
  </si>
  <si>
    <t>Fan Clam</t>
  </si>
  <si>
    <t>fish1390</t>
  </si>
  <si>
    <t>Ruby Meagre</t>
  </si>
  <si>
    <t>fish1391</t>
  </si>
  <si>
    <t>Triplespine</t>
  </si>
  <si>
    <t>fish1392</t>
  </si>
  <si>
    <t>Shirogane Clam</t>
  </si>
  <si>
    <t>fish1393</t>
  </si>
  <si>
    <t>Pinhead</t>
  </si>
  <si>
    <t>fish1394</t>
  </si>
  <si>
    <t>Daio Squid</t>
  </si>
  <si>
    <t>fish1395</t>
  </si>
  <si>
    <t>Koromo Octopus</t>
  </si>
  <si>
    <t>fish1396</t>
  </si>
  <si>
    <t>Zekki Grouper</t>
  </si>
  <si>
    <t>fish1397</t>
  </si>
  <si>
    <t>Zekki Gator</t>
  </si>
  <si>
    <t>fish1398</t>
  </si>
  <si>
    <t>Rakshasa</t>
  </si>
  <si>
    <t>fish1399</t>
  </si>
  <si>
    <t>Wentletrap</t>
  </si>
  <si>
    <t>fish1400</t>
  </si>
  <si>
    <t>Black Boxfish</t>
  </si>
  <si>
    <t>fish1401</t>
  </si>
  <si>
    <t>Spider Crab</t>
  </si>
  <si>
    <t>fish1402</t>
  </si>
  <si>
    <t>Hatchetfish</t>
  </si>
  <si>
    <t>fish1403</t>
  </si>
  <si>
    <t>Threadfish</t>
  </si>
  <si>
    <t>fish1404</t>
  </si>
  <si>
    <t>Corpse-eater</t>
  </si>
  <si>
    <t>fish1405</t>
  </si>
  <si>
    <t>Glass Manta</t>
  </si>
  <si>
    <t>fish1406</t>
  </si>
  <si>
    <t>Little Dragonfish</t>
  </si>
  <si>
    <t>fish1407</t>
  </si>
  <si>
    <t>Garden Eel</t>
  </si>
  <si>
    <t>fish1408</t>
  </si>
  <si>
    <t>Ronin Trevally</t>
  </si>
  <si>
    <t>fish1409</t>
  </si>
  <si>
    <t>Swordtip</t>
  </si>
  <si>
    <t>fish1410</t>
  </si>
  <si>
    <t>Regal Silverside</t>
  </si>
  <si>
    <t>fish1411</t>
  </si>
  <si>
    <t>Black Fanfish</t>
  </si>
  <si>
    <t>fish1412</t>
  </si>
  <si>
    <t>Eastern Sea Pickle</t>
  </si>
  <si>
    <t>fish1413</t>
  </si>
  <si>
    <t>Toothsome Grouper</t>
  </si>
  <si>
    <t>fish1414</t>
  </si>
  <si>
    <t>fish1415</t>
  </si>
  <si>
    <t>Zebra Shark</t>
  </si>
  <si>
    <t>fish1416</t>
  </si>
  <si>
    <t>Brindlebass</t>
  </si>
  <si>
    <t>fish1417</t>
  </si>
  <si>
    <t>Horned Turban</t>
  </si>
  <si>
    <t>fish1418</t>
  </si>
  <si>
    <t>fish1419</t>
  </si>
  <si>
    <t>Snowflake Moray</t>
  </si>
  <si>
    <t>fish1420</t>
  </si>
  <si>
    <t>Nophica's Comb</t>
  </si>
  <si>
    <t>fish1421</t>
  </si>
  <si>
    <t>Demon Stonefish</t>
  </si>
  <si>
    <t>fish1422</t>
  </si>
  <si>
    <t>Ruby Sea Star</t>
  </si>
  <si>
    <t>fish1423</t>
  </si>
  <si>
    <t>Red-eyed Lates</t>
  </si>
  <si>
    <t>fish1424</t>
  </si>
  <si>
    <t>Redcoat</t>
  </si>
  <si>
    <t>fish1425</t>
  </si>
  <si>
    <t>Sea Lamp</t>
  </si>
  <si>
    <t>fish1426</t>
  </si>
  <si>
    <t>Amberjack</t>
  </si>
  <si>
    <t>fish1427</t>
  </si>
  <si>
    <t>Spiny Lobster</t>
  </si>
  <si>
    <t>fish1428</t>
  </si>
  <si>
    <t>Bashful Batfish</t>
  </si>
  <si>
    <t>fish1429</t>
  </si>
  <si>
    <t>Motley Beakfish</t>
  </si>
  <si>
    <t>fish1430</t>
  </si>
  <si>
    <t>Ichimonji</t>
  </si>
  <si>
    <t>fish1431</t>
  </si>
  <si>
    <t>Mitsukuri Shark</t>
  </si>
  <si>
    <t>fish1432</t>
  </si>
  <si>
    <t>Thousandfang</t>
  </si>
  <si>
    <t>fish1433</t>
  </si>
  <si>
    <t>Tiny Tatsunoko</t>
  </si>
  <si>
    <t>fish1434</t>
  </si>
  <si>
    <t>Snailfish</t>
  </si>
  <si>
    <t>fish1435</t>
  </si>
  <si>
    <t>Coffer Shell</t>
  </si>
  <si>
    <t>fish1436</t>
  </si>
  <si>
    <t>Onihige</t>
  </si>
  <si>
    <t>fish1437</t>
  </si>
  <si>
    <t>Onokoro Carp</t>
  </si>
  <si>
    <t>fish1438</t>
  </si>
  <si>
    <t>Ruby-spotted Crab</t>
  </si>
  <si>
    <t>fish1439</t>
  </si>
  <si>
    <t>Marrow-eater</t>
  </si>
  <si>
    <t>fish1440</t>
  </si>
  <si>
    <t>Cloudy Cat Shark</t>
  </si>
  <si>
    <t>fish1441</t>
  </si>
  <si>
    <t>Red Gurnard</t>
  </si>
  <si>
    <t>fish1442</t>
  </si>
  <si>
    <t>Dream Pickle</t>
  </si>
  <si>
    <t>fish1443</t>
  </si>
  <si>
    <t>Ruby Haddock</t>
  </si>
  <si>
    <t>fish1444</t>
  </si>
  <si>
    <t>Crown Fish</t>
  </si>
  <si>
    <t>fish1445</t>
  </si>
  <si>
    <t>Sword of Isari</t>
  </si>
  <si>
    <t>fish1446</t>
  </si>
  <si>
    <t>Blue Shark</t>
  </si>
  <si>
    <t>fish1447</t>
  </si>
  <si>
    <t>Barb of Exile</t>
  </si>
  <si>
    <t>fish1448</t>
  </si>
  <si>
    <t>Smooth Lumpfish</t>
  </si>
  <si>
    <t>fish1449</t>
  </si>
  <si>
    <t>Hells' Cap</t>
  </si>
  <si>
    <t>fish1450</t>
  </si>
  <si>
    <t>Keeled Fugu</t>
  </si>
  <si>
    <t>fish1451</t>
  </si>
  <si>
    <t>Eastern Seerfish</t>
  </si>
  <si>
    <t>fish1452</t>
  </si>
  <si>
    <t>False Fusilier</t>
  </si>
  <si>
    <t>fish1453</t>
  </si>
  <si>
    <t>Othardian Wrasse</t>
  </si>
  <si>
    <t>fish1454</t>
  </si>
  <si>
    <t>Skipping Stone</t>
  </si>
  <si>
    <t>fish1455</t>
  </si>
  <si>
    <t>Red-spotted Blenny</t>
  </si>
  <si>
    <t>fish1456</t>
  </si>
  <si>
    <t>Deepbody Boarfish</t>
  </si>
  <si>
    <t>fish1457</t>
  </si>
  <si>
    <t>Grey Mullet</t>
  </si>
  <si>
    <t>fish1458</t>
  </si>
  <si>
    <t>Prayer Cushion</t>
  </si>
  <si>
    <t>fish1459</t>
  </si>
  <si>
    <t>Uzumaki</t>
  </si>
  <si>
    <t>fish1460</t>
  </si>
  <si>
    <t>Kitefin Shark</t>
  </si>
  <si>
    <t>fish1461</t>
  </si>
  <si>
    <t>Jointed Razorfish</t>
  </si>
  <si>
    <t>fish1462</t>
  </si>
  <si>
    <t>Mini Yasha</t>
  </si>
  <si>
    <t>fish1463</t>
  </si>
  <si>
    <t>Righteye Flounder</t>
  </si>
  <si>
    <t>fish1464</t>
  </si>
  <si>
    <t>fish1465</t>
  </si>
  <si>
    <t>Sawshark</t>
  </si>
  <si>
    <t>fish1466</t>
  </si>
  <si>
    <t>Bluefin Trevally</t>
  </si>
  <si>
    <t>fish1467</t>
  </si>
  <si>
    <t>Shogun's Kabuto</t>
  </si>
  <si>
    <t>fish1468</t>
  </si>
  <si>
    <t>Pipefish</t>
  </si>
  <si>
    <t>fish1469</t>
  </si>
  <si>
    <t>Auroral Clam</t>
  </si>
  <si>
    <t>fish1470</t>
  </si>
  <si>
    <t>River Barramundi</t>
  </si>
  <si>
    <t>fish1471</t>
  </si>
  <si>
    <t>Doman Trout</t>
  </si>
  <si>
    <t>fish1472</t>
  </si>
  <si>
    <t>Doman Crayfish</t>
  </si>
  <si>
    <t>fish1473</t>
  </si>
  <si>
    <t>Glarramundi</t>
  </si>
  <si>
    <t>fish1474</t>
  </si>
  <si>
    <t>Nogoi</t>
  </si>
  <si>
    <t>fish1475</t>
  </si>
  <si>
    <t>Hermit's End</t>
  </si>
  <si>
    <t>fish1476</t>
  </si>
  <si>
    <t>Yanxian Koi</t>
  </si>
  <si>
    <t>fish1477</t>
  </si>
  <si>
    <t>Longhair Catfish</t>
  </si>
  <si>
    <t>fish1478</t>
  </si>
  <si>
    <t>Yanxian Barramundi</t>
  </si>
  <si>
    <t>fish1479</t>
  </si>
  <si>
    <t>Kotsu Zetsu</t>
  </si>
  <si>
    <t>fish1480</t>
  </si>
  <si>
    <t>Othardian Salmon</t>
  </si>
  <si>
    <t>fish1481</t>
  </si>
  <si>
    <t>Axelrod</t>
  </si>
  <si>
    <t>fish1482</t>
  </si>
  <si>
    <t>Seraphim</t>
  </si>
  <si>
    <t>fish1483</t>
  </si>
  <si>
    <t>Hagoromo Bijin</t>
  </si>
  <si>
    <t>fish1484</t>
  </si>
  <si>
    <t>Pandamoth</t>
  </si>
  <si>
    <t>fish1485</t>
  </si>
  <si>
    <t>Silken Koi</t>
  </si>
  <si>
    <t>fish1486</t>
  </si>
  <si>
    <t>Plum Gazer</t>
  </si>
  <si>
    <t>fish1487</t>
  </si>
  <si>
    <t>Petal Shell</t>
  </si>
  <si>
    <t>fish1488</t>
  </si>
  <si>
    <t>Hagoromo Koi</t>
  </si>
  <si>
    <t>fish1489</t>
  </si>
  <si>
    <t>Doman Eel</t>
  </si>
  <si>
    <t>fish1490</t>
  </si>
  <si>
    <t>The Unraveled Bow</t>
  </si>
  <si>
    <t>fish1491</t>
  </si>
  <si>
    <t>Yellow Prismfish</t>
  </si>
  <si>
    <t>fish1492</t>
  </si>
  <si>
    <t>Blue Prismfish</t>
  </si>
  <si>
    <t>fish1493</t>
  </si>
  <si>
    <t>Violet Prismfish</t>
  </si>
  <si>
    <t>fish1494</t>
  </si>
  <si>
    <t>White Goldfish</t>
  </si>
  <si>
    <t>fish1495</t>
  </si>
  <si>
    <t>Red Prismfish</t>
  </si>
  <si>
    <t>fish1496</t>
  </si>
  <si>
    <t>Firelight Goldfish</t>
  </si>
  <si>
    <t>fish1497</t>
  </si>
  <si>
    <t>Indigo Prismfish</t>
  </si>
  <si>
    <t>fish1498</t>
  </si>
  <si>
    <t>Green Prismfish</t>
  </si>
  <si>
    <t>fish1499</t>
  </si>
  <si>
    <t>Warden of the Seven Hues</t>
  </si>
  <si>
    <t>fish1500</t>
  </si>
  <si>
    <t>Doman Grass Carp</t>
  </si>
  <si>
    <t>fish1501</t>
  </si>
  <si>
    <t>Lordly Salmon</t>
  </si>
  <si>
    <t>fish1502</t>
  </si>
  <si>
    <t>White Clam</t>
  </si>
  <si>
    <t>fish1503</t>
  </si>
  <si>
    <t>Suiten Ippeki</t>
  </si>
  <si>
    <t>fish1504</t>
  </si>
  <si>
    <t>Samurai Fish</t>
  </si>
  <si>
    <t>fish1505</t>
  </si>
  <si>
    <t>Blank Oscar</t>
  </si>
  <si>
    <t>fish1506</t>
  </si>
  <si>
    <t>Dragonfish</t>
  </si>
  <si>
    <t>fish1507</t>
  </si>
  <si>
    <t>Raitonfish</t>
  </si>
  <si>
    <t>fish1508</t>
  </si>
  <si>
    <t>Bokuden</t>
  </si>
  <si>
    <t>fish1509</t>
  </si>
  <si>
    <t>Hoppfish</t>
  </si>
  <si>
    <t>fish1510</t>
  </si>
  <si>
    <t>Lightscale</t>
  </si>
  <si>
    <t>fish1511</t>
  </si>
  <si>
    <t>Warty Wartfish</t>
  </si>
  <si>
    <t>fish1512</t>
  </si>
  <si>
    <t>Gauntlet Crab</t>
  </si>
  <si>
    <t>fish1513</t>
  </si>
  <si>
    <t>Common Bitterling</t>
  </si>
  <si>
    <t>fish1514</t>
  </si>
  <si>
    <t>Fifty-summer Cod</t>
  </si>
  <si>
    <t>fish1515</t>
  </si>
  <si>
    <t>Grass Fugu</t>
  </si>
  <si>
    <t>fish1516</t>
  </si>
  <si>
    <t>Giant Eel</t>
  </si>
  <si>
    <t>fish1517</t>
  </si>
  <si>
    <t>Common Whelk</t>
  </si>
  <si>
    <t>fish1518</t>
  </si>
  <si>
    <t>Armored Crayfish</t>
  </si>
  <si>
    <t>fish1519</t>
  </si>
  <si>
    <t>Bighead Carp</t>
  </si>
  <si>
    <t>fish1520</t>
  </si>
  <si>
    <t>Hermit Goby</t>
  </si>
  <si>
    <t>fish1521</t>
  </si>
  <si>
    <t>Kamina Crab</t>
  </si>
  <si>
    <t>fish1522</t>
  </si>
  <si>
    <t>Hairless Barb</t>
  </si>
  <si>
    <t>fish1523</t>
  </si>
  <si>
    <t>Zeni Clam</t>
  </si>
  <si>
    <t>fish1524</t>
  </si>
  <si>
    <t>Nagxian Mullet</t>
  </si>
  <si>
    <t>fish1525</t>
  </si>
  <si>
    <t>Skythorn</t>
  </si>
  <si>
    <t>fish1526</t>
  </si>
  <si>
    <t>Yanxian Tiger Prawn</t>
  </si>
  <si>
    <t>fish1527</t>
  </si>
  <si>
    <t>Tengu Fan</t>
  </si>
  <si>
    <t>fish1528</t>
  </si>
  <si>
    <t>Cherry Salmon</t>
  </si>
  <si>
    <t>fish1529</t>
  </si>
  <si>
    <t>Doman Bubble Eye</t>
  </si>
  <si>
    <t>fish1530</t>
  </si>
  <si>
    <t>River Bream</t>
  </si>
  <si>
    <t>fish1531</t>
  </si>
  <si>
    <t>Ichthyosaur</t>
  </si>
  <si>
    <t>fish1532</t>
  </si>
  <si>
    <t>Star Turban</t>
  </si>
  <si>
    <t>fish1533</t>
  </si>
  <si>
    <t>Blue-fish</t>
  </si>
  <si>
    <t>fish1534</t>
  </si>
  <si>
    <t>Yu-no-hana Crab</t>
  </si>
  <si>
    <t>fish1535</t>
  </si>
  <si>
    <t>Dragon Squeaker</t>
  </si>
  <si>
    <t>fish1536</t>
  </si>
  <si>
    <t>Snipe Eel</t>
  </si>
  <si>
    <t>fish1537</t>
  </si>
  <si>
    <t>Sailfin</t>
  </si>
  <si>
    <t>fish1538</t>
  </si>
  <si>
    <t>Cherubfish</t>
  </si>
  <si>
    <t>fish1539</t>
  </si>
  <si>
    <t>Fangshi</t>
  </si>
  <si>
    <t>fish1540</t>
  </si>
  <si>
    <t>Killifish</t>
  </si>
  <si>
    <t>fish1541</t>
  </si>
  <si>
    <t>Othardian Trout</t>
  </si>
  <si>
    <t>fish1542</t>
  </si>
  <si>
    <t>Zagas Khaal</t>
  </si>
  <si>
    <t>fish1543</t>
  </si>
  <si>
    <t>Steppe Skipper</t>
  </si>
  <si>
    <t>fish1544</t>
  </si>
  <si>
    <t>Dawn Crayfish</t>
  </si>
  <si>
    <t>fish1545</t>
  </si>
  <si>
    <t>Garden Skipper</t>
  </si>
  <si>
    <t>fish1546</t>
  </si>
  <si>
    <t>Maiden's Heart</t>
  </si>
  <si>
    <t>fish1547</t>
  </si>
  <si>
    <t>Pomegranate Trout</t>
  </si>
  <si>
    <t>fish1548</t>
  </si>
  <si>
    <t>Curtain Pleco</t>
  </si>
  <si>
    <t>fish1549</t>
  </si>
  <si>
    <t>Dry Steppe Skipper</t>
  </si>
  <si>
    <t>fish1550</t>
  </si>
  <si>
    <t>Dusk Crayfish</t>
  </si>
  <si>
    <t>fish1551</t>
  </si>
  <si>
    <t>Hak Bitterling</t>
  </si>
  <si>
    <t>fish1552</t>
  </si>
  <si>
    <t>Banderole</t>
  </si>
  <si>
    <t>fish1553</t>
  </si>
  <si>
    <t>Tail Mountains Minnow</t>
  </si>
  <si>
    <t>fish1554</t>
  </si>
  <si>
    <t>Skytear</t>
  </si>
  <si>
    <t>fish1555</t>
  </si>
  <si>
    <t>Blade Skipper</t>
  </si>
  <si>
    <t>fish1556</t>
  </si>
  <si>
    <t>Sun Bass</t>
  </si>
  <si>
    <t>fish1557</t>
  </si>
  <si>
    <t>Hardscale</t>
  </si>
  <si>
    <t>fish1558</t>
  </si>
  <si>
    <t>fish1559</t>
  </si>
  <si>
    <t>Guppy</t>
  </si>
  <si>
    <t>fish1560</t>
  </si>
  <si>
    <t>Duskfish</t>
  </si>
  <si>
    <t>fish1561</t>
  </si>
  <si>
    <t>Bowfish</t>
  </si>
  <si>
    <t>fish1562</t>
  </si>
  <si>
    <t>Tao Bitterling</t>
  </si>
  <si>
    <t>fish1563</t>
  </si>
  <si>
    <t>Elder Gourami</t>
  </si>
  <si>
    <t>fish1564</t>
  </si>
  <si>
    <t>The Word of God</t>
  </si>
  <si>
    <t>fish1565</t>
  </si>
  <si>
    <t>Yat Goby</t>
  </si>
  <si>
    <t>fish1566</t>
  </si>
  <si>
    <t>Jade Sculpin</t>
  </si>
  <si>
    <t>fish1567</t>
  </si>
  <si>
    <t>Fragrant Sweetfish</t>
  </si>
  <si>
    <t>fish1568</t>
  </si>
  <si>
    <t>Yat Khan</t>
  </si>
  <si>
    <t>fish1569</t>
  </si>
  <si>
    <t>Brassfish</t>
  </si>
  <si>
    <t>fish1570</t>
  </si>
  <si>
    <t>Nhaama's Boon</t>
  </si>
  <si>
    <t>fish1571</t>
  </si>
  <si>
    <t>Nhaama's Treasure</t>
  </si>
  <si>
    <t>fish1572</t>
  </si>
  <si>
    <t>The Unconditional</t>
  </si>
  <si>
    <t>fish1573</t>
  </si>
  <si>
    <t>Rock Saltfish</t>
  </si>
  <si>
    <t>fish1574</t>
  </si>
  <si>
    <t>Saltshield Snapper</t>
  </si>
  <si>
    <t>fish1575</t>
  </si>
  <si>
    <t>Whitehorse</t>
  </si>
  <si>
    <t>fish1576</t>
  </si>
  <si>
    <t>Pearl-eye</t>
  </si>
  <si>
    <t>fish1577</t>
  </si>
  <si>
    <t>Sculptor</t>
  </si>
  <si>
    <t>fish1578</t>
  </si>
  <si>
    <t>Saltmill</t>
  </si>
  <si>
    <t>fish1579</t>
  </si>
  <si>
    <t>Diamond-eye</t>
  </si>
  <si>
    <t>fish1580</t>
  </si>
  <si>
    <t>Stethacanthus</t>
  </si>
  <si>
    <t>fish1581</t>
  </si>
  <si>
    <t>Striped Fugu</t>
  </si>
  <si>
    <t>fish1582</t>
  </si>
  <si>
    <t>Hanatatsu</t>
  </si>
  <si>
    <t>fish1583</t>
  </si>
  <si>
    <t>Ribbon Eel</t>
  </si>
  <si>
    <t>fish1584</t>
  </si>
  <si>
    <t>Rising Dragon</t>
  </si>
  <si>
    <t>fish1585</t>
  </si>
  <si>
    <t>The Gambler</t>
  </si>
  <si>
    <t>fish1586</t>
  </si>
  <si>
    <t>Bonsai Fish</t>
  </si>
  <si>
    <t>fish1587</t>
  </si>
  <si>
    <t>Princess Killifish</t>
  </si>
  <si>
    <t>fish1588</t>
  </si>
  <si>
    <t>Empyreal Spiral</t>
  </si>
  <si>
    <t>fish1589</t>
  </si>
  <si>
    <t>Steppe Bullfrog</t>
  </si>
  <si>
    <t>fish1590</t>
  </si>
  <si>
    <t>Cavalry Catfish</t>
  </si>
  <si>
    <t>fish1591</t>
  </si>
  <si>
    <t>Dotharli Gudgeon</t>
  </si>
  <si>
    <t>fish1592</t>
  </si>
  <si>
    <t>Dawn Herald</t>
  </si>
  <si>
    <t>fish1593</t>
  </si>
  <si>
    <t>Dusk Herald</t>
  </si>
  <si>
    <t>fish1594</t>
  </si>
  <si>
    <t>Flamefish</t>
  </si>
  <si>
    <t>fish1595</t>
  </si>
  <si>
    <t>Redfin</t>
  </si>
  <si>
    <t>fish1596</t>
  </si>
  <si>
    <t>River Clam</t>
  </si>
  <si>
    <t>fish1597</t>
  </si>
  <si>
    <t>Grass Shark</t>
  </si>
  <si>
    <t>fish1598</t>
  </si>
  <si>
    <t>Fickle Krait</t>
  </si>
  <si>
    <t>fish1599</t>
  </si>
  <si>
    <t>Glaring Perch</t>
  </si>
  <si>
    <t>fish1600</t>
  </si>
  <si>
    <t>Eternal Eye</t>
  </si>
  <si>
    <t>fish1601</t>
  </si>
  <si>
    <t>Soul of the Stallion</t>
  </si>
  <si>
    <t>fish1602</t>
  </si>
  <si>
    <t>Crystal Knife</t>
  </si>
  <si>
    <t>Fruit Worm</t>
  </si>
  <si>
    <t>fish1603</t>
  </si>
  <si>
    <t>Laxan Carp</t>
  </si>
  <si>
    <t>fish1604</t>
  </si>
  <si>
    <t>Asteroidea</t>
  </si>
  <si>
    <t>Robber Ball</t>
  </si>
  <si>
    <t>fish1605</t>
  </si>
  <si>
    <t>Lover's Flower</t>
  </si>
  <si>
    <t>Marble Nymph</t>
  </si>
  <si>
    <t>fish1606</t>
  </si>
  <si>
    <t>Jacketed Snail</t>
  </si>
  <si>
    <t>fish1607</t>
  </si>
  <si>
    <t>Aster Trivi</t>
  </si>
  <si>
    <t>fish1608</t>
  </si>
  <si>
    <t>Sinspitter</t>
  </si>
  <si>
    <t>fish1609</t>
  </si>
  <si>
    <t>Wandering Catfish</t>
  </si>
  <si>
    <t>fish1610</t>
  </si>
  <si>
    <t>The Sinsteeped</t>
  </si>
  <si>
    <t>fish1611</t>
  </si>
  <si>
    <t>Crystarium Tetra</t>
  </si>
  <si>
    <t>Baitbugs</t>
  </si>
  <si>
    <t>fish1612</t>
  </si>
  <si>
    <t>Skeletonfish</t>
  </si>
  <si>
    <t>fish1613</t>
  </si>
  <si>
    <t>Loose Pendant</t>
  </si>
  <si>
    <t>fish1614</t>
  </si>
  <si>
    <t>Milky Coral</t>
  </si>
  <si>
    <t>Moyebi Shrimp</t>
  </si>
  <si>
    <t>fish1615</t>
  </si>
  <si>
    <t>Gravel Mussel</t>
  </si>
  <si>
    <t>fish1616</t>
  </si>
  <si>
    <t>Bonefish</t>
  </si>
  <si>
    <t>fish1617</t>
  </si>
  <si>
    <t>Crimson Sea Spider</t>
  </si>
  <si>
    <t>fish1618</t>
  </si>
  <si>
    <t>fish1619</t>
  </si>
  <si>
    <t>Red Hammerhead</t>
  </si>
  <si>
    <t>fish1620</t>
  </si>
  <si>
    <t>Winged Dame</t>
  </si>
  <si>
    <t>fish1621</t>
  </si>
  <si>
    <t>Eighteyes Eel</t>
  </si>
  <si>
    <t>fish1622</t>
  </si>
  <si>
    <t>Hard Candy</t>
  </si>
  <si>
    <t>Select Bait Ball</t>
  </si>
  <si>
    <t>fish1623</t>
  </si>
  <si>
    <t>Abyssal Snail</t>
  </si>
  <si>
    <t>fish1624</t>
  </si>
  <si>
    <t>Water Ball</t>
  </si>
  <si>
    <t>fish1625</t>
  </si>
  <si>
    <t>Albino Caiman</t>
  </si>
  <si>
    <t>fish1626</t>
  </si>
  <si>
    <t>Sweetheart</t>
  </si>
  <si>
    <t>fish1627</t>
  </si>
  <si>
    <t>Misty Killifish</t>
  </si>
  <si>
    <t>fish1628</t>
  </si>
  <si>
    <t>Platinum Guppy</t>
  </si>
  <si>
    <t>fish1629</t>
  </si>
  <si>
    <t>Moonlight Guppy</t>
  </si>
  <si>
    <t>fish1630</t>
  </si>
  <si>
    <t>Clean Saucer</t>
  </si>
  <si>
    <t>fish1631</t>
  </si>
  <si>
    <t>Rabbit Skipper</t>
  </si>
  <si>
    <t>fish1632</t>
  </si>
  <si>
    <t>Xanthic Bass</t>
  </si>
  <si>
    <t>fish1633</t>
  </si>
  <si>
    <t>Albino Rock Crab</t>
  </si>
  <si>
    <t>fish1634</t>
  </si>
  <si>
    <t>Laxan Inkhorn</t>
  </si>
  <si>
    <t>fish1635</t>
  </si>
  <si>
    <t>Platinum Seahorse</t>
  </si>
  <si>
    <t>fish1636</t>
  </si>
  <si>
    <t>The Unforgiven</t>
  </si>
  <si>
    <t>fish1637</t>
  </si>
  <si>
    <t>Snakeskin Discus</t>
  </si>
  <si>
    <t>fish1638</t>
  </si>
  <si>
    <t>Python Discus</t>
  </si>
  <si>
    <t>fish1639</t>
  </si>
  <si>
    <t>Albino Garfish</t>
  </si>
  <si>
    <t>fish1640</t>
  </si>
  <si>
    <t>Vicejaw</t>
  </si>
  <si>
    <t>fish1641</t>
  </si>
  <si>
    <t>Forgiven Melancholy</t>
  </si>
  <si>
    <t>fish1642</t>
  </si>
  <si>
    <t>The Jaws of Undeath</t>
  </si>
  <si>
    <t>fish1643</t>
  </si>
  <si>
    <t>Listracanthus</t>
  </si>
  <si>
    <t>fish1644</t>
  </si>
  <si>
    <t>Lilac Goby</t>
  </si>
  <si>
    <t>fish1645</t>
  </si>
  <si>
    <t>Purple Ghost</t>
  </si>
  <si>
    <t>fish1646</t>
  </si>
  <si>
    <t>Gazing Glass</t>
  </si>
  <si>
    <t>fish1647</t>
  </si>
  <si>
    <t>Elven Spear</t>
  </si>
  <si>
    <t>fish1648</t>
  </si>
  <si>
    <t>Lakelouse</t>
  </si>
  <si>
    <t>fish1649</t>
  </si>
  <si>
    <t>Source Octopus</t>
  </si>
  <si>
    <t>fish1650</t>
  </si>
  <si>
    <t>Grey Carp</t>
  </si>
  <si>
    <t>fish1651</t>
  </si>
  <si>
    <t>Shade Gudgeon</t>
  </si>
  <si>
    <t>fish1652</t>
  </si>
  <si>
    <t>Lakethistle</t>
  </si>
  <si>
    <t>fish1653</t>
  </si>
  <si>
    <t>Platinum Bream</t>
  </si>
  <si>
    <t>fish1654</t>
  </si>
  <si>
    <t>Finned Eggplant</t>
  </si>
  <si>
    <t>fish1655</t>
  </si>
  <si>
    <t>Wardenfish</t>
  </si>
  <si>
    <t>fish1656</t>
  </si>
  <si>
    <t>Skykisser</t>
  </si>
  <si>
    <t>fish1657</t>
  </si>
  <si>
    <t>Viola Clam</t>
  </si>
  <si>
    <t>fish1658</t>
  </si>
  <si>
    <t>Lakeland Cod</t>
  </si>
  <si>
    <t>fish1659</t>
  </si>
  <si>
    <t>Geayi</t>
  </si>
  <si>
    <t>fish1660</t>
  </si>
  <si>
    <t>Noblefish</t>
  </si>
  <si>
    <t>fish1661</t>
  </si>
  <si>
    <t>Misteye</t>
  </si>
  <si>
    <t>fish1662</t>
  </si>
  <si>
    <t>Little Bismarck</t>
  </si>
  <si>
    <t>fish1663</t>
  </si>
  <si>
    <t>Bothriolepis</t>
  </si>
  <si>
    <t>fish1664</t>
  </si>
  <si>
    <t>Ken Kiln</t>
  </si>
  <si>
    <t>fish1665</t>
  </si>
  <si>
    <t>Skulleater</t>
  </si>
  <si>
    <t>fish1666</t>
  </si>
  <si>
    <t>Toffee Snail</t>
  </si>
  <si>
    <t>fish1667</t>
  </si>
  <si>
    <t>Watts Trout</t>
  </si>
  <si>
    <t>fish1668</t>
  </si>
  <si>
    <t>Hucho Taimen</t>
  </si>
  <si>
    <t>fish1669</t>
  </si>
  <si>
    <t>Winged Hatchetfish</t>
  </si>
  <si>
    <t>fish1670</t>
  </si>
  <si>
    <t>Giant Taimen</t>
  </si>
  <si>
    <t>fish1671</t>
  </si>
  <si>
    <t>Noble's Fan</t>
  </si>
  <si>
    <t>fish1672</t>
  </si>
  <si>
    <t>White Oil Perch</t>
  </si>
  <si>
    <t>fish1673</t>
  </si>
  <si>
    <t>Oil Slick</t>
  </si>
  <si>
    <t>fish1674</t>
  </si>
  <si>
    <t>Steel Fan</t>
  </si>
  <si>
    <t>fish1675</t>
  </si>
  <si>
    <t>Zebra Catfish</t>
  </si>
  <si>
    <t>fish1676</t>
  </si>
  <si>
    <t>White Ronso</t>
  </si>
  <si>
    <t>fish1677</t>
  </si>
  <si>
    <t>Sepia Sole</t>
  </si>
  <si>
    <t>fish1678</t>
  </si>
  <si>
    <t>Bronze Sole</t>
  </si>
  <si>
    <t>fish1679</t>
  </si>
  <si>
    <t>South Kholusian Cod</t>
  </si>
  <si>
    <t>Short Bill Minnow</t>
  </si>
  <si>
    <t>fish1680</t>
  </si>
  <si>
    <t>Kholusian Flounder</t>
  </si>
  <si>
    <t>fish1681</t>
  </si>
  <si>
    <t>Shellfracture Kelp</t>
  </si>
  <si>
    <t>fish1682</t>
  </si>
  <si>
    <t>Creamy Oyster</t>
  </si>
  <si>
    <t>fish1683</t>
  </si>
  <si>
    <t>Rose Shrimp</t>
  </si>
  <si>
    <t>fish1684</t>
  </si>
  <si>
    <t>Razorfish</t>
  </si>
  <si>
    <t>fish1685</t>
  </si>
  <si>
    <t>Kholusian King Crab</t>
  </si>
  <si>
    <t>fish1686</t>
  </si>
  <si>
    <t>Blue Crab</t>
  </si>
  <si>
    <t>fish1687</t>
  </si>
  <si>
    <t>Steel Razor</t>
  </si>
  <si>
    <t>fish1688</t>
  </si>
  <si>
    <t>Blood Cloud</t>
  </si>
  <si>
    <t>fish1689</t>
  </si>
  <si>
    <t>Shapeshifter</t>
  </si>
  <si>
    <t>fish1690</t>
  </si>
  <si>
    <t>Minstrelfish</t>
  </si>
  <si>
    <t>fish1691</t>
  </si>
  <si>
    <t>Clavekeeper</t>
  </si>
  <si>
    <t>fish1692</t>
  </si>
  <si>
    <t>Shadeshifter</t>
  </si>
  <si>
    <t>fish1693</t>
  </si>
  <si>
    <t>Aquamaton</t>
  </si>
  <si>
    <t>fish1694</t>
  </si>
  <si>
    <t>Spearhead Squid</t>
  </si>
  <si>
    <t>fish1695</t>
  </si>
  <si>
    <t>Kholusian Wrasse</t>
  </si>
  <si>
    <t>fish1696</t>
  </si>
  <si>
    <t>Weedy Seadragon</t>
  </si>
  <si>
    <t>fish1697</t>
  </si>
  <si>
    <t>Henodus</t>
  </si>
  <si>
    <t>fish1698</t>
  </si>
  <si>
    <t>Ondo Kelp</t>
  </si>
  <si>
    <t>fish1699</t>
  </si>
  <si>
    <t>Henodus Grandis</t>
  </si>
  <si>
    <t>fish1700</t>
  </si>
  <si>
    <t>Shadow Crab</t>
  </si>
  <si>
    <t>Desert Dessert Frog</t>
  </si>
  <si>
    <t>fish1701</t>
  </si>
  <si>
    <t>Desert Dustfish</t>
  </si>
  <si>
    <t>fish1702</t>
  </si>
  <si>
    <t>Sand Egg</t>
  </si>
  <si>
    <t>fish1703</t>
  </si>
  <si>
    <t>Hornhelm</t>
  </si>
  <si>
    <t>fish1704</t>
  </si>
  <si>
    <t>Web-footed Sand Gecko</t>
  </si>
  <si>
    <t>fish1705</t>
  </si>
  <si>
    <t>The Horned King</t>
  </si>
  <si>
    <t>fish1706</t>
  </si>
  <si>
    <t>Cinder Surprise</t>
  </si>
  <si>
    <t>fish1707</t>
  </si>
  <si>
    <t>Amber Lamprey</t>
  </si>
  <si>
    <t>fish1708</t>
  </si>
  <si>
    <t>Desert Saw</t>
  </si>
  <si>
    <t>Jerked Ovim</t>
  </si>
  <si>
    <t>fish1709</t>
  </si>
  <si>
    <t>Areng Dire</t>
  </si>
  <si>
    <t>fish1710</t>
  </si>
  <si>
    <t>Gold Dustfish</t>
  </si>
  <si>
    <t>fish1711</t>
  </si>
  <si>
    <t>Nabaath Saw</t>
  </si>
  <si>
    <t>fish1712</t>
  </si>
  <si>
    <t>Garik Crab</t>
  </si>
  <si>
    <t>fish1713</t>
  </si>
  <si>
    <t>Nabaath Manta</t>
  </si>
  <si>
    <t>fish1714</t>
  </si>
  <si>
    <t>Amber Monkfish</t>
  </si>
  <si>
    <t>fish1715</t>
  </si>
  <si>
    <t>Thorned Lizard</t>
  </si>
  <si>
    <t>fish1716</t>
  </si>
  <si>
    <t>Ambling Caltrop</t>
  </si>
  <si>
    <t>fish1717</t>
  </si>
  <si>
    <t>Grey Skipper</t>
  </si>
  <si>
    <t>fish1718</t>
  </si>
  <si>
    <t>Pixie Fish</t>
  </si>
  <si>
    <t>fish1719</t>
  </si>
  <si>
    <t>Lemonfish</t>
  </si>
  <si>
    <t>fish1720</t>
  </si>
  <si>
    <t>Wimple Carp</t>
  </si>
  <si>
    <t>fish1721</t>
  </si>
  <si>
    <t>Faeshine Clam</t>
  </si>
  <si>
    <t>fish1722</t>
  </si>
  <si>
    <t>Mirror Image</t>
  </si>
  <si>
    <t>fish1723</t>
  </si>
  <si>
    <t>Leannisg</t>
  </si>
  <si>
    <t>fish1724</t>
  </si>
  <si>
    <t>Cerulean Loach</t>
  </si>
  <si>
    <t>fish1725</t>
  </si>
  <si>
    <t>Official Ball</t>
  </si>
  <si>
    <t>fish1726</t>
  </si>
  <si>
    <t>Rebel</t>
  </si>
  <si>
    <t>fish1727</t>
  </si>
  <si>
    <t>fish1728</t>
  </si>
  <si>
    <t>The Sound of Fury</t>
  </si>
  <si>
    <t>fish1729</t>
  </si>
  <si>
    <t>Ealad Skaan</t>
  </si>
  <si>
    <t>fish1730</t>
  </si>
  <si>
    <t>Blood-eyed Frog</t>
  </si>
  <si>
    <t>fish1731</t>
  </si>
  <si>
    <t>Spotted Ctenopoma</t>
  </si>
  <si>
    <t>fish1732</t>
  </si>
  <si>
    <t>Sunken Tome</t>
  </si>
  <si>
    <t>fish1733</t>
  </si>
  <si>
    <t>Spotted Blue-eye</t>
  </si>
  <si>
    <t>fish1734</t>
  </si>
  <si>
    <t>Fae Rainbow</t>
  </si>
  <si>
    <t>fish1735</t>
  </si>
  <si>
    <t>Brightmirror Clam</t>
  </si>
  <si>
    <t>fish1736</t>
  </si>
  <si>
    <t>Cherry Herring</t>
  </si>
  <si>
    <t>fish1737</t>
  </si>
  <si>
    <t>Dammroen Herring</t>
  </si>
  <si>
    <t>fish1738</t>
  </si>
  <si>
    <t>Golden Lobster</t>
  </si>
  <si>
    <t>fish1739</t>
  </si>
  <si>
    <t>Little Bounty</t>
  </si>
  <si>
    <t>fish1740</t>
  </si>
  <si>
    <t>Saint Fathric's Face</t>
  </si>
  <si>
    <t>fish1741</t>
  </si>
  <si>
    <t>Gold Hammer</t>
  </si>
  <si>
    <t>fish1742</t>
  </si>
  <si>
    <t>Toadhead</t>
  </si>
  <si>
    <t>fish1743</t>
  </si>
  <si>
    <t>Celestial</t>
  </si>
  <si>
    <t>fish1744</t>
  </si>
  <si>
    <t>Clawbow</t>
  </si>
  <si>
    <t>fish1745</t>
  </si>
  <si>
    <t>Yellow Pipira</t>
  </si>
  <si>
    <t>fish1746</t>
  </si>
  <si>
    <t>Robber Crab</t>
  </si>
  <si>
    <t>fish1747</t>
  </si>
  <si>
    <t>Clown Tetra</t>
  </si>
  <si>
    <t>fish1748</t>
  </si>
  <si>
    <t>Eryops</t>
  </si>
  <si>
    <t>fish1749</t>
  </si>
  <si>
    <t>Spangled Pirarucu</t>
  </si>
  <si>
    <t>fish1750</t>
  </si>
  <si>
    <t>Priest of Yx'Lokwa</t>
  </si>
  <si>
    <t>fish1751</t>
  </si>
  <si>
    <t>Greater Serpent of Ronka</t>
  </si>
  <si>
    <t>fish1752</t>
  </si>
  <si>
    <t>Oathfish</t>
  </si>
  <si>
    <t>fish1753</t>
  </si>
  <si>
    <t>Darkroot</t>
  </si>
  <si>
    <t>fish1754</t>
  </si>
  <si>
    <t>Diamond Pipira</t>
  </si>
  <si>
    <t>fish1755</t>
  </si>
  <si>
    <t>Pearl Pipira</t>
  </si>
  <si>
    <t>fish1756</t>
  </si>
  <si>
    <t>Rak'tika Trout</t>
  </si>
  <si>
    <t>fish1757</t>
  </si>
  <si>
    <t>Night's Bass</t>
  </si>
  <si>
    <t>fish1758</t>
  </si>
  <si>
    <t>Black Tri-star</t>
  </si>
  <si>
    <t>fish1759</t>
  </si>
  <si>
    <t>Black Jet</t>
  </si>
  <si>
    <t>fish1760</t>
  </si>
  <si>
    <t>Silver Kitten</t>
  </si>
  <si>
    <t>fish1761</t>
  </si>
  <si>
    <t>Recordkiller</t>
  </si>
  <si>
    <t>fish1762</t>
  </si>
  <si>
    <t>Jenanna's Tear</t>
  </si>
  <si>
    <t>fish1763</t>
  </si>
  <si>
    <t>Shade Axolotl</t>
  </si>
  <si>
    <t>fish1764</t>
  </si>
  <si>
    <t>Daisy Turban</t>
  </si>
  <si>
    <t>fish1765</t>
  </si>
  <si>
    <t>Little Flirt</t>
  </si>
  <si>
    <t>fish1766</t>
  </si>
  <si>
    <t>Peallaidh</t>
  </si>
  <si>
    <t>fish1767</t>
  </si>
  <si>
    <t>fish1768</t>
  </si>
  <si>
    <t>Gilded Batfish</t>
  </si>
  <si>
    <t>fish1769</t>
  </si>
  <si>
    <t>Mirrorfish</t>
  </si>
  <si>
    <t>fish1770</t>
  </si>
  <si>
    <t>Glass Eel</t>
  </si>
  <si>
    <t>fish1771</t>
  </si>
  <si>
    <t>fish1772</t>
  </si>
  <si>
    <t>Petalfish</t>
  </si>
  <si>
    <t>fish1773</t>
  </si>
  <si>
    <t>Voeburt Salamander</t>
  </si>
  <si>
    <t>fish1774</t>
  </si>
  <si>
    <t>Bedskipper</t>
  </si>
  <si>
    <t>fish1775</t>
  </si>
  <si>
    <t>Dandyfish</t>
  </si>
  <si>
    <t>fish1776</t>
  </si>
  <si>
    <t>Mock Pixie</t>
  </si>
  <si>
    <t>fish1777</t>
  </si>
  <si>
    <t>Hunter's Arrow</t>
  </si>
  <si>
    <t>fish1778</t>
  </si>
  <si>
    <t>Fuathgobbler</t>
  </si>
  <si>
    <t>fish1779</t>
  </si>
  <si>
    <t>Sauldia Ruby</t>
  </si>
  <si>
    <t>fish1780</t>
  </si>
  <si>
    <t>Paradise Crab</t>
  </si>
  <si>
    <t>fish1781</t>
  </si>
  <si>
    <t>Saint Fathric's Ire</t>
  </si>
  <si>
    <t>fish1782</t>
  </si>
  <si>
    <t>Queensgown</t>
  </si>
  <si>
    <t>fish1783</t>
  </si>
  <si>
    <t>Flowering Kelpie</t>
  </si>
  <si>
    <t>fish1784</t>
  </si>
  <si>
    <t>Ghoulfish</t>
  </si>
  <si>
    <t>fish1785</t>
  </si>
  <si>
    <t>Measan Deala</t>
  </si>
  <si>
    <t>fish1786</t>
  </si>
  <si>
    <t>Big-eye</t>
  </si>
  <si>
    <t>fish1787</t>
  </si>
  <si>
    <t>Dohn Horn</t>
  </si>
  <si>
    <t>fish1788</t>
  </si>
  <si>
    <t>Aquabloom</t>
  </si>
  <si>
    <t>fish1789</t>
  </si>
  <si>
    <t>Jester Fish</t>
  </si>
  <si>
    <t>fish1790</t>
  </si>
  <si>
    <t>Blue Lightning</t>
  </si>
  <si>
    <t>fish1791</t>
  </si>
  <si>
    <t>Maidenhair</t>
  </si>
  <si>
    <t>fish1792</t>
  </si>
  <si>
    <t>Elder Pixie</t>
  </si>
  <si>
    <t>fish1793</t>
  </si>
  <si>
    <t>Blue Mountain Bubble</t>
  </si>
  <si>
    <t>fish1794</t>
  </si>
  <si>
    <t>Glorianda's Tear</t>
  </si>
  <si>
    <t>fish1795</t>
  </si>
  <si>
    <t>Darkdweller</t>
  </si>
  <si>
    <t>fish1796</t>
  </si>
  <si>
    <t>Deephaunt</t>
  </si>
  <si>
    <t>fish1797</t>
  </si>
  <si>
    <t>Golding</t>
  </si>
  <si>
    <t>fish1798</t>
  </si>
  <si>
    <t>Deadwood Shadow</t>
  </si>
  <si>
    <t>fish1799</t>
  </si>
  <si>
    <t>Ronkan Bullion</t>
  </si>
  <si>
    <t>fish1800</t>
  </si>
  <si>
    <t>Golden Pipira</t>
  </si>
  <si>
    <t>fish1801</t>
  </si>
  <si>
    <t>Stormfish</t>
  </si>
  <si>
    <t>fish1802</t>
  </si>
  <si>
    <t>Deep Purple Coral</t>
  </si>
  <si>
    <t>fish1803</t>
  </si>
  <si>
    <t>Caliban</t>
  </si>
  <si>
    <t>fish1804</t>
  </si>
  <si>
    <t>Bubble Angler</t>
  </si>
  <si>
    <t>fish1805</t>
  </si>
  <si>
    <t>Ondo Harpoon</t>
  </si>
  <si>
    <t>fish1806</t>
  </si>
  <si>
    <t>Ondo Sigh</t>
  </si>
  <si>
    <t>fish1807</t>
  </si>
  <si>
    <t>Stippled Eel</t>
  </si>
  <si>
    <t>fish1808</t>
  </si>
  <si>
    <t>Ondobane</t>
  </si>
  <si>
    <t>fish1809</t>
  </si>
  <si>
    <t>The Ondotaker</t>
  </si>
  <si>
    <t>fish1810</t>
  </si>
  <si>
    <t>Sycorax</t>
  </si>
  <si>
    <t>fish1811</t>
  </si>
  <si>
    <t>Ancient Shrimp</t>
  </si>
  <si>
    <t>fish1812</t>
  </si>
  <si>
    <t>Yeti Crab</t>
  </si>
  <si>
    <t>fish1813</t>
  </si>
  <si>
    <t>Aapoak</t>
  </si>
  <si>
    <t>fish1814</t>
  </si>
  <si>
    <t>Gonzalo's Grace</t>
  </si>
  <si>
    <t>fish1815</t>
  </si>
  <si>
    <t>Maru Crab</t>
  </si>
  <si>
    <t>fish1816</t>
  </si>
  <si>
    <t>Hoodwinker</t>
  </si>
  <si>
    <t>fish1817</t>
  </si>
  <si>
    <t>Cyan Sea Devil</t>
  </si>
  <si>
    <t>fish1818</t>
  </si>
  <si>
    <t>Pancake Octopus</t>
  </si>
  <si>
    <t>fish1819</t>
  </si>
  <si>
    <t>The Mother of All Pancakes</t>
  </si>
  <si>
    <t>fish1820</t>
  </si>
  <si>
    <t>Maneater Clam</t>
  </si>
  <si>
    <t>fish1821</t>
  </si>
  <si>
    <t>Azure Sea Spider</t>
  </si>
  <si>
    <t>fish1822</t>
  </si>
  <si>
    <t>Stargazer</t>
  </si>
  <si>
    <t>fish1823</t>
  </si>
  <si>
    <t>Purpure Cod</t>
  </si>
  <si>
    <t>fish1824</t>
  </si>
  <si>
    <t>Starchaser</t>
  </si>
  <si>
    <t>fish1825</t>
  </si>
  <si>
    <t>Sweetflesh Oyster</t>
  </si>
  <si>
    <t>fish1826</t>
  </si>
  <si>
    <t>Rainbow Shrimp</t>
  </si>
  <si>
    <t>fish1827</t>
  </si>
  <si>
    <t>fish1828</t>
  </si>
  <si>
    <t>Il Lydha</t>
  </si>
  <si>
    <t>fish1829</t>
  </si>
  <si>
    <t>Opal Shrimp</t>
  </si>
  <si>
    <t>fish1830</t>
  </si>
  <si>
    <t>Ankle Snipper</t>
  </si>
  <si>
    <t>fish1831</t>
  </si>
  <si>
    <t>Treescale</t>
  </si>
  <si>
    <t>fish1832</t>
  </si>
  <si>
    <t>Ronkan Pleco</t>
  </si>
  <si>
    <t>fish1833</t>
  </si>
  <si>
    <t>Gourmand Crab</t>
  </si>
  <si>
    <t>fish1834</t>
  </si>
  <si>
    <t>Gatorl's Bead</t>
  </si>
  <si>
    <t>fish1835</t>
  </si>
  <si>
    <t>Diamondtongue</t>
  </si>
  <si>
    <t>fish1836</t>
  </si>
  <si>
    <t>Everdark Bass</t>
  </si>
  <si>
    <t>fish1837</t>
  </si>
  <si>
    <t>Hermit's Hood</t>
  </si>
  <si>
    <t>fish1838</t>
  </si>
  <si>
    <t>Megapiranha</t>
  </si>
  <si>
    <t>fish1839</t>
  </si>
  <si>
    <t>Hermit Crab</t>
  </si>
  <si>
    <t>fish1840</t>
  </si>
  <si>
    <t>Lozatl Pirarucu</t>
  </si>
  <si>
    <t>fish1841</t>
  </si>
  <si>
    <t>Anpa's Handmaid</t>
  </si>
  <si>
    <t>fish1842</t>
  </si>
  <si>
    <t>Rak'tika Goby</t>
  </si>
  <si>
    <t>fish1843</t>
  </si>
  <si>
    <t>Viis Ear</t>
  </si>
  <si>
    <t>timer59</t>
  </si>
  <si>
    <t>timer60</t>
  </si>
  <si>
    <t>timer61</t>
  </si>
  <si>
    <t>timer62</t>
  </si>
  <si>
    <t>timer63</t>
  </si>
  <si>
    <t>timer64</t>
  </si>
  <si>
    <t>timer65</t>
  </si>
  <si>
    <t>timer66</t>
  </si>
  <si>
    <t>timer67</t>
  </si>
  <si>
    <t>timer68</t>
  </si>
  <si>
    <t>timer69</t>
  </si>
  <si>
    <t>timer70</t>
  </si>
  <si>
    <t>timer71</t>
  </si>
  <si>
    <t>timer72</t>
  </si>
  <si>
    <t>timer73</t>
  </si>
  <si>
    <t>timer74</t>
  </si>
  <si>
    <t>timer75</t>
  </si>
  <si>
    <t>timer76</t>
  </si>
  <si>
    <t>timer77</t>
  </si>
  <si>
    <t>timer78</t>
  </si>
  <si>
    <t>timer79</t>
  </si>
  <si>
    <t>timer80</t>
  </si>
  <si>
    <t>timer81</t>
  </si>
  <si>
    <t>timer82</t>
  </si>
  <si>
    <t>timer83</t>
  </si>
  <si>
    <t>timer84</t>
  </si>
  <si>
    <t>timer85</t>
  </si>
  <si>
    <t>timer86</t>
  </si>
  <si>
    <t>timer87</t>
  </si>
  <si>
    <t>timer88</t>
  </si>
  <si>
    <t>timer89</t>
  </si>
  <si>
    <t>timer90</t>
  </si>
  <si>
    <t>timer91</t>
  </si>
  <si>
    <t>timer92</t>
  </si>
  <si>
    <t>timer93</t>
  </si>
  <si>
    <t>timer94</t>
  </si>
  <si>
    <t>timer95</t>
  </si>
  <si>
    <t>timer96</t>
  </si>
  <si>
    <t>timer97</t>
  </si>
  <si>
    <t>timer98</t>
  </si>
  <si>
    <t>timer99</t>
  </si>
  <si>
    <t>timer100</t>
  </si>
  <si>
    <t>timer101</t>
  </si>
  <si>
    <t>timer102</t>
  </si>
  <si>
    <t>timer103</t>
  </si>
  <si>
    <t>timer104</t>
  </si>
  <si>
    <t>timer105</t>
  </si>
  <si>
    <t>timer106</t>
  </si>
  <si>
    <t>timer107</t>
  </si>
  <si>
    <t>timer108</t>
  </si>
  <si>
    <t>timer109</t>
  </si>
  <si>
    <t>timer110</t>
  </si>
  <si>
    <t>timer111</t>
  </si>
  <si>
    <t>timer112</t>
  </si>
  <si>
    <t>timer113</t>
  </si>
  <si>
    <t>timer114</t>
  </si>
  <si>
    <t>timer115</t>
  </si>
  <si>
    <t>timer116</t>
  </si>
  <si>
    <t>timer117</t>
  </si>
  <si>
    <t>timer118</t>
  </si>
  <si>
    <t>timer119</t>
  </si>
  <si>
    <t>timer120</t>
  </si>
  <si>
    <t>timer121</t>
  </si>
  <si>
    <t>timer122</t>
  </si>
  <si>
    <t>timer123</t>
  </si>
  <si>
    <t>timer124</t>
  </si>
  <si>
    <t>timer125</t>
  </si>
  <si>
    <t>timer126</t>
  </si>
  <si>
    <t>timer127</t>
  </si>
  <si>
    <t>timer128</t>
  </si>
  <si>
    <t>timer129</t>
  </si>
  <si>
    <t>timer130</t>
  </si>
  <si>
    <t>timer131</t>
  </si>
  <si>
    <t>timer132</t>
  </si>
  <si>
    <t>timer133</t>
  </si>
  <si>
    <t>timer134</t>
  </si>
  <si>
    <t>timer135</t>
  </si>
  <si>
    <t>weatherchain3</t>
  </si>
  <si>
    <t>fish0001</t>
  </si>
  <si>
    <t>fish0002</t>
  </si>
  <si>
    <t>fish0003</t>
  </si>
  <si>
    <t>fish0004</t>
  </si>
  <si>
    <t>fish0005</t>
  </si>
  <si>
    <t>fish0006</t>
  </si>
  <si>
    <t>fish0007</t>
  </si>
  <si>
    <t>fish0008</t>
  </si>
  <si>
    <t>mooch</t>
  </si>
  <si>
    <t>fish0009</t>
  </si>
  <si>
    <t>fish0010</t>
  </si>
  <si>
    <t>fish0011</t>
  </si>
  <si>
    <t>fish0012</t>
  </si>
  <si>
    <t>fish0013</t>
  </si>
  <si>
    <t>fish0014</t>
  </si>
  <si>
    <t>fish0015</t>
  </si>
  <si>
    <t>fish0016</t>
  </si>
  <si>
    <t>fish0017</t>
  </si>
  <si>
    <t>fish0018</t>
  </si>
  <si>
    <t>fish0019</t>
  </si>
  <si>
    <t>fish0020</t>
  </si>
  <si>
    <t>fish0021</t>
  </si>
  <si>
    <t>fish0022</t>
  </si>
  <si>
    <t>fish0023</t>
  </si>
  <si>
    <t>fish0024</t>
  </si>
  <si>
    <t>fish0025</t>
  </si>
  <si>
    <t>fish0026</t>
  </si>
  <si>
    <t>fish0027</t>
  </si>
  <si>
    <t>fish0028</t>
  </si>
  <si>
    <t>fish0029</t>
  </si>
  <si>
    <t>Rogue River</t>
  </si>
  <si>
    <t>fish0030</t>
  </si>
  <si>
    <t>fish0031</t>
  </si>
  <si>
    <t>fish0032</t>
  </si>
  <si>
    <t>fish0033</t>
  </si>
  <si>
    <t>fish0034</t>
  </si>
  <si>
    <t>fish0035</t>
  </si>
  <si>
    <t>West Agelyss River</t>
  </si>
  <si>
    <t>fish0036</t>
  </si>
  <si>
    <t>fish0037</t>
  </si>
  <si>
    <t>fish0038</t>
  </si>
  <si>
    <t>fish0039</t>
  </si>
  <si>
    <t>fish0040</t>
  </si>
  <si>
    <t>fish0041</t>
  </si>
  <si>
    <t>fish0042</t>
  </si>
  <si>
    <t>fish0043</t>
  </si>
  <si>
    <t>fish0044</t>
  </si>
  <si>
    <t>fish0045</t>
  </si>
  <si>
    <t>fish0046</t>
  </si>
  <si>
    <t>fish0047</t>
  </si>
  <si>
    <t>fish0048</t>
  </si>
  <si>
    <t>fish0049</t>
  </si>
  <si>
    <t>fish0050</t>
  </si>
  <si>
    <t>fish0051</t>
  </si>
  <si>
    <t>Nym River</t>
  </si>
  <si>
    <t>fish0052</t>
  </si>
  <si>
    <t>fish0053</t>
  </si>
  <si>
    <t>fish0054</t>
  </si>
  <si>
    <t>fish0055</t>
  </si>
  <si>
    <t>fish0056</t>
  </si>
  <si>
    <t>fish0057</t>
  </si>
  <si>
    <t>fish0058</t>
  </si>
  <si>
    <t>fish0059</t>
  </si>
  <si>
    <t>fish0060</t>
  </si>
  <si>
    <t>fish0061</t>
  </si>
  <si>
    <t>fish0062</t>
  </si>
  <si>
    <t>fish0063</t>
  </si>
  <si>
    <t>fish0064</t>
  </si>
  <si>
    <t>fish0065</t>
  </si>
  <si>
    <t>fish0066</t>
  </si>
  <si>
    <t>Overcast</t>
  </si>
  <si>
    <t>Wind</t>
  </si>
  <si>
    <t>fish0067</t>
  </si>
  <si>
    <t>fish0068</t>
  </si>
  <si>
    <t>fish0069</t>
  </si>
  <si>
    <t>fish0070</t>
  </si>
  <si>
    <t>fish0071</t>
  </si>
  <si>
    <t>fish0072</t>
  </si>
  <si>
    <t>fish0073</t>
  </si>
  <si>
    <t>fish0074</t>
  </si>
  <si>
    <t>fish0075</t>
  </si>
  <si>
    <t>fish0076</t>
  </si>
  <si>
    <t>fish0077</t>
  </si>
  <si>
    <t>fish0078</t>
  </si>
  <si>
    <t>fish0079</t>
  </si>
  <si>
    <t>fish0080</t>
  </si>
  <si>
    <t>fish0081</t>
  </si>
  <si>
    <t>fish0082</t>
  </si>
  <si>
    <t>fish0083</t>
  </si>
  <si>
    <t>fish0084</t>
  </si>
  <si>
    <t>fish0085</t>
  </si>
  <si>
    <t>fish0086</t>
  </si>
  <si>
    <t>fish0087</t>
  </si>
  <si>
    <t>fish0088</t>
  </si>
  <si>
    <t>fish0089</t>
  </si>
  <si>
    <t>fish0090</t>
  </si>
  <si>
    <t>fish0091</t>
  </si>
  <si>
    <t>fish0092</t>
  </si>
  <si>
    <t>fish0093</t>
  </si>
  <si>
    <t>fish0094</t>
  </si>
  <si>
    <t>fish0095</t>
  </si>
  <si>
    <t>fish0096</t>
  </si>
  <si>
    <t>fish0097</t>
  </si>
  <si>
    <t>fish0098</t>
  </si>
  <si>
    <t>fish0099</t>
  </si>
  <si>
    <t>fish0100</t>
  </si>
  <si>
    <t>fish0101</t>
  </si>
  <si>
    <t>fish0102</t>
  </si>
  <si>
    <t>fish0103</t>
  </si>
  <si>
    <t>fish0104</t>
  </si>
  <si>
    <t>fish0105</t>
  </si>
  <si>
    <t>fish0106</t>
  </si>
  <si>
    <t>fish0107</t>
  </si>
  <si>
    <t>fish0108</t>
  </si>
  <si>
    <t>fish0109</t>
  </si>
  <si>
    <t>fish0110</t>
  </si>
  <si>
    <t>fish0111</t>
  </si>
  <si>
    <t>fish0112</t>
  </si>
  <si>
    <t>fish0113</t>
  </si>
  <si>
    <t>fish0114</t>
  </si>
  <si>
    <t>fish0115</t>
  </si>
  <si>
    <t>fish0116</t>
  </si>
  <si>
    <t>fish0117</t>
  </si>
  <si>
    <t>fish0118</t>
  </si>
  <si>
    <t>fish0119</t>
  </si>
  <si>
    <t>fish0120</t>
  </si>
  <si>
    <t>fish0121</t>
  </si>
  <si>
    <t>fish0122</t>
  </si>
  <si>
    <t>fish0123</t>
  </si>
  <si>
    <t>fish0124</t>
  </si>
  <si>
    <t>fish0125</t>
  </si>
  <si>
    <t>fish0126</t>
  </si>
  <si>
    <t>fish0127</t>
  </si>
  <si>
    <t>fish0128</t>
  </si>
  <si>
    <t>fish0129</t>
  </si>
  <si>
    <t>fish0130</t>
  </si>
  <si>
    <t>fish0131</t>
  </si>
  <si>
    <t>fish0132</t>
  </si>
  <si>
    <t>fish0133</t>
  </si>
  <si>
    <t>fish0134</t>
  </si>
  <si>
    <t>fish0135</t>
  </si>
  <si>
    <t>fish0136</t>
  </si>
  <si>
    <t>fish0137</t>
  </si>
  <si>
    <t>fish0138</t>
  </si>
  <si>
    <t>fish0139</t>
  </si>
  <si>
    <t>fish0140</t>
  </si>
  <si>
    <t>fish0141</t>
  </si>
  <si>
    <t>South Bloodshore</t>
  </si>
  <si>
    <t>fish0142</t>
  </si>
  <si>
    <t>fish0143</t>
  </si>
  <si>
    <t>fish0144</t>
  </si>
  <si>
    <t>fish0145</t>
  </si>
  <si>
    <t>fish0146</t>
  </si>
  <si>
    <t>fish0147</t>
  </si>
  <si>
    <t>fish0148</t>
  </si>
  <si>
    <t>Fullmoon</t>
  </si>
  <si>
    <t>Sardine</t>
  </si>
  <si>
    <t>fish0149</t>
  </si>
  <si>
    <t>fish0150</t>
  </si>
  <si>
    <t>fish0151</t>
  </si>
  <si>
    <t>fish0152</t>
  </si>
  <si>
    <t>fish0153</t>
  </si>
  <si>
    <t>fish0154</t>
  </si>
  <si>
    <t>fish0155</t>
  </si>
  <si>
    <t>fish0156</t>
  </si>
  <si>
    <t>fish0157</t>
  </si>
  <si>
    <t>fish0158</t>
  </si>
  <si>
    <t>fish0159</t>
  </si>
  <si>
    <t>fish0160</t>
  </si>
  <si>
    <t>fish0161</t>
  </si>
  <si>
    <t>North Bloodshore</t>
  </si>
  <si>
    <t>fish0162</t>
  </si>
  <si>
    <t>fish0163</t>
  </si>
  <si>
    <t>fish0164</t>
  </si>
  <si>
    <t>fish0165</t>
  </si>
  <si>
    <t>fish0166</t>
  </si>
  <si>
    <t>fish0167</t>
  </si>
  <si>
    <t>fish0168</t>
  </si>
  <si>
    <t>fish0169</t>
  </si>
  <si>
    <t>fish0170</t>
  </si>
  <si>
    <t>fish0171</t>
  </si>
  <si>
    <t>Rhotano Sea (Privateer Forecastle)</t>
  </si>
  <si>
    <t>fish0172</t>
  </si>
  <si>
    <t>fish0173</t>
  </si>
  <si>
    <t>fish0174</t>
  </si>
  <si>
    <t>fish0175</t>
  </si>
  <si>
    <t>fish0176</t>
  </si>
  <si>
    <t>fish0177</t>
  </si>
  <si>
    <t>fish0178</t>
  </si>
  <si>
    <t>fish0179</t>
  </si>
  <si>
    <t>fish0180</t>
  </si>
  <si>
    <t>fish0181</t>
  </si>
  <si>
    <t>Rhotano Sea (Privateer Sterncastle)</t>
  </si>
  <si>
    <t>fish0182</t>
  </si>
  <si>
    <t>fish0183</t>
  </si>
  <si>
    <t>fish0184</t>
  </si>
  <si>
    <t>fish0185</t>
  </si>
  <si>
    <t>fish0186</t>
  </si>
  <si>
    <t>fish0187</t>
  </si>
  <si>
    <t>fish0188</t>
  </si>
  <si>
    <t>fish0189</t>
  </si>
  <si>
    <t>fish0190</t>
  </si>
  <si>
    <t>Requires Fisher's Intuition buff from catching 3x Little Thalaos.</t>
  </si>
  <si>
    <t>fish0191</t>
  </si>
  <si>
    <t>East Agelyss River</t>
  </si>
  <si>
    <t>fish0192</t>
  </si>
  <si>
    <t>fish0193</t>
  </si>
  <si>
    <t>fish0194</t>
  </si>
  <si>
    <t>fish0195</t>
  </si>
  <si>
    <t>fish0196</t>
  </si>
  <si>
    <t>fish0197</t>
  </si>
  <si>
    <t>fish0198</t>
  </si>
  <si>
    <t>fish0199</t>
  </si>
  <si>
    <t>fish0200</t>
  </si>
  <si>
    <t>fish0201</t>
  </si>
  <si>
    <t>fish0202</t>
  </si>
  <si>
    <t>fish0203</t>
  </si>
  <si>
    <t>fish0204</t>
  </si>
  <si>
    <t>fish0205</t>
  </si>
  <si>
    <t>fish0206</t>
  </si>
  <si>
    <t>fish0207</t>
  </si>
  <si>
    <t>fish0208</t>
  </si>
  <si>
    <t>fish0209</t>
  </si>
  <si>
    <t>fish0210</t>
  </si>
  <si>
    <t>The Juggernaut</t>
  </si>
  <si>
    <t>fish0211</t>
  </si>
  <si>
    <t>fish0212</t>
  </si>
  <si>
    <t>fish0213</t>
  </si>
  <si>
    <t>fish0214</t>
  </si>
  <si>
    <t>fish0215</t>
  </si>
  <si>
    <t>fish0216</t>
  </si>
  <si>
    <t>fish0217</t>
  </si>
  <si>
    <t>fish0218</t>
  </si>
  <si>
    <t>fish0219</t>
  </si>
  <si>
    <t>fish0220</t>
  </si>
  <si>
    <t>fish0221</t>
  </si>
  <si>
    <t>fish0222</t>
  </si>
  <si>
    <t>fish0223</t>
  </si>
  <si>
    <t>fish0224</t>
  </si>
  <si>
    <t>fish0225</t>
  </si>
  <si>
    <t>fish0226</t>
  </si>
  <si>
    <t>Requires Fisher's Intuition from catching 3x Jungle Catfish</t>
  </si>
  <si>
    <t>fish0227</t>
  </si>
  <si>
    <t>fish0228</t>
  </si>
  <si>
    <t>North Isle of Endless Summer</t>
  </si>
  <si>
    <t>fish0229</t>
  </si>
  <si>
    <t>fish0230</t>
  </si>
  <si>
    <t>fish0231</t>
  </si>
  <si>
    <t>fish0232</t>
  </si>
  <si>
    <t>fish0233</t>
  </si>
  <si>
    <t>fish0234</t>
  </si>
  <si>
    <t>fish0235</t>
  </si>
  <si>
    <t>fish0236</t>
  </si>
  <si>
    <t>fish0237</t>
  </si>
  <si>
    <t>fish0238</t>
  </si>
  <si>
    <t>fish0239</t>
  </si>
  <si>
    <t>fish0240</t>
  </si>
  <si>
    <t>fish0241</t>
  </si>
  <si>
    <t>fish0242</t>
  </si>
  <si>
    <t>fish0243</t>
  </si>
  <si>
    <t>fish0244</t>
  </si>
  <si>
    <t>fish0245</t>
  </si>
  <si>
    <t>fish0246</t>
  </si>
  <si>
    <t>fish0247</t>
  </si>
  <si>
    <t>fish0248</t>
  </si>
  <si>
    <t>fish0249</t>
  </si>
  <si>
    <t>fish0250</t>
  </si>
  <si>
    <t>fish0251</t>
  </si>
  <si>
    <t>fish0252</t>
  </si>
  <si>
    <t>fish0253</t>
  </si>
  <si>
    <t>fish0254</t>
  </si>
  <si>
    <t>fish0255</t>
  </si>
  <si>
    <t>fish0256</t>
  </si>
  <si>
    <t>fish0257</t>
  </si>
  <si>
    <t>fish0258</t>
  </si>
  <si>
    <t>fish0259</t>
  </si>
  <si>
    <t>fish0260</t>
  </si>
  <si>
    <t>fish0261</t>
  </si>
  <si>
    <t>fish0262</t>
  </si>
  <si>
    <t>fish0263</t>
  </si>
  <si>
    <t>fish0264</t>
  </si>
  <si>
    <t>fish0265</t>
  </si>
  <si>
    <t>fish0266</t>
  </si>
  <si>
    <t>fish0267</t>
  </si>
  <si>
    <t>fish0268</t>
  </si>
  <si>
    <t>fish0269</t>
  </si>
  <si>
    <t>fish0270</t>
  </si>
  <si>
    <t>fish0271</t>
  </si>
  <si>
    <t>fish0272</t>
  </si>
  <si>
    <t>Isles of Umbra Northshore</t>
  </si>
  <si>
    <t>fish0273</t>
  </si>
  <si>
    <t>fish0274</t>
  </si>
  <si>
    <t>fish0275</t>
  </si>
  <si>
    <t>fish0276</t>
  </si>
  <si>
    <t>fish0277</t>
  </si>
  <si>
    <t>fish0278</t>
  </si>
  <si>
    <t>fish0279</t>
  </si>
  <si>
    <t>fish0280</t>
  </si>
  <si>
    <t>fish0281</t>
  </si>
  <si>
    <t>fish0282</t>
  </si>
  <si>
    <t>fish0283</t>
  </si>
  <si>
    <t>fish0284</t>
  </si>
  <si>
    <t>fish0285</t>
  </si>
  <si>
    <t>fish0286</t>
  </si>
  <si>
    <t>fish0287</t>
  </si>
  <si>
    <t>fish0288</t>
  </si>
  <si>
    <t>fish0289</t>
  </si>
  <si>
    <t>fish0290</t>
  </si>
  <si>
    <t>fish0291</t>
  </si>
  <si>
    <t>fish0292</t>
  </si>
  <si>
    <t>fish0293</t>
  </si>
  <si>
    <t>fish0294</t>
  </si>
  <si>
    <t>fish0295</t>
  </si>
  <si>
    <t>fish0296</t>
  </si>
  <si>
    <t>fish0297</t>
  </si>
  <si>
    <t>fish0298</t>
  </si>
  <si>
    <t>fish0299</t>
  </si>
  <si>
    <t>fish0300</t>
  </si>
  <si>
    <t>fish0301</t>
  </si>
  <si>
    <t>fish0302</t>
  </si>
  <si>
    <t>Isles of Umbra Southshore</t>
  </si>
  <si>
    <t>fish0303</t>
  </si>
  <si>
    <t>fish0304</t>
  </si>
  <si>
    <t>fish0305</t>
  </si>
  <si>
    <t>fish0306</t>
  </si>
  <si>
    <t>fish0307</t>
  </si>
  <si>
    <t>fish0308</t>
  </si>
  <si>
    <t>fish0309</t>
  </si>
  <si>
    <t>fish0310</t>
  </si>
  <si>
    <t>fish0311</t>
  </si>
  <si>
    <t>fish0312</t>
  </si>
  <si>
    <t>fish0313</t>
  </si>
  <si>
    <t>fish0314</t>
  </si>
  <si>
    <t>fish0315</t>
  </si>
  <si>
    <t>fish0316</t>
  </si>
  <si>
    <t>fish0317</t>
  </si>
  <si>
    <t>fish0318</t>
  </si>
  <si>
    <t>fish0319</t>
  </si>
  <si>
    <t>fish0320</t>
  </si>
  <si>
    <t>fish0321</t>
  </si>
  <si>
    <t>fish0322</t>
  </si>
  <si>
    <t>fish0323</t>
  </si>
  <si>
    <t>fish0324</t>
  </si>
  <si>
    <t>fish0325</t>
  </si>
  <si>
    <t>fish0326</t>
  </si>
  <si>
    <t>fish0327</t>
  </si>
  <si>
    <t>fish0328</t>
  </si>
  <si>
    <t>fish0329</t>
  </si>
  <si>
    <t>fish0330</t>
  </si>
  <si>
    <t>fish0331</t>
  </si>
  <si>
    <t>fish0332</t>
  </si>
  <si>
    <t>fish0333</t>
  </si>
  <si>
    <t>fish0334</t>
  </si>
  <si>
    <t>fish0335</t>
  </si>
  <si>
    <t>fish0336</t>
  </si>
  <si>
    <t>fish0337</t>
  </si>
  <si>
    <t>fish0338</t>
  </si>
  <si>
    <t>fish0339</t>
  </si>
  <si>
    <t>fish0340</t>
  </si>
  <si>
    <t>fish0341</t>
  </si>
  <si>
    <t>Bronze Lake Shallows</t>
  </si>
  <si>
    <t>fish0342</t>
  </si>
  <si>
    <t>fish0343</t>
  </si>
  <si>
    <t>fish0344</t>
  </si>
  <si>
    <t>fish0345</t>
  </si>
  <si>
    <t>fish0346</t>
  </si>
  <si>
    <t>fish0347</t>
  </si>
  <si>
    <t>Northeast Bronze Lake</t>
  </si>
  <si>
    <t>fish0348</t>
  </si>
  <si>
    <t>fish0349</t>
  </si>
  <si>
    <t>fish0350</t>
  </si>
  <si>
    <t>fish0351</t>
  </si>
  <si>
    <t>fish0352</t>
  </si>
  <si>
    <t>fish0353</t>
  </si>
  <si>
    <t>fish0354</t>
  </si>
  <si>
    <t>fish0355</t>
  </si>
  <si>
    <t>fish0356</t>
  </si>
  <si>
    <t>fish0357</t>
  </si>
  <si>
    <t>fish0358</t>
  </si>
  <si>
    <t>fish0359</t>
  </si>
  <si>
    <t>fish0360</t>
  </si>
  <si>
    <t>fish0361</t>
  </si>
  <si>
    <t>fish0362</t>
  </si>
  <si>
    <t>fish0363</t>
  </si>
  <si>
    <t>fish0364</t>
  </si>
  <si>
    <t>fish0365</t>
  </si>
  <si>
    <t>Northwest Bronze Lake</t>
  </si>
  <si>
    <t>fish0366</t>
  </si>
  <si>
    <t>fish0367</t>
  </si>
  <si>
    <t>fish0368</t>
  </si>
  <si>
    <t>fish0369</t>
  </si>
  <si>
    <t>fish0370</t>
  </si>
  <si>
    <t>fish0371</t>
  </si>
  <si>
    <t>fish0372</t>
  </si>
  <si>
    <t>fish0373</t>
  </si>
  <si>
    <t>fish0374</t>
  </si>
  <si>
    <t>fish0375</t>
  </si>
  <si>
    <t>fish0376</t>
  </si>
  <si>
    <t>fish0377</t>
  </si>
  <si>
    <t>fish0378</t>
  </si>
  <si>
    <t>fish0379</t>
  </si>
  <si>
    <t>fish0380</t>
  </si>
  <si>
    <t>fish0381</t>
  </si>
  <si>
    <t>fish0382</t>
  </si>
  <si>
    <t>fish0383</t>
  </si>
  <si>
    <t>fish0384</t>
  </si>
  <si>
    <t>Jadeite Flood</t>
  </si>
  <si>
    <t>fish0385</t>
  </si>
  <si>
    <t>fish0386</t>
  </si>
  <si>
    <t>fish0387</t>
  </si>
  <si>
    <t>fish0388</t>
  </si>
  <si>
    <t>fish0389</t>
  </si>
  <si>
    <t>fish0390</t>
  </si>
  <si>
    <t>fish0391</t>
  </si>
  <si>
    <t>Lower Black Tea Brook</t>
  </si>
  <si>
    <t>fish0392</t>
  </si>
  <si>
    <t>fish0393</t>
  </si>
  <si>
    <t>fish0394</t>
  </si>
  <si>
    <t>fish0395</t>
  </si>
  <si>
    <t>fish0396</t>
  </si>
  <si>
    <t>fish0397</t>
  </si>
  <si>
    <t>Whispering Gorge</t>
  </si>
  <si>
    <t>fish0398</t>
  </si>
  <si>
    <t>fish0399</t>
  </si>
  <si>
    <t>fish0400</t>
  </si>
  <si>
    <t>fish0401</t>
  </si>
  <si>
    <t>fish0402</t>
  </si>
  <si>
    <t>fish0403</t>
  </si>
  <si>
    <t>fish0404</t>
  </si>
  <si>
    <t>Upper Black Tea Brook</t>
  </si>
  <si>
    <t>fish0405</t>
  </si>
  <si>
    <t>fish0406</t>
  </si>
  <si>
    <t>fish0407</t>
  </si>
  <si>
    <t>fish0408</t>
  </si>
  <si>
    <t>fish0409</t>
  </si>
  <si>
    <t>fish0410</t>
  </si>
  <si>
    <t>The Vein</t>
  </si>
  <si>
    <t>fish0411</t>
  </si>
  <si>
    <t>fish0412</t>
  </si>
  <si>
    <t>fish0413</t>
  </si>
  <si>
    <t>fish0414</t>
  </si>
  <si>
    <t>fish0415</t>
  </si>
  <si>
    <t>fish0416</t>
  </si>
  <si>
    <t>fish0417</t>
  </si>
  <si>
    <t>fish0418</t>
  </si>
  <si>
    <t>The Mirror</t>
  </si>
  <si>
    <t>fish0419</t>
  </si>
  <si>
    <t>fish0420</t>
  </si>
  <si>
    <t>fish0421</t>
  </si>
  <si>
    <t>fish0422</t>
  </si>
  <si>
    <t>fish0423</t>
  </si>
  <si>
    <t>fish0424</t>
  </si>
  <si>
    <t>fish0425</t>
  </si>
  <si>
    <t>fish0426</t>
  </si>
  <si>
    <t>Everschade</t>
  </si>
  <si>
    <t>fish0427</t>
  </si>
  <si>
    <t>fish0428</t>
  </si>
  <si>
    <t>fish0429</t>
  </si>
  <si>
    <t>fish0430</t>
  </si>
  <si>
    <t>fish0431</t>
  </si>
  <si>
    <t>fish0432</t>
  </si>
  <si>
    <t>fish0433</t>
  </si>
  <si>
    <t>fish0434</t>
  </si>
  <si>
    <t>fish0435</t>
  </si>
  <si>
    <t>fish0436</t>
  </si>
  <si>
    <t>fish0437</t>
  </si>
  <si>
    <t>fish0438</t>
  </si>
  <si>
    <t>fish0439</t>
  </si>
  <si>
    <t>fish0440</t>
  </si>
  <si>
    <t>fish0441</t>
  </si>
  <si>
    <t>fish0442</t>
  </si>
  <si>
    <t>fish0443</t>
  </si>
  <si>
    <t>fish0444</t>
  </si>
  <si>
    <t>fish0445</t>
  </si>
  <si>
    <t>fish0446</t>
  </si>
  <si>
    <t>fish0447</t>
  </si>
  <si>
    <t>Sweetbloom Pier</t>
  </si>
  <si>
    <t>fish0448</t>
  </si>
  <si>
    <t>fish0449</t>
  </si>
  <si>
    <t>fish0450</t>
  </si>
  <si>
    <t>fish0451</t>
  </si>
  <si>
    <t>fish0452</t>
  </si>
  <si>
    <t>fish0453</t>
  </si>
  <si>
    <t>fish0454</t>
  </si>
  <si>
    <t>fish0455</t>
  </si>
  <si>
    <t>fish0456</t>
  </si>
  <si>
    <t>Springripple Brook</t>
  </si>
  <si>
    <t>fish0457</t>
  </si>
  <si>
    <t>fish0458</t>
  </si>
  <si>
    <t>fish0459</t>
  </si>
  <si>
    <t>fish0460</t>
  </si>
  <si>
    <t>fish0461</t>
  </si>
  <si>
    <t>fish0462</t>
  </si>
  <si>
    <t>fish0463</t>
  </si>
  <si>
    <t>fish0464</t>
  </si>
  <si>
    <t>fish0465</t>
  </si>
  <si>
    <t>fish0466</t>
  </si>
  <si>
    <t>fish0467</t>
  </si>
  <si>
    <t>fish0468</t>
  </si>
  <si>
    <t>fish0469</t>
  </si>
  <si>
    <t>fish0470</t>
  </si>
  <si>
    <t>fish0471</t>
  </si>
  <si>
    <t>fish0472</t>
  </si>
  <si>
    <t>Verdant Drop</t>
  </si>
  <si>
    <t>fish0473</t>
  </si>
  <si>
    <t>fish0474</t>
  </si>
  <si>
    <t>fish0475</t>
  </si>
  <si>
    <t>fish0476</t>
  </si>
  <si>
    <t>fish0477</t>
  </si>
  <si>
    <t>fish0478</t>
  </si>
  <si>
    <t>fish0479</t>
  </si>
  <si>
    <t>fish0480</t>
  </si>
  <si>
    <t>fish0481</t>
  </si>
  <si>
    <t>fish0482</t>
  </si>
  <si>
    <t>fish0483</t>
  </si>
  <si>
    <t>fish0484</t>
  </si>
  <si>
    <t>fish0485</t>
  </si>
  <si>
    <t>fish0486</t>
  </si>
  <si>
    <t>fish0487</t>
  </si>
  <si>
    <t>fish0488</t>
  </si>
  <si>
    <t>fish0489</t>
  </si>
  <si>
    <t>Upper Hathoeva River</t>
  </si>
  <si>
    <t>fish0490</t>
  </si>
  <si>
    <t>fish0491</t>
  </si>
  <si>
    <t>fish0492</t>
  </si>
  <si>
    <t>fish0493</t>
  </si>
  <si>
    <t>fish0494</t>
  </si>
  <si>
    <t>fish0495</t>
  </si>
  <si>
    <t>fish0496</t>
  </si>
  <si>
    <t>fish0497</t>
  </si>
  <si>
    <t>fish0498</t>
  </si>
  <si>
    <t>Northeast Bronze Lake Depths</t>
  </si>
  <si>
    <t>fish0499</t>
  </si>
  <si>
    <t>fish0500</t>
  </si>
  <si>
    <t>fish0501</t>
  </si>
  <si>
    <t>fish0502</t>
  </si>
  <si>
    <t>fish0503</t>
  </si>
  <si>
    <t>Condition: Requires Fisher's Intuition buff from catching 4x Verdigris Guppy in a single node.</t>
  </si>
  <si>
    <t>fish0504</t>
  </si>
  <si>
    <t>Northwest Bronze Lake Depths</t>
  </si>
  <si>
    <t>fish0505</t>
  </si>
  <si>
    <t>fish0506</t>
  </si>
  <si>
    <t>fish0507</t>
  </si>
  <si>
    <t>fish0508</t>
  </si>
  <si>
    <t>Lower Hathoeva River</t>
  </si>
  <si>
    <t>fish0509</t>
  </si>
  <si>
    <t>fish0510</t>
  </si>
  <si>
    <t>fish0511</t>
  </si>
  <si>
    <t>fish0512</t>
  </si>
  <si>
    <t>fish0513</t>
  </si>
  <si>
    <t>fish0514</t>
  </si>
  <si>
    <t>fish0515</t>
  </si>
  <si>
    <t>fish0516</t>
  </si>
  <si>
    <t>fish0517</t>
  </si>
  <si>
    <t>fish0518</t>
  </si>
  <si>
    <t>East Hathoeva River</t>
  </si>
  <si>
    <t>fish0519</t>
  </si>
  <si>
    <t>fish0520</t>
  </si>
  <si>
    <t>fish0521</t>
  </si>
  <si>
    <t>fish0522</t>
  </si>
  <si>
    <t>fish0523</t>
  </si>
  <si>
    <t>fish0524</t>
  </si>
  <si>
    <t>fish0525</t>
  </si>
  <si>
    <t>fish0526</t>
  </si>
  <si>
    <t>fish0527</t>
  </si>
  <si>
    <t>Middle Hathoeva River</t>
  </si>
  <si>
    <t>fish0528</t>
  </si>
  <si>
    <t>fish0529</t>
  </si>
  <si>
    <t>fish0530</t>
  </si>
  <si>
    <t>fish0531</t>
  </si>
  <si>
    <t>fish0532</t>
  </si>
  <si>
    <t>fish0533</t>
  </si>
  <si>
    <t>fish0534</t>
  </si>
  <si>
    <t>fish0535</t>
  </si>
  <si>
    <t>fish0536</t>
  </si>
  <si>
    <t>Goblinblood</t>
  </si>
  <si>
    <t>fish0537</t>
  </si>
  <si>
    <t>fish0538</t>
  </si>
  <si>
    <t>fish0539</t>
  </si>
  <si>
    <t>fish0540</t>
  </si>
  <si>
    <t>fish0541</t>
  </si>
  <si>
    <t>fish0542</t>
  </si>
  <si>
    <t>fish0543</t>
  </si>
  <si>
    <t>fish0544</t>
  </si>
  <si>
    <t>fish0545</t>
  </si>
  <si>
    <t>fish0546</t>
  </si>
  <si>
    <t>Rootslake</t>
  </si>
  <si>
    <t>fish0547</t>
  </si>
  <si>
    <t>fish0548</t>
  </si>
  <si>
    <t>fish0549</t>
  </si>
  <si>
    <t>fish0550</t>
  </si>
  <si>
    <t>fish0551</t>
  </si>
  <si>
    <t>fish0552</t>
  </si>
  <si>
    <t>fish0553</t>
  </si>
  <si>
    <t>fish0554</t>
  </si>
  <si>
    <t>fish0555</t>
  </si>
  <si>
    <t>fish0556</t>
  </si>
  <si>
    <t>fish0557</t>
  </si>
  <si>
    <t>fish0558</t>
  </si>
  <si>
    <t>fish0559</t>
  </si>
  <si>
    <t>fish0560</t>
  </si>
  <si>
    <t>fish0561</t>
  </si>
  <si>
    <t>fish0562</t>
  </si>
  <si>
    <t>Requires Fisher's Intuition buff from catching a Giant Takitaro.</t>
  </si>
  <si>
    <t>fish0563</t>
  </si>
  <si>
    <t>Murmur Rills</t>
  </si>
  <si>
    <t>fish0564</t>
  </si>
  <si>
    <t>fish0565</t>
  </si>
  <si>
    <t>fish0566</t>
  </si>
  <si>
    <t>fish0567</t>
  </si>
  <si>
    <t>fish0568</t>
  </si>
  <si>
    <t>fish0569</t>
  </si>
  <si>
    <t>fish0570</t>
  </si>
  <si>
    <t>fish0571</t>
  </si>
  <si>
    <t>fish0572</t>
  </si>
  <si>
    <t>fish0573</t>
  </si>
  <si>
    <t>fish0574</t>
  </si>
  <si>
    <t>fish0575</t>
  </si>
  <si>
    <t>fish0576</t>
  </si>
  <si>
    <t>fish0577</t>
  </si>
  <si>
    <t>fish0578</t>
  </si>
  <si>
    <t>fish0579</t>
  </si>
  <si>
    <t>fish0580</t>
  </si>
  <si>
    <t>fish0581</t>
  </si>
  <si>
    <t>fish0582</t>
  </si>
  <si>
    <t>fish0583</t>
  </si>
  <si>
    <t>fish0584</t>
  </si>
  <si>
    <t>fish0585</t>
  </si>
  <si>
    <t>fish0586</t>
  </si>
  <si>
    <t>fish0587</t>
  </si>
  <si>
    <t>fish0588</t>
  </si>
  <si>
    <t>Lake Tahtotl</t>
  </si>
  <si>
    <t>fish0589</t>
  </si>
  <si>
    <t>fish0590</t>
  </si>
  <si>
    <t>fish0591</t>
  </si>
  <si>
    <t>fish0592</t>
  </si>
  <si>
    <t>fish0593</t>
  </si>
  <si>
    <t>fish0594</t>
  </si>
  <si>
    <t>fish0595</t>
  </si>
  <si>
    <t>fish0596</t>
  </si>
  <si>
    <t>Requires Fisher's Intuition (4 min buff) from catching 5x Boxing Pleco</t>
  </si>
  <si>
    <t>fish0597</t>
  </si>
  <si>
    <t>The Lavender Beds</t>
  </si>
  <si>
    <t>fish0598</t>
  </si>
  <si>
    <t>fish0599</t>
  </si>
  <si>
    <t>fish0600</t>
  </si>
  <si>
    <t>fish0601</t>
  </si>
  <si>
    <t>fish0602</t>
  </si>
  <si>
    <t>fish0603</t>
  </si>
  <si>
    <t>fish0604</t>
  </si>
  <si>
    <t>fish0605</t>
  </si>
  <si>
    <t>Sweetnewt</t>
  </si>
  <si>
    <t>fish0606</t>
  </si>
  <si>
    <t>fish0607</t>
  </si>
  <si>
    <t>fish0608</t>
  </si>
  <si>
    <t>fish0609</t>
  </si>
  <si>
    <t>fish0610</t>
  </si>
  <si>
    <t>fish0611</t>
  </si>
  <si>
    <t>fish0612</t>
  </si>
  <si>
    <t>fish0613</t>
  </si>
  <si>
    <t>fish0614</t>
  </si>
  <si>
    <t>fish0615</t>
  </si>
  <si>
    <t>fish0616</t>
  </si>
  <si>
    <t>fish0617</t>
  </si>
  <si>
    <t>fish0618</t>
  </si>
  <si>
    <t>fish0619</t>
  </si>
  <si>
    <t>fish0620</t>
  </si>
  <si>
    <t>fish0621</t>
  </si>
  <si>
    <t>fish0622</t>
  </si>
  <si>
    <t>fish0623</t>
  </si>
  <si>
    <t>fish0624</t>
  </si>
  <si>
    <t>fish0625</t>
  </si>
  <si>
    <t>fish0626</t>
  </si>
  <si>
    <t>fish0627</t>
  </si>
  <si>
    <t>fish0628</t>
  </si>
  <si>
    <t>fish0629</t>
  </si>
  <si>
    <t>Crescent Cove</t>
  </si>
  <si>
    <t>fish0630</t>
  </si>
  <si>
    <t>fish0631</t>
  </si>
  <si>
    <t>fish0632</t>
  </si>
  <si>
    <t>fish0633</t>
  </si>
  <si>
    <t>fish0634</t>
  </si>
  <si>
    <t>fish0635</t>
  </si>
  <si>
    <t>fish0636</t>
  </si>
  <si>
    <t>fish0637</t>
  </si>
  <si>
    <t>fish0638</t>
  </si>
  <si>
    <t>fish0639</t>
  </si>
  <si>
    <t>fish0640</t>
  </si>
  <si>
    <t>fish0641</t>
  </si>
  <si>
    <t>fish0642</t>
  </si>
  <si>
    <t>fish0643</t>
  </si>
  <si>
    <t>fish0644</t>
  </si>
  <si>
    <t>fish0645</t>
  </si>
  <si>
    <t>fish0646</t>
  </si>
  <si>
    <t>fish0647</t>
  </si>
  <si>
    <t>fish0648</t>
  </si>
  <si>
    <t>fish0649</t>
  </si>
  <si>
    <t>fish0650</t>
  </si>
  <si>
    <t>fish0651</t>
  </si>
  <si>
    <t>fish0652</t>
  </si>
  <si>
    <t>fish0653</t>
  </si>
  <si>
    <t>fish0654</t>
  </si>
  <si>
    <t>fish0655</t>
  </si>
  <si>
    <t>370+ Gathering required, 6x Wahoo required for Fisher's Intuition.</t>
  </si>
  <si>
    <t>fish0656</t>
  </si>
  <si>
    <t>Moondrip</t>
  </si>
  <si>
    <t>fish0657</t>
  </si>
  <si>
    <t>fish0658</t>
  </si>
  <si>
    <t>fish0659</t>
  </si>
  <si>
    <t>fish0660</t>
  </si>
  <si>
    <t>fish0661</t>
  </si>
  <si>
    <t>fish0662</t>
  </si>
  <si>
    <t>fish0663</t>
  </si>
  <si>
    <t>fish0664</t>
  </si>
  <si>
    <t>fish0665</t>
  </si>
  <si>
    <t>fish0666</t>
  </si>
  <si>
    <t>fish0667</t>
  </si>
  <si>
    <t>fish0668</t>
  </si>
  <si>
    <t>fish0669</t>
  </si>
  <si>
    <t>fish0670</t>
  </si>
  <si>
    <t>Upper Soot Creek</t>
  </si>
  <si>
    <t>fish0671</t>
  </si>
  <si>
    <t>fish0672</t>
  </si>
  <si>
    <t>fish0673</t>
  </si>
  <si>
    <t>fish0674</t>
  </si>
  <si>
    <t>fish0675</t>
  </si>
  <si>
    <t>fish0676</t>
  </si>
  <si>
    <t>Lower Soot Creek</t>
  </si>
  <si>
    <t>fish0677</t>
  </si>
  <si>
    <t>fish0678</t>
  </si>
  <si>
    <t>fish0679</t>
  </si>
  <si>
    <t>fish0680</t>
  </si>
  <si>
    <t>fish0681</t>
  </si>
  <si>
    <t>fish0682</t>
  </si>
  <si>
    <t>fish0683</t>
  </si>
  <si>
    <t>fish0684</t>
  </si>
  <si>
    <t>fish0685</t>
  </si>
  <si>
    <t>fish0686</t>
  </si>
  <si>
    <t>fish0687</t>
  </si>
  <si>
    <t>fish0688</t>
  </si>
  <si>
    <t>fish0689</t>
  </si>
  <si>
    <t>fish0690</t>
  </si>
  <si>
    <t>fish0691</t>
  </si>
  <si>
    <t>fish0692</t>
  </si>
  <si>
    <t>fish0693</t>
  </si>
  <si>
    <t>fish0694</t>
  </si>
  <si>
    <t>fish0695</t>
  </si>
  <si>
    <t>fish0696</t>
  </si>
  <si>
    <t>fish0697</t>
  </si>
  <si>
    <t>North Drybone</t>
  </si>
  <si>
    <t>fish0698</t>
  </si>
  <si>
    <t>fish0699</t>
  </si>
  <si>
    <t>fish0700</t>
  </si>
  <si>
    <t>fish0701</t>
  </si>
  <si>
    <t>fish0702</t>
  </si>
  <si>
    <t>fish0703</t>
  </si>
  <si>
    <t>fish0704</t>
  </si>
  <si>
    <t>South Drybone</t>
  </si>
  <si>
    <t>fish0705</t>
  </si>
  <si>
    <t>fish0706</t>
  </si>
  <si>
    <t>fish0707</t>
  </si>
  <si>
    <t>fish0708</t>
  </si>
  <si>
    <t>fish0709</t>
  </si>
  <si>
    <t>fish0710</t>
  </si>
  <si>
    <t>fish0711</t>
  </si>
  <si>
    <t>fish0712</t>
  </si>
  <si>
    <t>fish0713</t>
  </si>
  <si>
    <t>fish0714</t>
  </si>
  <si>
    <t>fish0715</t>
  </si>
  <si>
    <t>fish0716</t>
  </si>
  <si>
    <t>fish0717</t>
  </si>
  <si>
    <t>fish0718</t>
  </si>
  <si>
    <t>fish0719</t>
  </si>
  <si>
    <t>fish0720</t>
  </si>
  <si>
    <t>fish0721</t>
  </si>
  <si>
    <t>fish0722</t>
  </si>
  <si>
    <t>fish0723</t>
  </si>
  <si>
    <t>fish0724</t>
  </si>
  <si>
    <t>fish0725</t>
  </si>
  <si>
    <t>fish0726</t>
  </si>
  <si>
    <t>fish0727</t>
  </si>
  <si>
    <t>fish0728</t>
  </si>
  <si>
    <t>Burnt Lizard Creek</t>
  </si>
  <si>
    <t>fish0729</t>
  </si>
  <si>
    <t>fish0730</t>
  </si>
  <si>
    <t>fish0731</t>
  </si>
  <si>
    <t>fish0732</t>
  </si>
  <si>
    <t>fish0733</t>
  </si>
  <si>
    <t>fish0734</t>
  </si>
  <si>
    <t>fish0735</t>
  </si>
  <si>
    <t>fish0736</t>
  </si>
  <si>
    <t>fish0737</t>
  </si>
  <si>
    <t>fish0738</t>
  </si>
  <si>
    <t>fish0739</t>
  </si>
  <si>
    <t>fish0740</t>
  </si>
  <si>
    <t>fish0741</t>
  </si>
  <si>
    <t>fish0742</t>
  </si>
  <si>
    <t>fish0743</t>
  </si>
  <si>
    <t>fish0744</t>
  </si>
  <si>
    <t>fish0745</t>
  </si>
  <si>
    <t>fish0746</t>
  </si>
  <si>
    <t>fish0747</t>
  </si>
  <si>
    <t>fish0748</t>
  </si>
  <si>
    <t>fish0749</t>
  </si>
  <si>
    <t>fish0750</t>
  </si>
  <si>
    <t>fish0751</t>
  </si>
  <si>
    <t>fish0752</t>
  </si>
  <si>
    <t>fish0753</t>
  </si>
  <si>
    <t>fish0754</t>
  </si>
  <si>
    <t>fish0755</t>
  </si>
  <si>
    <t>fish0756</t>
  </si>
  <si>
    <t>fish0757</t>
  </si>
  <si>
    <t>fish0758</t>
  </si>
  <si>
    <t>fish0759</t>
  </si>
  <si>
    <t>Sagolii Dunes</t>
  </si>
  <si>
    <t>fish0760</t>
  </si>
  <si>
    <t>fish0761</t>
  </si>
  <si>
    <t>fish0762</t>
  </si>
  <si>
    <t>fish0763</t>
  </si>
  <si>
    <t>fish0764</t>
  </si>
  <si>
    <t>fish0765</t>
  </si>
  <si>
    <t>fish0766</t>
  </si>
  <si>
    <t>fish0767</t>
  </si>
  <si>
    <t>fish0768</t>
  </si>
  <si>
    <t>fish0769</t>
  </si>
  <si>
    <t>fish0770</t>
  </si>
  <si>
    <t>fish0771</t>
  </si>
  <si>
    <t>fish0772</t>
  </si>
  <si>
    <t>fish0773</t>
  </si>
  <si>
    <t>fish0774</t>
  </si>
  <si>
    <t>fish0775</t>
  </si>
  <si>
    <t>fish0776</t>
  </si>
  <si>
    <t>fish0777</t>
  </si>
  <si>
    <t>Ceruleum Field</t>
  </si>
  <si>
    <t>fish0778</t>
  </si>
  <si>
    <t>fish0779</t>
  </si>
  <si>
    <t>fish0780</t>
  </si>
  <si>
    <t>fish0781</t>
  </si>
  <si>
    <t>fish0782</t>
  </si>
  <si>
    <t>fish0783</t>
  </si>
  <si>
    <t>fish0784</t>
  </si>
  <si>
    <t>fish0785</t>
  </si>
  <si>
    <t>fish0786</t>
  </si>
  <si>
    <t>fish0787</t>
  </si>
  <si>
    <t>fish0788</t>
  </si>
  <si>
    <t>fish0789</t>
  </si>
  <si>
    <t>fish0790</t>
  </si>
  <si>
    <t>fish0791</t>
  </si>
  <si>
    <t>fish0792</t>
  </si>
  <si>
    <t>hasnotes</t>
  </si>
  <si>
    <t>fish0793</t>
  </si>
  <si>
    <t>fish0794</t>
  </si>
  <si>
    <t>fish0795</t>
  </si>
  <si>
    <t>fish0796</t>
  </si>
  <si>
    <t>fish0797</t>
  </si>
  <si>
    <t>fish0798</t>
  </si>
  <si>
    <t>fish0799</t>
  </si>
  <si>
    <t>fish0800</t>
  </si>
  <si>
    <t>fish0801</t>
  </si>
  <si>
    <t>fish0802</t>
  </si>
  <si>
    <t>fish0803</t>
  </si>
  <si>
    <t>fish0804</t>
  </si>
  <si>
    <t>fish0805</t>
  </si>
  <si>
    <t>fish0806</t>
  </si>
  <si>
    <t>fish0807</t>
  </si>
  <si>
    <t>fish0808</t>
  </si>
  <si>
    <t>fish0809</t>
  </si>
  <si>
    <t>fish0810</t>
  </si>
  <si>
    <t>fish0811</t>
  </si>
  <si>
    <t>fish0812</t>
  </si>
  <si>
    <t>fish0813</t>
  </si>
  <si>
    <t>fish0814</t>
  </si>
  <si>
    <t>fish0815</t>
  </si>
  <si>
    <t>fish0816</t>
  </si>
  <si>
    <t>fish0817</t>
  </si>
  <si>
    <t>fish0818</t>
  </si>
  <si>
    <t>fish0819</t>
  </si>
  <si>
    <t>fish0820</t>
  </si>
  <si>
    <t>fish0821</t>
  </si>
  <si>
    <t>Dragonhead Latrines</t>
  </si>
  <si>
    <t>fish0822</t>
  </si>
  <si>
    <t>fish0823</t>
  </si>
  <si>
    <t>fish0824</t>
  </si>
  <si>
    <t>fish0825</t>
  </si>
  <si>
    <t>fish0826</t>
  </si>
  <si>
    <t>fish0827</t>
  </si>
  <si>
    <t>fish0828</t>
  </si>
  <si>
    <t>Exploratory Ice Hole</t>
  </si>
  <si>
    <t>fish0829</t>
  </si>
  <si>
    <t>fish0830</t>
  </si>
  <si>
    <t>fish0831</t>
  </si>
  <si>
    <t>fish0832</t>
  </si>
  <si>
    <t>fish0833</t>
  </si>
  <si>
    <t>fish0834</t>
  </si>
  <si>
    <t>fish0835</t>
  </si>
  <si>
    <t>fish0836</t>
  </si>
  <si>
    <t>fish0837</t>
  </si>
  <si>
    <t>fish0838</t>
  </si>
  <si>
    <t>fish0839</t>
  </si>
  <si>
    <t>fish0840</t>
  </si>
  <si>
    <t>Requires Fisher's Intuition buff from catching 5 Lamp Marimo.</t>
  </si>
  <si>
    <t>Snow</t>
  </si>
  <si>
    <t>fish0841</t>
  </si>
  <si>
    <t>fish0842</t>
  </si>
  <si>
    <t>fish0843</t>
  </si>
  <si>
    <t>fish0844</t>
  </si>
  <si>
    <t>fish0845</t>
  </si>
  <si>
    <t>fish0846</t>
  </si>
  <si>
    <t>fish0847</t>
  </si>
  <si>
    <t>fish0848</t>
  </si>
  <si>
    <t>Sea of Clouds</t>
  </si>
  <si>
    <t>fish0849</t>
  </si>
  <si>
    <t>fish0850</t>
  </si>
  <si>
    <t>fish0851</t>
  </si>
  <si>
    <t>fish0852</t>
  </si>
  <si>
    <t>fish0853</t>
  </si>
  <si>
    <t>fish0854</t>
  </si>
  <si>
    <t>fish0855</t>
  </si>
  <si>
    <t>fish0856</t>
  </si>
  <si>
    <t>fish0857</t>
  </si>
  <si>
    <t>fish0858</t>
  </si>
  <si>
    <t>fish0859</t>
  </si>
  <si>
    <t>fish0860</t>
  </si>
  <si>
    <t>fish0861</t>
  </si>
  <si>
    <t>fish0862</t>
  </si>
  <si>
    <t>fish0863</t>
  </si>
  <si>
    <t>fish0864</t>
  </si>
  <si>
    <t>fish0865</t>
  </si>
  <si>
    <t>fish0866</t>
  </si>
  <si>
    <t>fish0867</t>
  </si>
  <si>
    <t>fish0868</t>
  </si>
  <si>
    <t>Greytail Falls</t>
  </si>
  <si>
    <t>fish0869</t>
  </si>
  <si>
    <t>fish0870</t>
  </si>
  <si>
    <t>fish0871</t>
  </si>
  <si>
    <t>fish0872</t>
  </si>
  <si>
    <t>fish0873</t>
  </si>
  <si>
    <t>fish0874</t>
  </si>
  <si>
    <t>Unfrozen Pond</t>
  </si>
  <si>
    <t>fish0875</t>
  </si>
  <si>
    <t>fish0876</t>
  </si>
  <si>
    <t>fish0877</t>
  </si>
  <si>
    <t>fish0878</t>
  </si>
  <si>
    <t>fish0879</t>
  </si>
  <si>
    <t>fish0880</t>
  </si>
  <si>
    <t>fish0881</t>
  </si>
  <si>
    <t>Clearpool</t>
  </si>
  <si>
    <t>fish0882</t>
  </si>
  <si>
    <t>fish0883</t>
  </si>
  <si>
    <t>fish0884</t>
  </si>
  <si>
    <t>fish0885</t>
  </si>
  <si>
    <t>fish0886</t>
  </si>
  <si>
    <t>fish0887</t>
  </si>
  <si>
    <t>fish0888</t>
  </si>
  <si>
    <t>fish0889</t>
  </si>
  <si>
    <t>Must catch 5x Ice Faerie first to get Fisher's Intuition</t>
  </si>
  <si>
    <t>fish0890</t>
  </si>
  <si>
    <t>fish0891</t>
  </si>
  <si>
    <t>fish0892</t>
  </si>
  <si>
    <t>fish0893</t>
  </si>
  <si>
    <t>fish0894</t>
  </si>
  <si>
    <t>fish0895</t>
  </si>
  <si>
    <t>fish0896</t>
  </si>
  <si>
    <t>South Banepool</t>
  </si>
  <si>
    <t>fish0897</t>
  </si>
  <si>
    <t>fish0898</t>
  </si>
  <si>
    <t>fish0899</t>
  </si>
  <si>
    <t>fish0900</t>
  </si>
  <si>
    <t>fish0901</t>
  </si>
  <si>
    <t>fish0902</t>
  </si>
  <si>
    <t>fish0903</t>
  </si>
  <si>
    <t>fish0904</t>
  </si>
  <si>
    <t>fish0905</t>
  </si>
  <si>
    <t>fish0906</t>
  </si>
  <si>
    <t>Ashpool</t>
  </si>
  <si>
    <t>fish0907</t>
  </si>
  <si>
    <t>fish0908</t>
  </si>
  <si>
    <t>fish0909</t>
  </si>
  <si>
    <t>fish0910</t>
  </si>
  <si>
    <t>fish0911</t>
  </si>
  <si>
    <t>fish0912</t>
  </si>
  <si>
    <t>fish0913</t>
  </si>
  <si>
    <t>fish0914</t>
  </si>
  <si>
    <t>West Banepool</t>
  </si>
  <si>
    <t>fish0915</t>
  </si>
  <si>
    <t>fish0916</t>
  </si>
  <si>
    <t>fish0917</t>
  </si>
  <si>
    <t>fish0918</t>
  </si>
  <si>
    <t>fish0919</t>
  </si>
  <si>
    <t>fish0920</t>
  </si>
  <si>
    <t>fish0921</t>
  </si>
  <si>
    <t>fish0922</t>
  </si>
  <si>
    <t>fish0923</t>
  </si>
  <si>
    <t>fish0924</t>
  </si>
  <si>
    <t>fish0925</t>
  </si>
  <si>
    <t>fish0926</t>
  </si>
  <si>
    <t>fish0927</t>
  </si>
  <si>
    <t>fish0928</t>
  </si>
  <si>
    <t>fish0929</t>
  </si>
  <si>
    <t>fish0930</t>
  </si>
  <si>
    <t>fish0931</t>
  </si>
  <si>
    <t>fish0932</t>
  </si>
  <si>
    <t>The Deep Tangle</t>
  </si>
  <si>
    <t>fish0933</t>
  </si>
  <si>
    <t>fish0934</t>
  </si>
  <si>
    <t>fish0935</t>
  </si>
  <si>
    <t>fish0936</t>
  </si>
  <si>
    <t>fish0937</t>
  </si>
  <si>
    <t>fish0938</t>
  </si>
  <si>
    <t>fish0939</t>
  </si>
  <si>
    <t>fish0940</t>
  </si>
  <si>
    <t>fish0941</t>
  </si>
  <si>
    <t>fish0942</t>
  </si>
  <si>
    <t>fish0943</t>
  </si>
  <si>
    <t>fish0944</t>
  </si>
  <si>
    <t>fish0945</t>
  </si>
  <si>
    <t>fish0946</t>
  </si>
  <si>
    <t>fish0947</t>
  </si>
  <si>
    <t>fish0948</t>
  </si>
  <si>
    <t>fish0949</t>
  </si>
  <si>
    <t>fish0950</t>
  </si>
  <si>
    <t>fish0951</t>
  </si>
  <si>
    <t>fish0952</t>
  </si>
  <si>
    <t>fish0953</t>
  </si>
  <si>
    <t>fish0954</t>
  </si>
  <si>
    <t>fish0955</t>
  </si>
  <si>
    <t>fish0956</t>
  </si>
  <si>
    <t>fish0957</t>
  </si>
  <si>
    <t>fish0958</t>
  </si>
  <si>
    <t>fish0959</t>
  </si>
  <si>
    <t>fish0960</t>
  </si>
  <si>
    <t>fish0961</t>
  </si>
  <si>
    <t>fish0962</t>
  </si>
  <si>
    <t>fish0963</t>
  </si>
  <si>
    <t>fish0964</t>
  </si>
  <si>
    <t>fish0965</t>
  </si>
  <si>
    <t>fish0966</t>
  </si>
  <si>
    <t>fish0967</t>
  </si>
  <si>
    <t>fish0968</t>
  </si>
  <si>
    <t>fish0969</t>
  </si>
  <si>
    <t>fish0970</t>
  </si>
  <si>
    <t>fish0971</t>
  </si>
  <si>
    <t>fish0972</t>
  </si>
  <si>
    <t>fish0973</t>
  </si>
  <si>
    <t>fish0974</t>
  </si>
  <si>
    <t>The North Shards</t>
  </si>
  <si>
    <t>fish0975</t>
  </si>
  <si>
    <t>fish0976</t>
  </si>
  <si>
    <t>fish0977</t>
  </si>
  <si>
    <t>fish0978</t>
  </si>
  <si>
    <t>fish0979</t>
  </si>
  <si>
    <t>fish0980</t>
  </si>
  <si>
    <t>fish0981</t>
  </si>
  <si>
    <t>fish0982</t>
  </si>
  <si>
    <t>fish0983</t>
  </si>
  <si>
    <t>Requires Fisher's Intuition buff from catching a Canavan.</t>
  </si>
  <si>
    <t>fish0984</t>
  </si>
  <si>
    <t>fish0985</t>
  </si>
  <si>
    <t>fish0986</t>
  </si>
  <si>
    <t>fish0987</t>
  </si>
  <si>
    <t>fish0988</t>
  </si>
  <si>
    <t>fish0989</t>
  </si>
  <si>
    <t>fish0990</t>
  </si>
  <si>
    <t>fish0991</t>
  </si>
  <si>
    <t>fish0992</t>
  </si>
  <si>
    <t>fish0993</t>
  </si>
  <si>
    <t>fish0994</t>
  </si>
  <si>
    <t>fish0995</t>
  </si>
  <si>
    <t>fish0996</t>
  </si>
  <si>
    <t>fish0997</t>
  </si>
  <si>
    <t>fish0998</t>
  </si>
  <si>
    <t>Directly from a Large Bullfrog attempt while using Stonefly Nymph, or up the tree from Large Hedgemole Cricket, Mooch to Large Bullfrog, Mooch to obtain.</t>
  </si>
  <si>
    <t>fish0999</t>
  </si>
  <si>
    <t>Must catch 3x Scorpionfly and 3x Sky Faerie first to get Fisher's Intuition</t>
  </si>
  <si>
    <t>Aetherochemical Spill</t>
  </si>
  <si>
    <t>Must catch 3x Functional Proto-hropken first to get Fisher's Intuition</t>
  </si>
  <si>
    <t>West Mourn</t>
  </si>
  <si>
    <t>Must catch 3x Fossiltongue and 5x Granite Crab first to get Fisher's Intuition</t>
  </si>
  <si>
    <t>Thaliak River</t>
  </si>
  <si>
    <t>Upper Thaliak River</t>
  </si>
  <si>
    <t>Must catch 6x Hedgemole Cricket first to get Fisher's Intuition</t>
  </si>
  <si>
    <t>Middle Thaliak River</t>
  </si>
  <si>
    <t>Blue Medusa</t>
  </si>
  <si>
    <t>Sohm Al Summit</t>
  </si>
  <si>
    <t>Must catch 5x Rudderfish first to get Fisher's Intuition</t>
  </si>
  <si>
    <t>Upper Mirage Creek</t>
  </si>
  <si>
    <t>The Outer Fist</t>
  </si>
  <si>
    <t>Timmon Beck</t>
  </si>
  <si>
    <t>Must catch 2x Bondsplitter first to get Fisher's Intuition</t>
  </si>
  <si>
    <t>The Slow Wash</t>
  </si>
  <si>
    <t>The Bull's Bath</t>
  </si>
  <si>
    <t>Must catch 2x Sculptor first to get Fisher's Intuition</t>
  </si>
  <si>
    <t>Loch Seld Northwestern Lakebed</t>
  </si>
  <si>
    <t>Loch Seld Central Lakebed</t>
  </si>
  <si>
    <t>Loch Seld Southeastern Lakebed</t>
  </si>
  <si>
    <t>Loch Seld Deep Lakebed</t>
  </si>
  <si>
    <t>Loch Seld Northeastern Lakebed</t>
  </si>
  <si>
    <t>Loch Seld Southwestern Lakebed</t>
  </si>
  <si>
    <t>Ruby Price Depths</t>
  </si>
  <si>
    <t>Sui-no-Sato</t>
  </si>
  <si>
    <t>The *Adventure*</t>
  </si>
  <si>
    <t>The *Kobayashi Maru*</t>
  </si>
  <si>
    <t>The Eastern Ruby Sea</t>
  </si>
  <si>
    <t>*Kobayashi Maru'*s Northern Wake</t>
  </si>
  <si>
    <t>Northern Onokoro</t>
  </si>
  <si>
    <t>Isari Slope</t>
  </si>
  <si>
    <t>Northeastern Bekko</t>
  </si>
  <si>
    <t>Eastern Barrier Isle</t>
  </si>
  <si>
    <t>Northwestern Onokoro</t>
  </si>
  <si>
    <t>Saibai Cavern</t>
  </si>
  <si>
    <t>The Heron's Nest</t>
  </si>
  <si>
    <t>The Heron's Way</t>
  </si>
  <si>
    <t>The One River Southwestern Riverbeds</t>
  </si>
  <si>
    <t>The One River Southern Riverbeds</t>
  </si>
  <si>
    <t>The Sunken Junk</t>
  </si>
  <si>
    <t>The Sunken Junk's South Side</t>
  </si>
  <si>
    <t>Nem Khaal</t>
  </si>
  <si>
    <t>Hak Khaal</t>
  </si>
  <si>
    <t>Upper Yat Khaal</t>
  </si>
  <si>
    <t>Tao Khaal</t>
  </si>
  <si>
    <t>Lower Yat Khaal</t>
  </si>
  <si>
    <t>Azim Khaat Western Lakebed</t>
  </si>
  <si>
    <t>Azim Khaat Eastern Lakebed</t>
  </si>
  <si>
    <t>Azim Khaat Southern Lakebed</t>
  </si>
  <si>
    <t>Kugane Piers</t>
  </si>
  <si>
    <t>The Trivium</t>
  </si>
  <si>
    <t>The Quadrivium</t>
  </si>
  <si>
    <t>Crystarium Personal Suites</t>
  </si>
  <si>
    <t>Seagazer Shoals</t>
  </si>
  <si>
    <t>Requires Fisher's Intuition buff from catching 5 Shapeshifter and 1 Shadeshifter.</t>
  </si>
  <si>
    <t>The Eastern Kholusian Coast</t>
  </si>
  <si>
    <t>The River of Sand</t>
  </si>
  <si>
    <t>Requires Fisher's Intuition buff from catching 10x Sand Egg.</t>
  </si>
  <si>
    <t>The Hills of Amber</t>
  </si>
  <si>
    <t>Wild Red Betta</t>
  </si>
  <si>
    <t>The Haughty One</t>
  </si>
  <si>
    <t>The Jealous One</t>
  </si>
  <si>
    <t>The Spoiled One</t>
  </si>
  <si>
    <t>Requires Vrandtic Visionary's Fishing Rod and Fisher's Intuition</t>
  </si>
  <si>
    <t>Father Collard's Failings</t>
  </si>
  <si>
    <t>North Lyhe Ghiah</t>
  </si>
  <si>
    <t>Central Longmirror Lake</t>
  </si>
  <si>
    <t>South Longmirror Lake</t>
  </si>
  <si>
    <t>East Longmirror Lake</t>
  </si>
  <si>
    <t>The Lozatl</t>
  </si>
  <si>
    <t>South Mjrl's Regret</t>
  </si>
  <si>
    <t>Mjrl's Tears</t>
  </si>
  <si>
    <t>North Lake Tusi Mek'ta</t>
  </si>
  <si>
    <t>Central Lake Tusi Mek'ta</t>
  </si>
  <si>
    <t>South Lake Tusi Mek'ta</t>
  </si>
  <si>
    <t>Deep Lake Tusi Mek'ta</t>
  </si>
  <si>
    <t>The Flounders' Floor</t>
  </si>
  <si>
    <t>fish1844</t>
  </si>
  <si>
    <t>fish1845</t>
  </si>
  <si>
    <t>Northwest Caliban Gorge</t>
  </si>
  <si>
    <t>fish1846</t>
  </si>
  <si>
    <t>fish1847</t>
  </si>
  <si>
    <t>fish1848</t>
  </si>
  <si>
    <t>fish1849</t>
  </si>
  <si>
    <t>Seatrap</t>
  </si>
  <si>
    <t>fish1850</t>
  </si>
  <si>
    <t>Sweetmeat Mussel</t>
  </si>
  <si>
    <t>fish1851</t>
  </si>
  <si>
    <t>Mora Tecta</t>
  </si>
  <si>
    <t>fish1852</t>
  </si>
  <si>
    <t>Lancetfish</t>
  </si>
  <si>
    <t>Requires Fisher's Intuition buff from catching 2x Mora Tecta.</t>
  </si>
  <si>
    <t>fish1853</t>
  </si>
  <si>
    <t>East Caliban Gap</t>
  </si>
  <si>
    <t>fish1854</t>
  </si>
  <si>
    <t>fish1855</t>
  </si>
  <si>
    <t>fish1856</t>
  </si>
  <si>
    <t>fish1857</t>
  </si>
  <si>
    <t>fish1858</t>
  </si>
  <si>
    <t>fish1859</t>
  </si>
  <si>
    <t>fish1860</t>
  </si>
  <si>
    <t>fish1861</t>
  </si>
  <si>
    <t>fish1862</t>
  </si>
  <si>
    <t>fish1863</t>
  </si>
  <si>
    <t>fish1864</t>
  </si>
  <si>
    <t>fish1865</t>
  </si>
  <si>
    <t>fish1866</t>
  </si>
  <si>
    <t>fish1867</t>
  </si>
  <si>
    <t>fish1868</t>
  </si>
  <si>
    <t>fish1869</t>
  </si>
  <si>
    <t>fish1870</t>
  </si>
  <si>
    <t>fish1871</t>
  </si>
  <si>
    <t>fish1872</t>
  </si>
  <si>
    <t>fish1873</t>
  </si>
  <si>
    <t>fish1874</t>
  </si>
  <si>
    <t>fish1875</t>
  </si>
  <si>
    <t>fish1876</t>
  </si>
  <si>
    <t>fish1877</t>
  </si>
  <si>
    <t>fish1878</t>
  </si>
  <si>
    <t>fish1879</t>
  </si>
  <si>
    <t>fish1880</t>
  </si>
  <si>
    <t>Oinops</t>
  </si>
  <si>
    <t>fish1881</t>
  </si>
  <si>
    <t>fish1882</t>
  </si>
  <si>
    <t>fish1883</t>
  </si>
  <si>
    <t>fish1884</t>
  </si>
  <si>
    <t>fish1885</t>
  </si>
  <si>
    <t>Reflecting Pool</t>
  </si>
  <si>
    <t>fish1886</t>
  </si>
  <si>
    <t>fish1887</t>
  </si>
  <si>
    <t>fish1888</t>
  </si>
  <si>
    <t>fish1889</t>
  </si>
  <si>
    <t>Unmoved Source Alpha</t>
  </si>
  <si>
    <t>fish1890</t>
  </si>
  <si>
    <t>fish1891</t>
  </si>
  <si>
    <t>fish1892</t>
  </si>
  <si>
    <t>fish1893</t>
  </si>
  <si>
    <t>fish1894</t>
  </si>
  <si>
    <t>fish1895</t>
  </si>
  <si>
    <t>The Mover Alpha</t>
  </si>
  <si>
    <t>fish1896</t>
  </si>
  <si>
    <t>fish1897</t>
  </si>
  <si>
    <t>fish1898</t>
  </si>
  <si>
    <t>fish1899</t>
  </si>
  <si>
    <t>fish1900</t>
  </si>
  <si>
    <t>fish1901</t>
  </si>
  <si>
    <t>Unmoved Source Beta</t>
  </si>
  <si>
    <t>fish1902</t>
  </si>
  <si>
    <t>fish1903</t>
  </si>
  <si>
    <t>fish1904</t>
  </si>
  <si>
    <t>fish1905</t>
  </si>
  <si>
    <t>fish1906</t>
  </si>
  <si>
    <t>The Mover Beta</t>
  </si>
  <si>
    <t>fish1907</t>
  </si>
  <si>
    <t>fish1908</t>
  </si>
  <si>
    <t>fish1909</t>
  </si>
  <si>
    <t>fish1910</t>
  </si>
  <si>
    <t>fish1911</t>
  </si>
  <si>
    <t>fish1912</t>
  </si>
  <si>
    <t>fish1913</t>
  </si>
  <si>
    <t>Deepmoat</t>
  </si>
  <si>
    <t>fish1914</t>
  </si>
  <si>
    <t>fish1915</t>
  </si>
  <si>
    <t>fish1916</t>
  </si>
  <si>
    <t>fish1917</t>
  </si>
  <si>
    <t>fish1918</t>
  </si>
  <si>
    <t>fish1919</t>
  </si>
  <si>
    <t>fish1920</t>
  </si>
  <si>
    <t>fish1921</t>
  </si>
  <si>
    <t>fish1922</t>
  </si>
  <si>
    <t>fish1923</t>
  </si>
  <si>
    <t>fish1924</t>
  </si>
  <si>
    <t>fish1925</t>
  </si>
  <si>
    <t>fish1926</t>
  </si>
  <si>
    <t>fish1927</t>
  </si>
  <si>
    <t>fish1928</t>
  </si>
  <si>
    <t>fish1929</t>
  </si>
  <si>
    <t>The Thavnairian Coast</t>
  </si>
  <si>
    <t>fish1930</t>
  </si>
  <si>
    <t>fish1931</t>
  </si>
  <si>
    <t>fish1932</t>
  </si>
  <si>
    <t>fish1933</t>
  </si>
  <si>
    <t>fish1934</t>
  </si>
  <si>
    <t>fish1935</t>
  </si>
  <si>
    <t>fish1936</t>
  </si>
  <si>
    <t>fish1937</t>
  </si>
  <si>
    <t>The Great Runoff</t>
  </si>
  <si>
    <t>fish1938</t>
  </si>
  <si>
    <t>fish1939</t>
  </si>
  <si>
    <t>fish1940</t>
  </si>
  <si>
    <t>fish1941</t>
  </si>
  <si>
    <t>fish1942</t>
  </si>
  <si>
    <t>fish1943</t>
  </si>
  <si>
    <t>fish1944</t>
  </si>
  <si>
    <t>fish1945</t>
  </si>
  <si>
    <t>fish1946</t>
  </si>
  <si>
    <t>fish1947</t>
  </si>
  <si>
    <t>fish1948</t>
  </si>
  <si>
    <t>fish1949</t>
  </si>
  <si>
    <t>fish1950</t>
  </si>
  <si>
    <t>fish1951</t>
  </si>
  <si>
    <t>fish1952</t>
  </si>
  <si>
    <t>fish1953</t>
  </si>
  <si>
    <t>Ksiroda</t>
  </si>
  <si>
    <t>fish1954</t>
  </si>
  <si>
    <t>fish1955</t>
  </si>
  <si>
    <t>fish1956</t>
  </si>
  <si>
    <t>fish1957</t>
  </si>
  <si>
    <t>fish1958</t>
  </si>
  <si>
    <t>fish1959</t>
  </si>
  <si>
    <t>fish1960</t>
  </si>
  <si>
    <t>fish1961</t>
  </si>
  <si>
    <t>fish1962</t>
  </si>
  <si>
    <t>fish1963</t>
  </si>
  <si>
    <t>fish1964</t>
  </si>
  <si>
    <t>fish1965</t>
  </si>
  <si>
    <t>fish1966</t>
  </si>
  <si>
    <t>fish1967</t>
  </si>
  <si>
    <t>fish1968</t>
  </si>
  <si>
    <t>fish1969</t>
  </si>
  <si>
    <t>fish1970</t>
  </si>
  <si>
    <t>fish1971</t>
  </si>
  <si>
    <t>The Perfumed Tides</t>
  </si>
  <si>
    <t>fish1972</t>
  </si>
  <si>
    <t>fish1973</t>
  </si>
  <si>
    <t>fish1974</t>
  </si>
  <si>
    <t>fish1975</t>
  </si>
  <si>
    <t>fish1976</t>
  </si>
  <si>
    <t>fish1977</t>
  </si>
  <si>
    <t>fish1978</t>
  </si>
  <si>
    <t>Intuition: 12x Basilosaurus (duration 5m)</t>
  </si>
  <si>
    <t>fish1979</t>
  </si>
  <si>
    <t>Southern Akyaali</t>
  </si>
  <si>
    <t>fish1980</t>
  </si>
  <si>
    <t>fish1981</t>
  </si>
  <si>
    <t>fish1982</t>
  </si>
  <si>
    <t>fish1983</t>
  </si>
  <si>
    <t>fish1984</t>
  </si>
  <si>
    <t>fish1985</t>
  </si>
  <si>
    <t>Western Akyaali</t>
  </si>
  <si>
    <t>fish1986</t>
  </si>
  <si>
    <t>fish1987</t>
  </si>
  <si>
    <t>fish1988</t>
  </si>
  <si>
    <t>fish1989</t>
  </si>
  <si>
    <t>fish1990</t>
  </si>
  <si>
    <t>fish1991</t>
  </si>
  <si>
    <t>Southern Great Runoff</t>
  </si>
  <si>
    <t>fish1992</t>
  </si>
  <si>
    <t>fish1993</t>
  </si>
  <si>
    <t>fish1994</t>
  </si>
  <si>
    <t>fish1995</t>
  </si>
  <si>
    <t>fish1996</t>
  </si>
  <si>
    <t>fish1997</t>
  </si>
  <si>
    <t>fish1998</t>
  </si>
  <si>
    <t>fish1999</t>
  </si>
  <si>
    <t>fish2000</t>
  </si>
  <si>
    <t>fish2001</t>
  </si>
  <si>
    <t>fish2002</t>
  </si>
  <si>
    <t>fish2003</t>
  </si>
  <si>
    <t>Outer Akyaali</t>
  </si>
  <si>
    <t>fish2004</t>
  </si>
  <si>
    <t>fish2005</t>
  </si>
  <si>
    <t>fish2006</t>
  </si>
  <si>
    <t>fish2007</t>
  </si>
  <si>
    <t>fish2008</t>
  </si>
  <si>
    <t>fish2009</t>
  </si>
  <si>
    <t>The Eblan Thaw</t>
  </si>
  <si>
    <t>Leech (Bait)</t>
  </si>
  <si>
    <t>fish2010</t>
  </si>
  <si>
    <t>fish2011</t>
  </si>
  <si>
    <t>fish2012</t>
  </si>
  <si>
    <t>fish2013</t>
  </si>
  <si>
    <t>fish2014</t>
  </si>
  <si>
    <t>fish2015</t>
  </si>
  <si>
    <t>fish2016</t>
  </si>
  <si>
    <t>The Stainless Course</t>
  </si>
  <si>
    <t>fish2017</t>
  </si>
  <si>
    <t>fish2018</t>
  </si>
  <si>
    <t>fish2019</t>
  </si>
  <si>
    <t>fish2020</t>
  </si>
  <si>
    <t>fish2021</t>
  </si>
  <si>
    <t>fish2022</t>
  </si>
  <si>
    <t>fish2023</t>
  </si>
  <si>
    <t>fish2024</t>
  </si>
  <si>
    <t>fish2025</t>
  </si>
  <si>
    <t>fish2026</t>
  </si>
  <si>
    <t>fish2027</t>
  </si>
  <si>
    <t>fish2028</t>
  </si>
  <si>
    <t>fish2029</t>
  </si>
  <si>
    <t>The Chlorophospond</t>
  </si>
  <si>
    <t>fish2030</t>
  </si>
  <si>
    <t>fish2031</t>
  </si>
  <si>
    <t>Protomyke 987</t>
  </si>
  <si>
    <t>fish2032</t>
  </si>
  <si>
    <t>fish2033</t>
  </si>
  <si>
    <t>fish2034</t>
  </si>
  <si>
    <t>fish2035</t>
  </si>
  <si>
    <t>The Frozen Fissure</t>
  </si>
  <si>
    <t>fish2036</t>
  </si>
  <si>
    <t>fish2037</t>
  </si>
  <si>
    <t>fish2038</t>
  </si>
  <si>
    <t>fish2039</t>
  </si>
  <si>
    <t>Umbral Wind</t>
  </si>
  <si>
    <t>fish2040</t>
  </si>
  <si>
    <t>Apohelos 18-α</t>
  </si>
  <si>
    <t>fish2041</t>
  </si>
  <si>
    <t>fish2042</t>
  </si>
  <si>
    <t>fish2043</t>
  </si>
  <si>
    <t>fish2044</t>
  </si>
  <si>
    <t>fish2045</t>
  </si>
  <si>
    <t>fish2046</t>
  </si>
  <si>
    <t>Astromagnetic Storm</t>
  </si>
  <si>
    <t>fish2047</t>
  </si>
  <si>
    <t>Apohelos 18-β</t>
  </si>
  <si>
    <t>fish2048</t>
  </si>
  <si>
    <t>fish2049</t>
  </si>
  <si>
    <t>fish2050</t>
  </si>
  <si>
    <t>fish2051</t>
  </si>
  <si>
    <t>fish2052</t>
  </si>
  <si>
    <t>Apohelos 18-γ</t>
  </si>
  <si>
    <t>fish2053</t>
  </si>
  <si>
    <t>fish2054</t>
  </si>
  <si>
    <t>fish2055</t>
  </si>
  <si>
    <t>fish2056</t>
  </si>
  <si>
    <t>fish2057</t>
  </si>
  <si>
    <t>fish2058</t>
  </si>
  <si>
    <t>fish2059</t>
  </si>
  <si>
    <t>fish2060</t>
  </si>
  <si>
    <t>fish2061</t>
  </si>
  <si>
    <t>fish2062</t>
  </si>
  <si>
    <t>fish2063</t>
  </si>
  <si>
    <t>fish2064</t>
  </si>
  <si>
    <t>fish2065</t>
  </si>
  <si>
    <t>fish2066</t>
  </si>
  <si>
    <t>Limne 18</t>
  </si>
  <si>
    <t>fish2067</t>
  </si>
  <si>
    <t>fish2068</t>
  </si>
  <si>
    <t>fish2069</t>
  </si>
  <si>
    <t>fish2070</t>
  </si>
  <si>
    <t>fish2071</t>
  </si>
  <si>
    <t>fish2072</t>
  </si>
  <si>
    <t>fish2073</t>
  </si>
  <si>
    <t>fish2074</t>
  </si>
  <si>
    <t>Limne 3-α</t>
  </si>
  <si>
    <t>fish2075</t>
  </si>
  <si>
    <t>fish2076</t>
  </si>
  <si>
    <t>fish2077</t>
  </si>
  <si>
    <t>fish2078</t>
  </si>
  <si>
    <t>fish2079</t>
  </si>
  <si>
    <t>fish2080</t>
  </si>
  <si>
    <t>fish2081</t>
  </si>
  <si>
    <t>fish2082</t>
  </si>
  <si>
    <t>Limne 3-β</t>
  </si>
  <si>
    <t>fish2083</t>
  </si>
  <si>
    <t>fish2084</t>
  </si>
  <si>
    <t>fish2085</t>
  </si>
  <si>
    <t>fish2086</t>
  </si>
  <si>
    <t>fish2087</t>
  </si>
  <si>
    <t>fish2088</t>
  </si>
  <si>
    <t>fish2089</t>
  </si>
  <si>
    <t>fish2090</t>
  </si>
  <si>
    <t>Requires Fisher's Intuition buff from catching 3 E.B.E.-9318, 2 Unbegotten, and a Phallaina.</t>
  </si>
  <si>
    <t>fish2091</t>
  </si>
  <si>
    <t>Rumination's Ramble</t>
  </si>
  <si>
    <t>fish2092</t>
  </si>
  <si>
    <t>fish2093</t>
  </si>
  <si>
    <t>fish2094</t>
  </si>
  <si>
    <t>fish2095</t>
  </si>
  <si>
    <t>fish2096</t>
  </si>
  <si>
    <t>fish2097</t>
  </si>
  <si>
    <t>The Lower Hungering Gardens</t>
  </si>
  <si>
    <t>fish2098</t>
  </si>
  <si>
    <t>fish2099</t>
  </si>
  <si>
    <t>fish2100</t>
  </si>
  <si>
    <t>fish2101</t>
  </si>
  <si>
    <t>fish2102</t>
  </si>
  <si>
    <t>fish2103</t>
  </si>
  <si>
    <t>fish2104</t>
  </si>
  <si>
    <t>fish2105</t>
  </si>
  <si>
    <t>fish2106</t>
  </si>
  <si>
    <t>fish2107</t>
  </si>
  <si>
    <t>fish2108</t>
  </si>
  <si>
    <t>fish2109</t>
  </si>
  <si>
    <t>Downripple</t>
  </si>
  <si>
    <t>fish2110</t>
  </si>
  <si>
    <t>fish2111</t>
  </si>
  <si>
    <t>fish2112</t>
  </si>
  <si>
    <t>fish2113</t>
  </si>
  <si>
    <t>fish2114</t>
  </si>
  <si>
    <t>fish2115</t>
  </si>
  <si>
    <t>fish2116</t>
  </si>
  <si>
    <t>fish2117</t>
  </si>
  <si>
    <t>fish2118</t>
  </si>
  <si>
    <t>fish2119</t>
  </si>
  <si>
    <t>fish2120</t>
  </si>
  <si>
    <t>fish2121</t>
  </si>
  <si>
    <t>fish2122</t>
  </si>
  <si>
    <t>fish2123</t>
  </si>
  <si>
    <t>fish2124</t>
  </si>
  <si>
    <t>fish2125</t>
  </si>
  <si>
    <t>fish2126</t>
  </si>
  <si>
    <t>fish2127</t>
  </si>
  <si>
    <t>fish2128</t>
  </si>
  <si>
    <t>fish2129</t>
  </si>
  <si>
    <t>fish2130</t>
  </si>
  <si>
    <t>fish2131</t>
  </si>
  <si>
    <t>fish2132</t>
  </si>
  <si>
    <t>fish2133</t>
  </si>
  <si>
    <t>fish2134</t>
  </si>
  <si>
    <t>fish2135</t>
  </si>
  <si>
    <t>fish2136</t>
  </si>
  <si>
    <t>fish2137</t>
  </si>
  <si>
    <t>fish2138</t>
  </si>
  <si>
    <t>fish2139</t>
  </si>
  <si>
    <t>fish2140</t>
  </si>
  <si>
    <t>fish2141</t>
  </si>
  <si>
    <t>fish2142</t>
  </si>
  <si>
    <t>fish2143</t>
  </si>
  <si>
    <t>fish2144</t>
  </si>
  <si>
    <t>fish2145</t>
  </si>
  <si>
    <t>fish2146</t>
  </si>
  <si>
    <t>fish2147</t>
  </si>
  <si>
    <t>fish2148</t>
  </si>
  <si>
    <t>fish2149</t>
  </si>
  <si>
    <t>fish2150</t>
  </si>
  <si>
    <t>fish2151</t>
  </si>
  <si>
    <t>fish2152</t>
  </si>
  <si>
    <t>fish2153</t>
  </si>
  <si>
    <t>fish2154</t>
  </si>
  <si>
    <t>fish2155</t>
  </si>
  <si>
    <t>fish2156</t>
  </si>
  <si>
    <t>Waters Hanu</t>
  </si>
  <si>
    <t>fish2157</t>
  </si>
  <si>
    <t>fish2158</t>
  </si>
  <si>
    <t>fish2159</t>
  </si>
  <si>
    <t>fish2160</t>
  </si>
  <si>
    <t>fish2161</t>
  </si>
  <si>
    <t>fish2162</t>
  </si>
  <si>
    <t>fish2163</t>
  </si>
  <si>
    <t>fish2164</t>
  </si>
  <si>
    <t>fish2165</t>
  </si>
  <si>
    <t>fish2166</t>
  </si>
  <si>
    <t>fish2167</t>
  </si>
  <si>
    <t>fish2168</t>
  </si>
  <si>
    <t>fish2169</t>
  </si>
  <si>
    <t>fish2170</t>
  </si>
  <si>
    <t>fish2171</t>
  </si>
  <si>
    <t>Peaks Poga</t>
  </si>
  <si>
    <t>fish2172</t>
  </si>
  <si>
    <t>fish2173</t>
  </si>
  <si>
    <t>fish2174</t>
  </si>
  <si>
    <t>fish2175</t>
  </si>
  <si>
    <t>fish2176</t>
  </si>
  <si>
    <t>fish2177</t>
  </si>
  <si>
    <t>fish2178</t>
  </si>
  <si>
    <t>fish2179</t>
  </si>
  <si>
    <t>fish2180</t>
  </si>
  <si>
    <t>fish2181</t>
  </si>
  <si>
    <t>fish2182</t>
  </si>
  <si>
    <t>fish2183</t>
  </si>
  <si>
    <t>fish2184</t>
  </si>
  <si>
    <t>fish2185</t>
  </si>
  <si>
    <t>fish2186</t>
  </si>
  <si>
    <t>fish2187</t>
  </si>
  <si>
    <t>fish2188</t>
  </si>
  <si>
    <t>fish2189</t>
  </si>
  <si>
    <t>fish2190</t>
  </si>
  <si>
    <t>fish2191</t>
  </si>
  <si>
    <t>fish2192</t>
  </si>
  <si>
    <t>fish2193</t>
  </si>
  <si>
    <t>fish2194</t>
  </si>
  <si>
    <t>fish2195</t>
  </si>
  <si>
    <t>Eastern Marsh Ligaka</t>
  </si>
  <si>
    <t>fish2196</t>
  </si>
  <si>
    <t>fish2197</t>
  </si>
  <si>
    <t>fish2198</t>
  </si>
  <si>
    <t>fish2199</t>
  </si>
  <si>
    <t>fish2200</t>
  </si>
  <si>
    <t>fish2201</t>
  </si>
  <si>
    <t>Western Marsh Ligaka</t>
  </si>
  <si>
    <t>fish2202</t>
  </si>
  <si>
    <t>fish2203</t>
  </si>
  <si>
    <t>fish2204</t>
  </si>
  <si>
    <t>fish2205</t>
  </si>
  <si>
    <t>fish2206</t>
  </si>
  <si>
    <t>fish2207</t>
  </si>
  <si>
    <t>Marsh Ligaka Depths</t>
  </si>
  <si>
    <t>fish2208</t>
  </si>
  <si>
    <t>fish2209</t>
  </si>
  <si>
    <t>fish2210</t>
  </si>
  <si>
    <t>fish2211</t>
  </si>
  <si>
    <t>fish2212</t>
  </si>
  <si>
    <t>fish2213</t>
  </si>
  <si>
    <t>fish2214</t>
  </si>
  <si>
    <t>fish2215</t>
  </si>
  <si>
    <t>fish2216</t>
  </si>
  <si>
    <t>fish2217</t>
  </si>
  <si>
    <t>fish2218</t>
  </si>
  <si>
    <t>Iq Br'aax Reservoir</t>
  </si>
  <si>
    <t>fish2219</t>
  </si>
  <si>
    <t>fish2220</t>
  </si>
  <si>
    <t>fish2221</t>
  </si>
  <si>
    <t>fish2222</t>
  </si>
  <si>
    <t>fish2223</t>
  </si>
  <si>
    <t>fish2224</t>
  </si>
  <si>
    <t>Cenote Moxutural</t>
  </si>
  <si>
    <t>fish2225</t>
  </si>
  <si>
    <t>fish2226</t>
  </si>
  <si>
    <t>fish2227</t>
  </si>
  <si>
    <t>fish2228</t>
  </si>
  <si>
    <t>fish2229</t>
  </si>
  <si>
    <t>fish2230</t>
  </si>
  <si>
    <t>fish2231</t>
  </si>
  <si>
    <t>fish2232</t>
  </si>
  <si>
    <t>fish2233</t>
  </si>
  <si>
    <t>fish2234</t>
  </si>
  <si>
    <t>fish2235</t>
  </si>
  <si>
    <t>fish2236</t>
  </si>
  <si>
    <t>fish2237</t>
  </si>
  <si>
    <t>fish2238</t>
  </si>
  <si>
    <t>fish2239</t>
  </si>
  <si>
    <t>fish2240</t>
  </si>
  <si>
    <t>fish2241</t>
  </si>
  <si>
    <t>fish2242</t>
  </si>
  <si>
    <t>fish2243</t>
  </si>
  <si>
    <t>fish2244</t>
  </si>
  <si>
    <t>fish2245</t>
  </si>
  <si>
    <t>fish2246</t>
  </si>
  <si>
    <t>fish2247</t>
  </si>
  <si>
    <t>fish2248</t>
  </si>
  <si>
    <t>fish2249</t>
  </si>
  <si>
    <t>fish2250</t>
  </si>
  <si>
    <t>fish2251</t>
  </si>
  <si>
    <t>fish2252</t>
  </si>
  <si>
    <t>fish2253</t>
  </si>
  <si>
    <t>fish2254</t>
  </si>
  <si>
    <t>fish2255</t>
  </si>
  <si>
    <t>fish2256</t>
  </si>
  <si>
    <t>fish2257</t>
  </si>
  <si>
    <t>fish2258</t>
  </si>
  <si>
    <t>Western Iq Rrax Tsoly</t>
  </si>
  <si>
    <t>fish2259</t>
  </si>
  <si>
    <t>fish2260</t>
  </si>
  <si>
    <t>fish2261</t>
  </si>
  <si>
    <t>fish2262</t>
  </si>
  <si>
    <t>fish2263</t>
  </si>
  <si>
    <t>fish2264</t>
  </si>
  <si>
    <t>Eastern Iq Rrax Tsoly</t>
  </si>
  <si>
    <t>fish2265</t>
  </si>
  <si>
    <t>fish2266</t>
  </si>
  <si>
    <t>fish2267</t>
  </si>
  <si>
    <t>fish2268</t>
  </si>
  <si>
    <t>fish2269</t>
  </si>
  <si>
    <t>fish2270</t>
  </si>
  <si>
    <t>Iq Rrax Tsoly Depths</t>
  </si>
  <si>
    <t>fish2271</t>
  </si>
  <si>
    <t>fish2272</t>
  </si>
  <si>
    <t>fish2273</t>
  </si>
  <si>
    <t>fish2274</t>
  </si>
  <si>
    <t>fish2275</t>
  </si>
  <si>
    <t>fish2276</t>
  </si>
  <si>
    <t>fish2277</t>
  </si>
  <si>
    <t>fish2278</t>
  </si>
  <si>
    <t>fish2279</t>
  </si>
  <si>
    <t>fish2280</t>
  </si>
  <si>
    <t>fish2281</t>
  </si>
  <si>
    <t>Niikwerepi</t>
  </si>
  <si>
    <t>fish2282</t>
  </si>
  <si>
    <t>fish2283</t>
  </si>
  <si>
    <t>fish2284</t>
  </si>
  <si>
    <t>fish2285</t>
  </si>
  <si>
    <t>fish2286</t>
  </si>
  <si>
    <t>fish2287</t>
  </si>
  <si>
    <t>fish2288</t>
  </si>
  <si>
    <t>fish2289</t>
  </si>
  <si>
    <t>fish2290</t>
  </si>
  <si>
    <t>fish2291</t>
  </si>
  <si>
    <t>fish2292</t>
  </si>
  <si>
    <t>Westbound Zorgor</t>
  </si>
  <si>
    <t>Dragonfly (Bait)</t>
  </si>
  <si>
    <t>fish2293</t>
  </si>
  <si>
    <t>fish2294</t>
  </si>
  <si>
    <t>fish2295</t>
  </si>
  <si>
    <t>fish2296</t>
  </si>
  <si>
    <t>fish2297</t>
  </si>
  <si>
    <t>fish2298</t>
  </si>
  <si>
    <t>fish2299</t>
  </si>
  <si>
    <t>fish2300</t>
  </si>
  <si>
    <t>Eastbound Zorgor</t>
  </si>
  <si>
    <t>fish2301</t>
  </si>
  <si>
    <t>fish2302</t>
  </si>
  <si>
    <t>fish2303</t>
  </si>
  <si>
    <t>fish2304</t>
  </si>
  <si>
    <t>fish2305</t>
  </si>
  <si>
    <t>fish2306</t>
  </si>
  <si>
    <t>fish2307</t>
  </si>
  <si>
    <t>Northern Lake Toari</t>
  </si>
  <si>
    <t>fish2308</t>
  </si>
  <si>
    <t>fish2309</t>
  </si>
  <si>
    <t>fish2310</t>
  </si>
  <si>
    <t>fish2311</t>
  </si>
  <si>
    <t>fish2312</t>
  </si>
  <si>
    <t>fish2313</t>
  </si>
  <si>
    <t>Outskirts Shallows</t>
  </si>
  <si>
    <t>fish2314</t>
  </si>
  <si>
    <t>fish2315</t>
  </si>
  <si>
    <t>fish2316</t>
  </si>
  <si>
    <t>fish2317</t>
  </si>
  <si>
    <t>fish2318</t>
  </si>
  <si>
    <t>fish2319</t>
  </si>
  <si>
    <t>fish2320</t>
  </si>
  <si>
    <t>fish2321</t>
  </si>
  <si>
    <t>fish2322</t>
  </si>
  <si>
    <t>fish2323</t>
  </si>
  <si>
    <t>fish2324</t>
  </si>
  <si>
    <t>Crackling Canyons</t>
  </si>
  <si>
    <t>fish2325</t>
  </si>
  <si>
    <t>fish2326</t>
  </si>
  <si>
    <t>fish2327</t>
  </si>
  <si>
    <t>fish2328</t>
  </si>
  <si>
    <t>fish2329</t>
  </si>
  <si>
    <t>fish2330</t>
  </si>
  <si>
    <t>Alexandrian Ruins</t>
  </si>
  <si>
    <t>fish2331</t>
  </si>
  <si>
    <t>fish2332</t>
  </si>
  <si>
    <t>fish2333</t>
  </si>
  <si>
    <t>fish2334</t>
  </si>
  <si>
    <t>fish2335</t>
  </si>
  <si>
    <t>fish2336</t>
  </si>
  <si>
    <t>fish2337</t>
  </si>
  <si>
    <t>fish2338</t>
  </si>
  <si>
    <t>fish2339</t>
  </si>
  <si>
    <t>fish2340</t>
  </si>
  <si>
    <t>Mu Springs Eternal</t>
  </si>
  <si>
    <t>fish2341</t>
  </si>
  <si>
    <t>fish2342</t>
  </si>
  <si>
    <t>fish2343</t>
  </si>
  <si>
    <t>fish2344</t>
  </si>
  <si>
    <t>fish2345</t>
  </si>
  <si>
    <t>Leynode Aero</t>
  </si>
  <si>
    <t>fish2346</t>
  </si>
  <si>
    <t>fish2347</t>
  </si>
  <si>
    <t>fish2348</t>
  </si>
  <si>
    <t>fish2349</t>
  </si>
  <si>
    <t>fish2350</t>
  </si>
  <si>
    <t>Canal Town South</t>
  </si>
  <si>
    <t>fish2351</t>
  </si>
  <si>
    <t>fish2352</t>
  </si>
  <si>
    <t>fish2353</t>
  </si>
  <si>
    <t>fish2354</t>
  </si>
  <si>
    <t>fish2355</t>
  </si>
  <si>
    <t>fish2356</t>
  </si>
  <si>
    <t>Canal Town North</t>
  </si>
  <si>
    <t>fish2357</t>
  </si>
  <si>
    <t>fish2358</t>
  </si>
  <si>
    <t>fish2359</t>
  </si>
  <si>
    <t>fish2360</t>
  </si>
  <si>
    <t>fish2361</t>
  </si>
  <si>
    <t>fish2362</t>
  </si>
  <si>
    <t>fish2363</t>
  </si>
  <si>
    <t>fish2364</t>
  </si>
  <si>
    <t>fish2365</t>
  </si>
  <si>
    <t>fish2366</t>
  </si>
  <si>
    <t>fish2367</t>
  </si>
  <si>
    <t>Outer Galadion Bay</t>
  </si>
  <si>
    <t>fish2368</t>
  </si>
  <si>
    <t>fish2369</t>
  </si>
  <si>
    <t>fish2370</t>
  </si>
  <si>
    <t>fish2371</t>
  </si>
  <si>
    <t>fish2372</t>
  </si>
  <si>
    <t>fish2373</t>
  </si>
  <si>
    <t>fish2374</t>
  </si>
  <si>
    <t>fish2375</t>
  </si>
  <si>
    <t>fish2376</t>
  </si>
  <si>
    <t>Requires Fisher's Intuition buff from catching 3x Galadion Chovy.</t>
  </si>
  <si>
    <t>fish2377</t>
  </si>
  <si>
    <t>Sirensong Spectral Current</t>
  </si>
  <si>
    <t>fish2378</t>
  </si>
  <si>
    <t>fish2379</t>
  </si>
  <si>
    <t>fish2380</t>
  </si>
  <si>
    <t>fish2381</t>
  </si>
  <si>
    <t>fish2382</t>
  </si>
  <si>
    <t>fish2383</t>
  </si>
  <si>
    <t>fish2384</t>
  </si>
  <si>
    <t>fish2385</t>
  </si>
  <si>
    <t>fish2386</t>
  </si>
  <si>
    <t>fish2387</t>
  </si>
  <si>
    <t>Kugane Coast</t>
  </si>
  <si>
    <t>fish2388</t>
  </si>
  <si>
    <t>fish2389</t>
  </si>
  <si>
    <t>fish2390</t>
  </si>
  <si>
    <t>fish2391</t>
  </si>
  <si>
    <t>fish2392</t>
  </si>
  <si>
    <t>fish2393</t>
  </si>
  <si>
    <t>fish2394</t>
  </si>
  <si>
    <t>fish2395</t>
  </si>
  <si>
    <t>fish2396</t>
  </si>
  <si>
    <t>fish2397</t>
  </si>
  <si>
    <t>Kugane Spectral Current</t>
  </si>
  <si>
    <t>fish2398</t>
  </si>
  <si>
    <t>fish2399</t>
  </si>
  <si>
    <t>fish2400</t>
  </si>
  <si>
    <t>fish2401</t>
  </si>
  <si>
    <t>fish2402</t>
  </si>
  <si>
    <t>fish2403</t>
  </si>
  <si>
    <t>fish2404</t>
  </si>
  <si>
    <t>fish2405</t>
  </si>
  <si>
    <t>fish2406</t>
  </si>
  <si>
    <t>fish2407</t>
  </si>
  <si>
    <t>Open Ruby Sea</t>
  </si>
  <si>
    <t>fish2408</t>
  </si>
  <si>
    <t>fish2409</t>
  </si>
  <si>
    <t>fish2410</t>
  </si>
  <si>
    <t>fish2411</t>
  </si>
  <si>
    <t>fish2412</t>
  </si>
  <si>
    <t>fish2413</t>
  </si>
  <si>
    <t>fish2414</t>
  </si>
  <si>
    <t>fish2415</t>
  </si>
  <si>
    <t>fish2416</t>
  </si>
  <si>
    <t>fish2417</t>
  </si>
  <si>
    <t>Ruby Spectral Current</t>
  </si>
  <si>
    <t>fish2418</t>
  </si>
  <si>
    <t>fish2419</t>
  </si>
  <si>
    <t>fish2420</t>
  </si>
  <si>
    <t>fish2421</t>
  </si>
  <si>
    <t>fish2422</t>
  </si>
  <si>
    <t>fish2423</t>
  </si>
  <si>
    <t>fish2424</t>
  </si>
  <si>
    <t>fish2425</t>
  </si>
  <si>
    <t>fish2426</t>
  </si>
  <si>
    <t>fish2427</t>
  </si>
  <si>
    <t>Lower One River</t>
  </si>
  <si>
    <t>fish2428</t>
  </si>
  <si>
    <t>fish2429</t>
  </si>
  <si>
    <t>fish2430</t>
  </si>
  <si>
    <t>fish2431</t>
  </si>
  <si>
    <t>fish2432</t>
  </si>
  <si>
    <t>fish2433</t>
  </si>
  <si>
    <t>fish2434</t>
  </si>
  <si>
    <t>fish2435</t>
  </si>
  <si>
    <t>fish2436</t>
  </si>
  <si>
    <t>fish2437</t>
  </si>
  <si>
    <t>One River Spectral Current</t>
  </si>
  <si>
    <t>fish2438</t>
  </si>
  <si>
    <t>fish2439</t>
  </si>
  <si>
    <t>fish2440</t>
  </si>
  <si>
    <t>fish2441</t>
  </si>
  <si>
    <t>fish2442</t>
  </si>
  <si>
    <t>fish2443</t>
  </si>
  <si>
    <t>fish2444</t>
  </si>
  <si>
    <t>fish2445</t>
  </si>
  <si>
    <t>fish2446</t>
  </si>
  <si>
    <t>fish2447</t>
  </si>
  <si>
    <t>Unnamed Margin</t>
  </si>
  <si>
    <t>fish2448</t>
  </si>
  <si>
    <t>fish2449</t>
  </si>
  <si>
    <t>fish2450</t>
  </si>
  <si>
    <t>fish2451</t>
  </si>
  <si>
    <t>fish2452</t>
  </si>
  <si>
    <t>fish2453</t>
  </si>
  <si>
    <t>fish2454</t>
  </si>
  <si>
    <t>fish2455</t>
  </si>
  <si>
    <t>fish2456</t>
  </si>
  <si>
    <t>fish2457</t>
  </si>
  <si>
    <t>Unnamed Spectral Current</t>
  </si>
  <si>
    <t>fish2458</t>
  </si>
  <si>
    <t>fish2459</t>
  </si>
  <si>
    <t>fish2460</t>
  </si>
  <si>
    <t>fish2461</t>
  </si>
  <si>
    <t>fish2462</t>
  </si>
  <si>
    <t>fish2463</t>
  </si>
  <si>
    <t>fish2464</t>
  </si>
  <si>
    <t>fish2465</t>
  </si>
  <si>
    <t>fish2466</t>
  </si>
  <si>
    <t>fish2467</t>
  </si>
  <si>
    <t>Thavnair Margin</t>
  </si>
  <si>
    <t>fish2468</t>
  </si>
  <si>
    <t>fish2469</t>
  </si>
  <si>
    <t>fish2470</t>
  </si>
  <si>
    <t>fish2471</t>
  </si>
  <si>
    <t>fish2472</t>
  </si>
  <si>
    <t>fish2473</t>
  </si>
  <si>
    <t>fish2474</t>
  </si>
  <si>
    <t>fish2475</t>
  </si>
  <si>
    <t>fish2476</t>
  </si>
  <si>
    <t>fish2477</t>
  </si>
  <si>
    <t>Thavnair Spectral Current</t>
  </si>
  <si>
    <t>fish2478</t>
  </si>
  <si>
    <t>fish2479</t>
  </si>
  <si>
    <t>fish2480</t>
  </si>
  <si>
    <t>fish2481</t>
  </si>
  <si>
    <t>fish2482</t>
  </si>
  <si>
    <t>fish2483</t>
  </si>
  <si>
    <t>fish2484</t>
  </si>
  <si>
    <t>fish2485</t>
  </si>
  <si>
    <t>fish2486</t>
  </si>
  <si>
    <t>fish2487</t>
  </si>
  <si>
    <t>Elysian Fields</t>
  </si>
  <si>
    <t>fish2488</t>
  </si>
  <si>
    <t>fish2489</t>
  </si>
  <si>
    <t>Chemically Rich Fish</t>
  </si>
  <si>
    <t>fish2490</t>
  </si>
  <si>
    <t>Fresh Seaweed</t>
  </si>
  <si>
    <t>fish2491</t>
  </si>
  <si>
    <t>Karellian Fishy Fish</t>
  </si>
  <si>
    <t>fish2492</t>
  </si>
  <si>
    <t>Chromatic Fish</t>
  </si>
  <si>
    <t>fish2493</t>
  </si>
  <si>
    <t>Elysian Seas α</t>
  </si>
  <si>
    <t>fish2494</t>
  </si>
  <si>
    <t>fish2495</t>
  </si>
  <si>
    <t>Elysian Nudibranch</t>
  </si>
  <si>
    <t>fish2496</t>
  </si>
  <si>
    <t>Saltwater Fish</t>
  </si>
  <si>
    <t>fish2497</t>
  </si>
  <si>
    <t>Supremest Crustacean</t>
  </si>
  <si>
    <t>fish2498</t>
  </si>
  <si>
    <t>Elysian Seas β</t>
  </si>
  <si>
    <t>fish2499</t>
  </si>
  <si>
    <t>fish2500</t>
  </si>
  <si>
    <t>Elysian Stickleback</t>
  </si>
  <si>
    <t>fish2501</t>
  </si>
  <si>
    <t>Seaweed Snapper</t>
  </si>
  <si>
    <t>fish2502</t>
  </si>
  <si>
    <t>Cosmic Sponge</t>
  </si>
  <si>
    <t>fish2503</t>
  </si>
  <si>
    <t>Elysian Playgrounds α</t>
  </si>
  <si>
    <t>fish2504</t>
  </si>
  <si>
    <t>fish2505</t>
  </si>
  <si>
    <t>Paraichthyoid</t>
  </si>
  <si>
    <t>fish2506</t>
  </si>
  <si>
    <t>Babycray</t>
  </si>
  <si>
    <t>fish2507</t>
  </si>
  <si>
    <t>Astral Algae</t>
  </si>
  <si>
    <t>fish2508</t>
  </si>
  <si>
    <t>Elysian Playgrounds β</t>
  </si>
  <si>
    <t>fish2509</t>
  </si>
  <si>
    <t>fish2510</t>
  </si>
  <si>
    <t>fish2511</t>
  </si>
  <si>
    <t>Silky Cosmocoral</t>
  </si>
  <si>
    <t>fish2512</t>
  </si>
  <si>
    <t>Dragon's Delight</t>
  </si>
  <si>
    <t>fish2513</t>
  </si>
  <si>
    <t>Weird Fish</t>
  </si>
  <si>
    <t>fish2514</t>
  </si>
  <si>
    <t>The One River (East)</t>
  </si>
  <si>
    <t>fish2515</t>
  </si>
  <si>
    <t>fish2516</t>
  </si>
  <si>
    <t>fish2517</t>
  </si>
  <si>
    <t>fish2518</t>
  </si>
  <si>
    <t>fish2519</t>
  </si>
  <si>
    <t>fish2520</t>
  </si>
  <si>
    <t>fish2521</t>
  </si>
  <si>
    <t>The One River (West)</t>
  </si>
  <si>
    <t>fish2522</t>
  </si>
  <si>
    <t>fish2523</t>
  </si>
  <si>
    <t>fish2524</t>
  </si>
  <si>
    <t>fish2525</t>
  </si>
  <si>
    <t>fish2526</t>
  </si>
  <si>
    <t>fish2527</t>
  </si>
  <si>
    <t>fish2528</t>
  </si>
  <si>
    <t>fish2529</t>
  </si>
  <si>
    <t>fish2530</t>
  </si>
  <si>
    <t>fish2531</t>
  </si>
  <si>
    <t>fish2532</t>
  </si>
  <si>
    <t>fish2533</t>
  </si>
  <si>
    <t>Prism Canyon</t>
  </si>
  <si>
    <t>fish2534</t>
  </si>
  <si>
    <t>fish2535</t>
  </si>
  <si>
    <t>fish2536</t>
  </si>
  <si>
    <t>fish2537</t>
  </si>
  <si>
    <t>fish2538</t>
  </si>
  <si>
    <t>fish2539</t>
  </si>
  <si>
    <t>fish2540</t>
  </si>
  <si>
    <t>fish2541</t>
  </si>
  <si>
    <t>fish2542</t>
  </si>
  <si>
    <t>fish2543</t>
  </si>
  <si>
    <t>fish2544</t>
  </si>
  <si>
    <t>fish2545</t>
  </si>
  <si>
    <t>Tome of Ichthyological Folklore - Othard, Fisher's Intuition (3x Indigo Prismfish, 3x Firelight Goldfish, 5x Green Prismfish, 2m55s)</t>
  </si>
  <si>
    <t>fish2546</t>
  </si>
  <si>
    <t>The Silver Canal</t>
  </si>
  <si>
    <t>fish2547</t>
  </si>
  <si>
    <t>fish2548</t>
  </si>
  <si>
    <t>fish2549</t>
  </si>
  <si>
    <t>fish2550</t>
  </si>
  <si>
    <t>fish2551</t>
  </si>
  <si>
    <t>fish2552</t>
  </si>
  <si>
    <t>The Rift of Sighs</t>
  </si>
  <si>
    <t>fish2553</t>
  </si>
  <si>
    <t>fish2554</t>
  </si>
  <si>
    <t>fish2555</t>
  </si>
  <si>
    <t>fish2556</t>
  </si>
  <si>
    <t>fish2557</t>
  </si>
  <si>
    <t>fish2558</t>
  </si>
  <si>
    <t>The Rusted Reservoir</t>
  </si>
  <si>
    <t>skipped: Hard Candy - persistent rate limiting (HTTP 429) on ffxiv.consolegameswiki.com after 40+ retries</t>
  </si>
  <si>
    <t>fish2559</t>
  </si>
  <si>
    <t>skipped: Abyssal Snail - persistent rate limiting (HTTP 429) on ffxiv.consolegameswiki.com after 40+ retries</t>
  </si>
  <si>
    <t>fish2560</t>
  </si>
  <si>
    <t>skipped: Water Ball - persistent rate limiting (HTTP 429) on ffxiv.consolegameswiki.com after 40+ retries</t>
  </si>
  <si>
    <t>fish2561</t>
  </si>
  <si>
    <t>fish2562</t>
  </si>
  <si>
    <t>fish2563</t>
  </si>
  <si>
    <t>fish2564</t>
  </si>
  <si>
    <t>fish2565</t>
  </si>
  <si>
    <t>fish2566</t>
  </si>
  <si>
    <t>fish2567</t>
  </si>
  <si>
    <t>fish2568</t>
  </si>
  <si>
    <t>fish2569</t>
  </si>
  <si>
    <t>fish2570</t>
  </si>
  <si>
    <t>fish2571</t>
  </si>
  <si>
    <t>fish2572</t>
  </si>
  <si>
    <t>fish2573</t>
  </si>
  <si>
    <t>fish2574</t>
  </si>
  <si>
    <t>fish2575</t>
  </si>
  <si>
    <t>fish2576</t>
  </si>
  <si>
    <t>fish2577</t>
  </si>
  <si>
    <t>fish2578</t>
  </si>
  <si>
    <t>fish2579</t>
  </si>
  <si>
    <t>fish2580</t>
  </si>
  <si>
    <t>fish2581</t>
  </si>
  <si>
    <t>fish2582</t>
  </si>
  <si>
    <t>fish2583</t>
  </si>
  <si>
    <t>fish2584</t>
  </si>
  <si>
    <t>Northeast Source</t>
  </si>
  <si>
    <t>fish2585</t>
  </si>
  <si>
    <t>fish2586</t>
  </si>
  <si>
    <t>fish2587</t>
  </si>
  <si>
    <t>fish2588</t>
  </si>
  <si>
    <t>fish2589</t>
  </si>
  <si>
    <t>fish2590</t>
  </si>
  <si>
    <t>fish2591</t>
  </si>
  <si>
    <t>fish2592</t>
  </si>
  <si>
    <t>fish2593</t>
  </si>
  <si>
    <t>fish2594</t>
  </si>
  <si>
    <t>fish2595</t>
  </si>
  <si>
    <t>fish2596</t>
  </si>
  <si>
    <t>Southeast Source</t>
  </si>
  <si>
    <t>fish2597</t>
  </si>
  <si>
    <t>fish2598</t>
  </si>
  <si>
    <t>fish2599</t>
  </si>
  <si>
    <t>fish2600</t>
  </si>
  <si>
    <t>fish2601</t>
  </si>
  <si>
    <t>fish2602</t>
  </si>
  <si>
    <t>Eastern Isle of Ken</t>
  </si>
  <si>
    <t>fish2603</t>
  </si>
  <si>
    <t>fish2604</t>
  </si>
  <si>
    <t>fish2605</t>
  </si>
  <si>
    <t>fish2606</t>
  </si>
  <si>
    <t>fish2607</t>
  </si>
  <si>
    <t>fish2608</t>
  </si>
  <si>
    <t>Southwestern Isle of Ken</t>
  </si>
  <si>
    <t>fish2609</t>
  </si>
  <si>
    <t>fish2610</t>
  </si>
  <si>
    <t>fish2611</t>
  </si>
  <si>
    <t>fish2612</t>
  </si>
  <si>
    <t>Upper Watts River</t>
  </si>
  <si>
    <t>fish2613</t>
  </si>
  <si>
    <t>fish2614</t>
  </si>
  <si>
    <t>fish2615</t>
  </si>
  <si>
    <t>fish2616</t>
  </si>
  <si>
    <t>fish2617</t>
  </si>
  <si>
    <t>fish2618</t>
  </si>
  <si>
    <t>fish2619</t>
  </si>
  <si>
    <t>fish2620</t>
  </si>
  <si>
    <t>fish2621</t>
  </si>
  <si>
    <t>fish2622</t>
  </si>
  <si>
    <t>fish2623</t>
  </si>
  <si>
    <t>fish2624</t>
  </si>
  <si>
    <t>Lower Watts River</t>
  </si>
  <si>
    <t>fish2625</t>
  </si>
  <si>
    <t>fish2626</t>
  </si>
  <si>
    <t>fish2627</t>
  </si>
  <si>
    <t>fish2628</t>
  </si>
  <si>
    <t>fish2629</t>
  </si>
  <si>
    <t>fish2630</t>
  </si>
  <si>
    <t>fish2631</t>
  </si>
  <si>
    <t>fish2632</t>
  </si>
  <si>
    <t>fish2633</t>
  </si>
  <si>
    <t>The Western Kholusian Coast</t>
  </si>
  <si>
    <t>fish2634</t>
  </si>
  <si>
    <t>fish2635</t>
  </si>
  <si>
    <t>fish2636</t>
  </si>
  <si>
    <t>fish2637</t>
  </si>
  <si>
    <t>fish2638</t>
  </si>
  <si>
    <t>fish2639</t>
  </si>
  <si>
    <t>fish2640</t>
  </si>
  <si>
    <t>fish2641</t>
  </si>
  <si>
    <t>fish2642</t>
  </si>
  <si>
    <t>fish2643</t>
  </si>
  <si>
    <t>fish2644</t>
  </si>
  <si>
    <t>fish2645</t>
  </si>
  <si>
    <t>fish2646</t>
  </si>
  <si>
    <t>fish2647</t>
  </si>
  <si>
    <t>fish2648</t>
  </si>
  <si>
    <t>fish2649</t>
  </si>
  <si>
    <t>fish2650</t>
  </si>
  <si>
    <t>fish2651</t>
  </si>
  <si>
    <t>fish2652</t>
  </si>
  <si>
    <t>fish2653</t>
  </si>
  <si>
    <t>fish2654</t>
  </si>
  <si>
    <t>fish2655</t>
  </si>
  <si>
    <t>fish2656</t>
  </si>
  <si>
    <t>fish2657</t>
  </si>
  <si>
    <t>fish2658</t>
  </si>
  <si>
    <t>fish2659</t>
  </si>
  <si>
    <t>fish2660</t>
  </si>
  <si>
    <t>fish2661</t>
  </si>
  <si>
    <t>fish2662</t>
  </si>
  <si>
    <t>fish2663</t>
  </si>
  <si>
    <t>Intuition: 3x Ankledeep Catfish (5m00s)</t>
  </si>
  <si>
    <t>fish2664</t>
  </si>
  <si>
    <t>Galadion Spectral Current</t>
  </si>
  <si>
    <t>fish2665</t>
  </si>
  <si>
    <t>fish2666</t>
  </si>
  <si>
    <t>fish2667</t>
  </si>
  <si>
    <t>fish2668</t>
  </si>
  <si>
    <t>fish2669</t>
  </si>
  <si>
    <t>fish2670</t>
  </si>
  <si>
    <t>fish2671</t>
  </si>
  <si>
    <t>fish2672</t>
  </si>
  <si>
    <t>fish2673</t>
  </si>
  <si>
    <t>Condition: Only at Night after catching Heavenskey x2, Navigator's Print x1, and triggering Fisher intuition with a Galadion Spectral Current</t>
  </si>
  <si>
    <t>fish2674</t>
  </si>
  <si>
    <t>The Southern Strait of Merlthor</t>
  </si>
  <si>
    <t>fish2675</t>
  </si>
  <si>
    <t>fish2676</t>
  </si>
  <si>
    <t>fish2677</t>
  </si>
  <si>
    <t>fish2678</t>
  </si>
  <si>
    <t>fish2679</t>
  </si>
  <si>
    <t>fish2680</t>
  </si>
  <si>
    <t>fish2681</t>
  </si>
  <si>
    <t>fish2682</t>
  </si>
  <si>
    <t>fish2683</t>
  </si>
  <si>
    <t>Baits: Plump Worm Fisher's Intuition: Gladius (x1)</t>
  </si>
  <si>
    <t>fish2684</t>
  </si>
  <si>
    <t>Southern Merlthor Spectral Current</t>
  </si>
  <si>
    <t>fish2685</t>
  </si>
  <si>
    <t>fish2686</t>
  </si>
  <si>
    <t>fish2687</t>
  </si>
  <si>
    <t>fish2688</t>
  </si>
  <si>
    <t>fish2689</t>
  </si>
  <si>
    <t>fish2690</t>
  </si>
  <si>
    <t>fish2691</t>
  </si>
  <si>
    <t>fish2692</t>
  </si>
  <si>
    <t>fish2693</t>
  </si>
  <si>
    <t>fish2694</t>
  </si>
  <si>
    <t>The Northern Strait of Merlthor</t>
  </si>
  <si>
    <t>fish2695</t>
  </si>
  <si>
    <t>fish2696</t>
  </si>
  <si>
    <t>fish2697</t>
  </si>
  <si>
    <t>fish2698</t>
  </si>
  <si>
    <t>fish2699</t>
  </si>
  <si>
    <t>fish2700</t>
  </si>
  <si>
    <t>fish2701</t>
  </si>
  <si>
    <t>fish2702</t>
  </si>
  <si>
    <t>fish2703</t>
  </si>
  <si>
    <t>fish2704</t>
  </si>
  <si>
    <t>Northern Merlthor Spectral Current</t>
  </si>
  <si>
    <t>fish2705</t>
  </si>
  <si>
    <t>fish2706</t>
  </si>
  <si>
    <t>fish2707</t>
  </si>
  <si>
    <t>fish2708</t>
  </si>
  <si>
    <t>fish2709</t>
  </si>
  <si>
    <t>fish2710</t>
  </si>
  <si>
    <t>fish2711</t>
  </si>
  <si>
    <t>fish2712</t>
  </si>
  <si>
    <t>fish2713</t>
  </si>
  <si>
    <t>fish2714</t>
  </si>
  <si>
    <t>Open Rhotano Sea</t>
  </si>
  <si>
    <t>fish2715</t>
  </si>
  <si>
    <t>fish2716</t>
  </si>
  <si>
    <t>fish2717</t>
  </si>
  <si>
    <t>fish2718</t>
  </si>
  <si>
    <t>fish2719</t>
  </si>
  <si>
    <t>fish2720</t>
  </si>
  <si>
    <t>fish2721</t>
  </si>
  <si>
    <t>fish2722</t>
  </si>
  <si>
    <t>fish2723</t>
  </si>
  <si>
    <t>fish2724</t>
  </si>
  <si>
    <t>Rhotano Spectral Current</t>
  </si>
  <si>
    <t>fish2725</t>
  </si>
  <si>
    <t>fish2726</t>
  </si>
  <si>
    <t>fish2727</t>
  </si>
  <si>
    <t>fish2728</t>
  </si>
  <si>
    <t>fish2729</t>
  </si>
  <si>
    <t>fish2730</t>
  </si>
  <si>
    <t>fish2731</t>
  </si>
  <si>
    <t>fish2732</t>
  </si>
  <si>
    <t>fish2733</t>
  </si>
  <si>
    <t>fish2734</t>
  </si>
  <si>
    <t>Cieldalaes Margin</t>
  </si>
  <si>
    <t>fish2735</t>
  </si>
  <si>
    <t>fish2736</t>
  </si>
  <si>
    <t>fish2737</t>
  </si>
  <si>
    <t>fish2738</t>
  </si>
  <si>
    <t>fish2739</t>
  </si>
  <si>
    <t>fish2740</t>
  </si>
  <si>
    <t>fish2741</t>
  </si>
  <si>
    <t>fish2742</t>
  </si>
  <si>
    <t>fish2743</t>
  </si>
  <si>
    <t>fish2744</t>
  </si>
  <si>
    <t>Cieldalaes Spectral Current</t>
  </si>
  <si>
    <t>fish2745</t>
  </si>
  <si>
    <t>fish2746</t>
  </si>
  <si>
    <t>fish2747</t>
  </si>
  <si>
    <t>fish2748</t>
  </si>
  <si>
    <t>fish2749</t>
  </si>
  <si>
    <t>fish2750</t>
  </si>
  <si>
    <t>fish2751</t>
  </si>
  <si>
    <t>fish2752</t>
  </si>
  <si>
    <t>fish2753</t>
  </si>
  <si>
    <t>Requires Fisher's Intuition from catching 2x Jetborne Manta and 1x Mistbeard's Cup.</t>
  </si>
  <si>
    <t>fish2754</t>
  </si>
  <si>
    <t>Open Bloodbrine Sea</t>
  </si>
  <si>
    <t>fish2755</t>
  </si>
  <si>
    <t>fish2756</t>
  </si>
  <si>
    <t>fish2757</t>
  </si>
  <si>
    <t>fish2758</t>
  </si>
  <si>
    <t>fish2759</t>
  </si>
  <si>
    <t>fish2760</t>
  </si>
  <si>
    <t>fish2761</t>
  </si>
  <si>
    <t>fish2762</t>
  </si>
  <si>
    <t>fish2763</t>
  </si>
  <si>
    <t>fish2764</t>
  </si>
  <si>
    <t>Bloodbrine Spectral Current</t>
  </si>
  <si>
    <t>fish2765</t>
  </si>
  <si>
    <t>fish2766</t>
  </si>
  <si>
    <t>fish2767</t>
  </si>
  <si>
    <t>fish2768</t>
  </si>
  <si>
    <t>fish2769</t>
  </si>
  <si>
    <t>fish2770</t>
  </si>
  <si>
    <t>fish2771</t>
  </si>
  <si>
    <t>fish2772</t>
  </si>
  <si>
    <t>fish2773</t>
  </si>
  <si>
    <t>fish2774</t>
  </si>
  <si>
    <t>Outer Rothlyt Sound</t>
  </si>
  <si>
    <t>fish2775</t>
  </si>
  <si>
    <t>fish2776</t>
  </si>
  <si>
    <t>fish2777</t>
  </si>
  <si>
    <t>fish2778</t>
  </si>
  <si>
    <t>fish2779</t>
  </si>
  <si>
    <t>fish2780</t>
  </si>
  <si>
    <t>fish2781</t>
  </si>
  <si>
    <t>fish2782</t>
  </si>
  <si>
    <t>fish2783</t>
  </si>
  <si>
    <t>fish2784</t>
  </si>
  <si>
    <t>Rothlyt Spectral Current</t>
  </si>
  <si>
    <t>fish2785</t>
  </si>
  <si>
    <t>fish2786</t>
  </si>
  <si>
    <t>fish2787</t>
  </si>
  <si>
    <t>fish2788</t>
  </si>
  <si>
    <t>fish2789</t>
  </si>
  <si>
    <t>fish2790</t>
  </si>
  <si>
    <t>fish2791</t>
  </si>
  <si>
    <t>fish2792</t>
  </si>
  <si>
    <t>fish2793</t>
  </si>
  <si>
    <t>fish2794</t>
  </si>
  <si>
    <t>Open Sirensong Sea</t>
  </si>
  <si>
    <t>fish2795</t>
  </si>
  <si>
    <t>fish2796</t>
  </si>
  <si>
    <t>fish2797</t>
  </si>
  <si>
    <t>fish2798</t>
  </si>
  <si>
    <t>fish2799</t>
  </si>
  <si>
    <t>fish2800</t>
  </si>
  <si>
    <t>fish2801</t>
  </si>
  <si>
    <t>fish2802</t>
  </si>
  <si>
    <t>fish2803</t>
  </si>
  <si>
    <t>fish2804</t>
  </si>
  <si>
    <t>Blustery Cloudtop</t>
  </si>
  <si>
    <t>Umbral Flare</t>
  </si>
  <si>
    <t>fish2805</t>
  </si>
  <si>
    <t>Grade 2 Skybuilders' Cloud Cutter</t>
  </si>
  <si>
    <t>fish2806</t>
  </si>
  <si>
    <t>fish2807</t>
  </si>
  <si>
    <t>fish2808</t>
  </si>
  <si>
    <t>fish2809</t>
  </si>
  <si>
    <t>fish2810</t>
  </si>
  <si>
    <t>Umbral Duststorm</t>
  </si>
  <si>
    <t>fish2811</t>
  </si>
  <si>
    <t>Buffeted Cloudtop</t>
  </si>
  <si>
    <t>fish2812</t>
  </si>
  <si>
    <t>fish2813</t>
  </si>
  <si>
    <t>Umbral Levin</t>
  </si>
  <si>
    <t>fish2814</t>
  </si>
  <si>
    <t>Umbral Tempest</t>
  </si>
  <si>
    <t>fish2815</t>
  </si>
  <si>
    <t>fish2816</t>
  </si>
  <si>
    <t>fish2817</t>
  </si>
  <si>
    <t>fish2818</t>
  </si>
  <si>
    <t>fish2819</t>
  </si>
  <si>
    <t>fish2820</t>
  </si>
  <si>
    <t>fish2821</t>
  </si>
  <si>
    <t>fish2822</t>
  </si>
  <si>
    <t>Calm Cloudtop</t>
  </si>
  <si>
    <t>fish2823</t>
  </si>
  <si>
    <t>fish2824</t>
  </si>
  <si>
    <t>fish2825</t>
  </si>
  <si>
    <t>fish2826</t>
  </si>
  <si>
    <t>fish2827</t>
  </si>
  <si>
    <t>Must catch 2x Grade 4 Skybuilders' Ocean Cloud first to get Fisher's Intuition</t>
  </si>
  <si>
    <t>fish2828</t>
  </si>
  <si>
    <t>fish2829</t>
  </si>
  <si>
    <t>Diadem Grotto</t>
  </si>
  <si>
    <t>fish2830</t>
  </si>
  <si>
    <t>fish2831</t>
  </si>
  <si>
    <t>fish2832</t>
  </si>
  <si>
    <t>fish2833</t>
  </si>
  <si>
    <t>Northern Diadem Lake</t>
  </si>
  <si>
    <t>fish2834</t>
  </si>
  <si>
    <t>fish2835</t>
  </si>
  <si>
    <t>fish2836</t>
  </si>
  <si>
    <t>fish2837</t>
  </si>
  <si>
    <t>Southern Diadem Lake</t>
  </si>
  <si>
    <t>fish2838</t>
  </si>
  <si>
    <t>fish2839</t>
  </si>
  <si>
    <t>fish2840</t>
  </si>
  <si>
    <t>fish2841</t>
  </si>
  <si>
    <t>Swirling Cloudtop</t>
  </si>
  <si>
    <t>fish2842</t>
  </si>
  <si>
    <t>fish2843</t>
  </si>
  <si>
    <t>fish2844</t>
  </si>
  <si>
    <t>fish2845</t>
  </si>
  <si>
    <t>fish2846</t>
  </si>
  <si>
    <t>fish2847</t>
  </si>
  <si>
    <t>fish2848</t>
  </si>
  <si>
    <t>Windbreaking Cloudtop</t>
  </si>
  <si>
    <t>fish2849</t>
  </si>
  <si>
    <t>fish2850</t>
  </si>
  <si>
    <t>fish2851</t>
  </si>
  <si>
    <t>fish2852</t>
  </si>
  <si>
    <t>fish2853</t>
  </si>
  <si>
    <t>fish2854</t>
  </si>
  <si>
    <t>fish2855</t>
  </si>
  <si>
    <t>fish2856</t>
  </si>
  <si>
    <t>fish2857</t>
  </si>
  <si>
    <t>fish2858</t>
  </si>
  <si>
    <t>fish2859</t>
  </si>
  <si>
    <t>Windswept Cloudtop</t>
  </si>
  <si>
    <t>fish2860</t>
  </si>
  <si>
    <t>fish2861</t>
  </si>
  <si>
    <t>fish2862</t>
  </si>
  <si>
    <t>fish2863</t>
  </si>
  <si>
    <t>fish2864</t>
  </si>
  <si>
    <t>fish2865</t>
  </si>
  <si>
    <t>fish2866</t>
  </si>
  <si>
    <t>West Caliban Gap</t>
  </si>
  <si>
    <t>fish2867</t>
  </si>
  <si>
    <t>fish2868</t>
  </si>
  <si>
    <t>fish2869</t>
  </si>
  <si>
    <t>fish2870</t>
  </si>
  <si>
    <t>fish2871</t>
  </si>
  <si>
    <t>fish2872</t>
  </si>
  <si>
    <t>tug</t>
  </si>
  <si>
    <t>area786</t>
  </si>
  <si>
    <t>area787</t>
  </si>
  <si>
    <t>area788</t>
  </si>
  <si>
    <t>area789</t>
  </si>
  <si>
    <t>area790</t>
  </si>
  <si>
    <t>area791</t>
  </si>
  <si>
    <t>area792</t>
  </si>
  <si>
    <t>area793</t>
  </si>
  <si>
    <t>area794</t>
  </si>
  <si>
    <t>area795</t>
  </si>
  <si>
    <t>area796</t>
  </si>
  <si>
    <t>area797</t>
  </si>
  <si>
    <t>area798</t>
  </si>
  <si>
    <t>area799</t>
  </si>
  <si>
    <t>area800</t>
  </si>
  <si>
    <t>area801</t>
  </si>
  <si>
    <t>area802</t>
  </si>
  <si>
    <t>area803</t>
  </si>
  <si>
    <t>area804</t>
  </si>
  <si>
    <t>area805</t>
  </si>
  <si>
    <t>area806</t>
  </si>
  <si>
    <t>area807</t>
  </si>
  <si>
    <t>area808</t>
  </si>
  <si>
    <t>area809</t>
  </si>
  <si>
    <t>area810</t>
  </si>
  <si>
    <t>area811</t>
  </si>
  <si>
    <t>area812</t>
  </si>
  <si>
    <t>area813</t>
  </si>
  <si>
    <t>area814</t>
  </si>
  <si>
    <t>area815</t>
  </si>
  <si>
    <t>area816</t>
  </si>
  <si>
    <t>area817</t>
  </si>
  <si>
    <t>area818</t>
  </si>
  <si>
    <t>area819</t>
  </si>
  <si>
    <t>area820</t>
  </si>
  <si>
    <t>area821</t>
  </si>
  <si>
    <t>area822</t>
  </si>
  <si>
    <t>area823</t>
  </si>
  <si>
    <t>area824</t>
  </si>
  <si>
    <t>area825</t>
  </si>
  <si>
    <t>area826</t>
  </si>
  <si>
    <t>area827</t>
  </si>
  <si>
    <t>area828</t>
  </si>
  <si>
    <t>area829</t>
  </si>
  <si>
    <t>area830</t>
  </si>
  <si>
    <t>area831</t>
  </si>
  <si>
    <t>area832</t>
  </si>
  <si>
    <t>area833</t>
  </si>
  <si>
    <t>area834</t>
  </si>
  <si>
    <t>area835</t>
  </si>
  <si>
    <t>area836</t>
  </si>
  <si>
    <t>area837</t>
  </si>
  <si>
    <t>area838</t>
  </si>
  <si>
    <t>area839</t>
  </si>
  <si>
    <t>area840</t>
  </si>
  <si>
    <t>area841</t>
  </si>
  <si>
    <t>area842</t>
  </si>
  <si>
    <t>area843</t>
  </si>
  <si>
    <t>area844</t>
  </si>
  <si>
    <t>area845</t>
  </si>
  <si>
    <t>area846</t>
  </si>
  <si>
    <t>area847</t>
  </si>
  <si>
    <t>area848</t>
  </si>
  <si>
    <t>area849</t>
  </si>
  <si>
    <t>area850</t>
  </si>
  <si>
    <t>area851</t>
  </si>
  <si>
    <t>area852</t>
  </si>
  <si>
    <t>area853</t>
  </si>
  <si>
    <t>area854</t>
  </si>
  <si>
    <t>area855</t>
  </si>
  <si>
    <t>area856</t>
  </si>
  <si>
    <t>area857</t>
  </si>
  <si>
    <t>area858</t>
  </si>
  <si>
    <t>area859</t>
  </si>
  <si>
    <t>area860</t>
  </si>
  <si>
    <t>area861</t>
  </si>
  <si>
    <t>area862</t>
  </si>
  <si>
    <t>area863</t>
  </si>
  <si>
    <t>area864</t>
  </si>
  <si>
    <t>area865</t>
  </si>
  <si>
    <t>area866</t>
  </si>
  <si>
    <t>area867</t>
  </si>
  <si>
    <t>area868</t>
  </si>
  <si>
    <t>area869</t>
  </si>
  <si>
    <t>area870</t>
  </si>
  <si>
    <t>area871</t>
  </si>
  <si>
    <t>area872</t>
  </si>
  <si>
    <t>area873</t>
  </si>
  <si>
    <t>area874</t>
  </si>
  <si>
    <t>area875</t>
  </si>
  <si>
    <t>area876</t>
  </si>
  <si>
    <t>area877</t>
  </si>
  <si>
    <t>area878</t>
  </si>
  <si>
    <t>area879</t>
  </si>
  <si>
    <t>area880</t>
  </si>
  <si>
    <t>area881</t>
  </si>
  <si>
    <t>area882</t>
  </si>
  <si>
    <t>area883</t>
  </si>
  <si>
    <t>area884</t>
  </si>
  <si>
    <t>area885</t>
  </si>
  <si>
    <t>area886</t>
  </si>
  <si>
    <t>area887</t>
  </si>
  <si>
    <t>area888</t>
  </si>
  <si>
    <t>area889</t>
  </si>
  <si>
    <t>area890</t>
  </si>
  <si>
    <t>area891</t>
  </si>
  <si>
    <t>area892</t>
  </si>
  <si>
    <t>area893</t>
  </si>
  <si>
    <t>area894</t>
  </si>
  <si>
    <t>area895</t>
  </si>
  <si>
    <t>area896</t>
  </si>
  <si>
    <t>area897</t>
  </si>
  <si>
    <t>area898</t>
  </si>
  <si>
    <t>area899</t>
  </si>
  <si>
    <t>area900</t>
  </si>
  <si>
    <t>area901</t>
  </si>
  <si>
    <t>area902</t>
  </si>
  <si>
    <t>area903</t>
  </si>
  <si>
    <t>area904</t>
  </si>
  <si>
    <t>area905</t>
  </si>
  <si>
    <t>area906</t>
  </si>
  <si>
    <t>area907</t>
  </si>
  <si>
    <t>area908</t>
  </si>
  <si>
    <t>area909</t>
  </si>
  <si>
    <t>area910</t>
  </si>
  <si>
    <t>area911</t>
  </si>
  <si>
    <t>area912</t>
  </si>
  <si>
    <t>area913</t>
  </si>
  <si>
    <t>area914</t>
  </si>
  <si>
    <t>area915</t>
  </si>
  <si>
    <t>area916</t>
  </si>
  <si>
    <t>area917</t>
  </si>
  <si>
    <t>area918</t>
  </si>
  <si>
    <t>area919</t>
  </si>
  <si>
    <t>area920</t>
  </si>
  <si>
    <t>area921</t>
  </si>
  <si>
    <t>area922</t>
  </si>
  <si>
    <t>area923</t>
  </si>
  <si>
    <t>area924</t>
  </si>
  <si>
    <t>area925</t>
  </si>
  <si>
    <t>area926</t>
  </si>
  <si>
    <t>area927</t>
  </si>
  <si>
    <t>area928</t>
  </si>
  <si>
    <t>area929</t>
  </si>
  <si>
    <t>area930</t>
  </si>
  <si>
    <t>area931</t>
  </si>
  <si>
    <t>area932</t>
  </si>
  <si>
    <t>area933</t>
  </si>
  <si>
    <t>Trivium</t>
  </si>
  <si>
    <t>Quadrivium</t>
  </si>
  <si>
    <t>area934</t>
  </si>
  <si>
    <t>area935</t>
  </si>
  <si>
    <t>theCrystarium</t>
  </si>
  <si>
    <t>radzatHan</t>
  </si>
  <si>
    <t>oldSharlayan</t>
  </si>
  <si>
    <t>labyrinthos</t>
  </si>
  <si>
    <t>mareLamentorum</t>
  </si>
  <si>
    <t>ultimaThule</t>
  </si>
  <si>
    <t>elpis</t>
  </si>
  <si>
    <t>tuliyollal</t>
  </si>
  <si>
    <t>urqopacha</t>
  </si>
  <si>
    <t>solutionNine</t>
  </si>
  <si>
    <t>kozamauka</t>
  </si>
  <si>
    <t>yakTel</t>
  </si>
  <si>
    <t>shaaloani</t>
  </si>
  <si>
    <t>heritageFound</t>
  </si>
  <si>
    <t>livingMemory</t>
  </si>
  <si>
    <t>theGoldSaucer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</si>
</sst>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.15"/>
      <name val="Arial"/>
      <family val="2"/>
    </font>
    <font>
      <sz val="11"/>
      <name val="Consolas"/>
      <family val="3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3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0" fillId="3" borderId="1" xfId="0" applyFill="1" applyBorder="1"/>
    <xf numFmtId="0" fontId="0" fillId="3" borderId="0" xfId="0" applyFill="1"/>
    <xf numFmtId="0" fontId="8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fxiv.consolegameswiki.com/wiki/Sugaar" TargetMode="External"/><Relationship Id="rId13" Type="http://schemas.openxmlformats.org/officeDocument/2006/relationships/hyperlink" Target="https://ffxiv.consolegameswiki.com/wiki/Lakeland" TargetMode="External"/><Relationship Id="rId18" Type="http://schemas.openxmlformats.org/officeDocument/2006/relationships/hyperlink" Target="https://ffxiv.consolegameswiki.com/wiki/Kholusia" TargetMode="External"/><Relationship Id="rId3" Type="http://schemas.openxmlformats.org/officeDocument/2006/relationships/hyperlink" Target="https://ffxiv.consolegameswiki.com/wiki/O_Poorest_Pauldia" TargetMode="External"/><Relationship Id="rId21" Type="http://schemas.openxmlformats.org/officeDocument/2006/relationships/hyperlink" Target="https://ffxiv.consolegameswiki.com/wiki/The_Rak%27tika_Greatwood" TargetMode="External"/><Relationship Id="rId7" Type="http://schemas.openxmlformats.org/officeDocument/2006/relationships/hyperlink" Target="https://ffxiv.consolegameswiki.com/wiki/Maliktender" TargetMode="External"/><Relationship Id="rId12" Type="http://schemas.openxmlformats.org/officeDocument/2006/relationships/hyperlink" Target="https://ffxiv.consolegameswiki.com/wiki/Rusalka" TargetMode="External"/><Relationship Id="rId17" Type="http://schemas.openxmlformats.org/officeDocument/2006/relationships/hyperlink" Target="https://ffxiv.consolegameswiki.com/wiki/Kholusia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https://ffxiv.consolegameswiki.com/wiki/Nuckelavee" TargetMode="External"/><Relationship Id="rId16" Type="http://schemas.openxmlformats.org/officeDocument/2006/relationships/hyperlink" Target="https://ffxiv.consolegameswiki.com/wiki/Il_Mheg" TargetMode="External"/><Relationship Id="rId20" Type="http://schemas.openxmlformats.org/officeDocument/2006/relationships/hyperlink" Target="https://ffxiv.consolegameswiki.com/wiki/Amh_Araeng" TargetMode="External"/><Relationship Id="rId1" Type="http://schemas.openxmlformats.org/officeDocument/2006/relationships/hyperlink" Target="https://ffxiv.consolegameswiki.com/wiki/Nariphon" TargetMode="External"/><Relationship Id="rId6" Type="http://schemas.openxmlformats.org/officeDocument/2006/relationships/hyperlink" Target="https://ffxiv.consolegameswiki.com/wiki/Huracan" TargetMode="External"/><Relationship Id="rId11" Type="http://schemas.openxmlformats.org/officeDocument/2006/relationships/hyperlink" Target="https://ffxiv.consolegameswiki.com/wiki/Baal" TargetMode="External"/><Relationship Id="rId24" Type="http://schemas.openxmlformats.org/officeDocument/2006/relationships/hyperlink" Target="https://ffxiv.consolegameswiki.com/wiki/The_Tempest" TargetMode="External"/><Relationship Id="rId5" Type="http://schemas.openxmlformats.org/officeDocument/2006/relationships/hyperlink" Target="https://ffxiv.consolegameswiki.com/wiki/Li%27l_Murderer" TargetMode="External"/><Relationship Id="rId15" Type="http://schemas.openxmlformats.org/officeDocument/2006/relationships/hyperlink" Target="https://ffxiv.consolegameswiki.com/wiki/Il_Mheg" TargetMode="External"/><Relationship Id="rId23" Type="http://schemas.openxmlformats.org/officeDocument/2006/relationships/hyperlink" Target="https://ffxiv.consolegameswiki.com/wiki/The_Tempest" TargetMode="External"/><Relationship Id="rId10" Type="http://schemas.openxmlformats.org/officeDocument/2006/relationships/hyperlink" Target="https://ffxiv.consolegameswiki.com/wiki/Supay" TargetMode="External"/><Relationship Id="rId19" Type="http://schemas.openxmlformats.org/officeDocument/2006/relationships/hyperlink" Target="https://ffxiv.consolegameswiki.com/wiki/Amh_Araeng" TargetMode="External"/><Relationship Id="rId4" Type="http://schemas.openxmlformats.org/officeDocument/2006/relationships/hyperlink" Target="https://ffxiv.consolegameswiki.com/wiki/The_Mudman" TargetMode="External"/><Relationship Id="rId9" Type="http://schemas.openxmlformats.org/officeDocument/2006/relationships/hyperlink" Target="https://ffxiv.consolegameswiki.com/wiki/Grassman" TargetMode="External"/><Relationship Id="rId14" Type="http://schemas.openxmlformats.org/officeDocument/2006/relationships/hyperlink" Target="https://ffxiv.consolegameswiki.com/wiki/Lakeland" TargetMode="External"/><Relationship Id="rId22" Type="http://schemas.openxmlformats.org/officeDocument/2006/relationships/hyperlink" Target="https://ffxiv.consolegameswiki.com/wiki/The_Rak%27tika_Greatwoo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080A-4177-4A94-8F3C-74F6B9037C74}">
  <sheetPr>
    <tabColor theme="9" tint="-0.499984740745262"/>
  </sheetPr>
  <dimension ref="A1:N936"/>
  <sheetViews>
    <sheetView zoomScaleNormal="100" workbookViewId="0">
      <pane ySplit="1" topLeftCell="A2" activePane="bottomLeft" state="frozen"/>
      <selection pane="bottomLeft" activeCell="F15" sqref="A1:N936"/>
    </sheetView>
  </sheetViews>
  <sheetFormatPr defaultRowHeight="15" x14ac:dyDescent="0.25"/>
  <cols>
    <col min="1" max="1" width="10.140625" customWidth="1"/>
    <col min="2" max="2" width="8.42578125" customWidth="1"/>
    <col min="3" max="4" width="20.42578125" customWidth="1"/>
    <col min="5" max="5" width="29.7109375" customWidth="1"/>
    <col min="6" max="6" width="29.5703125" customWidth="1"/>
    <col min="7" max="7" width="24.42578125" customWidth="1"/>
    <col min="8" max="9" width="11.7109375" customWidth="1"/>
    <col min="10" max="10" width="16" customWidth="1"/>
    <col min="13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11086</v>
      </c>
      <c r="E1" s="1" t="s">
        <v>1060</v>
      </c>
      <c r="F1" s="1" t="s">
        <v>1061</v>
      </c>
      <c r="G1" s="1" t="s">
        <v>1062</v>
      </c>
      <c r="H1" s="1" t="s">
        <v>1065</v>
      </c>
      <c r="I1" s="1" t="s">
        <v>11084</v>
      </c>
      <c r="J1" s="1" t="s">
        <v>11085</v>
      </c>
      <c r="K1" s="1" t="s">
        <v>6</v>
      </c>
      <c r="L1" s="1" t="s">
        <v>11218</v>
      </c>
      <c r="M1" s="1" t="s">
        <v>1063</v>
      </c>
      <c r="N1" s="1" t="s">
        <v>1064</v>
      </c>
    </row>
    <row r="2" spans="1:14" s="1" customFormat="1" x14ac:dyDescent="0.25">
      <c r="A2" s="1" t="s">
        <v>1066</v>
      </c>
      <c r="B2" s="1">
        <v>1</v>
      </c>
      <c r="C2" s="1" t="s">
        <v>1067</v>
      </c>
      <c r="D2" s="1" t="s">
        <v>11087</v>
      </c>
      <c r="E2" s="1" t="s">
        <v>1068</v>
      </c>
      <c r="F2" s="1" t="s">
        <v>1069</v>
      </c>
      <c r="G2" s="1" t="s">
        <v>1070</v>
      </c>
      <c r="H2" s="1">
        <v>21.4</v>
      </c>
      <c r="I2" s="1">
        <v>0</v>
      </c>
      <c r="J2" s="1">
        <v>1</v>
      </c>
      <c r="K2" s="1" t="s">
        <v>1071</v>
      </c>
      <c r="L2" s="1">
        <v>1</v>
      </c>
      <c r="M2" s="1" t="s">
        <v>1069</v>
      </c>
      <c r="N2" s="1" t="s">
        <v>1069</v>
      </c>
    </row>
    <row r="3" spans="1:14" s="1" customFormat="1" x14ac:dyDescent="0.25">
      <c r="A3" s="1" t="s">
        <v>1072</v>
      </c>
      <c r="B3" s="1">
        <v>2</v>
      </c>
      <c r="C3" s="1" t="s">
        <v>1067</v>
      </c>
      <c r="D3" s="1" t="s">
        <v>11087</v>
      </c>
      <c r="E3" s="1" t="s">
        <v>1068</v>
      </c>
      <c r="F3" s="1" t="s">
        <v>1073</v>
      </c>
      <c r="G3" s="1" t="s">
        <v>1070</v>
      </c>
      <c r="H3" s="1">
        <v>21.4</v>
      </c>
      <c r="I3" s="1">
        <v>0</v>
      </c>
      <c r="J3" s="1">
        <v>1</v>
      </c>
      <c r="K3" s="1" t="s">
        <v>1071</v>
      </c>
      <c r="L3" s="1">
        <v>0</v>
      </c>
      <c r="M3" s="1" t="s">
        <v>1073</v>
      </c>
      <c r="N3" s="1" t="s">
        <v>1073</v>
      </c>
    </row>
    <row r="4" spans="1:14" s="1" customFormat="1" x14ac:dyDescent="0.25">
      <c r="A4" s="1" t="s">
        <v>1074</v>
      </c>
      <c r="B4" s="1">
        <v>3</v>
      </c>
      <c r="C4" s="1" t="s">
        <v>1067</v>
      </c>
      <c r="D4" s="1" t="s">
        <v>11087</v>
      </c>
      <c r="E4" s="1" t="s">
        <v>1068</v>
      </c>
      <c r="F4" s="1" t="s">
        <v>1075</v>
      </c>
      <c r="G4" s="1" t="s">
        <v>1076</v>
      </c>
      <c r="H4" s="1">
        <v>21.4</v>
      </c>
      <c r="I4" s="1">
        <v>1</v>
      </c>
      <c r="J4" s="1">
        <v>0</v>
      </c>
      <c r="K4" s="1" t="s">
        <v>1077</v>
      </c>
      <c r="L4" s="1">
        <v>1</v>
      </c>
      <c r="M4" s="1" t="s">
        <v>1075</v>
      </c>
      <c r="N4" s="1" t="s">
        <v>1075</v>
      </c>
    </row>
    <row r="5" spans="1:14" s="1" customFormat="1" x14ac:dyDescent="0.25">
      <c r="A5" s="1" t="s">
        <v>1078</v>
      </c>
      <c r="B5" s="1">
        <v>4</v>
      </c>
      <c r="C5" s="1" t="s">
        <v>1067</v>
      </c>
      <c r="D5" s="1" t="s">
        <v>11087</v>
      </c>
      <c r="E5" s="1" t="s">
        <v>1068</v>
      </c>
      <c r="F5" s="1" t="s">
        <v>1075</v>
      </c>
      <c r="G5" s="1" t="s">
        <v>1076</v>
      </c>
      <c r="H5" s="1">
        <v>21.4</v>
      </c>
      <c r="I5" s="1">
        <v>1</v>
      </c>
      <c r="J5" s="1">
        <v>0</v>
      </c>
      <c r="K5" s="1" t="s">
        <v>1077</v>
      </c>
      <c r="L5" s="1">
        <v>2</v>
      </c>
      <c r="M5" s="1" t="s">
        <v>1075</v>
      </c>
      <c r="N5" s="1" t="s">
        <v>1079</v>
      </c>
    </row>
    <row r="6" spans="1:14" s="1" customFormat="1" x14ac:dyDescent="0.25">
      <c r="A6" s="1" t="s">
        <v>1080</v>
      </c>
      <c r="B6" s="1">
        <v>5</v>
      </c>
      <c r="C6" s="1" t="s">
        <v>1067</v>
      </c>
      <c r="D6" s="1" t="s">
        <v>11087</v>
      </c>
      <c r="E6" s="1" t="s">
        <v>1068</v>
      </c>
      <c r="F6" s="1" t="s">
        <v>1081</v>
      </c>
      <c r="G6" s="1" t="s">
        <v>1082</v>
      </c>
      <c r="H6" s="1">
        <v>11.2</v>
      </c>
      <c r="I6" s="1">
        <v>0</v>
      </c>
      <c r="J6" s="1">
        <v>0</v>
      </c>
      <c r="K6" s="1" t="s">
        <v>1083</v>
      </c>
      <c r="L6" s="1">
        <v>0</v>
      </c>
      <c r="M6" s="1" t="s">
        <v>1081</v>
      </c>
      <c r="N6" s="1" t="s">
        <v>1081</v>
      </c>
    </row>
    <row r="7" spans="1:14" s="1" customFormat="1" x14ac:dyDescent="0.25">
      <c r="A7" s="1" t="s">
        <v>1087</v>
      </c>
      <c r="B7" s="1">
        <v>6</v>
      </c>
      <c r="C7" s="1" t="s">
        <v>1067</v>
      </c>
      <c r="D7" s="1" t="s">
        <v>11087</v>
      </c>
      <c r="E7" s="1" t="s">
        <v>1068</v>
      </c>
      <c r="F7" s="1" t="s">
        <v>1086</v>
      </c>
      <c r="G7" s="1" t="s">
        <v>1085</v>
      </c>
      <c r="H7" s="1">
        <v>41.9</v>
      </c>
      <c r="I7" s="1">
        <v>0</v>
      </c>
      <c r="J7" s="1">
        <v>0</v>
      </c>
      <c r="K7" s="1" t="s">
        <v>1083</v>
      </c>
      <c r="L7" s="1">
        <v>1</v>
      </c>
      <c r="M7" s="1" t="s">
        <v>1086</v>
      </c>
      <c r="N7" s="1" t="s">
        <v>1086</v>
      </c>
    </row>
    <row r="8" spans="1:14" s="1" customFormat="1" x14ac:dyDescent="0.25">
      <c r="A8" s="1" t="s">
        <v>1091</v>
      </c>
      <c r="B8" s="1">
        <v>7</v>
      </c>
      <c r="C8" s="1" t="s">
        <v>1067</v>
      </c>
      <c r="D8" s="1" t="s">
        <v>11087</v>
      </c>
      <c r="E8" s="1" t="s">
        <v>1068</v>
      </c>
      <c r="F8" s="1" t="s">
        <v>248</v>
      </c>
      <c r="G8" s="1" t="s">
        <v>1088</v>
      </c>
      <c r="H8" s="1">
        <v>41.9</v>
      </c>
      <c r="I8" s="1">
        <v>0</v>
      </c>
      <c r="J8" s="1">
        <v>1</v>
      </c>
      <c r="L8" s="1">
        <v>0</v>
      </c>
      <c r="M8" s="1" t="s">
        <v>1089</v>
      </c>
      <c r="N8" s="1" t="s">
        <v>1090</v>
      </c>
    </row>
    <row r="9" spans="1:14" s="1" customFormat="1" x14ac:dyDescent="0.25">
      <c r="A9" s="1" t="s">
        <v>1093</v>
      </c>
      <c r="B9" s="1">
        <v>8</v>
      </c>
      <c r="C9" s="1" t="s">
        <v>1067</v>
      </c>
      <c r="D9" s="1" t="s">
        <v>11087</v>
      </c>
      <c r="E9" s="1" t="s">
        <v>1068</v>
      </c>
      <c r="F9" s="1" t="s">
        <v>248</v>
      </c>
      <c r="G9" s="1" t="s">
        <v>1088</v>
      </c>
      <c r="H9" s="1">
        <v>41.9</v>
      </c>
      <c r="I9" s="1">
        <v>0</v>
      </c>
      <c r="J9" s="1">
        <v>1</v>
      </c>
      <c r="L9" s="1">
        <v>0</v>
      </c>
      <c r="M9" s="1" t="s">
        <v>1089</v>
      </c>
      <c r="N9" s="1" t="s">
        <v>1092</v>
      </c>
    </row>
    <row r="10" spans="1:14" s="1" customFormat="1" x14ac:dyDescent="0.25">
      <c r="A10" s="1" t="s">
        <v>1095</v>
      </c>
      <c r="B10" s="1">
        <v>9</v>
      </c>
      <c r="C10" s="1" t="s">
        <v>1067</v>
      </c>
      <c r="D10" s="1" t="s">
        <v>11087</v>
      </c>
      <c r="E10" s="1" t="s">
        <v>1068</v>
      </c>
      <c r="F10" s="1" t="s">
        <v>248</v>
      </c>
      <c r="G10" s="1" t="s">
        <v>1088</v>
      </c>
      <c r="H10" s="1">
        <v>41.9</v>
      </c>
      <c r="I10" s="1">
        <v>0</v>
      </c>
      <c r="J10" s="1">
        <v>1</v>
      </c>
      <c r="L10" s="1">
        <v>0</v>
      </c>
      <c r="M10" s="1" t="s">
        <v>1089</v>
      </c>
      <c r="N10" s="1" t="s">
        <v>1094</v>
      </c>
    </row>
    <row r="11" spans="1:14" s="1" customFormat="1" x14ac:dyDescent="0.25">
      <c r="A11" s="1" t="s">
        <v>1097</v>
      </c>
      <c r="B11" s="1">
        <v>10</v>
      </c>
      <c r="C11" s="1" t="s">
        <v>1067</v>
      </c>
      <c r="D11" s="1" t="s">
        <v>11087</v>
      </c>
      <c r="E11" s="1" t="s">
        <v>1068</v>
      </c>
      <c r="F11" s="1" t="s">
        <v>248</v>
      </c>
      <c r="G11" s="1" t="s">
        <v>1088</v>
      </c>
      <c r="H11" s="1">
        <v>41.9</v>
      </c>
      <c r="I11" s="1">
        <v>0</v>
      </c>
      <c r="J11" s="1">
        <v>1</v>
      </c>
      <c r="L11" s="1">
        <v>0</v>
      </c>
      <c r="M11" s="1" t="s">
        <v>1089</v>
      </c>
      <c r="N11" s="1" t="s">
        <v>1096</v>
      </c>
    </row>
    <row r="12" spans="1:14" s="1" customFormat="1" x14ac:dyDescent="0.25">
      <c r="A12" s="1" t="s">
        <v>1100</v>
      </c>
      <c r="B12" s="1">
        <v>11</v>
      </c>
      <c r="C12" s="1" t="s">
        <v>1067</v>
      </c>
      <c r="D12" s="1" t="s">
        <v>11087</v>
      </c>
      <c r="E12" s="1" t="s">
        <v>1068</v>
      </c>
      <c r="F12" s="1" t="s">
        <v>248</v>
      </c>
      <c r="G12" s="1" t="s">
        <v>1088</v>
      </c>
      <c r="H12" s="1">
        <v>41.9</v>
      </c>
      <c r="I12" s="1">
        <v>0</v>
      </c>
      <c r="J12" s="1">
        <v>1</v>
      </c>
      <c r="L12" s="1">
        <v>0</v>
      </c>
      <c r="M12" s="1" t="s">
        <v>14110</v>
      </c>
      <c r="N12" s="1" t="s">
        <v>14110</v>
      </c>
    </row>
    <row r="13" spans="1:14" s="1" customFormat="1" x14ac:dyDescent="0.25">
      <c r="A13" s="1" t="s">
        <v>1102</v>
      </c>
      <c r="B13" s="1">
        <v>12</v>
      </c>
      <c r="C13" s="1" t="s">
        <v>1067</v>
      </c>
      <c r="D13" s="1" t="s">
        <v>11087</v>
      </c>
      <c r="E13" s="1" t="s">
        <v>1068</v>
      </c>
      <c r="F13" s="1" t="s">
        <v>248</v>
      </c>
      <c r="G13" s="1" t="s">
        <v>1088</v>
      </c>
      <c r="H13" s="1">
        <v>41.9</v>
      </c>
      <c r="I13" s="1">
        <v>0</v>
      </c>
      <c r="J13" s="1">
        <v>1</v>
      </c>
      <c r="L13" s="1">
        <v>0</v>
      </c>
      <c r="M13" s="1" t="s">
        <v>1098</v>
      </c>
      <c r="N13" s="1" t="s">
        <v>1099</v>
      </c>
    </row>
    <row r="14" spans="1:14" s="1" customFormat="1" x14ac:dyDescent="0.25">
      <c r="A14" s="1" t="s">
        <v>1104</v>
      </c>
      <c r="B14" s="1">
        <v>13</v>
      </c>
      <c r="C14" s="1" t="s">
        <v>1067</v>
      </c>
      <c r="D14" s="1" t="s">
        <v>11087</v>
      </c>
      <c r="E14" s="1" t="s">
        <v>1068</v>
      </c>
      <c r="F14" s="1" t="s">
        <v>248</v>
      </c>
      <c r="G14" s="1" t="s">
        <v>1088</v>
      </c>
      <c r="H14" s="1">
        <v>41.9</v>
      </c>
      <c r="I14" s="1">
        <v>0</v>
      </c>
      <c r="J14" s="1">
        <v>1</v>
      </c>
      <c r="L14" s="1">
        <v>0</v>
      </c>
      <c r="M14" s="1" t="s">
        <v>1098</v>
      </c>
      <c r="N14" s="1" t="s">
        <v>1101</v>
      </c>
    </row>
    <row r="15" spans="1:14" s="1" customFormat="1" x14ac:dyDescent="0.25">
      <c r="A15" s="1" t="s">
        <v>1107</v>
      </c>
      <c r="B15" s="1">
        <v>14</v>
      </c>
      <c r="C15" s="1" t="s">
        <v>1067</v>
      </c>
      <c r="D15" s="1" t="s">
        <v>11087</v>
      </c>
      <c r="E15" s="1" t="s">
        <v>1068</v>
      </c>
      <c r="F15" s="1" t="s">
        <v>248</v>
      </c>
      <c r="G15" s="1" t="s">
        <v>1088</v>
      </c>
      <c r="H15" s="1">
        <v>41.9</v>
      </c>
      <c r="I15" s="1">
        <v>0</v>
      </c>
      <c r="J15" s="1">
        <v>1</v>
      </c>
      <c r="L15" s="1">
        <v>0</v>
      </c>
      <c r="M15" s="1" t="s">
        <v>1098</v>
      </c>
      <c r="N15" s="1" t="s">
        <v>1103</v>
      </c>
    </row>
    <row r="16" spans="1:14" s="1" customFormat="1" x14ac:dyDescent="0.25">
      <c r="A16" s="1" t="s">
        <v>1109</v>
      </c>
      <c r="B16" s="1">
        <v>15</v>
      </c>
      <c r="C16" s="1" t="s">
        <v>1067</v>
      </c>
      <c r="D16" s="1" t="s">
        <v>11087</v>
      </c>
      <c r="E16" s="1" t="s">
        <v>1068</v>
      </c>
      <c r="F16" s="1" t="s">
        <v>248</v>
      </c>
      <c r="G16" s="1" t="s">
        <v>1088</v>
      </c>
      <c r="H16" s="1">
        <v>41.9</v>
      </c>
      <c r="I16" s="1">
        <v>0</v>
      </c>
      <c r="J16" s="1">
        <v>1</v>
      </c>
      <c r="L16" s="1">
        <v>0</v>
      </c>
      <c r="M16" s="1" t="s">
        <v>1105</v>
      </c>
      <c r="N16" s="1" t="s">
        <v>1106</v>
      </c>
    </row>
    <row r="17" spans="1:14" s="1" customFormat="1" x14ac:dyDescent="0.25">
      <c r="A17" s="1" t="s">
        <v>1111</v>
      </c>
      <c r="B17" s="1">
        <v>16</v>
      </c>
      <c r="C17" s="1" t="s">
        <v>1067</v>
      </c>
      <c r="D17" s="1" t="s">
        <v>11087</v>
      </c>
      <c r="E17" s="1" t="s">
        <v>1068</v>
      </c>
      <c r="F17" s="1" t="s">
        <v>248</v>
      </c>
      <c r="G17" s="1" t="s">
        <v>1088</v>
      </c>
      <c r="H17" s="1">
        <v>41.9</v>
      </c>
      <c r="I17" s="1">
        <v>0</v>
      </c>
      <c r="J17" s="1">
        <v>1</v>
      </c>
      <c r="L17" s="1">
        <v>0</v>
      </c>
      <c r="M17" s="1" t="s">
        <v>1105</v>
      </c>
      <c r="N17" s="1" t="s">
        <v>1108</v>
      </c>
    </row>
    <row r="18" spans="1:14" s="1" customFormat="1" x14ac:dyDescent="0.25">
      <c r="A18" s="1" t="s">
        <v>1113</v>
      </c>
      <c r="B18" s="1">
        <v>17</v>
      </c>
      <c r="C18" s="1" t="s">
        <v>1067</v>
      </c>
      <c r="D18" s="1" t="s">
        <v>11087</v>
      </c>
      <c r="E18" s="1" t="s">
        <v>1068</v>
      </c>
      <c r="F18" s="1" t="s">
        <v>248</v>
      </c>
      <c r="G18" s="1" t="s">
        <v>1088</v>
      </c>
      <c r="H18" s="1">
        <v>41.9</v>
      </c>
      <c r="I18" s="1">
        <v>0</v>
      </c>
      <c r="J18" s="1">
        <v>1</v>
      </c>
      <c r="L18" s="1">
        <v>0</v>
      </c>
      <c r="M18" s="1" t="s">
        <v>14134</v>
      </c>
      <c r="N18" s="1" t="s">
        <v>14134</v>
      </c>
    </row>
    <row r="19" spans="1:14" s="1" customFormat="1" x14ac:dyDescent="0.25">
      <c r="A19" s="1" t="s">
        <v>1115</v>
      </c>
      <c r="B19" s="1">
        <v>18</v>
      </c>
      <c r="C19" s="1" t="s">
        <v>1067</v>
      </c>
      <c r="D19" s="1" t="s">
        <v>11087</v>
      </c>
      <c r="E19" s="1" t="s">
        <v>1068</v>
      </c>
      <c r="F19" s="1" t="s">
        <v>248</v>
      </c>
      <c r="G19" s="1" t="s">
        <v>1088</v>
      </c>
      <c r="H19" s="1">
        <v>41.9</v>
      </c>
      <c r="I19" s="1">
        <v>0</v>
      </c>
      <c r="J19" s="1">
        <v>1</v>
      </c>
      <c r="L19" s="1">
        <v>0</v>
      </c>
      <c r="M19" s="1" t="s">
        <v>1105</v>
      </c>
      <c r="N19" s="1" t="s">
        <v>1110</v>
      </c>
    </row>
    <row r="20" spans="1:14" s="1" customFormat="1" x14ac:dyDescent="0.25">
      <c r="A20" s="1" t="s">
        <v>1117</v>
      </c>
      <c r="B20" s="1">
        <v>19</v>
      </c>
      <c r="C20" s="1" t="s">
        <v>1067</v>
      </c>
      <c r="D20" s="1" t="s">
        <v>11087</v>
      </c>
      <c r="E20" s="1" t="s">
        <v>1068</v>
      </c>
      <c r="F20" s="1" t="s">
        <v>248</v>
      </c>
      <c r="G20" s="1" t="s">
        <v>1088</v>
      </c>
      <c r="H20" s="1">
        <v>41.9</v>
      </c>
      <c r="I20" s="1">
        <v>0</v>
      </c>
      <c r="J20" s="1">
        <v>1</v>
      </c>
      <c r="L20" s="1">
        <v>0</v>
      </c>
      <c r="M20" s="1" t="s">
        <v>1105</v>
      </c>
      <c r="N20" s="1" t="s">
        <v>1112</v>
      </c>
    </row>
    <row r="21" spans="1:14" s="1" customFormat="1" x14ac:dyDescent="0.25">
      <c r="A21" s="1" t="s">
        <v>1120</v>
      </c>
      <c r="B21" s="1">
        <v>20</v>
      </c>
      <c r="C21" s="1" t="s">
        <v>1067</v>
      </c>
      <c r="D21" s="1" t="s">
        <v>11087</v>
      </c>
      <c r="E21" s="1" t="s">
        <v>1068</v>
      </c>
      <c r="F21" s="1" t="s">
        <v>248</v>
      </c>
      <c r="G21" s="1" t="s">
        <v>1088</v>
      </c>
      <c r="H21" s="1">
        <v>41.9</v>
      </c>
      <c r="I21" s="1">
        <v>0</v>
      </c>
      <c r="J21" s="1">
        <v>1</v>
      </c>
      <c r="L21" s="1">
        <v>0</v>
      </c>
      <c r="M21" s="1" t="s">
        <v>1105</v>
      </c>
      <c r="N21" s="1" t="s">
        <v>1114</v>
      </c>
    </row>
    <row r="22" spans="1:14" s="1" customFormat="1" x14ac:dyDescent="0.25">
      <c r="A22" s="1" t="s">
        <v>1122</v>
      </c>
      <c r="B22" s="1">
        <v>21</v>
      </c>
      <c r="C22" s="1" t="s">
        <v>1067</v>
      </c>
      <c r="D22" s="1" t="s">
        <v>11087</v>
      </c>
      <c r="E22" s="1" t="s">
        <v>1068</v>
      </c>
      <c r="F22" s="1" t="s">
        <v>248</v>
      </c>
      <c r="G22" s="1" t="s">
        <v>1088</v>
      </c>
      <c r="H22" s="1">
        <v>41.9</v>
      </c>
      <c r="I22" s="1">
        <v>0</v>
      </c>
      <c r="J22" s="1">
        <v>1</v>
      </c>
      <c r="L22" s="1">
        <v>0</v>
      </c>
      <c r="M22" s="1" t="s">
        <v>1105</v>
      </c>
      <c r="N22" s="1" t="s">
        <v>1116</v>
      </c>
    </row>
    <row r="23" spans="1:14" s="1" customFormat="1" x14ac:dyDescent="0.25">
      <c r="A23" s="1" t="s">
        <v>1124</v>
      </c>
      <c r="B23" s="1">
        <v>22</v>
      </c>
      <c r="C23" s="1" t="s">
        <v>1067</v>
      </c>
      <c r="D23" s="1" t="s">
        <v>11087</v>
      </c>
      <c r="E23" s="1" t="s">
        <v>1068</v>
      </c>
      <c r="F23" s="1" t="s">
        <v>408</v>
      </c>
      <c r="G23" s="1" t="s">
        <v>1085</v>
      </c>
      <c r="H23" s="1">
        <v>41.9</v>
      </c>
      <c r="I23" s="1">
        <v>0</v>
      </c>
      <c r="J23" s="1">
        <v>1</v>
      </c>
      <c r="L23" s="1">
        <v>0</v>
      </c>
      <c r="M23" s="1" t="s">
        <v>1118</v>
      </c>
      <c r="N23" s="1" t="s">
        <v>1119</v>
      </c>
    </row>
    <row r="24" spans="1:14" s="1" customFormat="1" x14ac:dyDescent="0.25">
      <c r="A24" s="1" t="s">
        <v>1126</v>
      </c>
      <c r="B24" s="1">
        <v>23</v>
      </c>
      <c r="C24" s="1" t="s">
        <v>1067</v>
      </c>
      <c r="D24" s="1" t="s">
        <v>11087</v>
      </c>
      <c r="E24" s="1" t="s">
        <v>1068</v>
      </c>
      <c r="F24" s="1" t="s">
        <v>408</v>
      </c>
      <c r="G24" s="1" t="s">
        <v>1085</v>
      </c>
      <c r="H24" s="1">
        <v>41.9</v>
      </c>
      <c r="I24" s="1">
        <v>0</v>
      </c>
      <c r="J24" s="1">
        <v>1</v>
      </c>
      <c r="L24" s="1">
        <v>0</v>
      </c>
      <c r="M24" s="1" t="s">
        <v>1118</v>
      </c>
      <c r="N24" s="1" t="s">
        <v>1121</v>
      </c>
    </row>
    <row r="25" spans="1:14" s="1" customFormat="1" x14ac:dyDescent="0.25">
      <c r="A25" s="1" t="s">
        <v>1128</v>
      </c>
      <c r="B25" s="1">
        <v>24</v>
      </c>
      <c r="C25" s="1" t="s">
        <v>1067</v>
      </c>
      <c r="D25" s="1" t="s">
        <v>11087</v>
      </c>
      <c r="E25" s="1" t="s">
        <v>1068</v>
      </c>
      <c r="F25" s="1" t="s">
        <v>408</v>
      </c>
      <c r="G25" s="1" t="s">
        <v>1085</v>
      </c>
      <c r="H25" s="1">
        <v>41.9</v>
      </c>
      <c r="I25" s="1">
        <v>0</v>
      </c>
      <c r="J25" s="1">
        <v>1</v>
      </c>
      <c r="L25" s="1">
        <v>0</v>
      </c>
      <c r="M25" s="1" t="s">
        <v>1118</v>
      </c>
      <c r="N25" s="1" t="s">
        <v>1123</v>
      </c>
    </row>
    <row r="26" spans="1:14" s="1" customFormat="1" x14ac:dyDescent="0.25">
      <c r="A26" s="1" t="s">
        <v>1131</v>
      </c>
      <c r="B26" s="1">
        <v>25</v>
      </c>
      <c r="C26" s="1" t="s">
        <v>1067</v>
      </c>
      <c r="D26" s="1" t="s">
        <v>11087</v>
      </c>
      <c r="E26" s="1" t="s">
        <v>1068</v>
      </c>
      <c r="F26" s="1" t="s">
        <v>408</v>
      </c>
      <c r="G26" s="1" t="s">
        <v>1085</v>
      </c>
      <c r="H26" s="1">
        <v>41.9</v>
      </c>
      <c r="I26" s="1">
        <v>0</v>
      </c>
      <c r="J26" s="1">
        <v>1</v>
      </c>
      <c r="L26" s="1">
        <v>0</v>
      </c>
      <c r="M26" s="1" t="s">
        <v>1118</v>
      </c>
      <c r="N26" s="1" t="s">
        <v>1125</v>
      </c>
    </row>
    <row r="27" spans="1:14" s="1" customFormat="1" x14ac:dyDescent="0.25">
      <c r="A27" s="1" t="s">
        <v>1133</v>
      </c>
      <c r="B27" s="1">
        <v>26</v>
      </c>
      <c r="C27" s="1" t="s">
        <v>1067</v>
      </c>
      <c r="D27" s="1" t="s">
        <v>11087</v>
      </c>
      <c r="E27" s="1" t="s">
        <v>1068</v>
      </c>
      <c r="F27" s="1" t="s">
        <v>408</v>
      </c>
      <c r="G27" s="1" t="s">
        <v>1085</v>
      </c>
      <c r="H27" s="1">
        <v>41.9</v>
      </c>
      <c r="I27" s="1">
        <v>0</v>
      </c>
      <c r="J27" s="1">
        <v>1</v>
      </c>
      <c r="L27" s="1">
        <v>0</v>
      </c>
      <c r="M27" s="1" t="s">
        <v>1118</v>
      </c>
      <c r="N27" s="1" t="s">
        <v>1127</v>
      </c>
    </row>
    <row r="28" spans="1:14" s="1" customFormat="1" x14ac:dyDescent="0.25">
      <c r="A28" s="1" t="s">
        <v>1136</v>
      </c>
      <c r="B28" s="1">
        <v>27</v>
      </c>
      <c r="C28" s="1" t="s">
        <v>1067</v>
      </c>
      <c r="D28" s="1" t="s">
        <v>11087</v>
      </c>
      <c r="E28" s="1" t="s">
        <v>1068</v>
      </c>
      <c r="F28" s="1" t="s">
        <v>408</v>
      </c>
      <c r="G28" s="1" t="s">
        <v>1085</v>
      </c>
      <c r="H28" s="1">
        <v>41.9</v>
      </c>
      <c r="I28" s="1">
        <v>0</v>
      </c>
      <c r="J28" s="1">
        <v>1</v>
      </c>
      <c r="L28" s="1">
        <v>0</v>
      </c>
      <c r="M28" s="1" t="s">
        <v>1129</v>
      </c>
      <c r="N28" s="1" t="s">
        <v>1130</v>
      </c>
    </row>
    <row r="29" spans="1:14" s="1" customFormat="1" x14ac:dyDescent="0.25">
      <c r="A29" s="1" t="s">
        <v>1138</v>
      </c>
      <c r="B29" s="1">
        <v>28</v>
      </c>
      <c r="C29" s="1" t="s">
        <v>1067</v>
      </c>
      <c r="D29" s="1" t="s">
        <v>11087</v>
      </c>
      <c r="E29" s="1" t="s">
        <v>1068</v>
      </c>
      <c r="F29" s="1" t="s">
        <v>408</v>
      </c>
      <c r="G29" s="1" t="s">
        <v>1085</v>
      </c>
      <c r="H29" s="1">
        <v>41.9</v>
      </c>
      <c r="I29" s="1">
        <v>0</v>
      </c>
      <c r="J29" s="1">
        <v>1</v>
      </c>
      <c r="L29" s="1">
        <v>0</v>
      </c>
      <c r="M29" s="1" t="s">
        <v>1129</v>
      </c>
      <c r="N29" s="1" t="s">
        <v>1132</v>
      </c>
    </row>
    <row r="30" spans="1:14" s="1" customFormat="1" x14ac:dyDescent="0.25">
      <c r="A30" s="1" t="s">
        <v>1140</v>
      </c>
      <c r="B30" s="1">
        <v>29</v>
      </c>
      <c r="C30" s="1" t="s">
        <v>1067</v>
      </c>
      <c r="D30" s="1" t="s">
        <v>11087</v>
      </c>
      <c r="E30" s="1" t="s">
        <v>1068</v>
      </c>
      <c r="F30" s="1" t="s">
        <v>408</v>
      </c>
      <c r="G30" s="1" t="s">
        <v>1085</v>
      </c>
      <c r="H30" s="1">
        <v>41.9</v>
      </c>
      <c r="I30" s="1">
        <v>0</v>
      </c>
      <c r="J30" s="1">
        <v>1</v>
      </c>
      <c r="L30" s="1">
        <v>0</v>
      </c>
      <c r="M30" s="1" t="s">
        <v>1134</v>
      </c>
      <c r="N30" s="1" t="s">
        <v>1135</v>
      </c>
    </row>
    <row r="31" spans="1:14" s="1" customFormat="1" x14ac:dyDescent="0.25">
      <c r="A31" s="1" t="s">
        <v>1142</v>
      </c>
      <c r="B31" s="1">
        <v>30</v>
      </c>
      <c r="C31" s="1" t="s">
        <v>1067</v>
      </c>
      <c r="D31" s="1" t="s">
        <v>11087</v>
      </c>
      <c r="E31" s="1" t="s">
        <v>1068</v>
      </c>
      <c r="F31" s="1" t="s">
        <v>408</v>
      </c>
      <c r="G31" s="1" t="s">
        <v>1085</v>
      </c>
      <c r="H31" s="1">
        <v>41.9</v>
      </c>
      <c r="I31" s="1">
        <v>0</v>
      </c>
      <c r="J31" s="1">
        <v>1</v>
      </c>
      <c r="L31" s="1">
        <v>0</v>
      </c>
      <c r="M31" s="1" t="s">
        <v>1134</v>
      </c>
      <c r="N31" s="1" t="s">
        <v>1137</v>
      </c>
    </row>
    <row r="32" spans="1:14" s="1" customFormat="1" x14ac:dyDescent="0.25">
      <c r="A32" s="1" t="s">
        <v>1146</v>
      </c>
      <c r="B32" s="1">
        <v>31</v>
      </c>
      <c r="C32" s="1" t="s">
        <v>1067</v>
      </c>
      <c r="D32" s="1" t="s">
        <v>11087</v>
      </c>
      <c r="E32" s="1" t="s">
        <v>1068</v>
      </c>
      <c r="F32" s="1" t="s">
        <v>408</v>
      </c>
      <c r="G32" s="1" t="s">
        <v>1085</v>
      </c>
      <c r="H32" s="1">
        <v>41.9</v>
      </c>
      <c r="I32" s="1">
        <v>0</v>
      </c>
      <c r="J32" s="1">
        <v>1</v>
      </c>
      <c r="L32" s="1">
        <v>0</v>
      </c>
      <c r="M32" s="1" t="s">
        <v>1134</v>
      </c>
      <c r="N32" s="1" t="s">
        <v>1139</v>
      </c>
    </row>
    <row r="33" spans="1:14" s="1" customFormat="1" x14ac:dyDescent="0.25">
      <c r="A33" s="1" t="s">
        <v>1148</v>
      </c>
      <c r="B33" s="1">
        <v>32</v>
      </c>
      <c r="C33" s="1" t="s">
        <v>1067</v>
      </c>
      <c r="D33" s="1" t="s">
        <v>11087</v>
      </c>
      <c r="E33" s="1" t="s">
        <v>1068</v>
      </c>
      <c r="F33" s="1" t="s">
        <v>408</v>
      </c>
      <c r="G33" s="1" t="s">
        <v>1085</v>
      </c>
      <c r="H33" s="1">
        <v>41.9</v>
      </c>
      <c r="I33" s="1">
        <v>0</v>
      </c>
      <c r="J33" s="1">
        <v>1</v>
      </c>
      <c r="L33" s="1">
        <v>0</v>
      </c>
      <c r="M33" s="1" t="s">
        <v>1134</v>
      </c>
      <c r="N33" s="1" t="s">
        <v>1141</v>
      </c>
    </row>
    <row r="34" spans="1:14" s="1" customFormat="1" x14ac:dyDescent="0.25">
      <c r="A34" s="1" t="s">
        <v>1150</v>
      </c>
      <c r="B34" s="1">
        <v>33</v>
      </c>
      <c r="C34" s="1" t="s">
        <v>1067</v>
      </c>
      <c r="D34" s="1" t="s">
        <v>11087</v>
      </c>
      <c r="E34" s="1" t="s">
        <v>1068</v>
      </c>
      <c r="F34" s="1" t="s">
        <v>475</v>
      </c>
      <c r="G34" s="1" t="s">
        <v>1143</v>
      </c>
      <c r="H34" s="1">
        <v>41.9</v>
      </c>
      <c r="I34" s="1">
        <v>0</v>
      </c>
      <c r="J34" s="1">
        <v>1</v>
      </c>
      <c r="L34" s="1">
        <v>0</v>
      </c>
      <c r="M34" s="1" t="s">
        <v>1144</v>
      </c>
      <c r="N34" s="1" t="s">
        <v>1145</v>
      </c>
    </row>
    <row r="35" spans="1:14" s="1" customFormat="1" x14ac:dyDescent="0.25">
      <c r="A35" s="1" t="s">
        <v>1152</v>
      </c>
      <c r="B35" s="1">
        <v>34</v>
      </c>
      <c r="C35" s="1" t="s">
        <v>1067</v>
      </c>
      <c r="D35" s="1" t="s">
        <v>11087</v>
      </c>
      <c r="E35" s="1" t="s">
        <v>1068</v>
      </c>
      <c r="F35" s="1" t="s">
        <v>475</v>
      </c>
      <c r="G35" s="1" t="s">
        <v>1143</v>
      </c>
      <c r="H35" s="1">
        <v>41.9</v>
      </c>
      <c r="I35" s="1">
        <v>0</v>
      </c>
      <c r="J35" s="1">
        <v>1</v>
      </c>
      <c r="L35" s="1">
        <v>0</v>
      </c>
      <c r="M35" s="1" t="s">
        <v>1144</v>
      </c>
      <c r="N35" s="1" t="s">
        <v>1147</v>
      </c>
    </row>
    <row r="36" spans="1:14" s="1" customFormat="1" x14ac:dyDescent="0.25">
      <c r="A36" s="1" t="s">
        <v>1155</v>
      </c>
      <c r="B36" s="1">
        <v>35</v>
      </c>
      <c r="C36" s="1" t="s">
        <v>1067</v>
      </c>
      <c r="D36" s="1" t="s">
        <v>11087</v>
      </c>
      <c r="E36" s="1" t="s">
        <v>1068</v>
      </c>
      <c r="F36" s="1" t="s">
        <v>475</v>
      </c>
      <c r="G36" s="1" t="s">
        <v>1143</v>
      </c>
      <c r="H36" s="1">
        <v>41.9</v>
      </c>
      <c r="I36" s="1">
        <v>0</v>
      </c>
      <c r="J36" s="1">
        <v>1</v>
      </c>
      <c r="L36" s="1">
        <v>0</v>
      </c>
      <c r="M36" s="1" t="s">
        <v>1144</v>
      </c>
      <c r="N36" s="1" t="s">
        <v>1149</v>
      </c>
    </row>
    <row r="37" spans="1:14" s="1" customFormat="1" x14ac:dyDescent="0.25">
      <c r="A37" s="1" t="s">
        <v>1157</v>
      </c>
      <c r="B37" s="1">
        <v>36</v>
      </c>
      <c r="C37" s="1" t="s">
        <v>1067</v>
      </c>
      <c r="D37" s="1" t="s">
        <v>11087</v>
      </c>
      <c r="E37" s="1" t="s">
        <v>1068</v>
      </c>
      <c r="F37" s="1" t="s">
        <v>475</v>
      </c>
      <c r="G37" s="1" t="s">
        <v>1143</v>
      </c>
      <c r="H37" s="1">
        <v>41.9</v>
      </c>
      <c r="I37" s="1">
        <v>0</v>
      </c>
      <c r="J37" s="1">
        <v>1</v>
      </c>
      <c r="L37" s="1">
        <v>0</v>
      </c>
      <c r="M37" s="1" t="s">
        <v>1144</v>
      </c>
      <c r="N37" s="1" t="s">
        <v>1151</v>
      </c>
    </row>
    <row r="38" spans="1:14" s="1" customFormat="1" x14ac:dyDescent="0.25">
      <c r="A38" s="1" t="s">
        <v>1158</v>
      </c>
      <c r="B38" s="1">
        <v>37</v>
      </c>
      <c r="C38" s="1" t="s">
        <v>1067</v>
      </c>
      <c r="D38" s="1" t="s">
        <v>11087</v>
      </c>
      <c r="E38" s="1" t="s">
        <v>1068</v>
      </c>
      <c r="F38" s="1" t="s">
        <v>475</v>
      </c>
      <c r="G38" s="1" t="s">
        <v>1143</v>
      </c>
      <c r="H38" s="1">
        <v>41.9</v>
      </c>
      <c r="I38" s="1">
        <v>0</v>
      </c>
      <c r="J38" s="1">
        <v>1</v>
      </c>
      <c r="L38" s="1">
        <v>0</v>
      </c>
      <c r="M38" s="1" t="s">
        <v>14250</v>
      </c>
      <c r="N38" s="1" t="s">
        <v>14250</v>
      </c>
    </row>
    <row r="39" spans="1:14" s="1" customFormat="1" x14ac:dyDescent="0.25">
      <c r="A39" s="1" t="s">
        <v>1161</v>
      </c>
      <c r="B39" s="1">
        <v>38</v>
      </c>
      <c r="C39" s="1" t="s">
        <v>1067</v>
      </c>
      <c r="D39" s="1" t="s">
        <v>11087</v>
      </c>
      <c r="E39" s="1" t="s">
        <v>1068</v>
      </c>
      <c r="F39" s="1" t="s">
        <v>475</v>
      </c>
      <c r="G39" s="1" t="s">
        <v>1143</v>
      </c>
      <c r="H39" s="1">
        <v>41.9</v>
      </c>
      <c r="I39" s="1">
        <v>0</v>
      </c>
      <c r="J39" s="1">
        <v>1</v>
      </c>
      <c r="L39" s="1">
        <v>0</v>
      </c>
      <c r="M39" s="1" t="s">
        <v>1153</v>
      </c>
      <c r="N39" s="1" t="s">
        <v>1154</v>
      </c>
    </row>
    <row r="40" spans="1:14" s="1" customFormat="1" x14ac:dyDescent="0.25">
      <c r="A40" s="1" t="s">
        <v>1165</v>
      </c>
      <c r="B40" s="1">
        <v>39</v>
      </c>
      <c r="C40" s="1" t="s">
        <v>1067</v>
      </c>
      <c r="D40" s="1" t="s">
        <v>11087</v>
      </c>
      <c r="E40" s="1" t="s">
        <v>1068</v>
      </c>
      <c r="F40" s="1" t="s">
        <v>475</v>
      </c>
      <c r="G40" s="1" t="s">
        <v>1143</v>
      </c>
      <c r="H40" s="1">
        <v>41.9</v>
      </c>
      <c r="I40" s="1">
        <v>0</v>
      </c>
      <c r="J40" s="1">
        <v>1</v>
      </c>
      <c r="L40" s="1">
        <v>0</v>
      </c>
      <c r="M40" s="1" t="s">
        <v>1153</v>
      </c>
      <c r="N40" s="1" t="s">
        <v>1156</v>
      </c>
    </row>
    <row r="41" spans="1:14" s="1" customFormat="1" x14ac:dyDescent="0.25">
      <c r="A41" s="1" t="s">
        <v>1167</v>
      </c>
      <c r="B41" s="1">
        <v>40</v>
      </c>
      <c r="C41" s="1" t="s">
        <v>1067</v>
      </c>
      <c r="D41" s="1" t="s">
        <v>11087</v>
      </c>
      <c r="E41" s="1" t="s">
        <v>1068</v>
      </c>
      <c r="F41" s="1" t="s">
        <v>475</v>
      </c>
      <c r="G41" s="1" t="s">
        <v>1143</v>
      </c>
      <c r="H41" s="1">
        <v>41.9</v>
      </c>
      <c r="I41" s="1">
        <v>0</v>
      </c>
      <c r="J41" s="1">
        <v>1</v>
      </c>
      <c r="L41" s="1">
        <v>0</v>
      </c>
      <c r="M41" s="1" t="s">
        <v>1153</v>
      </c>
      <c r="N41" s="1" t="s">
        <v>632</v>
      </c>
    </row>
    <row r="42" spans="1:14" s="1" customFormat="1" x14ac:dyDescent="0.25">
      <c r="A42" s="1" t="s">
        <v>1170</v>
      </c>
      <c r="B42" s="1">
        <v>41</v>
      </c>
      <c r="C42" s="1" t="s">
        <v>1067</v>
      </c>
      <c r="D42" s="1" t="s">
        <v>11087</v>
      </c>
      <c r="E42" s="1" t="s">
        <v>1068</v>
      </c>
      <c r="F42" s="1" t="s">
        <v>475</v>
      </c>
      <c r="G42" s="1" t="s">
        <v>1143</v>
      </c>
      <c r="H42" s="1">
        <v>41.9</v>
      </c>
      <c r="I42" s="1">
        <v>0</v>
      </c>
      <c r="J42" s="1">
        <v>1</v>
      </c>
      <c r="L42" s="1">
        <v>0</v>
      </c>
      <c r="M42" s="1" t="s">
        <v>1159</v>
      </c>
      <c r="N42" s="1" t="s">
        <v>1160</v>
      </c>
    </row>
    <row r="43" spans="1:14" s="1" customFormat="1" x14ac:dyDescent="0.25">
      <c r="A43" s="1" t="s">
        <v>1172</v>
      </c>
      <c r="B43" s="1">
        <v>42</v>
      </c>
      <c r="C43" s="1" t="s">
        <v>1067</v>
      </c>
      <c r="D43" s="1" t="s">
        <v>11087</v>
      </c>
      <c r="E43" s="1" t="s">
        <v>1068</v>
      </c>
      <c r="F43" s="1" t="s">
        <v>475</v>
      </c>
      <c r="G43" s="1" t="s">
        <v>1143</v>
      </c>
      <c r="H43" s="1">
        <v>41.9</v>
      </c>
      <c r="I43" s="1">
        <v>0</v>
      </c>
      <c r="J43" s="1">
        <v>1</v>
      </c>
      <c r="L43" s="1">
        <v>0</v>
      </c>
      <c r="M43" s="1" t="s">
        <v>3378</v>
      </c>
      <c r="N43" s="1" t="s">
        <v>3378</v>
      </c>
    </row>
    <row r="44" spans="1:14" s="1" customFormat="1" x14ac:dyDescent="0.25">
      <c r="A44" s="1" t="s">
        <v>1174</v>
      </c>
      <c r="B44" s="1">
        <v>43</v>
      </c>
      <c r="C44" s="1" t="s">
        <v>1067</v>
      </c>
      <c r="D44" s="1" t="s">
        <v>11087</v>
      </c>
      <c r="E44" s="1" t="s">
        <v>1068</v>
      </c>
      <c r="F44" s="1" t="s">
        <v>475</v>
      </c>
      <c r="G44" s="1" t="s">
        <v>1143</v>
      </c>
      <c r="H44" s="1">
        <v>41.9</v>
      </c>
      <c r="I44" s="1">
        <v>0</v>
      </c>
      <c r="J44" s="1">
        <v>1</v>
      </c>
      <c r="L44" s="1">
        <v>0</v>
      </c>
      <c r="M44" s="1" t="s">
        <v>14261</v>
      </c>
      <c r="N44" s="1" t="s">
        <v>14261</v>
      </c>
    </row>
    <row r="45" spans="1:14" s="1" customFormat="1" x14ac:dyDescent="0.25">
      <c r="A45" s="1" t="s">
        <v>1176</v>
      </c>
      <c r="B45" s="1">
        <v>44</v>
      </c>
      <c r="C45" s="1" t="s">
        <v>1067</v>
      </c>
      <c r="D45" s="1" t="s">
        <v>11087</v>
      </c>
      <c r="E45" s="1" t="s">
        <v>1068</v>
      </c>
      <c r="F45" s="1" t="s">
        <v>475</v>
      </c>
      <c r="G45" s="1" t="s">
        <v>1143</v>
      </c>
      <c r="H45" s="1">
        <v>41.9</v>
      </c>
      <c r="I45" s="1">
        <v>0</v>
      </c>
      <c r="J45" s="1">
        <v>1</v>
      </c>
      <c r="L45" s="1">
        <v>0</v>
      </c>
      <c r="M45" s="1" t="s">
        <v>14272</v>
      </c>
      <c r="N45" s="1" t="s">
        <v>14272</v>
      </c>
    </row>
    <row r="46" spans="1:14" s="1" customFormat="1" x14ac:dyDescent="0.25">
      <c r="A46" s="1" t="s">
        <v>1179</v>
      </c>
      <c r="B46" s="1">
        <v>45</v>
      </c>
      <c r="C46" s="1" t="s">
        <v>1067</v>
      </c>
      <c r="D46" s="1" t="s">
        <v>11087</v>
      </c>
      <c r="E46" s="1" t="s">
        <v>1068</v>
      </c>
      <c r="F46" s="1" t="s">
        <v>475</v>
      </c>
      <c r="G46" s="1" t="s">
        <v>1143</v>
      </c>
      <c r="H46" s="1">
        <v>41.9</v>
      </c>
      <c r="I46" s="1">
        <v>0</v>
      </c>
      <c r="J46" s="1">
        <v>1</v>
      </c>
      <c r="L46" s="1">
        <v>0</v>
      </c>
      <c r="M46" s="1" t="s">
        <v>14284</v>
      </c>
      <c r="N46" s="1" t="s">
        <v>14284</v>
      </c>
    </row>
    <row r="47" spans="1:14" s="1" customFormat="1" x14ac:dyDescent="0.25">
      <c r="A47" s="1" t="s">
        <v>1181</v>
      </c>
      <c r="B47" s="1">
        <v>46</v>
      </c>
      <c r="C47" s="1" t="s">
        <v>1067</v>
      </c>
      <c r="D47" s="1" t="s">
        <v>11087</v>
      </c>
      <c r="E47" s="1" t="s">
        <v>1068</v>
      </c>
      <c r="F47" s="1" t="s">
        <v>475</v>
      </c>
      <c r="G47" s="1" t="s">
        <v>1143</v>
      </c>
      <c r="H47" s="1">
        <v>41.9</v>
      </c>
      <c r="I47" s="1">
        <v>0</v>
      </c>
      <c r="J47" s="1">
        <v>1</v>
      </c>
      <c r="L47" s="1">
        <v>0</v>
      </c>
      <c r="M47" s="1" t="s">
        <v>14304</v>
      </c>
      <c r="N47" s="1" t="s">
        <v>14304</v>
      </c>
    </row>
    <row r="48" spans="1:14" s="1" customFormat="1" x14ac:dyDescent="0.25">
      <c r="A48" s="1" t="s">
        <v>1184</v>
      </c>
      <c r="B48" s="1">
        <v>47</v>
      </c>
      <c r="C48" s="1" t="s">
        <v>1067</v>
      </c>
      <c r="D48" s="1" t="s">
        <v>11087</v>
      </c>
      <c r="E48" s="1" t="s">
        <v>1068</v>
      </c>
      <c r="F48" s="1" t="s">
        <v>475</v>
      </c>
      <c r="G48" s="1" t="s">
        <v>1143</v>
      </c>
      <c r="H48" s="1">
        <v>41.9</v>
      </c>
      <c r="I48" s="1">
        <v>0</v>
      </c>
      <c r="J48" s="1">
        <v>1</v>
      </c>
      <c r="L48" s="1">
        <v>0</v>
      </c>
      <c r="M48" s="1" t="s">
        <v>14324</v>
      </c>
      <c r="N48" s="1" t="s">
        <v>14324</v>
      </c>
    </row>
    <row r="49" spans="1:14" s="1" customFormat="1" x14ac:dyDescent="0.25">
      <c r="A49" s="1" t="s">
        <v>1186</v>
      </c>
      <c r="B49" s="1">
        <v>48</v>
      </c>
      <c r="C49" s="1" t="s">
        <v>1067</v>
      </c>
      <c r="D49" s="1" t="s">
        <v>11089</v>
      </c>
      <c r="E49" s="1" t="s">
        <v>1347</v>
      </c>
      <c r="F49" s="1" t="s">
        <v>398</v>
      </c>
      <c r="G49" s="1" t="s">
        <v>1434</v>
      </c>
      <c r="H49" s="1">
        <v>41.9</v>
      </c>
      <c r="I49" s="1">
        <v>0</v>
      </c>
      <c r="J49" s="1">
        <v>1</v>
      </c>
      <c r="L49" s="1">
        <v>0</v>
      </c>
      <c r="M49" s="1" t="s">
        <v>14829</v>
      </c>
      <c r="N49" s="1" t="s">
        <v>14829</v>
      </c>
    </row>
    <row r="50" spans="1:14" s="1" customFormat="1" x14ac:dyDescent="0.25">
      <c r="A50" s="1" t="s">
        <v>1188</v>
      </c>
      <c r="B50" s="1">
        <v>49</v>
      </c>
      <c r="C50" s="1" t="s">
        <v>1067</v>
      </c>
      <c r="D50" s="1" t="s">
        <v>11089</v>
      </c>
      <c r="E50" s="1" t="s">
        <v>1347</v>
      </c>
      <c r="F50" s="1" t="s">
        <v>398</v>
      </c>
      <c r="G50" s="1" t="s">
        <v>1434</v>
      </c>
      <c r="H50" s="1">
        <v>41.9</v>
      </c>
      <c r="I50" s="1">
        <v>0</v>
      </c>
      <c r="J50" s="1">
        <v>1</v>
      </c>
      <c r="L50" s="1">
        <v>0</v>
      </c>
      <c r="M50" s="1" t="s">
        <v>14837</v>
      </c>
      <c r="N50" s="1" t="s">
        <v>14837</v>
      </c>
    </row>
    <row r="51" spans="1:14" s="1" customFormat="1" x14ac:dyDescent="0.25">
      <c r="A51" s="1" t="s">
        <v>1191</v>
      </c>
      <c r="B51" s="1">
        <v>50</v>
      </c>
      <c r="C51" s="1" t="s">
        <v>1067</v>
      </c>
      <c r="D51" s="1" t="s">
        <v>11087</v>
      </c>
      <c r="E51" s="1" t="s">
        <v>1068</v>
      </c>
      <c r="F51" s="1" t="s">
        <v>412</v>
      </c>
      <c r="G51" s="1" t="s">
        <v>1162</v>
      </c>
      <c r="H51" s="1">
        <v>41.9</v>
      </c>
      <c r="I51" s="1">
        <v>0</v>
      </c>
      <c r="J51" s="1">
        <v>1</v>
      </c>
      <c r="L51" s="1">
        <v>0</v>
      </c>
      <c r="M51" s="1" t="s">
        <v>1163</v>
      </c>
      <c r="N51" s="1" t="s">
        <v>1164</v>
      </c>
    </row>
    <row r="52" spans="1:14" s="1" customFormat="1" x14ac:dyDescent="0.25">
      <c r="A52" s="1" t="s">
        <v>1193</v>
      </c>
      <c r="B52" s="1">
        <v>51</v>
      </c>
      <c r="C52" s="1" t="s">
        <v>1067</v>
      </c>
      <c r="D52" s="1" t="s">
        <v>11087</v>
      </c>
      <c r="E52" s="1" t="s">
        <v>1068</v>
      </c>
      <c r="F52" s="1" t="s">
        <v>412</v>
      </c>
      <c r="G52" s="1" t="s">
        <v>1162</v>
      </c>
      <c r="H52" s="1">
        <v>41.9</v>
      </c>
      <c r="I52" s="1">
        <v>0</v>
      </c>
      <c r="J52" s="1">
        <v>1</v>
      </c>
      <c r="L52" s="1">
        <v>0</v>
      </c>
      <c r="M52" s="1" t="s">
        <v>1163</v>
      </c>
      <c r="N52" s="1" t="s">
        <v>1166</v>
      </c>
    </row>
    <row r="53" spans="1:14" s="1" customFormat="1" x14ac:dyDescent="0.25">
      <c r="A53" s="1" t="s">
        <v>1197</v>
      </c>
      <c r="B53" s="1">
        <v>52</v>
      </c>
      <c r="C53" s="1" t="s">
        <v>1067</v>
      </c>
      <c r="D53" s="1" t="s">
        <v>11087</v>
      </c>
      <c r="E53" s="1" t="s">
        <v>1068</v>
      </c>
      <c r="F53" s="1" t="s">
        <v>412</v>
      </c>
      <c r="G53" s="1" t="s">
        <v>1162</v>
      </c>
      <c r="H53" s="1">
        <v>41.9</v>
      </c>
      <c r="I53" s="1">
        <v>0</v>
      </c>
      <c r="J53" s="1">
        <v>1</v>
      </c>
      <c r="L53" s="1">
        <v>0</v>
      </c>
      <c r="M53" s="1" t="s">
        <v>1168</v>
      </c>
      <c r="N53" s="1" t="s">
        <v>1169</v>
      </c>
    </row>
    <row r="54" spans="1:14" s="1" customFormat="1" x14ac:dyDescent="0.25">
      <c r="A54" s="1" t="s">
        <v>1198</v>
      </c>
      <c r="B54" s="1">
        <v>53</v>
      </c>
      <c r="C54" s="1" t="s">
        <v>1067</v>
      </c>
      <c r="D54" s="1" t="s">
        <v>11087</v>
      </c>
      <c r="E54" s="1" t="s">
        <v>1068</v>
      </c>
      <c r="F54" s="1" t="s">
        <v>412</v>
      </c>
      <c r="G54" s="1" t="s">
        <v>1162</v>
      </c>
      <c r="H54" s="1">
        <v>41.9</v>
      </c>
      <c r="I54" s="1">
        <v>0</v>
      </c>
      <c r="J54" s="1">
        <v>1</v>
      </c>
      <c r="L54" s="1">
        <v>0</v>
      </c>
      <c r="M54" s="1" t="s">
        <v>1168</v>
      </c>
      <c r="N54" s="1" t="s">
        <v>1171</v>
      </c>
    </row>
    <row r="55" spans="1:14" s="1" customFormat="1" x14ac:dyDescent="0.25">
      <c r="A55" s="1" t="s">
        <v>1200</v>
      </c>
      <c r="B55" s="1">
        <v>54</v>
      </c>
      <c r="C55" s="1" t="s">
        <v>1067</v>
      </c>
      <c r="D55" s="1" t="s">
        <v>11087</v>
      </c>
      <c r="E55" s="1" t="s">
        <v>1068</v>
      </c>
      <c r="F55" s="1" t="s">
        <v>412</v>
      </c>
      <c r="G55" s="1" t="s">
        <v>1162</v>
      </c>
      <c r="H55" s="1">
        <v>41.9</v>
      </c>
      <c r="I55" s="1">
        <v>0</v>
      </c>
      <c r="J55" s="1">
        <v>1</v>
      </c>
      <c r="L55" s="1">
        <v>0</v>
      </c>
      <c r="M55" s="1" t="s">
        <v>1168</v>
      </c>
      <c r="N55" s="1" t="s">
        <v>1173</v>
      </c>
    </row>
    <row r="56" spans="1:14" s="1" customFormat="1" x14ac:dyDescent="0.25">
      <c r="A56" s="1" t="s">
        <v>1203</v>
      </c>
      <c r="B56" s="1">
        <v>55</v>
      </c>
      <c r="C56" s="1" t="s">
        <v>1067</v>
      </c>
      <c r="D56" s="1" t="s">
        <v>11087</v>
      </c>
      <c r="E56" s="1" t="s">
        <v>1068</v>
      </c>
      <c r="F56" s="1" t="s">
        <v>412</v>
      </c>
      <c r="G56" s="1" t="s">
        <v>1162</v>
      </c>
      <c r="H56" s="1">
        <v>41.9</v>
      </c>
      <c r="I56" s="1">
        <v>0</v>
      </c>
      <c r="J56" s="1">
        <v>1</v>
      </c>
      <c r="L56" s="1">
        <v>0</v>
      </c>
      <c r="M56" s="1" t="s">
        <v>1168</v>
      </c>
      <c r="N56" s="1" t="s">
        <v>1175</v>
      </c>
    </row>
    <row r="57" spans="1:14" s="1" customFormat="1" x14ac:dyDescent="0.25">
      <c r="A57" s="1" t="s">
        <v>1205</v>
      </c>
      <c r="B57" s="1">
        <v>56</v>
      </c>
      <c r="C57" s="1" t="s">
        <v>1067</v>
      </c>
      <c r="D57" s="1" t="s">
        <v>11087</v>
      </c>
      <c r="E57" s="1" t="s">
        <v>1068</v>
      </c>
      <c r="F57" s="1" t="s">
        <v>412</v>
      </c>
      <c r="G57" s="1" t="s">
        <v>1162</v>
      </c>
      <c r="H57" s="1">
        <v>41.9</v>
      </c>
      <c r="I57" s="1">
        <v>0</v>
      </c>
      <c r="J57" s="1">
        <v>1</v>
      </c>
      <c r="L57" s="1">
        <v>0</v>
      </c>
      <c r="M57" s="1" t="s">
        <v>1177</v>
      </c>
      <c r="N57" s="1" t="s">
        <v>1178</v>
      </c>
    </row>
    <row r="58" spans="1:14" s="1" customFormat="1" x14ac:dyDescent="0.25">
      <c r="A58" s="1" t="s">
        <v>1207</v>
      </c>
      <c r="B58" s="1">
        <v>57</v>
      </c>
      <c r="C58" s="1" t="s">
        <v>1067</v>
      </c>
      <c r="D58" s="1" t="s">
        <v>11087</v>
      </c>
      <c r="E58" s="1" t="s">
        <v>1068</v>
      </c>
      <c r="F58" s="1" t="s">
        <v>412</v>
      </c>
      <c r="G58" s="1" t="s">
        <v>1162</v>
      </c>
      <c r="H58" s="1">
        <v>41.9</v>
      </c>
      <c r="I58" s="1">
        <v>0</v>
      </c>
      <c r="J58" s="1">
        <v>1</v>
      </c>
      <c r="L58" s="1">
        <v>0</v>
      </c>
      <c r="M58" s="1" t="s">
        <v>1177</v>
      </c>
      <c r="N58" s="1" t="s">
        <v>1180</v>
      </c>
    </row>
    <row r="59" spans="1:14" s="1" customFormat="1" x14ac:dyDescent="0.25">
      <c r="A59" s="1" t="s">
        <v>1209</v>
      </c>
      <c r="B59" s="1">
        <v>58</v>
      </c>
      <c r="C59" s="1" t="s">
        <v>1067</v>
      </c>
      <c r="D59" s="1" t="s">
        <v>11087</v>
      </c>
      <c r="E59" s="1" t="s">
        <v>1068</v>
      </c>
      <c r="F59" s="1" t="s">
        <v>412</v>
      </c>
      <c r="G59" s="1" t="s">
        <v>1162</v>
      </c>
      <c r="H59" s="1">
        <v>41.9</v>
      </c>
      <c r="I59" s="1">
        <v>0</v>
      </c>
      <c r="J59" s="1">
        <v>1</v>
      </c>
      <c r="L59" s="1">
        <v>0</v>
      </c>
      <c r="M59" s="1" t="s">
        <v>1182</v>
      </c>
      <c r="N59" s="1" t="s">
        <v>1183</v>
      </c>
    </row>
    <row r="60" spans="1:14" s="1" customFormat="1" x14ac:dyDescent="0.25">
      <c r="A60" s="1" t="s">
        <v>1213</v>
      </c>
      <c r="B60" s="1">
        <v>59</v>
      </c>
      <c r="C60" s="1" t="s">
        <v>1067</v>
      </c>
      <c r="D60" s="1" t="s">
        <v>11087</v>
      </c>
      <c r="E60" s="1" t="s">
        <v>1068</v>
      </c>
      <c r="F60" s="1" t="s">
        <v>412</v>
      </c>
      <c r="G60" s="1" t="s">
        <v>1162</v>
      </c>
      <c r="H60" s="1">
        <v>41.9</v>
      </c>
      <c r="I60" s="1">
        <v>0</v>
      </c>
      <c r="J60" s="1">
        <v>1</v>
      </c>
      <c r="L60" s="1">
        <v>0</v>
      </c>
      <c r="M60" s="1" t="s">
        <v>1182</v>
      </c>
      <c r="N60" s="1" t="s">
        <v>1185</v>
      </c>
    </row>
    <row r="61" spans="1:14" s="1" customFormat="1" x14ac:dyDescent="0.25">
      <c r="A61" s="1" t="s">
        <v>1215</v>
      </c>
      <c r="B61" s="1">
        <v>60</v>
      </c>
      <c r="C61" s="1" t="s">
        <v>1067</v>
      </c>
      <c r="D61" s="1" t="s">
        <v>11087</v>
      </c>
      <c r="E61" s="1" t="s">
        <v>1068</v>
      </c>
      <c r="F61" s="1" t="s">
        <v>412</v>
      </c>
      <c r="G61" s="1" t="s">
        <v>1162</v>
      </c>
      <c r="H61" s="1">
        <v>41.9</v>
      </c>
      <c r="I61" s="1">
        <v>0</v>
      </c>
      <c r="J61" s="1">
        <v>1</v>
      </c>
      <c r="L61" s="1">
        <v>0</v>
      </c>
      <c r="M61" s="1" t="s">
        <v>1182</v>
      </c>
      <c r="N61" s="1" t="s">
        <v>1187</v>
      </c>
    </row>
    <row r="62" spans="1:14" s="1" customFormat="1" x14ac:dyDescent="0.25">
      <c r="A62" s="1" t="s">
        <v>1218</v>
      </c>
      <c r="B62" s="1">
        <v>61</v>
      </c>
      <c r="C62" s="1" t="s">
        <v>1067</v>
      </c>
      <c r="D62" s="1" t="s">
        <v>11087</v>
      </c>
      <c r="E62" s="1" t="s">
        <v>1068</v>
      </c>
      <c r="F62" s="1" t="s">
        <v>412</v>
      </c>
      <c r="G62" s="1" t="s">
        <v>1162</v>
      </c>
      <c r="H62" s="1">
        <v>41.9</v>
      </c>
      <c r="I62" s="1">
        <v>0</v>
      </c>
      <c r="J62" s="1">
        <v>1</v>
      </c>
      <c r="L62" s="1">
        <v>0</v>
      </c>
      <c r="M62" s="1" t="s">
        <v>1189</v>
      </c>
      <c r="N62" s="1" t="s">
        <v>1190</v>
      </c>
    </row>
    <row r="63" spans="1:14" s="1" customFormat="1" x14ac:dyDescent="0.25">
      <c r="A63" s="1" t="s">
        <v>1220</v>
      </c>
      <c r="B63" s="1">
        <v>62</v>
      </c>
      <c r="C63" s="1" t="s">
        <v>1067</v>
      </c>
      <c r="D63" s="1" t="s">
        <v>11087</v>
      </c>
      <c r="E63" s="1" t="s">
        <v>1068</v>
      </c>
      <c r="F63" s="1" t="s">
        <v>412</v>
      </c>
      <c r="G63" s="1" t="s">
        <v>1162</v>
      </c>
      <c r="H63" s="1">
        <v>41.9</v>
      </c>
      <c r="I63" s="1">
        <v>0</v>
      </c>
      <c r="J63" s="1">
        <v>1</v>
      </c>
      <c r="L63" s="1">
        <v>0</v>
      </c>
      <c r="M63" s="1" t="s">
        <v>1189</v>
      </c>
      <c r="N63" s="1" t="s">
        <v>1192</v>
      </c>
    </row>
    <row r="64" spans="1:14" s="1" customFormat="1" x14ac:dyDescent="0.25">
      <c r="A64" s="1" t="s">
        <v>1084</v>
      </c>
      <c r="B64" s="1">
        <v>63</v>
      </c>
      <c r="C64" s="1" t="s">
        <v>1067</v>
      </c>
      <c r="D64" s="1" t="s">
        <v>11087</v>
      </c>
      <c r="E64" s="1" t="s">
        <v>1068</v>
      </c>
      <c r="F64" s="1" t="s">
        <v>412</v>
      </c>
      <c r="G64" s="1" t="s">
        <v>1162</v>
      </c>
      <c r="H64" s="1">
        <v>41.9</v>
      </c>
      <c r="I64" s="1">
        <v>0</v>
      </c>
      <c r="J64" s="1">
        <v>1</v>
      </c>
      <c r="L64" s="1">
        <v>0</v>
      </c>
      <c r="M64" s="1" t="s">
        <v>14369</v>
      </c>
      <c r="N64" s="1" t="s">
        <v>14369</v>
      </c>
    </row>
    <row r="65" spans="1:14" s="1" customFormat="1" x14ac:dyDescent="0.25">
      <c r="A65" s="1" t="s">
        <v>1222</v>
      </c>
      <c r="B65" s="1">
        <v>64</v>
      </c>
      <c r="C65" s="1" t="s">
        <v>1067</v>
      </c>
      <c r="D65" s="1" t="s">
        <v>11087</v>
      </c>
      <c r="E65" s="1" t="s">
        <v>1068</v>
      </c>
      <c r="F65" s="1" t="s">
        <v>412</v>
      </c>
      <c r="G65" s="1" t="s">
        <v>1162</v>
      </c>
      <c r="H65" s="1">
        <v>41.9</v>
      </c>
      <c r="I65" s="1">
        <v>0</v>
      </c>
      <c r="J65" s="1">
        <v>1</v>
      </c>
      <c r="L65" s="1">
        <v>0</v>
      </c>
      <c r="M65" s="1" t="s">
        <v>14400</v>
      </c>
      <c r="N65" s="1" t="s">
        <v>14400</v>
      </c>
    </row>
    <row r="66" spans="1:14" s="1" customFormat="1" x14ac:dyDescent="0.25">
      <c r="A66" s="1" t="s">
        <v>1226</v>
      </c>
      <c r="B66" s="1">
        <v>65</v>
      </c>
      <c r="C66" s="1" t="s">
        <v>1067</v>
      </c>
      <c r="D66" s="1" t="s">
        <v>11087</v>
      </c>
      <c r="E66" s="1" t="s">
        <v>1068</v>
      </c>
      <c r="F66" s="1" t="s">
        <v>389</v>
      </c>
      <c r="G66" s="1" t="s">
        <v>1194</v>
      </c>
      <c r="H66" s="1">
        <v>41.9</v>
      </c>
      <c r="I66" s="1">
        <v>0</v>
      </c>
      <c r="J66" s="1">
        <v>1</v>
      </c>
      <c r="L66" s="1">
        <v>0</v>
      </c>
      <c r="M66" s="1" t="s">
        <v>1195</v>
      </c>
      <c r="N66" s="1" t="s">
        <v>1196</v>
      </c>
    </row>
    <row r="67" spans="1:14" s="1" customFormat="1" x14ac:dyDescent="0.25">
      <c r="A67" s="1" t="s">
        <v>1228</v>
      </c>
      <c r="B67" s="1">
        <v>66</v>
      </c>
      <c r="C67" s="1" t="s">
        <v>1067</v>
      </c>
      <c r="D67" s="1" t="s">
        <v>11087</v>
      </c>
      <c r="E67" s="1" t="s">
        <v>1068</v>
      </c>
      <c r="F67" s="1" t="s">
        <v>389</v>
      </c>
      <c r="G67" s="1" t="s">
        <v>1194</v>
      </c>
      <c r="H67" s="1">
        <v>41.9</v>
      </c>
      <c r="I67" s="1">
        <v>0</v>
      </c>
      <c r="J67" s="1">
        <v>1</v>
      </c>
      <c r="L67" s="1">
        <v>0</v>
      </c>
      <c r="M67" s="1" t="s">
        <v>1195</v>
      </c>
      <c r="N67" s="1" t="s">
        <v>392</v>
      </c>
    </row>
    <row r="68" spans="1:14" s="1" customFormat="1" x14ac:dyDescent="0.25">
      <c r="A68" s="1" t="s">
        <v>1231</v>
      </c>
      <c r="B68" s="1">
        <v>67</v>
      </c>
      <c r="C68" s="1" t="s">
        <v>1067</v>
      </c>
      <c r="D68" s="1" t="s">
        <v>11087</v>
      </c>
      <c r="E68" s="1" t="s">
        <v>1068</v>
      </c>
      <c r="F68" s="1" t="s">
        <v>389</v>
      </c>
      <c r="G68" s="1" t="s">
        <v>1194</v>
      </c>
      <c r="H68" s="1">
        <v>41.9</v>
      </c>
      <c r="I68" s="1">
        <v>0</v>
      </c>
      <c r="J68" s="1">
        <v>1</v>
      </c>
      <c r="L68" s="1">
        <v>0</v>
      </c>
      <c r="M68" s="1" t="s">
        <v>1199</v>
      </c>
      <c r="N68" s="1" t="s">
        <v>1199</v>
      </c>
    </row>
    <row r="69" spans="1:14" s="1" customFormat="1" x14ac:dyDescent="0.25">
      <c r="A69" s="1" t="s">
        <v>1233</v>
      </c>
      <c r="B69" s="1">
        <v>68</v>
      </c>
      <c r="C69" s="1" t="s">
        <v>1067</v>
      </c>
      <c r="D69" s="1" t="s">
        <v>11087</v>
      </c>
      <c r="E69" s="1" t="s">
        <v>1068</v>
      </c>
      <c r="F69" s="1" t="s">
        <v>389</v>
      </c>
      <c r="G69" s="1" t="s">
        <v>1194</v>
      </c>
      <c r="H69" s="1">
        <v>41.9</v>
      </c>
      <c r="I69" s="1">
        <v>0</v>
      </c>
      <c r="J69" s="1">
        <v>1</v>
      </c>
      <c r="L69" s="1">
        <v>0</v>
      </c>
      <c r="M69" s="1" t="s">
        <v>1201</v>
      </c>
      <c r="N69" s="1" t="s">
        <v>1202</v>
      </c>
    </row>
    <row r="70" spans="1:14" s="1" customFormat="1" x14ac:dyDescent="0.25">
      <c r="A70" s="1" t="s">
        <v>1237</v>
      </c>
      <c r="B70" s="1">
        <v>69</v>
      </c>
      <c r="C70" s="1" t="s">
        <v>1067</v>
      </c>
      <c r="D70" s="1" t="s">
        <v>11087</v>
      </c>
      <c r="E70" s="1" t="s">
        <v>1068</v>
      </c>
      <c r="F70" s="1" t="s">
        <v>389</v>
      </c>
      <c r="G70" s="1" t="s">
        <v>1194</v>
      </c>
      <c r="H70" s="1">
        <v>41.9</v>
      </c>
      <c r="I70" s="1">
        <v>0</v>
      </c>
      <c r="J70" s="1">
        <v>1</v>
      </c>
      <c r="L70" s="1">
        <v>0</v>
      </c>
      <c r="M70" s="1" t="s">
        <v>1201</v>
      </c>
      <c r="N70" s="1" t="s">
        <v>1204</v>
      </c>
    </row>
    <row r="71" spans="1:14" s="1" customFormat="1" x14ac:dyDescent="0.25">
      <c r="A71" s="1" t="s">
        <v>1239</v>
      </c>
      <c r="B71" s="1">
        <v>70</v>
      </c>
      <c r="C71" s="1" t="s">
        <v>1067</v>
      </c>
      <c r="D71" s="1" t="s">
        <v>11087</v>
      </c>
      <c r="E71" s="1" t="s">
        <v>1068</v>
      </c>
      <c r="F71" s="1" t="s">
        <v>389</v>
      </c>
      <c r="G71" s="1" t="s">
        <v>1194</v>
      </c>
      <c r="H71" s="1">
        <v>41.9</v>
      </c>
      <c r="I71" s="1">
        <v>0</v>
      </c>
      <c r="J71" s="1">
        <v>1</v>
      </c>
      <c r="L71" s="1">
        <v>0</v>
      </c>
      <c r="M71" s="1" t="s">
        <v>1201</v>
      </c>
      <c r="N71" s="1" t="s">
        <v>1206</v>
      </c>
    </row>
    <row r="72" spans="1:14" s="1" customFormat="1" x14ac:dyDescent="0.25">
      <c r="A72" s="1" t="s">
        <v>1240</v>
      </c>
      <c r="B72" s="1">
        <v>71</v>
      </c>
      <c r="C72" s="1" t="s">
        <v>1067</v>
      </c>
      <c r="D72" s="1" t="s">
        <v>11087</v>
      </c>
      <c r="E72" s="1" t="s">
        <v>1068</v>
      </c>
      <c r="F72" s="1" t="s">
        <v>389</v>
      </c>
      <c r="G72" s="1" t="s">
        <v>1194</v>
      </c>
      <c r="H72" s="1">
        <v>41.9</v>
      </c>
      <c r="I72" s="1">
        <v>0</v>
      </c>
      <c r="J72" s="1">
        <v>1</v>
      </c>
      <c r="L72" s="1">
        <v>0</v>
      </c>
      <c r="M72" s="1" t="s">
        <v>1201</v>
      </c>
      <c r="N72" s="1" t="s">
        <v>1208</v>
      </c>
    </row>
    <row r="73" spans="1:14" s="1" customFormat="1" x14ac:dyDescent="0.25">
      <c r="A73" s="1" t="s">
        <v>1242</v>
      </c>
      <c r="B73" s="1">
        <v>72</v>
      </c>
      <c r="C73" s="1" t="s">
        <v>1067</v>
      </c>
      <c r="D73" s="1" t="s">
        <v>11087</v>
      </c>
      <c r="E73" s="1" t="s">
        <v>1068</v>
      </c>
      <c r="F73" s="1" t="s">
        <v>277</v>
      </c>
      <c r="G73" s="1" t="s">
        <v>1210</v>
      </c>
      <c r="H73" s="1">
        <v>41.9</v>
      </c>
      <c r="I73" s="1">
        <v>0</v>
      </c>
      <c r="J73" s="1">
        <v>1</v>
      </c>
      <c r="L73" s="1">
        <v>0</v>
      </c>
      <c r="M73" s="1" t="s">
        <v>1211</v>
      </c>
      <c r="N73" s="1" t="s">
        <v>1212</v>
      </c>
    </row>
    <row r="74" spans="1:14" s="1" customFormat="1" x14ac:dyDescent="0.25">
      <c r="A74" s="1" t="s">
        <v>1244</v>
      </c>
      <c r="B74" s="1">
        <v>73</v>
      </c>
      <c r="C74" s="1" t="s">
        <v>1067</v>
      </c>
      <c r="D74" s="1" t="s">
        <v>11087</v>
      </c>
      <c r="E74" s="1" t="s">
        <v>1068</v>
      </c>
      <c r="F74" s="1" t="s">
        <v>277</v>
      </c>
      <c r="G74" s="1" t="s">
        <v>1210</v>
      </c>
      <c r="H74" s="1">
        <v>41.9</v>
      </c>
      <c r="I74" s="1">
        <v>0</v>
      </c>
      <c r="J74" s="1">
        <v>1</v>
      </c>
      <c r="L74" s="1">
        <v>0</v>
      </c>
      <c r="M74" s="1" t="s">
        <v>1211</v>
      </c>
      <c r="N74" s="1" t="s">
        <v>1214</v>
      </c>
    </row>
    <row r="75" spans="1:14" s="1" customFormat="1" x14ac:dyDescent="0.25">
      <c r="A75" s="1" t="s">
        <v>1246</v>
      </c>
      <c r="B75" s="1">
        <v>74</v>
      </c>
      <c r="C75" s="1" t="s">
        <v>1067</v>
      </c>
      <c r="D75" s="1" t="s">
        <v>11087</v>
      </c>
      <c r="E75" s="1" t="s">
        <v>1068</v>
      </c>
      <c r="F75" s="1" t="s">
        <v>277</v>
      </c>
      <c r="G75" s="1" t="s">
        <v>1210</v>
      </c>
      <c r="H75" s="1">
        <v>41.9</v>
      </c>
      <c r="I75" s="1">
        <v>0</v>
      </c>
      <c r="J75" s="1">
        <v>1</v>
      </c>
      <c r="L75" s="1">
        <v>0</v>
      </c>
      <c r="M75" s="1" t="s">
        <v>1216</v>
      </c>
      <c r="N75" s="1" t="s">
        <v>1217</v>
      </c>
    </row>
    <row r="76" spans="1:14" s="1" customFormat="1" x14ac:dyDescent="0.25">
      <c r="A76" s="1" t="s">
        <v>1249</v>
      </c>
      <c r="B76" s="1">
        <v>75</v>
      </c>
      <c r="C76" s="1" t="s">
        <v>1067</v>
      </c>
      <c r="D76" s="1" t="s">
        <v>11087</v>
      </c>
      <c r="E76" s="1" t="s">
        <v>1068</v>
      </c>
      <c r="F76" s="1" t="s">
        <v>277</v>
      </c>
      <c r="G76" s="1" t="s">
        <v>1210</v>
      </c>
      <c r="H76" s="1">
        <v>41.9</v>
      </c>
      <c r="I76" s="1">
        <v>0</v>
      </c>
      <c r="J76" s="1">
        <v>1</v>
      </c>
      <c r="L76" s="1">
        <v>0</v>
      </c>
      <c r="M76" s="1" t="s">
        <v>1216</v>
      </c>
      <c r="N76" s="1" t="s">
        <v>1219</v>
      </c>
    </row>
    <row r="77" spans="1:14" s="1" customFormat="1" x14ac:dyDescent="0.25">
      <c r="A77" s="1" t="s">
        <v>1251</v>
      </c>
      <c r="B77" s="1">
        <v>76</v>
      </c>
      <c r="C77" s="1" t="s">
        <v>1067</v>
      </c>
      <c r="D77" s="1" t="s">
        <v>11087</v>
      </c>
      <c r="E77" s="1" t="s">
        <v>1068</v>
      </c>
      <c r="F77" s="1" t="s">
        <v>277</v>
      </c>
      <c r="G77" s="1" t="s">
        <v>1210</v>
      </c>
      <c r="H77" s="1">
        <v>41.9</v>
      </c>
      <c r="I77" s="1">
        <v>0</v>
      </c>
      <c r="J77" s="1">
        <v>1</v>
      </c>
      <c r="L77" s="1">
        <v>0</v>
      </c>
      <c r="M77" s="1" t="s">
        <v>1221</v>
      </c>
      <c r="N77" s="1" t="s">
        <v>1221</v>
      </c>
    </row>
    <row r="78" spans="1:14" x14ac:dyDescent="0.25">
      <c r="A78" s="1" t="s">
        <v>1254</v>
      </c>
      <c r="B78" s="1">
        <v>77</v>
      </c>
      <c r="C78" s="1" t="s">
        <v>1067</v>
      </c>
      <c r="D78" s="1" t="s">
        <v>11088</v>
      </c>
      <c r="E78" s="1" t="s">
        <v>1223</v>
      </c>
      <c r="F78" s="1" t="s">
        <v>1224</v>
      </c>
      <c r="G78" s="1" t="s">
        <v>1225</v>
      </c>
      <c r="H78" s="1">
        <v>21.4</v>
      </c>
      <c r="I78" s="1">
        <v>0</v>
      </c>
      <c r="J78" s="1">
        <v>1</v>
      </c>
      <c r="K78" s="1" t="s">
        <v>1071</v>
      </c>
      <c r="L78" s="1">
        <v>0</v>
      </c>
      <c r="M78" s="1" t="s">
        <v>1224</v>
      </c>
      <c r="N78" s="1" t="s">
        <v>1224</v>
      </c>
    </row>
    <row r="79" spans="1:14" s="1" customFormat="1" x14ac:dyDescent="0.25">
      <c r="A79" s="1" t="s">
        <v>1257</v>
      </c>
      <c r="B79" s="1">
        <v>78</v>
      </c>
      <c r="C79" s="1" t="s">
        <v>1067</v>
      </c>
      <c r="D79" s="1" t="s">
        <v>11088</v>
      </c>
      <c r="E79" s="1" t="s">
        <v>1223</v>
      </c>
      <c r="F79" s="1" t="s">
        <v>1224</v>
      </c>
      <c r="G79" s="1" t="s">
        <v>1225</v>
      </c>
      <c r="H79" s="1">
        <v>21.4</v>
      </c>
      <c r="I79" s="1">
        <v>0</v>
      </c>
      <c r="J79" s="1">
        <v>1</v>
      </c>
      <c r="K79" s="1" t="s">
        <v>1071</v>
      </c>
      <c r="L79" s="1">
        <v>0</v>
      </c>
      <c r="M79" s="1" t="s">
        <v>14486</v>
      </c>
      <c r="N79" s="1" t="s">
        <v>14486</v>
      </c>
    </row>
    <row r="80" spans="1:14" s="1" customFormat="1" x14ac:dyDescent="0.25">
      <c r="A80" s="1" t="s">
        <v>1259</v>
      </c>
      <c r="B80" s="1">
        <v>79</v>
      </c>
      <c r="C80" s="1" t="s">
        <v>1067</v>
      </c>
      <c r="D80" s="1" t="s">
        <v>11088</v>
      </c>
      <c r="E80" s="1" t="s">
        <v>1223</v>
      </c>
      <c r="F80" s="1" t="s">
        <v>1227</v>
      </c>
      <c r="G80" s="1" t="s">
        <v>1225</v>
      </c>
      <c r="H80" s="1">
        <v>21.4</v>
      </c>
      <c r="I80" s="1">
        <v>0</v>
      </c>
      <c r="J80" s="1">
        <v>1</v>
      </c>
      <c r="K80" s="1" t="s">
        <v>1071</v>
      </c>
      <c r="L80" s="1">
        <v>0</v>
      </c>
      <c r="M80" s="1" t="s">
        <v>14509</v>
      </c>
      <c r="N80" s="1" t="s">
        <v>14509</v>
      </c>
    </row>
    <row r="81" spans="1:14" x14ac:dyDescent="0.25">
      <c r="A81" s="1" t="s">
        <v>1261</v>
      </c>
      <c r="B81" s="1">
        <v>80</v>
      </c>
      <c r="C81" s="1" t="s">
        <v>1067</v>
      </c>
      <c r="D81" s="1" t="s">
        <v>11088</v>
      </c>
      <c r="E81" s="1" t="s">
        <v>1223</v>
      </c>
      <c r="F81" s="1" t="s">
        <v>1227</v>
      </c>
      <c r="G81" s="1" t="s">
        <v>1225</v>
      </c>
      <c r="H81" s="1">
        <v>21.4</v>
      </c>
      <c r="I81" s="1">
        <v>0</v>
      </c>
      <c r="J81" s="1">
        <v>1</v>
      </c>
      <c r="K81" s="1" t="s">
        <v>1071</v>
      </c>
      <c r="L81" s="1">
        <v>0</v>
      </c>
      <c r="M81" s="1" t="s">
        <v>1227</v>
      </c>
      <c r="N81" s="1" t="s">
        <v>1227</v>
      </c>
    </row>
    <row r="82" spans="1:14" x14ac:dyDescent="0.25">
      <c r="A82" s="1" t="s">
        <v>1264</v>
      </c>
      <c r="B82" s="1">
        <v>81</v>
      </c>
      <c r="C82" s="1" t="s">
        <v>1067</v>
      </c>
      <c r="D82" s="1" t="s">
        <v>11088</v>
      </c>
      <c r="E82" s="1" t="s">
        <v>1223</v>
      </c>
      <c r="F82" s="1" t="s">
        <v>1229</v>
      </c>
      <c r="G82" s="1" t="s">
        <v>1230</v>
      </c>
      <c r="H82" s="1">
        <v>21.4</v>
      </c>
      <c r="I82" s="1">
        <v>1</v>
      </c>
      <c r="J82" s="1">
        <v>0</v>
      </c>
      <c r="K82" s="1" t="s">
        <v>1077</v>
      </c>
      <c r="L82" s="1">
        <v>1</v>
      </c>
      <c r="M82" s="1" t="s">
        <v>1229</v>
      </c>
      <c r="N82" s="1" t="s">
        <v>1229</v>
      </c>
    </row>
    <row r="83" spans="1:14" x14ac:dyDescent="0.25">
      <c r="A83" s="1" t="s">
        <v>1266</v>
      </c>
      <c r="B83" s="1">
        <v>82</v>
      </c>
      <c r="C83" s="1" t="s">
        <v>1067</v>
      </c>
      <c r="D83" s="1" t="s">
        <v>11088</v>
      </c>
      <c r="E83" s="1" t="s">
        <v>1223</v>
      </c>
      <c r="F83" s="1" t="s">
        <v>1229</v>
      </c>
      <c r="G83" s="1" t="s">
        <v>1230</v>
      </c>
      <c r="H83" s="1">
        <v>21.4</v>
      </c>
      <c r="I83" s="1">
        <v>1</v>
      </c>
      <c r="J83" s="1">
        <v>0</v>
      </c>
      <c r="K83" s="1" t="s">
        <v>1077</v>
      </c>
      <c r="L83" s="1">
        <v>1</v>
      </c>
      <c r="M83" s="1" t="s">
        <v>14722</v>
      </c>
      <c r="N83" s="1" t="s">
        <v>14722</v>
      </c>
    </row>
    <row r="84" spans="1:14" x14ac:dyDescent="0.25">
      <c r="A84" s="1" t="s">
        <v>1268</v>
      </c>
      <c r="B84" s="1">
        <v>83</v>
      </c>
      <c r="C84" s="1" t="s">
        <v>1067</v>
      </c>
      <c r="D84" s="1" t="s">
        <v>11088</v>
      </c>
      <c r="E84" s="1" t="s">
        <v>1223</v>
      </c>
      <c r="F84" s="1" t="s">
        <v>1229</v>
      </c>
      <c r="G84" s="1" t="s">
        <v>1230</v>
      </c>
      <c r="H84" s="1">
        <v>21.4</v>
      </c>
      <c r="I84" s="1">
        <v>1</v>
      </c>
      <c r="J84" s="1">
        <v>0</v>
      </c>
      <c r="K84" s="1" t="s">
        <v>1077</v>
      </c>
      <c r="L84" s="1">
        <v>2</v>
      </c>
      <c r="M84" s="1" t="s">
        <v>1229</v>
      </c>
      <c r="N84" s="1" t="s">
        <v>1232</v>
      </c>
    </row>
    <row r="85" spans="1:14" x14ac:dyDescent="0.25">
      <c r="A85" s="1" t="s">
        <v>1270</v>
      </c>
      <c r="B85" s="1">
        <v>84</v>
      </c>
      <c r="C85" s="1" t="s">
        <v>1067</v>
      </c>
      <c r="D85" s="1" t="s">
        <v>11088</v>
      </c>
      <c r="E85" s="1" t="s">
        <v>1223</v>
      </c>
      <c r="F85" s="1" t="s">
        <v>362</v>
      </c>
      <c r="G85" s="1" t="s">
        <v>1234</v>
      </c>
      <c r="H85" s="1">
        <v>41.9</v>
      </c>
      <c r="I85" s="1">
        <v>0</v>
      </c>
      <c r="J85" s="1">
        <v>1</v>
      </c>
      <c r="K85" s="1"/>
      <c r="L85" s="1">
        <v>0</v>
      </c>
      <c r="M85" s="1" t="s">
        <v>1235</v>
      </c>
      <c r="N85" s="1" t="s">
        <v>1236</v>
      </c>
    </row>
    <row r="86" spans="1:14" x14ac:dyDescent="0.25">
      <c r="A86" s="1" t="s">
        <v>1274</v>
      </c>
      <c r="B86" s="1">
        <v>85</v>
      </c>
      <c r="C86" s="1" t="s">
        <v>1067</v>
      </c>
      <c r="D86" s="1" t="s">
        <v>11088</v>
      </c>
      <c r="E86" s="1" t="s">
        <v>1223</v>
      </c>
      <c r="F86" s="1" t="s">
        <v>362</v>
      </c>
      <c r="G86" s="1" t="s">
        <v>1234</v>
      </c>
      <c r="H86" s="1">
        <v>41.9</v>
      </c>
      <c r="I86" s="1">
        <v>0</v>
      </c>
      <c r="J86" s="1">
        <v>1</v>
      </c>
      <c r="K86" s="1"/>
      <c r="L86" s="1">
        <v>0</v>
      </c>
      <c r="M86" s="1" t="s">
        <v>1235</v>
      </c>
      <c r="N86" s="1" t="s">
        <v>1238</v>
      </c>
    </row>
    <row r="87" spans="1:14" x14ac:dyDescent="0.25">
      <c r="A87" s="1" t="s">
        <v>1277</v>
      </c>
      <c r="B87" s="1">
        <v>86</v>
      </c>
      <c r="C87" s="1" t="s">
        <v>1067</v>
      </c>
      <c r="D87" s="1" t="s">
        <v>11088</v>
      </c>
      <c r="E87" s="1" t="s">
        <v>1223</v>
      </c>
      <c r="F87" s="1" t="s">
        <v>362</v>
      </c>
      <c r="G87" s="1" t="s">
        <v>1234</v>
      </c>
      <c r="H87" s="1">
        <v>41.9</v>
      </c>
      <c r="I87" s="1">
        <v>0</v>
      </c>
      <c r="J87" s="1">
        <v>1</v>
      </c>
      <c r="K87" s="1"/>
      <c r="L87" s="1">
        <v>0</v>
      </c>
      <c r="M87" s="1" t="s">
        <v>1235</v>
      </c>
      <c r="N87" s="1" t="s">
        <v>615</v>
      </c>
    </row>
    <row r="88" spans="1:14" x14ac:dyDescent="0.25">
      <c r="A88" s="1" t="s">
        <v>1279</v>
      </c>
      <c r="B88" s="1">
        <v>87</v>
      </c>
      <c r="C88" s="1" t="s">
        <v>1067</v>
      </c>
      <c r="D88" s="1" t="s">
        <v>11088</v>
      </c>
      <c r="E88" s="1" t="s">
        <v>1223</v>
      </c>
      <c r="F88" s="1" t="s">
        <v>362</v>
      </c>
      <c r="G88" s="1" t="s">
        <v>1234</v>
      </c>
      <c r="H88" s="1">
        <v>41.9</v>
      </c>
      <c r="I88" s="1">
        <v>0</v>
      </c>
      <c r="J88" s="1">
        <v>1</v>
      </c>
      <c r="K88" s="1"/>
      <c r="L88" s="1">
        <v>0</v>
      </c>
      <c r="M88" s="1" t="s">
        <v>1235</v>
      </c>
      <c r="N88" s="1" t="s">
        <v>1241</v>
      </c>
    </row>
    <row r="89" spans="1:14" x14ac:dyDescent="0.25">
      <c r="A89" s="1" t="s">
        <v>1281</v>
      </c>
      <c r="B89" s="1">
        <v>88</v>
      </c>
      <c r="C89" s="1" t="s">
        <v>1067</v>
      </c>
      <c r="D89" s="1" t="s">
        <v>11088</v>
      </c>
      <c r="E89" s="1" t="s">
        <v>1223</v>
      </c>
      <c r="F89" s="1" t="s">
        <v>362</v>
      </c>
      <c r="G89" s="1" t="s">
        <v>1234</v>
      </c>
      <c r="H89" s="1">
        <v>41.9</v>
      </c>
      <c r="I89" s="1">
        <v>0</v>
      </c>
      <c r="J89" s="1">
        <v>1</v>
      </c>
      <c r="K89" s="1"/>
      <c r="L89" s="1">
        <v>0</v>
      </c>
      <c r="M89" s="1" t="s">
        <v>1235</v>
      </c>
      <c r="N89" s="1" t="s">
        <v>1243</v>
      </c>
    </row>
    <row r="90" spans="1:14" x14ac:dyDescent="0.25">
      <c r="A90" s="1" t="s">
        <v>1283</v>
      </c>
      <c r="B90" s="1">
        <v>89</v>
      </c>
      <c r="C90" s="1" t="s">
        <v>1067</v>
      </c>
      <c r="D90" s="1" t="s">
        <v>11088</v>
      </c>
      <c r="E90" s="1" t="s">
        <v>1223</v>
      </c>
      <c r="F90" s="1" t="s">
        <v>362</v>
      </c>
      <c r="G90" s="1" t="s">
        <v>1234</v>
      </c>
      <c r="H90" s="1">
        <v>41.9</v>
      </c>
      <c r="I90" s="1">
        <v>0</v>
      </c>
      <c r="J90" s="1">
        <v>1</v>
      </c>
      <c r="K90" s="1"/>
      <c r="L90" s="1">
        <v>0</v>
      </c>
      <c r="M90" s="1" t="s">
        <v>1235</v>
      </c>
      <c r="N90" s="1" t="s">
        <v>1245</v>
      </c>
    </row>
    <row r="91" spans="1:14" x14ac:dyDescent="0.25">
      <c r="A91" s="1" t="s">
        <v>1286</v>
      </c>
      <c r="B91" s="1">
        <v>90</v>
      </c>
      <c r="C91" s="1" t="s">
        <v>1067</v>
      </c>
      <c r="D91" s="1" t="s">
        <v>11088</v>
      </c>
      <c r="E91" s="1" t="s">
        <v>1223</v>
      </c>
      <c r="F91" s="1" t="s">
        <v>362</v>
      </c>
      <c r="G91" s="1" t="s">
        <v>1234</v>
      </c>
      <c r="H91" s="1">
        <v>41.9</v>
      </c>
      <c r="I91" s="1">
        <v>0</v>
      </c>
      <c r="J91" s="1">
        <v>1</v>
      </c>
      <c r="K91" s="1"/>
      <c r="L91" s="1">
        <v>0</v>
      </c>
      <c r="M91" s="1" t="s">
        <v>1247</v>
      </c>
      <c r="N91" s="1" t="s">
        <v>1248</v>
      </c>
    </row>
    <row r="92" spans="1:14" x14ac:dyDescent="0.25">
      <c r="A92" s="1" t="s">
        <v>1288</v>
      </c>
      <c r="B92" s="1">
        <v>91</v>
      </c>
      <c r="C92" s="1" t="s">
        <v>1067</v>
      </c>
      <c r="D92" s="1" t="s">
        <v>11088</v>
      </c>
      <c r="E92" s="1" t="s">
        <v>1223</v>
      </c>
      <c r="F92" s="1" t="s">
        <v>362</v>
      </c>
      <c r="G92" s="1" t="s">
        <v>1234</v>
      </c>
      <c r="H92" s="1">
        <v>41.9</v>
      </c>
      <c r="I92" s="1">
        <v>0</v>
      </c>
      <c r="J92" s="1">
        <v>1</v>
      </c>
      <c r="K92" s="1"/>
      <c r="L92" s="1">
        <v>0</v>
      </c>
      <c r="M92" s="1" t="s">
        <v>1247</v>
      </c>
      <c r="N92" s="1" t="s">
        <v>1250</v>
      </c>
    </row>
    <row r="93" spans="1:14" x14ac:dyDescent="0.25">
      <c r="A93" s="1" t="s">
        <v>1289</v>
      </c>
      <c r="B93" s="1">
        <v>92</v>
      </c>
      <c r="C93" s="1" t="s">
        <v>1067</v>
      </c>
      <c r="D93" s="1" t="s">
        <v>11088</v>
      </c>
      <c r="E93" s="1" t="s">
        <v>1223</v>
      </c>
      <c r="F93" s="1" t="s">
        <v>362</v>
      </c>
      <c r="G93" s="1" t="s">
        <v>1234</v>
      </c>
      <c r="H93" s="1">
        <v>41.9</v>
      </c>
      <c r="I93" s="1">
        <v>0</v>
      </c>
      <c r="J93" s="1">
        <v>1</v>
      </c>
      <c r="K93" s="1"/>
      <c r="L93" s="1">
        <v>0</v>
      </c>
      <c r="M93" s="1" t="s">
        <v>1252</v>
      </c>
      <c r="N93" s="1" t="s">
        <v>1253</v>
      </c>
    </row>
    <row r="94" spans="1:14" x14ac:dyDescent="0.25">
      <c r="A94" s="1" t="s">
        <v>1291</v>
      </c>
      <c r="B94" s="1">
        <v>93</v>
      </c>
      <c r="C94" s="1" t="s">
        <v>1067</v>
      </c>
      <c r="D94" s="1" t="s">
        <v>11088</v>
      </c>
      <c r="E94" s="1" t="s">
        <v>1223</v>
      </c>
      <c r="F94" s="1" t="s">
        <v>362</v>
      </c>
      <c r="G94" s="1" t="s">
        <v>1234</v>
      </c>
      <c r="H94" s="1">
        <v>41.9</v>
      </c>
      <c r="I94" s="1">
        <v>0</v>
      </c>
      <c r="J94" s="1">
        <v>1</v>
      </c>
      <c r="K94" s="1"/>
      <c r="L94" s="1">
        <v>0</v>
      </c>
      <c r="M94" s="1" t="s">
        <v>1255</v>
      </c>
      <c r="N94" s="1" t="s">
        <v>1256</v>
      </c>
    </row>
    <row r="95" spans="1:14" x14ac:dyDescent="0.25">
      <c r="A95" s="1" t="s">
        <v>1293</v>
      </c>
      <c r="B95" s="1">
        <v>94</v>
      </c>
      <c r="C95" s="1" t="s">
        <v>1067</v>
      </c>
      <c r="D95" s="1" t="s">
        <v>11088</v>
      </c>
      <c r="E95" s="1" t="s">
        <v>1223</v>
      </c>
      <c r="F95" s="1" t="s">
        <v>362</v>
      </c>
      <c r="G95" s="1" t="s">
        <v>1234</v>
      </c>
      <c r="H95" s="1">
        <v>41.9</v>
      </c>
      <c r="I95" s="1">
        <v>0</v>
      </c>
      <c r="J95" s="1">
        <v>1</v>
      </c>
      <c r="K95" s="1"/>
      <c r="L95" s="1">
        <v>0</v>
      </c>
      <c r="M95" s="1" t="s">
        <v>1255</v>
      </c>
      <c r="N95" s="1" t="s">
        <v>1258</v>
      </c>
    </row>
    <row r="96" spans="1:14" x14ac:dyDescent="0.25">
      <c r="A96" s="1" t="s">
        <v>1296</v>
      </c>
      <c r="B96" s="1">
        <v>95</v>
      </c>
      <c r="C96" s="1" t="s">
        <v>1067</v>
      </c>
      <c r="D96" s="1" t="s">
        <v>11088</v>
      </c>
      <c r="E96" s="1" t="s">
        <v>1223</v>
      </c>
      <c r="F96" s="1" t="s">
        <v>362</v>
      </c>
      <c r="G96" s="1" t="s">
        <v>1234</v>
      </c>
      <c r="H96" s="1">
        <v>41.9</v>
      </c>
      <c r="I96" s="1">
        <v>0</v>
      </c>
      <c r="J96" s="1">
        <v>1</v>
      </c>
      <c r="K96" s="1"/>
      <c r="L96" s="1">
        <v>0</v>
      </c>
      <c r="M96" s="1" t="s">
        <v>1255</v>
      </c>
      <c r="N96" s="1" t="s">
        <v>1260</v>
      </c>
    </row>
    <row r="97" spans="1:14" x14ac:dyDescent="0.25">
      <c r="A97" s="1" t="s">
        <v>1300</v>
      </c>
      <c r="B97" s="1">
        <v>96</v>
      </c>
      <c r="C97" s="1" t="s">
        <v>1067</v>
      </c>
      <c r="D97" s="1" t="s">
        <v>11088</v>
      </c>
      <c r="E97" s="1" t="s">
        <v>1223</v>
      </c>
      <c r="F97" s="1" t="s">
        <v>362</v>
      </c>
      <c r="G97" s="1" t="s">
        <v>1234</v>
      </c>
      <c r="H97" s="1">
        <v>41.9</v>
      </c>
      <c r="I97" s="1">
        <v>0</v>
      </c>
      <c r="J97" s="1">
        <v>1</v>
      </c>
      <c r="K97" s="1"/>
      <c r="L97" s="1">
        <v>0</v>
      </c>
      <c r="M97" s="1" t="s">
        <v>1262</v>
      </c>
      <c r="N97" s="1" t="s">
        <v>1263</v>
      </c>
    </row>
    <row r="98" spans="1:14" x14ac:dyDescent="0.25">
      <c r="A98" s="1" t="s">
        <v>1303</v>
      </c>
      <c r="B98" s="1">
        <v>97</v>
      </c>
      <c r="C98" s="1" t="s">
        <v>1067</v>
      </c>
      <c r="D98" s="1" t="s">
        <v>11088</v>
      </c>
      <c r="E98" s="1" t="s">
        <v>1223</v>
      </c>
      <c r="F98" s="1" t="s">
        <v>362</v>
      </c>
      <c r="G98" s="1" t="s">
        <v>1234</v>
      </c>
      <c r="H98" s="1">
        <v>41.9</v>
      </c>
      <c r="I98" s="1">
        <v>0</v>
      </c>
      <c r="J98" s="1">
        <v>1</v>
      </c>
      <c r="K98" s="1"/>
      <c r="L98" s="1">
        <v>0</v>
      </c>
      <c r="M98" s="1" t="s">
        <v>1262</v>
      </c>
      <c r="N98" s="1" t="s">
        <v>1265</v>
      </c>
    </row>
    <row r="99" spans="1:14" x14ac:dyDescent="0.25">
      <c r="A99" s="1" t="s">
        <v>1305</v>
      </c>
      <c r="B99" s="1">
        <v>98</v>
      </c>
      <c r="C99" s="1" t="s">
        <v>1067</v>
      </c>
      <c r="D99" s="1" t="s">
        <v>11088</v>
      </c>
      <c r="E99" s="1" t="s">
        <v>1223</v>
      </c>
      <c r="F99" s="1" t="s">
        <v>362</v>
      </c>
      <c r="G99" s="1" t="s">
        <v>1234</v>
      </c>
      <c r="H99" s="1">
        <v>41.9</v>
      </c>
      <c r="I99" s="1">
        <v>0</v>
      </c>
      <c r="J99" s="1">
        <v>1</v>
      </c>
      <c r="K99" s="1"/>
      <c r="L99" s="1">
        <v>0</v>
      </c>
      <c r="M99" s="1" t="s">
        <v>1262</v>
      </c>
      <c r="N99" s="1" t="s">
        <v>1267</v>
      </c>
    </row>
    <row r="100" spans="1:14" x14ac:dyDescent="0.25">
      <c r="A100" s="1" t="s">
        <v>1307</v>
      </c>
      <c r="B100" s="1">
        <v>99</v>
      </c>
      <c r="C100" s="1" t="s">
        <v>1067</v>
      </c>
      <c r="D100" s="1" t="s">
        <v>11088</v>
      </c>
      <c r="E100" s="1" t="s">
        <v>1223</v>
      </c>
      <c r="F100" s="1" t="s">
        <v>362</v>
      </c>
      <c r="G100" s="1" t="s">
        <v>1234</v>
      </c>
      <c r="H100" s="1">
        <v>41.9</v>
      </c>
      <c r="I100" s="1">
        <v>0</v>
      </c>
      <c r="J100" s="1">
        <v>1</v>
      </c>
      <c r="K100" s="1"/>
      <c r="L100" s="1">
        <v>0</v>
      </c>
      <c r="M100" s="1" t="s">
        <v>1262</v>
      </c>
      <c r="N100" s="1" t="s">
        <v>1269</v>
      </c>
    </row>
    <row r="101" spans="1:14" s="1" customFormat="1" x14ac:dyDescent="0.25">
      <c r="A101" s="1" t="s">
        <v>1310</v>
      </c>
      <c r="B101" s="1">
        <v>100</v>
      </c>
      <c r="C101" s="1" t="s">
        <v>1067</v>
      </c>
      <c r="D101" s="1" t="s">
        <v>11088</v>
      </c>
      <c r="E101" s="1" t="s">
        <v>1223</v>
      </c>
      <c r="F101" s="1" t="s">
        <v>362</v>
      </c>
      <c r="G101" s="1" t="s">
        <v>1234</v>
      </c>
      <c r="H101" s="1">
        <v>41.9</v>
      </c>
      <c r="I101" s="1">
        <v>0</v>
      </c>
      <c r="J101" s="1">
        <v>1</v>
      </c>
      <c r="L101" s="1">
        <v>0</v>
      </c>
      <c r="M101" s="1" t="s">
        <v>14525</v>
      </c>
      <c r="N101" s="1" t="s">
        <v>14525</v>
      </c>
    </row>
    <row r="102" spans="1:14" s="1" customFormat="1" x14ac:dyDescent="0.25">
      <c r="A102" s="1" t="s">
        <v>1312</v>
      </c>
      <c r="B102" s="1">
        <v>101</v>
      </c>
      <c r="C102" s="1" t="s">
        <v>1067</v>
      </c>
      <c r="D102" s="1" t="s">
        <v>11088</v>
      </c>
      <c r="E102" s="1" t="s">
        <v>1223</v>
      </c>
      <c r="F102" s="1" t="s">
        <v>362</v>
      </c>
      <c r="G102" s="1" t="s">
        <v>1234</v>
      </c>
      <c r="H102" s="1">
        <v>41.9</v>
      </c>
      <c r="I102" s="1">
        <v>0</v>
      </c>
      <c r="J102" s="1">
        <v>1</v>
      </c>
      <c r="L102" s="1">
        <v>0</v>
      </c>
      <c r="M102" s="1" t="s">
        <v>385</v>
      </c>
      <c r="N102" s="1" t="s">
        <v>385</v>
      </c>
    </row>
    <row r="103" spans="1:14" x14ac:dyDescent="0.25">
      <c r="A103" s="1" t="s">
        <v>1314</v>
      </c>
      <c r="B103" s="1">
        <v>102</v>
      </c>
      <c r="C103" s="1" t="s">
        <v>1067</v>
      </c>
      <c r="D103" s="1" t="s">
        <v>11088</v>
      </c>
      <c r="E103" s="1" t="s">
        <v>1223</v>
      </c>
      <c r="F103" s="1" t="s">
        <v>369</v>
      </c>
      <c r="G103" s="1" t="s">
        <v>1271</v>
      </c>
      <c r="H103" s="1">
        <v>41.9</v>
      </c>
      <c r="I103" s="1">
        <v>0</v>
      </c>
      <c r="J103" s="1">
        <v>1</v>
      </c>
      <c r="K103" s="1"/>
      <c r="L103" s="1">
        <v>0</v>
      </c>
      <c r="M103" s="1" t="s">
        <v>1272</v>
      </c>
      <c r="N103" s="1" t="s">
        <v>1273</v>
      </c>
    </row>
    <row r="104" spans="1:14" x14ac:dyDescent="0.25">
      <c r="A104" s="1" t="s">
        <v>1316</v>
      </c>
      <c r="B104" s="1">
        <v>103</v>
      </c>
      <c r="C104" s="1" t="s">
        <v>1067</v>
      </c>
      <c r="D104" s="1" t="s">
        <v>11088</v>
      </c>
      <c r="E104" s="1" t="s">
        <v>1223</v>
      </c>
      <c r="F104" s="1" t="s">
        <v>369</v>
      </c>
      <c r="G104" s="1" t="s">
        <v>1271</v>
      </c>
      <c r="H104" s="1">
        <v>41.9</v>
      </c>
      <c r="I104" s="1">
        <v>0</v>
      </c>
      <c r="J104" s="1">
        <v>1</v>
      </c>
      <c r="K104" s="1"/>
      <c r="L104" s="1">
        <v>0</v>
      </c>
      <c r="M104" s="1" t="s">
        <v>1275</v>
      </c>
      <c r="N104" s="1" t="s">
        <v>1276</v>
      </c>
    </row>
    <row r="105" spans="1:14" x14ac:dyDescent="0.25">
      <c r="A105" s="1" t="s">
        <v>1319</v>
      </c>
      <c r="B105" s="1">
        <v>104</v>
      </c>
      <c r="C105" s="1" t="s">
        <v>1067</v>
      </c>
      <c r="D105" s="1" t="s">
        <v>11088</v>
      </c>
      <c r="E105" s="1" t="s">
        <v>1223</v>
      </c>
      <c r="F105" s="1" t="s">
        <v>369</v>
      </c>
      <c r="G105" s="1" t="s">
        <v>1271</v>
      </c>
      <c r="H105" s="1">
        <v>41.9</v>
      </c>
      <c r="I105" s="1">
        <v>0</v>
      </c>
      <c r="J105" s="1">
        <v>1</v>
      </c>
      <c r="K105" s="1"/>
      <c r="L105" s="1">
        <v>0</v>
      </c>
      <c r="M105" s="1" t="s">
        <v>1275</v>
      </c>
      <c r="N105" s="1" t="s">
        <v>1278</v>
      </c>
    </row>
    <row r="106" spans="1:14" x14ac:dyDescent="0.25">
      <c r="A106" s="1" t="s">
        <v>1323</v>
      </c>
      <c r="B106" s="1">
        <v>105</v>
      </c>
      <c r="C106" s="1" t="s">
        <v>1067</v>
      </c>
      <c r="D106" s="1" t="s">
        <v>11088</v>
      </c>
      <c r="E106" s="1" t="s">
        <v>1223</v>
      </c>
      <c r="F106" s="1" t="s">
        <v>369</v>
      </c>
      <c r="G106" s="1" t="s">
        <v>1271</v>
      </c>
      <c r="H106" s="1">
        <v>41.9</v>
      </c>
      <c r="I106" s="1">
        <v>0</v>
      </c>
      <c r="J106" s="1">
        <v>1</v>
      </c>
      <c r="K106" s="1"/>
      <c r="L106" s="1">
        <v>0</v>
      </c>
      <c r="M106" s="1" t="s">
        <v>1275</v>
      </c>
      <c r="N106" s="1" t="s">
        <v>1280</v>
      </c>
    </row>
    <row r="107" spans="1:14" x14ac:dyDescent="0.25">
      <c r="A107" s="1" t="s">
        <v>1325</v>
      </c>
      <c r="B107" s="1">
        <v>106</v>
      </c>
      <c r="C107" s="1" t="s">
        <v>1067</v>
      </c>
      <c r="D107" s="1" t="s">
        <v>11088</v>
      </c>
      <c r="E107" s="1" t="s">
        <v>1223</v>
      </c>
      <c r="F107" s="1" t="s">
        <v>369</v>
      </c>
      <c r="G107" s="1" t="s">
        <v>1271</v>
      </c>
      <c r="H107" s="1">
        <v>41.9</v>
      </c>
      <c r="I107" s="1">
        <v>0</v>
      </c>
      <c r="J107" s="1">
        <v>1</v>
      </c>
      <c r="K107" s="1"/>
      <c r="L107" s="1">
        <v>0</v>
      </c>
      <c r="M107" s="1" t="s">
        <v>1275</v>
      </c>
      <c r="N107" s="1" t="s">
        <v>1282</v>
      </c>
    </row>
    <row r="108" spans="1:14" x14ac:dyDescent="0.25">
      <c r="A108" s="1" t="s">
        <v>1328</v>
      </c>
      <c r="B108" s="1">
        <v>107</v>
      </c>
      <c r="C108" s="1" t="s">
        <v>1067</v>
      </c>
      <c r="D108" s="1" t="s">
        <v>11088</v>
      </c>
      <c r="E108" s="1" t="s">
        <v>1223</v>
      </c>
      <c r="F108" s="1" t="s">
        <v>369</v>
      </c>
      <c r="G108" s="1" t="s">
        <v>1271</v>
      </c>
      <c r="H108" s="1">
        <v>41.9</v>
      </c>
      <c r="I108" s="1">
        <v>0</v>
      </c>
      <c r="J108" s="1">
        <v>1</v>
      </c>
      <c r="K108" s="1"/>
      <c r="L108" s="1">
        <v>0</v>
      </c>
      <c r="M108" s="1" t="s">
        <v>1284</v>
      </c>
      <c r="N108" s="1" t="s">
        <v>1285</v>
      </c>
    </row>
    <row r="109" spans="1:14" x14ac:dyDescent="0.25">
      <c r="A109" s="1" t="s">
        <v>1331</v>
      </c>
      <c r="B109" s="1">
        <v>108</v>
      </c>
      <c r="C109" s="1" t="s">
        <v>1067</v>
      </c>
      <c r="D109" s="1" t="s">
        <v>11088</v>
      </c>
      <c r="E109" s="1" t="s">
        <v>1223</v>
      </c>
      <c r="F109" s="1" t="s">
        <v>369</v>
      </c>
      <c r="G109" s="1" t="s">
        <v>1271</v>
      </c>
      <c r="H109" s="1">
        <v>41.9</v>
      </c>
      <c r="I109" s="1">
        <v>0</v>
      </c>
      <c r="J109" s="1">
        <v>1</v>
      </c>
      <c r="K109" s="1"/>
      <c r="L109" s="1">
        <v>0</v>
      </c>
      <c r="M109" s="1" t="s">
        <v>1284</v>
      </c>
      <c r="N109" s="1" t="s">
        <v>1287</v>
      </c>
    </row>
    <row r="110" spans="1:14" x14ac:dyDescent="0.25">
      <c r="A110" s="1" t="s">
        <v>1333</v>
      </c>
      <c r="B110" s="1">
        <v>109</v>
      </c>
      <c r="C110" s="1" t="s">
        <v>1067</v>
      </c>
      <c r="D110" s="1" t="s">
        <v>11088</v>
      </c>
      <c r="E110" s="1" t="s">
        <v>1223</v>
      </c>
      <c r="F110" s="1" t="s">
        <v>369</v>
      </c>
      <c r="G110" s="1" t="s">
        <v>1271</v>
      </c>
      <c r="H110" s="1">
        <v>41.9</v>
      </c>
      <c r="I110" s="1">
        <v>0</v>
      </c>
      <c r="J110" s="1">
        <v>1</v>
      </c>
      <c r="K110" s="1"/>
      <c r="L110" s="1">
        <v>0</v>
      </c>
      <c r="M110" s="1" t="s">
        <v>1284</v>
      </c>
      <c r="N110" s="1" t="s">
        <v>1238</v>
      </c>
    </row>
    <row r="111" spans="1:14" x14ac:dyDescent="0.25">
      <c r="A111" s="1" t="s">
        <v>1335</v>
      </c>
      <c r="B111" s="1">
        <v>110</v>
      </c>
      <c r="C111" s="1" t="s">
        <v>1067</v>
      </c>
      <c r="D111" s="1" t="s">
        <v>11088</v>
      </c>
      <c r="E111" s="1" t="s">
        <v>1223</v>
      </c>
      <c r="F111" s="1" t="s">
        <v>369</v>
      </c>
      <c r="G111" s="1" t="s">
        <v>1271</v>
      </c>
      <c r="H111" s="1">
        <v>41.9</v>
      </c>
      <c r="I111" s="1">
        <v>0</v>
      </c>
      <c r="J111" s="1">
        <v>1</v>
      </c>
      <c r="K111" s="1"/>
      <c r="L111" s="1">
        <v>0</v>
      </c>
      <c r="M111" s="1" t="s">
        <v>1284</v>
      </c>
      <c r="N111" s="1" t="s">
        <v>1290</v>
      </c>
    </row>
    <row r="112" spans="1:14" x14ac:dyDescent="0.25">
      <c r="A112" s="1" t="s">
        <v>1337</v>
      </c>
      <c r="B112" s="1">
        <v>111</v>
      </c>
      <c r="C112" s="1" t="s">
        <v>1067</v>
      </c>
      <c r="D112" s="1" t="s">
        <v>11088</v>
      </c>
      <c r="E112" s="1" t="s">
        <v>1223</v>
      </c>
      <c r="F112" s="1" t="s">
        <v>369</v>
      </c>
      <c r="G112" s="1" t="s">
        <v>1271</v>
      </c>
      <c r="H112" s="1">
        <v>41.9</v>
      </c>
      <c r="I112" s="1">
        <v>0</v>
      </c>
      <c r="J112" s="1">
        <v>1</v>
      </c>
      <c r="K112" s="1"/>
      <c r="L112" s="1">
        <v>0</v>
      </c>
      <c r="M112" s="1" t="s">
        <v>1284</v>
      </c>
      <c r="N112" s="1" t="s">
        <v>1292</v>
      </c>
    </row>
    <row r="113" spans="1:14" x14ac:dyDescent="0.25">
      <c r="A113" s="1" t="s">
        <v>1339</v>
      </c>
      <c r="B113" s="1">
        <v>112</v>
      </c>
      <c r="C113" s="1" t="s">
        <v>1067</v>
      </c>
      <c r="D113" s="1" t="s">
        <v>11088</v>
      </c>
      <c r="E113" s="1" t="s">
        <v>1223</v>
      </c>
      <c r="F113" s="1" t="s">
        <v>369</v>
      </c>
      <c r="G113" s="1" t="s">
        <v>1271</v>
      </c>
      <c r="H113" s="1">
        <v>41.9</v>
      </c>
      <c r="I113" s="1">
        <v>0</v>
      </c>
      <c r="J113" s="1">
        <v>1</v>
      </c>
      <c r="K113" s="1"/>
      <c r="L113" s="1">
        <v>0</v>
      </c>
      <c r="M113" s="1" t="s">
        <v>1294</v>
      </c>
      <c r="N113" s="1" t="s">
        <v>1295</v>
      </c>
    </row>
    <row r="114" spans="1:14" s="1" customFormat="1" x14ac:dyDescent="0.25">
      <c r="A114" s="1" t="s">
        <v>1342</v>
      </c>
      <c r="B114" s="1">
        <v>113</v>
      </c>
      <c r="C114" s="1" t="s">
        <v>1067</v>
      </c>
      <c r="D114" s="1" t="s">
        <v>11088</v>
      </c>
      <c r="E114" s="1" t="s">
        <v>1223</v>
      </c>
      <c r="F114" s="1" t="s">
        <v>369</v>
      </c>
      <c r="G114" s="1" t="s">
        <v>1271</v>
      </c>
      <c r="H114" s="1">
        <v>41.9</v>
      </c>
      <c r="I114" s="1">
        <v>0</v>
      </c>
      <c r="J114" s="1">
        <v>1</v>
      </c>
      <c r="L114" s="1">
        <v>0</v>
      </c>
      <c r="M114" s="1" t="s">
        <v>14583</v>
      </c>
      <c r="N114" s="1" t="s">
        <v>14583</v>
      </c>
    </row>
    <row r="115" spans="1:14" x14ac:dyDescent="0.25">
      <c r="A115" s="1" t="s">
        <v>1344</v>
      </c>
      <c r="B115" s="1">
        <v>114</v>
      </c>
      <c r="C115" s="1" t="s">
        <v>1067</v>
      </c>
      <c r="D115" s="1" t="s">
        <v>11088</v>
      </c>
      <c r="E115" s="1" t="s">
        <v>1223</v>
      </c>
      <c r="F115" s="1" t="s">
        <v>512</v>
      </c>
      <c r="G115" s="1" t="s">
        <v>1297</v>
      </c>
      <c r="H115" s="1">
        <v>41.9</v>
      </c>
      <c r="I115" s="1">
        <v>0</v>
      </c>
      <c r="J115" s="1">
        <v>1</v>
      </c>
      <c r="K115" s="1"/>
      <c r="L115" s="1">
        <v>0</v>
      </c>
      <c r="M115" s="1" t="s">
        <v>1298</v>
      </c>
      <c r="N115" s="1" t="s">
        <v>1299</v>
      </c>
    </row>
    <row r="116" spans="1:14" x14ac:dyDescent="0.25">
      <c r="A116" s="1" t="s">
        <v>1346</v>
      </c>
      <c r="B116" s="1">
        <v>115</v>
      </c>
      <c r="C116" s="1" t="s">
        <v>1067</v>
      </c>
      <c r="D116" s="1" t="s">
        <v>11088</v>
      </c>
      <c r="E116" s="1" t="s">
        <v>1223</v>
      </c>
      <c r="F116" s="1" t="s">
        <v>512</v>
      </c>
      <c r="G116" s="1" t="s">
        <v>1297</v>
      </c>
      <c r="H116" s="1">
        <v>41.9</v>
      </c>
      <c r="I116" s="1">
        <v>0</v>
      </c>
      <c r="J116" s="1">
        <v>1</v>
      </c>
      <c r="K116" s="1"/>
      <c r="L116" s="1">
        <v>0</v>
      </c>
      <c r="M116" s="1" t="s">
        <v>1301</v>
      </c>
      <c r="N116" s="1" t="s">
        <v>1302</v>
      </c>
    </row>
    <row r="117" spans="1:14" x14ac:dyDescent="0.25">
      <c r="A117" s="1" t="s">
        <v>1350</v>
      </c>
      <c r="B117" s="1">
        <v>116</v>
      </c>
      <c r="C117" s="1" t="s">
        <v>1067</v>
      </c>
      <c r="D117" s="1" t="s">
        <v>11088</v>
      </c>
      <c r="E117" s="1" t="s">
        <v>1223</v>
      </c>
      <c r="F117" s="1" t="s">
        <v>512</v>
      </c>
      <c r="G117" s="1" t="s">
        <v>1297</v>
      </c>
      <c r="H117" s="1">
        <v>41.9</v>
      </c>
      <c r="I117" s="1">
        <v>0</v>
      </c>
      <c r="J117" s="1">
        <v>1</v>
      </c>
      <c r="K117" s="1"/>
      <c r="L117" s="1">
        <v>0</v>
      </c>
      <c r="M117" s="1" t="s">
        <v>1301</v>
      </c>
      <c r="N117" s="1" t="s">
        <v>1304</v>
      </c>
    </row>
    <row r="118" spans="1:14" x14ac:dyDescent="0.25">
      <c r="A118" s="1" t="s">
        <v>1352</v>
      </c>
      <c r="B118" s="1">
        <v>117</v>
      </c>
      <c r="C118" s="1" t="s">
        <v>1067</v>
      </c>
      <c r="D118" s="1" t="s">
        <v>11088</v>
      </c>
      <c r="E118" s="1" t="s">
        <v>1223</v>
      </c>
      <c r="F118" s="1" t="s">
        <v>512</v>
      </c>
      <c r="G118" s="1" t="s">
        <v>1297</v>
      </c>
      <c r="H118" s="1">
        <v>41.9</v>
      </c>
      <c r="I118" s="1">
        <v>0</v>
      </c>
      <c r="J118" s="1">
        <v>1</v>
      </c>
      <c r="K118" s="1"/>
      <c r="L118" s="1">
        <v>0</v>
      </c>
      <c r="M118" s="1" t="s">
        <v>1301</v>
      </c>
      <c r="N118" s="1" t="s">
        <v>1306</v>
      </c>
    </row>
    <row r="119" spans="1:14" x14ac:dyDescent="0.25">
      <c r="A119" s="1" t="s">
        <v>1354</v>
      </c>
      <c r="B119" s="1">
        <v>118</v>
      </c>
      <c r="C119" s="1" t="s">
        <v>1067</v>
      </c>
      <c r="D119" s="1" t="s">
        <v>11088</v>
      </c>
      <c r="E119" s="1" t="s">
        <v>1223</v>
      </c>
      <c r="F119" s="1" t="s">
        <v>512</v>
      </c>
      <c r="G119" s="1" t="s">
        <v>1297</v>
      </c>
      <c r="H119" s="1">
        <v>41.9</v>
      </c>
      <c r="I119" s="1">
        <v>0</v>
      </c>
      <c r="J119" s="1">
        <v>1</v>
      </c>
      <c r="K119" s="1"/>
      <c r="L119" s="1">
        <v>0</v>
      </c>
      <c r="M119" s="1" t="s">
        <v>1308</v>
      </c>
      <c r="N119" s="1" t="s">
        <v>1309</v>
      </c>
    </row>
    <row r="120" spans="1:14" x14ac:dyDescent="0.25">
      <c r="A120" s="1" t="s">
        <v>1357</v>
      </c>
      <c r="B120" s="1">
        <v>119</v>
      </c>
      <c r="C120" s="1" t="s">
        <v>1067</v>
      </c>
      <c r="D120" s="1" t="s">
        <v>11088</v>
      </c>
      <c r="E120" s="1" t="s">
        <v>1223</v>
      </c>
      <c r="F120" s="1" t="s">
        <v>512</v>
      </c>
      <c r="G120" s="1" t="s">
        <v>1297</v>
      </c>
      <c r="H120" s="1">
        <v>41.9</v>
      </c>
      <c r="I120" s="1">
        <v>0</v>
      </c>
      <c r="J120" s="1">
        <v>1</v>
      </c>
      <c r="K120" s="1"/>
      <c r="L120" s="1">
        <v>0</v>
      </c>
      <c r="M120" s="1" t="s">
        <v>1308</v>
      </c>
      <c r="N120" s="1" t="s">
        <v>1311</v>
      </c>
    </row>
    <row r="121" spans="1:14" x14ac:dyDescent="0.25">
      <c r="A121" s="1" t="s">
        <v>1359</v>
      </c>
      <c r="B121" s="1">
        <v>120</v>
      </c>
      <c r="C121" s="1" t="s">
        <v>1067</v>
      </c>
      <c r="D121" s="1" t="s">
        <v>11088</v>
      </c>
      <c r="E121" s="1" t="s">
        <v>1223</v>
      </c>
      <c r="F121" s="1" t="s">
        <v>512</v>
      </c>
      <c r="G121" s="1" t="s">
        <v>1297</v>
      </c>
      <c r="H121" s="1">
        <v>41.9</v>
      </c>
      <c r="I121" s="1">
        <v>0</v>
      </c>
      <c r="J121" s="1">
        <v>1</v>
      </c>
      <c r="K121" s="1"/>
      <c r="L121" s="1">
        <v>0</v>
      </c>
      <c r="M121" s="1" t="s">
        <v>1308</v>
      </c>
      <c r="N121" s="1" t="s">
        <v>1313</v>
      </c>
    </row>
    <row r="122" spans="1:14" x14ac:dyDescent="0.25">
      <c r="A122" s="1" t="s">
        <v>1361</v>
      </c>
      <c r="B122" s="1">
        <v>121</v>
      </c>
      <c r="C122" s="1" t="s">
        <v>1067</v>
      </c>
      <c r="D122" s="1" t="s">
        <v>11088</v>
      </c>
      <c r="E122" s="1" t="s">
        <v>1223</v>
      </c>
      <c r="F122" s="1" t="s">
        <v>512</v>
      </c>
      <c r="G122" s="1" t="s">
        <v>1297</v>
      </c>
      <c r="H122" s="1">
        <v>41.9</v>
      </c>
      <c r="I122" s="1">
        <v>0</v>
      </c>
      <c r="J122" s="1">
        <v>1</v>
      </c>
      <c r="K122" s="1"/>
      <c r="L122" s="1">
        <v>0</v>
      </c>
      <c r="M122" s="1" t="s">
        <v>1308</v>
      </c>
      <c r="N122" s="1" t="s">
        <v>1315</v>
      </c>
    </row>
    <row r="123" spans="1:14" x14ac:dyDescent="0.25">
      <c r="A123" s="1" t="s">
        <v>1363</v>
      </c>
      <c r="B123" s="1">
        <v>122</v>
      </c>
      <c r="C123" s="1" t="s">
        <v>1067</v>
      </c>
      <c r="D123" s="1" t="s">
        <v>11088</v>
      </c>
      <c r="E123" s="1" t="s">
        <v>1223</v>
      </c>
      <c r="F123" s="1" t="s">
        <v>512</v>
      </c>
      <c r="G123" s="1" t="s">
        <v>1297</v>
      </c>
      <c r="H123" s="1">
        <v>41.9</v>
      </c>
      <c r="I123" s="1">
        <v>0</v>
      </c>
      <c r="J123" s="1">
        <v>1</v>
      </c>
      <c r="K123" s="1"/>
      <c r="L123" s="1">
        <v>0</v>
      </c>
      <c r="M123" s="1" t="s">
        <v>1317</v>
      </c>
      <c r="N123" s="1" t="s">
        <v>1318</v>
      </c>
    </row>
    <row r="124" spans="1:14" s="1" customFormat="1" x14ac:dyDescent="0.25">
      <c r="A124" s="1" t="s">
        <v>1367</v>
      </c>
      <c r="B124" s="1">
        <v>123</v>
      </c>
      <c r="C124" s="1" t="s">
        <v>1067</v>
      </c>
      <c r="D124" s="1" t="s">
        <v>11088</v>
      </c>
      <c r="E124" s="1" t="s">
        <v>1223</v>
      </c>
      <c r="F124" s="1" t="s">
        <v>512</v>
      </c>
      <c r="G124" s="1" t="s">
        <v>1297</v>
      </c>
      <c r="H124" s="1">
        <v>41.9</v>
      </c>
      <c r="I124" s="1">
        <v>0</v>
      </c>
      <c r="J124" s="1">
        <v>1</v>
      </c>
      <c r="L124" s="1">
        <v>0</v>
      </c>
      <c r="M124" s="1" t="s">
        <v>14624</v>
      </c>
      <c r="N124" s="1" t="s">
        <v>14624</v>
      </c>
    </row>
    <row r="125" spans="1:14" s="1" customFormat="1" x14ac:dyDescent="0.25">
      <c r="A125" s="1" t="s">
        <v>1370</v>
      </c>
      <c r="B125" s="1">
        <v>124</v>
      </c>
      <c r="C125" s="1" t="s">
        <v>1067</v>
      </c>
      <c r="D125" s="1" t="s">
        <v>11088</v>
      </c>
      <c r="E125" s="1" t="s">
        <v>1223</v>
      </c>
      <c r="F125" s="1" t="s">
        <v>512</v>
      </c>
      <c r="G125" s="1" t="s">
        <v>1297</v>
      </c>
      <c r="H125" s="1">
        <v>41.9</v>
      </c>
      <c r="I125" s="1">
        <v>0</v>
      </c>
      <c r="J125" s="1">
        <v>1</v>
      </c>
      <c r="L125" s="1">
        <v>0</v>
      </c>
      <c r="M125" s="1" t="s">
        <v>14645</v>
      </c>
      <c r="N125" s="1" t="s">
        <v>14645</v>
      </c>
    </row>
    <row r="126" spans="1:14" s="1" customFormat="1" x14ac:dyDescent="0.25">
      <c r="A126" s="1" t="s">
        <v>1372</v>
      </c>
      <c r="B126" s="1">
        <v>125</v>
      </c>
      <c r="C126" s="1" t="s">
        <v>1067</v>
      </c>
      <c r="D126" s="1" t="s">
        <v>11088</v>
      </c>
      <c r="E126" s="1" t="s">
        <v>1223</v>
      </c>
      <c r="F126" s="1" t="s">
        <v>512</v>
      </c>
      <c r="G126" s="1" t="s">
        <v>1297</v>
      </c>
      <c r="H126" s="1">
        <v>41.9</v>
      </c>
      <c r="I126" s="1">
        <v>0</v>
      </c>
      <c r="J126" s="1">
        <v>1</v>
      </c>
      <c r="L126" s="1">
        <v>0</v>
      </c>
      <c r="M126" s="1" t="s">
        <v>14655</v>
      </c>
      <c r="N126" s="1" t="s">
        <v>14655</v>
      </c>
    </row>
    <row r="127" spans="1:14" s="1" customFormat="1" x14ac:dyDescent="0.25">
      <c r="A127" s="1" t="s">
        <v>1374</v>
      </c>
      <c r="B127" s="1">
        <v>126</v>
      </c>
      <c r="C127" s="1" t="s">
        <v>1067</v>
      </c>
      <c r="D127" s="1" t="s">
        <v>11088</v>
      </c>
      <c r="E127" s="1" t="s">
        <v>1223</v>
      </c>
      <c r="F127" s="1" t="s">
        <v>512</v>
      </c>
      <c r="G127" s="1" t="s">
        <v>1297</v>
      </c>
      <c r="H127" s="1">
        <v>41.9</v>
      </c>
      <c r="I127" s="1">
        <v>0</v>
      </c>
      <c r="J127" s="1">
        <v>1</v>
      </c>
      <c r="L127" s="1">
        <v>0</v>
      </c>
      <c r="M127" s="1" t="s">
        <v>14666</v>
      </c>
      <c r="N127" s="1" t="s">
        <v>14666</v>
      </c>
    </row>
    <row r="128" spans="1:14" x14ac:dyDescent="0.25">
      <c r="A128" s="1" t="s">
        <v>1376</v>
      </c>
      <c r="B128" s="1">
        <v>127</v>
      </c>
      <c r="C128" s="1" t="s">
        <v>1067</v>
      </c>
      <c r="D128" s="1" t="s">
        <v>11088</v>
      </c>
      <c r="E128" s="1" t="s">
        <v>1223</v>
      </c>
      <c r="F128" s="1" t="s">
        <v>344</v>
      </c>
      <c r="G128" s="1" t="s">
        <v>1320</v>
      </c>
      <c r="H128" s="1">
        <v>41.9</v>
      </c>
      <c r="I128" s="1">
        <v>0</v>
      </c>
      <c r="J128" s="1">
        <v>1</v>
      </c>
      <c r="K128" s="1"/>
      <c r="L128" s="1">
        <v>0</v>
      </c>
      <c r="M128" s="1" t="s">
        <v>1321</v>
      </c>
      <c r="N128" s="1" t="s">
        <v>1322</v>
      </c>
    </row>
    <row r="129" spans="1:14" x14ac:dyDescent="0.25">
      <c r="A129" s="1" t="s">
        <v>1378</v>
      </c>
      <c r="B129" s="1">
        <v>128</v>
      </c>
      <c r="C129" s="1" t="s">
        <v>1067</v>
      </c>
      <c r="D129" s="1" t="s">
        <v>11088</v>
      </c>
      <c r="E129" s="1" t="s">
        <v>1223</v>
      </c>
      <c r="F129" s="1" t="s">
        <v>344</v>
      </c>
      <c r="G129" s="1" t="s">
        <v>1320</v>
      </c>
      <c r="H129" s="1">
        <v>41.9</v>
      </c>
      <c r="I129" s="1">
        <v>0</v>
      </c>
      <c r="J129" s="1">
        <v>1</v>
      </c>
      <c r="K129" s="1"/>
      <c r="L129" s="1">
        <v>0</v>
      </c>
      <c r="M129" s="1" t="s">
        <v>1321</v>
      </c>
      <c r="N129" s="1" t="s">
        <v>1324</v>
      </c>
    </row>
    <row r="130" spans="1:14" x14ac:dyDescent="0.25">
      <c r="A130" s="1" t="s">
        <v>1380</v>
      </c>
      <c r="B130" s="1">
        <v>129</v>
      </c>
      <c r="C130" s="1" t="s">
        <v>1067</v>
      </c>
      <c r="D130" s="1" t="s">
        <v>11088</v>
      </c>
      <c r="E130" s="1" t="s">
        <v>1223</v>
      </c>
      <c r="F130" s="1" t="s">
        <v>344</v>
      </c>
      <c r="G130" s="1" t="s">
        <v>1320</v>
      </c>
      <c r="H130" s="1">
        <v>41.9</v>
      </c>
      <c r="I130" s="1">
        <v>0</v>
      </c>
      <c r="J130" s="1">
        <v>1</v>
      </c>
      <c r="K130" s="1"/>
      <c r="L130" s="1">
        <v>0</v>
      </c>
      <c r="M130" s="1" t="s">
        <v>1326</v>
      </c>
      <c r="N130" s="1" t="s">
        <v>1327</v>
      </c>
    </row>
    <row r="131" spans="1:14" x14ac:dyDescent="0.25">
      <c r="A131" s="1" t="s">
        <v>1383</v>
      </c>
      <c r="B131" s="1">
        <v>130</v>
      </c>
      <c r="C131" s="1" t="s">
        <v>1067</v>
      </c>
      <c r="D131" s="1" t="s">
        <v>11088</v>
      </c>
      <c r="E131" s="1" t="s">
        <v>1223</v>
      </c>
      <c r="F131" s="1" t="s">
        <v>344</v>
      </c>
      <c r="G131" s="1" t="s">
        <v>1320</v>
      </c>
      <c r="H131" s="1">
        <v>41.9</v>
      </c>
      <c r="I131" s="1">
        <v>0</v>
      </c>
      <c r="J131" s="1">
        <v>1</v>
      </c>
      <c r="K131" s="1"/>
      <c r="L131" s="1">
        <v>0</v>
      </c>
      <c r="M131" s="1" t="s">
        <v>1329</v>
      </c>
      <c r="N131" s="1" t="s">
        <v>1330</v>
      </c>
    </row>
    <row r="132" spans="1:14" x14ac:dyDescent="0.25">
      <c r="A132" s="1" t="s">
        <v>1385</v>
      </c>
      <c r="B132" s="1">
        <v>131</v>
      </c>
      <c r="C132" s="1" t="s">
        <v>1067</v>
      </c>
      <c r="D132" s="1" t="s">
        <v>11088</v>
      </c>
      <c r="E132" s="1" t="s">
        <v>1223</v>
      </c>
      <c r="F132" s="1" t="s">
        <v>344</v>
      </c>
      <c r="G132" s="1" t="s">
        <v>1320</v>
      </c>
      <c r="H132" s="1">
        <v>41.9</v>
      </c>
      <c r="I132" s="1">
        <v>0</v>
      </c>
      <c r="J132" s="1">
        <v>1</v>
      </c>
      <c r="K132" s="1"/>
      <c r="L132" s="1">
        <v>0</v>
      </c>
      <c r="M132" s="1" t="s">
        <v>1329</v>
      </c>
      <c r="N132" s="1" t="s">
        <v>1332</v>
      </c>
    </row>
    <row r="133" spans="1:14" x14ac:dyDescent="0.25">
      <c r="A133" s="1" t="s">
        <v>1388</v>
      </c>
      <c r="B133" s="1">
        <v>132</v>
      </c>
      <c r="C133" s="1" t="s">
        <v>1067</v>
      </c>
      <c r="D133" s="1" t="s">
        <v>11088</v>
      </c>
      <c r="E133" s="1" t="s">
        <v>1223</v>
      </c>
      <c r="F133" s="1" t="s">
        <v>344</v>
      </c>
      <c r="G133" s="1" t="s">
        <v>1320</v>
      </c>
      <c r="H133" s="1">
        <v>41.9</v>
      </c>
      <c r="I133" s="1">
        <v>0</v>
      </c>
      <c r="J133" s="1">
        <v>1</v>
      </c>
      <c r="K133" s="1"/>
      <c r="L133" s="1">
        <v>0</v>
      </c>
      <c r="M133" s="1" t="s">
        <v>1329</v>
      </c>
      <c r="N133" s="1" t="s">
        <v>1334</v>
      </c>
    </row>
    <row r="134" spans="1:14" x14ac:dyDescent="0.25">
      <c r="A134" s="1" t="s">
        <v>1390</v>
      </c>
      <c r="B134" s="1">
        <v>133</v>
      </c>
      <c r="C134" s="1" t="s">
        <v>1067</v>
      </c>
      <c r="D134" s="1" t="s">
        <v>11088</v>
      </c>
      <c r="E134" s="1" t="s">
        <v>1223</v>
      </c>
      <c r="F134" s="1" t="s">
        <v>344</v>
      </c>
      <c r="G134" s="1" t="s">
        <v>1320</v>
      </c>
      <c r="H134" s="1">
        <v>41.9</v>
      </c>
      <c r="I134" s="1">
        <v>0</v>
      </c>
      <c r="J134" s="1">
        <v>1</v>
      </c>
      <c r="K134" s="1"/>
      <c r="L134" s="1">
        <v>0</v>
      </c>
      <c r="M134" s="1" t="s">
        <v>1336</v>
      </c>
      <c r="N134" s="1" t="s">
        <v>1238</v>
      </c>
    </row>
    <row r="135" spans="1:14" x14ac:dyDescent="0.25">
      <c r="A135" s="1" t="s">
        <v>1393</v>
      </c>
      <c r="B135" s="1">
        <v>134</v>
      </c>
      <c r="C135" s="1" t="s">
        <v>1067</v>
      </c>
      <c r="D135" s="1" t="s">
        <v>11088</v>
      </c>
      <c r="E135" s="1" t="s">
        <v>1223</v>
      </c>
      <c r="F135" s="1" t="s">
        <v>344</v>
      </c>
      <c r="G135" s="1" t="s">
        <v>1320</v>
      </c>
      <c r="H135" s="1">
        <v>41.9</v>
      </c>
      <c r="I135" s="1">
        <v>0</v>
      </c>
      <c r="J135" s="1">
        <v>1</v>
      </c>
      <c r="K135" s="1"/>
      <c r="L135" s="1">
        <v>0</v>
      </c>
      <c r="M135" s="1" t="s">
        <v>1336</v>
      </c>
      <c r="N135" s="1" t="s">
        <v>1338</v>
      </c>
    </row>
    <row r="136" spans="1:14" x14ac:dyDescent="0.25">
      <c r="A136" s="1" t="s">
        <v>1395</v>
      </c>
      <c r="B136" s="1">
        <v>135</v>
      </c>
      <c r="C136" s="1" t="s">
        <v>1067</v>
      </c>
      <c r="D136" s="1" t="s">
        <v>11088</v>
      </c>
      <c r="E136" s="1" t="s">
        <v>1223</v>
      </c>
      <c r="F136" s="1" t="s">
        <v>344</v>
      </c>
      <c r="G136" s="1" t="s">
        <v>1320</v>
      </c>
      <c r="H136" s="1">
        <v>41.9</v>
      </c>
      <c r="I136" s="1">
        <v>0</v>
      </c>
      <c r="J136" s="1">
        <v>1</v>
      </c>
      <c r="K136" s="1"/>
      <c r="L136" s="1">
        <v>0</v>
      </c>
      <c r="M136" s="1" t="s">
        <v>1340</v>
      </c>
      <c r="N136" s="1" t="s">
        <v>1341</v>
      </c>
    </row>
    <row r="137" spans="1:14" x14ac:dyDescent="0.25">
      <c r="A137" s="1" t="s">
        <v>1397</v>
      </c>
      <c r="B137" s="1">
        <v>136</v>
      </c>
      <c r="C137" s="1" t="s">
        <v>1067</v>
      </c>
      <c r="D137" s="1" t="s">
        <v>11088</v>
      </c>
      <c r="E137" s="1" t="s">
        <v>1223</v>
      </c>
      <c r="F137" s="1" t="s">
        <v>344</v>
      </c>
      <c r="G137" s="1" t="s">
        <v>1320</v>
      </c>
      <c r="H137" s="1">
        <v>41.9</v>
      </c>
      <c r="I137" s="1">
        <v>0</v>
      </c>
      <c r="J137" s="1">
        <v>1</v>
      </c>
      <c r="K137" s="1"/>
      <c r="L137" s="1">
        <v>0</v>
      </c>
      <c r="M137" s="1" t="s">
        <v>1340</v>
      </c>
      <c r="N137" s="1" t="s">
        <v>1343</v>
      </c>
    </row>
    <row r="138" spans="1:14" x14ac:dyDescent="0.25">
      <c r="A138" s="1" t="s">
        <v>1401</v>
      </c>
      <c r="B138" s="1">
        <v>137</v>
      </c>
      <c r="C138" s="1" t="s">
        <v>1067</v>
      </c>
      <c r="D138" s="1" t="s">
        <v>11088</v>
      </c>
      <c r="E138" s="1" t="s">
        <v>1223</v>
      </c>
      <c r="F138" s="1" t="s">
        <v>344</v>
      </c>
      <c r="G138" s="1" t="s">
        <v>1320</v>
      </c>
      <c r="H138" s="1">
        <v>41.9</v>
      </c>
      <c r="I138" s="1">
        <v>0</v>
      </c>
      <c r="J138" s="1">
        <v>1</v>
      </c>
      <c r="K138" s="1"/>
      <c r="L138" s="1">
        <v>0</v>
      </c>
      <c r="M138" s="1" t="s">
        <v>1340</v>
      </c>
      <c r="N138" s="1" t="s">
        <v>1345</v>
      </c>
    </row>
    <row r="139" spans="1:14" s="16" customFormat="1" x14ac:dyDescent="0.25">
      <c r="A139" s="1" t="s">
        <v>1403</v>
      </c>
      <c r="B139" s="1">
        <v>138</v>
      </c>
      <c r="C139" s="1" t="s">
        <v>1067</v>
      </c>
      <c r="D139" s="1" t="s">
        <v>11089</v>
      </c>
      <c r="E139" s="1" t="s">
        <v>1347</v>
      </c>
      <c r="F139" s="1" t="s">
        <v>1348</v>
      </c>
      <c r="G139" s="1" t="s">
        <v>1349</v>
      </c>
      <c r="H139" s="1">
        <v>21.4</v>
      </c>
      <c r="I139" s="1">
        <v>0</v>
      </c>
      <c r="J139" s="1">
        <v>0</v>
      </c>
      <c r="K139" s="1" t="s">
        <v>1071</v>
      </c>
      <c r="L139" s="1">
        <v>1</v>
      </c>
      <c r="M139" s="1" t="s">
        <v>1348</v>
      </c>
      <c r="N139" s="1" t="s">
        <v>1348</v>
      </c>
    </row>
    <row r="140" spans="1:14" s="16" customFormat="1" x14ac:dyDescent="0.25">
      <c r="A140" s="1" t="s">
        <v>1405</v>
      </c>
      <c r="B140" s="1">
        <v>139</v>
      </c>
      <c r="C140" s="1" t="s">
        <v>1067</v>
      </c>
      <c r="D140" s="1" t="s">
        <v>11089</v>
      </c>
      <c r="E140" s="1" t="s">
        <v>1347</v>
      </c>
      <c r="F140" s="1" t="s">
        <v>374</v>
      </c>
      <c r="G140" s="1" t="s">
        <v>1349</v>
      </c>
      <c r="H140" s="1">
        <v>21.4</v>
      </c>
      <c r="I140" s="1">
        <v>1</v>
      </c>
      <c r="J140" s="1">
        <v>1</v>
      </c>
      <c r="K140" s="1" t="s">
        <v>1071</v>
      </c>
      <c r="L140" s="1">
        <v>1</v>
      </c>
      <c r="M140" s="1" t="s">
        <v>374</v>
      </c>
      <c r="N140" s="1" t="s">
        <v>1351</v>
      </c>
    </row>
    <row r="141" spans="1:14" s="16" customFormat="1" x14ac:dyDescent="0.25">
      <c r="A141" s="1" t="s">
        <v>1407</v>
      </c>
      <c r="B141" s="1">
        <v>140</v>
      </c>
      <c r="C141" s="1" t="s">
        <v>1067</v>
      </c>
      <c r="D141" s="1" t="s">
        <v>11089</v>
      </c>
      <c r="E141" s="1" t="s">
        <v>1347</v>
      </c>
      <c r="F141" s="1" t="s">
        <v>374</v>
      </c>
      <c r="G141" s="1" t="s">
        <v>1349</v>
      </c>
      <c r="H141" s="1">
        <v>21.4</v>
      </c>
      <c r="I141" s="1">
        <v>1</v>
      </c>
      <c r="J141" s="1">
        <v>1</v>
      </c>
      <c r="K141" s="1" t="s">
        <v>1071</v>
      </c>
      <c r="L141" s="1">
        <v>2</v>
      </c>
      <c r="M141" s="1" t="s">
        <v>374</v>
      </c>
      <c r="N141" s="1" t="s">
        <v>1353</v>
      </c>
    </row>
    <row r="142" spans="1:14" s="16" customFormat="1" x14ac:dyDescent="0.25">
      <c r="A142" s="1" t="s">
        <v>1409</v>
      </c>
      <c r="B142" s="1">
        <v>141</v>
      </c>
      <c r="C142" s="1" t="s">
        <v>1067</v>
      </c>
      <c r="D142" s="1" t="s">
        <v>11089</v>
      </c>
      <c r="E142" s="1" t="s">
        <v>1347</v>
      </c>
      <c r="F142" s="1" t="s">
        <v>1355</v>
      </c>
      <c r="G142" s="1" t="s">
        <v>1356</v>
      </c>
      <c r="H142" s="1">
        <v>21.4</v>
      </c>
      <c r="I142" s="1">
        <v>1</v>
      </c>
      <c r="J142" s="1">
        <v>0</v>
      </c>
      <c r="K142" s="1" t="s">
        <v>1077</v>
      </c>
      <c r="L142" s="1">
        <v>1</v>
      </c>
      <c r="M142" s="1" t="s">
        <v>1355</v>
      </c>
      <c r="N142" s="1" t="s">
        <v>1355</v>
      </c>
    </row>
    <row r="143" spans="1:14" s="16" customFormat="1" x14ac:dyDescent="0.25">
      <c r="A143" s="1" t="s">
        <v>1411</v>
      </c>
      <c r="B143" s="1">
        <v>142</v>
      </c>
      <c r="C143" s="1" t="s">
        <v>1067</v>
      </c>
      <c r="D143" s="1" t="s">
        <v>11089</v>
      </c>
      <c r="E143" s="1" t="s">
        <v>1347</v>
      </c>
      <c r="F143" s="1" t="s">
        <v>1355</v>
      </c>
      <c r="G143" s="1" t="s">
        <v>1356</v>
      </c>
      <c r="H143" s="1">
        <v>21.4</v>
      </c>
      <c r="I143" s="1">
        <v>1</v>
      </c>
      <c r="J143" s="1">
        <v>0</v>
      </c>
      <c r="K143" s="1" t="s">
        <v>1077</v>
      </c>
      <c r="L143" s="1">
        <v>2</v>
      </c>
      <c r="M143" s="1" t="s">
        <v>1355</v>
      </c>
      <c r="N143" s="1" t="s">
        <v>1358</v>
      </c>
    </row>
    <row r="144" spans="1:14" s="16" customFormat="1" x14ac:dyDescent="0.25">
      <c r="A144" s="1" t="s">
        <v>1413</v>
      </c>
      <c r="B144" s="1">
        <v>143</v>
      </c>
      <c r="C144" s="1" t="s">
        <v>1067</v>
      </c>
      <c r="D144" s="1" t="s">
        <v>11089</v>
      </c>
      <c r="E144" s="1" t="s">
        <v>1347</v>
      </c>
      <c r="F144" s="1" t="s">
        <v>1360</v>
      </c>
      <c r="G144" s="1" t="s">
        <v>16577</v>
      </c>
      <c r="H144" s="1">
        <v>11.2</v>
      </c>
      <c r="I144" s="1">
        <v>1</v>
      </c>
      <c r="J144" s="1">
        <v>0</v>
      </c>
      <c r="K144" s="1" t="s">
        <v>1083</v>
      </c>
      <c r="L144" s="1">
        <v>0</v>
      </c>
      <c r="M144" s="1" t="s">
        <v>1360</v>
      </c>
      <c r="N144" s="1" t="s">
        <v>1360</v>
      </c>
    </row>
    <row r="145" spans="1:14" s="16" customFormat="1" x14ac:dyDescent="0.25">
      <c r="A145" s="1" t="s">
        <v>1415</v>
      </c>
      <c r="B145" s="1">
        <v>144</v>
      </c>
      <c r="C145" s="1" t="s">
        <v>1067</v>
      </c>
      <c r="D145" s="1" t="s">
        <v>11089</v>
      </c>
      <c r="E145" s="1" t="s">
        <v>1347</v>
      </c>
      <c r="F145" s="1" t="s">
        <v>1360</v>
      </c>
      <c r="G145" s="1" t="s">
        <v>16577</v>
      </c>
      <c r="H145" s="1">
        <v>11.2</v>
      </c>
      <c r="I145" s="1">
        <v>1</v>
      </c>
      <c r="J145" s="1">
        <v>0</v>
      </c>
      <c r="K145" s="1" t="s">
        <v>1083</v>
      </c>
      <c r="L145" s="1">
        <v>0</v>
      </c>
      <c r="M145" s="1" t="s">
        <v>1360</v>
      </c>
      <c r="N145" s="1" t="s">
        <v>1362</v>
      </c>
    </row>
    <row r="146" spans="1:14" s="16" customFormat="1" x14ac:dyDescent="0.25">
      <c r="A146" s="1" t="s">
        <v>1418</v>
      </c>
      <c r="B146" s="1">
        <v>145</v>
      </c>
      <c r="C146" s="1" t="s">
        <v>1067</v>
      </c>
      <c r="D146" s="1" t="s">
        <v>11089</v>
      </c>
      <c r="E146" s="1" t="s">
        <v>1347</v>
      </c>
      <c r="F146" s="1" t="s">
        <v>446</v>
      </c>
      <c r="G146" s="1" t="s">
        <v>1364</v>
      </c>
      <c r="H146" s="1">
        <v>41.9</v>
      </c>
      <c r="I146" s="1">
        <v>0</v>
      </c>
      <c r="J146" s="1">
        <v>1</v>
      </c>
      <c r="K146" s="1"/>
      <c r="L146" s="1">
        <v>0</v>
      </c>
      <c r="M146" s="1" t="s">
        <v>1365</v>
      </c>
      <c r="N146" s="1" t="s">
        <v>1366</v>
      </c>
    </row>
    <row r="147" spans="1:14" s="16" customFormat="1" x14ac:dyDescent="0.25">
      <c r="A147" s="1" t="s">
        <v>1420</v>
      </c>
      <c r="B147" s="1">
        <v>146</v>
      </c>
      <c r="C147" s="1" t="s">
        <v>1067</v>
      </c>
      <c r="D147" s="1" t="s">
        <v>11089</v>
      </c>
      <c r="E147" s="1" t="s">
        <v>1347</v>
      </c>
      <c r="F147" s="1" t="s">
        <v>446</v>
      </c>
      <c r="G147" s="1" t="s">
        <v>1364</v>
      </c>
      <c r="H147" s="1">
        <v>41.9</v>
      </c>
      <c r="I147" s="1">
        <v>0</v>
      </c>
      <c r="J147" s="1">
        <v>1</v>
      </c>
      <c r="K147" s="1"/>
      <c r="L147" s="1">
        <v>0</v>
      </c>
      <c r="M147" s="1" t="s">
        <v>1368</v>
      </c>
      <c r="N147" s="1" t="s">
        <v>1371</v>
      </c>
    </row>
    <row r="148" spans="1:14" s="16" customFormat="1" x14ac:dyDescent="0.25">
      <c r="A148" s="1" t="s">
        <v>1423</v>
      </c>
      <c r="B148" s="1">
        <v>147</v>
      </c>
      <c r="C148" s="1" t="s">
        <v>1067</v>
      </c>
      <c r="D148" s="1" t="s">
        <v>11089</v>
      </c>
      <c r="E148" s="1" t="s">
        <v>1347</v>
      </c>
      <c r="F148" s="1" t="s">
        <v>446</v>
      </c>
      <c r="G148" s="1" t="s">
        <v>1364</v>
      </c>
      <c r="H148" s="1">
        <v>41.9</v>
      </c>
      <c r="I148" s="1">
        <v>0</v>
      </c>
      <c r="J148" s="1">
        <v>1</v>
      </c>
      <c r="K148" s="1"/>
      <c r="L148" s="1">
        <v>0</v>
      </c>
      <c r="M148" s="1" t="s">
        <v>1368</v>
      </c>
      <c r="N148" s="1" t="s">
        <v>1373</v>
      </c>
    </row>
    <row r="149" spans="1:14" s="16" customFormat="1" x14ac:dyDescent="0.25">
      <c r="A149" s="1" t="s">
        <v>1425</v>
      </c>
      <c r="B149" s="1">
        <v>148</v>
      </c>
      <c r="C149" s="1" t="s">
        <v>1067</v>
      </c>
      <c r="D149" s="1" t="s">
        <v>11089</v>
      </c>
      <c r="E149" s="1" t="s">
        <v>1347</v>
      </c>
      <c r="F149" s="1" t="s">
        <v>446</v>
      </c>
      <c r="G149" s="1" t="s">
        <v>1364</v>
      </c>
      <c r="H149" s="1">
        <v>41.9</v>
      </c>
      <c r="I149" s="1">
        <v>0</v>
      </c>
      <c r="J149" s="1">
        <v>1</v>
      </c>
      <c r="K149" s="1"/>
      <c r="L149" s="1">
        <v>0</v>
      </c>
      <c r="M149" s="1" t="s">
        <v>1368</v>
      </c>
      <c r="N149" s="1" t="s">
        <v>1375</v>
      </c>
    </row>
    <row r="150" spans="1:14" s="16" customFormat="1" x14ac:dyDescent="0.25">
      <c r="A150" s="1" t="s">
        <v>1427</v>
      </c>
      <c r="B150" s="1">
        <v>149</v>
      </c>
      <c r="C150" s="1" t="s">
        <v>1067</v>
      </c>
      <c r="D150" s="1" t="s">
        <v>11089</v>
      </c>
      <c r="E150" s="1" t="s">
        <v>1347</v>
      </c>
      <c r="F150" s="1" t="s">
        <v>446</v>
      </c>
      <c r="G150" s="1" t="s">
        <v>1364</v>
      </c>
      <c r="H150" s="1">
        <v>41.9</v>
      </c>
      <c r="I150" s="1">
        <v>0</v>
      </c>
      <c r="J150" s="1">
        <v>1</v>
      </c>
      <c r="K150" s="1"/>
      <c r="L150" s="1">
        <v>0</v>
      </c>
      <c r="M150" s="1" t="s">
        <v>1368</v>
      </c>
      <c r="N150" s="1" t="s">
        <v>1377</v>
      </c>
    </row>
    <row r="151" spans="1:14" s="16" customFormat="1" x14ac:dyDescent="0.25">
      <c r="A151" s="1" t="s">
        <v>1429</v>
      </c>
      <c r="B151" s="1">
        <v>150</v>
      </c>
      <c r="C151" s="1" t="s">
        <v>1067</v>
      </c>
      <c r="D151" s="1" t="s">
        <v>11089</v>
      </c>
      <c r="E151" s="1" t="s">
        <v>1347</v>
      </c>
      <c r="F151" s="1" t="s">
        <v>446</v>
      </c>
      <c r="G151" s="1" t="s">
        <v>1364</v>
      </c>
      <c r="H151" s="1">
        <v>41.9</v>
      </c>
      <c r="I151" s="1">
        <v>0</v>
      </c>
      <c r="J151" s="1">
        <v>1</v>
      </c>
      <c r="K151" s="1"/>
      <c r="L151" s="1">
        <v>0</v>
      </c>
      <c r="M151" s="1" t="s">
        <v>1368</v>
      </c>
      <c r="N151" s="1" t="s">
        <v>1379</v>
      </c>
    </row>
    <row r="152" spans="1:14" s="16" customFormat="1" x14ac:dyDescent="0.25">
      <c r="A152" s="1" t="s">
        <v>1431</v>
      </c>
      <c r="B152" s="1">
        <v>151</v>
      </c>
      <c r="C152" s="1" t="s">
        <v>1067</v>
      </c>
      <c r="D152" s="1" t="s">
        <v>11089</v>
      </c>
      <c r="E152" s="1" t="s">
        <v>1347</v>
      </c>
      <c r="F152" s="1" t="s">
        <v>446</v>
      </c>
      <c r="G152" s="1" t="s">
        <v>1364</v>
      </c>
      <c r="H152" s="1">
        <v>41.9</v>
      </c>
      <c r="I152" s="1">
        <v>0</v>
      </c>
      <c r="J152" s="1">
        <v>1</v>
      </c>
      <c r="K152" s="1"/>
      <c r="L152" s="1">
        <v>0</v>
      </c>
      <c r="M152" s="1" t="s">
        <v>1369</v>
      </c>
      <c r="N152" s="1" t="s">
        <v>1369</v>
      </c>
    </row>
    <row r="153" spans="1:14" s="16" customFormat="1" x14ac:dyDescent="0.25">
      <c r="A153" s="1" t="s">
        <v>1433</v>
      </c>
      <c r="B153" s="1">
        <v>152</v>
      </c>
      <c r="C153" s="1" t="s">
        <v>1067</v>
      </c>
      <c r="D153" s="1" t="s">
        <v>11089</v>
      </c>
      <c r="E153" s="1" t="s">
        <v>1347</v>
      </c>
      <c r="F153" s="1" t="s">
        <v>446</v>
      </c>
      <c r="G153" s="1" t="s">
        <v>1364</v>
      </c>
      <c r="H153" s="1">
        <v>41.9</v>
      </c>
      <c r="I153" s="1">
        <v>0</v>
      </c>
      <c r="J153" s="1">
        <v>1</v>
      </c>
      <c r="K153" s="1"/>
      <c r="L153" s="1">
        <v>0</v>
      </c>
      <c r="M153" s="1" t="s">
        <v>1381</v>
      </c>
      <c r="N153" s="1" t="s">
        <v>1382</v>
      </c>
    </row>
    <row r="154" spans="1:14" s="16" customFormat="1" x14ac:dyDescent="0.25">
      <c r="A154" s="1" t="s">
        <v>1437</v>
      </c>
      <c r="B154" s="1">
        <v>153</v>
      </c>
      <c r="C154" s="1" t="s">
        <v>1067</v>
      </c>
      <c r="D154" s="1" t="s">
        <v>11089</v>
      </c>
      <c r="E154" s="1" t="s">
        <v>1347</v>
      </c>
      <c r="F154" s="1" t="s">
        <v>446</v>
      </c>
      <c r="G154" s="1" t="s">
        <v>1364</v>
      </c>
      <c r="H154" s="1">
        <v>41.9</v>
      </c>
      <c r="I154" s="1">
        <v>0</v>
      </c>
      <c r="J154" s="1">
        <v>1</v>
      </c>
      <c r="K154" s="1"/>
      <c r="L154" s="1">
        <v>0</v>
      </c>
      <c r="M154" s="1" t="s">
        <v>1381</v>
      </c>
      <c r="N154" s="1" t="s">
        <v>1384</v>
      </c>
    </row>
    <row r="155" spans="1:14" s="16" customFormat="1" x14ac:dyDescent="0.25">
      <c r="A155" s="1" t="s">
        <v>1439</v>
      </c>
      <c r="B155" s="1">
        <v>154</v>
      </c>
      <c r="C155" s="1" t="s">
        <v>1067</v>
      </c>
      <c r="D155" s="1" t="s">
        <v>11089</v>
      </c>
      <c r="E155" s="1" t="s">
        <v>1347</v>
      </c>
      <c r="F155" s="1" t="s">
        <v>446</v>
      </c>
      <c r="G155" s="1" t="s">
        <v>1364</v>
      </c>
      <c r="H155" s="1">
        <v>41.9</v>
      </c>
      <c r="I155" s="1">
        <v>0</v>
      </c>
      <c r="J155" s="1">
        <v>1</v>
      </c>
      <c r="K155" s="1"/>
      <c r="L155" s="1">
        <v>0</v>
      </c>
      <c r="M155" s="1" t="s">
        <v>1386</v>
      </c>
      <c r="N155" s="1" t="s">
        <v>1387</v>
      </c>
    </row>
    <row r="156" spans="1:14" s="16" customFormat="1" x14ac:dyDescent="0.25">
      <c r="A156" s="1" t="s">
        <v>1442</v>
      </c>
      <c r="B156" s="1">
        <v>155</v>
      </c>
      <c r="C156" s="1" t="s">
        <v>1067</v>
      </c>
      <c r="D156" s="1" t="s">
        <v>11089</v>
      </c>
      <c r="E156" s="1" t="s">
        <v>1347</v>
      </c>
      <c r="F156" s="1" t="s">
        <v>446</v>
      </c>
      <c r="G156" s="1" t="s">
        <v>1364</v>
      </c>
      <c r="H156" s="1">
        <v>41.9</v>
      </c>
      <c r="I156" s="1">
        <v>0</v>
      </c>
      <c r="J156" s="1">
        <v>1</v>
      </c>
      <c r="K156" s="1"/>
      <c r="L156" s="1">
        <v>0</v>
      </c>
      <c r="M156" s="1" t="s">
        <v>1386</v>
      </c>
      <c r="N156" s="1" t="s">
        <v>1389</v>
      </c>
    </row>
    <row r="157" spans="1:14" s="16" customFormat="1" x14ac:dyDescent="0.25">
      <c r="A157" s="1" t="s">
        <v>1445</v>
      </c>
      <c r="B157" s="1">
        <v>156</v>
      </c>
      <c r="C157" s="1" t="s">
        <v>1067</v>
      </c>
      <c r="D157" s="1" t="s">
        <v>11089</v>
      </c>
      <c r="E157" s="1" t="s">
        <v>1347</v>
      </c>
      <c r="F157" s="1" t="s">
        <v>446</v>
      </c>
      <c r="G157" s="1" t="s">
        <v>1364</v>
      </c>
      <c r="H157" s="1">
        <v>41.9</v>
      </c>
      <c r="I157" s="1">
        <v>0</v>
      </c>
      <c r="J157" s="1">
        <v>1</v>
      </c>
      <c r="K157" s="1"/>
      <c r="L157" s="1">
        <v>0</v>
      </c>
      <c r="M157" s="1" t="s">
        <v>1391</v>
      </c>
      <c r="N157" s="1" t="s">
        <v>1392</v>
      </c>
    </row>
    <row r="158" spans="1:14" s="16" customFormat="1" x14ac:dyDescent="0.25">
      <c r="A158" s="1" t="s">
        <v>1447</v>
      </c>
      <c r="B158" s="1">
        <v>157</v>
      </c>
      <c r="C158" s="1" t="s">
        <v>1067</v>
      </c>
      <c r="D158" s="1" t="s">
        <v>11089</v>
      </c>
      <c r="E158" s="1" t="s">
        <v>1347</v>
      </c>
      <c r="F158" s="1" t="s">
        <v>446</v>
      </c>
      <c r="G158" s="1" t="s">
        <v>1364</v>
      </c>
      <c r="H158" s="1">
        <v>41.9</v>
      </c>
      <c r="I158" s="1">
        <v>0</v>
      </c>
      <c r="J158" s="1">
        <v>1</v>
      </c>
      <c r="K158" s="1"/>
      <c r="L158" s="1">
        <v>0</v>
      </c>
      <c r="M158" s="1" t="s">
        <v>1391</v>
      </c>
      <c r="N158" s="1" t="s">
        <v>1394</v>
      </c>
    </row>
    <row r="159" spans="1:14" s="16" customFormat="1" x14ac:dyDescent="0.25">
      <c r="A159" s="1" t="s">
        <v>1450</v>
      </c>
      <c r="B159" s="1">
        <v>158</v>
      </c>
      <c r="C159" s="1" t="s">
        <v>1067</v>
      </c>
      <c r="D159" s="1" t="s">
        <v>11089</v>
      </c>
      <c r="E159" s="1" t="s">
        <v>1347</v>
      </c>
      <c r="F159" s="1" t="s">
        <v>446</v>
      </c>
      <c r="G159" s="1" t="s">
        <v>1364</v>
      </c>
      <c r="H159" s="1">
        <v>41.9</v>
      </c>
      <c r="I159" s="1">
        <v>0</v>
      </c>
      <c r="J159" s="1">
        <v>1</v>
      </c>
      <c r="K159" s="1"/>
      <c r="L159" s="1">
        <v>0</v>
      </c>
      <c r="M159" s="1" t="s">
        <v>1391</v>
      </c>
      <c r="N159" s="1" t="s">
        <v>1396</v>
      </c>
    </row>
    <row r="160" spans="1:14" s="1" customFormat="1" x14ac:dyDescent="0.25">
      <c r="A160" s="1" t="s">
        <v>1452</v>
      </c>
      <c r="B160" s="1">
        <v>159</v>
      </c>
      <c r="C160" s="1" t="s">
        <v>1067</v>
      </c>
      <c r="D160" s="1" t="s">
        <v>11089</v>
      </c>
      <c r="E160" s="1" t="s">
        <v>1347</v>
      </c>
      <c r="F160" s="1" t="s">
        <v>446</v>
      </c>
      <c r="G160" s="1" t="s">
        <v>1364</v>
      </c>
      <c r="H160" s="1">
        <v>41.9</v>
      </c>
      <c r="I160" s="1">
        <v>0</v>
      </c>
      <c r="J160" s="1">
        <v>1</v>
      </c>
      <c r="L160" s="1">
        <v>0</v>
      </c>
      <c r="M160" s="1" t="s">
        <v>14785</v>
      </c>
      <c r="N160" s="1" t="s">
        <v>14785</v>
      </c>
    </row>
    <row r="161" spans="1:14" s="16" customFormat="1" x14ac:dyDescent="0.25">
      <c r="A161" s="1" t="s">
        <v>1456</v>
      </c>
      <c r="B161" s="1">
        <v>160</v>
      </c>
      <c r="C161" s="1" t="s">
        <v>1067</v>
      </c>
      <c r="D161" s="1" t="s">
        <v>11089</v>
      </c>
      <c r="E161" s="1" t="s">
        <v>1347</v>
      </c>
      <c r="F161" s="1" t="s">
        <v>337</v>
      </c>
      <c r="G161" s="1" t="s">
        <v>1398</v>
      </c>
      <c r="H161" s="1">
        <v>41.9</v>
      </c>
      <c r="I161" s="1">
        <v>0</v>
      </c>
      <c r="J161" s="1">
        <v>1</v>
      </c>
      <c r="K161" s="1"/>
      <c r="L161" s="1">
        <v>0</v>
      </c>
      <c r="M161" s="1" t="s">
        <v>1399</v>
      </c>
      <c r="N161" s="1" t="s">
        <v>1400</v>
      </c>
    </row>
    <row r="162" spans="1:14" s="16" customFormat="1" x14ac:dyDescent="0.25">
      <c r="A162" s="1" t="s">
        <v>1459</v>
      </c>
      <c r="B162" s="1">
        <v>161</v>
      </c>
      <c r="C162" s="1" t="s">
        <v>1067</v>
      </c>
      <c r="D162" s="1" t="s">
        <v>11089</v>
      </c>
      <c r="E162" s="1" t="s">
        <v>1347</v>
      </c>
      <c r="F162" s="1" t="s">
        <v>337</v>
      </c>
      <c r="G162" s="1" t="s">
        <v>1398</v>
      </c>
      <c r="H162" s="1">
        <v>41.9</v>
      </c>
      <c r="I162" s="1">
        <v>0</v>
      </c>
      <c r="J162" s="1">
        <v>1</v>
      </c>
      <c r="K162" s="1"/>
      <c r="L162" s="1">
        <v>0</v>
      </c>
      <c r="M162" s="1" t="s">
        <v>1399</v>
      </c>
      <c r="N162" s="1" t="s">
        <v>1402</v>
      </c>
    </row>
    <row r="163" spans="1:14" s="16" customFormat="1" x14ac:dyDescent="0.25">
      <c r="A163" s="1" t="s">
        <v>1461</v>
      </c>
      <c r="B163" s="1">
        <v>162</v>
      </c>
      <c r="C163" s="1" t="s">
        <v>1067</v>
      </c>
      <c r="D163" s="1" t="s">
        <v>11089</v>
      </c>
      <c r="E163" s="1" t="s">
        <v>1347</v>
      </c>
      <c r="F163" s="1" t="s">
        <v>337</v>
      </c>
      <c r="G163" s="1" t="s">
        <v>1398</v>
      </c>
      <c r="H163" s="1">
        <v>41.9</v>
      </c>
      <c r="I163" s="1">
        <v>0</v>
      </c>
      <c r="J163" s="1">
        <v>1</v>
      </c>
      <c r="K163" s="1"/>
      <c r="L163" s="1">
        <v>0</v>
      </c>
      <c r="M163" s="1" t="s">
        <v>1399</v>
      </c>
      <c r="N163" s="1" t="s">
        <v>1404</v>
      </c>
    </row>
    <row r="164" spans="1:14" s="16" customFormat="1" x14ac:dyDescent="0.25">
      <c r="A164" s="1" t="s">
        <v>1464</v>
      </c>
      <c r="B164" s="1">
        <v>163</v>
      </c>
      <c r="C164" s="1" t="s">
        <v>1067</v>
      </c>
      <c r="D164" s="1" t="s">
        <v>11089</v>
      </c>
      <c r="E164" s="1" t="s">
        <v>1347</v>
      </c>
      <c r="F164" s="1" t="s">
        <v>337</v>
      </c>
      <c r="G164" s="1" t="s">
        <v>1398</v>
      </c>
      <c r="H164" s="1">
        <v>41.9</v>
      </c>
      <c r="I164" s="1">
        <v>0</v>
      </c>
      <c r="J164" s="1">
        <v>1</v>
      </c>
      <c r="K164" s="1"/>
      <c r="L164" s="1">
        <v>0</v>
      </c>
      <c r="M164" s="1" t="s">
        <v>1399</v>
      </c>
      <c r="N164" s="1" t="s">
        <v>1406</v>
      </c>
    </row>
    <row r="165" spans="1:14" s="16" customFormat="1" x14ac:dyDescent="0.25">
      <c r="A165" s="1" t="s">
        <v>1466</v>
      </c>
      <c r="B165" s="1">
        <v>164</v>
      </c>
      <c r="C165" s="1" t="s">
        <v>1067</v>
      </c>
      <c r="D165" s="1" t="s">
        <v>11089</v>
      </c>
      <c r="E165" s="1" t="s">
        <v>1347</v>
      </c>
      <c r="F165" s="1" t="s">
        <v>337</v>
      </c>
      <c r="G165" s="1" t="s">
        <v>1398</v>
      </c>
      <c r="H165" s="1">
        <v>41.9</v>
      </c>
      <c r="I165" s="1">
        <v>0</v>
      </c>
      <c r="J165" s="1">
        <v>1</v>
      </c>
      <c r="K165" s="1"/>
      <c r="L165" s="1">
        <v>0</v>
      </c>
      <c r="M165" s="1" t="s">
        <v>1399</v>
      </c>
      <c r="N165" s="1" t="s">
        <v>1408</v>
      </c>
    </row>
    <row r="166" spans="1:14" s="16" customFormat="1" x14ac:dyDescent="0.25">
      <c r="A166" s="1" t="s">
        <v>1468</v>
      </c>
      <c r="B166" s="1">
        <v>165</v>
      </c>
      <c r="C166" s="1" t="s">
        <v>1067</v>
      </c>
      <c r="D166" s="1" t="s">
        <v>11089</v>
      </c>
      <c r="E166" s="1" t="s">
        <v>1347</v>
      </c>
      <c r="F166" s="1" t="s">
        <v>337</v>
      </c>
      <c r="G166" s="1" t="s">
        <v>1398</v>
      </c>
      <c r="H166" s="1">
        <v>41.9</v>
      </c>
      <c r="I166" s="1">
        <v>0</v>
      </c>
      <c r="J166" s="1">
        <v>1</v>
      </c>
      <c r="K166" s="1"/>
      <c r="L166" s="1">
        <v>0</v>
      </c>
      <c r="M166" s="1" t="s">
        <v>1399</v>
      </c>
      <c r="N166" s="1" t="s">
        <v>1410</v>
      </c>
    </row>
    <row r="167" spans="1:14" s="16" customFormat="1" x14ac:dyDescent="0.25">
      <c r="A167" s="1" t="s">
        <v>1470</v>
      </c>
      <c r="B167" s="1">
        <v>166</v>
      </c>
      <c r="C167" s="1" t="s">
        <v>1067</v>
      </c>
      <c r="D167" s="1" t="s">
        <v>11089</v>
      </c>
      <c r="E167" s="1" t="s">
        <v>1347</v>
      </c>
      <c r="F167" s="1" t="s">
        <v>337</v>
      </c>
      <c r="G167" s="1" t="s">
        <v>1398</v>
      </c>
      <c r="H167" s="1">
        <v>41.9</v>
      </c>
      <c r="I167" s="1">
        <v>0</v>
      </c>
      <c r="J167" s="1">
        <v>1</v>
      </c>
      <c r="K167" s="1"/>
      <c r="L167" s="1">
        <v>0</v>
      </c>
      <c r="M167" s="1" t="s">
        <v>1399</v>
      </c>
      <c r="N167" s="1" t="s">
        <v>1412</v>
      </c>
    </row>
    <row r="168" spans="1:14" s="16" customFormat="1" x14ac:dyDescent="0.25">
      <c r="A168" s="1" t="s">
        <v>1473</v>
      </c>
      <c r="B168" s="1">
        <v>167</v>
      </c>
      <c r="C168" s="1" t="s">
        <v>1067</v>
      </c>
      <c r="D168" s="1" t="s">
        <v>11089</v>
      </c>
      <c r="E168" s="1" t="s">
        <v>1347</v>
      </c>
      <c r="F168" s="1" t="s">
        <v>337</v>
      </c>
      <c r="G168" s="1" t="s">
        <v>1398</v>
      </c>
      <c r="H168" s="1">
        <v>41.9</v>
      </c>
      <c r="I168" s="1">
        <v>0</v>
      </c>
      <c r="J168" s="1">
        <v>1</v>
      </c>
      <c r="K168" s="1"/>
      <c r="L168" s="1">
        <v>0</v>
      </c>
      <c r="M168" s="1" t="s">
        <v>1399</v>
      </c>
      <c r="N168" s="1" t="s">
        <v>1414</v>
      </c>
    </row>
    <row r="169" spans="1:14" s="16" customFormat="1" x14ac:dyDescent="0.25">
      <c r="A169" s="1" t="s">
        <v>1475</v>
      </c>
      <c r="B169" s="1">
        <v>168</v>
      </c>
      <c r="C169" s="1" t="s">
        <v>1067</v>
      </c>
      <c r="D169" s="1" t="s">
        <v>11089</v>
      </c>
      <c r="E169" s="1" t="s">
        <v>1347</v>
      </c>
      <c r="F169" s="1" t="s">
        <v>337</v>
      </c>
      <c r="G169" s="1" t="s">
        <v>1398</v>
      </c>
      <c r="H169" s="1">
        <v>41.9</v>
      </c>
      <c r="I169" s="1">
        <v>0</v>
      </c>
      <c r="J169" s="1">
        <v>1</v>
      </c>
      <c r="K169" s="1"/>
      <c r="L169" s="1">
        <v>0</v>
      </c>
      <c r="M169" s="1" t="s">
        <v>1416</v>
      </c>
      <c r="N169" s="1" t="s">
        <v>1417</v>
      </c>
    </row>
    <row r="170" spans="1:14" s="16" customFormat="1" x14ac:dyDescent="0.25">
      <c r="A170" s="1" t="s">
        <v>1479</v>
      </c>
      <c r="B170" s="1">
        <v>169</v>
      </c>
      <c r="C170" s="1" t="s">
        <v>1067</v>
      </c>
      <c r="D170" s="1" t="s">
        <v>11089</v>
      </c>
      <c r="E170" s="1" t="s">
        <v>1347</v>
      </c>
      <c r="F170" s="1" t="s">
        <v>337</v>
      </c>
      <c r="G170" s="1" t="s">
        <v>1398</v>
      </c>
      <c r="H170" s="1">
        <v>41.9</v>
      </c>
      <c r="I170" s="1">
        <v>0</v>
      </c>
      <c r="J170" s="1">
        <v>1</v>
      </c>
      <c r="K170" s="1"/>
      <c r="L170" s="1">
        <v>0</v>
      </c>
      <c r="M170" s="1" t="s">
        <v>1416</v>
      </c>
      <c r="N170" s="1" t="s">
        <v>1419</v>
      </c>
    </row>
    <row r="171" spans="1:14" s="16" customFormat="1" x14ac:dyDescent="0.25">
      <c r="A171" s="1" t="s">
        <v>1481</v>
      </c>
      <c r="B171" s="1">
        <v>170</v>
      </c>
      <c r="C171" s="1" t="s">
        <v>1067</v>
      </c>
      <c r="D171" s="1" t="s">
        <v>11089</v>
      </c>
      <c r="E171" s="1" t="s">
        <v>1347</v>
      </c>
      <c r="F171" s="1" t="s">
        <v>337</v>
      </c>
      <c r="G171" s="1" t="s">
        <v>1398</v>
      </c>
      <c r="H171" s="1">
        <v>41.9</v>
      </c>
      <c r="I171" s="1">
        <v>0</v>
      </c>
      <c r="J171" s="1">
        <v>1</v>
      </c>
      <c r="K171" s="1"/>
      <c r="L171" s="1">
        <v>0</v>
      </c>
      <c r="M171" s="1" t="s">
        <v>1421</v>
      </c>
      <c r="N171" s="1" t="s">
        <v>1422</v>
      </c>
    </row>
    <row r="172" spans="1:14" s="16" customFormat="1" x14ac:dyDescent="0.25">
      <c r="A172" s="1" t="s">
        <v>1483</v>
      </c>
      <c r="B172" s="1">
        <v>171</v>
      </c>
      <c r="C172" s="1" t="s">
        <v>1067</v>
      </c>
      <c r="D172" s="1" t="s">
        <v>11089</v>
      </c>
      <c r="E172" s="1" t="s">
        <v>1347</v>
      </c>
      <c r="F172" s="1" t="s">
        <v>337</v>
      </c>
      <c r="G172" s="1" t="s">
        <v>1398</v>
      </c>
      <c r="H172" s="1">
        <v>41.9</v>
      </c>
      <c r="I172" s="1">
        <v>0</v>
      </c>
      <c r="J172" s="1">
        <v>1</v>
      </c>
      <c r="K172" s="1"/>
      <c r="L172" s="1">
        <v>0</v>
      </c>
      <c r="M172" s="1" t="s">
        <v>1421</v>
      </c>
      <c r="N172" s="1" t="s">
        <v>1424</v>
      </c>
    </row>
    <row r="173" spans="1:14" s="16" customFormat="1" x14ac:dyDescent="0.25">
      <c r="A173" s="1" t="s">
        <v>1485</v>
      </c>
      <c r="B173" s="1">
        <v>172</v>
      </c>
      <c r="C173" s="1" t="s">
        <v>1067</v>
      </c>
      <c r="D173" s="1" t="s">
        <v>11089</v>
      </c>
      <c r="E173" s="1" t="s">
        <v>1347</v>
      </c>
      <c r="F173" s="1" t="s">
        <v>337</v>
      </c>
      <c r="G173" s="1" t="s">
        <v>1398</v>
      </c>
      <c r="H173" s="1">
        <v>41.9</v>
      </c>
      <c r="I173" s="1">
        <v>0</v>
      </c>
      <c r="J173" s="1">
        <v>1</v>
      </c>
      <c r="K173" s="1"/>
      <c r="L173" s="1">
        <v>0</v>
      </c>
      <c r="M173" s="1" t="s">
        <v>1421</v>
      </c>
      <c r="N173" s="1" t="s">
        <v>1426</v>
      </c>
    </row>
    <row r="174" spans="1:14" s="16" customFormat="1" x14ac:dyDescent="0.25">
      <c r="A174" s="1" t="s">
        <v>1487</v>
      </c>
      <c r="B174" s="1">
        <v>173</v>
      </c>
      <c r="C174" s="1" t="s">
        <v>1067</v>
      </c>
      <c r="D174" s="1" t="s">
        <v>11089</v>
      </c>
      <c r="E174" s="1" t="s">
        <v>1347</v>
      </c>
      <c r="F174" s="1" t="s">
        <v>337</v>
      </c>
      <c r="G174" s="1" t="s">
        <v>1398</v>
      </c>
      <c r="H174" s="1">
        <v>41.9</v>
      </c>
      <c r="I174" s="1">
        <v>0</v>
      </c>
      <c r="J174" s="1">
        <v>1</v>
      </c>
      <c r="K174" s="1"/>
      <c r="L174" s="1">
        <v>0</v>
      </c>
      <c r="M174" s="1" t="s">
        <v>1421</v>
      </c>
      <c r="N174" s="1" t="s">
        <v>1428</v>
      </c>
    </row>
    <row r="175" spans="1:14" s="16" customFormat="1" x14ac:dyDescent="0.25">
      <c r="A175" s="1" t="s">
        <v>1489</v>
      </c>
      <c r="B175" s="1">
        <v>174</v>
      </c>
      <c r="C175" s="1" t="s">
        <v>1067</v>
      </c>
      <c r="D175" s="1" t="s">
        <v>11089</v>
      </c>
      <c r="E175" s="1" t="s">
        <v>1347</v>
      </c>
      <c r="F175" s="1" t="s">
        <v>337</v>
      </c>
      <c r="G175" s="1" t="s">
        <v>1398</v>
      </c>
      <c r="H175" s="1">
        <v>41.9</v>
      </c>
      <c r="I175" s="1">
        <v>0</v>
      </c>
      <c r="J175" s="1">
        <v>1</v>
      </c>
      <c r="K175" s="1"/>
      <c r="L175" s="1">
        <v>0</v>
      </c>
      <c r="M175" s="1" t="s">
        <v>1421</v>
      </c>
      <c r="N175" s="1" t="s">
        <v>1430</v>
      </c>
    </row>
    <row r="176" spans="1:14" s="16" customFormat="1" x14ac:dyDescent="0.25">
      <c r="A176" s="1" t="s">
        <v>1492</v>
      </c>
      <c r="B176" s="1">
        <v>175</v>
      </c>
      <c r="C176" s="1" t="s">
        <v>1067</v>
      </c>
      <c r="D176" s="1" t="s">
        <v>11089</v>
      </c>
      <c r="E176" s="1" t="s">
        <v>1347</v>
      </c>
      <c r="F176" s="1" t="s">
        <v>337</v>
      </c>
      <c r="G176" s="1" t="s">
        <v>1398</v>
      </c>
      <c r="H176" s="1">
        <v>41.9</v>
      </c>
      <c r="I176" s="1">
        <v>0</v>
      </c>
      <c r="J176" s="1">
        <v>1</v>
      </c>
      <c r="K176" s="1"/>
      <c r="L176" s="1">
        <v>0</v>
      </c>
      <c r="M176" s="1" t="s">
        <v>1421</v>
      </c>
      <c r="N176" s="1" t="s">
        <v>1432</v>
      </c>
    </row>
    <row r="177" spans="1:14" s="16" customFormat="1" x14ac:dyDescent="0.25">
      <c r="A177" s="1" t="s">
        <v>1498</v>
      </c>
      <c r="B177" s="1">
        <v>176</v>
      </c>
      <c r="C177" s="1" t="s">
        <v>1067</v>
      </c>
      <c r="D177" s="1" t="s">
        <v>11089</v>
      </c>
      <c r="E177" s="1" t="s">
        <v>1347</v>
      </c>
      <c r="F177" s="1" t="s">
        <v>398</v>
      </c>
      <c r="G177" s="1" t="s">
        <v>1434</v>
      </c>
      <c r="H177" s="1">
        <v>41.9</v>
      </c>
      <c r="I177" s="1">
        <v>0</v>
      </c>
      <c r="J177" s="1">
        <v>1</v>
      </c>
      <c r="K177" s="1"/>
      <c r="L177" s="1">
        <v>0</v>
      </c>
      <c r="M177" s="1" t="s">
        <v>1435</v>
      </c>
      <c r="N177" s="1" t="s">
        <v>1436</v>
      </c>
    </row>
    <row r="178" spans="1:14" s="16" customFormat="1" x14ac:dyDescent="0.25">
      <c r="A178" s="1" t="s">
        <v>1503</v>
      </c>
      <c r="B178" s="1">
        <v>177</v>
      </c>
      <c r="C178" s="1" t="s">
        <v>1067</v>
      </c>
      <c r="D178" s="1" t="s">
        <v>11089</v>
      </c>
      <c r="E178" s="1" t="s">
        <v>1347</v>
      </c>
      <c r="F178" s="1" t="s">
        <v>398</v>
      </c>
      <c r="G178" s="1" t="s">
        <v>1434</v>
      </c>
      <c r="H178" s="1">
        <v>41.9</v>
      </c>
      <c r="I178" s="1">
        <v>0</v>
      </c>
      <c r="J178" s="1">
        <v>1</v>
      </c>
      <c r="K178" s="1"/>
      <c r="L178" s="1">
        <v>0</v>
      </c>
      <c r="M178" s="1" t="s">
        <v>1435</v>
      </c>
      <c r="N178" s="1" t="s">
        <v>1438</v>
      </c>
    </row>
    <row r="179" spans="1:14" s="16" customFormat="1" x14ac:dyDescent="0.25">
      <c r="A179" s="1" t="s">
        <v>1505</v>
      </c>
      <c r="B179" s="1">
        <v>178</v>
      </c>
      <c r="C179" s="1" t="s">
        <v>1067</v>
      </c>
      <c r="D179" s="1" t="s">
        <v>11089</v>
      </c>
      <c r="E179" s="1" t="s">
        <v>1347</v>
      </c>
      <c r="F179" s="1" t="s">
        <v>398</v>
      </c>
      <c r="G179" s="1" t="s">
        <v>1434</v>
      </c>
      <c r="H179" s="1">
        <v>41.9</v>
      </c>
      <c r="I179" s="1">
        <v>0</v>
      </c>
      <c r="J179" s="1">
        <v>1</v>
      </c>
      <c r="K179" s="1"/>
      <c r="L179" s="1">
        <v>0</v>
      </c>
      <c r="M179" s="1" t="s">
        <v>1440</v>
      </c>
      <c r="N179" s="1" t="s">
        <v>1441</v>
      </c>
    </row>
    <row r="180" spans="1:14" s="16" customFormat="1" x14ac:dyDescent="0.25">
      <c r="A180" s="1" t="s">
        <v>1508</v>
      </c>
      <c r="B180" s="1">
        <v>179</v>
      </c>
      <c r="C180" s="1" t="s">
        <v>1067</v>
      </c>
      <c r="D180" s="1" t="s">
        <v>11089</v>
      </c>
      <c r="E180" s="1" t="s">
        <v>1347</v>
      </c>
      <c r="F180" s="1" t="s">
        <v>398</v>
      </c>
      <c r="G180" s="1" t="s">
        <v>1434</v>
      </c>
      <c r="H180" s="1">
        <v>41.9</v>
      </c>
      <c r="I180" s="1">
        <v>0</v>
      </c>
      <c r="J180" s="1">
        <v>1</v>
      </c>
      <c r="K180" s="1"/>
      <c r="L180" s="1">
        <v>0</v>
      </c>
      <c r="M180" s="1" t="s">
        <v>1443</v>
      </c>
      <c r="N180" s="1" t="s">
        <v>1444</v>
      </c>
    </row>
    <row r="181" spans="1:14" s="16" customFormat="1" x14ac:dyDescent="0.25">
      <c r="A181" s="1" t="s">
        <v>1510</v>
      </c>
      <c r="B181" s="1">
        <v>180</v>
      </c>
      <c r="C181" s="1" t="s">
        <v>1067</v>
      </c>
      <c r="D181" s="1" t="s">
        <v>11089</v>
      </c>
      <c r="E181" s="1" t="s">
        <v>1347</v>
      </c>
      <c r="F181" s="1" t="s">
        <v>398</v>
      </c>
      <c r="G181" s="1" t="s">
        <v>1434</v>
      </c>
      <c r="H181" s="1">
        <v>41.9</v>
      </c>
      <c r="I181" s="1">
        <v>0</v>
      </c>
      <c r="J181" s="1">
        <v>1</v>
      </c>
      <c r="K181" s="1"/>
      <c r="L181" s="1">
        <v>0</v>
      </c>
      <c r="M181" s="1" t="s">
        <v>1443</v>
      </c>
      <c r="N181" s="1" t="s">
        <v>1446</v>
      </c>
    </row>
    <row r="182" spans="1:14" s="16" customFormat="1" x14ac:dyDescent="0.25">
      <c r="A182" s="1" t="s">
        <v>1512</v>
      </c>
      <c r="B182" s="1">
        <v>181</v>
      </c>
      <c r="C182" s="1" t="s">
        <v>1067</v>
      </c>
      <c r="D182" s="1" t="s">
        <v>11089</v>
      </c>
      <c r="E182" s="1" t="s">
        <v>1347</v>
      </c>
      <c r="F182" s="1" t="s">
        <v>398</v>
      </c>
      <c r="G182" s="1" t="s">
        <v>1434</v>
      </c>
      <c r="H182" s="1">
        <v>41.9</v>
      </c>
      <c r="I182" s="1">
        <v>0</v>
      </c>
      <c r="J182" s="1">
        <v>1</v>
      </c>
      <c r="K182" s="1"/>
      <c r="L182" s="1">
        <v>0</v>
      </c>
      <c r="M182" s="1" t="s">
        <v>1448</v>
      </c>
      <c r="N182" s="1" t="s">
        <v>1449</v>
      </c>
    </row>
    <row r="183" spans="1:14" s="16" customFormat="1" x14ac:dyDescent="0.25">
      <c r="A183" s="1" t="s">
        <v>1514</v>
      </c>
      <c r="B183" s="1">
        <v>182</v>
      </c>
      <c r="C183" s="1" t="s">
        <v>1067</v>
      </c>
      <c r="D183" s="1" t="s">
        <v>11089</v>
      </c>
      <c r="E183" s="1" t="s">
        <v>1347</v>
      </c>
      <c r="F183" s="1" t="s">
        <v>398</v>
      </c>
      <c r="G183" s="1" t="s">
        <v>1434</v>
      </c>
      <c r="H183" s="1">
        <v>41.9</v>
      </c>
      <c r="I183" s="1">
        <v>0</v>
      </c>
      <c r="J183" s="1">
        <v>1</v>
      </c>
      <c r="K183" s="1"/>
      <c r="L183" s="1">
        <v>0</v>
      </c>
      <c r="M183" s="1" t="s">
        <v>1448</v>
      </c>
      <c r="N183" s="1" t="s">
        <v>1451</v>
      </c>
    </row>
    <row r="184" spans="1:14" s="16" customFormat="1" x14ac:dyDescent="0.25">
      <c r="A184" s="1" t="s">
        <v>1516</v>
      </c>
      <c r="B184" s="1">
        <v>183</v>
      </c>
      <c r="C184" s="1" t="s">
        <v>1067</v>
      </c>
      <c r="D184" s="1" t="s">
        <v>11089</v>
      </c>
      <c r="E184" s="1" t="s">
        <v>1347</v>
      </c>
      <c r="F184" s="1" t="s">
        <v>347</v>
      </c>
      <c r="G184" s="1" t="s">
        <v>1453</v>
      </c>
      <c r="H184" s="1">
        <v>41.9</v>
      </c>
      <c r="I184" s="1">
        <v>0</v>
      </c>
      <c r="J184" s="1">
        <v>1</v>
      </c>
      <c r="L184" s="1">
        <v>1</v>
      </c>
      <c r="M184" s="1" t="s">
        <v>1454</v>
      </c>
      <c r="N184" s="1" t="s">
        <v>1455</v>
      </c>
    </row>
    <row r="185" spans="1:14" s="16" customFormat="1" x14ac:dyDescent="0.25">
      <c r="A185" s="1" t="s">
        <v>1518</v>
      </c>
      <c r="B185" s="1">
        <v>184</v>
      </c>
      <c r="C185" s="1" t="s">
        <v>1067</v>
      </c>
      <c r="D185" s="1" t="s">
        <v>11089</v>
      </c>
      <c r="E185" s="1" t="s">
        <v>1347</v>
      </c>
      <c r="F185" s="1" t="s">
        <v>347</v>
      </c>
      <c r="G185" s="1" t="s">
        <v>1453</v>
      </c>
      <c r="H185" s="1">
        <v>41.9</v>
      </c>
      <c r="I185" s="1">
        <v>0</v>
      </c>
      <c r="J185" s="1">
        <v>1</v>
      </c>
      <c r="L185" s="1">
        <v>1</v>
      </c>
      <c r="M185" s="1" t="s">
        <v>1457</v>
      </c>
      <c r="N185" s="1" t="s">
        <v>1458</v>
      </c>
    </row>
    <row r="186" spans="1:14" s="16" customFormat="1" x14ac:dyDescent="0.25">
      <c r="A186" s="1" t="s">
        <v>1520</v>
      </c>
      <c r="B186" s="1">
        <v>185</v>
      </c>
      <c r="C186" s="1" t="s">
        <v>1067</v>
      </c>
      <c r="D186" s="1" t="s">
        <v>11089</v>
      </c>
      <c r="E186" s="1" t="s">
        <v>1347</v>
      </c>
      <c r="F186" s="1" t="s">
        <v>347</v>
      </c>
      <c r="G186" s="1" t="s">
        <v>1453</v>
      </c>
      <c r="H186" s="1">
        <v>41.9</v>
      </c>
      <c r="I186" s="1">
        <v>0</v>
      </c>
      <c r="J186" s="1">
        <v>1</v>
      </c>
      <c r="L186" s="1">
        <v>1</v>
      </c>
      <c r="M186" s="1" t="s">
        <v>1457</v>
      </c>
      <c r="N186" s="1" t="s">
        <v>1460</v>
      </c>
    </row>
    <row r="187" spans="1:14" s="16" customFormat="1" x14ac:dyDescent="0.25">
      <c r="A187" s="1" t="s">
        <v>1522</v>
      </c>
      <c r="B187" s="1">
        <v>186</v>
      </c>
      <c r="C187" s="1" t="s">
        <v>1067</v>
      </c>
      <c r="D187" s="1" t="s">
        <v>11089</v>
      </c>
      <c r="E187" s="1" t="s">
        <v>1347</v>
      </c>
      <c r="F187" s="1" t="s">
        <v>347</v>
      </c>
      <c r="G187" s="1" t="s">
        <v>1453</v>
      </c>
      <c r="H187" s="1">
        <v>41.9</v>
      </c>
      <c r="I187" s="1">
        <v>0</v>
      </c>
      <c r="J187" s="1">
        <v>1</v>
      </c>
      <c r="K187" s="1"/>
      <c r="L187" s="1">
        <v>1</v>
      </c>
      <c r="M187" s="1" t="s">
        <v>1462</v>
      </c>
      <c r="N187" s="1" t="s">
        <v>1463</v>
      </c>
    </row>
    <row r="188" spans="1:14" s="16" customFormat="1" x14ac:dyDescent="0.25">
      <c r="A188" s="1" t="s">
        <v>1524</v>
      </c>
      <c r="B188" s="1">
        <v>187</v>
      </c>
      <c r="C188" s="1" t="s">
        <v>1067</v>
      </c>
      <c r="D188" s="1" t="s">
        <v>11089</v>
      </c>
      <c r="E188" s="1" t="s">
        <v>1347</v>
      </c>
      <c r="F188" s="1" t="s">
        <v>347</v>
      </c>
      <c r="G188" s="1" t="s">
        <v>1453</v>
      </c>
      <c r="H188" s="1">
        <v>41.9</v>
      </c>
      <c r="I188" s="1">
        <v>0</v>
      </c>
      <c r="J188" s="1">
        <v>1</v>
      </c>
      <c r="K188" s="1"/>
      <c r="L188" s="1">
        <v>1</v>
      </c>
      <c r="M188" s="1" t="s">
        <v>1462</v>
      </c>
      <c r="N188" s="1" t="s">
        <v>1465</v>
      </c>
    </row>
    <row r="189" spans="1:14" s="16" customFormat="1" x14ac:dyDescent="0.25">
      <c r="A189" s="1" t="s">
        <v>1526</v>
      </c>
      <c r="B189" s="1">
        <v>188</v>
      </c>
      <c r="C189" s="1" t="s">
        <v>1067</v>
      </c>
      <c r="D189" s="1" t="s">
        <v>11089</v>
      </c>
      <c r="E189" s="1" t="s">
        <v>1347</v>
      </c>
      <c r="F189" s="1" t="s">
        <v>347</v>
      </c>
      <c r="G189" s="1" t="s">
        <v>1453</v>
      </c>
      <c r="H189" s="1">
        <v>41.9</v>
      </c>
      <c r="I189" s="1">
        <v>0</v>
      </c>
      <c r="J189" s="1">
        <v>1</v>
      </c>
      <c r="K189" s="1"/>
      <c r="L189" s="1">
        <v>1</v>
      </c>
      <c r="M189" s="1" t="s">
        <v>1462</v>
      </c>
      <c r="N189" s="1" t="s">
        <v>1467</v>
      </c>
    </row>
    <row r="190" spans="1:14" s="16" customFormat="1" x14ac:dyDescent="0.25">
      <c r="A190" s="1" t="s">
        <v>1527</v>
      </c>
      <c r="B190" s="1">
        <v>189</v>
      </c>
      <c r="C190" s="1" t="s">
        <v>1067</v>
      </c>
      <c r="D190" s="1" t="s">
        <v>11089</v>
      </c>
      <c r="E190" s="1" t="s">
        <v>1347</v>
      </c>
      <c r="F190" s="1" t="s">
        <v>347</v>
      </c>
      <c r="G190" s="1" t="s">
        <v>1453</v>
      </c>
      <c r="H190" s="1">
        <v>41.9</v>
      </c>
      <c r="I190" s="1">
        <v>0</v>
      </c>
      <c r="J190" s="1">
        <v>1</v>
      </c>
      <c r="K190" s="1"/>
      <c r="L190" s="1">
        <v>1</v>
      </c>
      <c r="M190" s="1" t="s">
        <v>1469</v>
      </c>
      <c r="N190" s="1" t="s">
        <v>1469</v>
      </c>
    </row>
    <row r="191" spans="1:14" s="16" customFormat="1" x14ac:dyDescent="0.25">
      <c r="A191" s="1" t="s">
        <v>1530</v>
      </c>
      <c r="B191" s="1">
        <v>190</v>
      </c>
      <c r="C191" s="1" t="s">
        <v>1067</v>
      </c>
      <c r="D191" s="1" t="s">
        <v>11089</v>
      </c>
      <c r="E191" s="1" t="s">
        <v>1347</v>
      </c>
      <c r="F191" s="1" t="s">
        <v>347</v>
      </c>
      <c r="G191" s="1" t="s">
        <v>1453</v>
      </c>
      <c r="H191" s="1">
        <v>41.9</v>
      </c>
      <c r="I191" s="1">
        <v>0</v>
      </c>
      <c r="J191" s="1">
        <v>1</v>
      </c>
      <c r="K191" s="1"/>
      <c r="L191" s="1">
        <v>1</v>
      </c>
      <c r="M191" s="1" t="s">
        <v>1471</v>
      </c>
      <c r="N191" s="1" t="s">
        <v>1472</v>
      </c>
    </row>
    <row r="192" spans="1:14" s="16" customFormat="1" x14ac:dyDescent="0.25">
      <c r="A192" s="1" t="s">
        <v>1534</v>
      </c>
      <c r="B192" s="1">
        <v>191</v>
      </c>
      <c r="C192" s="1" t="s">
        <v>1067</v>
      </c>
      <c r="D192" s="1" t="s">
        <v>11089</v>
      </c>
      <c r="E192" s="1" t="s">
        <v>1347</v>
      </c>
      <c r="F192" s="1" t="s">
        <v>347</v>
      </c>
      <c r="G192" s="1" t="s">
        <v>1453</v>
      </c>
      <c r="H192" s="1">
        <v>41.9</v>
      </c>
      <c r="I192" s="1">
        <v>0</v>
      </c>
      <c r="J192" s="1">
        <v>1</v>
      </c>
      <c r="K192" s="1"/>
      <c r="L192" s="1">
        <v>1</v>
      </c>
      <c r="M192" s="1" t="s">
        <v>1471</v>
      </c>
      <c r="N192" s="1" t="s">
        <v>1474</v>
      </c>
    </row>
    <row r="193" spans="1:14" s="1" customFormat="1" x14ac:dyDescent="0.25">
      <c r="A193" s="1" t="s">
        <v>1536</v>
      </c>
      <c r="B193" s="1">
        <v>192</v>
      </c>
      <c r="C193" s="1" t="s">
        <v>1067</v>
      </c>
      <c r="D193" s="1" t="s">
        <v>11089</v>
      </c>
      <c r="E193" s="1" t="s">
        <v>1347</v>
      </c>
      <c r="F193" s="1" t="s">
        <v>347</v>
      </c>
      <c r="G193" s="1" t="s">
        <v>1453</v>
      </c>
      <c r="H193" s="1">
        <v>41.9</v>
      </c>
      <c r="I193" s="1">
        <v>0</v>
      </c>
      <c r="J193" s="1">
        <v>1</v>
      </c>
      <c r="L193" s="1">
        <v>0</v>
      </c>
      <c r="M193" s="1" t="s">
        <v>14862</v>
      </c>
      <c r="N193" s="1" t="s">
        <v>14862</v>
      </c>
    </row>
    <row r="194" spans="1:14" s="1" customFormat="1" x14ac:dyDescent="0.25">
      <c r="A194" s="1" t="s">
        <v>1538</v>
      </c>
      <c r="B194" s="1">
        <v>193</v>
      </c>
      <c r="C194" s="1" t="s">
        <v>1067</v>
      </c>
      <c r="D194" s="1" t="s">
        <v>11089</v>
      </c>
      <c r="E194" s="1" t="s">
        <v>1347</v>
      </c>
      <c r="F194" s="1" t="s">
        <v>347</v>
      </c>
      <c r="G194" s="1" t="s">
        <v>1453</v>
      </c>
      <c r="H194" s="1">
        <v>41.9</v>
      </c>
      <c r="I194" s="1">
        <v>0</v>
      </c>
      <c r="J194" s="1">
        <v>1</v>
      </c>
      <c r="L194" s="1">
        <v>0</v>
      </c>
      <c r="M194" s="1" t="s">
        <v>3410</v>
      </c>
      <c r="N194" s="1" t="s">
        <v>3410</v>
      </c>
    </row>
    <row r="195" spans="1:14" s="1" customFormat="1" x14ac:dyDescent="0.25">
      <c r="A195" s="1" t="s">
        <v>1540</v>
      </c>
      <c r="B195" s="1">
        <v>194</v>
      </c>
      <c r="C195" s="1" t="s">
        <v>1067</v>
      </c>
      <c r="D195" s="1" t="s">
        <v>11089</v>
      </c>
      <c r="E195" s="1" t="s">
        <v>1347</v>
      </c>
      <c r="F195" s="1" t="s">
        <v>347</v>
      </c>
      <c r="G195" s="1" t="s">
        <v>1453</v>
      </c>
      <c r="H195" s="1">
        <v>41.9</v>
      </c>
      <c r="I195" s="1">
        <v>0</v>
      </c>
      <c r="J195" s="1">
        <v>1</v>
      </c>
      <c r="L195" s="1">
        <v>0</v>
      </c>
      <c r="M195" s="1" t="s">
        <v>14894</v>
      </c>
      <c r="N195" s="1" t="s">
        <v>14894</v>
      </c>
    </row>
    <row r="196" spans="1:14" s="16" customFormat="1" x14ac:dyDescent="0.25">
      <c r="A196" s="1" t="s">
        <v>1542</v>
      </c>
      <c r="B196" s="1">
        <v>195</v>
      </c>
      <c r="C196" s="1" t="s">
        <v>1067</v>
      </c>
      <c r="D196" s="1" t="s">
        <v>11089</v>
      </c>
      <c r="E196" s="1" t="s">
        <v>1347</v>
      </c>
      <c r="F196" s="1" t="s">
        <v>291</v>
      </c>
      <c r="G196" s="1" t="s">
        <v>1476</v>
      </c>
      <c r="H196" s="1">
        <v>41.9</v>
      </c>
      <c r="I196" s="1">
        <v>0</v>
      </c>
      <c r="J196" s="1">
        <v>1</v>
      </c>
      <c r="K196" s="1"/>
      <c r="L196" s="1">
        <v>1</v>
      </c>
      <c r="M196" s="1" t="s">
        <v>1477</v>
      </c>
      <c r="N196" s="1" t="s">
        <v>1478</v>
      </c>
    </row>
    <row r="197" spans="1:14" s="16" customFormat="1" x14ac:dyDescent="0.25">
      <c r="A197" s="1" t="s">
        <v>1544</v>
      </c>
      <c r="B197" s="1">
        <v>196</v>
      </c>
      <c r="C197" s="1" t="s">
        <v>1067</v>
      </c>
      <c r="D197" s="1" t="s">
        <v>11089</v>
      </c>
      <c r="E197" s="1" t="s">
        <v>1347</v>
      </c>
      <c r="F197" s="1" t="s">
        <v>291</v>
      </c>
      <c r="G197" s="1" t="s">
        <v>1476</v>
      </c>
      <c r="H197" s="1">
        <v>41.9</v>
      </c>
      <c r="I197" s="1">
        <v>0</v>
      </c>
      <c r="J197" s="1">
        <v>1</v>
      </c>
      <c r="K197" s="1"/>
      <c r="L197" s="1">
        <v>1</v>
      </c>
      <c r="M197" s="1" t="s">
        <v>1477</v>
      </c>
      <c r="N197" s="1" t="s">
        <v>1480</v>
      </c>
    </row>
    <row r="198" spans="1:14" s="16" customFormat="1" x14ac:dyDescent="0.25">
      <c r="A198" s="1" t="s">
        <v>1546</v>
      </c>
      <c r="B198" s="1">
        <v>197</v>
      </c>
      <c r="C198" s="1" t="s">
        <v>1067</v>
      </c>
      <c r="D198" s="1" t="s">
        <v>11089</v>
      </c>
      <c r="E198" s="1" t="s">
        <v>1347</v>
      </c>
      <c r="F198" s="1" t="s">
        <v>291</v>
      </c>
      <c r="G198" s="1" t="s">
        <v>1476</v>
      </c>
      <c r="H198" s="1">
        <v>41.9</v>
      </c>
      <c r="I198" s="1">
        <v>0</v>
      </c>
      <c r="J198" s="1">
        <v>1</v>
      </c>
      <c r="K198" s="1"/>
      <c r="L198" s="1">
        <v>1</v>
      </c>
      <c r="M198" s="1" t="s">
        <v>1477</v>
      </c>
      <c r="N198" s="1" t="s">
        <v>1482</v>
      </c>
    </row>
    <row r="199" spans="1:14" s="16" customFormat="1" x14ac:dyDescent="0.25">
      <c r="A199" s="1" t="s">
        <v>1548</v>
      </c>
      <c r="B199" s="1">
        <v>198</v>
      </c>
      <c r="C199" s="1" t="s">
        <v>1067</v>
      </c>
      <c r="D199" s="1" t="s">
        <v>11089</v>
      </c>
      <c r="E199" s="1" t="s">
        <v>1347</v>
      </c>
      <c r="F199" s="1" t="s">
        <v>291</v>
      </c>
      <c r="G199" s="1" t="s">
        <v>1476</v>
      </c>
      <c r="H199" s="1">
        <v>41.9</v>
      </c>
      <c r="I199" s="1">
        <v>0</v>
      </c>
      <c r="J199" s="1">
        <v>1</v>
      </c>
      <c r="K199" s="1"/>
      <c r="L199" s="1">
        <v>1</v>
      </c>
      <c r="M199" s="1" t="s">
        <v>1477</v>
      </c>
      <c r="N199" s="1" t="s">
        <v>1484</v>
      </c>
    </row>
    <row r="200" spans="1:14" s="16" customFormat="1" x14ac:dyDescent="0.25">
      <c r="A200" s="1" t="s">
        <v>1550</v>
      </c>
      <c r="B200" s="1">
        <v>199</v>
      </c>
      <c r="C200" s="1" t="s">
        <v>1067</v>
      </c>
      <c r="D200" s="1" t="s">
        <v>11089</v>
      </c>
      <c r="E200" s="1" t="s">
        <v>1347</v>
      </c>
      <c r="F200" s="1" t="s">
        <v>291</v>
      </c>
      <c r="G200" s="1" t="s">
        <v>1476</v>
      </c>
      <c r="H200" s="1">
        <v>41.9</v>
      </c>
      <c r="I200" s="1">
        <v>0</v>
      </c>
      <c r="J200" s="1">
        <v>1</v>
      </c>
      <c r="K200" s="1"/>
      <c r="L200" s="1">
        <v>1</v>
      </c>
      <c r="M200" s="1" t="s">
        <v>1486</v>
      </c>
      <c r="N200" s="1" t="s">
        <v>1484</v>
      </c>
    </row>
    <row r="201" spans="1:14" s="16" customFormat="1" x14ac:dyDescent="0.25">
      <c r="A201" s="1" t="s">
        <v>1552</v>
      </c>
      <c r="B201" s="1">
        <v>200</v>
      </c>
      <c r="C201" s="1" t="s">
        <v>1067</v>
      </c>
      <c r="D201" s="1" t="s">
        <v>11089</v>
      </c>
      <c r="E201" s="1" t="s">
        <v>1347</v>
      </c>
      <c r="F201" s="1" t="s">
        <v>291</v>
      </c>
      <c r="G201" s="1" t="s">
        <v>1476</v>
      </c>
      <c r="H201" s="1">
        <v>41.9</v>
      </c>
      <c r="I201" s="1">
        <v>0</v>
      </c>
      <c r="J201" s="1">
        <v>1</v>
      </c>
      <c r="K201" s="1"/>
      <c r="L201" s="1">
        <v>1</v>
      </c>
      <c r="M201" s="1" t="s">
        <v>1486</v>
      </c>
      <c r="N201" s="1" t="s">
        <v>1488</v>
      </c>
    </row>
    <row r="202" spans="1:14" s="1" customFormat="1" x14ac:dyDescent="0.25">
      <c r="A202" s="1" t="s">
        <v>1554</v>
      </c>
      <c r="B202" s="1">
        <v>201</v>
      </c>
      <c r="C202" s="1" t="s">
        <v>1067</v>
      </c>
      <c r="D202" s="1" t="s">
        <v>11089</v>
      </c>
      <c r="E202" s="1" t="s">
        <v>1347</v>
      </c>
      <c r="F202" s="1" t="s">
        <v>291</v>
      </c>
      <c r="G202" s="1" t="s">
        <v>1476</v>
      </c>
      <c r="H202" s="1">
        <v>41.9</v>
      </c>
      <c r="I202" s="1">
        <v>0</v>
      </c>
      <c r="J202" s="1">
        <v>1</v>
      </c>
      <c r="L202" s="1">
        <v>0</v>
      </c>
      <c r="M202" s="1" t="s">
        <v>14913</v>
      </c>
      <c r="N202" s="1" t="s">
        <v>14913</v>
      </c>
    </row>
    <row r="203" spans="1:14" x14ac:dyDescent="0.25">
      <c r="A203" s="1" t="s">
        <v>1556</v>
      </c>
      <c r="B203" s="1">
        <v>202</v>
      </c>
      <c r="C203" s="1" t="s">
        <v>1067</v>
      </c>
      <c r="D203" s="1" t="s">
        <v>11090</v>
      </c>
      <c r="E203" s="1" t="s">
        <v>1490</v>
      </c>
      <c r="F203" s="1" t="s">
        <v>1499</v>
      </c>
      <c r="G203" s="1" t="s">
        <v>1500</v>
      </c>
      <c r="H203" s="1">
        <v>41.9</v>
      </c>
      <c r="I203" s="1">
        <v>0</v>
      </c>
      <c r="J203" s="1">
        <v>1</v>
      </c>
      <c r="K203" s="1"/>
      <c r="L203" s="1">
        <v>0</v>
      </c>
      <c r="M203" s="1" t="s">
        <v>1501</v>
      </c>
      <c r="N203" s="1" t="s">
        <v>1502</v>
      </c>
    </row>
    <row r="204" spans="1:14" x14ac:dyDescent="0.25">
      <c r="A204" s="1" t="s">
        <v>1558</v>
      </c>
      <c r="B204" s="1">
        <v>203</v>
      </c>
      <c r="C204" s="1" t="s">
        <v>1067</v>
      </c>
      <c r="D204" s="1" t="s">
        <v>11090</v>
      </c>
      <c r="E204" s="1" t="s">
        <v>1490</v>
      </c>
      <c r="F204" s="1" t="s">
        <v>1499</v>
      </c>
      <c r="G204" s="1" t="s">
        <v>1500</v>
      </c>
      <c r="H204" s="1">
        <v>41.9</v>
      </c>
      <c r="I204" s="1">
        <v>0</v>
      </c>
      <c r="J204" s="1">
        <v>1</v>
      </c>
      <c r="K204" s="1"/>
      <c r="L204" s="1">
        <v>0</v>
      </c>
      <c r="M204" s="1" t="s">
        <v>1501</v>
      </c>
      <c r="N204" s="1" t="s">
        <v>1504</v>
      </c>
    </row>
    <row r="205" spans="1:14" x14ac:dyDescent="0.25">
      <c r="A205" s="1" t="s">
        <v>1561</v>
      </c>
      <c r="B205" s="1">
        <v>204</v>
      </c>
      <c r="C205" s="1" t="s">
        <v>1067</v>
      </c>
      <c r="D205" s="1" t="s">
        <v>11090</v>
      </c>
      <c r="E205" s="1" t="s">
        <v>1490</v>
      </c>
      <c r="F205" s="1" t="s">
        <v>1499</v>
      </c>
      <c r="G205" s="1" t="s">
        <v>1500</v>
      </c>
      <c r="H205" s="1">
        <v>41.9</v>
      </c>
      <c r="I205" s="1">
        <v>0</v>
      </c>
      <c r="J205" s="1">
        <v>1</v>
      </c>
      <c r="K205" s="1"/>
      <c r="L205" s="1">
        <v>0</v>
      </c>
      <c r="M205" s="1" t="s">
        <v>1506</v>
      </c>
      <c r="N205" s="1" t="s">
        <v>1507</v>
      </c>
    </row>
    <row r="206" spans="1:14" x14ac:dyDescent="0.25">
      <c r="A206" s="1" t="s">
        <v>1563</v>
      </c>
      <c r="B206" s="1">
        <v>205</v>
      </c>
      <c r="C206" s="1" t="s">
        <v>1067</v>
      </c>
      <c r="D206" s="1" t="s">
        <v>11090</v>
      </c>
      <c r="E206" s="1" t="s">
        <v>1490</v>
      </c>
      <c r="F206" s="1" t="s">
        <v>1499</v>
      </c>
      <c r="G206" s="1" t="s">
        <v>1500</v>
      </c>
      <c r="H206" s="1">
        <v>41.9</v>
      </c>
      <c r="I206" s="1">
        <v>0</v>
      </c>
      <c r="J206" s="1">
        <v>1</v>
      </c>
      <c r="K206" s="1"/>
      <c r="L206" s="1">
        <v>0</v>
      </c>
      <c r="M206" s="1" t="s">
        <v>1506</v>
      </c>
      <c r="N206" s="1" t="s">
        <v>1509</v>
      </c>
    </row>
    <row r="207" spans="1:14" x14ac:dyDescent="0.25">
      <c r="A207" s="1" t="s">
        <v>1567</v>
      </c>
      <c r="B207" s="1">
        <v>206</v>
      </c>
      <c r="C207" s="1" t="s">
        <v>1067</v>
      </c>
      <c r="D207" s="1" t="s">
        <v>11090</v>
      </c>
      <c r="E207" s="1" t="s">
        <v>1490</v>
      </c>
      <c r="F207" s="1" t="s">
        <v>1499</v>
      </c>
      <c r="G207" s="1" t="s">
        <v>1500</v>
      </c>
      <c r="H207" s="1">
        <v>41.9</v>
      </c>
      <c r="I207" s="1">
        <v>0</v>
      </c>
      <c r="J207" s="1">
        <v>1</v>
      </c>
      <c r="K207" s="1"/>
      <c r="L207" s="1">
        <v>0</v>
      </c>
      <c r="M207" s="1" t="s">
        <v>1506</v>
      </c>
      <c r="N207" s="1" t="s">
        <v>1511</v>
      </c>
    </row>
    <row r="208" spans="1:14" x14ac:dyDescent="0.25">
      <c r="A208" s="1" t="s">
        <v>1569</v>
      </c>
      <c r="B208" s="1">
        <v>207</v>
      </c>
      <c r="C208" s="1" t="s">
        <v>1067</v>
      </c>
      <c r="D208" s="1" t="s">
        <v>11090</v>
      </c>
      <c r="E208" s="1" t="s">
        <v>1490</v>
      </c>
      <c r="F208" s="1" t="s">
        <v>1499</v>
      </c>
      <c r="G208" s="1" t="s">
        <v>1500</v>
      </c>
      <c r="H208" s="1">
        <v>41.9</v>
      </c>
      <c r="I208" s="1">
        <v>0</v>
      </c>
      <c r="J208" s="1">
        <v>1</v>
      </c>
      <c r="K208" s="1"/>
      <c r="L208" s="1">
        <v>0</v>
      </c>
      <c r="M208" s="1" t="s">
        <v>1506</v>
      </c>
      <c r="N208" s="1" t="s">
        <v>1513</v>
      </c>
    </row>
    <row r="209" spans="1:14" x14ac:dyDescent="0.25">
      <c r="A209" s="1" t="s">
        <v>1571</v>
      </c>
      <c r="B209" s="1">
        <v>208</v>
      </c>
      <c r="C209" s="1" t="s">
        <v>1067</v>
      </c>
      <c r="D209" s="1" t="s">
        <v>11090</v>
      </c>
      <c r="E209" s="1" t="s">
        <v>1490</v>
      </c>
      <c r="F209" s="1" t="s">
        <v>1499</v>
      </c>
      <c r="G209" s="1" t="s">
        <v>1500</v>
      </c>
      <c r="H209" s="1">
        <v>41.9</v>
      </c>
      <c r="I209" s="1">
        <v>0</v>
      </c>
      <c r="J209" s="1">
        <v>1</v>
      </c>
      <c r="K209" s="1"/>
      <c r="L209" s="1">
        <v>0</v>
      </c>
      <c r="M209" s="1" t="s">
        <v>1506</v>
      </c>
      <c r="N209" s="1" t="s">
        <v>1515</v>
      </c>
    </row>
    <row r="210" spans="1:14" x14ac:dyDescent="0.25">
      <c r="A210" s="1" t="s">
        <v>1573</v>
      </c>
      <c r="B210" s="1">
        <v>209</v>
      </c>
      <c r="C210" s="1" t="s">
        <v>1067</v>
      </c>
      <c r="D210" s="1" t="s">
        <v>11090</v>
      </c>
      <c r="E210" s="1" t="s">
        <v>1490</v>
      </c>
      <c r="F210" s="1" t="s">
        <v>1499</v>
      </c>
      <c r="G210" s="1" t="s">
        <v>1500</v>
      </c>
      <c r="H210" s="1">
        <v>41.9</v>
      </c>
      <c r="I210" s="1">
        <v>0</v>
      </c>
      <c r="J210" s="1">
        <v>1</v>
      </c>
      <c r="K210" s="1"/>
      <c r="L210" s="1">
        <v>0</v>
      </c>
      <c r="M210" s="1" t="s">
        <v>1517</v>
      </c>
      <c r="N210" s="1" t="s">
        <v>334</v>
      </c>
    </row>
    <row r="211" spans="1:14" x14ac:dyDescent="0.25">
      <c r="A211" s="1" t="s">
        <v>1576</v>
      </c>
      <c r="B211" s="1">
        <v>210</v>
      </c>
      <c r="C211" s="1" t="s">
        <v>1067</v>
      </c>
      <c r="D211" s="1" t="s">
        <v>11090</v>
      </c>
      <c r="E211" s="1" t="s">
        <v>1490</v>
      </c>
      <c r="F211" s="1" t="s">
        <v>1499</v>
      </c>
      <c r="G211" s="1" t="s">
        <v>1500</v>
      </c>
      <c r="H211" s="1">
        <v>41.9</v>
      </c>
      <c r="I211" s="1">
        <v>0</v>
      </c>
      <c r="J211" s="1">
        <v>1</v>
      </c>
      <c r="K211" s="1"/>
      <c r="L211" s="1">
        <v>0</v>
      </c>
      <c r="M211" s="1" t="s">
        <v>1517</v>
      </c>
      <c r="N211" s="1" t="s">
        <v>1519</v>
      </c>
    </row>
    <row r="212" spans="1:14" x14ac:dyDescent="0.25">
      <c r="A212" s="1" t="s">
        <v>1578</v>
      </c>
      <c r="B212" s="1">
        <v>211</v>
      </c>
      <c r="C212" s="1" t="s">
        <v>1067</v>
      </c>
      <c r="D212" s="1" t="s">
        <v>11090</v>
      </c>
      <c r="E212" s="1" t="s">
        <v>1490</v>
      </c>
      <c r="F212" s="1" t="s">
        <v>1499</v>
      </c>
      <c r="G212" s="1" t="s">
        <v>1500</v>
      </c>
      <c r="H212" s="1">
        <v>41.9</v>
      </c>
      <c r="I212" s="1">
        <v>0</v>
      </c>
      <c r="J212" s="1">
        <v>1</v>
      </c>
      <c r="K212" s="1"/>
      <c r="L212" s="1">
        <v>0</v>
      </c>
      <c r="M212" s="1" t="s">
        <v>1517</v>
      </c>
      <c r="N212" s="1" t="s">
        <v>1521</v>
      </c>
    </row>
    <row r="213" spans="1:14" x14ac:dyDescent="0.25">
      <c r="A213" s="1" t="s">
        <v>1580</v>
      </c>
      <c r="B213" s="1">
        <v>212</v>
      </c>
      <c r="C213" s="1" t="s">
        <v>1067</v>
      </c>
      <c r="D213" s="1" t="s">
        <v>11090</v>
      </c>
      <c r="E213" s="1" t="s">
        <v>1490</v>
      </c>
      <c r="F213" s="1" t="s">
        <v>1499</v>
      </c>
      <c r="G213" s="1" t="s">
        <v>1500</v>
      </c>
      <c r="H213" s="1">
        <v>41.9</v>
      </c>
      <c r="I213" s="1">
        <v>0</v>
      </c>
      <c r="J213" s="1">
        <v>1</v>
      </c>
      <c r="K213" s="1"/>
      <c r="L213" s="1">
        <v>0</v>
      </c>
      <c r="M213" s="1" t="s">
        <v>1517</v>
      </c>
      <c r="N213" s="1" t="s">
        <v>1523</v>
      </c>
    </row>
    <row r="214" spans="1:14" x14ac:dyDescent="0.25">
      <c r="A214" s="1" t="s">
        <v>1582</v>
      </c>
      <c r="B214" s="1">
        <v>213</v>
      </c>
      <c r="C214" s="1" t="s">
        <v>1067</v>
      </c>
      <c r="D214" s="1" t="s">
        <v>11090</v>
      </c>
      <c r="E214" s="1" t="s">
        <v>1490</v>
      </c>
      <c r="F214" s="1" t="s">
        <v>1499</v>
      </c>
      <c r="G214" s="1" t="s">
        <v>1500</v>
      </c>
      <c r="H214" s="1">
        <v>41.9</v>
      </c>
      <c r="I214" s="1">
        <v>0</v>
      </c>
      <c r="J214" s="1">
        <v>1</v>
      </c>
      <c r="K214" s="1"/>
      <c r="L214" s="1">
        <v>0</v>
      </c>
      <c r="M214" s="1" t="s">
        <v>1517</v>
      </c>
      <c r="N214" s="1" t="s">
        <v>1525</v>
      </c>
    </row>
    <row r="215" spans="1:14" x14ac:dyDescent="0.25">
      <c r="A215" s="1" t="s">
        <v>1585</v>
      </c>
      <c r="B215" s="1">
        <v>214</v>
      </c>
      <c r="C215" s="1" t="s">
        <v>1067</v>
      </c>
      <c r="D215" s="1" t="s">
        <v>11090</v>
      </c>
      <c r="E215" s="1" t="s">
        <v>1490</v>
      </c>
      <c r="F215" s="1" t="s">
        <v>1499</v>
      </c>
      <c r="G215" s="1" t="s">
        <v>1500</v>
      </c>
      <c r="H215" s="1">
        <v>41.9</v>
      </c>
      <c r="I215" s="1">
        <v>0</v>
      </c>
      <c r="J215" s="1">
        <v>1</v>
      </c>
      <c r="K215" s="1"/>
      <c r="L215" s="1">
        <v>0</v>
      </c>
      <c r="M215" s="1" t="s">
        <v>1517</v>
      </c>
      <c r="N215" s="1" t="s">
        <v>539</v>
      </c>
    </row>
    <row r="216" spans="1:14" x14ac:dyDescent="0.25">
      <c r="A216" s="1" t="s">
        <v>1586</v>
      </c>
      <c r="B216" s="1">
        <v>215</v>
      </c>
      <c r="C216" s="1" t="s">
        <v>1067</v>
      </c>
      <c r="D216" s="1" t="s">
        <v>11090</v>
      </c>
      <c r="E216" s="1" t="s">
        <v>1490</v>
      </c>
      <c r="F216" s="1" t="s">
        <v>1499</v>
      </c>
      <c r="G216" s="1" t="s">
        <v>1500</v>
      </c>
      <c r="H216" s="1">
        <v>41.9</v>
      </c>
      <c r="I216" s="1">
        <v>0</v>
      </c>
      <c r="J216" s="1">
        <v>1</v>
      </c>
      <c r="K216" s="1"/>
      <c r="L216" s="1">
        <v>0</v>
      </c>
      <c r="M216" s="1" t="s">
        <v>1528</v>
      </c>
      <c r="N216" s="1" t="s">
        <v>1529</v>
      </c>
    </row>
    <row r="217" spans="1:14" s="1" customFormat="1" x14ac:dyDescent="0.25">
      <c r="A217" s="1" t="s">
        <v>1589</v>
      </c>
      <c r="B217" s="1">
        <v>216</v>
      </c>
      <c r="C217" s="1" t="s">
        <v>1067</v>
      </c>
      <c r="D217" s="1" t="s">
        <v>11090</v>
      </c>
      <c r="E217" s="1" t="s">
        <v>1490</v>
      </c>
      <c r="F217" s="1" t="s">
        <v>1499</v>
      </c>
      <c r="G217" s="1" t="s">
        <v>1500</v>
      </c>
      <c r="H217" s="1">
        <v>41.9</v>
      </c>
      <c r="I217" s="1">
        <v>0</v>
      </c>
      <c r="J217" s="1">
        <v>1</v>
      </c>
      <c r="L217" s="1">
        <v>0</v>
      </c>
      <c r="M217" s="1" t="s">
        <v>6072</v>
      </c>
      <c r="N217" s="1" t="s">
        <v>6072</v>
      </c>
    </row>
    <row r="218" spans="1:14" s="1" customFormat="1" x14ac:dyDescent="0.25">
      <c r="A218" s="1" t="s">
        <v>1594</v>
      </c>
      <c r="B218" s="1">
        <v>217</v>
      </c>
      <c r="C218" s="1" t="s">
        <v>1067</v>
      </c>
      <c r="D218" s="1" t="s">
        <v>11090</v>
      </c>
      <c r="E218" s="1" t="s">
        <v>1490</v>
      </c>
      <c r="F218" s="1" t="s">
        <v>1499</v>
      </c>
      <c r="G218" s="1" t="s">
        <v>1500</v>
      </c>
      <c r="H218" s="1">
        <v>41.9</v>
      </c>
      <c r="I218" s="1">
        <v>0</v>
      </c>
      <c r="J218" s="1">
        <v>1</v>
      </c>
      <c r="L218" s="1">
        <v>0</v>
      </c>
      <c r="M218" s="1" t="s">
        <v>14959</v>
      </c>
      <c r="N218" s="1" t="s">
        <v>14959</v>
      </c>
    </row>
    <row r="219" spans="1:14" s="1" customFormat="1" x14ac:dyDescent="0.25">
      <c r="A219" s="1" t="s">
        <v>1596</v>
      </c>
      <c r="B219" s="1">
        <v>218</v>
      </c>
      <c r="C219" s="1" t="s">
        <v>1067</v>
      </c>
      <c r="D219" s="1" t="s">
        <v>11090</v>
      </c>
      <c r="E219" s="1" t="s">
        <v>1490</v>
      </c>
      <c r="F219" s="1" t="s">
        <v>1499</v>
      </c>
      <c r="G219" s="1" t="s">
        <v>1500</v>
      </c>
      <c r="H219" s="1">
        <v>41.9</v>
      </c>
      <c r="I219" s="1">
        <v>0</v>
      </c>
      <c r="J219" s="1">
        <v>1</v>
      </c>
      <c r="L219" s="1">
        <v>0</v>
      </c>
      <c r="M219" s="1" t="s">
        <v>693</v>
      </c>
      <c r="N219" s="1" t="s">
        <v>693</v>
      </c>
    </row>
    <row r="220" spans="1:14" s="1" customFormat="1" x14ac:dyDescent="0.25">
      <c r="A220" s="1" t="s">
        <v>1599</v>
      </c>
      <c r="B220" s="1">
        <v>219</v>
      </c>
      <c r="C220" s="1" t="s">
        <v>1067</v>
      </c>
      <c r="D220" s="1" t="s">
        <v>11090</v>
      </c>
      <c r="E220" s="1" t="s">
        <v>1490</v>
      </c>
      <c r="F220" s="1" t="s">
        <v>1499</v>
      </c>
      <c r="G220" s="1" t="s">
        <v>1500</v>
      </c>
      <c r="H220" s="1">
        <v>41.9</v>
      </c>
      <c r="I220" s="1">
        <v>0</v>
      </c>
      <c r="J220" s="1">
        <v>1</v>
      </c>
      <c r="L220" s="1">
        <v>0</v>
      </c>
      <c r="M220" s="1" t="s">
        <v>14990</v>
      </c>
      <c r="N220" s="1" t="s">
        <v>14990</v>
      </c>
    </row>
    <row r="221" spans="1:14" x14ac:dyDescent="0.25">
      <c r="A221" s="1" t="s">
        <v>1602</v>
      </c>
      <c r="B221" s="1">
        <v>220</v>
      </c>
      <c r="C221" s="1" t="s">
        <v>1067</v>
      </c>
      <c r="D221" s="1" t="s">
        <v>11091</v>
      </c>
      <c r="E221" s="1" t="s">
        <v>494</v>
      </c>
      <c r="F221" s="1" t="s">
        <v>494</v>
      </c>
      <c r="G221" s="1" t="s">
        <v>1564</v>
      </c>
      <c r="H221" s="1">
        <v>41.9</v>
      </c>
      <c r="I221" s="1">
        <v>0</v>
      </c>
      <c r="J221" s="1">
        <v>1</v>
      </c>
      <c r="K221" s="1"/>
      <c r="L221" s="1">
        <v>1</v>
      </c>
      <c r="M221" s="1" t="s">
        <v>1565</v>
      </c>
      <c r="N221" s="1" t="s">
        <v>1566</v>
      </c>
    </row>
    <row r="222" spans="1:14" x14ac:dyDescent="0.25">
      <c r="A222" s="1" t="s">
        <v>1604</v>
      </c>
      <c r="B222" s="1">
        <v>221</v>
      </c>
      <c r="C222" s="1" t="s">
        <v>1067</v>
      </c>
      <c r="D222" s="1" t="s">
        <v>11091</v>
      </c>
      <c r="E222" s="1" t="s">
        <v>494</v>
      </c>
      <c r="F222" s="1" t="s">
        <v>494</v>
      </c>
      <c r="G222" s="1" t="s">
        <v>1564</v>
      </c>
      <c r="H222" s="1">
        <v>41.9</v>
      </c>
      <c r="I222" s="1">
        <v>0</v>
      </c>
      <c r="J222" s="1">
        <v>1</v>
      </c>
      <c r="K222" s="1"/>
      <c r="L222" s="1">
        <v>1</v>
      </c>
      <c r="M222" s="1" t="s">
        <v>1565</v>
      </c>
      <c r="N222" s="1" t="s">
        <v>1568</v>
      </c>
    </row>
    <row r="223" spans="1:14" x14ac:dyDescent="0.25">
      <c r="A223" s="1" t="s">
        <v>1607</v>
      </c>
      <c r="B223" s="1">
        <v>222</v>
      </c>
      <c r="C223" s="1" t="s">
        <v>1067</v>
      </c>
      <c r="D223" s="1" t="s">
        <v>11091</v>
      </c>
      <c r="E223" s="1" t="s">
        <v>494</v>
      </c>
      <c r="F223" s="1" t="s">
        <v>494</v>
      </c>
      <c r="G223" s="1" t="s">
        <v>1564</v>
      </c>
      <c r="H223" s="1">
        <v>41.9</v>
      </c>
      <c r="I223" s="1">
        <v>0</v>
      </c>
      <c r="J223" s="1">
        <v>1</v>
      </c>
      <c r="K223" s="1"/>
      <c r="L223" s="1">
        <v>1</v>
      </c>
      <c r="M223" s="1" t="s">
        <v>1565</v>
      </c>
      <c r="N223" s="1" t="s">
        <v>1570</v>
      </c>
    </row>
    <row r="224" spans="1:14" x14ac:dyDescent="0.25">
      <c r="A224" s="1" t="s">
        <v>1609</v>
      </c>
      <c r="B224" s="1">
        <v>223</v>
      </c>
      <c r="C224" s="1" t="s">
        <v>1067</v>
      </c>
      <c r="D224" s="1" t="s">
        <v>11091</v>
      </c>
      <c r="E224" s="1" t="s">
        <v>494</v>
      </c>
      <c r="F224" s="1" t="s">
        <v>494</v>
      </c>
      <c r="G224" s="1" t="s">
        <v>1564</v>
      </c>
      <c r="H224" s="1">
        <v>41.9</v>
      </c>
      <c r="I224" s="1">
        <v>0</v>
      </c>
      <c r="J224" s="1">
        <v>1</v>
      </c>
      <c r="K224" s="1"/>
      <c r="L224" s="1">
        <v>1</v>
      </c>
      <c r="M224" s="1" t="s">
        <v>1565</v>
      </c>
      <c r="N224" s="1" t="s">
        <v>1572</v>
      </c>
    </row>
    <row r="225" spans="1:14" x14ac:dyDescent="0.25">
      <c r="A225" s="1" t="s">
        <v>1611</v>
      </c>
      <c r="B225" s="1">
        <v>224</v>
      </c>
      <c r="C225" s="1" t="s">
        <v>1067</v>
      </c>
      <c r="D225" s="1" t="s">
        <v>11091</v>
      </c>
      <c r="E225" s="1" t="s">
        <v>494</v>
      </c>
      <c r="F225" s="1" t="s">
        <v>494</v>
      </c>
      <c r="G225" s="1" t="s">
        <v>1564</v>
      </c>
      <c r="H225" s="1">
        <v>41.9</v>
      </c>
      <c r="I225" s="1">
        <v>0</v>
      </c>
      <c r="J225" s="1">
        <v>1</v>
      </c>
      <c r="K225" s="1"/>
      <c r="L225" s="1">
        <v>1</v>
      </c>
      <c r="M225" s="1" t="s">
        <v>1574</v>
      </c>
      <c r="N225" s="1" t="s">
        <v>1575</v>
      </c>
    </row>
    <row r="226" spans="1:14" x14ac:dyDescent="0.25">
      <c r="A226" s="1" t="s">
        <v>1613</v>
      </c>
      <c r="B226" s="1">
        <v>225</v>
      </c>
      <c r="C226" s="1" t="s">
        <v>1067</v>
      </c>
      <c r="D226" s="1" t="s">
        <v>11091</v>
      </c>
      <c r="E226" s="1" t="s">
        <v>494</v>
      </c>
      <c r="F226" s="1" t="s">
        <v>494</v>
      </c>
      <c r="G226" s="1" t="s">
        <v>1564</v>
      </c>
      <c r="H226" s="1">
        <v>41.9</v>
      </c>
      <c r="I226" s="1">
        <v>0</v>
      </c>
      <c r="J226" s="1">
        <v>1</v>
      </c>
      <c r="K226" s="1"/>
      <c r="L226" s="1">
        <v>1</v>
      </c>
      <c r="M226" s="1" t="s">
        <v>1574</v>
      </c>
      <c r="N226" s="1" t="s">
        <v>1577</v>
      </c>
    </row>
    <row r="227" spans="1:14" x14ac:dyDescent="0.25">
      <c r="A227" s="1" t="s">
        <v>1615</v>
      </c>
      <c r="B227" s="1">
        <v>226</v>
      </c>
      <c r="C227" s="1" t="s">
        <v>1067</v>
      </c>
      <c r="D227" s="1" t="s">
        <v>11091</v>
      </c>
      <c r="E227" s="1" t="s">
        <v>494</v>
      </c>
      <c r="F227" s="1" t="s">
        <v>494</v>
      </c>
      <c r="G227" s="1" t="s">
        <v>1564</v>
      </c>
      <c r="H227" s="1">
        <v>41.9</v>
      </c>
      <c r="I227" s="1">
        <v>0</v>
      </c>
      <c r="J227" s="1">
        <v>1</v>
      </c>
      <c r="K227" s="1"/>
      <c r="L227" s="1">
        <v>1</v>
      </c>
      <c r="M227" s="1" t="s">
        <v>1574</v>
      </c>
      <c r="N227" s="1" t="s">
        <v>1579</v>
      </c>
    </row>
    <row r="228" spans="1:14" x14ac:dyDescent="0.25">
      <c r="A228" s="1" t="s">
        <v>1618</v>
      </c>
      <c r="B228" s="1">
        <v>227</v>
      </c>
      <c r="C228" s="1" t="s">
        <v>1067</v>
      </c>
      <c r="D228" s="1" t="s">
        <v>11091</v>
      </c>
      <c r="E228" s="1" t="s">
        <v>494</v>
      </c>
      <c r="F228" s="1" t="s">
        <v>494</v>
      </c>
      <c r="G228" s="1" t="s">
        <v>1564</v>
      </c>
      <c r="H228" s="1">
        <v>41.9</v>
      </c>
      <c r="I228" s="1">
        <v>0</v>
      </c>
      <c r="J228" s="1">
        <v>1</v>
      </c>
      <c r="K228" s="1"/>
      <c r="L228" s="1">
        <v>1</v>
      </c>
      <c r="M228" s="1" t="s">
        <v>1574</v>
      </c>
      <c r="N228" s="1" t="s">
        <v>1581</v>
      </c>
    </row>
    <row r="229" spans="1:14" x14ac:dyDescent="0.25">
      <c r="A229" s="1" t="s">
        <v>1620</v>
      </c>
      <c r="B229" s="1">
        <v>228</v>
      </c>
      <c r="C229" s="1" t="s">
        <v>1067</v>
      </c>
      <c r="D229" s="1" t="s">
        <v>11091</v>
      </c>
      <c r="E229" s="1" t="s">
        <v>494</v>
      </c>
      <c r="F229" s="1" t="s">
        <v>494</v>
      </c>
      <c r="G229" s="1" t="s">
        <v>1564</v>
      </c>
      <c r="H229" s="1">
        <v>41.9</v>
      </c>
      <c r="I229" s="1">
        <v>0</v>
      </c>
      <c r="J229" s="1">
        <v>1</v>
      </c>
      <c r="K229" s="1"/>
      <c r="L229" s="1">
        <v>1</v>
      </c>
      <c r="M229" s="1" t="s">
        <v>1583</v>
      </c>
      <c r="N229" s="1" t="s">
        <v>1584</v>
      </c>
    </row>
    <row r="230" spans="1:14" x14ac:dyDescent="0.25">
      <c r="A230" s="1" t="s">
        <v>1622</v>
      </c>
      <c r="B230" s="1">
        <v>229</v>
      </c>
      <c r="C230" s="1" t="s">
        <v>1067</v>
      </c>
      <c r="D230" s="1" t="s">
        <v>11091</v>
      </c>
      <c r="E230" s="1" t="s">
        <v>494</v>
      </c>
      <c r="F230" s="1" t="s">
        <v>494</v>
      </c>
      <c r="G230" s="1" t="s">
        <v>1564</v>
      </c>
      <c r="H230" s="1">
        <v>41.9</v>
      </c>
      <c r="I230" s="1">
        <v>0</v>
      </c>
      <c r="J230" s="1">
        <v>1</v>
      </c>
      <c r="K230" s="1"/>
      <c r="L230" s="1">
        <v>1</v>
      </c>
      <c r="M230" s="1" t="s">
        <v>1583</v>
      </c>
      <c r="N230" s="1" t="s">
        <v>257</v>
      </c>
    </row>
    <row r="231" spans="1:14" x14ac:dyDescent="0.25">
      <c r="A231" s="1" t="s">
        <v>1624</v>
      </c>
      <c r="B231" s="1">
        <v>230</v>
      </c>
      <c r="C231" s="1" t="s">
        <v>1067</v>
      </c>
      <c r="D231" s="1" t="s">
        <v>11091</v>
      </c>
      <c r="E231" s="1" t="s">
        <v>494</v>
      </c>
      <c r="F231" s="1" t="s">
        <v>494</v>
      </c>
      <c r="G231" s="1" t="s">
        <v>1564</v>
      </c>
      <c r="H231" s="1">
        <v>41.9</v>
      </c>
      <c r="I231" s="1">
        <v>0</v>
      </c>
      <c r="J231" s="1">
        <v>1</v>
      </c>
      <c r="K231" s="1"/>
      <c r="L231" s="1">
        <v>1</v>
      </c>
      <c r="M231" s="1" t="s">
        <v>1587</v>
      </c>
      <c r="N231" s="1" t="s">
        <v>1588</v>
      </c>
    </row>
    <row r="232" spans="1:14" s="1" customFormat="1" x14ac:dyDescent="0.25">
      <c r="A232" s="1" t="s">
        <v>1626</v>
      </c>
      <c r="B232" s="1">
        <v>231</v>
      </c>
      <c r="C232" s="1" t="s">
        <v>1067</v>
      </c>
      <c r="D232" s="1" t="s">
        <v>11091</v>
      </c>
      <c r="E232" s="1" t="s">
        <v>494</v>
      </c>
      <c r="F232" s="1" t="s">
        <v>494</v>
      </c>
      <c r="G232" s="1" t="s">
        <v>1564</v>
      </c>
      <c r="H232" s="1">
        <v>41.9</v>
      </c>
      <c r="I232" s="1">
        <v>0</v>
      </c>
      <c r="J232" s="1">
        <v>1</v>
      </c>
      <c r="L232" s="1">
        <v>1</v>
      </c>
      <c r="M232" s="1" t="s">
        <v>15082</v>
      </c>
      <c r="N232" s="1" t="s">
        <v>15082</v>
      </c>
    </row>
    <row r="233" spans="1:14" s="1" customFormat="1" x14ac:dyDescent="0.25">
      <c r="A233" s="1" t="s">
        <v>1630</v>
      </c>
      <c r="B233" s="1">
        <v>232</v>
      </c>
      <c r="C233" s="1" t="s">
        <v>1067</v>
      </c>
      <c r="D233" s="1" t="s">
        <v>11091</v>
      </c>
      <c r="E233" s="1" t="s">
        <v>494</v>
      </c>
      <c r="F233" s="1" t="s">
        <v>494</v>
      </c>
      <c r="G233" s="1" t="s">
        <v>1564</v>
      </c>
      <c r="H233" s="1">
        <v>41.9</v>
      </c>
      <c r="I233" s="1">
        <v>0</v>
      </c>
      <c r="J233" s="1">
        <v>1</v>
      </c>
      <c r="L233" s="1">
        <v>1</v>
      </c>
      <c r="M233" s="1" t="s">
        <v>15125</v>
      </c>
      <c r="N233" s="1" t="s">
        <v>15125</v>
      </c>
    </row>
    <row r="234" spans="1:14" s="1" customFormat="1" x14ac:dyDescent="0.25">
      <c r="A234" s="1" t="s">
        <v>1632</v>
      </c>
      <c r="B234" s="1">
        <v>233</v>
      </c>
      <c r="C234" s="1" t="s">
        <v>11</v>
      </c>
      <c r="D234" s="1" t="s">
        <v>11090</v>
      </c>
      <c r="E234" s="1" t="s">
        <v>1490</v>
      </c>
      <c r="F234" s="1" t="s">
        <v>710</v>
      </c>
      <c r="G234" s="1" t="s">
        <v>1491</v>
      </c>
      <c r="H234" s="1">
        <v>21.4</v>
      </c>
      <c r="I234" s="1">
        <v>1</v>
      </c>
      <c r="J234" s="1">
        <v>0</v>
      </c>
      <c r="K234" s="1" t="s">
        <v>1071</v>
      </c>
      <c r="L234" s="1">
        <v>0</v>
      </c>
      <c r="M234" s="1" t="s">
        <v>710</v>
      </c>
      <c r="N234" s="1" t="s">
        <v>710</v>
      </c>
    </row>
    <row r="235" spans="1:14" s="1" customFormat="1" x14ac:dyDescent="0.25">
      <c r="A235" s="1" t="s">
        <v>1635</v>
      </c>
      <c r="B235" s="1">
        <v>234</v>
      </c>
      <c r="C235" s="1" t="s">
        <v>11</v>
      </c>
      <c r="D235" s="1" t="s">
        <v>11090</v>
      </c>
      <c r="E235" s="1" t="s">
        <v>1490</v>
      </c>
      <c r="F235" s="1" t="s">
        <v>710</v>
      </c>
      <c r="G235" s="1" t="s">
        <v>1491</v>
      </c>
      <c r="H235" s="1">
        <v>21.4</v>
      </c>
      <c r="I235" s="1">
        <v>1</v>
      </c>
      <c r="J235" s="1">
        <v>0</v>
      </c>
      <c r="K235" s="1" t="s">
        <v>1071</v>
      </c>
      <c r="L235" s="1">
        <v>0</v>
      </c>
      <c r="M235" s="1" t="s">
        <v>710</v>
      </c>
      <c r="N235" s="1" t="s">
        <v>1493</v>
      </c>
    </row>
    <row r="236" spans="1:14" s="1" customFormat="1" x14ac:dyDescent="0.25">
      <c r="A236" s="1" t="s">
        <v>1637</v>
      </c>
      <c r="B236" s="1">
        <v>235</v>
      </c>
      <c r="C236" s="1" t="s">
        <v>11</v>
      </c>
      <c r="D236" s="1" t="s">
        <v>11091</v>
      </c>
      <c r="E236" s="1" t="s">
        <v>1495</v>
      </c>
      <c r="F236" s="1" t="s">
        <v>1496</v>
      </c>
      <c r="G236" s="1" t="s">
        <v>1497</v>
      </c>
      <c r="H236" s="1">
        <v>11.2</v>
      </c>
      <c r="I236" s="1">
        <v>0</v>
      </c>
      <c r="J236" s="1">
        <v>0</v>
      </c>
      <c r="K236" s="1" t="s">
        <v>1077</v>
      </c>
      <c r="L236" s="1">
        <v>0</v>
      </c>
      <c r="M236" s="1" t="s">
        <v>1496</v>
      </c>
      <c r="N236" s="1" t="s">
        <v>1496</v>
      </c>
    </row>
    <row r="237" spans="1:14" s="1" customFormat="1" x14ac:dyDescent="0.25">
      <c r="A237" s="1" t="s">
        <v>1639</v>
      </c>
      <c r="B237" s="1">
        <v>236</v>
      </c>
      <c r="C237" s="1" t="s">
        <v>11</v>
      </c>
      <c r="D237" s="1" t="s">
        <v>11090</v>
      </c>
      <c r="E237" s="1" t="s">
        <v>1490</v>
      </c>
      <c r="F237" s="1" t="s">
        <v>686</v>
      </c>
      <c r="G237" s="1" t="s">
        <v>1531</v>
      </c>
      <c r="H237" s="1">
        <v>44.1</v>
      </c>
      <c r="I237" s="1">
        <v>0</v>
      </c>
      <c r="J237" s="1">
        <v>1</v>
      </c>
      <c r="L237" s="1">
        <v>0</v>
      </c>
      <c r="M237" s="1" t="s">
        <v>1532</v>
      </c>
      <c r="N237" s="1" t="s">
        <v>1533</v>
      </c>
    </row>
    <row r="238" spans="1:14" s="1" customFormat="1" x14ac:dyDescent="0.25">
      <c r="A238" s="1" t="s">
        <v>1642</v>
      </c>
      <c r="B238" s="1">
        <v>237</v>
      </c>
      <c r="C238" s="1" t="s">
        <v>11</v>
      </c>
      <c r="D238" s="1" t="s">
        <v>11090</v>
      </c>
      <c r="E238" s="1" t="s">
        <v>1490</v>
      </c>
      <c r="F238" s="1" t="s">
        <v>686</v>
      </c>
      <c r="G238" s="1" t="s">
        <v>1531</v>
      </c>
      <c r="H238" s="1">
        <v>44.1</v>
      </c>
      <c r="I238" s="1">
        <v>0</v>
      </c>
      <c r="J238" s="1">
        <v>1</v>
      </c>
      <c r="L238" s="1">
        <v>0</v>
      </c>
      <c r="M238" s="1" t="s">
        <v>1532</v>
      </c>
      <c r="N238" s="1" t="s">
        <v>1535</v>
      </c>
    </row>
    <row r="239" spans="1:14" s="1" customFormat="1" x14ac:dyDescent="0.25">
      <c r="A239" s="1" t="s">
        <v>1644</v>
      </c>
      <c r="B239" s="1">
        <v>238</v>
      </c>
      <c r="C239" s="1" t="s">
        <v>11</v>
      </c>
      <c r="D239" s="1" t="s">
        <v>11090</v>
      </c>
      <c r="E239" s="1" t="s">
        <v>1490</v>
      </c>
      <c r="F239" s="1" t="s">
        <v>686</v>
      </c>
      <c r="G239" s="1" t="s">
        <v>1531</v>
      </c>
      <c r="H239" s="1">
        <v>44.1</v>
      </c>
      <c r="I239" s="1">
        <v>0</v>
      </c>
      <c r="J239" s="1">
        <v>1</v>
      </c>
      <c r="L239" s="1">
        <v>0</v>
      </c>
      <c r="M239" s="1" t="s">
        <v>1532</v>
      </c>
      <c r="N239" s="1" t="s">
        <v>1537</v>
      </c>
    </row>
    <row r="240" spans="1:14" s="1" customFormat="1" x14ac:dyDescent="0.25">
      <c r="A240" s="1" t="s">
        <v>1647</v>
      </c>
      <c r="B240" s="1">
        <v>239</v>
      </c>
      <c r="C240" s="1" t="s">
        <v>11</v>
      </c>
      <c r="D240" s="1" t="s">
        <v>11090</v>
      </c>
      <c r="E240" s="1" t="s">
        <v>1490</v>
      </c>
      <c r="F240" s="1" t="s">
        <v>686</v>
      </c>
      <c r="G240" s="1" t="s">
        <v>1531</v>
      </c>
      <c r="H240" s="1">
        <v>44.1</v>
      </c>
      <c r="I240" s="1">
        <v>0</v>
      </c>
      <c r="J240" s="1">
        <v>1</v>
      </c>
      <c r="L240" s="1">
        <v>0</v>
      </c>
      <c r="M240" s="1" t="s">
        <v>1532</v>
      </c>
      <c r="N240" s="1" t="s">
        <v>1539</v>
      </c>
    </row>
    <row r="241" spans="1:14" s="1" customFormat="1" x14ac:dyDescent="0.25">
      <c r="A241" s="1" t="s">
        <v>1649</v>
      </c>
      <c r="B241" s="1">
        <v>240</v>
      </c>
      <c r="C241" s="1" t="s">
        <v>11</v>
      </c>
      <c r="D241" s="1" t="s">
        <v>11090</v>
      </c>
      <c r="E241" s="1" t="s">
        <v>1490</v>
      </c>
      <c r="F241" s="1" t="s">
        <v>686</v>
      </c>
      <c r="G241" s="1" t="s">
        <v>1531</v>
      </c>
      <c r="H241" s="1">
        <v>44.1</v>
      </c>
      <c r="I241" s="1">
        <v>0</v>
      </c>
      <c r="J241" s="1">
        <v>1</v>
      </c>
      <c r="L241" s="1">
        <v>0</v>
      </c>
      <c r="M241" s="1" t="s">
        <v>1532</v>
      </c>
      <c r="N241" s="1" t="s">
        <v>1541</v>
      </c>
    </row>
    <row r="242" spans="1:14" s="1" customFormat="1" x14ac:dyDescent="0.25">
      <c r="A242" s="1" t="s">
        <v>1652</v>
      </c>
      <c r="B242" s="1">
        <v>241</v>
      </c>
      <c r="C242" s="1" t="s">
        <v>11</v>
      </c>
      <c r="D242" s="1" t="s">
        <v>11090</v>
      </c>
      <c r="E242" s="1" t="s">
        <v>1490</v>
      </c>
      <c r="F242" s="1" t="s">
        <v>686</v>
      </c>
      <c r="G242" s="1" t="s">
        <v>1531</v>
      </c>
      <c r="H242" s="1">
        <v>44.1</v>
      </c>
      <c r="I242" s="1">
        <v>0</v>
      </c>
      <c r="J242" s="1">
        <v>1</v>
      </c>
      <c r="L242" s="1">
        <v>0</v>
      </c>
      <c r="M242" s="1" t="s">
        <v>1532</v>
      </c>
      <c r="N242" s="1" t="s">
        <v>1553</v>
      </c>
    </row>
    <row r="243" spans="1:14" s="1" customFormat="1" x14ac:dyDescent="0.25">
      <c r="A243" s="1" t="s">
        <v>1654</v>
      </c>
      <c r="B243" s="1">
        <v>242</v>
      </c>
      <c r="C243" s="1" t="s">
        <v>11</v>
      </c>
      <c r="D243" s="1" t="s">
        <v>11090</v>
      </c>
      <c r="E243" s="1" t="s">
        <v>1490</v>
      </c>
      <c r="F243" s="1" t="s">
        <v>686</v>
      </c>
      <c r="G243" s="1" t="s">
        <v>1531</v>
      </c>
      <c r="H243" s="1">
        <v>44.1</v>
      </c>
      <c r="I243" s="1">
        <v>0</v>
      </c>
      <c r="J243" s="1">
        <v>1</v>
      </c>
      <c r="L243" s="1">
        <v>0</v>
      </c>
      <c r="M243" s="1" t="s">
        <v>1532</v>
      </c>
      <c r="N243" s="1" t="s">
        <v>1543</v>
      </c>
    </row>
    <row r="244" spans="1:14" s="1" customFormat="1" x14ac:dyDescent="0.25">
      <c r="A244" s="1" t="s">
        <v>1656</v>
      </c>
      <c r="B244" s="1">
        <v>243</v>
      </c>
      <c r="C244" s="1" t="s">
        <v>11</v>
      </c>
      <c r="D244" s="1" t="s">
        <v>11090</v>
      </c>
      <c r="E244" s="1" t="s">
        <v>1490</v>
      </c>
      <c r="F244" s="1" t="s">
        <v>686</v>
      </c>
      <c r="G244" s="1" t="s">
        <v>1531</v>
      </c>
      <c r="H244" s="1">
        <v>44.1</v>
      </c>
      <c r="I244" s="1">
        <v>0</v>
      </c>
      <c r="J244" s="1">
        <v>1</v>
      </c>
      <c r="L244" s="1">
        <v>0</v>
      </c>
      <c r="M244" s="1" t="s">
        <v>1532</v>
      </c>
      <c r="N244" s="1" t="s">
        <v>1557</v>
      </c>
    </row>
    <row r="245" spans="1:14" s="1" customFormat="1" x14ac:dyDescent="0.25">
      <c r="A245" s="1" t="s">
        <v>1658</v>
      </c>
      <c r="B245" s="1">
        <v>244</v>
      </c>
      <c r="C245" s="1" t="s">
        <v>11</v>
      </c>
      <c r="D245" s="1" t="s">
        <v>11090</v>
      </c>
      <c r="E245" s="1" t="s">
        <v>1490</v>
      </c>
      <c r="F245" s="1" t="s">
        <v>686</v>
      </c>
      <c r="G245" s="1" t="s">
        <v>1531</v>
      </c>
      <c r="H245" s="1">
        <v>44.1</v>
      </c>
      <c r="I245" s="1">
        <v>0</v>
      </c>
      <c r="J245" s="1">
        <v>1</v>
      </c>
      <c r="L245" s="1">
        <v>0</v>
      </c>
      <c r="M245" s="1" t="s">
        <v>1545</v>
      </c>
      <c r="N245" s="1" t="s">
        <v>663</v>
      </c>
    </row>
    <row r="246" spans="1:14" s="1" customFormat="1" x14ac:dyDescent="0.25">
      <c r="A246" s="1" t="s">
        <v>1494</v>
      </c>
      <c r="B246" s="1">
        <v>245</v>
      </c>
      <c r="C246" s="1" t="s">
        <v>11</v>
      </c>
      <c r="D246" s="1" t="s">
        <v>11090</v>
      </c>
      <c r="E246" s="1" t="s">
        <v>1490</v>
      </c>
      <c r="F246" s="1" t="s">
        <v>686</v>
      </c>
      <c r="G246" s="1" t="s">
        <v>1531</v>
      </c>
      <c r="H246" s="1">
        <v>44.1</v>
      </c>
      <c r="I246" s="1">
        <v>0</v>
      </c>
      <c r="J246" s="1">
        <v>1</v>
      </c>
      <c r="L246" s="1">
        <v>0</v>
      </c>
      <c r="M246" s="1" t="s">
        <v>1545</v>
      </c>
      <c r="N246" s="1" t="s">
        <v>1547</v>
      </c>
    </row>
    <row r="247" spans="1:14" s="1" customFormat="1" x14ac:dyDescent="0.25">
      <c r="A247" s="1" t="s">
        <v>1660</v>
      </c>
      <c r="B247" s="1">
        <v>246</v>
      </c>
      <c r="C247" s="1" t="s">
        <v>11</v>
      </c>
      <c r="D247" s="1" t="s">
        <v>11090</v>
      </c>
      <c r="E247" s="1" t="s">
        <v>1490</v>
      </c>
      <c r="F247" s="1" t="s">
        <v>686</v>
      </c>
      <c r="G247" s="1" t="s">
        <v>1531</v>
      </c>
      <c r="H247" s="1">
        <v>44.1</v>
      </c>
      <c r="I247" s="1">
        <v>0</v>
      </c>
      <c r="J247" s="1">
        <v>1</v>
      </c>
      <c r="L247" s="1">
        <v>0</v>
      </c>
      <c r="M247" s="1" t="s">
        <v>1545</v>
      </c>
      <c r="N247" s="1" t="s">
        <v>1549</v>
      </c>
    </row>
    <row r="248" spans="1:14" s="1" customFormat="1" x14ac:dyDescent="0.25">
      <c r="A248" s="1" t="s">
        <v>1664</v>
      </c>
      <c r="B248" s="1">
        <v>247</v>
      </c>
      <c r="C248" s="1" t="s">
        <v>11</v>
      </c>
      <c r="D248" s="1" t="s">
        <v>11090</v>
      </c>
      <c r="E248" s="1" t="s">
        <v>1490</v>
      </c>
      <c r="F248" s="1" t="s">
        <v>686</v>
      </c>
      <c r="G248" s="1" t="s">
        <v>1531</v>
      </c>
      <c r="H248" s="1">
        <v>44.1</v>
      </c>
      <c r="I248" s="1">
        <v>0</v>
      </c>
      <c r="J248" s="1">
        <v>1</v>
      </c>
      <c r="L248" s="1">
        <v>0</v>
      </c>
      <c r="M248" s="1" t="s">
        <v>1545</v>
      </c>
      <c r="N248" s="1" t="s">
        <v>1551</v>
      </c>
    </row>
    <row r="249" spans="1:14" s="1" customFormat="1" x14ac:dyDescent="0.25">
      <c r="A249" s="1" t="s">
        <v>1666</v>
      </c>
      <c r="B249" s="1">
        <v>248</v>
      </c>
      <c r="C249" s="1" t="s">
        <v>11</v>
      </c>
      <c r="D249" s="1" t="s">
        <v>11090</v>
      </c>
      <c r="E249" s="1" t="s">
        <v>1490</v>
      </c>
      <c r="F249" s="1" t="s">
        <v>686</v>
      </c>
      <c r="G249" s="1" t="s">
        <v>1531</v>
      </c>
      <c r="H249" s="1">
        <v>44.1</v>
      </c>
      <c r="I249" s="1">
        <v>0</v>
      </c>
      <c r="J249" s="1">
        <v>1</v>
      </c>
      <c r="L249" s="1">
        <v>0</v>
      </c>
      <c r="M249" s="1" t="s">
        <v>1545</v>
      </c>
      <c r="N249" s="1" t="s">
        <v>1555</v>
      </c>
    </row>
    <row r="250" spans="1:14" s="1" customFormat="1" x14ac:dyDescent="0.25">
      <c r="A250" s="1" t="s">
        <v>1669</v>
      </c>
      <c r="B250" s="1">
        <v>249</v>
      </c>
      <c r="C250" s="1" t="s">
        <v>11</v>
      </c>
      <c r="D250" s="1" t="s">
        <v>11090</v>
      </c>
      <c r="E250" s="1" t="s">
        <v>1490</v>
      </c>
      <c r="F250" s="1" t="s">
        <v>686</v>
      </c>
      <c r="G250" s="1" t="s">
        <v>1531</v>
      </c>
      <c r="H250" s="1">
        <v>44.1</v>
      </c>
      <c r="I250" s="1">
        <v>0</v>
      </c>
      <c r="J250" s="1">
        <v>1</v>
      </c>
      <c r="L250" s="1">
        <v>0</v>
      </c>
      <c r="M250" s="1" t="s">
        <v>1559</v>
      </c>
      <c r="N250" s="1" t="s">
        <v>1560</v>
      </c>
    </row>
    <row r="251" spans="1:14" s="1" customFormat="1" x14ac:dyDescent="0.25">
      <c r="A251" s="1" t="s">
        <v>1671</v>
      </c>
      <c r="B251" s="1">
        <v>250</v>
      </c>
      <c r="C251" s="1" t="s">
        <v>11</v>
      </c>
      <c r="D251" s="1" t="s">
        <v>11090</v>
      </c>
      <c r="E251" s="1" t="s">
        <v>1490</v>
      </c>
      <c r="F251" s="1" t="s">
        <v>686</v>
      </c>
      <c r="G251" s="1" t="s">
        <v>1531</v>
      </c>
      <c r="H251" s="1">
        <v>44.1</v>
      </c>
      <c r="I251" s="1">
        <v>0</v>
      </c>
      <c r="J251" s="1">
        <v>1</v>
      </c>
      <c r="L251" s="1">
        <v>0</v>
      </c>
      <c r="M251" s="1" t="s">
        <v>1559</v>
      </c>
      <c r="N251" s="1" t="s">
        <v>1562</v>
      </c>
    </row>
    <row r="252" spans="1:14" s="1" customFormat="1" x14ac:dyDescent="0.25">
      <c r="A252" s="1" t="s">
        <v>1674</v>
      </c>
      <c r="B252" s="1">
        <v>251</v>
      </c>
      <c r="C252" s="1" t="s">
        <v>11</v>
      </c>
      <c r="D252" s="1" t="s">
        <v>11090</v>
      </c>
      <c r="E252" s="1" t="s">
        <v>1490</v>
      </c>
      <c r="F252" s="1" t="s">
        <v>686</v>
      </c>
      <c r="G252" s="1" t="s">
        <v>1531</v>
      </c>
      <c r="H252" s="1">
        <v>44.1</v>
      </c>
      <c r="I252" s="1">
        <v>0</v>
      </c>
      <c r="J252" s="1">
        <v>1</v>
      </c>
      <c r="L252" s="1">
        <v>0</v>
      </c>
      <c r="M252" s="1" t="s">
        <v>15011</v>
      </c>
      <c r="N252" s="1" t="s">
        <v>15011</v>
      </c>
    </row>
    <row r="253" spans="1:14" s="1" customFormat="1" x14ac:dyDescent="0.25">
      <c r="A253" s="1" t="s">
        <v>1677</v>
      </c>
      <c r="B253" s="1">
        <v>252</v>
      </c>
      <c r="C253" s="1" t="s">
        <v>11</v>
      </c>
      <c r="D253" s="1" t="s">
        <v>11090</v>
      </c>
      <c r="E253" s="1" t="s">
        <v>1490</v>
      </c>
      <c r="F253" s="1" t="s">
        <v>686</v>
      </c>
      <c r="G253" s="1" t="s">
        <v>1531</v>
      </c>
      <c r="H253" s="1">
        <v>44.1</v>
      </c>
      <c r="I253" s="1">
        <v>0</v>
      </c>
      <c r="J253" s="1">
        <v>1</v>
      </c>
      <c r="L253" s="1">
        <v>0</v>
      </c>
      <c r="M253" s="1" t="s">
        <v>15018</v>
      </c>
      <c r="N253" s="1" t="s">
        <v>15018</v>
      </c>
    </row>
    <row r="254" spans="1:14" s="1" customFormat="1" x14ac:dyDescent="0.25">
      <c r="A254" s="1" t="s">
        <v>1679</v>
      </c>
      <c r="B254" s="1">
        <v>253</v>
      </c>
      <c r="C254" s="1" t="s">
        <v>11</v>
      </c>
      <c r="D254" s="1" t="s">
        <v>11090</v>
      </c>
      <c r="E254" s="1" t="s">
        <v>1490</v>
      </c>
      <c r="F254" s="1" t="s">
        <v>686</v>
      </c>
      <c r="G254" s="1" t="s">
        <v>1531</v>
      </c>
      <c r="H254" s="1">
        <v>44.1</v>
      </c>
      <c r="I254" s="1">
        <v>0</v>
      </c>
      <c r="J254" s="1">
        <v>1</v>
      </c>
      <c r="L254" s="1">
        <v>0</v>
      </c>
      <c r="M254" s="1" t="s">
        <v>15026</v>
      </c>
      <c r="N254" s="1" t="s">
        <v>15026</v>
      </c>
    </row>
    <row r="255" spans="1:14" s="1" customFormat="1" x14ac:dyDescent="0.25">
      <c r="A255" s="1" t="s">
        <v>1682</v>
      </c>
      <c r="B255" s="1">
        <v>254</v>
      </c>
      <c r="C255" s="1" t="s">
        <v>11</v>
      </c>
      <c r="D255" s="1" t="s">
        <v>11090</v>
      </c>
      <c r="E255" s="1" t="s">
        <v>1490</v>
      </c>
      <c r="F255" s="1" t="s">
        <v>686</v>
      </c>
      <c r="G255" s="1" t="s">
        <v>1531</v>
      </c>
      <c r="H255" s="1">
        <v>44.1</v>
      </c>
      <c r="I255" s="1">
        <v>0</v>
      </c>
      <c r="J255" s="1">
        <v>1</v>
      </c>
      <c r="L255" s="1">
        <v>0</v>
      </c>
      <c r="M255" s="1" t="s">
        <v>15043</v>
      </c>
      <c r="N255" s="1" t="s">
        <v>15043</v>
      </c>
    </row>
    <row r="256" spans="1:14" s="1" customFormat="1" x14ac:dyDescent="0.25">
      <c r="A256" s="1" t="s">
        <v>1684</v>
      </c>
      <c r="B256" s="1">
        <v>255</v>
      </c>
      <c r="C256" s="1" t="s">
        <v>11</v>
      </c>
      <c r="D256" s="1" t="s">
        <v>11090</v>
      </c>
      <c r="E256" s="1" t="s">
        <v>1490</v>
      </c>
      <c r="F256" s="1" t="s">
        <v>686</v>
      </c>
      <c r="G256" s="1" t="s">
        <v>1531</v>
      </c>
      <c r="H256" s="1">
        <v>44.1</v>
      </c>
      <c r="I256" s="1">
        <v>0</v>
      </c>
      <c r="J256" s="1">
        <v>1</v>
      </c>
      <c r="L256" s="1">
        <v>0</v>
      </c>
      <c r="M256" s="1" t="s">
        <v>15063</v>
      </c>
      <c r="N256" s="1" t="s">
        <v>15063</v>
      </c>
    </row>
    <row r="257" spans="1:14" s="1" customFormat="1" x14ac:dyDescent="0.25">
      <c r="A257" s="1" t="s">
        <v>1688</v>
      </c>
      <c r="B257" s="1">
        <v>256</v>
      </c>
      <c r="C257" s="1" t="s">
        <v>11</v>
      </c>
      <c r="D257" s="1" t="s">
        <v>11091</v>
      </c>
      <c r="E257" s="1" t="s">
        <v>1590</v>
      </c>
      <c r="F257" s="1" t="s">
        <v>666</v>
      </c>
      <c r="G257" s="1" t="s">
        <v>1591</v>
      </c>
      <c r="H257" s="1">
        <v>44.1</v>
      </c>
      <c r="I257" s="1">
        <v>0</v>
      </c>
      <c r="J257" s="1">
        <v>1</v>
      </c>
      <c r="L257" s="1">
        <v>0</v>
      </c>
      <c r="M257" s="1" t="s">
        <v>1592</v>
      </c>
      <c r="N257" s="1" t="s">
        <v>1593</v>
      </c>
    </row>
    <row r="258" spans="1:14" s="1" customFormat="1" x14ac:dyDescent="0.25">
      <c r="A258" s="1" t="s">
        <v>1690</v>
      </c>
      <c r="B258" s="1">
        <v>257</v>
      </c>
      <c r="C258" s="1" t="s">
        <v>11</v>
      </c>
      <c r="D258" s="1" t="s">
        <v>11091</v>
      </c>
      <c r="E258" s="1" t="s">
        <v>1590</v>
      </c>
      <c r="F258" s="1" t="s">
        <v>666</v>
      </c>
      <c r="G258" s="1" t="s">
        <v>1591</v>
      </c>
      <c r="H258" s="1">
        <v>44.1</v>
      </c>
      <c r="I258" s="1">
        <v>0</v>
      </c>
      <c r="J258" s="1">
        <v>1</v>
      </c>
      <c r="L258" s="1">
        <v>0</v>
      </c>
      <c r="M258" s="1" t="s">
        <v>1592</v>
      </c>
      <c r="N258" s="1" t="s">
        <v>1595</v>
      </c>
    </row>
    <row r="259" spans="1:14" s="1" customFormat="1" x14ac:dyDescent="0.25">
      <c r="A259" s="1" t="s">
        <v>1692</v>
      </c>
      <c r="B259" s="1">
        <v>258</v>
      </c>
      <c r="C259" s="1" t="s">
        <v>11</v>
      </c>
      <c r="D259" s="1" t="s">
        <v>11091</v>
      </c>
      <c r="E259" s="1" t="s">
        <v>1590</v>
      </c>
      <c r="F259" s="1" t="s">
        <v>666</v>
      </c>
      <c r="G259" s="1" t="s">
        <v>1591</v>
      </c>
      <c r="H259" s="1">
        <v>44.1</v>
      </c>
      <c r="I259" s="1">
        <v>0</v>
      </c>
      <c r="J259" s="1">
        <v>1</v>
      </c>
      <c r="L259" s="1">
        <v>0</v>
      </c>
      <c r="M259" s="1" t="s">
        <v>1597</v>
      </c>
      <c r="N259" s="1" t="s">
        <v>1598</v>
      </c>
    </row>
    <row r="260" spans="1:14" s="1" customFormat="1" x14ac:dyDescent="0.25">
      <c r="A260" s="1" t="s">
        <v>1694</v>
      </c>
      <c r="B260" s="1">
        <v>259</v>
      </c>
      <c r="C260" s="1" t="s">
        <v>11</v>
      </c>
      <c r="D260" s="1" t="s">
        <v>11091</v>
      </c>
      <c r="E260" s="1" t="s">
        <v>1590</v>
      </c>
      <c r="F260" s="1" t="s">
        <v>666</v>
      </c>
      <c r="G260" s="1" t="s">
        <v>1591</v>
      </c>
      <c r="H260" s="1">
        <v>44.1</v>
      </c>
      <c r="I260" s="1">
        <v>0</v>
      </c>
      <c r="J260" s="1">
        <v>1</v>
      </c>
      <c r="L260" s="1">
        <v>0</v>
      </c>
      <c r="M260" s="1" t="s">
        <v>1600</v>
      </c>
      <c r="N260" s="1" t="s">
        <v>1601</v>
      </c>
    </row>
    <row r="261" spans="1:14" s="1" customFormat="1" x14ac:dyDescent="0.25">
      <c r="A261" s="1" t="s">
        <v>1697</v>
      </c>
      <c r="B261" s="1">
        <v>260</v>
      </c>
      <c r="C261" s="1" t="s">
        <v>11</v>
      </c>
      <c r="D261" s="1" t="s">
        <v>11091</v>
      </c>
      <c r="E261" s="1" t="s">
        <v>1590</v>
      </c>
      <c r="F261" s="1" t="s">
        <v>666</v>
      </c>
      <c r="G261" s="1" t="s">
        <v>1591</v>
      </c>
      <c r="H261" s="1">
        <v>44.1</v>
      </c>
      <c r="I261" s="1">
        <v>0</v>
      </c>
      <c r="J261" s="1">
        <v>1</v>
      </c>
      <c r="L261" s="1">
        <v>0</v>
      </c>
      <c r="M261" s="1" t="s">
        <v>1600</v>
      </c>
      <c r="N261" s="1" t="s">
        <v>1603</v>
      </c>
    </row>
    <row r="262" spans="1:14" s="1" customFormat="1" x14ac:dyDescent="0.25">
      <c r="A262" s="1" t="s">
        <v>1699</v>
      </c>
      <c r="B262" s="1">
        <v>261</v>
      </c>
      <c r="C262" s="1" t="s">
        <v>11</v>
      </c>
      <c r="D262" s="1" t="s">
        <v>11091</v>
      </c>
      <c r="E262" s="1" t="s">
        <v>1590</v>
      </c>
      <c r="F262" s="1" t="s">
        <v>666</v>
      </c>
      <c r="G262" s="1" t="s">
        <v>1591</v>
      </c>
      <c r="H262" s="1">
        <v>44.1</v>
      </c>
      <c r="I262" s="1">
        <v>0</v>
      </c>
      <c r="J262" s="1">
        <v>1</v>
      </c>
      <c r="L262" s="1">
        <v>0</v>
      </c>
      <c r="M262" s="1" t="s">
        <v>1600</v>
      </c>
      <c r="N262" s="1" t="s">
        <v>1625</v>
      </c>
    </row>
    <row r="263" spans="1:14" s="1" customFormat="1" x14ac:dyDescent="0.25">
      <c r="A263" s="1" t="s">
        <v>1701</v>
      </c>
      <c r="B263" s="1">
        <v>262</v>
      </c>
      <c r="C263" s="1" t="s">
        <v>11</v>
      </c>
      <c r="D263" s="1" t="s">
        <v>11091</v>
      </c>
      <c r="E263" s="1" t="s">
        <v>1590</v>
      </c>
      <c r="F263" s="1" t="s">
        <v>666</v>
      </c>
      <c r="G263" s="1" t="s">
        <v>1591</v>
      </c>
      <c r="H263" s="1">
        <v>44.1</v>
      </c>
      <c r="I263" s="1">
        <v>0</v>
      </c>
      <c r="J263" s="1">
        <v>1</v>
      </c>
      <c r="L263" s="1">
        <v>0</v>
      </c>
      <c r="M263" s="1" t="s">
        <v>1605</v>
      </c>
      <c r="N263" s="1" t="s">
        <v>5826</v>
      </c>
    </row>
    <row r="264" spans="1:14" s="1" customFormat="1" x14ac:dyDescent="0.25">
      <c r="A264" s="1" t="s">
        <v>1703</v>
      </c>
      <c r="B264" s="1">
        <v>263</v>
      </c>
      <c r="C264" s="1" t="s">
        <v>11</v>
      </c>
      <c r="D264" s="1" t="s">
        <v>11091</v>
      </c>
      <c r="E264" s="1" t="s">
        <v>1590</v>
      </c>
      <c r="F264" s="1" t="s">
        <v>666</v>
      </c>
      <c r="G264" s="1" t="s">
        <v>1591</v>
      </c>
      <c r="H264" s="1">
        <v>44.1</v>
      </c>
      <c r="I264" s="1">
        <v>0</v>
      </c>
      <c r="J264" s="1">
        <v>1</v>
      </c>
      <c r="L264" s="1">
        <v>0</v>
      </c>
      <c r="M264" s="1" t="s">
        <v>1605</v>
      </c>
      <c r="N264" s="1" t="s">
        <v>5827</v>
      </c>
    </row>
    <row r="265" spans="1:14" s="1" customFormat="1" x14ac:dyDescent="0.25">
      <c r="A265" s="1" t="s">
        <v>1705</v>
      </c>
      <c r="B265" s="1">
        <v>264</v>
      </c>
      <c r="C265" s="1" t="s">
        <v>11</v>
      </c>
      <c r="D265" s="1" t="s">
        <v>11091</v>
      </c>
      <c r="E265" s="1" t="s">
        <v>1590</v>
      </c>
      <c r="F265" s="1" t="s">
        <v>666</v>
      </c>
      <c r="G265" s="1" t="s">
        <v>1591</v>
      </c>
      <c r="H265" s="1">
        <v>44.1</v>
      </c>
      <c r="I265" s="1">
        <v>0</v>
      </c>
      <c r="J265" s="1">
        <v>1</v>
      </c>
      <c r="L265" s="1">
        <v>0</v>
      </c>
      <c r="M265" s="1" t="s">
        <v>1605</v>
      </c>
      <c r="N265" s="1" t="s">
        <v>1606</v>
      </c>
    </row>
    <row r="266" spans="1:14" s="1" customFormat="1" x14ac:dyDescent="0.25">
      <c r="A266" s="1" t="s">
        <v>1708</v>
      </c>
      <c r="B266" s="1">
        <v>265</v>
      </c>
      <c r="C266" s="1" t="s">
        <v>11</v>
      </c>
      <c r="D266" s="1" t="s">
        <v>11091</v>
      </c>
      <c r="E266" s="1" t="s">
        <v>1590</v>
      </c>
      <c r="F266" s="1" t="s">
        <v>666</v>
      </c>
      <c r="G266" s="1" t="s">
        <v>1591</v>
      </c>
      <c r="H266" s="1">
        <v>44.1</v>
      </c>
      <c r="I266" s="1">
        <v>0</v>
      </c>
      <c r="J266" s="1">
        <v>1</v>
      </c>
      <c r="L266" s="1">
        <v>0</v>
      </c>
      <c r="M266" s="1" t="s">
        <v>1608</v>
      </c>
      <c r="N266" s="1" t="s">
        <v>1610</v>
      </c>
    </row>
    <row r="267" spans="1:14" s="1" customFormat="1" x14ac:dyDescent="0.25">
      <c r="A267" s="1" t="s">
        <v>1710</v>
      </c>
      <c r="B267" s="1">
        <v>266</v>
      </c>
      <c r="C267" s="1" t="s">
        <v>11</v>
      </c>
      <c r="D267" s="1" t="s">
        <v>11091</v>
      </c>
      <c r="E267" s="1" t="s">
        <v>1590</v>
      </c>
      <c r="F267" s="1" t="s">
        <v>666</v>
      </c>
      <c r="G267" s="1" t="s">
        <v>1591</v>
      </c>
      <c r="H267" s="1">
        <v>44.1</v>
      </c>
      <c r="I267" s="1">
        <v>0</v>
      </c>
      <c r="J267" s="1">
        <v>1</v>
      </c>
      <c r="L267" s="1">
        <v>0</v>
      </c>
      <c r="M267" s="1" t="s">
        <v>1608</v>
      </c>
      <c r="N267" s="1" t="s">
        <v>5828</v>
      </c>
    </row>
    <row r="268" spans="1:14" s="1" customFormat="1" x14ac:dyDescent="0.25">
      <c r="A268" s="1" t="s">
        <v>5854</v>
      </c>
      <c r="B268" s="1">
        <v>267</v>
      </c>
      <c r="C268" s="1" t="s">
        <v>11</v>
      </c>
      <c r="D268" s="1" t="s">
        <v>11091</v>
      </c>
      <c r="E268" s="1" t="s">
        <v>1590</v>
      </c>
      <c r="F268" s="1" t="s">
        <v>666</v>
      </c>
      <c r="G268" s="1" t="s">
        <v>1591</v>
      </c>
      <c r="H268" s="1">
        <v>44.1</v>
      </c>
      <c r="I268" s="1">
        <v>0</v>
      </c>
      <c r="J268" s="1">
        <v>1</v>
      </c>
      <c r="L268" s="1">
        <v>0</v>
      </c>
      <c r="M268" s="1" t="s">
        <v>1612</v>
      </c>
      <c r="N268" s="1" t="s">
        <v>5829</v>
      </c>
    </row>
    <row r="269" spans="1:14" s="1" customFormat="1" x14ac:dyDescent="0.25">
      <c r="A269" s="1" t="s">
        <v>5855</v>
      </c>
      <c r="B269" s="1">
        <v>268</v>
      </c>
      <c r="C269" s="1" t="s">
        <v>11</v>
      </c>
      <c r="D269" s="1" t="s">
        <v>11091</v>
      </c>
      <c r="E269" s="1" t="s">
        <v>1590</v>
      </c>
      <c r="F269" s="1" t="s">
        <v>666</v>
      </c>
      <c r="G269" s="1" t="s">
        <v>1591</v>
      </c>
      <c r="H269" s="1">
        <v>44.1</v>
      </c>
      <c r="I269" s="1">
        <v>0</v>
      </c>
      <c r="J269" s="1">
        <v>1</v>
      </c>
      <c r="L269" s="1">
        <v>0</v>
      </c>
      <c r="M269" s="1" t="s">
        <v>1614</v>
      </c>
      <c r="N269" s="1" t="s">
        <v>5830</v>
      </c>
    </row>
    <row r="270" spans="1:14" s="1" customFormat="1" x14ac:dyDescent="0.25">
      <c r="A270" s="1" t="s">
        <v>5856</v>
      </c>
      <c r="B270" s="1">
        <v>269</v>
      </c>
      <c r="C270" s="1" t="s">
        <v>11</v>
      </c>
      <c r="D270" s="1" t="s">
        <v>11091</v>
      </c>
      <c r="E270" s="1" t="s">
        <v>1590</v>
      </c>
      <c r="F270" s="1" t="s">
        <v>666</v>
      </c>
      <c r="G270" s="1" t="s">
        <v>1591</v>
      </c>
      <c r="H270" s="1">
        <v>44.1</v>
      </c>
      <c r="I270" s="1">
        <v>0</v>
      </c>
      <c r="J270" s="1">
        <v>1</v>
      </c>
      <c r="L270" s="1">
        <v>0</v>
      </c>
      <c r="M270" s="1" t="s">
        <v>1616</v>
      </c>
      <c r="N270" s="1" t="s">
        <v>1621</v>
      </c>
    </row>
    <row r="271" spans="1:14" s="1" customFormat="1" x14ac:dyDescent="0.25">
      <c r="A271" s="1" t="s">
        <v>5857</v>
      </c>
      <c r="B271" s="1">
        <v>270</v>
      </c>
      <c r="C271" s="1" t="s">
        <v>11</v>
      </c>
      <c r="D271" s="1" t="s">
        <v>11091</v>
      </c>
      <c r="E271" s="1" t="s">
        <v>1590</v>
      </c>
      <c r="F271" s="1" t="s">
        <v>666</v>
      </c>
      <c r="G271" s="1" t="s">
        <v>1591</v>
      </c>
      <c r="H271" s="1">
        <v>44.1</v>
      </c>
      <c r="I271" s="1">
        <v>0</v>
      </c>
      <c r="J271" s="1">
        <v>1</v>
      </c>
      <c r="L271" s="1">
        <v>0</v>
      </c>
      <c r="M271" s="1" t="s">
        <v>1616</v>
      </c>
      <c r="N271" s="1" t="s">
        <v>1619</v>
      </c>
    </row>
    <row r="272" spans="1:14" s="1" customFormat="1" x14ac:dyDescent="0.25">
      <c r="A272" s="1" t="s">
        <v>5858</v>
      </c>
      <c r="B272" s="1">
        <v>271</v>
      </c>
      <c r="C272" s="1" t="s">
        <v>11</v>
      </c>
      <c r="D272" s="1" t="s">
        <v>11091</v>
      </c>
      <c r="E272" s="1" t="s">
        <v>1590</v>
      </c>
      <c r="F272" s="1" t="s">
        <v>666</v>
      </c>
      <c r="G272" s="1" t="s">
        <v>1591</v>
      </c>
      <c r="H272" s="1">
        <v>44.1</v>
      </c>
      <c r="I272" s="1">
        <v>0</v>
      </c>
      <c r="J272" s="1">
        <v>1</v>
      </c>
      <c r="L272" s="1">
        <v>0</v>
      </c>
      <c r="M272" s="1" t="s">
        <v>1616</v>
      </c>
      <c r="N272" s="1" t="s">
        <v>1623</v>
      </c>
    </row>
    <row r="273" spans="1:14" s="1" customFormat="1" x14ac:dyDescent="0.25">
      <c r="A273" s="1" t="s">
        <v>1714</v>
      </c>
      <c r="B273" s="1">
        <v>272</v>
      </c>
      <c r="C273" s="1" t="s">
        <v>11</v>
      </c>
      <c r="D273" s="1" t="s">
        <v>11091</v>
      </c>
      <c r="E273" s="1" t="s">
        <v>1590</v>
      </c>
      <c r="F273" s="1" t="s">
        <v>666</v>
      </c>
      <c r="G273" s="1" t="s">
        <v>1591</v>
      </c>
      <c r="H273" s="1">
        <v>44.1</v>
      </c>
      <c r="I273" s="1">
        <v>0</v>
      </c>
      <c r="J273" s="1">
        <v>1</v>
      </c>
      <c r="L273" s="1">
        <v>0</v>
      </c>
      <c r="M273" s="1" t="s">
        <v>1616</v>
      </c>
      <c r="N273" s="1" t="s">
        <v>1617</v>
      </c>
    </row>
    <row r="274" spans="1:14" s="1" customFormat="1" x14ac:dyDescent="0.25">
      <c r="A274" s="1" t="s">
        <v>1716</v>
      </c>
      <c r="B274" s="1">
        <v>273</v>
      </c>
      <c r="C274" s="1" t="s">
        <v>11</v>
      </c>
      <c r="D274" s="1" t="s">
        <v>11091</v>
      </c>
      <c r="E274" s="1" t="s">
        <v>1590</v>
      </c>
      <c r="F274" s="1" t="s">
        <v>733</v>
      </c>
      <c r="G274" s="1" t="s">
        <v>1627</v>
      </c>
      <c r="H274" s="1">
        <v>44.1</v>
      </c>
      <c r="I274" s="1">
        <v>0</v>
      </c>
      <c r="J274" s="1">
        <v>1</v>
      </c>
      <c r="L274" s="1">
        <v>0</v>
      </c>
      <c r="M274" s="1" t="s">
        <v>1628</v>
      </c>
      <c r="N274" s="1" t="s">
        <v>1629</v>
      </c>
    </row>
    <row r="275" spans="1:14" s="1" customFormat="1" x14ac:dyDescent="0.25">
      <c r="A275" s="1" t="s">
        <v>1718</v>
      </c>
      <c r="B275" s="1">
        <v>274</v>
      </c>
      <c r="C275" s="1" t="s">
        <v>11</v>
      </c>
      <c r="D275" s="1" t="s">
        <v>11091</v>
      </c>
      <c r="E275" s="1" t="s">
        <v>1590</v>
      </c>
      <c r="F275" s="1" t="s">
        <v>733</v>
      </c>
      <c r="G275" s="1" t="s">
        <v>1627</v>
      </c>
      <c r="H275" s="1">
        <v>44.1</v>
      </c>
      <c r="I275" s="1">
        <v>0</v>
      </c>
      <c r="J275" s="1">
        <v>1</v>
      </c>
      <c r="L275" s="1">
        <v>0</v>
      </c>
      <c r="M275" s="1" t="s">
        <v>1628</v>
      </c>
      <c r="N275" s="1" t="s">
        <v>1631</v>
      </c>
    </row>
    <row r="276" spans="1:14" s="1" customFormat="1" x14ac:dyDescent="0.25">
      <c r="A276" s="1" t="s">
        <v>1720</v>
      </c>
      <c r="B276" s="1">
        <v>275</v>
      </c>
      <c r="C276" s="1" t="s">
        <v>11</v>
      </c>
      <c r="D276" s="1" t="s">
        <v>11091</v>
      </c>
      <c r="E276" s="1" t="s">
        <v>1590</v>
      </c>
      <c r="F276" s="1" t="s">
        <v>733</v>
      </c>
      <c r="G276" s="1" t="s">
        <v>1627</v>
      </c>
      <c r="H276" s="1">
        <v>44.1</v>
      </c>
      <c r="I276" s="1">
        <v>0</v>
      </c>
      <c r="J276" s="1">
        <v>1</v>
      </c>
      <c r="L276" s="1">
        <v>0</v>
      </c>
      <c r="M276" s="1" t="s">
        <v>1628</v>
      </c>
      <c r="N276" s="1" t="s">
        <v>5831</v>
      </c>
    </row>
    <row r="277" spans="1:14" s="1" customFormat="1" x14ac:dyDescent="0.25">
      <c r="A277" s="1" t="s">
        <v>1722</v>
      </c>
      <c r="B277" s="1">
        <v>276</v>
      </c>
      <c r="C277" s="1" t="s">
        <v>11</v>
      </c>
      <c r="D277" s="1" t="s">
        <v>11091</v>
      </c>
      <c r="E277" s="1" t="s">
        <v>1590</v>
      </c>
      <c r="F277" s="1" t="s">
        <v>733</v>
      </c>
      <c r="G277" s="1" t="s">
        <v>1627</v>
      </c>
      <c r="H277" s="1">
        <v>44.1</v>
      </c>
      <c r="I277" s="1">
        <v>0</v>
      </c>
      <c r="J277" s="1">
        <v>1</v>
      </c>
      <c r="L277" s="1">
        <v>0</v>
      </c>
      <c r="M277" s="1" t="s">
        <v>1628</v>
      </c>
      <c r="N277" s="1" t="s">
        <v>1659</v>
      </c>
    </row>
    <row r="278" spans="1:14" s="1" customFormat="1" x14ac:dyDescent="0.25">
      <c r="A278" s="1" t="s">
        <v>1725</v>
      </c>
      <c r="B278" s="1">
        <v>277</v>
      </c>
      <c r="C278" s="1" t="s">
        <v>11</v>
      </c>
      <c r="D278" s="1" t="s">
        <v>11091</v>
      </c>
      <c r="E278" s="1" t="s">
        <v>1590</v>
      </c>
      <c r="F278" s="1" t="s">
        <v>733</v>
      </c>
      <c r="G278" s="1" t="s">
        <v>1627</v>
      </c>
      <c r="H278" s="1">
        <v>44.1</v>
      </c>
      <c r="I278" s="1">
        <v>0</v>
      </c>
      <c r="J278" s="1">
        <v>1</v>
      </c>
      <c r="L278" s="1">
        <v>0</v>
      </c>
      <c r="M278" s="1" t="s">
        <v>1628</v>
      </c>
      <c r="N278" s="1" t="s">
        <v>1655</v>
      </c>
    </row>
    <row r="279" spans="1:14" s="1" customFormat="1" x14ac:dyDescent="0.25">
      <c r="A279" s="1" t="s">
        <v>1727</v>
      </c>
      <c r="B279" s="1">
        <v>278</v>
      </c>
      <c r="C279" s="1" t="s">
        <v>11</v>
      </c>
      <c r="D279" s="1" t="s">
        <v>11091</v>
      </c>
      <c r="E279" s="1" t="s">
        <v>1590</v>
      </c>
      <c r="F279" s="1" t="s">
        <v>733</v>
      </c>
      <c r="G279" s="1" t="s">
        <v>1627</v>
      </c>
      <c r="H279" s="1">
        <v>44.1</v>
      </c>
      <c r="I279" s="1">
        <v>0</v>
      </c>
      <c r="J279" s="1">
        <v>1</v>
      </c>
      <c r="L279" s="1">
        <v>0</v>
      </c>
      <c r="M279" s="1" t="s">
        <v>1633</v>
      </c>
      <c r="N279" s="1" t="s">
        <v>1634</v>
      </c>
    </row>
    <row r="280" spans="1:14" s="1" customFormat="1" x14ac:dyDescent="0.25">
      <c r="A280" s="1" t="s">
        <v>1729</v>
      </c>
      <c r="B280" s="1">
        <v>279</v>
      </c>
      <c r="C280" s="1" t="s">
        <v>11</v>
      </c>
      <c r="D280" s="1" t="s">
        <v>11091</v>
      </c>
      <c r="E280" s="1" t="s">
        <v>1590</v>
      </c>
      <c r="F280" s="1" t="s">
        <v>733</v>
      </c>
      <c r="G280" s="1" t="s">
        <v>1627</v>
      </c>
      <c r="H280" s="1">
        <v>44.1</v>
      </c>
      <c r="I280" s="1">
        <v>0</v>
      </c>
      <c r="J280" s="1">
        <v>1</v>
      </c>
      <c r="L280" s="1">
        <v>0</v>
      </c>
      <c r="M280" s="1" t="s">
        <v>1633</v>
      </c>
      <c r="N280" s="1" t="s">
        <v>1636</v>
      </c>
    </row>
    <row r="281" spans="1:14" s="1" customFormat="1" x14ac:dyDescent="0.25">
      <c r="A281" s="1" t="s">
        <v>1733</v>
      </c>
      <c r="B281" s="1">
        <v>280</v>
      </c>
      <c r="C281" s="1" t="s">
        <v>11</v>
      </c>
      <c r="D281" s="1" t="s">
        <v>11091</v>
      </c>
      <c r="E281" s="1" t="s">
        <v>1590</v>
      </c>
      <c r="F281" s="1" t="s">
        <v>733</v>
      </c>
      <c r="G281" s="1" t="s">
        <v>1627</v>
      </c>
      <c r="H281" s="1">
        <v>44.1</v>
      </c>
      <c r="I281" s="1">
        <v>0</v>
      </c>
      <c r="J281" s="1">
        <v>1</v>
      </c>
      <c r="L281" s="1">
        <v>0</v>
      </c>
      <c r="M281" s="1" t="s">
        <v>1633</v>
      </c>
      <c r="N281" s="1" t="s">
        <v>1638</v>
      </c>
    </row>
    <row r="282" spans="1:14" s="1" customFormat="1" x14ac:dyDescent="0.25">
      <c r="A282" s="1" t="s">
        <v>1738</v>
      </c>
      <c r="B282" s="1">
        <v>281</v>
      </c>
      <c r="C282" s="1" t="s">
        <v>11</v>
      </c>
      <c r="D282" s="1" t="s">
        <v>11091</v>
      </c>
      <c r="E282" s="1" t="s">
        <v>1590</v>
      </c>
      <c r="F282" s="1" t="s">
        <v>733</v>
      </c>
      <c r="G282" s="1" t="s">
        <v>1627</v>
      </c>
      <c r="H282" s="1">
        <v>44.1</v>
      </c>
      <c r="I282" s="1">
        <v>0</v>
      </c>
      <c r="J282" s="1">
        <v>1</v>
      </c>
      <c r="L282" s="1">
        <v>0</v>
      </c>
      <c r="M282" s="1" t="s">
        <v>1640</v>
      </c>
      <c r="N282" s="1" t="s">
        <v>1641</v>
      </c>
    </row>
    <row r="283" spans="1:14" s="1" customFormat="1" x14ac:dyDescent="0.25">
      <c r="A283" s="1" t="s">
        <v>1740</v>
      </c>
      <c r="B283" s="1">
        <v>282</v>
      </c>
      <c r="C283" s="1" t="s">
        <v>11</v>
      </c>
      <c r="D283" s="1" t="s">
        <v>11091</v>
      </c>
      <c r="E283" s="1" t="s">
        <v>1590</v>
      </c>
      <c r="F283" s="1" t="s">
        <v>733</v>
      </c>
      <c r="G283" s="1" t="s">
        <v>1627</v>
      </c>
      <c r="H283" s="1">
        <v>44.1</v>
      </c>
      <c r="I283" s="1">
        <v>0</v>
      </c>
      <c r="J283" s="1">
        <v>1</v>
      </c>
      <c r="L283" s="1">
        <v>0</v>
      </c>
      <c r="M283" s="1" t="s">
        <v>1640</v>
      </c>
      <c r="N283" s="1" t="s">
        <v>1643</v>
      </c>
    </row>
    <row r="284" spans="1:14" s="1" customFormat="1" x14ac:dyDescent="0.25">
      <c r="A284" s="1" t="s">
        <v>1742</v>
      </c>
      <c r="B284" s="1">
        <v>283</v>
      </c>
      <c r="C284" s="1" t="s">
        <v>11</v>
      </c>
      <c r="D284" s="1" t="s">
        <v>11091</v>
      </c>
      <c r="E284" s="1" t="s">
        <v>1590</v>
      </c>
      <c r="F284" s="1" t="s">
        <v>733</v>
      </c>
      <c r="G284" s="1" t="s">
        <v>1627</v>
      </c>
      <c r="H284" s="1">
        <v>44.1</v>
      </c>
      <c r="I284" s="1">
        <v>0</v>
      </c>
      <c r="J284" s="1">
        <v>1</v>
      </c>
      <c r="L284" s="1">
        <v>0</v>
      </c>
      <c r="M284" s="1" t="s">
        <v>1640</v>
      </c>
      <c r="N284" s="1" t="s">
        <v>5832</v>
      </c>
    </row>
    <row r="285" spans="1:14" s="1" customFormat="1" x14ac:dyDescent="0.25">
      <c r="A285" s="1" t="s">
        <v>1745</v>
      </c>
      <c r="B285" s="1">
        <v>284</v>
      </c>
      <c r="C285" s="1" t="s">
        <v>11</v>
      </c>
      <c r="D285" s="1" t="s">
        <v>11091</v>
      </c>
      <c r="E285" s="1" t="s">
        <v>1590</v>
      </c>
      <c r="F285" s="1" t="s">
        <v>733</v>
      </c>
      <c r="G285" s="1" t="s">
        <v>1627</v>
      </c>
      <c r="H285" s="1">
        <v>44.1</v>
      </c>
      <c r="I285" s="1">
        <v>0</v>
      </c>
      <c r="J285" s="1">
        <v>1</v>
      </c>
      <c r="L285" s="1">
        <v>0</v>
      </c>
      <c r="M285" s="1" t="s">
        <v>1640</v>
      </c>
      <c r="N285" s="1" t="s">
        <v>1653</v>
      </c>
    </row>
    <row r="286" spans="1:14" s="1" customFormat="1" x14ac:dyDescent="0.25">
      <c r="A286" s="1" t="s">
        <v>1748</v>
      </c>
      <c r="B286" s="1">
        <v>285</v>
      </c>
      <c r="C286" s="1" t="s">
        <v>11</v>
      </c>
      <c r="D286" s="1" t="s">
        <v>11091</v>
      </c>
      <c r="E286" s="1" t="s">
        <v>1590</v>
      </c>
      <c r="F286" s="1" t="s">
        <v>733</v>
      </c>
      <c r="G286" s="1" t="s">
        <v>1627</v>
      </c>
      <c r="H286" s="1">
        <v>44.1</v>
      </c>
      <c r="I286" s="1">
        <v>0</v>
      </c>
      <c r="J286" s="1">
        <v>1</v>
      </c>
      <c r="L286" s="1">
        <v>0</v>
      </c>
      <c r="M286" s="1" t="s">
        <v>1645</v>
      </c>
      <c r="N286" s="1" t="s">
        <v>1646</v>
      </c>
    </row>
    <row r="287" spans="1:14" s="1" customFormat="1" x14ac:dyDescent="0.25">
      <c r="A287" s="1" t="s">
        <v>1750</v>
      </c>
      <c r="B287" s="1">
        <v>286</v>
      </c>
      <c r="C287" s="1" t="s">
        <v>11</v>
      </c>
      <c r="D287" s="1" t="s">
        <v>11091</v>
      </c>
      <c r="E287" s="1" t="s">
        <v>1590</v>
      </c>
      <c r="F287" s="1" t="s">
        <v>733</v>
      </c>
      <c r="G287" s="1" t="s">
        <v>1627</v>
      </c>
      <c r="H287" s="1">
        <v>44.1</v>
      </c>
      <c r="I287" s="1">
        <v>0</v>
      </c>
      <c r="J287" s="1">
        <v>1</v>
      </c>
      <c r="L287" s="1">
        <v>0</v>
      </c>
      <c r="M287" s="1" t="s">
        <v>1645</v>
      </c>
      <c r="N287" s="1" t="s">
        <v>1648</v>
      </c>
    </row>
    <row r="288" spans="1:14" s="1" customFormat="1" x14ac:dyDescent="0.25">
      <c r="A288" s="1" t="s">
        <v>1752</v>
      </c>
      <c r="B288" s="1">
        <v>287</v>
      </c>
      <c r="C288" s="1" t="s">
        <v>11</v>
      </c>
      <c r="D288" s="1" t="s">
        <v>11091</v>
      </c>
      <c r="E288" s="1" t="s">
        <v>1590</v>
      </c>
      <c r="F288" s="1" t="s">
        <v>733</v>
      </c>
      <c r="G288" s="1" t="s">
        <v>1627</v>
      </c>
      <c r="H288" s="1">
        <v>44.1</v>
      </c>
      <c r="I288" s="1">
        <v>0</v>
      </c>
      <c r="J288" s="1">
        <v>1</v>
      </c>
      <c r="L288" s="1">
        <v>0</v>
      </c>
      <c r="M288" s="1" t="s">
        <v>1645</v>
      </c>
      <c r="N288" s="1" t="s">
        <v>5833</v>
      </c>
    </row>
    <row r="289" spans="1:14" s="1" customFormat="1" x14ac:dyDescent="0.25">
      <c r="A289" s="1" t="s">
        <v>1755</v>
      </c>
      <c r="B289" s="1">
        <v>288</v>
      </c>
      <c r="C289" s="1" t="s">
        <v>11</v>
      </c>
      <c r="D289" s="1" t="s">
        <v>11091</v>
      </c>
      <c r="E289" s="1" t="s">
        <v>1590</v>
      </c>
      <c r="F289" s="1" t="s">
        <v>733</v>
      </c>
      <c r="G289" s="1" t="s">
        <v>1627</v>
      </c>
      <c r="H289" s="1">
        <v>44.1</v>
      </c>
      <c r="I289" s="1">
        <v>0</v>
      </c>
      <c r="J289" s="1">
        <v>1</v>
      </c>
      <c r="L289" s="1">
        <v>0</v>
      </c>
      <c r="M289" s="1" t="s">
        <v>1645</v>
      </c>
      <c r="N289" s="1" t="s">
        <v>5834</v>
      </c>
    </row>
    <row r="290" spans="1:14" s="1" customFormat="1" x14ac:dyDescent="0.25">
      <c r="A290" s="1" t="s">
        <v>1757</v>
      </c>
      <c r="B290" s="1">
        <v>289</v>
      </c>
      <c r="C290" s="1" t="s">
        <v>11</v>
      </c>
      <c r="D290" s="1" t="s">
        <v>11091</v>
      </c>
      <c r="E290" s="1" t="s">
        <v>1590</v>
      </c>
      <c r="F290" s="1" t="s">
        <v>733</v>
      </c>
      <c r="G290" s="1" t="s">
        <v>1627</v>
      </c>
      <c r="H290" s="1">
        <v>44.1</v>
      </c>
      <c r="I290" s="1">
        <v>0</v>
      </c>
      <c r="J290" s="1">
        <v>1</v>
      </c>
      <c r="L290" s="1">
        <v>0</v>
      </c>
      <c r="M290" s="1" t="s">
        <v>1645</v>
      </c>
      <c r="N290" s="1" t="s">
        <v>1657</v>
      </c>
    </row>
    <row r="291" spans="1:14" s="1" customFormat="1" x14ac:dyDescent="0.25">
      <c r="A291" s="1" t="s">
        <v>1759</v>
      </c>
      <c r="B291" s="1">
        <v>290</v>
      </c>
      <c r="C291" s="1" t="s">
        <v>11</v>
      </c>
      <c r="D291" s="1" t="s">
        <v>11091</v>
      </c>
      <c r="E291" s="1" t="s">
        <v>1590</v>
      </c>
      <c r="F291" s="1" t="s">
        <v>733</v>
      </c>
      <c r="G291" s="1" t="s">
        <v>1627</v>
      </c>
      <c r="H291" s="1">
        <v>44.1</v>
      </c>
      <c r="I291" s="1">
        <v>0</v>
      </c>
      <c r="J291" s="1">
        <v>1</v>
      </c>
      <c r="L291" s="1">
        <v>0</v>
      </c>
      <c r="M291" s="1" t="s">
        <v>1650</v>
      </c>
      <c r="N291" s="1" t="s">
        <v>1651</v>
      </c>
    </row>
    <row r="292" spans="1:14" s="1" customFormat="1" x14ac:dyDescent="0.25">
      <c r="A292" s="1" t="s">
        <v>1761</v>
      </c>
      <c r="B292" s="1">
        <v>291</v>
      </c>
      <c r="C292" s="1" t="s">
        <v>11</v>
      </c>
      <c r="D292" s="1" t="s">
        <v>11091</v>
      </c>
      <c r="E292" s="1" t="s">
        <v>1590</v>
      </c>
      <c r="F292" s="1" t="s">
        <v>733</v>
      </c>
      <c r="G292" s="1" t="s">
        <v>1627</v>
      </c>
      <c r="H292" s="1">
        <v>44.1</v>
      </c>
      <c r="I292" s="1">
        <v>0</v>
      </c>
      <c r="J292" s="1">
        <v>1</v>
      </c>
      <c r="L292" s="1">
        <v>0</v>
      </c>
      <c r="M292" s="1" t="s">
        <v>15154</v>
      </c>
      <c r="N292" s="1" t="s">
        <v>15154</v>
      </c>
    </row>
    <row r="293" spans="1:14" s="1" customFormat="1" x14ac:dyDescent="0.25">
      <c r="A293" s="1" t="s">
        <v>1764</v>
      </c>
      <c r="B293" s="1">
        <v>292</v>
      </c>
      <c r="C293" s="1" t="s">
        <v>11</v>
      </c>
      <c r="D293" s="1" t="s">
        <v>11091</v>
      </c>
      <c r="E293" s="1" t="s">
        <v>1495</v>
      </c>
      <c r="F293" s="1" t="s">
        <v>956</v>
      </c>
      <c r="G293" s="1" t="s">
        <v>1661</v>
      </c>
      <c r="H293" s="1">
        <v>44.1</v>
      </c>
      <c r="I293" s="1">
        <v>0</v>
      </c>
      <c r="J293" s="1">
        <v>1</v>
      </c>
      <c r="L293" s="1">
        <v>0</v>
      </c>
      <c r="M293" s="1" t="s">
        <v>1662</v>
      </c>
      <c r="N293" s="1" t="s">
        <v>1663</v>
      </c>
    </row>
    <row r="294" spans="1:14" s="1" customFormat="1" x14ac:dyDescent="0.25">
      <c r="A294" s="1" t="s">
        <v>1766</v>
      </c>
      <c r="B294" s="1">
        <v>293</v>
      </c>
      <c r="C294" s="1" t="s">
        <v>11</v>
      </c>
      <c r="D294" s="1" t="s">
        <v>11091</v>
      </c>
      <c r="E294" s="1" t="s">
        <v>1495</v>
      </c>
      <c r="F294" s="1" t="s">
        <v>956</v>
      </c>
      <c r="G294" s="1" t="s">
        <v>1661</v>
      </c>
      <c r="H294" s="1">
        <v>44.1</v>
      </c>
      <c r="I294" s="1">
        <v>0</v>
      </c>
      <c r="J294" s="1">
        <v>1</v>
      </c>
      <c r="L294" s="1">
        <v>0</v>
      </c>
      <c r="M294" s="1" t="s">
        <v>1662</v>
      </c>
      <c r="N294" s="1" t="s">
        <v>1665</v>
      </c>
    </row>
    <row r="295" spans="1:14" s="1" customFormat="1" x14ac:dyDescent="0.25">
      <c r="A295" s="1" t="s">
        <v>1768</v>
      </c>
      <c r="B295" s="1">
        <v>294</v>
      </c>
      <c r="C295" s="1" t="s">
        <v>11</v>
      </c>
      <c r="D295" s="1" t="s">
        <v>11091</v>
      </c>
      <c r="E295" s="1" t="s">
        <v>1495</v>
      </c>
      <c r="F295" s="1" t="s">
        <v>956</v>
      </c>
      <c r="G295" s="1" t="s">
        <v>1661</v>
      </c>
      <c r="H295" s="1">
        <v>44.1</v>
      </c>
      <c r="I295" s="1">
        <v>0</v>
      </c>
      <c r="J295" s="1">
        <v>1</v>
      </c>
      <c r="L295" s="1">
        <v>0</v>
      </c>
      <c r="M295" s="1" t="s">
        <v>1662</v>
      </c>
      <c r="N295" s="1" t="s">
        <v>5835</v>
      </c>
    </row>
    <row r="296" spans="1:14" s="1" customFormat="1" x14ac:dyDescent="0.25">
      <c r="A296" s="1" t="s">
        <v>1770</v>
      </c>
      <c r="B296" s="1">
        <v>295</v>
      </c>
      <c r="C296" s="1" t="s">
        <v>11</v>
      </c>
      <c r="D296" s="1" t="s">
        <v>11091</v>
      </c>
      <c r="E296" s="1" t="s">
        <v>1495</v>
      </c>
      <c r="F296" s="1" t="s">
        <v>956</v>
      </c>
      <c r="G296" s="1" t="s">
        <v>1661</v>
      </c>
      <c r="H296" s="1">
        <v>44.1</v>
      </c>
      <c r="I296" s="1">
        <v>0</v>
      </c>
      <c r="J296" s="1">
        <v>1</v>
      </c>
      <c r="L296" s="1">
        <v>0</v>
      </c>
      <c r="M296" s="1" t="s">
        <v>1662</v>
      </c>
      <c r="N296" s="1" t="s">
        <v>5836</v>
      </c>
    </row>
    <row r="297" spans="1:14" s="1" customFormat="1" x14ac:dyDescent="0.25">
      <c r="A297" s="1" t="s">
        <v>1774</v>
      </c>
      <c r="B297" s="1">
        <v>296</v>
      </c>
      <c r="C297" s="1" t="s">
        <v>11</v>
      </c>
      <c r="D297" s="1" t="s">
        <v>11091</v>
      </c>
      <c r="E297" s="1" t="s">
        <v>1495</v>
      </c>
      <c r="F297" s="1" t="s">
        <v>956</v>
      </c>
      <c r="G297" s="1" t="s">
        <v>1661</v>
      </c>
      <c r="H297" s="1">
        <v>44.1</v>
      </c>
      <c r="I297" s="1">
        <v>0</v>
      </c>
      <c r="J297" s="1">
        <v>1</v>
      </c>
      <c r="L297" s="1">
        <v>0</v>
      </c>
      <c r="M297" s="1" t="s">
        <v>1667</v>
      </c>
      <c r="N297" s="1" t="s">
        <v>1668</v>
      </c>
    </row>
    <row r="298" spans="1:14" s="1" customFormat="1" x14ac:dyDescent="0.25">
      <c r="A298" s="1" t="s">
        <v>1776</v>
      </c>
      <c r="B298" s="1">
        <v>297</v>
      </c>
      <c r="C298" s="1" t="s">
        <v>11</v>
      </c>
      <c r="D298" s="1" t="s">
        <v>11091</v>
      </c>
      <c r="E298" s="1" t="s">
        <v>1495</v>
      </c>
      <c r="F298" s="1" t="s">
        <v>956</v>
      </c>
      <c r="G298" s="1" t="s">
        <v>1661</v>
      </c>
      <c r="H298" s="1">
        <v>44.1</v>
      </c>
      <c r="I298" s="1">
        <v>0</v>
      </c>
      <c r="J298" s="1">
        <v>1</v>
      </c>
      <c r="L298" s="1">
        <v>0</v>
      </c>
      <c r="M298" s="1" t="s">
        <v>1667</v>
      </c>
      <c r="N298" s="1" t="s">
        <v>1670</v>
      </c>
    </row>
    <row r="299" spans="1:14" s="1" customFormat="1" x14ac:dyDescent="0.25">
      <c r="A299" s="1" t="s">
        <v>1778</v>
      </c>
      <c r="B299" s="1">
        <v>298</v>
      </c>
      <c r="C299" s="1" t="s">
        <v>11</v>
      </c>
      <c r="D299" s="1" t="s">
        <v>11091</v>
      </c>
      <c r="E299" s="1" t="s">
        <v>1495</v>
      </c>
      <c r="F299" s="1" t="s">
        <v>956</v>
      </c>
      <c r="G299" s="1" t="s">
        <v>1661</v>
      </c>
      <c r="H299" s="1">
        <v>44.1</v>
      </c>
      <c r="I299" s="1">
        <v>0</v>
      </c>
      <c r="J299" s="1">
        <v>1</v>
      </c>
      <c r="L299" s="1">
        <v>0</v>
      </c>
      <c r="M299" s="1" t="s">
        <v>1672</v>
      </c>
      <c r="N299" s="1" t="s">
        <v>1673</v>
      </c>
    </row>
    <row r="300" spans="1:14" s="1" customFormat="1" x14ac:dyDescent="0.25">
      <c r="A300" s="1" t="s">
        <v>1780</v>
      </c>
      <c r="B300" s="1">
        <v>299</v>
      </c>
      <c r="C300" s="1" t="s">
        <v>11</v>
      </c>
      <c r="D300" s="1" t="s">
        <v>11091</v>
      </c>
      <c r="E300" s="1" t="s">
        <v>1495</v>
      </c>
      <c r="F300" s="1" t="s">
        <v>956</v>
      </c>
      <c r="G300" s="1" t="s">
        <v>1661</v>
      </c>
      <c r="H300" s="1">
        <v>44.1</v>
      </c>
      <c r="I300" s="1">
        <v>0</v>
      </c>
      <c r="J300" s="1">
        <v>1</v>
      </c>
      <c r="L300" s="1">
        <v>0</v>
      </c>
      <c r="M300" s="1" t="s">
        <v>1672</v>
      </c>
      <c r="N300" s="1" t="s">
        <v>5837</v>
      </c>
    </row>
    <row r="301" spans="1:14" s="1" customFormat="1" x14ac:dyDescent="0.25">
      <c r="A301" s="1" t="s">
        <v>1782</v>
      </c>
      <c r="B301" s="1">
        <v>300</v>
      </c>
      <c r="C301" s="1" t="s">
        <v>11</v>
      </c>
      <c r="D301" s="1" t="s">
        <v>11091</v>
      </c>
      <c r="E301" s="1" t="s">
        <v>1495</v>
      </c>
      <c r="F301" s="1" t="s">
        <v>956</v>
      </c>
      <c r="G301" s="1" t="s">
        <v>1661</v>
      </c>
      <c r="H301" s="1">
        <v>44.1</v>
      </c>
      <c r="I301" s="1">
        <v>0</v>
      </c>
      <c r="J301" s="1">
        <v>1</v>
      </c>
      <c r="L301" s="1">
        <v>0</v>
      </c>
      <c r="M301" s="1" t="s">
        <v>1675</v>
      </c>
      <c r="N301" s="1" t="s">
        <v>1676</v>
      </c>
    </row>
    <row r="302" spans="1:14" s="1" customFormat="1" x14ac:dyDescent="0.25">
      <c r="A302" s="1" t="s">
        <v>1785</v>
      </c>
      <c r="B302" s="1">
        <v>301</v>
      </c>
      <c r="C302" s="1" t="s">
        <v>11</v>
      </c>
      <c r="D302" s="1" t="s">
        <v>11091</v>
      </c>
      <c r="E302" s="1" t="s">
        <v>1495</v>
      </c>
      <c r="F302" s="1" t="s">
        <v>956</v>
      </c>
      <c r="G302" s="1" t="s">
        <v>1661</v>
      </c>
      <c r="H302" s="1">
        <v>44.1</v>
      </c>
      <c r="I302" s="1">
        <v>0</v>
      </c>
      <c r="J302" s="1">
        <v>1</v>
      </c>
      <c r="L302" s="1">
        <v>0</v>
      </c>
      <c r="M302" s="1" t="s">
        <v>1675</v>
      </c>
      <c r="N302" s="1" t="s">
        <v>1678</v>
      </c>
    </row>
    <row r="303" spans="1:14" s="1" customFormat="1" x14ac:dyDescent="0.25">
      <c r="A303" s="1" t="s">
        <v>1787</v>
      </c>
      <c r="B303" s="1">
        <v>302</v>
      </c>
      <c r="C303" s="1" t="s">
        <v>11</v>
      </c>
      <c r="D303" s="1" t="s">
        <v>11091</v>
      </c>
      <c r="E303" s="1" t="s">
        <v>1495</v>
      </c>
      <c r="F303" s="1" t="s">
        <v>956</v>
      </c>
      <c r="G303" s="1" t="s">
        <v>1661</v>
      </c>
      <c r="H303" s="1">
        <v>44.1</v>
      </c>
      <c r="I303" s="1">
        <v>0</v>
      </c>
      <c r="J303" s="1">
        <v>1</v>
      </c>
      <c r="L303" s="1">
        <v>0</v>
      </c>
      <c r="M303" s="1" t="s">
        <v>1680</v>
      </c>
      <c r="N303" s="1" t="s">
        <v>1681</v>
      </c>
    </row>
    <row r="304" spans="1:14" s="1" customFormat="1" x14ac:dyDescent="0.25">
      <c r="A304" s="1" t="s">
        <v>1789</v>
      </c>
      <c r="B304" s="1">
        <v>303</v>
      </c>
      <c r="C304" s="1" t="s">
        <v>11</v>
      </c>
      <c r="D304" s="1" t="s">
        <v>11091</v>
      </c>
      <c r="E304" s="1" t="s">
        <v>1495</v>
      </c>
      <c r="F304" s="1" t="s">
        <v>956</v>
      </c>
      <c r="G304" s="1" t="s">
        <v>1661</v>
      </c>
      <c r="H304" s="1">
        <v>44.1</v>
      </c>
      <c r="I304" s="1">
        <v>0</v>
      </c>
      <c r="J304" s="1">
        <v>1</v>
      </c>
      <c r="L304" s="1">
        <v>0</v>
      </c>
      <c r="M304" s="1" t="s">
        <v>1680</v>
      </c>
      <c r="N304" s="1" t="s">
        <v>1683</v>
      </c>
    </row>
    <row r="305" spans="1:14" s="1" customFormat="1" x14ac:dyDescent="0.25">
      <c r="A305" s="1" t="s">
        <v>1791</v>
      </c>
      <c r="B305" s="1">
        <v>304</v>
      </c>
      <c r="C305" s="1" t="s">
        <v>11</v>
      </c>
      <c r="D305" s="1" t="s">
        <v>11091</v>
      </c>
      <c r="E305" s="1" t="s">
        <v>1495</v>
      </c>
      <c r="F305" s="1" t="s">
        <v>434</v>
      </c>
      <c r="G305" s="1" t="s">
        <v>1685</v>
      </c>
      <c r="H305" s="1">
        <v>44.1</v>
      </c>
      <c r="I305" s="1">
        <v>0</v>
      </c>
      <c r="J305" s="1">
        <v>1</v>
      </c>
      <c r="L305" s="1">
        <v>0</v>
      </c>
      <c r="M305" s="1" t="s">
        <v>1686</v>
      </c>
      <c r="N305" s="1" t="s">
        <v>1687</v>
      </c>
    </row>
    <row r="306" spans="1:14" s="1" customFormat="1" x14ac:dyDescent="0.25">
      <c r="A306" s="1" t="s">
        <v>1793</v>
      </c>
      <c r="B306" s="1">
        <v>305</v>
      </c>
      <c r="C306" s="1" t="s">
        <v>11</v>
      </c>
      <c r="D306" s="1" t="s">
        <v>11091</v>
      </c>
      <c r="E306" s="1" t="s">
        <v>1495</v>
      </c>
      <c r="F306" s="1" t="s">
        <v>434</v>
      </c>
      <c r="G306" s="1" t="s">
        <v>1685</v>
      </c>
      <c r="H306" s="1">
        <v>44.1</v>
      </c>
      <c r="I306" s="1">
        <v>0</v>
      </c>
      <c r="J306" s="1">
        <v>1</v>
      </c>
      <c r="L306" s="1">
        <v>0</v>
      </c>
      <c r="M306" s="1" t="s">
        <v>1686</v>
      </c>
      <c r="N306" s="1" t="s">
        <v>1689</v>
      </c>
    </row>
    <row r="307" spans="1:14" s="1" customFormat="1" x14ac:dyDescent="0.25">
      <c r="A307" s="1" t="s">
        <v>1795</v>
      </c>
      <c r="B307" s="1">
        <v>306</v>
      </c>
      <c r="C307" s="1" t="s">
        <v>11</v>
      </c>
      <c r="D307" s="1" t="s">
        <v>11091</v>
      </c>
      <c r="E307" s="1" t="s">
        <v>1495</v>
      </c>
      <c r="F307" s="1" t="s">
        <v>434</v>
      </c>
      <c r="G307" s="1" t="s">
        <v>1685</v>
      </c>
      <c r="H307" s="1">
        <v>44.1</v>
      </c>
      <c r="I307" s="1">
        <v>0</v>
      </c>
      <c r="J307" s="1">
        <v>1</v>
      </c>
      <c r="L307" s="1">
        <v>0</v>
      </c>
      <c r="M307" s="1" t="s">
        <v>1691</v>
      </c>
      <c r="N307" s="1" t="s">
        <v>755</v>
      </c>
    </row>
    <row r="308" spans="1:14" s="1" customFormat="1" x14ac:dyDescent="0.25">
      <c r="A308" s="1" t="s">
        <v>1797</v>
      </c>
      <c r="B308" s="1">
        <v>307</v>
      </c>
      <c r="C308" s="1" t="s">
        <v>11</v>
      </c>
      <c r="D308" s="1" t="s">
        <v>11091</v>
      </c>
      <c r="E308" s="1" t="s">
        <v>1495</v>
      </c>
      <c r="F308" s="1" t="s">
        <v>434</v>
      </c>
      <c r="G308" s="1" t="s">
        <v>1685</v>
      </c>
      <c r="H308" s="1">
        <v>44.1</v>
      </c>
      <c r="I308" s="1">
        <v>0</v>
      </c>
      <c r="J308" s="1">
        <v>1</v>
      </c>
      <c r="L308" s="1">
        <v>0</v>
      </c>
      <c r="M308" s="1" t="s">
        <v>1691</v>
      </c>
      <c r="N308" s="1" t="s">
        <v>1693</v>
      </c>
    </row>
    <row r="309" spans="1:14" s="1" customFormat="1" x14ac:dyDescent="0.25">
      <c r="A309" s="1" t="s">
        <v>1800</v>
      </c>
      <c r="B309" s="1">
        <v>308</v>
      </c>
      <c r="C309" s="1" t="s">
        <v>11</v>
      </c>
      <c r="D309" s="1" t="s">
        <v>11091</v>
      </c>
      <c r="E309" s="1" t="s">
        <v>1495</v>
      </c>
      <c r="F309" s="1" t="s">
        <v>434</v>
      </c>
      <c r="G309" s="1" t="s">
        <v>1685</v>
      </c>
      <c r="H309" s="1">
        <v>44.1</v>
      </c>
      <c r="I309" s="1">
        <v>0</v>
      </c>
      <c r="J309" s="1">
        <v>1</v>
      </c>
      <c r="L309" s="1">
        <v>0</v>
      </c>
      <c r="M309" s="1" t="s">
        <v>1695</v>
      </c>
      <c r="N309" s="1" t="s">
        <v>1696</v>
      </c>
    </row>
    <row r="310" spans="1:14" s="1" customFormat="1" x14ac:dyDescent="0.25">
      <c r="A310" s="1" t="s">
        <v>1802</v>
      </c>
      <c r="B310" s="1">
        <v>309</v>
      </c>
      <c r="C310" s="1" t="s">
        <v>11</v>
      </c>
      <c r="D310" s="1" t="s">
        <v>11091</v>
      </c>
      <c r="E310" s="1" t="s">
        <v>1495</v>
      </c>
      <c r="F310" s="1" t="s">
        <v>434</v>
      </c>
      <c r="G310" s="1" t="s">
        <v>1685</v>
      </c>
      <c r="H310" s="1">
        <v>44.1</v>
      </c>
      <c r="I310" s="1">
        <v>0</v>
      </c>
      <c r="J310" s="1">
        <v>1</v>
      </c>
      <c r="L310" s="1">
        <v>0</v>
      </c>
      <c r="M310" s="1" t="s">
        <v>1695</v>
      </c>
      <c r="N310" s="1" t="s">
        <v>1698</v>
      </c>
    </row>
    <row r="311" spans="1:14" s="1" customFormat="1" x14ac:dyDescent="0.25">
      <c r="A311" s="1" t="s">
        <v>1804</v>
      </c>
      <c r="B311" s="1">
        <v>310</v>
      </c>
      <c r="C311" s="1" t="s">
        <v>11</v>
      </c>
      <c r="D311" s="1" t="s">
        <v>11091</v>
      </c>
      <c r="E311" s="1" t="s">
        <v>1495</v>
      </c>
      <c r="F311" s="1" t="s">
        <v>434</v>
      </c>
      <c r="G311" s="1" t="s">
        <v>1685</v>
      </c>
      <c r="H311" s="1">
        <v>44.1</v>
      </c>
      <c r="I311" s="1">
        <v>0</v>
      </c>
      <c r="J311" s="1">
        <v>1</v>
      </c>
      <c r="L311" s="1">
        <v>0</v>
      </c>
      <c r="M311" s="1" t="s">
        <v>1695</v>
      </c>
      <c r="N311" s="1" t="s">
        <v>1700</v>
      </c>
    </row>
    <row r="312" spans="1:14" s="1" customFormat="1" x14ac:dyDescent="0.25">
      <c r="A312" s="1" t="s">
        <v>1806</v>
      </c>
      <c r="B312" s="1">
        <v>311</v>
      </c>
      <c r="C312" s="1" t="s">
        <v>11</v>
      </c>
      <c r="D312" s="1" t="s">
        <v>11091</v>
      </c>
      <c r="E312" s="1" t="s">
        <v>1495</v>
      </c>
      <c r="F312" s="1" t="s">
        <v>434</v>
      </c>
      <c r="G312" s="1" t="s">
        <v>1685</v>
      </c>
      <c r="H312" s="1">
        <v>44.1</v>
      </c>
      <c r="I312" s="1">
        <v>0</v>
      </c>
      <c r="J312" s="1">
        <v>1</v>
      </c>
      <c r="L312" s="1">
        <v>0</v>
      </c>
      <c r="M312" s="1" t="s">
        <v>1695</v>
      </c>
      <c r="N312" s="1" t="s">
        <v>1702</v>
      </c>
    </row>
    <row r="313" spans="1:14" s="1" customFormat="1" x14ac:dyDescent="0.25">
      <c r="A313" s="1" t="s">
        <v>1808</v>
      </c>
      <c r="B313" s="1">
        <v>312</v>
      </c>
      <c r="C313" s="1" t="s">
        <v>11</v>
      </c>
      <c r="D313" s="1" t="s">
        <v>11091</v>
      </c>
      <c r="E313" s="1" t="s">
        <v>1495</v>
      </c>
      <c r="F313" s="1" t="s">
        <v>434</v>
      </c>
      <c r="G313" s="1" t="s">
        <v>1685</v>
      </c>
      <c r="H313" s="1">
        <v>44.1</v>
      </c>
      <c r="I313" s="1">
        <v>0</v>
      </c>
      <c r="J313" s="1">
        <v>1</v>
      </c>
      <c r="L313" s="1">
        <v>0</v>
      </c>
      <c r="M313" s="1" t="s">
        <v>15159</v>
      </c>
      <c r="N313" s="1" t="s">
        <v>15159</v>
      </c>
    </row>
    <row r="314" spans="1:14" s="1" customFormat="1" x14ac:dyDescent="0.25">
      <c r="A314" s="1" t="s">
        <v>1810</v>
      </c>
      <c r="B314" s="1">
        <v>313</v>
      </c>
      <c r="C314" s="1" t="s">
        <v>11</v>
      </c>
      <c r="D314" s="1" t="s">
        <v>11091</v>
      </c>
      <c r="E314" s="1" t="s">
        <v>1495</v>
      </c>
      <c r="F314" s="1" t="s">
        <v>434</v>
      </c>
      <c r="G314" s="1" t="s">
        <v>1685</v>
      </c>
      <c r="H314" s="1">
        <v>44.1</v>
      </c>
      <c r="I314" s="1">
        <v>0</v>
      </c>
      <c r="J314" s="1">
        <v>1</v>
      </c>
      <c r="L314" s="1">
        <v>0</v>
      </c>
      <c r="M314" s="1" t="s">
        <v>15161</v>
      </c>
      <c r="N314" s="1" t="s">
        <v>15161</v>
      </c>
    </row>
    <row r="315" spans="1:14" s="1" customFormat="1" x14ac:dyDescent="0.25">
      <c r="A315" s="1" t="s">
        <v>1813</v>
      </c>
      <c r="B315" s="1">
        <v>314</v>
      </c>
      <c r="C315" s="1" t="s">
        <v>11</v>
      </c>
      <c r="D315" s="1" t="s">
        <v>11091</v>
      </c>
      <c r="E315" s="1" t="s">
        <v>1495</v>
      </c>
      <c r="F315" s="1" t="s">
        <v>831</v>
      </c>
      <c r="G315" s="1" t="s">
        <v>1704</v>
      </c>
      <c r="H315" s="1">
        <v>44.1</v>
      </c>
      <c r="I315" s="1">
        <v>0</v>
      </c>
      <c r="J315" s="1">
        <v>1</v>
      </c>
      <c r="L315" s="1">
        <v>0</v>
      </c>
      <c r="M315" s="1" t="s">
        <v>1706</v>
      </c>
      <c r="N315" s="1" t="s">
        <v>1707</v>
      </c>
    </row>
    <row r="316" spans="1:14" s="1" customFormat="1" x14ac:dyDescent="0.25">
      <c r="A316" s="1" t="s">
        <v>1815</v>
      </c>
      <c r="B316" s="1">
        <v>315</v>
      </c>
      <c r="C316" s="1" t="s">
        <v>11</v>
      </c>
      <c r="D316" s="1" t="s">
        <v>11091</v>
      </c>
      <c r="E316" s="1" t="s">
        <v>1495</v>
      </c>
      <c r="F316" s="1" t="s">
        <v>831</v>
      </c>
      <c r="G316" s="1" t="s">
        <v>1704</v>
      </c>
      <c r="H316" s="1">
        <v>44.1</v>
      </c>
      <c r="I316" s="1">
        <v>0</v>
      </c>
      <c r="J316" s="1">
        <v>1</v>
      </c>
      <c r="L316" s="1">
        <v>0</v>
      </c>
      <c r="M316" s="1" t="s">
        <v>1706</v>
      </c>
      <c r="N316" s="1" t="s">
        <v>1709</v>
      </c>
    </row>
    <row r="317" spans="1:14" s="1" customFormat="1" x14ac:dyDescent="0.25">
      <c r="A317" s="1" t="s">
        <v>1817</v>
      </c>
      <c r="B317" s="1">
        <v>316</v>
      </c>
      <c r="C317" s="1" t="s">
        <v>11</v>
      </c>
      <c r="D317" s="1" t="s">
        <v>11091</v>
      </c>
      <c r="E317" s="1" t="s">
        <v>1495</v>
      </c>
      <c r="F317" s="1" t="s">
        <v>831</v>
      </c>
      <c r="G317" s="1" t="s">
        <v>1704</v>
      </c>
      <c r="H317" s="1">
        <v>44.1</v>
      </c>
      <c r="I317" s="1">
        <v>0</v>
      </c>
      <c r="J317" s="1">
        <v>1</v>
      </c>
      <c r="L317" s="1">
        <v>0</v>
      </c>
      <c r="M317" s="1" t="s">
        <v>1711</v>
      </c>
      <c r="N317" s="1" t="s">
        <v>1712</v>
      </c>
    </row>
    <row r="318" spans="1:14" s="1" customFormat="1" x14ac:dyDescent="0.25">
      <c r="A318" s="1" t="s">
        <v>1819</v>
      </c>
      <c r="B318" s="1">
        <v>317</v>
      </c>
      <c r="C318" s="1" t="s">
        <v>11</v>
      </c>
      <c r="D318" s="1" t="s">
        <v>11091</v>
      </c>
      <c r="E318" s="1" t="s">
        <v>1495</v>
      </c>
      <c r="F318" s="1" t="s">
        <v>831</v>
      </c>
      <c r="G318" s="1" t="s">
        <v>1704</v>
      </c>
      <c r="H318" s="1">
        <v>44.1</v>
      </c>
      <c r="I318" s="1">
        <v>0</v>
      </c>
      <c r="J318" s="1">
        <v>1</v>
      </c>
      <c r="L318" s="1">
        <v>0</v>
      </c>
      <c r="M318" s="1" t="s">
        <v>1713</v>
      </c>
      <c r="N318" s="1" t="s">
        <v>5777</v>
      </c>
    </row>
    <row r="319" spans="1:14" s="1" customFormat="1" x14ac:dyDescent="0.25">
      <c r="A319" s="1" t="s">
        <v>1823</v>
      </c>
      <c r="B319" s="1">
        <v>318</v>
      </c>
      <c r="C319" s="1" t="s">
        <v>11</v>
      </c>
      <c r="D319" s="1" t="s">
        <v>11091</v>
      </c>
      <c r="E319" s="1" t="s">
        <v>1495</v>
      </c>
      <c r="F319" s="1" t="s">
        <v>831</v>
      </c>
      <c r="G319" s="1" t="s">
        <v>1704</v>
      </c>
      <c r="H319" s="1">
        <v>44.1</v>
      </c>
      <c r="I319" s="1">
        <v>0</v>
      </c>
      <c r="J319" s="1">
        <v>1</v>
      </c>
      <c r="L319" s="1">
        <v>0</v>
      </c>
      <c r="M319" s="1" t="s">
        <v>1713</v>
      </c>
      <c r="N319" s="1" t="s">
        <v>5778</v>
      </c>
    </row>
    <row r="320" spans="1:14" s="1" customFormat="1" x14ac:dyDescent="0.25">
      <c r="A320" s="1" t="s">
        <v>1825</v>
      </c>
      <c r="B320" s="1">
        <v>319</v>
      </c>
      <c r="C320" s="1" t="s">
        <v>11</v>
      </c>
      <c r="D320" s="1" t="s">
        <v>11091</v>
      </c>
      <c r="E320" s="1" t="s">
        <v>1495</v>
      </c>
      <c r="F320" s="1" t="s">
        <v>831</v>
      </c>
      <c r="G320" s="1" t="s">
        <v>1704</v>
      </c>
      <c r="H320" s="1">
        <v>44.1</v>
      </c>
      <c r="I320" s="1">
        <v>0</v>
      </c>
      <c r="J320" s="1">
        <v>1</v>
      </c>
      <c r="L320" s="1">
        <v>0</v>
      </c>
      <c r="M320" s="1" t="s">
        <v>1713</v>
      </c>
      <c r="N320" s="1" t="s">
        <v>5838</v>
      </c>
    </row>
    <row r="321" spans="1:14" s="1" customFormat="1" x14ac:dyDescent="0.25">
      <c r="A321" s="1" t="s">
        <v>1827</v>
      </c>
      <c r="B321" s="1">
        <v>320</v>
      </c>
      <c r="C321" s="1" t="s">
        <v>11</v>
      </c>
      <c r="D321" s="1" t="s">
        <v>11091</v>
      </c>
      <c r="E321" s="1" t="s">
        <v>1495</v>
      </c>
      <c r="F321" s="1" t="s">
        <v>831</v>
      </c>
      <c r="G321" s="1" t="s">
        <v>1704</v>
      </c>
      <c r="H321" s="1">
        <v>44.1</v>
      </c>
      <c r="I321" s="1">
        <v>0</v>
      </c>
      <c r="J321" s="1">
        <v>1</v>
      </c>
      <c r="L321" s="1">
        <v>0</v>
      </c>
      <c r="M321" s="1" t="s">
        <v>1713</v>
      </c>
      <c r="N321" s="1" t="s">
        <v>1715</v>
      </c>
    </row>
    <row r="322" spans="1:14" s="1" customFormat="1" x14ac:dyDescent="0.25">
      <c r="A322" s="1" t="s">
        <v>1829</v>
      </c>
      <c r="B322" s="1">
        <v>321</v>
      </c>
      <c r="C322" s="1" t="s">
        <v>11</v>
      </c>
      <c r="D322" s="1" t="s">
        <v>11091</v>
      </c>
      <c r="E322" s="1" t="s">
        <v>1495</v>
      </c>
      <c r="F322" s="1" t="s">
        <v>831</v>
      </c>
      <c r="G322" s="1" t="s">
        <v>1704</v>
      </c>
      <c r="H322" s="1">
        <v>44.1</v>
      </c>
      <c r="I322" s="1">
        <v>0</v>
      </c>
      <c r="J322" s="1">
        <v>1</v>
      </c>
      <c r="L322" s="1">
        <v>0</v>
      </c>
      <c r="M322" s="1" t="s">
        <v>1713</v>
      </c>
      <c r="N322" s="1" t="s">
        <v>1717</v>
      </c>
    </row>
    <row r="323" spans="1:14" s="1" customFormat="1" x14ac:dyDescent="0.25">
      <c r="A323" s="1" t="s">
        <v>1831</v>
      </c>
      <c r="B323" s="1">
        <v>322</v>
      </c>
      <c r="C323" s="1" t="s">
        <v>11</v>
      </c>
      <c r="D323" s="1" t="s">
        <v>11091</v>
      </c>
      <c r="E323" s="1" t="s">
        <v>1495</v>
      </c>
      <c r="F323" s="1" t="s">
        <v>831</v>
      </c>
      <c r="G323" s="1" t="s">
        <v>1704</v>
      </c>
      <c r="H323" s="1">
        <v>44.1</v>
      </c>
      <c r="I323" s="1">
        <v>0</v>
      </c>
      <c r="J323" s="1">
        <v>1</v>
      </c>
      <c r="L323" s="1">
        <v>0</v>
      </c>
      <c r="M323" s="1" t="s">
        <v>1713</v>
      </c>
      <c r="N323" s="1" t="s">
        <v>1719</v>
      </c>
    </row>
    <row r="324" spans="1:14" s="1" customFormat="1" x14ac:dyDescent="0.25">
      <c r="A324" s="1" t="s">
        <v>1833</v>
      </c>
      <c r="B324" s="1">
        <v>323</v>
      </c>
      <c r="C324" s="1" t="s">
        <v>11</v>
      </c>
      <c r="D324" s="1" t="s">
        <v>11091</v>
      </c>
      <c r="E324" s="1" t="s">
        <v>1495</v>
      </c>
      <c r="F324" s="1" t="s">
        <v>831</v>
      </c>
      <c r="G324" s="1" t="s">
        <v>1704</v>
      </c>
      <c r="H324" s="1">
        <v>44.1</v>
      </c>
      <c r="I324" s="1">
        <v>0</v>
      </c>
      <c r="J324" s="1">
        <v>1</v>
      </c>
      <c r="L324" s="1">
        <v>0</v>
      </c>
      <c r="M324" s="1" t="s">
        <v>1713</v>
      </c>
      <c r="N324" s="1" t="s">
        <v>1721</v>
      </c>
    </row>
    <row r="325" spans="1:14" s="1" customFormat="1" x14ac:dyDescent="0.25">
      <c r="A325" s="1" t="s">
        <v>1835</v>
      </c>
      <c r="B325" s="1">
        <v>324</v>
      </c>
      <c r="C325" s="1" t="s">
        <v>11</v>
      </c>
      <c r="D325" s="1" t="s">
        <v>11091</v>
      </c>
      <c r="E325" s="1" t="s">
        <v>1495</v>
      </c>
      <c r="F325" s="1" t="s">
        <v>831</v>
      </c>
      <c r="G325" s="1" t="s">
        <v>1704</v>
      </c>
      <c r="H325" s="1">
        <v>44.1</v>
      </c>
      <c r="I325" s="1">
        <v>0</v>
      </c>
      <c r="J325" s="1">
        <v>1</v>
      </c>
      <c r="L325" s="1">
        <v>0</v>
      </c>
      <c r="M325" s="1" t="s">
        <v>1723</v>
      </c>
      <c r="N325" s="1" t="s">
        <v>1724</v>
      </c>
    </row>
    <row r="326" spans="1:14" s="1" customFormat="1" x14ac:dyDescent="0.25">
      <c r="A326" s="1" t="s">
        <v>1837</v>
      </c>
      <c r="B326" s="1">
        <v>325</v>
      </c>
      <c r="C326" s="1" t="s">
        <v>11</v>
      </c>
      <c r="D326" s="1" t="s">
        <v>11091</v>
      </c>
      <c r="E326" s="1" t="s">
        <v>1495</v>
      </c>
      <c r="F326" s="1" t="s">
        <v>831</v>
      </c>
      <c r="G326" s="1" t="s">
        <v>1704</v>
      </c>
      <c r="H326" s="1">
        <v>44.1</v>
      </c>
      <c r="I326" s="1">
        <v>0</v>
      </c>
      <c r="J326" s="1">
        <v>1</v>
      </c>
      <c r="L326" s="1">
        <v>0</v>
      </c>
      <c r="M326" s="1" t="s">
        <v>1723</v>
      </c>
      <c r="N326" s="1" t="s">
        <v>1726</v>
      </c>
    </row>
    <row r="327" spans="1:14" s="1" customFormat="1" x14ac:dyDescent="0.25">
      <c r="A327" s="1" t="s">
        <v>1839</v>
      </c>
      <c r="B327" s="1">
        <v>326</v>
      </c>
      <c r="C327" s="1" t="s">
        <v>11</v>
      </c>
      <c r="D327" s="1" t="s">
        <v>11091</v>
      </c>
      <c r="E327" s="1" t="s">
        <v>1495</v>
      </c>
      <c r="F327" s="1" t="s">
        <v>831</v>
      </c>
      <c r="G327" s="1" t="s">
        <v>1704</v>
      </c>
      <c r="H327" s="1">
        <v>44.1</v>
      </c>
      <c r="I327" s="1">
        <v>0</v>
      </c>
      <c r="J327" s="1">
        <v>1</v>
      </c>
      <c r="L327" s="1">
        <v>0</v>
      </c>
      <c r="M327" s="1" t="s">
        <v>1728</v>
      </c>
      <c r="N327" s="1" t="s">
        <v>1728</v>
      </c>
    </row>
    <row r="328" spans="1:14" s="1" customFormat="1" x14ac:dyDescent="0.25">
      <c r="A328" s="1" t="s">
        <v>1841</v>
      </c>
      <c r="B328" s="1">
        <v>327</v>
      </c>
      <c r="C328" s="1" t="s">
        <v>11</v>
      </c>
      <c r="D328" s="1" t="s">
        <v>11091</v>
      </c>
      <c r="E328" s="1" t="s">
        <v>1495</v>
      </c>
      <c r="F328" s="1" t="s">
        <v>831</v>
      </c>
      <c r="G328" s="1" t="s">
        <v>1704</v>
      </c>
      <c r="H328" s="1">
        <v>44.1</v>
      </c>
      <c r="I328" s="1">
        <v>0</v>
      </c>
      <c r="J328" s="1">
        <v>1</v>
      </c>
      <c r="L328" s="1">
        <v>0</v>
      </c>
      <c r="M328" s="1" t="s">
        <v>15163</v>
      </c>
      <c r="N328" s="1" t="s">
        <v>15163</v>
      </c>
    </row>
    <row r="329" spans="1:14" x14ac:dyDescent="0.25">
      <c r="A329" s="1" t="s">
        <v>1844</v>
      </c>
      <c r="B329" s="1">
        <v>328</v>
      </c>
      <c r="C329" s="1" t="s">
        <v>73</v>
      </c>
      <c r="D329" s="1" t="s">
        <v>11093</v>
      </c>
      <c r="E329" s="1" t="s">
        <v>1879</v>
      </c>
      <c r="F329" s="1" t="s">
        <v>1880</v>
      </c>
      <c r="G329" s="1" t="s">
        <v>1881</v>
      </c>
      <c r="H329" s="1">
        <v>21.4</v>
      </c>
      <c r="I329" s="1">
        <v>0</v>
      </c>
      <c r="J329" s="1">
        <v>1</v>
      </c>
      <c r="K329" s="1" t="s">
        <v>1071</v>
      </c>
      <c r="L329" s="1">
        <v>0</v>
      </c>
      <c r="M329" s="1" t="s">
        <v>1880</v>
      </c>
      <c r="N329" s="1" t="s">
        <v>1880</v>
      </c>
    </row>
    <row r="330" spans="1:14" x14ac:dyDescent="0.25">
      <c r="A330" s="1" t="s">
        <v>1846</v>
      </c>
      <c r="B330" s="1">
        <v>329</v>
      </c>
      <c r="C330" s="1" t="s">
        <v>73</v>
      </c>
      <c r="D330" s="1" t="s">
        <v>11092</v>
      </c>
      <c r="E330" s="1" t="s">
        <v>1730</v>
      </c>
      <c r="F330" s="1" t="s">
        <v>1731</v>
      </c>
      <c r="G330" s="1" t="s">
        <v>1732</v>
      </c>
      <c r="H330" s="1">
        <v>21.4</v>
      </c>
      <c r="I330" s="1">
        <v>0</v>
      </c>
      <c r="J330" s="1">
        <v>1</v>
      </c>
      <c r="K330" s="1" t="s">
        <v>1071</v>
      </c>
      <c r="L330" s="1">
        <v>0</v>
      </c>
      <c r="M330" s="1" t="s">
        <v>1731</v>
      </c>
      <c r="N330" s="1" t="s">
        <v>1731</v>
      </c>
    </row>
    <row r="331" spans="1:14" s="1" customFormat="1" x14ac:dyDescent="0.25">
      <c r="A331" s="1" t="s">
        <v>1848</v>
      </c>
      <c r="B331" s="1">
        <v>330</v>
      </c>
      <c r="C331" s="1" t="s">
        <v>73</v>
      </c>
      <c r="D331" s="1" t="s">
        <v>11092</v>
      </c>
      <c r="E331" s="1" t="s">
        <v>1730</v>
      </c>
      <c r="F331" s="1" t="s">
        <v>1731</v>
      </c>
      <c r="G331" s="1" t="s">
        <v>1732</v>
      </c>
      <c r="H331" s="1">
        <v>21.4</v>
      </c>
      <c r="I331" s="1">
        <v>0</v>
      </c>
      <c r="J331" s="1">
        <v>1</v>
      </c>
      <c r="K331" s="1" t="s">
        <v>1071</v>
      </c>
      <c r="L331" s="1">
        <v>0</v>
      </c>
      <c r="M331" s="1" t="s">
        <v>15165</v>
      </c>
      <c r="N331" s="1" t="s">
        <v>15165</v>
      </c>
    </row>
    <row r="332" spans="1:14" s="1" customFormat="1" x14ac:dyDescent="0.25">
      <c r="A332" s="1" t="s">
        <v>1850</v>
      </c>
      <c r="B332" s="1">
        <v>331</v>
      </c>
      <c r="C332" s="1" t="s">
        <v>73</v>
      </c>
      <c r="D332" s="1" t="s">
        <v>11092</v>
      </c>
      <c r="E332" s="1" t="s">
        <v>1730</v>
      </c>
      <c r="F332" s="1" t="s">
        <v>1731</v>
      </c>
      <c r="G332" s="1" t="s">
        <v>1732</v>
      </c>
      <c r="H332" s="1">
        <v>21.4</v>
      </c>
      <c r="I332" s="1">
        <v>0</v>
      </c>
      <c r="J332" s="1">
        <v>1</v>
      </c>
      <c r="K332" s="1" t="s">
        <v>1071</v>
      </c>
      <c r="L332" s="1">
        <v>0</v>
      </c>
      <c r="M332" s="1" t="s">
        <v>15166</v>
      </c>
      <c r="N332" s="1" t="s">
        <v>15166</v>
      </c>
    </row>
    <row r="333" spans="1:14" x14ac:dyDescent="0.25">
      <c r="A333" s="1" t="s">
        <v>1852</v>
      </c>
      <c r="B333" s="1">
        <v>332</v>
      </c>
      <c r="C333" s="1" t="s">
        <v>73</v>
      </c>
      <c r="D333" s="1" t="s">
        <v>11093</v>
      </c>
      <c r="E333" s="1" t="s">
        <v>1879</v>
      </c>
      <c r="F333" s="1" t="s">
        <v>1883</v>
      </c>
      <c r="G333" s="1" t="s">
        <v>1884</v>
      </c>
      <c r="H333" s="1">
        <v>21.4</v>
      </c>
      <c r="I333" s="1">
        <v>1</v>
      </c>
      <c r="J333" s="1">
        <v>0</v>
      </c>
      <c r="K333" s="1" t="s">
        <v>1077</v>
      </c>
      <c r="L333" s="1">
        <v>1</v>
      </c>
      <c r="M333" s="1" t="s">
        <v>1883</v>
      </c>
      <c r="N333" s="1" t="s">
        <v>1883</v>
      </c>
    </row>
    <row r="334" spans="1:14" x14ac:dyDescent="0.25">
      <c r="A334" s="1" t="s">
        <v>1854</v>
      </c>
      <c r="B334" s="1">
        <v>333</v>
      </c>
      <c r="C334" s="1" t="s">
        <v>73</v>
      </c>
      <c r="D334" s="1" t="s">
        <v>11093</v>
      </c>
      <c r="E334" s="1" t="s">
        <v>1879</v>
      </c>
      <c r="F334" s="1" t="s">
        <v>1883</v>
      </c>
      <c r="G334" s="1" t="s">
        <v>1884</v>
      </c>
      <c r="H334" s="1">
        <v>21.4</v>
      </c>
      <c r="I334" s="1">
        <v>1</v>
      </c>
      <c r="J334" s="1">
        <v>0</v>
      </c>
      <c r="K334" s="1" t="s">
        <v>1077</v>
      </c>
      <c r="L334" s="1">
        <v>2</v>
      </c>
      <c r="M334" s="1" t="s">
        <v>1883</v>
      </c>
      <c r="N334" s="1" t="s">
        <v>1886</v>
      </c>
    </row>
    <row r="335" spans="1:14" s="1" customFormat="1" x14ac:dyDescent="0.25">
      <c r="A335" s="1" t="s">
        <v>1857</v>
      </c>
      <c r="B335" s="1">
        <v>334</v>
      </c>
      <c r="C335" s="1" t="s">
        <v>73</v>
      </c>
      <c r="D335" s="1" t="s">
        <v>11093</v>
      </c>
      <c r="E335" s="1" t="s">
        <v>1879</v>
      </c>
      <c r="F335" s="1" t="s">
        <v>1883</v>
      </c>
      <c r="G335" s="1" t="s">
        <v>1884</v>
      </c>
      <c r="H335" s="1">
        <v>21.4</v>
      </c>
      <c r="I335" s="1">
        <v>1</v>
      </c>
      <c r="J335" s="1">
        <v>0</v>
      </c>
      <c r="K335" s="1" t="s">
        <v>1077</v>
      </c>
      <c r="L335" s="1">
        <v>1</v>
      </c>
      <c r="M335" s="1" t="s">
        <v>16036</v>
      </c>
      <c r="N335" s="1" t="s">
        <v>16036</v>
      </c>
    </row>
    <row r="336" spans="1:14" x14ac:dyDescent="0.25">
      <c r="A336" s="1" t="s">
        <v>1859</v>
      </c>
      <c r="B336" s="1">
        <v>335</v>
      </c>
      <c r="C336" s="1" t="s">
        <v>73</v>
      </c>
      <c r="D336" s="1" t="s">
        <v>11091</v>
      </c>
      <c r="E336" s="1" t="s">
        <v>1888</v>
      </c>
      <c r="F336" s="1" t="s">
        <v>1970</v>
      </c>
      <c r="G336" s="1" t="s">
        <v>1930</v>
      </c>
      <c r="H336" s="1">
        <v>11.2</v>
      </c>
      <c r="I336" s="1">
        <v>0</v>
      </c>
      <c r="J336" s="1">
        <v>0</v>
      </c>
      <c r="K336" s="1" t="s">
        <v>1083</v>
      </c>
      <c r="L336" s="1">
        <v>0</v>
      </c>
      <c r="M336" s="1" t="s">
        <v>1970</v>
      </c>
      <c r="N336" s="1" t="s">
        <v>1970</v>
      </c>
    </row>
    <row r="337" spans="1:14" x14ac:dyDescent="0.25">
      <c r="A337" s="1" t="s">
        <v>1861</v>
      </c>
      <c r="B337" s="1">
        <v>336</v>
      </c>
      <c r="C337" s="1" t="s">
        <v>73</v>
      </c>
      <c r="D337" s="1" t="s">
        <v>11092</v>
      </c>
      <c r="E337" s="1" t="s">
        <v>1730</v>
      </c>
      <c r="F337" s="1" t="s">
        <v>1734</v>
      </c>
      <c r="G337" s="1" t="s">
        <v>1735</v>
      </c>
      <c r="H337" s="1">
        <v>41.9</v>
      </c>
      <c r="I337" s="1">
        <v>0</v>
      </c>
      <c r="J337" s="1">
        <v>1</v>
      </c>
      <c r="K337" s="1"/>
      <c r="L337" s="1">
        <v>0</v>
      </c>
      <c r="M337" s="1" t="s">
        <v>1736</v>
      </c>
      <c r="N337" s="1" t="s">
        <v>1737</v>
      </c>
    </row>
    <row r="338" spans="1:14" x14ac:dyDescent="0.25">
      <c r="A338" s="1" t="s">
        <v>1863</v>
      </c>
      <c r="B338" s="1">
        <v>337</v>
      </c>
      <c r="C338" s="1" t="s">
        <v>73</v>
      </c>
      <c r="D338" s="1" t="s">
        <v>11092</v>
      </c>
      <c r="E338" s="1" t="s">
        <v>1730</v>
      </c>
      <c r="F338" s="1" t="s">
        <v>1734</v>
      </c>
      <c r="G338" s="1" t="s">
        <v>1735</v>
      </c>
      <c r="H338" s="1">
        <v>41.9</v>
      </c>
      <c r="I338" s="1">
        <v>0</v>
      </c>
      <c r="J338" s="1">
        <v>1</v>
      </c>
      <c r="K338" s="1"/>
      <c r="L338" s="1">
        <v>0</v>
      </c>
      <c r="M338" s="1" t="s">
        <v>1736</v>
      </c>
      <c r="N338" s="1" t="s">
        <v>1739</v>
      </c>
    </row>
    <row r="339" spans="1:14" x14ac:dyDescent="0.25">
      <c r="A339" s="1" t="s">
        <v>1866</v>
      </c>
      <c r="B339" s="1">
        <v>338</v>
      </c>
      <c r="C339" s="1" t="s">
        <v>73</v>
      </c>
      <c r="D339" s="1" t="s">
        <v>11092</v>
      </c>
      <c r="E339" s="1" t="s">
        <v>1730</v>
      </c>
      <c r="F339" s="1" t="s">
        <v>1734</v>
      </c>
      <c r="G339" s="1" t="s">
        <v>1735</v>
      </c>
      <c r="H339" s="1">
        <v>41.9</v>
      </c>
      <c r="I339" s="1">
        <v>0</v>
      </c>
      <c r="J339" s="1">
        <v>1</v>
      </c>
      <c r="K339" s="1"/>
      <c r="L339" s="1">
        <v>0</v>
      </c>
      <c r="M339" s="1" t="s">
        <v>1736</v>
      </c>
      <c r="N339" s="1" t="s">
        <v>1741</v>
      </c>
    </row>
    <row r="340" spans="1:14" x14ac:dyDescent="0.25">
      <c r="A340" s="1" t="s">
        <v>1868</v>
      </c>
      <c r="B340" s="1">
        <v>339</v>
      </c>
      <c r="C340" s="1" t="s">
        <v>73</v>
      </c>
      <c r="D340" s="1" t="s">
        <v>11092</v>
      </c>
      <c r="E340" s="1" t="s">
        <v>1730</v>
      </c>
      <c r="F340" s="1" t="s">
        <v>1734</v>
      </c>
      <c r="G340" s="1" t="s">
        <v>1735</v>
      </c>
      <c r="H340" s="1">
        <v>41.9</v>
      </c>
      <c r="I340" s="1">
        <v>0</v>
      </c>
      <c r="J340" s="1">
        <v>1</v>
      </c>
      <c r="K340" s="1"/>
      <c r="L340" s="1">
        <v>0</v>
      </c>
      <c r="M340" s="1" t="s">
        <v>1743</v>
      </c>
      <c r="N340" s="1" t="s">
        <v>1744</v>
      </c>
    </row>
    <row r="341" spans="1:14" x14ac:dyDescent="0.25">
      <c r="A341" s="1" t="s">
        <v>1870</v>
      </c>
      <c r="B341" s="1">
        <v>340</v>
      </c>
      <c r="C341" s="1" t="s">
        <v>73</v>
      </c>
      <c r="D341" s="1" t="s">
        <v>11092</v>
      </c>
      <c r="E341" s="1" t="s">
        <v>1730</v>
      </c>
      <c r="F341" s="1" t="s">
        <v>1734</v>
      </c>
      <c r="G341" s="1" t="s">
        <v>1735</v>
      </c>
      <c r="H341" s="1">
        <v>41.9</v>
      </c>
      <c r="I341" s="1">
        <v>0</v>
      </c>
      <c r="J341" s="1">
        <v>1</v>
      </c>
      <c r="K341" s="1"/>
      <c r="L341" s="1">
        <v>0</v>
      </c>
      <c r="M341" s="1" t="s">
        <v>1746</v>
      </c>
      <c r="N341" s="1" t="s">
        <v>1747</v>
      </c>
    </row>
    <row r="342" spans="1:14" x14ac:dyDescent="0.25">
      <c r="A342" s="1" t="s">
        <v>1872</v>
      </c>
      <c r="B342" s="1">
        <v>341</v>
      </c>
      <c r="C342" s="1" t="s">
        <v>73</v>
      </c>
      <c r="D342" s="1" t="s">
        <v>11092</v>
      </c>
      <c r="E342" s="1" t="s">
        <v>1730</v>
      </c>
      <c r="F342" s="1" t="s">
        <v>1734</v>
      </c>
      <c r="G342" s="1" t="s">
        <v>1735</v>
      </c>
      <c r="H342" s="1">
        <v>41.9</v>
      </c>
      <c r="I342" s="1">
        <v>0</v>
      </c>
      <c r="J342" s="1">
        <v>1</v>
      </c>
      <c r="K342" s="1"/>
      <c r="L342" s="1">
        <v>0</v>
      </c>
      <c r="M342" s="1" t="s">
        <v>1746</v>
      </c>
      <c r="N342" s="1" t="s">
        <v>1749</v>
      </c>
    </row>
    <row r="343" spans="1:14" x14ac:dyDescent="0.25">
      <c r="A343" s="1" t="s">
        <v>1874</v>
      </c>
      <c r="B343" s="1">
        <v>342</v>
      </c>
      <c r="C343" s="1" t="s">
        <v>73</v>
      </c>
      <c r="D343" s="1" t="s">
        <v>11092</v>
      </c>
      <c r="E343" s="1" t="s">
        <v>1730</v>
      </c>
      <c r="F343" s="1" t="s">
        <v>1734</v>
      </c>
      <c r="G343" s="1" t="s">
        <v>1735</v>
      </c>
      <c r="H343" s="1">
        <v>41.9</v>
      </c>
      <c r="I343" s="1">
        <v>0</v>
      </c>
      <c r="J343" s="1">
        <v>1</v>
      </c>
      <c r="K343" s="1"/>
      <c r="L343" s="1">
        <v>0</v>
      </c>
      <c r="M343" s="1" t="s">
        <v>1746</v>
      </c>
      <c r="N343" s="1" t="s">
        <v>1751</v>
      </c>
    </row>
    <row r="344" spans="1:14" x14ac:dyDescent="0.25">
      <c r="A344" s="1" t="s">
        <v>1876</v>
      </c>
      <c r="B344" s="1">
        <v>343</v>
      </c>
      <c r="C344" s="1" t="s">
        <v>73</v>
      </c>
      <c r="D344" s="1" t="s">
        <v>11092</v>
      </c>
      <c r="E344" s="1" t="s">
        <v>1730</v>
      </c>
      <c r="F344" s="1" t="s">
        <v>1734</v>
      </c>
      <c r="G344" s="1" t="s">
        <v>1735</v>
      </c>
      <c r="H344" s="1">
        <v>41.9</v>
      </c>
      <c r="I344" s="1">
        <v>0</v>
      </c>
      <c r="J344" s="1">
        <v>1</v>
      </c>
      <c r="K344" s="1"/>
      <c r="L344" s="1">
        <v>0</v>
      </c>
      <c r="M344" s="1" t="s">
        <v>1753</v>
      </c>
      <c r="N344" s="1" t="s">
        <v>1754</v>
      </c>
    </row>
    <row r="345" spans="1:14" x14ac:dyDescent="0.25">
      <c r="A345" s="1" t="s">
        <v>1878</v>
      </c>
      <c r="B345" s="1">
        <v>344</v>
      </c>
      <c r="C345" s="1" t="s">
        <v>73</v>
      </c>
      <c r="D345" s="1" t="s">
        <v>11092</v>
      </c>
      <c r="E345" s="1" t="s">
        <v>1730</v>
      </c>
      <c r="F345" s="1" t="s">
        <v>1734</v>
      </c>
      <c r="G345" s="1" t="s">
        <v>1735</v>
      </c>
      <c r="H345" s="1">
        <v>41.9</v>
      </c>
      <c r="I345" s="1">
        <v>0</v>
      </c>
      <c r="J345" s="1">
        <v>1</v>
      </c>
      <c r="K345" s="1"/>
      <c r="L345" s="1">
        <v>0</v>
      </c>
      <c r="M345" s="1" t="s">
        <v>1753</v>
      </c>
      <c r="N345" s="1" t="s">
        <v>1756</v>
      </c>
    </row>
    <row r="346" spans="1:14" x14ac:dyDescent="0.25">
      <c r="A346" s="1" t="s">
        <v>1882</v>
      </c>
      <c r="B346" s="1">
        <v>345</v>
      </c>
      <c r="C346" s="1" t="s">
        <v>73</v>
      </c>
      <c r="D346" s="1" t="s">
        <v>11092</v>
      </c>
      <c r="E346" s="1" t="s">
        <v>1730</v>
      </c>
      <c r="F346" s="1" t="s">
        <v>1734</v>
      </c>
      <c r="G346" s="1" t="s">
        <v>1735</v>
      </c>
      <c r="H346" s="1">
        <v>41.9</v>
      </c>
      <c r="I346" s="1">
        <v>0</v>
      </c>
      <c r="J346" s="1">
        <v>1</v>
      </c>
      <c r="K346" s="1"/>
      <c r="L346" s="1">
        <v>0</v>
      </c>
      <c r="M346" s="1" t="s">
        <v>1753</v>
      </c>
      <c r="N346" s="1" t="s">
        <v>1758</v>
      </c>
    </row>
    <row r="347" spans="1:14" x14ac:dyDescent="0.25">
      <c r="A347" s="1" t="s">
        <v>1885</v>
      </c>
      <c r="B347" s="1">
        <v>346</v>
      </c>
      <c r="C347" s="1" t="s">
        <v>73</v>
      </c>
      <c r="D347" s="1" t="s">
        <v>11092</v>
      </c>
      <c r="E347" s="1" t="s">
        <v>1730</v>
      </c>
      <c r="F347" s="1" t="s">
        <v>1734</v>
      </c>
      <c r="G347" s="1" t="s">
        <v>1735</v>
      </c>
      <c r="H347" s="1">
        <v>41.9</v>
      </c>
      <c r="I347" s="1">
        <v>0</v>
      </c>
      <c r="J347" s="1">
        <v>1</v>
      </c>
      <c r="K347" s="1"/>
      <c r="L347" s="1">
        <v>0</v>
      </c>
      <c r="M347" s="1" t="s">
        <v>1753</v>
      </c>
      <c r="N347" s="1" t="s">
        <v>1760</v>
      </c>
    </row>
    <row r="348" spans="1:14" x14ac:dyDescent="0.25">
      <c r="A348" s="1" t="s">
        <v>1887</v>
      </c>
      <c r="B348" s="1">
        <v>347</v>
      </c>
      <c r="C348" s="1" t="s">
        <v>73</v>
      </c>
      <c r="D348" s="1" t="s">
        <v>11092</v>
      </c>
      <c r="E348" s="1" t="s">
        <v>1730</v>
      </c>
      <c r="F348" s="1" t="s">
        <v>1734</v>
      </c>
      <c r="G348" s="1" t="s">
        <v>1735</v>
      </c>
      <c r="H348" s="1">
        <v>41.9</v>
      </c>
      <c r="I348" s="1">
        <v>0</v>
      </c>
      <c r="J348" s="1">
        <v>1</v>
      </c>
      <c r="K348" s="1"/>
      <c r="L348" s="1">
        <v>0</v>
      </c>
      <c r="M348" s="1" t="s">
        <v>1762</v>
      </c>
      <c r="N348" s="1" t="s">
        <v>1763</v>
      </c>
    </row>
    <row r="349" spans="1:14" x14ac:dyDescent="0.25">
      <c r="A349" s="1" t="s">
        <v>1893</v>
      </c>
      <c r="B349" s="1">
        <v>348</v>
      </c>
      <c r="C349" s="1" t="s">
        <v>73</v>
      </c>
      <c r="D349" s="1" t="s">
        <v>11092</v>
      </c>
      <c r="E349" s="1" t="s">
        <v>1730</v>
      </c>
      <c r="F349" s="1" t="s">
        <v>1734</v>
      </c>
      <c r="G349" s="1" t="s">
        <v>1735</v>
      </c>
      <c r="H349" s="1">
        <v>41.9</v>
      </c>
      <c r="I349" s="1">
        <v>0</v>
      </c>
      <c r="J349" s="1">
        <v>1</v>
      </c>
      <c r="K349" s="1"/>
      <c r="L349" s="1">
        <v>0</v>
      </c>
      <c r="M349" s="1" t="s">
        <v>1762</v>
      </c>
      <c r="N349" s="1" t="s">
        <v>1765</v>
      </c>
    </row>
    <row r="350" spans="1:14" x14ac:dyDescent="0.25">
      <c r="A350" s="1" t="s">
        <v>1895</v>
      </c>
      <c r="B350" s="1">
        <v>349</v>
      </c>
      <c r="C350" s="1" t="s">
        <v>73</v>
      </c>
      <c r="D350" s="1" t="s">
        <v>11092</v>
      </c>
      <c r="E350" s="1" t="s">
        <v>1730</v>
      </c>
      <c r="F350" s="1" t="s">
        <v>1734</v>
      </c>
      <c r="G350" s="1" t="s">
        <v>1735</v>
      </c>
      <c r="H350" s="1">
        <v>41.9</v>
      </c>
      <c r="I350" s="1">
        <v>0</v>
      </c>
      <c r="J350" s="1">
        <v>1</v>
      </c>
      <c r="K350" s="1"/>
      <c r="L350" s="1">
        <v>0</v>
      </c>
      <c r="M350" s="1" t="s">
        <v>1762</v>
      </c>
      <c r="N350" s="1" t="s">
        <v>1767</v>
      </c>
    </row>
    <row r="351" spans="1:14" s="16" customFormat="1" x14ac:dyDescent="0.25">
      <c r="A351" s="1" t="s">
        <v>1897</v>
      </c>
      <c r="B351" s="1">
        <v>350</v>
      </c>
      <c r="C351" s="1" t="s">
        <v>73</v>
      </c>
      <c r="D351" s="1" t="s">
        <v>11092</v>
      </c>
      <c r="E351" s="1" t="s">
        <v>1730</v>
      </c>
      <c r="F351" s="1" t="s">
        <v>1734</v>
      </c>
      <c r="G351" s="1" t="s">
        <v>1735</v>
      </c>
      <c r="H351" s="1">
        <v>41.9</v>
      </c>
      <c r="I351" s="1">
        <v>0</v>
      </c>
      <c r="J351" s="1">
        <v>1</v>
      </c>
      <c r="K351" s="1"/>
      <c r="L351" s="1">
        <v>0</v>
      </c>
      <c r="M351" s="1" t="s">
        <v>1762</v>
      </c>
      <c r="N351" s="1" t="s">
        <v>1769</v>
      </c>
    </row>
    <row r="352" spans="1:14" s="1" customFormat="1" x14ac:dyDescent="0.25">
      <c r="A352" s="1" t="s">
        <v>1898</v>
      </c>
      <c r="B352" s="1">
        <v>351</v>
      </c>
      <c r="C352" s="1" t="s">
        <v>73</v>
      </c>
      <c r="D352" s="1" t="s">
        <v>11092</v>
      </c>
      <c r="E352" s="1" t="s">
        <v>1730</v>
      </c>
      <c r="F352" s="1" t="s">
        <v>1734</v>
      </c>
      <c r="G352" s="1" t="s">
        <v>1735</v>
      </c>
      <c r="H352" s="1">
        <v>41.9</v>
      </c>
      <c r="I352" s="1">
        <v>0</v>
      </c>
      <c r="J352" s="1">
        <v>1</v>
      </c>
      <c r="L352" s="1">
        <v>0</v>
      </c>
      <c r="M352" s="1" t="s">
        <v>15167</v>
      </c>
      <c r="N352" s="1" t="s">
        <v>15167</v>
      </c>
    </row>
    <row r="353" spans="1:14" x14ac:dyDescent="0.25">
      <c r="A353" s="1" t="s">
        <v>1900</v>
      </c>
      <c r="B353" s="1">
        <v>352</v>
      </c>
      <c r="C353" s="1" t="s">
        <v>73</v>
      </c>
      <c r="D353" s="1" t="s">
        <v>11092</v>
      </c>
      <c r="E353" s="1" t="s">
        <v>1730</v>
      </c>
      <c r="F353" s="1" t="s">
        <v>603</v>
      </c>
      <c r="G353" s="1" t="s">
        <v>1771</v>
      </c>
      <c r="H353" s="1">
        <v>41.9</v>
      </c>
      <c r="I353" s="1">
        <v>0</v>
      </c>
      <c r="J353" s="1">
        <v>1</v>
      </c>
      <c r="K353" s="1"/>
      <c r="L353" s="1">
        <v>0</v>
      </c>
      <c r="M353" s="1" t="s">
        <v>1772</v>
      </c>
      <c r="N353" s="1" t="s">
        <v>1773</v>
      </c>
    </row>
    <row r="354" spans="1:14" x14ac:dyDescent="0.25">
      <c r="A354" s="1" t="s">
        <v>1902</v>
      </c>
      <c r="B354" s="1">
        <v>353</v>
      </c>
      <c r="C354" s="1" t="s">
        <v>73</v>
      </c>
      <c r="D354" s="1" t="s">
        <v>11092</v>
      </c>
      <c r="E354" s="1" t="s">
        <v>1730</v>
      </c>
      <c r="F354" s="1" t="s">
        <v>603</v>
      </c>
      <c r="G354" s="1" t="s">
        <v>1771</v>
      </c>
      <c r="H354" s="1">
        <v>41.9</v>
      </c>
      <c r="I354" s="1">
        <v>0</v>
      </c>
      <c r="J354" s="1">
        <v>1</v>
      </c>
      <c r="K354" s="1"/>
      <c r="L354" s="1">
        <v>0</v>
      </c>
      <c r="M354" s="1" t="s">
        <v>1772</v>
      </c>
      <c r="N354" s="1" t="s">
        <v>1775</v>
      </c>
    </row>
    <row r="355" spans="1:14" x14ac:dyDescent="0.25">
      <c r="A355" s="1" t="s">
        <v>1904</v>
      </c>
      <c r="B355" s="1">
        <v>354</v>
      </c>
      <c r="C355" s="1" t="s">
        <v>73</v>
      </c>
      <c r="D355" s="1" t="s">
        <v>11092</v>
      </c>
      <c r="E355" s="1" t="s">
        <v>1730</v>
      </c>
      <c r="F355" s="1" t="s">
        <v>603</v>
      </c>
      <c r="G355" s="1" t="s">
        <v>1771</v>
      </c>
      <c r="H355" s="1">
        <v>41.9</v>
      </c>
      <c r="I355" s="1">
        <v>0</v>
      </c>
      <c r="J355" s="1">
        <v>1</v>
      </c>
      <c r="K355" s="1"/>
      <c r="L355" s="1">
        <v>0</v>
      </c>
      <c r="M355" s="1" t="s">
        <v>1772</v>
      </c>
      <c r="N355" s="1" t="s">
        <v>1777</v>
      </c>
    </row>
    <row r="356" spans="1:14" x14ac:dyDescent="0.25">
      <c r="A356" s="1" t="s">
        <v>1906</v>
      </c>
      <c r="B356" s="1">
        <v>355</v>
      </c>
      <c r="C356" s="1" t="s">
        <v>73</v>
      </c>
      <c r="D356" s="1" t="s">
        <v>11092</v>
      </c>
      <c r="E356" s="1" t="s">
        <v>1730</v>
      </c>
      <c r="F356" s="1" t="s">
        <v>603</v>
      </c>
      <c r="G356" s="1" t="s">
        <v>1771</v>
      </c>
      <c r="H356" s="1">
        <v>41.9</v>
      </c>
      <c r="I356" s="1">
        <v>0</v>
      </c>
      <c r="J356" s="1">
        <v>1</v>
      </c>
      <c r="K356" s="1"/>
      <c r="L356" s="1">
        <v>0</v>
      </c>
      <c r="M356" s="1" t="s">
        <v>1772</v>
      </c>
      <c r="N356" s="1" t="s">
        <v>1779</v>
      </c>
    </row>
    <row r="357" spans="1:14" x14ac:dyDescent="0.25">
      <c r="A357" s="1" t="s">
        <v>1908</v>
      </c>
      <c r="B357" s="1">
        <v>356</v>
      </c>
      <c r="C357" s="1" t="s">
        <v>73</v>
      </c>
      <c r="D357" s="1" t="s">
        <v>11092</v>
      </c>
      <c r="E357" s="1" t="s">
        <v>1730</v>
      </c>
      <c r="F357" s="1" t="s">
        <v>603</v>
      </c>
      <c r="G357" s="1" t="s">
        <v>1771</v>
      </c>
      <c r="H357" s="1">
        <v>41.9</v>
      </c>
      <c r="I357" s="1">
        <v>0</v>
      </c>
      <c r="J357" s="1">
        <v>1</v>
      </c>
      <c r="K357" s="1"/>
      <c r="L357" s="1">
        <v>0</v>
      </c>
      <c r="M357" s="1" t="s">
        <v>1772</v>
      </c>
      <c r="N357" s="1" t="s">
        <v>1781</v>
      </c>
    </row>
    <row r="358" spans="1:14" x14ac:dyDescent="0.25">
      <c r="A358" s="1" t="s">
        <v>1910</v>
      </c>
      <c r="B358" s="1">
        <v>357</v>
      </c>
      <c r="C358" s="1" t="s">
        <v>73</v>
      </c>
      <c r="D358" s="1" t="s">
        <v>11092</v>
      </c>
      <c r="E358" s="1" t="s">
        <v>1730</v>
      </c>
      <c r="F358" s="1" t="s">
        <v>603</v>
      </c>
      <c r="G358" s="1" t="s">
        <v>1771</v>
      </c>
      <c r="H358" s="1">
        <v>41.9</v>
      </c>
      <c r="I358" s="1">
        <v>0</v>
      </c>
      <c r="J358" s="1">
        <v>1</v>
      </c>
      <c r="K358" s="1"/>
      <c r="L358" s="1">
        <v>0</v>
      </c>
      <c r="M358" s="1" t="s">
        <v>1783</v>
      </c>
      <c r="N358" s="1" t="s">
        <v>1784</v>
      </c>
    </row>
    <row r="359" spans="1:14" x14ac:dyDescent="0.25">
      <c r="A359" s="1" t="s">
        <v>1912</v>
      </c>
      <c r="B359" s="1">
        <v>358</v>
      </c>
      <c r="C359" s="1" t="s">
        <v>73</v>
      </c>
      <c r="D359" s="1" t="s">
        <v>11092</v>
      </c>
      <c r="E359" s="1" t="s">
        <v>1730</v>
      </c>
      <c r="F359" s="1" t="s">
        <v>603</v>
      </c>
      <c r="G359" s="1" t="s">
        <v>1771</v>
      </c>
      <c r="H359" s="1">
        <v>41.9</v>
      </c>
      <c r="I359" s="1">
        <v>0</v>
      </c>
      <c r="J359" s="1">
        <v>1</v>
      </c>
      <c r="K359" s="1"/>
      <c r="L359" s="1">
        <v>0</v>
      </c>
      <c r="M359" s="1" t="s">
        <v>1783</v>
      </c>
      <c r="N359" s="1" t="s">
        <v>1786</v>
      </c>
    </row>
    <row r="360" spans="1:14" x14ac:dyDescent="0.25">
      <c r="A360" s="1" t="s">
        <v>1914</v>
      </c>
      <c r="B360" s="1">
        <v>359</v>
      </c>
      <c r="C360" s="1" t="s">
        <v>73</v>
      </c>
      <c r="D360" s="1" t="s">
        <v>11092</v>
      </c>
      <c r="E360" s="1" t="s">
        <v>1730</v>
      </c>
      <c r="F360" s="1" t="s">
        <v>603</v>
      </c>
      <c r="G360" s="1" t="s">
        <v>1771</v>
      </c>
      <c r="H360" s="1">
        <v>41.9</v>
      </c>
      <c r="I360" s="1">
        <v>0</v>
      </c>
      <c r="J360" s="1">
        <v>1</v>
      </c>
      <c r="K360" s="1"/>
      <c r="L360" s="1">
        <v>0</v>
      </c>
      <c r="M360" s="1" t="s">
        <v>1783</v>
      </c>
      <c r="N360" s="1" t="s">
        <v>1788</v>
      </c>
    </row>
    <row r="361" spans="1:14" x14ac:dyDescent="0.25">
      <c r="A361" s="1" t="s">
        <v>5782</v>
      </c>
      <c r="B361" s="1">
        <v>360</v>
      </c>
      <c r="C361" s="1" t="s">
        <v>73</v>
      </c>
      <c r="D361" s="1" t="s">
        <v>11092</v>
      </c>
      <c r="E361" s="1" t="s">
        <v>1730</v>
      </c>
      <c r="F361" s="1" t="s">
        <v>603</v>
      </c>
      <c r="G361" s="1" t="s">
        <v>1771</v>
      </c>
      <c r="H361" s="1">
        <v>41.9</v>
      </c>
      <c r="I361" s="1">
        <v>0</v>
      </c>
      <c r="J361" s="1">
        <v>1</v>
      </c>
      <c r="K361" s="1"/>
      <c r="L361" s="1">
        <v>0</v>
      </c>
      <c r="M361" s="1" t="s">
        <v>1783</v>
      </c>
      <c r="N361" s="1" t="s">
        <v>1790</v>
      </c>
    </row>
    <row r="362" spans="1:14" x14ac:dyDescent="0.25">
      <c r="A362" s="1" t="s">
        <v>5783</v>
      </c>
      <c r="B362" s="1">
        <v>361</v>
      </c>
      <c r="C362" s="1" t="s">
        <v>73</v>
      </c>
      <c r="D362" s="1" t="s">
        <v>11092</v>
      </c>
      <c r="E362" s="1" t="s">
        <v>1730</v>
      </c>
      <c r="F362" s="1" t="s">
        <v>603</v>
      </c>
      <c r="G362" s="1" t="s">
        <v>1771</v>
      </c>
      <c r="H362" s="1">
        <v>41.9</v>
      </c>
      <c r="I362" s="1">
        <v>0</v>
      </c>
      <c r="J362" s="1">
        <v>1</v>
      </c>
      <c r="K362" s="1"/>
      <c r="L362" s="1">
        <v>0</v>
      </c>
      <c r="M362" s="1" t="s">
        <v>1783</v>
      </c>
      <c r="N362" s="1" t="s">
        <v>1792</v>
      </c>
    </row>
    <row r="363" spans="1:14" x14ac:dyDescent="0.25">
      <c r="A363" s="1" t="s">
        <v>5784</v>
      </c>
      <c r="B363" s="1">
        <v>362</v>
      </c>
      <c r="C363" s="1" t="s">
        <v>73</v>
      </c>
      <c r="D363" s="1" t="s">
        <v>11092</v>
      </c>
      <c r="E363" s="1" t="s">
        <v>1730</v>
      </c>
      <c r="F363" s="1" t="s">
        <v>603</v>
      </c>
      <c r="G363" s="1" t="s">
        <v>1771</v>
      </c>
      <c r="H363" s="1">
        <v>41.9</v>
      </c>
      <c r="I363" s="1">
        <v>0</v>
      </c>
      <c r="J363" s="1">
        <v>1</v>
      </c>
      <c r="K363" s="1"/>
      <c r="L363" s="1">
        <v>0</v>
      </c>
      <c r="M363" s="1" t="s">
        <v>1783</v>
      </c>
      <c r="N363" s="1" t="s">
        <v>1794</v>
      </c>
    </row>
    <row r="364" spans="1:14" x14ac:dyDescent="0.25">
      <c r="A364" s="1" t="s">
        <v>5785</v>
      </c>
      <c r="B364" s="1">
        <v>363</v>
      </c>
      <c r="C364" s="1" t="s">
        <v>73</v>
      </c>
      <c r="D364" s="1" t="s">
        <v>11092</v>
      </c>
      <c r="E364" s="1" t="s">
        <v>1730</v>
      </c>
      <c r="F364" s="1" t="s">
        <v>603</v>
      </c>
      <c r="G364" s="1" t="s">
        <v>1771</v>
      </c>
      <c r="H364" s="1">
        <v>41.9</v>
      </c>
      <c r="I364" s="1">
        <v>0</v>
      </c>
      <c r="J364" s="1">
        <v>1</v>
      </c>
      <c r="K364" s="1"/>
      <c r="L364" s="1">
        <v>0</v>
      </c>
      <c r="M364" s="1" t="s">
        <v>1783</v>
      </c>
      <c r="N364" s="1" t="s">
        <v>1796</v>
      </c>
    </row>
    <row r="365" spans="1:14" x14ac:dyDescent="0.25">
      <c r="A365" s="1" t="s">
        <v>1916</v>
      </c>
      <c r="B365" s="1">
        <v>364</v>
      </c>
      <c r="C365" s="1" t="s">
        <v>73</v>
      </c>
      <c r="D365" s="1" t="s">
        <v>11092</v>
      </c>
      <c r="E365" s="1" t="s">
        <v>1730</v>
      </c>
      <c r="F365" s="1" t="s">
        <v>603</v>
      </c>
      <c r="G365" s="1" t="s">
        <v>1771</v>
      </c>
      <c r="H365" s="1">
        <v>41.9</v>
      </c>
      <c r="I365" s="1">
        <v>0</v>
      </c>
      <c r="J365" s="1">
        <v>1</v>
      </c>
      <c r="K365" s="1"/>
      <c r="L365" s="1">
        <v>0</v>
      </c>
      <c r="M365" s="1" t="s">
        <v>1798</v>
      </c>
      <c r="N365" s="1" t="s">
        <v>1799</v>
      </c>
    </row>
    <row r="366" spans="1:14" x14ac:dyDescent="0.25">
      <c r="A366" s="1" t="s">
        <v>1918</v>
      </c>
      <c r="B366" s="1">
        <v>365</v>
      </c>
      <c r="C366" s="1" t="s">
        <v>73</v>
      </c>
      <c r="D366" s="1" t="s">
        <v>11092</v>
      </c>
      <c r="E366" s="1" t="s">
        <v>1730</v>
      </c>
      <c r="F366" s="1" t="s">
        <v>603</v>
      </c>
      <c r="G366" s="1" t="s">
        <v>1771</v>
      </c>
      <c r="H366" s="1">
        <v>41.9</v>
      </c>
      <c r="I366" s="1">
        <v>0</v>
      </c>
      <c r="J366" s="1">
        <v>1</v>
      </c>
      <c r="K366" s="1"/>
      <c r="L366" s="1">
        <v>0</v>
      </c>
      <c r="M366" s="1" t="s">
        <v>1798</v>
      </c>
      <c r="N366" s="1" t="s">
        <v>1801</v>
      </c>
    </row>
    <row r="367" spans="1:14" x14ac:dyDescent="0.25">
      <c r="A367" s="1" t="s">
        <v>1921</v>
      </c>
      <c r="B367" s="1">
        <v>366</v>
      </c>
      <c r="C367" s="1" t="s">
        <v>73</v>
      </c>
      <c r="D367" s="1" t="s">
        <v>11092</v>
      </c>
      <c r="E367" s="1" t="s">
        <v>1730</v>
      </c>
      <c r="F367" s="1" t="s">
        <v>603</v>
      </c>
      <c r="G367" s="1" t="s">
        <v>1771</v>
      </c>
      <c r="H367" s="1">
        <v>41.9</v>
      </c>
      <c r="I367" s="1">
        <v>0</v>
      </c>
      <c r="J367" s="1">
        <v>1</v>
      </c>
      <c r="K367" s="1"/>
      <c r="L367" s="1">
        <v>0</v>
      </c>
      <c r="M367" s="1" t="s">
        <v>1798</v>
      </c>
      <c r="N367" s="1" t="s">
        <v>1803</v>
      </c>
    </row>
    <row r="368" spans="1:14" x14ac:dyDescent="0.25">
      <c r="A368" s="1" t="s">
        <v>1923</v>
      </c>
      <c r="B368" s="1">
        <v>367</v>
      </c>
      <c r="C368" s="1" t="s">
        <v>73</v>
      </c>
      <c r="D368" s="1" t="s">
        <v>11092</v>
      </c>
      <c r="E368" s="1" t="s">
        <v>1730</v>
      </c>
      <c r="F368" s="1" t="s">
        <v>603</v>
      </c>
      <c r="G368" s="1" t="s">
        <v>1771</v>
      </c>
      <c r="H368" s="1">
        <v>41.9</v>
      </c>
      <c r="I368" s="1">
        <v>0</v>
      </c>
      <c r="J368" s="1">
        <v>1</v>
      </c>
      <c r="K368" s="1"/>
      <c r="L368" s="1">
        <v>0</v>
      </c>
      <c r="M368" s="1" t="s">
        <v>1798</v>
      </c>
      <c r="N368" s="1" t="s">
        <v>1805</v>
      </c>
    </row>
    <row r="369" spans="1:14" x14ac:dyDescent="0.25">
      <c r="A369" s="1" t="s">
        <v>1925</v>
      </c>
      <c r="B369" s="1">
        <v>368</v>
      </c>
      <c r="C369" s="1" t="s">
        <v>73</v>
      </c>
      <c r="D369" s="1" t="s">
        <v>11092</v>
      </c>
      <c r="E369" s="1" t="s">
        <v>1730</v>
      </c>
      <c r="F369" s="1" t="s">
        <v>603</v>
      </c>
      <c r="G369" s="1" t="s">
        <v>1771</v>
      </c>
      <c r="H369" s="1">
        <v>41.9</v>
      </c>
      <c r="I369" s="1">
        <v>0</v>
      </c>
      <c r="J369" s="1">
        <v>1</v>
      </c>
      <c r="K369" s="1"/>
      <c r="L369" s="1">
        <v>0</v>
      </c>
      <c r="M369" s="1" t="s">
        <v>1798</v>
      </c>
      <c r="N369" s="1" t="s">
        <v>1807</v>
      </c>
    </row>
    <row r="370" spans="1:14" x14ac:dyDescent="0.25">
      <c r="A370" s="1" t="s">
        <v>1927</v>
      </c>
      <c r="B370" s="1">
        <v>369</v>
      </c>
      <c r="C370" s="1" t="s">
        <v>73</v>
      </c>
      <c r="D370" s="1" t="s">
        <v>11092</v>
      </c>
      <c r="E370" s="1" t="s">
        <v>1730</v>
      </c>
      <c r="F370" s="1" t="s">
        <v>603</v>
      </c>
      <c r="G370" s="1" t="s">
        <v>1771</v>
      </c>
      <c r="H370" s="1">
        <v>41.9</v>
      </c>
      <c r="I370" s="1">
        <v>0</v>
      </c>
      <c r="J370" s="1">
        <v>1</v>
      </c>
      <c r="K370" s="1"/>
      <c r="L370" s="1">
        <v>0</v>
      </c>
      <c r="M370" s="1" t="s">
        <v>1798</v>
      </c>
      <c r="N370" s="1" t="s">
        <v>1809</v>
      </c>
    </row>
    <row r="371" spans="1:14" x14ac:dyDescent="0.25">
      <c r="A371" s="1" t="s">
        <v>1929</v>
      </c>
      <c r="B371" s="1">
        <v>370</v>
      </c>
      <c r="C371" s="1" t="s">
        <v>73</v>
      </c>
      <c r="D371" s="1" t="s">
        <v>11092</v>
      </c>
      <c r="E371" s="1" t="s">
        <v>1730</v>
      </c>
      <c r="F371" s="1" t="s">
        <v>603</v>
      </c>
      <c r="G371" s="1" t="s">
        <v>1771</v>
      </c>
      <c r="H371" s="1">
        <v>41.9</v>
      </c>
      <c r="I371" s="1">
        <v>0</v>
      </c>
      <c r="J371" s="1">
        <v>1</v>
      </c>
      <c r="K371" s="1"/>
      <c r="L371" s="1">
        <v>0</v>
      </c>
      <c r="M371" s="1" t="s">
        <v>1811</v>
      </c>
      <c r="N371" s="1" t="s">
        <v>1812</v>
      </c>
    </row>
    <row r="372" spans="1:14" x14ac:dyDescent="0.25">
      <c r="A372" s="1" t="s">
        <v>1933</v>
      </c>
      <c r="B372" s="1">
        <v>371</v>
      </c>
      <c r="C372" s="1" t="s">
        <v>73</v>
      </c>
      <c r="D372" s="1" t="s">
        <v>11092</v>
      </c>
      <c r="E372" s="1" t="s">
        <v>1730</v>
      </c>
      <c r="F372" s="1" t="s">
        <v>603</v>
      </c>
      <c r="G372" s="1" t="s">
        <v>1771</v>
      </c>
      <c r="H372" s="1">
        <v>41.9</v>
      </c>
      <c r="I372" s="1">
        <v>0</v>
      </c>
      <c r="J372" s="1">
        <v>1</v>
      </c>
      <c r="K372" s="1"/>
      <c r="L372" s="1">
        <v>0</v>
      </c>
      <c r="M372" s="1" t="s">
        <v>1811</v>
      </c>
      <c r="N372" s="1" t="s">
        <v>1814</v>
      </c>
    </row>
    <row r="373" spans="1:14" x14ac:dyDescent="0.25">
      <c r="A373" s="1" t="s">
        <v>1935</v>
      </c>
      <c r="B373" s="1">
        <v>372</v>
      </c>
      <c r="C373" s="1" t="s">
        <v>73</v>
      </c>
      <c r="D373" s="1" t="s">
        <v>11092</v>
      </c>
      <c r="E373" s="1" t="s">
        <v>1730</v>
      </c>
      <c r="F373" s="1" t="s">
        <v>603</v>
      </c>
      <c r="G373" s="1" t="s">
        <v>1771</v>
      </c>
      <c r="H373" s="1">
        <v>41.9</v>
      </c>
      <c r="I373" s="1">
        <v>0</v>
      </c>
      <c r="J373" s="1">
        <v>1</v>
      </c>
      <c r="K373" s="1"/>
      <c r="L373" s="1">
        <v>0</v>
      </c>
      <c r="M373" s="1" t="s">
        <v>1811</v>
      </c>
      <c r="N373" s="1" t="s">
        <v>1816</v>
      </c>
    </row>
    <row r="374" spans="1:14" s="16" customFormat="1" x14ac:dyDescent="0.25">
      <c r="A374" s="1" t="s">
        <v>1937</v>
      </c>
      <c r="B374" s="1">
        <v>373</v>
      </c>
      <c r="C374" s="1" t="s">
        <v>73</v>
      </c>
      <c r="D374" s="1" t="s">
        <v>11092</v>
      </c>
      <c r="E374" s="1" t="s">
        <v>1730</v>
      </c>
      <c r="F374" s="1" t="s">
        <v>603</v>
      </c>
      <c r="G374" s="1" t="s">
        <v>1771</v>
      </c>
      <c r="H374" s="1">
        <v>41.9</v>
      </c>
      <c r="I374" s="1">
        <v>0</v>
      </c>
      <c r="J374" s="1">
        <v>1</v>
      </c>
      <c r="K374" s="1"/>
      <c r="L374" s="1">
        <v>0</v>
      </c>
      <c r="M374" s="1" t="s">
        <v>1811</v>
      </c>
      <c r="N374" s="1" t="s">
        <v>1818</v>
      </c>
    </row>
    <row r="375" spans="1:14" s="1" customFormat="1" x14ac:dyDescent="0.25">
      <c r="A375" s="1" t="s">
        <v>1939</v>
      </c>
      <c r="B375" s="1">
        <v>374</v>
      </c>
      <c r="C375" s="1" t="s">
        <v>73</v>
      </c>
      <c r="D375" s="1" t="s">
        <v>11092</v>
      </c>
      <c r="E375" s="1" t="s">
        <v>1730</v>
      </c>
      <c r="F375" s="1" t="s">
        <v>603</v>
      </c>
      <c r="G375" s="1" t="s">
        <v>1771</v>
      </c>
      <c r="H375" s="1">
        <v>41.9</v>
      </c>
      <c r="I375" s="1">
        <v>0</v>
      </c>
      <c r="J375" s="1">
        <v>1</v>
      </c>
      <c r="L375" s="1">
        <v>0</v>
      </c>
      <c r="M375" s="1" t="s">
        <v>15170</v>
      </c>
      <c r="N375" s="1" t="s">
        <v>15170</v>
      </c>
    </row>
    <row r="376" spans="1:14" x14ac:dyDescent="0.25">
      <c r="A376" s="1" t="s">
        <v>1942</v>
      </c>
      <c r="B376" s="1">
        <v>375</v>
      </c>
      <c r="C376" s="1" t="s">
        <v>73</v>
      </c>
      <c r="D376" s="1" t="s">
        <v>11092</v>
      </c>
      <c r="E376" s="1" t="s">
        <v>1730</v>
      </c>
      <c r="F376" s="1" t="s">
        <v>637</v>
      </c>
      <c r="G376" s="1" t="s">
        <v>1820</v>
      </c>
      <c r="H376" s="1">
        <v>41.9</v>
      </c>
      <c r="I376" s="1">
        <v>0</v>
      </c>
      <c r="J376" s="1">
        <v>1</v>
      </c>
      <c r="K376" s="1"/>
      <c r="L376" s="1">
        <v>0</v>
      </c>
      <c r="M376" s="1" t="s">
        <v>1821</v>
      </c>
      <c r="N376" s="1" t="s">
        <v>1822</v>
      </c>
    </row>
    <row r="377" spans="1:14" x14ac:dyDescent="0.25">
      <c r="A377" s="1" t="s">
        <v>1944</v>
      </c>
      <c r="B377" s="1">
        <v>376</v>
      </c>
      <c r="C377" s="1" t="s">
        <v>73</v>
      </c>
      <c r="D377" s="1" t="s">
        <v>11092</v>
      </c>
      <c r="E377" s="1" t="s">
        <v>1730</v>
      </c>
      <c r="F377" s="1" t="s">
        <v>637</v>
      </c>
      <c r="G377" s="1" t="s">
        <v>1820</v>
      </c>
      <c r="H377" s="1">
        <v>41.9</v>
      </c>
      <c r="I377" s="1">
        <v>0</v>
      </c>
      <c r="J377" s="1">
        <v>1</v>
      </c>
      <c r="K377" s="1"/>
      <c r="L377" s="1">
        <v>0</v>
      </c>
      <c r="M377" s="1" t="s">
        <v>1821</v>
      </c>
      <c r="N377" s="1" t="s">
        <v>1824</v>
      </c>
    </row>
    <row r="378" spans="1:14" x14ac:dyDescent="0.25">
      <c r="A378" s="1" t="s">
        <v>1946</v>
      </c>
      <c r="B378" s="1">
        <v>377</v>
      </c>
      <c r="C378" s="1" t="s">
        <v>73</v>
      </c>
      <c r="D378" s="1" t="s">
        <v>11092</v>
      </c>
      <c r="E378" s="1" t="s">
        <v>1730</v>
      </c>
      <c r="F378" s="1" t="s">
        <v>637</v>
      </c>
      <c r="G378" s="1" t="s">
        <v>1820</v>
      </c>
      <c r="H378" s="1">
        <v>41.9</v>
      </c>
      <c r="I378" s="1">
        <v>0</v>
      </c>
      <c r="J378" s="1">
        <v>1</v>
      </c>
      <c r="K378" s="1"/>
      <c r="L378" s="1">
        <v>0</v>
      </c>
      <c r="M378" s="1" t="s">
        <v>1821</v>
      </c>
      <c r="N378" s="1" t="s">
        <v>1826</v>
      </c>
    </row>
    <row r="379" spans="1:14" x14ac:dyDescent="0.25">
      <c r="A379" s="1" t="s">
        <v>1947</v>
      </c>
      <c r="B379" s="1">
        <v>378</v>
      </c>
      <c r="C379" s="1" t="s">
        <v>73</v>
      </c>
      <c r="D379" s="1" t="s">
        <v>11092</v>
      </c>
      <c r="E379" s="1" t="s">
        <v>1730</v>
      </c>
      <c r="F379" s="1" t="s">
        <v>637</v>
      </c>
      <c r="G379" s="1" t="s">
        <v>1820</v>
      </c>
      <c r="H379" s="1">
        <v>41.9</v>
      </c>
      <c r="I379" s="1">
        <v>0</v>
      </c>
      <c r="J379" s="1">
        <v>1</v>
      </c>
      <c r="K379" s="1"/>
      <c r="L379" s="1">
        <v>0</v>
      </c>
      <c r="M379" s="1" t="s">
        <v>1821</v>
      </c>
      <c r="N379" s="1" t="s">
        <v>1828</v>
      </c>
    </row>
    <row r="380" spans="1:14" x14ac:dyDescent="0.25">
      <c r="A380" s="1" t="s">
        <v>1949</v>
      </c>
      <c r="B380" s="1">
        <v>379</v>
      </c>
      <c r="C380" s="1" t="s">
        <v>73</v>
      </c>
      <c r="D380" s="1" t="s">
        <v>11092</v>
      </c>
      <c r="E380" s="1" t="s">
        <v>1730</v>
      </c>
      <c r="F380" s="1" t="s">
        <v>637</v>
      </c>
      <c r="G380" s="1" t="s">
        <v>1820</v>
      </c>
      <c r="H380" s="1">
        <v>41.9</v>
      </c>
      <c r="I380" s="1">
        <v>0</v>
      </c>
      <c r="J380" s="1">
        <v>1</v>
      </c>
      <c r="K380" s="1"/>
      <c r="L380" s="1">
        <v>0</v>
      </c>
      <c r="M380" s="1" t="s">
        <v>1821</v>
      </c>
      <c r="N380" s="1" t="s">
        <v>1830</v>
      </c>
    </row>
    <row r="381" spans="1:14" x14ac:dyDescent="0.25">
      <c r="A381" s="1" t="s">
        <v>1950</v>
      </c>
      <c r="B381" s="1">
        <v>380</v>
      </c>
      <c r="C381" s="1" t="s">
        <v>73</v>
      </c>
      <c r="D381" s="1" t="s">
        <v>11092</v>
      </c>
      <c r="E381" s="1" t="s">
        <v>1730</v>
      </c>
      <c r="F381" s="1" t="s">
        <v>637</v>
      </c>
      <c r="G381" s="1" t="s">
        <v>1820</v>
      </c>
      <c r="H381" s="1">
        <v>41.9</v>
      </c>
      <c r="I381" s="1">
        <v>0</v>
      </c>
      <c r="J381" s="1">
        <v>1</v>
      </c>
      <c r="K381" s="1"/>
      <c r="L381" s="1">
        <v>0</v>
      </c>
      <c r="M381" s="1" t="s">
        <v>1821</v>
      </c>
      <c r="N381" s="1" t="s">
        <v>1832</v>
      </c>
    </row>
    <row r="382" spans="1:14" x14ac:dyDescent="0.25">
      <c r="A382" s="1" t="s">
        <v>1952</v>
      </c>
      <c r="B382" s="1">
        <v>381</v>
      </c>
      <c r="C382" s="1" t="s">
        <v>73</v>
      </c>
      <c r="D382" s="1" t="s">
        <v>11092</v>
      </c>
      <c r="E382" s="1" t="s">
        <v>1730</v>
      </c>
      <c r="F382" s="1" t="s">
        <v>637</v>
      </c>
      <c r="G382" s="1" t="s">
        <v>1820</v>
      </c>
      <c r="H382" s="1">
        <v>41.9</v>
      </c>
      <c r="I382" s="1">
        <v>0</v>
      </c>
      <c r="J382" s="1">
        <v>1</v>
      </c>
      <c r="K382" s="1"/>
      <c r="L382" s="1">
        <v>0</v>
      </c>
      <c r="M382" s="1" t="s">
        <v>1821</v>
      </c>
      <c r="N382" s="1" t="s">
        <v>1834</v>
      </c>
    </row>
    <row r="383" spans="1:14" x14ac:dyDescent="0.25">
      <c r="A383" s="1" t="s">
        <v>1954</v>
      </c>
      <c r="B383" s="1">
        <v>382</v>
      </c>
      <c r="C383" s="1" t="s">
        <v>73</v>
      </c>
      <c r="D383" s="1" t="s">
        <v>11092</v>
      </c>
      <c r="E383" s="1" t="s">
        <v>1730</v>
      </c>
      <c r="F383" s="1" t="s">
        <v>637</v>
      </c>
      <c r="G383" s="1" t="s">
        <v>1820</v>
      </c>
      <c r="H383" s="1">
        <v>41.9</v>
      </c>
      <c r="I383" s="1">
        <v>0</v>
      </c>
      <c r="J383" s="1">
        <v>1</v>
      </c>
      <c r="K383" s="1"/>
      <c r="L383" s="1">
        <v>0</v>
      </c>
      <c r="M383" s="1" t="s">
        <v>1821</v>
      </c>
      <c r="N383" s="1" t="s">
        <v>1836</v>
      </c>
    </row>
    <row r="384" spans="1:14" x14ac:dyDescent="0.25">
      <c r="A384" s="1" t="s">
        <v>1957</v>
      </c>
      <c r="B384" s="1">
        <v>383</v>
      </c>
      <c r="C384" s="1" t="s">
        <v>73</v>
      </c>
      <c r="D384" s="1" t="s">
        <v>11092</v>
      </c>
      <c r="E384" s="1" t="s">
        <v>1730</v>
      </c>
      <c r="F384" s="1" t="s">
        <v>637</v>
      </c>
      <c r="G384" s="1" t="s">
        <v>1820</v>
      </c>
      <c r="H384" s="1">
        <v>41.9</v>
      </c>
      <c r="I384" s="1">
        <v>0</v>
      </c>
      <c r="J384" s="1">
        <v>1</v>
      </c>
      <c r="K384" s="1"/>
      <c r="L384" s="1">
        <v>0</v>
      </c>
      <c r="M384" s="1" t="s">
        <v>1821</v>
      </c>
      <c r="N384" s="1" t="s">
        <v>1838</v>
      </c>
    </row>
    <row r="385" spans="1:14" x14ac:dyDescent="0.25">
      <c r="A385" s="1" t="s">
        <v>1959</v>
      </c>
      <c r="B385" s="1">
        <v>384</v>
      </c>
      <c r="C385" s="1" t="s">
        <v>73</v>
      </c>
      <c r="D385" s="1" t="s">
        <v>11092</v>
      </c>
      <c r="E385" s="1" t="s">
        <v>1730</v>
      </c>
      <c r="F385" s="1" t="s">
        <v>637</v>
      </c>
      <c r="G385" s="1" t="s">
        <v>1820</v>
      </c>
      <c r="H385" s="1">
        <v>41.9</v>
      </c>
      <c r="I385" s="1">
        <v>0</v>
      </c>
      <c r="J385" s="1">
        <v>1</v>
      </c>
      <c r="K385" s="1"/>
      <c r="L385" s="1">
        <v>0</v>
      </c>
      <c r="M385" s="1" t="s">
        <v>1821</v>
      </c>
      <c r="N385" s="1" t="s">
        <v>1840</v>
      </c>
    </row>
    <row r="386" spans="1:14" x14ac:dyDescent="0.25">
      <c r="A386" s="1" t="s">
        <v>1961</v>
      </c>
      <c r="B386" s="1">
        <v>385</v>
      </c>
      <c r="C386" s="1" t="s">
        <v>73</v>
      </c>
      <c r="D386" s="1" t="s">
        <v>11092</v>
      </c>
      <c r="E386" s="1" t="s">
        <v>1730</v>
      </c>
      <c r="F386" s="1" t="s">
        <v>637</v>
      </c>
      <c r="G386" s="1" t="s">
        <v>1820</v>
      </c>
      <c r="H386" s="1">
        <v>41.9</v>
      </c>
      <c r="I386" s="1">
        <v>0</v>
      </c>
      <c r="J386" s="1">
        <v>1</v>
      </c>
      <c r="K386" s="1"/>
      <c r="L386" s="1">
        <v>0</v>
      </c>
      <c r="M386" s="1" t="s">
        <v>1842</v>
      </c>
      <c r="N386" s="1" t="s">
        <v>1843</v>
      </c>
    </row>
    <row r="387" spans="1:14" x14ac:dyDescent="0.25">
      <c r="A387" s="1" t="s">
        <v>1963</v>
      </c>
      <c r="B387" s="1">
        <v>386</v>
      </c>
      <c r="C387" s="1" t="s">
        <v>73</v>
      </c>
      <c r="D387" s="1" t="s">
        <v>11092</v>
      </c>
      <c r="E387" s="1" t="s">
        <v>1730</v>
      </c>
      <c r="F387" s="1" t="s">
        <v>637</v>
      </c>
      <c r="G387" s="1" t="s">
        <v>1820</v>
      </c>
      <c r="H387" s="1">
        <v>41.9</v>
      </c>
      <c r="I387" s="1">
        <v>0</v>
      </c>
      <c r="J387" s="1">
        <v>1</v>
      </c>
      <c r="K387" s="1"/>
      <c r="L387" s="1">
        <v>0</v>
      </c>
      <c r="M387" s="1" t="s">
        <v>1842</v>
      </c>
      <c r="N387" s="1" t="s">
        <v>1845</v>
      </c>
    </row>
    <row r="388" spans="1:14" x14ac:dyDescent="0.25">
      <c r="A388" s="1" t="s">
        <v>1965</v>
      </c>
      <c r="B388" s="1">
        <v>387</v>
      </c>
      <c r="C388" s="1" t="s">
        <v>73</v>
      </c>
      <c r="D388" s="1" t="s">
        <v>11092</v>
      </c>
      <c r="E388" s="1" t="s">
        <v>1730</v>
      </c>
      <c r="F388" s="1" t="s">
        <v>637</v>
      </c>
      <c r="G388" s="1" t="s">
        <v>1820</v>
      </c>
      <c r="H388" s="1">
        <v>41.9</v>
      </c>
      <c r="I388" s="1">
        <v>0</v>
      </c>
      <c r="J388" s="1">
        <v>1</v>
      </c>
      <c r="K388" s="1"/>
      <c r="L388" s="1">
        <v>0</v>
      </c>
      <c r="M388" s="1" t="s">
        <v>1842</v>
      </c>
      <c r="N388" s="1" t="s">
        <v>1847</v>
      </c>
    </row>
    <row r="389" spans="1:14" x14ac:dyDescent="0.25">
      <c r="A389" s="1" t="s">
        <v>1967</v>
      </c>
      <c r="B389" s="1">
        <v>388</v>
      </c>
      <c r="C389" s="1" t="s">
        <v>73</v>
      </c>
      <c r="D389" s="1" t="s">
        <v>11092</v>
      </c>
      <c r="E389" s="1" t="s">
        <v>1730</v>
      </c>
      <c r="F389" s="1" t="s">
        <v>637</v>
      </c>
      <c r="G389" s="1" t="s">
        <v>1820</v>
      </c>
      <c r="H389" s="1">
        <v>41.9</v>
      </c>
      <c r="I389" s="1">
        <v>0</v>
      </c>
      <c r="J389" s="1">
        <v>1</v>
      </c>
      <c r="K389" s="1"/>
      <c r="L389" s="1">
        <v>0</v>
      </c>
      <c r="M389" s="1" t="s">
        <v>1842</v>
      </c>
      <c r="N389" s="1" t="s">
        <v>1849</v>
      </c>
    </row>
    <row r="390" spans="1:14" x14ac:dyDescent="0.25">
      <c r="A390" s="1" t="s">
        <v>1969</v>
      </c>
      <c r="B390" s="1">
        <v>389</v>
      </c>
      <c r="C390" s="1" t="s">
        <v>73</v>
      </c>
      <c r="D390" s="1" t="s">
        <v>11092</v>
      </c>
      <c r="E390" s="1" t="s">
        <v>1730</v>
      </c>
      <c r="F390" s="1" t="s">
        <v>637</v>
      </c>
      <c r="G390" s="1" t="s">
        <v>1820</v>
      </c>
      <c r="H390" s="1">
        <v>41.9</v>
      </c>
      <c r="I390" s="1">
        <v>0</v>
      </c>
      <c r="J390" s="1">
        <v>1</v>
      </c>
      <c r="K390" s="1"/>
      <c r="L390" s="1">
        <v>0</v>
      </c>
      <c r="M390" s="1" t="s">
        <v>1842</v>
      </c>
      <c r="N390" s="1" t="s">
        <v>1851</v>
      </c>
    </row>
    <row r="391" spans="1:14" x14ac:dyDescent="0.25">
      <c r="A391" s="1" t="s">
        <v>1971</v>
      </c>
      <c r="B391" s="1">
        <v>390</v>
      </c>
      <c r="C391" s="1" t="s">
        <v>73</v>
      </c>
      <c r="D391" s="1" t="s">
        <v>11092</v>
      </c>
      <c r="E391" s="1" t="s">
        <v>1730</v>
      </c>
      <c r="F391" s="1" t="s">
        <v>637</v>
      </c>
      <c r="G391" s="1" t="s">
        <v>1820</v>
      </c>
      <c r="H391" s="1">
        <v>41.9</v>
      </c>
      <c r="I391" s="1">
        <v>0</v>
      </c>
      <c r="J391" s="1">
        <v>1</v>
      </c>
      <c r="K391" s="1"/>
      <c r="L391" s="1">
        <v>0</v>
      </c>
      <c r="M391" s="1" t="s">
        <v>1842</v>
      </c>
      <c r="N391" s="1" t="s">
        <v>1853</v>
      </c>
    </row>
    <row r="392" spans="1:14" x14ac:dyDescent="0.25">
      <c r="A392" s="1" t="s">
        <v>1976</v>
      </c>
      <c r="B392" s="1">
        <v>391</v>
      </c>
      <c r="C392" s="1" t="s">
        <v>73</v>
      </c>
      <c r="D392" s="1" t="s">
        <v>11092</v>
      </c>
      <c r="E392" s="1" t="s">
        <v>1730</v>
      </c>
      <c r="F392" s="1" t="s">
        <v>637</v>
      </c>
      <c r="G392" s="1" t="s">
        <v>1820</v>
      </c>
      <c r="H392" s="1">
        <v>41.9</v>
      </c>
      <c r="I392" s="1">
        <v>0</v>
      </c>
      <c r="J392" s="1">
        <v>1</v>
      </c>
      <c r="K392" s="1"/>
      <c r="L392" s="1">
        <v>0</v>
      </c>
      <c r="M392" s="1" t="s">
        <v>1855</v>
      </c>
      <c r="N392" s="1" t="s">
        <v>1856</v>
      </c>
    </row>
    <row r="393" spans="1:14" x14ac:dyDescent="0.25">
      <c r="A393" s="1" t="s">
        <v>1978</v>
      </c>
      <c r="B393" s="1">
        <v>392</v>
      </c>
      <c r="C393" s="1" t="s">
        <v>73</v>
      </c>
      <c r="D393" s="1" t="s">
        <v>11092</v>
      </c>
      <c r="E393" s="1" t="s">
        <v>1730</v>
      </c>
      <c r="F393" s="1" t="s">
        <v>637</v>
      </c>
      <c r="G393" s="1" t="s">
        <v>1820</v>
      </c>
      <c r="H393" s="1">
        <v>41.9</v>
      </c>
      <c r="I393" s="1">
        <v>0</v>
      </c>
      <c r="J393" s="1">
        <v>1</v>
      </c>
      <c r="K393" s="1"/>
      <c r="L393" s="1">
        <v>0</v>
      </c>
      <c r="M393" s="1" t="s">
        <v>1855</v>
      </c>
      <c r="N393" s="1" t="s">
        <v>1858</v>
      </c>
    </row>
    <row r="394" spans="1:14" x14ac:dyDescent="0.25">
      <c r="A394" s="1" t="s">
        <v>1980</v>
      </c>
      <c r="B394" s="1">
        <v>393</v>
      </c>
      <c r="C394" s="1" t="s">
        <v>73</v>
      </c>
      <c r="D394" s="1" t="s">
        <v>11092</v>
      </c>
      <c r="E394" s="1" t="s">
        <v>1730</v>
      </c>
      <c r="F394" s="1" t="s">
        <v>637</v>
      </c>
      <c r="G394" s="1" t="s">
        <v>1820</v>
      </c>
      <c r="H394" s="1">
        <v>41.9</v>
      </c>
      <c r="I394" s="1">
        <v>0</v>
      </c>
      <c r="J394" s="1">
        <v>1</v>
      </c>
      <c r="K394" s="1"/>
      <c r="L394" s="1">
        <v>0</v>
      </c>
      <c r="M394" s="1" t="s">
        <v>1855</v>
      </c>
      <c r="N394" s="1" t="s">
        <v>1860</v>
      </c>
    </row>
    <row r="395" spans="1:14" x14ac:dyDescent="0.25">
      <c r="A395" s="1" t="s">
        <v>1982</v>
      </c>
      <c r="B395" s="1">
        <v>394</v>
      </c>
      <c r="C395" s="1" t="s">
        <v>73</v>
      </c>
      <c r="D395" s="1" t="s">
        <v>11092</v>
      </c>
      <c r="E395" s="1" t="s">
        <v>1730</v>
      </c>
      <c r="F395" s="1" t="s">
        <v>637</v>
      </c>
      <c r="G395" s="1" t="s">
        <v>1820</v>
      </c>
      <c r="H395" s="1">
        <v>41.9</v>
      </c>
      <c r="I395" s="1">
        <v>0</v>
      </c>
      <c r="J395" s="1">
        <v>1</v>
      </c>
      <c r="K395" s="1"/>
      <c r="L395" s="1">
        <v>0</v>
      </c>
      <c r="M395" s="1" t="s">
        <v>1862</v>
      </c>
      <c r="N395" s="1" t="s">
        <v>1862</v>
      </c>
    </row>
    <row r="396" spans="1:14" x14ac:dyDescent="0.25">
      <c r="A396" s="1" t="s">
        <v>1985</v>
      </c>
      <c r="B396" s="1">
        <v>395</v>
      </c>
      <c r="C396" s="1" t="s">
        <v>73</v>
      </c>
      <c r="D396" s="1" t="s">
        <v>11092</v>
      </c>
      <c r="E396" s="1" t="s">
        <v>1730</v>
      </c>
      <c r="F396" s="1" t="s">
        <v>637</v>
      </c>
      <c r="G396" s="1" t="s">
        <v>1820</v>
      </c>
      <c r="H396" s="1">
        <v>41.9</v>
      </c>
      <c r="I396" s="1">
        <v>0</v>
      </c>
      <c r="J396" s="1">
        <v>1</v>
      </c>
      <c r="K396" s="1"/>
      <c r="L396" s="1">
        <v>0</v>
      </c>
      <c r="M396" s="1" t="s">
        <v>1864</v>
      </c>
      <c r="N396" s="1" t="s">
        <v>1865</v>
      </c>
    </row>
    <row r="397" spans="1:14" x14ac:dyDescent="0.25">
      <c r="A397" s="1" t="s">
        <v>1988</v>
      </c>
      <c r="B397" s="1">
        <v>396</v>
      </c>
      <c r="C397" s="1" t="s">
        <v>73</v>
      </c>
      <c r="D397" s="1" t="s">
        <v>11092</v>
      </c>
      <c r="E397" s="1" t="s">
        <v>1730</v>
      </c>
      <c r="F397" s="1" t="s">
        <v>637</v>
      </c>
      <c r="G397" s="1" t="s">
        <v>1820</v>
      </c>
      <c r="H397" s="1">
        <v>41.9</v>
      </c>
      <c r="I397" s="1">
        <v>0</v>
      </c>
      <c r="J397" s="1">
        <v>1</v>
      </c>
      <c r="K397" s="1"/>
      <c r="L397" s="1">
        <v>0</v>
      </c>
      <c r="M397" s="1" t="s">
        <v>1864</v>
      </c>
      <c r="N397" s="1" t="s">
        <v>1867</v>
      </c>
    </row>
    <row r="398" spans="1:14" x14ac:dyDescent="0.25">
      <c r="A398" s="1" t="s">
        <v>1990</v>
      </c>
      <c r="B398" s="1">
        <v>397</v>
      </c>
      <c r="C398" s="1" t="s">
        <v>73</v>
      </c>
      <c r="D398" s="1" t="s">
        <v>11092</v>
      </c>
      <c r="E398" s="1" t="s">
        <v>1730</v>
      </c>
      <c r="F398" s="1" t="s">
        <v>637</v>
      </c>
      <c r="G398" s="1" t="s">
        <v>1820</v>
      </c>
      <c r="H398" s="1">
        <v>41.9</v>
      </c>
      <c r="I398" s="1">
        <v>0</v>
      </c>
      <c r="J398" s="1">
        <v>1</v>
      </c>
      <c r="K398" s="1"/>
      <c r="L398" s="1">
        <v>0</v>
      </c>
      <c r="M398" s="1" t="s">
        <v>1864</v>
      </c>
      <c r="N398" s="1" t="s">
        <v>1869</v>
      </c>
    </row>
    <row r="399" spans="1:14" x14ac:dyDescent="0.25">
      <c r="A399" s="1" t="s">
        <v>1992</v>
      </c>
      <c r="B399" s="1">
        <v>398</v>
      </c>
      <c r="C399" s="1" t="s">
        <v>73</v>
      </c>
      <c r="D399" s="1" t="s">
        <v>11092</v>
      </c>
      <c r="E399" s="1" t="s">
        <v>1730</v>
      </c>
      <c r="F399" s="1" t="s">
        <v>637</v>
      </c>
      <c r="G399" s="1" t="s">
        <v>1820</v>
      </c>
      <c r="H399" s="1">
        <v>41.9</v>
      </c>
      <c r="I399" s="1">
        <v>0</v>
      </c>
      <c r="J399" s="1">
        <v>1</v>
      </c>
      <c r="K399" s="1"/>
      <c r="L399" s="1">
        <v>0</v>
      </c>
      <c r="M399" s="1" t="s">
        <v>1864</v>
      </c>
      <c r="N399" s="1" t="s">
        <v>1871</v>
      </c>
    </row>
    <row r="400" spans="1:14" x14ac:dyDescent="0.25">
      <c r="A400" s="1" t="s">
        <v>1994</v>
      </c>
      <c r="B400" s="1">
        <v>399</v>
      </c>
      <c r="C400" s="1" t="s">
        <v>73</v>
      </c>
      <c r="D400" s="1" t="s">
        <v>11092</v>
      </c>
      <c r="E400" s="1" t="s">
        <v>1730</v>
      </c>
      <c r="F400" s="1" t="s">
        <v>637</v>
      </c>
      <c r="G400" s="1" t="s">
        <v>1820</v>
      </c>
      <c r="H400" s="1">
        <v>41.9</v>
      </c>
      <c r="I400" s="1">
        <v>0</v>
      </c>
      <c r="J400" s="1">
        <v>1</v>
      </c>
      <c r="K400" s="1"/>
      <c r="L400" s="1">
        <v>0</v>
      </c>
      <c r="M400" s="1" t="s">
        <v>1864</v>
      </c>
      <c r="N400" s="1" t="s">
        <v>1873</v>
      </c>
    </row>
    <row r="401" spans="1:14" x14ac:dyDescent="0.25">
      <c r="A401" s="1" t="s">
        <v>1996</v>
      </c>
      <c r="B401" s="1">
        <v>400</v>
      </c>
      <c r="C401" s="1" t="s">
        <v>73</v>
      </c>
      <c r="D401" s="1" t="s">
        <v>11092</v>
      </c>
      <c r="E401" s="1" t="s">
        <v>1730</v>
      </c>
      <c r="F401" s="1" t="s">
        <v>637</v>
      </c>
      <c r="G401" s="1" t="s">
        <v>1820</v>
      </c>
      <c r="H401" s="1">
        <v>41.9</v>
      </c>
      <c r="I401" s="1">
        <v>0</v>
      </c>
      <c r="J401" s="1">
        <v>1</v>
      </c>
      <c r="K401" s="1"/>
      <c r="L401" s="1">
        <v>0</v>
      </c>
      <c r="M401" s="1" t="s">
        <v>1864</v>
      </c>
      <c r="N401" s="1" t="s">
        <v>1875</v>
      </c>
    </row>
    <row r="402" spans="1:14" x14ac:dyDescent="0.25">
      <c r="A402" s="1" t="s">
        <v>1999</v>
      </c>
      <c r="B402" s="1">
        <v>401</v>
      </c>
      <c r="C402" s="1" t="s">
        <v>73</v>
      </c>
      <c r="D402" s="1" t="s">
        <v>11092</v>
      </c>
      <c r="E402" s="1" t="s">
        <v>1730</v>
      </c>
      <c r="F402" s="1" t="s">
        <v>637</v>
      </c>
      <c r="G402" s="1" t="s">
        <v>1820</v>
      </c>
      <c r="H402" s="1">
        <v>41.9</v>
      </c>
      <c r="I402" s="1">
        <v>0</v>
      </c>
      <c r="J402" s="1">
        <v>1</v>
      </c>
      <c r="K402" s="1"/>
      <c r="L402" s="1">
        <v>0</v>
      </c>
      <c r="M402" s="1" t="s">
        <v>1864</v>
      </c>
      <c r="N402" s="1" t="s">
        <v>1877</v>
      </c>
    </row>
    <row r="403" spans="1:14" x14ac:dyDescent="0.25">
      <c r="A403" s="1" t="s">
        <v>2001</v>
      </c>
      <c r="B403" s="1">
        <v>402</v>
      </c>
      <c r="C403" s="1" t="s">
        <v>73</v>
      </c>
      <c r="D403" s="1" t="s">
        <v>11091</v>
      </c>
      <c r="E403" s="1" t="s">
        <v>1888</v>
      </c>
      <c r="F403" s="1" t="s">
        <v>1889</v>
      </c>
      <c r="G403" s="1" t="s">
        <v>1890</v>
      </c>
      <c r="H403" s="1">
        <v>41.9</v>
      </c>
      <c r="I403" s="1">
        <v>0</v>
      </c>
      <c r="J403" s="1">
        <v>1</v>
      </c>
      <c r="K403" s="1"/>
      <c r="L403" s="1">
        <v>0</v>
      </c>
      <c r="M403" s="1" t="s">
        <v>1891</v>
      </c>
      <c r="N403" s="1" t="s">
        <v>1892</v>
      </c>
    </row>
    <row r="404" spans="1:14" x14ac:dyDescent="0.25">
      <c r="A404" s="1" t="s">
        <v>2003</v>
      </c>
      <c r="B404" s="1">
        <v>403</v>
      </c>
      <c r="C404" s="1" t="s">
        <v>73</v>
      </c>
      <c r="D404" s="1" t="s">
        <v>11091</v>
      </c>
      <c r="E404" s="1" t="s">
        <v>1888</v>
      </c>
      <c r="F404" s="1" t="s">
        <v>1889</v>
      </c>
      <c r="G404" s="1" t="s">
        <v>1890</v>
      </c>
      <c r="H404" s="1">
        <v>41.9</v>
      </c>
      <c r="I404" s="1">
        <v>0</v>
      </c>
      <c r="J404" s="1">
        <v>1</v>
      </c>
      <c r="K404" s="1"/>
      <c r="L404" s="1">
        <v>0</v>
      </c>
      <c r="M404" s="1" t="s">
        <v>1891</v>
      </c>
      <c r="N404" s="1" t="s">
        <v>1894</v>
      </c>
    </row>
    <row r="405" spans="1:14" x14ac:dyDescent="0.25">
      <c r="A405" s="1" t="s">
        <v>2006</v>
      </c>
      <c r="B405" s="1">
        <v>404</v>
      </c>
      <c r="C405" s="1" t="s">
        <v>73</v>
      </c>
      <c r="D405" s="1" t="s">
        <v>11091</v>
      </c>
      <c r="E405" s="1" t="s">
        <v>1888</v>
      </c>
      <c r="F405" s="1" t="s">
        <v>1889</v>
      </c>
      <c r="G405" s="1" t="s">
        <v>1890</v>
      </c>
      <c r="H405" s="1">
        <v>41.9</v>
      </c>
      <c r="I405" s="1">
        <v>0</v>
      </c>
      <c r="J405" s="1">
        <v>1</v>
      </c>
      <c r="K405" s="1"/>
      <c r="L405" s="1">
        <v>0</v>
      </c>
      <c r="M405" s="1" t="s">
        <v>1891</v>
      </c>
      <c r="N405" s="1" t="s">
        <v>1896</v>
      </c>
    </row>
    <row r="406" spans="1:14" x14ac:dyDescent="0.25">
      <c r="A406" s="1" t="s">
        <v>2008</v>
      </c>
      <c r="B406" s="1">
        <v>405</v>
      </c>
      <c r="C406" s="1" t="s">
        <v>73</v>
      </c>
      <c r="D406" s="1" t="s">
        <v>11091</v>
      </c>
      <c r="E406" s="1" t="s">
        <v>1888</v>
      </c>
      <c r="F406" s="1" t="s">
        <v>1889</v>
      </c>
      <c r="G406" s="1" t="s">
        <v>1890</v>
      </c>
      <c r="H406" s="1">
        <v>41.9</v>
      </c>
      <c r="I406" s="1">
        <v>0</v>
      </c>
      <c r="J406" s="1">
        <v>1</v>
      </c>
      <c r="K406" s="1"/>
      <c r="L406" s="1">
        <v>0</v>
      </c>
      <c r="M406" s="1" t="s">
        <v>1891</v>
      </c>
      <c r="N406" s="1" t="s">
        <v>912</v>
      </c>
    </row>
    <row r="407" spans="1:14" x14ac:dyDescent="0.25">
      <c r="A407" s="1" t="s">
        <v>2013</v>
      </c>
      <c r="B407" s="1">
        <v>406</v>
      </c>
      <c r="C407" s="1" t="s">
        <v>73</v>
      </c>
      <c r="D407" s="1" t="s">
        <v>11091</v>
      </c>
      <c r="E407" s="1" t="s">
        <v>1888</v>
      </c>
      <c r="F407" s="1" t="s">
        <v>1889</v>
      </c>
      <c r="G407" s="1" t="s">
        <v>1890</v>
      </c>
      <c r="H407" s="1">
        <v>41.9</v>
      </c>
      <c r="I407" s="1">
        <v>0</v>
      </c>
      <c r="J407" s="1">
        <v>1</v>
      </c>
      <c r="K407" s="1"/>
      <c r="L407" s="1">
        <v>0</v>
      </c>
      <c r="M407" s="1" t="s">
        <v>1891</v>
      </c>
      <c r="N407" s="1" t="s">
        <v>1901</v>
      </c>
    </row>
    <row r="408" spans="1:14" x14ac:dyDescent="0.25">
      <c r="A408" s="1" t="s">
        <v>2015</v>
      </c>
      <c r="B408" s="1">
        <v>407</v>
      </c>
      <c r="C408" s="1" t="s">
        <v>73</v>
      </c>
      <c r="D408" s="1" t="s">
        <v>11091</v>
      </c>
      <c r="E408" s="1" t="s">
        <v>1888</v>
      </c>
      <c r="F408" s="1" t="s">
        <v>1889</v>
      </c>
      <c r="G408" s="1" t="s">
        <v>1890</v>
      </c>
      <c r="H408" s="1">
        <v>41.9</v>
      </c>
      <c r="I408" s="1">
        <v>0</v>
      </c>
      <c r="J408" s="1">
        <v>1</v>
      </c>
      <c r="K408" s="1"/>
      <c r="L408" s="1">
        <v>0</v>
      </c>
      <c r="M408" s="1" t="s">
        <v>1891</v>
      </c>
      <c r="N408" s="1" t="s">
        <v>1903</v>
      </c>
    </row>
    <row r="409" spans="1:14" x14ac:dyDescent="0.25">
      <c r="A409" s="1" t="s">
        <v>2017</v>
      </c>
      <c r="B409" s="1">
        <v>408</v>
      </c>
      <c r="C409" s="1" t="s">
        <v>73</v>
      </c>
      <c r="D409" s="1" t="s">
        <v>11091</v>
      </c>
      <c r="E409" s="1" t="s">
        <v>1888</v>
      </c>
      <c r="F409" s="1" t="s">
        <v>1889</v>
      </c>
      <c r="G409" s="1" t="s">
        <v>1890</v>
      </c>
      <c r="H409" s="1">
        <v>41.9</v>
      </c>
      <c r="I409" s="1">
        <v>0</v>
      </c>
      <c r="J409" s="1">
        <v>1</v>
      </c>
      <c r="K409" s="1"/>
      <c r="L409" s="1">
        <v>0</v>
      </c>
      <c r="M409" s="1" t="s">
        <v>1891</v>
      </c>
      <c r="N409" s="1" t="s">
        <v>1905</v>
      </c>
    </row>
    <row r="410" spans="1:14" x14ac:dyDescent="0.25">
      <c r="A410" s="1" t="s">
        <v>2019</v>
      </c>
      <c r="B410" s="1">
        <v>409</v>
      </c>
      <c r="C410" s="1" t="s">
        <v>73</v>
      </c>
      <c r="D410" s="1" t="s">
        <v>11091</v>
      </c>
      <c r="E410" s="1" t="s">
        <v>1888</v>
      </c>
      <c r="F410" s="1" t="s">
        <v>1889</v>
      </c>
      <c r="G410" s="1" t="s">
        <v>1890</v>
      </c>
      <c r="H410" s="1">
        <v>41.9</v>
      </c>
      <c r="I410" s="1">
        <v>0</v>
      </c>
      <c r="J410" s="1">
        <v>1</v>
      </c>
      <c r="K410" s="1"/>
      <c r="L410" s="1">
        <v>0</v>
      </c>
      <c r="M410" s="1" t="s">
        <v>1891</v>
      </c>
      <c r="N410" s="1" t="s">
        <v>1907</v>
      </c>
    </row>
    <row r="411" spans="1:14" x14ac:dyDescent="0.25">
      <c r="A411" s="1" t="s">
        <v>2021</v>
      </c>
      <c r="B411" s="1">
        <v>410</v>
      </c>
      <c r="C411" s="1" t="s">
        <v>73</v>
      </c>
      <c r="D411" s="1" t="s">
        <v>11091</v>
      </c>
      <c r="E411" s="1" t="s">
        <v>1888</v>
      </c>
      <c r="F411" s="1" t="s">
        <v>1889</v>
      </c>
      <c r="G411" s="1" t="s">
        <v>1890</v>
      </c>
      <c r="H411" s="1">
        <v>41.9</v>
      </c>
      <c r="I411" s="1">
        <v>0</v>
      </c>
      <c r="J411" s="1">
        <v>1</v>
      </c>
      <c r="K411" s="1"/>
      <c r="L411" s="1">
        <v>0</v>
      </c>
      <c r="M411" s="1" t="s">
        <v>1891</v>
      </c>
      <c r="N411" s="1" t="s">
        <v>1909</v>
      </c>
    </row>
    <row r="412" spans="1:14" x14ac:dyDescent="0.25">
      <c r="A412" s="1" t="s">
        <v>2023</v>
      </c>
      <c r="B412" s="1">
        <v>411</v>
      </c>
      <c r="C412" s="1" t="s">
        <v>73</v>
      </c>
      <c r="D412" s="1" t="s">
        <v>11091</v>
      </c>
      <c r="E412" s="1" t="s">
        <v>1888</v>
      </c>
      <c r="F412" s="1" t="s">
        <v>1889</v>
      </c>
      <c r="G412" s="1" t="s">
        <v>1890</v>
      </c>
      <c r="H412" s="1">
        <v>41.9</v>
      </c>
      <c r="I412" s="1">
        <v>0</v>
      </c>
      <c r="J412" s="1">
        <v>1</v>
      </c>
      <c r="K412" s="1"/>
      <c r="L412" s="1">
        <v>0</v>
      </c>
      <c r="M412" s="1" t="s">
        <v>1891</v>
      </c>
      <c r="N412" s="1" t="s">
        <v>1911</v>
      </c>
    </row>
    <row r="413" spans="1:14" x14ac:dyDescent="0.25">
      <c r="A413" s="1" t="s">
        <v>2026</v>
      </c>
      <c r="B413" s="1">
        <v>412</v>
      </c>
      <c r="C413" s="1" t="s">
        <v>73</v>
      </c>
      <c r="D413" s="1" t="s">
        <v>11091</v>
      </c>
      <c r="E413" s="1" t="s">
        <v>1888</v>
      </c>
      <c r="F413" s="1" t="s">
        <v>1889</v>
      </c>
      <c r="G413" s="1" t="s">
        <v>1890</v>
      </c>
      <c r="H413" s="1">
        <v>41.9</v>
      </c>
      <c r="I413" s="1">
        <v>0</v>
      </c>
      <c r="J413" s="1">
        <v>1</v>
      </c>
      <c r="K413" s="1"/>
      <c r="L413" s="1">
        <v>0</v>
      </c>
      <c r="M413" s="1" t="s">
        <v>1891</v>
      </c>
      <c r="N413" s="1" t="s">
        <v>1913</v>
      </c>
    </row>
    <row r="414" spans="1:14" x14ac:dyDescent="0.25">
      <c r="A414" s="1" t="s">
        <v>2028</v>
      </c>
      <c r="B414" s="1">
        <v>413</v>
      </c>
      <c r="C414" s="1" t="s">
        <v>73</v>
      </c>
      <c r="D414" s="1" t="s">
        <v>11091</v>
      </c>
      <c r="E414" s="1" t="s">
        <v>1888</v>
      </c>
      <c r="F414" s="1" t="s">
        <v>1889</v>
      </c>
      <c r="G414" s="1" t="s">
        <v>1890</v>
      </c>
      <c r="H414" s="1">
        <v>41.9</v>
      </c>
      <c r="I414" s="1">
        <v>0</v>
      </c>
      <c r="J414" s="1">
        <v>1</v>
      </c>
      <c r="K414" s="1"/>
      <c r="L414" s="1">
        <v>0</v>
      </c>
      <c r="M414" s="1" t="s">
        <v>1891</v>
      </c>
      <c r="N414" s="1" t="s">
        <v>1915</v>
      </c>
    </row>
    <row r="415" spans="1:14" x14ac:dyDescent="0.25">
      <c r="A415" s="1" t="s">
        <v>2031</v>
      </c>
      <c r="B415" s="1">
        <v>414</v>
      </c>
      <c r="C415" s="1" t="s">
        <v>73</v>
      </c>
      <c r="D415" s="1" t="s">
        <v>11091</v>
      </c>
      <c r="E415" s="1" t="s">
        <v>1888</v>
      </c>
      <c r="F415" s="1" t="s">
        <v>1889</v>
      </c>
      <c r="G415" s="1" t="s">
        <v>1890</v>
      </c>
      <c r="H415" s="1">
        <v>41.9</v>
      </c>
      <c r="I415" s="1">
        <v>0</v>
      </c>
      <c r="J415" s="1">
        <v>1</v>
      </c>
      <c r="K415" s="1"/>
      <c r="L415" s="1">
        <v>0</v>
      </c>
      <c r="M415" s="1" t="s">
        <v>1891</v>
      </c>
      <c r="N415" s="1" t="s">
        <v>5503</v>
      </c>
    </row>
    <row r="416" spans="1:14" x14ac:dyDescent="0.25">
      <c r="A416" s="1" t="s">
        <v>2033</v>
      </c>
      <c r="B416" s="1">
        <v>415</v>
      </c>
      <c r="C416" s="1" t="s">
        <v>73</v>
      </c>
      <c r="D416" s="1" t="s">
        <v>11091</v>
      </c>
      <c r="E416" s="1" t="s">
        <v>1888</v>
      </c>
      <c r="F416" s="1" t="s">
        <v>1889</v>
      </c>
      <c r="G416" s="1" t="s">
        <v>1890</v>
      </c>
      <c r="H416" s="1">
        <v>41.9</v>
      </c>
      <c r="I416" s="1">
        <v>0</v>
      </c>
      <c r="J416" s="1">
        <v>1</v>
      </c>
      <c r="K416" s="1"/>
      <c r="L416" s="1">
        <v>0</v>
      </c>
      <c r="M416" s="1" t="s">
        <v>1891</v>
      </c>
      <c r="N416" s="1" t="s">
        <v>5779</v>
      </c>
    </row>
    <row r="417" spans="1:14" x14ac:dyDescent="0.25">
      <c r="A417" s="1" t="s">
        <v>2035</v>
      </c>
      <c r="B417" s="1">
        <v>416</v>
      </c>
      <c r="C417" s="1" t="s">
        <v>73</v>
      </c>
      <c r="D417" s="1" t="s">
        <v>11091</v>
      </c>
      <c r="E417" s="1" t="s">
        <v>1888</v>
      </c>
      <c r="F417" s="1" t="s">
        <v>1889</v>
      </c>
      <c r="G417" s="1" t="s">
        <v>1890</v>
      </c>
      <c r="H417" s="1">
        <v>41.9</v>
      </c>
      <c r="I417" s="1">
        <v>0</v>
      </c>
      <c r="J417" s="1">
        <v>1</v>
      </c>
      <c r="K417" s="1"/>
      <c r="L417" s="1">
        <v>0</v>
      </c>
      <c r="M417" s="1" t="s">
        <v>1891</v>
      </c>
      <c r="N417" s="1" t="s">
        <v>5780</v>
      </c>
    </row>
    <row r="418" spans="1:14" x14ac:dyDescent="0.25">
      <c r="A418" s="1" t="s">
        <v>2037</v>
      </c>
      <c r="B418" s="1">
        <v>417</v>
      </c>
      <c r="C418" s="1" t="s">
        <v>73</v>
      </c>
      <c r="D418" s="1" t="s">
        <v>11091</v>
      </c>
      <c r="E418" s="1" t="s">
        <v>1888</v>
      </c>
      <c r="F418" s="1" t="s">
        <v>1889</v>
      </c>
      <c r="G418" s="1" t="s">
        <v>1890</v>
      </c>
      <c r="H418" s="1">
        <v>41.9</v>
      </c>
      <c r="I418" s="1">
        <v>0</v>
      </c>
      <c r="J418" s="1">
        <v>1</v>
      </c>
      <c r="K418" s="1"/>
      <c r="L418" s="1">
        <v>0</v>
      </c>
      <c r="M418" s="1" t="s">
        <v>1891</v>
      </c>
      <c r="N418" s="1" t="s">
        <v>5781</v>
      </c>
    </row>
    <row r="419" spans="1:14" x14ac:dyDescent="0.25">
      <c r="A419" s="1" t="s">
        <v>2039</v>
      </c>
      <c r="B419" s="1">
        <v>418</v>
      </c>
      <c r="C419" s="1" t="s">
        <v>73</v>
      </c>
      <c r="D419" s="1" t="s">
        <v>11091</v>
      </c>
      <c r="E419" s="1" t="s">
        <v>1888</v>
      </c>
      <c r="F419" s="1" t="s">
        <v>1889</v>
      </c>
      <c r="G419" s="1" t="s">
        <v>1890</v>
      </c>
      <c r="H419" s="1">
        <v>41.9</v>
      </c>
      <c r="I419" s="1">
        <v>0</v>
      </c>
      <c r="J419" s="1">
        <v>1</v>
      </c>
      <c r="K419" s="1"/>
      <c r="L419" s="1">
        <v>0</v>
      </c>
      <c r="M419" s="1" t="s">
        <v>1891</v>
      </c>
      <c r="N419" s="1" t="s">
        <v>1917</v>
      </c>
    </row>
    <row r="420" spans="1:14" x14ac:dyDescent="0.25">
      <c r="A420" s="1" t="s">
        <v>2041</v>
      </c>
      <c r="B420" s="1">
        <v>419</v>
      </c>
      <c r="C420" s="1" t="s">
        <v>73</v>
      </c>
      <c r="D420" s="1" t="s">
        <v>11091</v>
      </c>
      <c r="E420" s="1" t="s">
        <v>1888</v>
      </c>
      <c r="F420" s="1" t="s">
        <v>1889</v>
      </c>
      <c r="G420" s="1" t="s">
        <v>1890</v>
      </c>
      <c r="H420" s="1">
        <v>41.9</v>
      </c>
      <c r="I420" s="1">
        <v>0</v>
      </c>
      <c r="J420" s="1">
        <v>1</v>
      </c>
      <c r="K420" s="1"/>
      <c r="L420" s="1">
        <v>0</v>
      </c>
      <c r="M420" s="1" t="s">
        <v>1891</v>
      </c>
      <c r="N420" s="1" t="s">
        <v>1899</v>
      </c>
    </row>
    <row r="421" spans="1:14" x14ac:dyDescent="0.25">
      <c r="A421" s="1" t="s">
        <v>2044</v>
      </c>
      <c r="B421" s="1">
        <v>420</v>
      </c>
      <c r="C421" s="1" t="s">
        <v>73</v>
      </c>
      <c r="D421" s="1" t="s">
        <v>11091</v>
      </c>
      <c r="E421" s="1" t="s">
        <v>1888</v>
      </c>
      <c r="F421" s="1" t="s">
        <v>1889</v>
      </c>
      <c r="G421" s="1" t="s">
        <v>1890</v>
      </c>
      <c r="H421" s="1">
        <v>41.9</v>
      </c>
      <c r="I421" s="1">
        <v>0</v>
      </c>
      <c r="J421" s="1">
        <v>1</v>
      </c>
      <c r="K421" s="1"/>
      <c r="L421" s="1">
        <v>0</v>
      </c>
      <c r="M421" s="1" t="s">
        <v>1919</v>
      </c>
      <c r="N421" s="1" t="s">
        <v>1920</v>
      </c>
    </row>
    <row r="422" spans="1:14" x14ac:dyDescent="0.25">
      <c r="A422" s="1" t="s">
        <v>2047</v>
      </c>
      <c r="B422" s="1">
        <v>421</v>
      </c>
      <c r="C422" s="1" t="s">
        <v>73</v>
      </c>
      <c r="D422" s="1" t="s">
        <v>11091</v>
      </c>
      <c r="E422" s="1" t="s">
        <v>1888</v>
      </c>
      <c r="F422" s="1" t="s">
        <v>1889</v>
      </c>
      <c r="G422" s="1" t="s">
        <v>1890</v>
      </c>
      <c r="H422" s="1">
        <v>41.9</v>
      </c>
      <c r="I422" s="1">
        <v>0</v>
      </c>
      <c r="J422" s="1">
        <v>1</v>
      </c>
      <c r="K422" s="1"/>
      <c r="L422" s="1">
        <v>0</v>
      </c>
      <c r="M422" s="1" t="s">
        <v>1919</v>
      </c>
      <c r="N422" s="1" t="s">
        <v>1922</v>
      </c>
    </row>
    <row r="423" spans="1:14" x14ac:dyDescent="0.25">
      <c r="A423" s="1" t="s">
        <v>2050</v>
      </c>
      <c r="B423" s="1">
        <v>422</v>
      </c>
      <c r="C423" s="1" t="s">
        <v>73</v>
      </c>
      <c r="D423" s="1" t="s">
        <v>11091</v>
      </c>
      <c r="E423" s="1" t="s">
        <v>1888</v>
      </c>
      <c r="F423" s="1" t="s">
        <v>1889</v>
      </c>
      <c r="G423" s="1" t="s">
        <v>1890</v>
      </c>
      <c r="H423" s="1">
        <v>41.9</v>
      </c>
      <c r="I423" s="1">
        <v>0</v>
      </c>
      <c r="J423" s="1">
        <v>1</v>
      </c>
      <c r="K423" s="1"/>
      <c r="L423" s="1">
        <v>0</v>
      </c>
      <c r="M423" s="1" t="s">
        <v>1924</v>
      </c>
      <c r="N423" s="1" t="s">
        <v>1924</v>
      </c>
    </row>
    <row r="424" spans="1:14" x14ac:dyDescent="0.25">
      <c r="A424" s="1" t="s">
        <v>2052</v>
      </c>
      <c r="B424" s="1">
        <v>423</v>
      </c>
      <c r="C424" s="1" t="s">
        <v>73</v>
      </c>
      <c r="D424" s="1" t="s">
        <v>11091</v>
      </c>
      <c r="E424" s="1" t="s">
        <v>1888</v>
      </c>
      <c r="F424" s="1" t="s">
        <v>1889</v>
      </c>
      <c r="G424" s="1" t="s">
        <v>1890</v>
      </c>
      <c r="H424" s="1">
        <v>41.9</v>
      </c>
      <c r="I424" s="1">
        <v>0</v>
      </c>
      <c r="J424" s="1">
        <v>1</v>
      </c>
      <c r="K424" s="1"/>
      <c r="L424" s="1">
        <v>0</v>
      </c>
      <c r="M424" s="1" t="s">
        <v>1926</v>
      </c>
      <c r="N424" s="1" t="s">
        <v>1928</v>
      </c>
    </row>
    <row r="425" spans="1:14" x14ac:dyDescent="0.25">
      <c r="A425" s="1" t="s">
        <v>2055</v>
      </c>
      <c r="B425" s="1">
        <v>424</v>
      </c>
      <c r="C425" s="1" t="s">
        <v>73</v>
      </c>
      <c r="D425" s="1" t="s">
        <v>11091</v>
      </c>
      <c r="E425" s="1" t="s">
        <v>1888</v>
      </c>
      <c r="F425" s="1" t="s">
        <v>799</v>
      </c>
      <c r="G425" s="1" t="s">
        <v>1930</v>
      </c>
      <c r="H425" s="1">
        <v>41.9</v>
      </c>
      <c r="I425" s="1">
        <v>0</v>
      </c>
      <c r="J425" s="1">
        <v>1</v>
      </c>
      <c r="K425" s="1"/>
      <c r="L425" s="1">
        <v>0</v>
      </c>
      <c r="M425" s="1" t="s">
        <v>1931</v>
      </c>
      <c r="N425" s="1" t="s">
        <v>1932</v>
      </c>
    </row>
    <row r="426" spans="1:14" x14ac:dyDescent="0.25">
      <c r="A426" s="1" t="s">
        <v>2058</v>
      </c>
      <c r="B426" s="1">
        <v>425</v>
      </c>
      <c r="C426" s="1" t="s">
        <v>73</v>
      </c>
      <c r="D426" s="1" t="s">
        <v>11091</v>
      </c>
      <c r="E426" s="1" t="s">
        <v>1888</v>
      </c>
      <c r="F426" s="1" t="s">
        <v>799</v>
      </c>
      <c r="G426" s="1" t="s">
        <v>1930</v>
      </c>
      <c r="H426" s="1">
        <v>41.9</v>
      </c>
      <c r="I426" s="1">
        <v>0</v>
      </c>
      <c r="J426" s="1">
        <v>1</v>
      </c>
      <c r="K426" s="1"/>
      <c r="L426" s="1">
        <v>0</v>
      </c>
      <c r="M426" s="1" t="s">
        <v>1931</v>
      </c>
      <c r="N426" s="1" t="s">
        <v>1934</v>
      </c>
    </row>
    <row r="427" spans="1:14" x14ac:dyDescent="0.25">
      <c r="A427" s="1" t="s">
        <v>2060</v>
      </c>
      <c r="B427" s="1">
        <v>426</v>
      </c>
      <c r="C427" s="1" t="s">
        <v>73</v>
      </c>
      <c r="D427" s="1" t="s">
        <v>11091</v>
      </c>
      <c r="E427" s="1" t="s">
        <v>1888</v>
      </c>
      <c r="F427" s="1" t="s">
        <v>799</v>
      </c>
      <c r="G427" s="1" t="s">
        <v>1930</v>
      </c>
      <c r="H427" s="1">
        <v>41.9</v>
      </c>
      <c r="I427" s="1">
        <v>0</v>
      </c>
      <c r="J427" s="1">
        <v>1</v>
      </c>
      <c r="K427" s="1"/>
      <c r="L427" s="1">
        <v>0</v>
      </c>
      <c r="M427" s="1" t="s">
        <v>1931</v>
      </c>
      <c r="N427" s="1" t="s">
        <v>1936</v>
      </c>
    </row>
    <row r="428" spans="1:14" x14ac:dyDescent="0.25">
      <c r="A428" s="1" t="s">
        <v>2062</v>
      </c>
      <c r="B428" s="1">
        <v>427</v>
      </c>
      <c r="C428" s="1" t="s">
        <v>73</v>
      </c>
      <c r="D428" s="1" t="s">
        <v>11091</v>
      </c>
      <c r="E428" s="1" t="s">
        <v>1888</v>
      </c>
      <c r="F428" s="1" t="s">
        <v>799</v>
      </c>
      <c r="G428" s="1" t="s">
        <v>1930</v>
      </c>
      <c r="H428" s="1">
        <v>41.9</v>
      </c>
      <c r="I428" s="1">
        <v>0</v>
      </c>
      <c r="J428" s="1">
        <v>1</v>
      </c>
      <c r="K428" s="1"/>
      <c r="L428" s="1">
        <v>0</v>
      </c>
      <c r="M428" s="1" t="s">
        <v>1931</v>
      </c>
      <c r="N428" s="1" t="s">
        <v>1938</v>
      </c>
    </row>
    <row r="429" spans="1:14" x14ac:dyDescent="0.25">
      <c r="A429" s="1" t="s">
        <v>2064</v>
      </c>
      <c r="B429" s="1">
        <v>428</v>
      </c>
      <c r="C429" s="1" t="s">
        <v>73</v>
      </c>
      <c r="D429" s="1" t="s">
        <v>11091</v>
      </c>
      <c r="E429" s="1" t="s">
        <v>1888</v>
      </c>
      <c r="F429" s="1" t="s">
        <v>799</v>
      </c>
      <c r="G429" s="1" t="s">
        <v>1930</v>
      </c>
      <c r="H429" s="1">
        <v>41.9</v>
      </c>
      <c r="I429" s="1">
        <v>0</v>
      </c>
      <c r="J429" s="1">
        <v>1</v>
      </c>
      <c r="K429" s="1"/>
      <c r="L429" s="1">
        <v>0</v>
      </c>
      <c r="M429" s="1" t="s">
        <v>1940</v>
      </c>
      <c r="N429" s="1" t="s">
        <v>1941</v>
      </c>
    </row>
    <row r="430" spans="1:14" x14ac:dyDescent="0.25">
      <c r="A430" s="1" t="s">
        <v>2066</v>
      </c>
      <c r="B430" s="1">
        <v>429</v>
      </c>
      <c r="C430" s="1" t="s">
        <v>73</v>
      </c>
      <c r="D430" s="1" t="s">
        <v>11091</v>
      </c>
      <c r="E430" s="1" t="s">
        <v>1888</v>
      </c>
      <c r="F430" s="1" t="s">
        <v>799</v>
      </c>
      <c r="G430" s="1" t="s">
        <v>1930</v>
      </c>
      <c r="H430" s="1">
        <v>41.9</v>
      </c>
      <c r="I430" s="1">
        <v>0</v>
      </c>
      <c r="J430" s="1">
        <v>1</v>
      </c>
      <c r="K430" s="1"/>
      <c r="L430" s="1">
        <v>0</v>
      </c>
      <c r="M430" s="1" t="s">
        <v>1940</v>
      </c>
      <c r="N430" s="1" t="s">
        <v>1943</v>
      </c>
    </row>
    <row r="431" spans="1:14" x14ac:dyDescent="0.25">
      <c r="A431" s="1" t="s">
        <v>2070</v>
      </c>
      <c r="B431" s="1">
        <v>430</v>
      </c>
      <c r="C431" s="1" t="s">
        <v>73</v>
      </c>
      <c r="D431" s="1" t="s">
        <v>11091</v>
      </c>
      <c r="E431" s="1" t="s">
        <v>1888</v>
      </c>
      <c r="F431" s="1" t="s">
        <v>799</v>
      </c>
      <c r="G431" s="1" t="s">
        <v>1930</v>
      </c>
      <c r="H431" s="1">
        <v>41.9</v>
      </c>
      <c r="I431" s="1">
        <v>0</v>
      </c>
      <c r="J431" s="1">
        <v>1</v>
      </c>
      <c r="K431" s="1"/>
      <c r="L431" s="1">
        <v>0</v>
      </c>
      <c r="M431" s="1" t="s">
        <v>1940</v>
      </c>
      <c r="N431" s="1" t="s">
        <v>1945</v>
      </c>
    </row>
    <row r="432" spans="1:14" x14ac:dyDescent="0.25">
      <c r="A432" s="1" t="s">
        <v>2072</v>
      </c>
      <c r="B432" s="1">
        <v>431</v>
      </c>
      <c r="C432" s="1" t="s">
        <v>73</v>
      </c>
      <c r="D432" s="1" t="s">
        <v>11091</v>
      </c>
      <c r="E432" s="1" t="s">
        <v>1888</v>
      </c>
      <c r="F432" s="1" t="s">
        <v>799</v>
      </c>
      <c r="G432" s="1" t="s">
        <v>1930</v>
      </c>
      <c r="H432" s="1">
        <v>41.9</v>
      </c>
      <c r="I432" s="1">
        <v>0</v>
      </c>
      <c r="J432" s="1">
        <v>1</v>
      </c>
      <c r="K432" s="1"/>
      <c r="L432" s="1">
        <v>0</v>
      </c>
      <c r="M432" s="1" t="s">
        <v>1940</v>
      </c>
      <c r="N432" s="1" t="s">
        <v>972</v>
      </c>
    </row>
    <row r="433" spans="1:14" x14ac:dyDescent="0.25">
      <c r="A433" s="1" t="s">
        <v>2074</v>
      </c>
      <c r="B433" s="1">
        <v>432</v>
      </c>
      <c r="C433" s="1" t="s">
        <v>73</v>
      </c>
      <c r="D433" s="1" t="s">
        <v>11091</v>
      </c>
      <c r="E433" s="1" t="s">
        <v>1888</v>
      </c>
      <c r="F433" s="1" t="s">
        <v>799</v>
      </c>
      <c r="G433" s="1" t="s">
        <v>1930</v>
      </c>
      <c r="H433" s="1">
        <v>41.9</v>
      </c>
      <c r="I433" s="1">
        <v>0</v>
      </c>
      <c r="J433" s="1">
        <v>1</v>
      </c>
      <c r="K433" s="1"/>
      <c r="L433" s="1">
        <v>0</v>
      </c>
      <c r="M433" s="1" t="s">
        <v>1940</v>
      </c>
      <c r="N433" s="1" t="s">
        <v>1948</v>
      </c>
    </row>
    <row r="434" spans="1:14" x14ac:dyDescent="0.25">
      <c r="A434" s="1" t="s">
        <v>2076</v>
      </c>
      <c r="B434" s="1">
        <v>433</v>
      </c>
      <c r="C434" s="1" t="s">
        <v>73</v>
      </c>
      <c r="D434" s="1" t="s">
        <v>11091</v>
      </c>
      <c r="E434" s="1" t="s">
        <v>1888</v>
      </c>
      <c r="F434" s="1" t="s">
        <v>799</v>
      </c>
      <c r="G434" s="1" t="s">
        <v>1930</v>
      </c>
      <c r="H434" s="1">
        <v>41.9</v>
      </c>
      <c r="I434" s="1">
        <v>0</v>
      </c>
      <c r="J434" s="1">
        <v>1</v>
      </c>
      <c r="K434" s="1"/>
      <c r="L434" s="1">
        <v>0</v>
      </c>
      <c r="M434" s="1" t="s">
        <v>1940</v>
      </c>
      <c r="N434" s="1" t="s">
        <v>952</v>
      </c>
    </row>
    <row r="435" spans="1:14" x14ac:dyDescent="0.25">
      <c r="A435" s="1" t="s">
        <v>2078</v>
      </c>
      <c r="B435" s="1">
        <v>434</v>
      </c>
      <c r="C435" s="1" t="s">
        <v>73</v>
      </c>
      <c r="D435" s="1" t="s">
        <v>11091</v>
      </c>
      <c r="E435" s="1" t="s">
        <v>1888</v>
      </c>
      <c r="F435" s="1" t="s">
        <v>799</v>
      </c>
      <c r="G435" s="1" t="s">
        <v>1930</v>
      </c>
      <c r="H435" s="1">
        <v>41.9</v>
      </c>
      <c r="I435" s="1">
        <v>0</v>
      </c>
      <c r="J435" s="1">
        <v>1</v>
      </c>
      <c r="K435" s="1"/>
      <c r="L435" s="1">
        <v>0</v>
      </c>
      <c r="M435" s="1" t="s">
        <v>1940</v>
      </c>
      <c r="N435" s="1" t="s">
        <v>1951</v>
      </c>
    </row>
    <row r="436" spans="1:14" x14ac:dyDescent="0.25">
      <c r="A436" s="1" t="s">
        <v>2080</v>
      </c>
      <c r="B436" s="1">
        <v>435</v>
      </c>
      <c r="C436" s="1" t="s">
        <v>73</v>
      </c>
      <c r="D436" s="1" t="s">
        <v>11091</v>
      </c>
      <c r="E436" s="1" t="s">
        <v>1888</v>
      </c>
      <c r="F436" s="1" t="s">
        <v>799</v>
      </c>
      <c r="G436" s="1" t="s">
        <v>1930</v>
      </c>
      <c r="H436" s="1">
        <v>41.9</v>
      </c>
      <c r="I436" s="1">
        <v>0</v>
      </c>
      <c r="J436" s="1">
        <v>1</v>
      </c>
      <c r="K436" s="1"/>
      <c r="L436" s="1">
        <v>0</v>
      </c>
      <c r="M436" s="1" t="s">
        <v>1940</v>
      </c>
      <c r="N436" s="1" t="s">
        <v>1953</v>
      </c>
    </row>
    <row r="437" spans="1:14" x14ac:dyDescent="0.25">
      <c r="A437" s="1" t="s">
        <v>2082</v>
      </c>
      <c r="B437" s="1">
        <v>436</v>
      </c>
      <c r="C437" s="1" t="s">
        <v>73</v>
      </c>
      <c r="D437" s="1" t="s">
        <v>11091</v>
      </c>
      <c r="E437" s="1" t="s">
        <v>1888</v>
      </c>
      <c r="F437" s="1" t="s">
        <v>799</v>
      </c>
      <c r="G437" s="1" t="s">
        <v>1930</v>
      </c>
      <c r="H437" s="1">
        <v>41.9</v>
      </c>
      <c r="I437" s="1">
        <v>0</v>
      </c>
      <c r="J437" s="1">
        <v>1</v>
      </c>
      <c r="K437" s="1"/>
      <c r="L437" s="1">
        <v>0</v>
      </c>
      <c r="M437" s="1" t="s">
        <v>1955</v>
      </c>
      <c r="N437" s="1" t="s">
        <v>1956</v>
      </c>
    </row>
    <row r="438" spans="1:14" x14ac:dyDescent="0.25">
      <c r="A438" s="1" t="s">
        <v>2084</v>
      </c>
      <c r="B438" s="1">
        <v>437</v>
      </c>
      <c r="C438" s="1" t="s">
        <v>73</v>
      </c>
      <c r="D438" s="1" t="s">
        <v>11091</v>
      </c>
      <c r="E438" s="1" t="s">
        <v>1888</v>
      </c>
      <c r="F438" s="1" t="s">
        <v>799</v>
      </c>
      <c r="G438" s="1" t="s">
        <v>1930</v>
      </c>
      <c r="H438" s="1">
        <v>41.9</v>
      </c>
      <c r="I438" s="1">
        <v>0</v>
      </c>
      <c r="J438" s="1">
        <v>1</v>
      </c>
      <c r="K438" s="1"/>
      <c r="L438" s="1">
        <v>0</v>
      </c>
      <c r="M438" s="1" t="s">
        <v>1955</v>
      </c>
      <c r="N438" s="1" t="s">
        <v>1958</v>
      </c>
    </row>
    <row r="439" spans="1:14" x14ac:dyDescent="0.25">
      <c r="A439" s="1" t="s">
        <v>2086</v>
      </c>
      <c r="B439" s="1">
        <v>438</v>
      </c>
      <c r="C439" s="1" t="s">
        <v>73</v>
      </c>
      <c r="D439" s="1" t="s">
        <v>11091</v>
      </c>
      <c r="E439" s="1" t="s">
        <v>1888</v>
      </c>
      <c r="F439" s="1" t="s">
        <v>799</v>
      </c>
      <c r="G439" s="1" t="s">
        <v>1930</v>
      </c>
      <c r="H439" s="1">
        <v>41.9</v>
      </c>
      <c r="I439" s="1">
        <v>0</v>
      </c>
      <c r="J439" s="1">
        <v>1</v>
      </c>
      <c r="K439" s="1"/>
      <c r="L439" s="1">
        <v>0</v>
      </c>
      <c r="M439" s="1" t="s">
        <v>1960</v>
      </c>
      <c r="N439" s="1" t="s">
        <v>805</v>
      </c>
    </row>
    <row r="440" spans="1:14" x14ac:dyDescent="0.25">
      <c r="A440" s="1" t="s">
        <v>2089</v>
      </c>
      <c r="B440" s="1">
        <v>439</v>
      </c>
      <c r="C440" s="1" t="s">
        <v>73</v>
      </c>
      <c r="D440" s="1" t="s">
        <v>11091</v>
      </c>
      <c r="E440" s="1" t="s">
        <v>1888</v>
      </c>
      <c r="F440" s="1" t="s">
        <v>799</v>
      </c>
      <c r="G440" s="1" t="s">
        <v>1930</v>
      </c>
      <c r="H440" s="1">
        <v>41.9</v>
      </c>
      <c r="I440" s="1">
        <v>0</v>
      </c>
      <c r="J440" s="1">
        <v>1</v>
      </c>
      <c r="K440" s="1"/>
      <c r="L440" s="1">
        <v>0</v>
      </c>
      <c r="M440" s="1" t="s">
        <v>1960</v>
      </c>
      <c r="N440" s="1" t="s">
        <v>1962</v>
      </c>
    </row>
    <row r="441" spans="1:14" x14ac:dyDescent="0.25">
      <c r="A441" s="1" t="s">
        <v>2092</v>
      </c>
      <c r="B441" s="1">
        <v>440</v>
      </c>
      <c r="C441" s="1" t="s">
        <v>73</v>
      </c>
      <c r="D441" s="1" t="s">
        <v>11091</v>
      </c>
      <c r="E441" s="1" t="s">
        <v>1888</v>
      </c>
      <c r="F441" s="1" t="s">
        <v>799</v>
      </c>
      <c r="G441" s="1" t="s">
        <v>1930</v>
      </c>
      <c r="H441" s="1">
        <v>41.9</v>
      </c>
      <c r="I441" s="1">
        <v>0</v>
      </c>
      <c r="J441" s="1">
        <v>1</v>
      </c>
      <c r="K441" s="1"/>
      <c r="L441" s="1">
        <v>0</v>
      </c>
      <c r="M441" s="1" t="s">
        <v>1960</v>
      </c>
      <c r="N441" s="1" t="s">
        <v>1964</v>
      </c>
    </row>
    <row r="442" spans="1:14" x14ac:dyDescent="0.25">
      <c r="A442" s="1" t="s">
        <v>2095</v>
      </c>
      <c r="B442" s="1">
        <v>441</v>
      </c>
      <c r="C442" s="1" t="s">
        <v>73</v>
      </c>
      <c r="D442" s="1" t="s">
        <v>11091</v>
      </c>
      <c r="E442" s="1" t="s">
        <v>1888</v>
      </c>
      <c r="F442" s="1" t="s">
        <v>799</v>
      </c>
      <c r="G442" s="1" t="s">
        <v>1930</v>
      </c>
      <c r="H442" s="1">
        <v>41.9</v>
      </c>
      <c r="I442" s="1">
        <v>0</v>
      </c>
      <c r="J442" s="1">
        <v>1</v>
      </c>
      <c r="K442" s="1"/>
      <c r="L442" s="1">
        <v>0</v>
      </c>
      <c r="M442" s="1" t="s">
        <v>1960</v>
      </c>
      <c r="N442" s="1" t="s">
        <v>1966</v>
      </c>
    </row>
    <row r="443" spans="1:14" s="16" customFormat="1" x14ac:dyDescent="0.25">
      <c r="A443" s="1" t="s">
        <v>2097</v>
      </c>
      <c r="B443" s="1">
        <v>442</v>
      </c>
      <c r="C443" s="1" t="s">
        <v>73</v>
      </c>
      <c r="D443" s="1" t="s">
        <v>11091</v>
      </c>
      <c r="E443" s="1" t="s">
        <v>1888</v>
      </c>
      <c r="F443" s="1" t="s">
        <v>799</v>
      </c>
      <c r="G443" s="1" t="s">
        <v>1930</v>
      </c>
      <c r="H443" s="1">
        <v>41.9</v>
      </c>
      <c r="I443" s="1">
        <v>0</v>
      </c>
      <c r="J443" s="1">
        <v>1</v>
      </c>
      <c r="K443" s="1"/>
      <c r="L443" s="1">
        <v>0</v>
      </c>
      <c r="M443" s="1" t="s">
        <v>1960</v>
      </c>
      <c r="N443" s="1" t="s">
        <v>1968</v>
      </c>
    </row>
    <row r="444" spans="1:14" s="1" customFormat="1" x14ac:dyDescent="0.25">
      <c r="A444" s="1" t="s">
        <v>2099</v>
      </c>
      <c r="B444" s="1">
        <v>443</v>
      </c>
      <c r="C444" s="1" t="s">
        <v>73</v>
      </c>
      <c r="D444" s="1" t="s">
        <v>11091</v>
      </c>
      <c r="E444" s="1" t="s">
        <v>1888</v>
      </c>
      <c r="F444" s="1" t="s">
        <v>799</v>
      </c>
      <c r="G444" s="1" t="s">
        <v>1930</v>
      </c>
      <c r="H444" s="1">
        <v>41.9</v>
      </c>
      <c r="I444" s="1">
        <v>0</v>
      </c>
      <c r="J444" s="1">
        <v>1</v>
      </c>
      <c r="L444" s="1">
        <v>0</v>
      </c>
      <c r="M444" s="1" t="s">
        <v>15190</v>
      </c>
      <c r="N444" s="1" t="s">
        <v>15190</v>
      </c>
    </row>
    <row r="445" spans="1:14" s="1" customFormat="1" x14ac:dyDescent="0.25">
      <c r="A445" s="1" t="s">
        <v>2101</v>
      </c>
      <c r="B445" s="1">
        <v>444</v>
      </c>
      <c r="C445" s="1" t="s">
        <v>73</v>
      </c>
      <c r="D445" s="1" t="s">
        <v>11091</v>
      </c>
      <c r="E445" s="1" t="s">
        <v>1888</v>
      </c>
      <c r="F445" s="1" t="s">
        <v>799</v>
      </c>
      <c r="G445" s="1" t="s">
        <v>1930</v>
      </c>
      <c r="H445" s="1">
        <v>41.9</v>
      </c>
      <c r="I445" s="1">
        <v>0</v>
      </c>
      <c r="J445" s="1">
        <v>1</v>
      </c>
      <c r="L445" s="1">
        <v>0</v>
      </c>
      <c r="M445" s="1" t="s">
        <v>15191</v>
      </c>
      <c r="N445" s="1" t="s">
        <v>15191</v>
      </c>
    </row>
    <row r="446" spans="1:14" s="1" customFormat="1" x14ac:dyDescent="0.25">
      <c r="A446" s="1" t="s">
        <v>2103</v>
      </c>
      <c r="B446" s="1">
        <v>445</v>
      </c>
      <c r="C446" s="1" t="s">
        <v>73</v>
      </c>
      <c r="D446" s="1" t="s">
        <v>11091</v>
      </c>
      <c r="E446" s="1" t="s">
        <v>1888</v>
      </c>
      <c r="F446" s="1" t="s">
        <v>799</v>
      </c>
      <c r="G446" s="1" t="s">
        <v>1930</v>
      </c>
      <c r="H446" s="1">
        <v>41.9</v>
      </c>
      <c r="I446" s="1">
        <v>0</v>
      </c>
      <c r="J446" s="1">
        <v>1</v>
      </c>
      <c r="L446" s="1">
        <v>0</v>
      </c>
      <c r="M446" s="1" t="s">
        <v>3452</v>
      </c>
      <c r="N446" s="1" t="s">
        <v>3452</v>
      </c>
    </row>
    <row r="447" spans="1:14" s="1" customFormat="1" x14ac:dyDescent="0.25">
      <c r="A447" s="1" t="s">
        <v>2105</v>
      </c>
      <c r="B447" s="1">
        <v>446</v>
      </c>
      <c r="C447" s="1" t="s">
        <v>73</v>
      </c>
      <c r="D447" s="1" t="s">
        <v>11091</v>
      </c>
      <c r="E447" s="1" t="s">
        <v>1888</v>
      </c>
      <c r="F447" s="1" t="s">
        <v>799</v>
      </c>
      <c r="G447" s="1" t="s">
        <v>1930</v>
      </c>
      <c r="H447" s="1">
        <v>41.9</v>
      </c>
      <c r="I447" s="1">
        <v>0</v>
      </c>
      <c r="J447" s="1">
        <v>1</v>
      </c>
      <c r="L447" s="1">
        <v>0</v>
      </c>
      <c r="M447" s="1" t="s">
        <v>16000</v>
      </c>
      <c r="N447" s="1" t="s">
        <v>16000</v>
      </c>
    </row>
    <row r="448" spans="1:14" s="1" customFormat="1" x14ac:dyDescent="0.25">
      <c r="A448" s="1" t="s">
        <v>2107</v>
      </c>
      <c r="B448" s="1">
        <v>447</v>
      </c>
      <c r="C448" s="1" t="s">
        <v>73</v>
      </c>
      <c r="D448" s="1" t="s">
        <v>11091</v>
      </c>
      <c r="E448" s="1" t="s">
        <v>1888</v>
      </c>
      <c r="F448" s="1" t="s">
        <v>799</v>
      </c>
      <c r="G448" s="1" t="s">
        <v>1930</v>
      </c>
      <c r="H448" s="1">
        <v>41.9</v>
      </c>
      <c r="I448" s="1">
        <v>0</v>
      </c>
      <c r="J448" s="1">
        <v>1</v>
      </c>
      <c r="L448" s="1">
        <v>0</v>
      </c>
      <c r="M448" s="1" t="s">
        <v>16008</v>
      </c>
      <c r="N448" s="1" t="s">
        <v>16008</v>
      </c>
    </row>
    <row r="449" spans="1:14" s="1" customFormat="1" x14ac:dyDescent="0.25">
      <c r="A449" s="1" t="s">
        <v>2110</v>
      </c>
      <c r="B449" s="1">
        <v>448</v>
      </c>
      <c r="C449" s="1" t="s">
        <v>73</v>
      </c>
      <c r="D449" s="1" t="s">
        <v>11091</v>
      </c>
      <c r="E449" s="1" t="s">
        <v>1888</v>
      </c>
      <c r="F449" s="1" t="s">
        <v>799</v>
      </c>
      <c r="G449" s="1" t="s">
        <v>1930</v>
      </c>
      <c r="H449" s="1">
        <v>41.9</v>
      </c>
      <c r="I449" s="1">
        <v>0</v>
      </c>
      <c r="J449" s="1">
        <v>1</v>
      </c>
      <c r="L449" s="1">
        <v>0</v>
      </c>
      <c r="M449" s="1" t="s">
        <v>16021</v>
      </c>
      <c r="N449" s="1" t="s">
        <v>16021</v>
      </c>
    </row>
    <row r="450" spans="1:14" s="1" customFormat="1" x14ac:dyDescent="0.25">
      <c r="A450" s="1" t="s">
        <v>2112</v>
      </c>
      <c r="B450" s="1">
        <v>449</v>
      </c>
      <c r="C450" s="1" t="s">
        <v>73</v>
      </c>
      <c r="D450" s="1" t="s">
        <v>11091</v>
      </c>
      <c r="E450" s="1" t="s">
        <v>1888</v>
      </c>
      <c r="F450" s="1" t="s">
        <v>1972</v>
      </c>
      <c r="G450" s="1" t="s">
        <v>1973</v>
      </c>
      <c r="H450" s="1">
        <v>41.9</v>
      </c>
      <c r="I450" s="1">
        <v>0</v>
      </c>
      <c r="J450" s="1">
        <v>1</v>
      </c>
      <c r="L450" s="1">
        <v>0</v>
      </c>
      <c r="M450" s="1" t="s">
        <v>15196</v>
      </c>
      <c r="N450" s="1" t="s">
        <v>15196</v>
      </c>
    </row>
    <row r="451" spans="1:14" s="1" customFormat="1" x14ac:dyDescent="0.25">
      <c r="A451" s="1" t="s">
        <v>2114</v>
      </c>
      <c r="B451" s="1">
        <v>450</v>
      </c>
      <c r="C451" s="1" t="s">
        <v>73</v>
      </c>
      <c r="D451" s="1" t="s">
        <v>11091</v>
      </c>
      <c r="E451" s="1" t="s">
        <v>1888</v>
      </c>
      <c r="F451" s="1" t="s">
        <v>1972</v>
      </c>
      <c r="G451" s="1" t="s">
        <v>1973</v>
      </c>
      <c r="H451" s="1">
        <v>41.9</v>
      </c>
      <c r="I451" s="1">
        <v>0</v>
      </c>
      <c r="J451" s="1">
        <v>1</v>
      </c>
      <c r="L451" s="1">
        <v>0</v>
      </c>
      <c r="M451" s="1" t="s">
        <v>15197</v>
      </c>
      <c r="N451" s="1" t="s">
        <v>15197</v>
      </c>
    </row>
    <row r="452" spans="1:14" s="1" customFormat="1" x14ac:dyDescent="0.25">
      <c r="A452" s="1" t="s">
        <v>2116</v>
      </c>
      <c r="B452" s="1">
        <v>451</v>
      </c>
      <c r="C452" s="1" t="s">
        <v>73</v>
      </c>
      <c r="D452" s="1" t="s">
        <v>11091</v>
      </c>
      <c r="E452" s="1" t="s">
        <v>1888</v>
      </c>
      <c r="F452" s="1" t="s">
        <v>1972</v>
      </c>
      <c r="G452" s="1" t="s">
        <v>1973</v>
      </c>
      <c r="H452" s="1">
        <v>41.9</v>
      </c>
      <c r="I452" s="1">
        <v>0</v>
      </c>
      <c r="J452" s="1">
        <v>1</v>
      </c>
      <c r="L452" s="1">
        <v>0</v>
      </c>
      <c r="M452" s="1" t="s">
        <v>15198</v>
      </c>
      <c r="N452" s="1" t="s">
        <v>15198</v>
      </c>
    </row>
    <row r="453" spans="1:14" s="1" customFormat="1" x14ac:dyDescent="0.25">
      <c r="A453" s="1" t="s">
        <v>2119</v>
      </c>
      <c r="B453" s="1">
        <v>452</v>
      </c>
      <c r="C453" s="1" t="s">
        <v>73</v>
      </c>
      <c r="D453" s="1" t="s">
        <v>11091</v>
      </c>
      <c r="E453" s="1" t="s">
        <v>1888</v>
      </c>
      <c r="F453" s="1" t="s">
        <v>1972</v>
      </c>
      <c r="G453" s="1" t="s">
        <v>1973</v>
      </c>
      <c r="H453" s="1">
        <v>41.9</v>
      </c>
      <c r="I453" s="1">
        <v>0</v>
      </c>
      <c r="J453" s="1">
        <v>1</v>
      </c>
      <c r="L453" s="1">
        <v>0</v>
      </c>
      <c r="M453" s="1" t="s">
        <v>15199</v>
      </c>
      <c r="N453" s="1" t="s">
        <v>15199</v>
      </c>
    </row>
    <row r="454" spans="1:14" s="1" customFormat="1" x14ac:dyDescent="0.25">
      <c r="A454" s="1" t="s">
        <v>5789</v>
      </c>
      <c r="B454" s="1">
        <v>453</v>
      </c>
      <c r="C454" s="1" t="s">
        <v>73</v>
      </c>
      <c r="D454" s="1" t="s">
        <v>11091</v>
      </c>
      <c r="E454" s="1" t="s">
        <v>1888</v>
      </c>
      <c r="F454" s="1" t="s">
        <v>1972</v>
      </c>
      <c r="G454" s="1" t="s">
        <v>1973</v>
      </c>
      <c r="H454" s="1">
        <v>41.9</v>
      </c>
      <c r="I454" s="1">
        <v>0</v>
      </c>
      <c r="J454" s="1">
        <v>1</v>
      </c>
      <c r="L454" s="1">
        <v>0</v>
      </c>
      <c r="M454" s="1" t="s">
        <v>15200</v>
      </c>
      <c r="N454" s="1" t="s">
        <v>15200</v>
      </c>
    </row>
    <row r="455" spans="1:14" x14ac:dyDescent="0.25">
      <c r="A455" s="1" t="s">
        <v>5790</v>
      </c>
      <c r="B455" s="1">
        <v>454</v>
      </c>
      <c r="C455" s="1" t="s">
        <v>73</v>
      </c>
      <c r="D455" s="1" t="s">
        <v>11091</v>
      </c>
      <c r="E455" s="1" t="s">
        <v>1888</v>
      </c>
      <c r="F455" s="1" t="s">
        <v>1972</v>
      </c>
      <c r="G455" s="1" t="s">
        <v>1973</v>
      </c>
      <c r="H455" s="1">
        <v>41.9</v>
      </c>
      <c r="I455" s="1">
        <v>0</v>
      </c>
      <c r="J455" s="1">
        <v>1</v>
      </c>
      <c r="K455" s="1"/>
      <c r="L455" s="1">
        <v>0</v>
      </c>
      <c r="M455" s="1" t="s">
        <v>1974</v>
      </c>
      <c r="N455" s="1" t="s">
        <v>1975</v>
      </c>
    </row>
    <row r="456" spans="1:14" x14ac:dyDescent="0.25">
      <c r="A456" s="1" t="s">
        <v>5791</v>
      </c>
      <c r="B456" s="1">
        <v>455</v>
      </c>
      <c r="C456" s="1" t="s">
        <v>73</v>
      </c>
      <c r="D456" s="1" t="s">
        <v>11091</v>
      </c>
      <c r="E456" s="1" t="s">
        <v>1888</v>
      </c>
      <c r="F456" s="1" t="s">
        <v>1972</v>
      </c>
      <c r="G456" s="1" t="s">
        <v>1973</v>
      </c>
      <c r="H456" s="1">
        <v>41.9</v>
      </c>
      <c r="I456" s="1">
        <v>0</v>
      </c>
      <c r="J456" s="1">
        <v>1</v>
      </c>
      <c r="K456" s="1"/>
      <c r="L456" s="1">
        <v>0</v>
      </c>
      <c r="M456" s="1" t="s">
        <v>1974</v>
      </c>
      <c r="N456" s="1" t="s">
        <v>1977</v>
      </c>
    </row>
    <row r="457" spans="1:14" x14ac:dyDescent="0.25">
      <c r="A457" s="1" t="s">
        <v>5792</v>
      </c>
      <c r="B457" s="1">
        <v>456</v>
      </c>
      <c r="C457" s="1" t="s">
        <v>73</v>
      </c>
      <c r="D457" s="1" t="s">
        <v>11091</v>
      </c>
      <c r="E457" s="1" t="s">
        <v>1888</v>
      </c>
      <c r="F457" s="1" t="s">
        <v>1972</v>
      </c>
      <c r="G457" s="1" t="s">
        <v>1973</v>
      </c>
      <c r="H457" s="1">
        <v>41.9</v>
      </c>
      <c r="I457" s="1">
        <v>0</v>
      </c>
      <c r="J457" s="1">
        <v>1</v>
      </c>
      <c r="K457" s="1"/>
      <c r="L457" s="1">
        <v>0</v>
      </c>
      <c r="M457" s="1" t="s">
        <v>1974</v>
      </c>
      <c r="N457" s="1" t="s">
        <v>1979</v>
      </c>
    </row>
    <row r="458" spans="1:14" x14ac:dyDescent="0.25">
      <c r="A458" s="1" t="s">
        <v>2122</v>
      </c>
      <c r="B458" s="1">
        <v>457</v>
      </c>
      <c r="C458" s="1" t="s">
        <v>73</v>
      </c>
      <c r="D458" s="1" t="s">
        <v>11091</v>
      </c>
      <c r="E458" s="1" t="s">
        <v>1888</v>
      </c>
      <c r="F458" s="1" t="s">
        <v>1972</v>
      </c>
      <c r="G458" s="1" t="s">
        <v>1973</v>
      </c>
      <c r="H458" s="1">
        <v>41.9</v>
      </c>
      <c r="I458" s="1">
        <v>0</v>
      </c>
      <c r="J458" s="1">
        <v>1</v>
      </c>
      <c r="K458" s="1"/>
      <c r="L458" s="1">
        <v>0</v>
      </c>
      <c r="M458" s="1" t="s">
        <v>1974</v>
      </c>
      <c r="N458" s="1" t="s">
        <v>1981</v>
      </c>
    </row>
    <row r="459" spans="1:14" x14ac:dyDescent="0.25">
      <c r="A459" s="1" t="s">
        <v>2124</v>
      </c>
      <c r="B459" s="1">
        <v>458</v>
      </c>
      <c r="C459" s="1" t="s">
        <v>73</v>
      </c>
      <c r="D459" s="1" t="s">
        <v>11091</v>
      </c>
      <c r="E459" s="1" t="s">
        <v>1888</v>
      </c>
      <c r="F459" s="1" t="s">
        <v>1972</v>
      </c>
      <c r="G459" s="1" t="s">
        <v>1973</v>
      </c>
      <c r="H459" s="1">
        <v>41.9</v>
      </c>
      <c r="I459" s="1">
        <v>0</v>
      </c>
      <c r="J459" s="1">
        <v>1</v>
      </c>
      <c r="K459" s="1"/>
      <c r="L459" s="1">
        <v>0</v>
      </c>
      <c r="M459" s="1" t="s">
        <v>1983</v>
      </c>
      <c r="N459" s="1" t="s">
        <v>1984</v>
      </c>
    </row>
    <row r="460" spans="1:14" x14ac:dyDescent="0.25">
      <c r="A460" s="1" t="s">
        <v>2126</v>
      </c>
      <c r="B460" s="1">
        <v>459</v>
      </c>
      <c r="C460" s="1" t="s">
        <v>73</v>
      </c>
      <c r="D460" s="1" t="s">
        <v>11091</v>
      </c>
      <c r="E460" s="1" t="s">
        <v>1888</v>
      </c>
      <c r="F460" s="1" t="s">
        <v>1972</v>
      </c>
      <c r="G460" s="1" t="s">
        <v>1973</v>
      </c>
      <c r="H460" s="1">
        <v>41.9</v>
      </c>
      <c r="I460" s="1">
        <v>0</v>
      </c>
      <c r="J460" s="1">
        <v>1</v>
      </c>
      <c r="K460" s="1"/>
      <c r="L460" s="1">
        <v>0</v>
      </c>
      <c r="M460" s="1" t="s">
        <v>1986</v>
      </c>
      <c r="N460" s="1" t="s">
        <v>1995</v>
      </c>
    </row>
    <row r="461" spans="1:14" x14ac:dyDescent="0.25">
      <c r="A461" s="1" t="s">
        <v>2128</v>
      </c>
      <c r="B461" s="1">
        <v>460</v>
      </c>
      <c r="C461" s="1" t="s">
        <v>73</v>
      </c>
      <c r="D461" s="1" t="s">
        <v>11091</v>
      </c>
      <c r="E461" s="1" t="s">
        <v>1888</v>
      </c>
      <c r="F461" s="1" t="s">
        <v>1972</v>
      </c>
      <c r="G461" s="1" t="s">
        <v>1973</v>
      </c>
      <c r="H461" s="1">
        <v>41.9</v>
      </c>
      <c r="I461" s="1">
        <v>0</v>
      </c>
      <c r="J461" s="1">
        <v>1</v>
      </c>
      <c r="K461" s="1"/>
      <c r="L461" s="1">
        <v>0</v>
      </c>
      <c r="M461" s="1" t="s">
        <v>1986</v>
      </c>
      <c r="N461" s="1" t="s">
        <v>1993</v>
      </c>
    </row>
    <row r="462" spans="1:14" x14ac:dyDescent="0.25">
      <c r="A462" s="1" t="s">
        <v>2130</v>
      </c>
      <c r="B462" s="1">
        <v>461</v>
      </c>
      <c r="C462" s="1" t="s">
        <v>73</v>
      </c>
      <c r="D462" s="1" t="s">
        <v>11091</v>
      </c>
      <c r="E462" s="1" t="s">
        <v>1888</v>
      </c>
      <c r="F462" s="1" t="s">
        <v>1972</v>
      </c>
      <c r="G462" s="1" t="s">
        <v>1973</v>
      </c>
      <c r="H462" s="1">
        <v>41.9</v>
      </c>
      <c r="I462" s="1">
        <v>0</v>
      </c>
      <c r="J462" s="1">
        <v>1</v>
      </c>
      <c r="K462" s="1"/>
      <c r="L462" s="1">
        <v>0</v>
      </c>
      <c r="M462" s="1" t="s">
        <v>1986</v>
      </c>
      <c r="N462" s="1" t="s">
        <v>1991</v>
      </c>
    </row>
    <row r="463" spans="1:14" x14ac:dyDescent="0.25">
      <c r="A463" s="1" t="s">
        <v>2132</v>
      </c>
      <c r="B463" s="1">
        <v>462</v>
      </c>
      <c r="C463" s="1" t="s">
        <v>73</v>
      </c>
      <c r="D463" s="1" t="s">
        <v>11091</v>
      </c>
      <c r="E463" s="1" t="s">
        <v>1888</v>
      </c>
      <c r="F463" s="1" t="s">
        <v>1972</v>
      </c>
      <c r="G463" s="1" t="s">
        <v>1973</v>
      </c>
      <c r="H463" s="1">
        <v>41.9</v>
      </c>
      <c r="I463" s="1">
        <v>0</v>
      </c>
      <c r="J463" s="1">
        <v>1</v>
      </c>
      <c r="K463" s="1"/>
      <c r="L463" s="1">
        <v>0</v>
      </c>
      <c r="M463" s="1" t="s">
        <v>1986</v>
      </c>
      <c r="N463" s="1" t="s">
        <v>5839</v>
      </c>
    </row>
    <row r="464" spans="1:14" x14ac:dyDescent="0.25">
      <c r="A464" s="1" t="s">
        <v>2134</v>
      </c>
      <c r="B464" s="1">
        <v>463</v>
      </c>
      <c r="C464" s="1" t="s">
        <v>73</v>
      </c>
      <c r="D464" s="1" t="s">
        <v>11091</v>
      </c>
      <c r="E464" s="1" t="s">
        <v>1888</v>
      </c>
      <c r="F464" s="1" t="s">
        <v>1972</v>
      </c>
      <c r="G464" s="1" t="s">
        <v>1973</v>
      </c>
      <c r="H464" s="1">
        <v>41.9</v>
      </c>
      <c r="I464" s="1">
        <v>0</v>
      </c>
      <c r="J464" s="1">
        <v>1</v>
      </c>
      <c r="K464" s="1"/>
      <c r="L464" s="1">
        <v>0</v>
      </c>
      <c r="M464" s="1" t="s">
        <v>1986</v>
      </c>
      <c r="N464" s="1" t="s">
        <v>1989</v>
      </c>
    </row>
    <row r="465" spans="1:14" x14ac:dyDescent="0.25">
      <c r="A465" s="1" t="s">
        <v>2136</v>
      </c>
      <c r="B465" s="1">
        <v>464</v>
      </c>
      <c r="C465" s="1" t="s">
        <v>73</v>
      </c>
      <c r="D465" s="1" t="s">
        <v>11091</v>
      </c>
      <c r="E465" s="1" t="s">
        <v>1888</v>
      </c>
      <c r="F465" s="1" t="s">
        <v>1972</v>
      </c>
      <c r="G465" s="1" t="s">
        <v>1973</v>
      </c>
      <c r="H465" s="1">
        <v>41.9</v>
      </c>
      <c r="I465" s="1">
        <v>0</v>
      </c>
      <c r="J465" s="1">
        <v>1</v>
      </c>
      <c r="K465" s="1"/>
      <c r="L465" s="1">
        <v>0</v>
      </c>
      <c r="M465" s="1" t="s">
        <v>1986</v>
      </c>
      <c r="N465" s="1" t="s">
        <v>1987</v>
      </c>
    </row>
    <row r="466" spans="1:14" x14ac:dyDescent="0.25">
      <c r="A466" s="1" t="s">
        <v>2140</v>
      </c>
      <c r="B466" s="1">
        <v>465</v>
      </c>
      <c r="C466" s="1" t="s">
        <v>73</v>
      </c>
      <c r="D466" s="1" t="s">
        <v>11091</v>
      </c>
      <c r="E466" s="1" t="s">
        <v>1888</v>
      </c>
      <c r="F466" s="1" t="s">
        <v>1972</v>
      </c>
      <c r="G466" s="1" t="s">
        <v>1973</v>
      </c>
      <c r="H466" s="1">
        <v>41.9</v>
      </c>
      <c r="I466" s="1">
        <v>0</v>
      </c>
      <c r="J466" s="1">
        <v>1</v>
      </c>
      <c r="K466" s="1"/>
      <c r="L466" s="1">
        <v>0</v>
      </c>
      <c r="M466" s="1" t="s">
        <v>1997</v>
      </c>
      <c r="N466" s="1" t="s">
        <v>1998</v>
      </c>
    </row>
    <row r="467" spans="1:14" x14ac:dyDescent="0.25">
      <c r="A467" s="1" t="s">
        <v>2142</v>
      </c>
      <c r="B467" s="1">
        <v>466</v>
      </c>
      <c r="C467" s="1" t="s">
        <v>73</v>
      </c>
      <c r="D467" s="1" t="s">
        <v>11091</v>
      </c>
      <c r="E467" s="1" t="s">
        <v>1888</v>
      </c>
      <c r="F467" s="1" t="s">
        <v>1972</v>
      </c>
      <c r="G467" s="1" t="s">
        <v>1973</v>
      </c>
      <c r="H467" s="1">
        <v>41.9</v>
      </c>
      <c r="I467" s="1">
        <v>0</v>
      </c>
      <c r="J467" s="1">
        <v>1</v>
      </c>
      <c r="K467" s="1"/>
      <c r="L467" s="1">
        <v>0</v>
      </c>
      <c r="M467" s="1" t="s">
        <v>1997</v>
      </c>
      <c r="N467" s="1" t="s">
        <v>2000</v>
      </c>
    </row>
    <row r="468" spans="1:14" x14ac:dyDescent="0.25">
      <c r="A468" s="1" t="s">
        <v>2145</v>
      </c>
      <c r="B468" s="1">
        <v>467</v>
      </c>
      <c r="C468" s="1" t="s">
        <v>73</v>
      </c>
      <c r="D468" s="1" t="s">
        <v>11091</v>
      </c>
      <c r="E468" s="1" t="s">
        <v>1888</v>
      </c>
      <c r="F468" s="1" t="s">
        <v>1972</v>
      </c>
      <c r="G468" s="1" t="s">
        <v>1973</v>
      </c>
      <c r="H468" s="1">
        <v>41.9</v>
      </c>
      <c r="I468" s="1">
        <v>0</v>
      </c>
      <c r="J468" s="1">
        <v>1</v>
      </c>
      <c r="K468" s="1"/>
      <c r="L468" s="1">
        <v>0</v>
      </c>
      <c r="M468" s="1" t="s">
        <v>1997</v>
      </c>
      <c r="N468" s="1" t="s">
        <v>2002</v>
      </c>
    </row>
    <row r="469" spans="1:14" x14ac:dyDescent="0.25">
      <c r="A469" s="1" t="s">
        <v>2147</v>
      </c>
      <c r="B469" s="1">
        <v>468</v>
      </c>
      <c r="C469" s="1" t="s">
        <v>73</v>
      </c>
      <c r="D469" s="1" t="s">
        <v>11091</v>
      </c>
      <c r="E469" s="1" t="s">
        <v>1888</v>
      </c>
      <c r="F469" s="1" t="s">
        <v>1972</v>
      </c>
      <c r="G469" s="1" t="s">
        <v>1973</v>
      </c>
      <c r="H469" s="1">
        <v>41.9</v>
      </c>
      <c r="I469" s="1">
        <v>0</v>
      </c>
      <c r="J469" s="1">
        <v>1</v>
      </c>
      <c r="K469" s="1"/>
      <c r="L469" s="1">
        <v>0</v>
      </c>
      <c r="M469" s="1" t="s">
        <v>2004</v>
      </c>
      <c r="N469" s="1" t="s">
        <v>2005</v>
      </c>
    </row>
    <row r="470" spans="1:14" x14ac:dyDescent="0.25">
      <c r="A470" s="1" t="s">
        <v>2149</v>
      </c>
      <c r="B470" s="1">
        <v>469</v>
      </c>
      <c r="C470" s="1" t="s">
        <v>73</v>
      </c>
      <c r="D470" s="1" t="s">
        <v>11091</v>
      </c>
      <c r="E470" s="1" t="s">
        <v>1888</v>
      </c>
      <c r="F470" s="1" t="s">
        <v>1972</v>
      </c>
      <c r="G470" s="1" t="s">
        <v>1973</v>
      </c>
      <c r="H470" s="1">
        <v>41.9</v>
      </c>
      <c r="I470" s="1">
        <v>0</v>
      </c>
      <c r="J470" s="1">
        <v>1</v>
      </c>
      <c r="K470" s="1"/>
      <c r="L470" s="1">
        <v>0</v>
      </c>
      <c r="M470" s="1" t="s">
        <v>2004</v>
      </c>
      <c r="N470" s="1" t="s">
        <v>2007</v>
      </c>
    </row>
    <row r="471" spans="1:14" x14ac:dyDescent="0.25">
      <c r="A471" s="1" t="s">
        <v>2151</v>
      </c>
      <c r="B471" s="1">
        <v>470</v>
      </c>
      <c r="C471" s="1" t="s">
        <v>102</v>
      </c>
      <c r="D471" s="1" t="s">
        <v>11094</v>
      </c>
      <c r="E471" s="1" t="s">
        <v>2009</v>
      </c>
      <c r="F471" s="1" t="s">
        <v>3463</v>
      </c>
      <c r="G471" s="1" t="s">
        <v>16562</v>
      </c>
      <c r="H471" s="1">
        <v>21.4</v>
      </c>
      <c r="I471" s="1">
        <v>0</v>
      </c>
      <c r="J471" s="1">
        <v>1</v>
      </c>
      <c r="K471" s="1" t="s">
        <v>1071</v>
      </c>
      <c r="L471" s="1">
        <v>0</v>
      </c>
      <c r="M471" s="1" t="s">
        <v>3463</v>
      </c>
      <c r="N471" s="1" t="s">
        <v>3463</v>
      </c>
    </row>
    <row r="472" spans="1:14" s="1" customFormat="1" x14ac:dyDescent="0.25">
      <c r="A472" s="1" t="s">
        <v>2153</v>
      </c>
      <c r="B472" s="1">
        <v>471</v>
      </c>
      <c r="C472" s="1" t="s">
        <v>102</v>
      </c>
      <c r="D472" s="1" t="s">
        <v>11094</v>
      </c>
      <c r="E472" s="1" t="s">
        <v>2009</v>
      </c>
      <c r="F472" s="1" t="s">
        <v>3463</v>
      </c>
      <c r="G472" s="1" t="s">
        <v>16562</v>
      </c>
      <c r="H472" s="1">
        <v>21.4</v>
      </c>
      <c r="I472" s="1">
        <v>0</v>
      </c>
      <c r="J472" s="1">
        <v>1</v>
      </c>
      <c r="K472" s="1" t="s">
        <v>1071</v>
      </c>
      <c r="L472" s="1">
        <v>0</v>
      </c>
      <c r="M472" s="1" t="s">
        <v>15206</v>
      </c>
      <c r="N472" s="1" t="s">
        <v>15206</v>
      </c>
    </row>
    <row r="473" spans="1:14" s="1" customFormat="1" x14ac:dyDescent="0.25">
      <c r="A473" s="1" t="s">
        <v>2155</v>
      </c>
      <c r="B473" s="1">
        <v>472</v>
      </c>
      <c r="C473" s="1" t="s">
        <v>102</v>
      </c>
      <c r="D473" s="1" t="s">
        <v>11094</v>
      </c>
      <c r="E473" s="1" t="s">
        <v>2009</v>
      </c>
      <c r="F473" s="1" t="s">
        <v>3463</v>
      </c>
      <c r="G473" s="1" t="s">
        <v>16562</v>
      </c>
      <c r="H473" s="1">
        <v>21.4</v>
      </c>
      <c r="I473" s="1">
        <v>0</v>
      </c>
      <c r="J473" s="1">
        <v>1</v>
      </c>
      <c r="K473" s="1" t="s">
        <v>1071</v>
      </c>
      <c r="L473" s="1">
        <v>0</v>
      </c>
      <c r="M473" s="1" t="s">
        <v>16559</v>
      </c>
      <c r="N473" s="1" t="s">
        <v>16559</v>
      </c>
    </row>
    <row r="474" spans="1:14" x14ac:dyDescent="0.25">
      <c r="A474" s="1" t="s">
        <v>2158</v>
      </c>
      <c r="B474" s="1">
        <v>473</v>
      </c>
      <c r="C474" s="1" t="s">
        <v>102</v>
      </c>
      <c r="D474" s="1" t="s">
        <v>11095</v>
      </c>
      <c r="E474" s="1" t="s">
        <v>2009</v>
      </c>
      <c r="F474" s="1" t="s">
        <v>3465</v>
      </c>
      <c r="G474" s="1" t="s">
        <v>2067</v>
      </c>
      <c r="H474" s="1">
        <v>21.4</v>
      </c>
      <c r="I474" s="1">
        <v>1</v>
      </c>
      <c r="J474" s="1">
        <v>1</v>
      </c>
      <c r="K474" s="1" t="s">
        <v>1071</v>
      </c>
      <c r="L474" s="1">
        <v>1</v>
      </c>
      <c r="M474" s="1" t="s">
        <v>3465</v>
      </c>
      <c r="N474" s="1" t="s">
        <v>5801</v>
      </c>
    </row>
    <row r="475" spans="1:14" x14ac:dyDescent="0.25">
      <c r="A475" s="1" t="s">
        <v>2161</v>
      </c>
      <c r="B475" s="1">
        <v>474</v>
      </c>
      <c r="C475" s="1" t="s">
        <v>102</v>
      </c>
      <c r="D475" s="1" t="s">
        <v>11095</v>
      </c>
      <c r="E475" s="1" t="s">
        <v>2009</v>
      </c>
      <c r="F475" s="1" t="s">
        <v>3465</v>
      </c>
      <c r="G475" s="1" t="s">
        <v>2067</v>
      </c>
      <c r="H475" s="1">
        <v>21.4</v>
      </c>
      <c r="I475" s="1">
        <v>1</v>
      </c>
      <c r="J475" s="1">
        <v>1</v>
      </c>
      <c r="K475" s="1" t="s">
        <v>1071</v>
      </c>
      <c r="L475" s="1">
        <v>2</v>
      </c>
      <c r="M475" s="1" t="s">
        <v>3465</v>
      </c>
      <c r="N475" s="1" t="s">
        <v>5802</v>
      </c>
    </row>
    <row r="476" spans="1:14" x14ac:dyDescent="0.25">
      <c r="A476" s="1" t="s">
        <v>2163</v>
      </c>
      <c r="B476" s="1">
        <v>475</v>
      </c>
      <c r="C476" s="1" t="s">
        <v>102</v>
      </c>
      <c r="D476" s="1" t="s">
        <v>11095</v>
      </c>
      <c r="E476" s="1" t="s">
        <v>2009</v>
      </c>
      <c r="F476" s="1" t="s">
        <v>3465</v>
      </c>
      <c r="G476" s="1" t="s">
        <v>2067</v>
      </c>
      <c r="H476" s="1">
        <v>21.4</v>
      </c>
      <c r="I476" s="1">
        <v>1</v>
      </c>
      <c r="J476" s="1">
        <v>1</v>
      </c>
      <c r="K476" s="1" t="s">
        <v>1071</v>
      </c>
      <c r="L476" s="1">
        <v>3</v>
      </c>
      <c r="M476" s="1" t="s">
        <v>3465</v>
      </c>
      <c r="N476" s="1" t="s">
        <v>3466</v>
      </c>
    </row>
    <row r="477" spans="1:14" x14ac:dyDescent="0.25">
      <c r="A477" s="1" t="s">
        <v>2164</v>
      </c>
      <c r="B477" s="1">
        <v>476</v>
      </c>
      <c r="C477" s="1" t="s">
        <v>102</v>
      </c>
      <c r="D477" s="1" t="s">
        <v>11091</v>
      </c>
      <c r="E477" s="1" t="s">
        <v>2009</v>
      </c>
      <c r="F477" s="1" t="s">
        <v>2181</v>
      </c>
      <c r="G477" s="1" t="s">
        <v>2137</v>
      </c>
      <c r="H477" s="1">
        <v>8.6</v>
      </c>
      <c r="I477" s="1">
        <v>0</v>
      </c>
      <c r="J477" s="1">
        <v>0</v>
      </c>
      <c r="K477" s="1" t="s">
        <v>1083</v>
      </c>
      <c r="L477" s="1">
        <v>0</v>
      </c>
      <c r="M477" s="1" t="s">
        <v>2181</v>
      </c>
      <c r="N477" s="1" t="s">
        <v>2181</v>
      </c>
    </row>
    <row r="478" spans="1:14" x14ac:dyDescent="0.25">
      <c r="A478" s="1" t="s">
        <v>2166</v>
      </c>
      <c r="B478" s="1">
        <v>477</v>
      </c>
      <c r="C478" s="1" t="s">
        <v>102</v>
      </c>
      <c r="D478" s="1" t="s">
        <v>11091</v>
      </c>
      <c r="E478" s="1" t="s">
        <v>2009</v>
      </c>
      <c r="F478" s="1" t="s">
        <v>562</v>
      </c>
      <c r="G478" s="1" t="s">
        <v>2010</v>
      </c>
      <c r="H478" s="1">
        <v>41.9</v>
      </c>
      <c r="I478" s="1">
        <v>0</v>
      </c>
      <c r="J478" s="1">
        <v>1</v>
      </c>
      <c r="K478" s="1"/>
      <c r="L478" s="1">
        <v>0</v>
      </c>
      <c r="M478" s="1" t="s">
        <v>2011</v>
      </c>
      <c r="N478" s="1" t="s">
        <v>2012</v>
      </c>
    </row>
    <row r="479" spans="1:14" x14ac:dyDescent="0.25">
      <c r="A479" s="1" t="s">
        <v>2169</v>
      </c>
      <c r="B479" s="1">
        <v>478</v>
      </c>
      <c r="C479" s="1" t="s">
        <v>102</v>
      </c>
      <c r="D479" s="1" t="s">
        <v>11091</v>
      </c>
      <c r="E479" s="1" t="s">
        <v>2009</v>
      </c>
      <c r="F479" s="1" t="s">
        <v>562</v>
      </c>
      <c r="G479" s="1" t="s">
        <v>2010</v>
      </c>
      <c r="H479" s="1">
        <v>41.9</v>
      </c>
      <c r="I479" s="1">
        <v>0</v>
      </c>
      <c r="J479" s="1">
        <v>1</v>
      </c>
      <c r="K479" s="1"/>
      <c r="L479" s="1">
        <v>0</v>
      </c>
      <c r="M479" s="1" t="s">
        <v>2011</v>
      </c>
      <c r="N479" s="1" t="s">
        <v>2014</v>
      </c>
    </row>
    <row r="480" spans="1:14" x14ac:dyDescent="0.25">
      <c r="A480" s="1" t="s">
        <v>2172</v>
      </c>
      <c r="B480" s="1">
        <v>479</v>
      </c>
      <c r="C480" s="1" t="s">
        <v>102</v>
      </c>
      <c r="D480" s="1" t="s">
        <v>11091</v>
      </c>
      <c r="E480" s="1" t="s">
        <v>2009</v>
      </c>
      <c r="F480" s="1" t="s">
        <v>562</v>
      </c>
      <c r="G480" s="1" t="s">
        <v>2010</v>
      </c>
      <c r="H480" s="1">
        <v>41.9</v>
      </c>
      <c r="I480" s="1">
        <v>0</v>
      </c>
      <c r="J480" s="1">
        <v>1</v>
      </c>
      <c r="K480" s="1"/>
      <c r="L480" s="1">
        <v>0</v>
      </c>
      <c r="M480" s="1" t="s">
        <v>2011</v>
      </c>
      <c r="N480" s="1" t="s">
        <v>2016</v>
      </c>
    </row>
    <row r="481" spans="1:14" x14ac:dyDescent="0.25">
      <c r="A481" s="1" t="s">
        <v>2174</v>
      </c>
      <c r="B481" s="1">
        <v>480</v>
      </c>
      <c r="C481" s="1" t="s">
        <v>102</v>
      </c>
      <c r="D481" s="1" t="s">
        <v>11091</v>
      </c>
      <c r="E481" s="1" t="s">
        <v>2009</v>
      </c>
      <c r="F481" s="1" t="s">
        <v>562</v>
      </c>
      <c r="G481" s="1" t="s">
        <v>2010</v>
      </c>
      <c r="H481" s="1">
        <v>41.9</v>
      </c>
      <c r="I481" s="1">
        <v>0</v>
      </c>
      <c r="J481" s="1">
        <v>1</v>
      </c>
      <c r="K481" s="1"/>
      <c r="L481" s="1">
        <v>0</v>
      </c>
      <c r="M481" s="1" t="s">
        <v>2011</v>
      </c>
      <c r="N481" s="1" t="s">
        <v>2018</v>
      </c>
    </row>
    <row r="482" spans="1:14" x14ac:dyDescent="0.25">
      <c r="A482" s="1" t="s">
        <v>2176</v>
      </c>
      <c r="B482" s="1">
        <v>481</v>
      </c>
      <c r="C482" s="1" t="s">
        <v>102</v>
      </c>
      <c r="D482" s="1" t="s">
        <v>11091</v>
      </c>
      <c r="E482" s="1" t="s">
        <v>2009</v>
      </c>
      <c r="F482" s="1" t="s">
        <v>562</v>
      </c>
      <c r="G482" s="1" t="s">
        <v>2010</v>
      </c>
      <c r="H482" s="1">
        <v>41.9</v>
      </c>
      <c r="I482" s="1">
        <v>0</v>
      </c>
      <c r="J482" s="1">
        <v>1</v>
      </c>
      <c r="K482" s="1"/>
      <c r="L482" s="1">
        <v>0</v>
      </c>
      <c r="M482" s="1" t="s">
        <v>2011</v>
      </c>
      <c r="N482" s="1" t="s">
        <v>2020</v>
      </c>
    </row>
    <row r="483" spans="1:14" x14ac:dyDescent="0.25">
      <c r="A483" s="1" t="s">
        <v>2178</v>
      </c>
      <c r="B483" s="1">
        <v>482</v>
      </c>
      <c r="C483" s="1" t="s">
        <v>102</v>
      </c>
      <c r="D483" s="1" t="s">
        <v>11091</v>
      </c>
      <c r="E483" s="1" t="s">
        <v>2009</v>
      </c>
      <c r="F483" s="1" t="s">
        <v>562</v>
      </c>
      <c r="G483" s="1" t="s">
        <v>2010</v>
      </c>
      <c r="H483" s="1">
        <v>41.9</v>
      </c>
      <c r="I483" s="1">
        <v>0</v>
      </c>
      <c r="J483" s="1">
        <v>1</v>
      </c>
      <c r="K483" s="1"/>
      <c r="L483" s="1">
        <v>0</v>
      </c>
      <c r="M483" s="1" t="s">
        <v>2011</v>
      </c>
      <c r="N483" s="1" t="s">
        <v>2022</v>
      </c>
    </row>
    <row r="484" spans="1:14" x14ac:dyDescent="0.25">
      <c r="A484" s="1" t="s">
        <v>2180</v>
      </c>
      <c r="B484" s="1">
        <v>483</v>
      </c>
      <c r="C484" s="1" t="s">
        <v>102</v>
      </c>
      <c r="D484" s="1" t="s">
        <v>11091</v>
      </c>
      <c r="E484" s="1" t="s">
        <v>2009</v>
      </c>
      <c r="F484" s="1" t="s">
        <v>562</v>
      </c>
      <c r="G484" s="1" t="s">
        <v>2010</v>
      </c>
      <c r="H484" s="1">
        <v>41.9</v>
      </c>
      <c r="I484" s="1">
        <v>0</v>
      </c>
      <c r="J484" s="1">
        <v>1</v>
      </c>
      <c r="K484" s="1"/>
      <c r="L484" s="1">
        <v>0</v>
      </c>
      <c r="M484" s="1" t="s">
        <v>2024</v>
      </c>
      <c r="N484" s="1" t="s">
        <v>2025</v>
      </c>
    </row>
    <row r="485" spans="1:14" x14ac:dyDescent="0.25">
      <c r="A485" s="1" t="s">
        <v>2182</v>
      </c>
      <c r="B485" s="1">
        <v>484</v>
      </c>
      <c r="C485" s="1" t="s">
        <v>102</v>
      </c>
      <c r="D485" s="1" t="s">
        <v>11091</v>
      </c>
      <c r="E485" s="1" t="s">
        <v>2009</v>
      </c>
      <c r="F485" s="1" t="s">
        <v>562</v>
      </c>
      <c r="G485" s="1" t="s">
        <v>2010</v>
      </c>
      <c r="H485" s="1">
        <v>41.9</v>
      </c>
      <c r="I485" s="1">
        <v>0</v>
      </c>
      <c r="J485" s="1">
        <v>1</v>
      </c>
      <c r="K485" s="1"/>
      <c r="L485" s="1">
        <v>0</v>
      </c>
      <c r="M485" s="1" t="s">
        <v>2024</v>
      </c>
      <c r="N485" s="1" t="s">
        <v>2027</v>
      </c>
    </row>
    <row r="486" spans="1:14" x14ac:dyDescent="0.25">
      <c r="A486" s="1" t="s">
        <v>2186</v>
      </c>
      <c r="B486" s="1">
        <v>485</v>
      </c>
      <c r="C486" s="1" t="s">
        <v>102</v>
      </c>
      <c r="D486" s="1" t="s">
        <v>11091</v>
      </c>
      <c r="E486" s="1" t="s">
        <v>2009</v>
      </c>
      <c r="F486" s="1" t="s">
        <v>562</v>
      </c>
      <c r="G486" s="1" t="s">
        <v>2010</v>
      </c>
      <c r="H486" s="1">
        <v>41.9</v>
      </c>
      <c r="I486" s="1">
        <v>0</v>
      </c>
      <c r="J486" s="1">
        <v>1</v>
      </c>
      <c r="K486" s="1"/>
      <c r="L486" s="1">
        <v>0</v>
      </c>
      <c r="M486" s="1" t="s">
        <v>2029</v>
      </c>
      <c r="N486" s="1" t="s">
        <v>2030</v>
      </c>
    </row>
    <row r="487" spans="1:14" x14ac:dyDescent="0.25">
      <c r="A487" s="1" t="s">
        <v>2188</v>
      </c>
      <c r="B487" s="1">
        <v>486</v>
      </c>
      <c r="C487" s="1" t="s">
        <v>102</v>
      </c>
      <c r="D487" s="1" t="s">
        <v>11091</v>
      </c>
      <c r="E487" s="1" t="s">
        <v>2009</v>
      </c>
      <c r="F487" s="1" t="s">
        <v>562</v>
      </c>
      <c r="G487" s="1" t="s">
        <v>2010</v>
      </c>
      <c r="H487" s="1">
        <v>41.9</v>
      </c>
      <c r="I487" s="1">
        <v>0</v>
      </c>
      <c r="J487" s="1">
        <v>1</v>
      </c>
      <c r="K487" s="1"/>
      <c r="L487" s="1">
        <v>0</v>
      </c>
      <c r="M487" s="1" t="s">
        <v>2029</v>
      </c>
      <c r="N487" s="1" t="s">
        <v>2032</v>
      </c>
    </row>
    <row r="488" spans="1:14" x14ac:dyDescent="0.25">
      <c r="A488" s="1" t="s">
        <v>2191</v>
      </c>
      <c r="B488" s="1">
        <v>487</v>
      </c>
      <c r="C488" s="1" t="s">
        <v>102</v>
      </c>
      <c r="D488" s="1" t="s">
        <v>11091</v>
      </c>
      <c r="E488" s="1" t="s">
        <v>2009</v>
      </c>
      <c r="F488" s="1" t="s">
        <v>562</v>
      </c>
      <c r="G488" s="1" t="s">
        <v>2010</v>
      </c>
      <c r="H488" s="1">
        <v>41.9</v>
      </c>
      <c r="I488" s="1">
        <v>0</v>
      </c>
      <c r="J488" s="1">
        <v>1</v>
      </c>
      <c r="K488" s="1"/>
      <c r="L488" s="1">
        <v>0</v>
      </c>
      <c r="M488" s="1" t="s">
        <v>2029</v>
      </c>
      <c r="N488" s="1" t="s">
        <v>2036</v>
      </c>
    </row>
    <row r="489" spans="1:14" x14ac:dyDescent="0.25">
      <c r="A489" s="1" t="s">
        <v>2193</v>
      </c>
      <c r="B489" s="1">
        <v>488</v>
      </c>
      <c r="C489" s="1" t="s">
        <v>102</v>
      </c>
      <c r="D489" s="1" t="s">
        <v>11091</v>
      </c>
      <c r="E489" s="1" t="s">
        <v>2009</v>
      </c>
      <c r="F489" s="1" t="s">
        <v>562</v>
      </c>
      <c r="G489" s="1" t="s">
        <v>2010</v>
      </c>
      <c r="H489" s="1">
        <v>41.9</v>
      </c>
      <c r="I489" s="1">
        <v>0</v>
      </c>
      <c r="J489" s="1">
        <v>1</v>
      </c>
      <c r="K489" s="1"/>
      <c r="L489" s="1">
        <v>0</v>
      </c>
      <c r="M489" s="1" t="s">
        <v>2029</v>
      </c>
      <c r="N489" s="1" t="s">
        <v>2038</v>
      </c>
    </row>
    <row r="490" spans="1:14" x14ac:dyDescent="0.25">
      <c r="A490" s="1" t="s">
        <v>2195</v>
      </c>
      <c r="B490" s="1">
        <v>489</v>
      </c>
      <c r="C490" s="1" t="s">
        <v>102</v>
      </c>
      <c r="D490" s="1" t="s">
        <v>11091</v>
      </c>
      <c r="E490" s="1" t="s">
        <v>2009</v>
      </c>
      <c r="F490" s="1" t="s">
        <v>562</v>
      </c>
      <c r="G490" s="1" t="s">
        <v>2010</v>
      </c>
      <c r="H490" s="1">
        <v>41.9</v>
      </c>
      <c r="I490" s="1">
        <v>0</v>
      </c>
      <c r="J490" s="1">
        <v>1</v>
      </c>
      <c r="K490" s="1"/>
      <c r="L490" s="1">
        <v>0</v>
      </c>
      <c r="M490" s="1" t="s">
        <v>2029</v>
      </c>
      <c r="N490" s="1" t="s">
        <v>2040</v>
      </c>
    </row>
    <row r="491" spans="1:14" x14ac:dyDescent="0.25">
      <c r="A491" s="1" t="s">
        <v>2198</v>
      </c>
      <c r="B491" s="1">
        <v>490</v>
      </c>
      <c r="C491" s="1" t="s">
        <v>102</v>
      </c>
      <c r="D491" s="1" t="s">
        <v>11091</v>
      </c>
      <c r="E491" s="1" t="s">
        <v>2009</v>
      </c>
      <c r="F491" s="1" t="s">
        <v>562</v>
      </c>
      <c r="G491" s="1" t="s">
        <v>2010</v>
      </c>
      <c r="H491" s="1">
        <v>41.9</v>
      </c>
      <c r="I491" s="1">
        <v>0</v>
      </c>
      <c r="J491" s="1">
        <v>1</v>
      </c>
      <c r="K491" s="1"/>
      <c r="L491" s="1">
        <v>0</v>
      </c>
      <c r="M491" s="1" t="s">
        <v>2042</v>
      </c>
      <c r="N491" s="1" t="s">
        <v>2043</v>
      </c>
    </row>
    <row r="492" spans="1:14" x14ac:dyDescent="0.25">
      <c r="A492" s="1" t="s">
        <v>2200</v>
      </c>
      <c r="B492" s="1">
        <v>491</v>
      </c>
      <c r="C492" s="1" t="s">
        <v>102</v>
      </c>
      <c r="D492" s="1" t="s">
        <v>11091</v>
      </c>
      <c r="E492" s="1" t="s">
        <v>2009</v>
      </c>
      <c r="F492" s="1" t="s">
        <v>562</v>
      </c>
      <c r="G492" s="1" t="s">
        <v>2010</v>
      </c>
      <c r="H492" s="1">
        <v>41.9</v>
      </c>
      <c r="I492" s="1">
        <v>0</v>
      </c>
      <c r="J492" s="1">
        <v>1</v>
      </c>
      <c r="K492" s="1"/>
      <c r="L492" s="1">
        <v>0</v>
      </c>
      <c r="M492" s="1" t="s">
        <v>2042</v>
      </c>
      <c r="N492" s="1" t="s">
        <v>2034</v>
      </c>
    </row>
    <row r="493" spans="1:14" x14ac:dyDescent="0.25">
      <c r="A493" s="1" t="s">
        <v>2202</v>
      </c>
      <c r="B493" s="1">
        <v>492</v>
      </c>
      <c r="C493" s="1" t="s">
        <v>102</v>
      </c>
      <c r="D493" s="1" t="s">
        <v>11091</v>
      </c>
      <c r="E493" s="1" t="s">
        <v>2009</v>
      </c>
      <c r="F493" s="1" t="s">
        <v>562</v>
      </c>
      <c r="G493" s="1" t="s">
        <v>2010</v>
      </c>
      <c r="H493" s="1">
        <v>41.9</v>
      </c>
      <c r="I493" s="1">
        <v>0</v>
      </c>
      <c r="J493" s="1">
        <v>1</v>
      </c>
      <c r="K493" s="1"/>
      <c r="L493" s="1">
        <v>0</v>
      </c>
      <c r="M493" s="1" t="s">
        <v>2045</v>
      </c>
      <c r="N493" s="1" t="s">
        <v>2046</v>
      </c>
    </row>
    <row r="494" spans="1:14" x14ac:dyDescent="0.25">
      <c r="A494" s="1" t="s">
        <v>2205</v>
      </c>
      <c r="B494" s="1">
        <v>493</v>
      </c>
      <c r="C494" s="1" t="s">
        <v>102</v>
      </c>
      <c r="D494" s="1" t="s">
        <v>11091</v>
      </c>
      <c r="E494" s="1" t="s">
        <v>2009</v>
      </c>
      <c r="F494" s="1" t="s">
        <v>562</v>
      </c>
      <c r="G494" s="1" t="s">
        <v>2010</v>
      </c>
      <c r="H494" s="1">
        <v>41.9</v>
      </c>
      <c r="I494" s="1">
        <v>0</v>
      </c>
      <c r="J494" s="1">
        <v>1</v>
      </c>
      <c r="K494" s="1"/>
      <c r="L494" s="1">
        <v>0</v>
      </c>
      <c r="M494" s="1" t="s">
        <v>2048</v>
      </c>
      <c r="N494" s="1" t="s">
        <v>2049</v>
      </c>
    </row>
    <row r="495" spans="1:14" x14ac:dyDescent="0.25">
      <c r="A495" s="1" t="s">
        <v>2207</v>
      </c>
      <c r="B495" s="1">
        <v>494</v>
      </c>
      <c r="C495" s="1" t="s">
        <v>102</v>
      </c>
      <c r="D495" s="1" t="s">
        <v>11091</v>
      </c>
      <c r="E495" s="1" t="s">
        <v>2009</v>
      </c>
      <c r="F495" s="1" t="s">
        <v>562</v>
      </c>
      <c r="G495" s="1" t="s">
        <v>2010</v>
      </c>
      <c r="H495" s="1">
        <v>41.9</v>
      </c>
      <c r="I495" s="1">
        <v>0</v>
      </c>
      <c r="J495" s="1">
        <v>1</v>
      </c>
      <c r="K495" s="1"/>
      <c r="L495" s="1">
        <v>0</v>
      </c>
      <c r="M495" s="1" t="s">
        <v>2048</v>
      </c>
      <c r="N495" s="1" t="s">
        <v>2051</v>
      </c>
    </row>
    <row r="496" spans="1:14" x14ac:dyDescent="0.25">
      <c r="A496" s="1" t="s">
        <v>2209</v>
      </c>
      <c r="B496" s="1">
        <v>495</v>
      </c>
      <c r="C496" s="1" t="s">
        <v>102</v>
      </c>
      <c r="D496" s="1" t="s">
        <v>11091</v>
      </c>
      <c r="E496" s="1" t="s">
        <v>2009</v>
      </c>
      <c r="F496" s="1" t="s">
        <v>562</v>
      </c>
      <c r="G496" s="1" t="s">
        <v>2010</v>
      </c>
      <c r="H496" s="1">
        <v>41.9</v>
      </c>
      <c r="I496" s="1">
        <v>0</v>
      </c>
      <c r="J496" s="1">
        <v>1</v>
      </c>
      <c r="K496" s="1"/>
      <c r="L496" s="1">
        <v>0</v>
      </c>
      <c r="M496" s="1" t="s">
        <v>2053</v>
      </c>
      <c r="N496" s="1" t="s">
        <v>2054</v>
      </c>
    </row>
    <row r="497" spans="1:14" x14ac:dyDescent="0.25">
      <c r="A497" s="1" t="s">
        <v>2212</v>
      </c>
      <c r="B497" s="1">
        <v>496</v>
      </c>
      <c r="C497" s="1" t="s">
        <v>102</v>
      </c>
      <c r="D497" s="1" t="s">
        <v>11091</v>
      </c>
      <c r="E497" s="1" t="s">
        <v>2009</v>
      </c>
      <c r="F497" s="1" t="s">
        <v>562</v>
      </c>
      <c r="G497" s="1" t="s">
        <v>2010</v>
      </c>
      <c r="H497" s="1">
        <v>41.9</v>
      </c>
      <c r="I497" s="1">
        <v>0</v>
      </c>
      <c r="J497" s="1">
        <v>1</v>
      </c>
      <c r="K497" s="1"/>
      <c r="L497" s="1">
        <v>0</v>
      </c>
      <c r="M497" s="1" t="s">
        <v>2056</v>
      </c>
      <c r="N497" s="1" t="s">
        <v>2057</v>
      </c>
    </row>
    <row r="498" spans="1:14" x14ac:dyDescent="0.25">
      <c r="A498" s="1" t="s">
        <v>2214</v>
      </c>
      <c r="B498" s="1">
        <v>497</v>
      </c>
      <c r="C498" s="1" t="s">
        <v>102</v>
      </c>
      <c r="D498" s="1" t="s">
        <v>11091</v>
      </c>
      <c r="E498" s="1" t="s">
        <v>2009</v>
      </c>
      <c r="F498" s="1" t="s">
        <v>562</v>
      </c>
      <c r="G498" s="1" t="s">
        <v>2010</v>
      </c>
      <c r="H498" s="1">
        <v>41.9</v>
      </c>
      <c r="I498" s="1">
        <v>0</v>
      </c>
      <c r="J498" s="1">
        <v>1</v>
      </c>
      <c r="K498" s="1"/>
      <c r="L498" s="1">
        <v>0</v>
      </c>
      <c r="M498" s="1" t="s">
        <v>2056</v>
      </c>
      <c r="N498" s="1" t="s">
        <v>2059</v>
      </c>
    </row>
    <row r="499" spans="1:14" x14ac:dyDescent="0.25">
      <c r="A499" s="1" t="s">
        <v>2216</v>
      </c>
      <c r="B499" s="1">
        <v>498</v>
      </c>
      <c r="C499" s="1" t="s">
        <v>102</v>
      </c>
      <c r="D499" s="1" t="s">
        <v>11091</v>
      </c>
      <c r="E499" s="1" t="s">
        <v>2009</v>
      </c>
      <c r="F499" s="1" t="s">
        <v>562</v>
      </c>
      <c r="G499" s="1" t="s">
        <v>2010</v>
      </c>
      <c r="H499" s="1">
        <v>41.9</v>
      </c>
      <c r="I499" s="1">
        <v>0</v>
      </c>
      <c r="J499" s="1">
        <v>1</v>
      </c>
      <c r="K499" s="1"/>
      <c r="L499" s="1">
        <v>0</v>
      </c>
      <c r="M499" s="1" t="s">
        <v>2056</v>
      </c>
      <c r="N499" s="1" t="s">
        <v>2061</v>
      </c>
    </row>
    <row r="500" spans="1:14" x14ac:dyDescent="0.25">
      <c r="A500" s="1" t="s">
        <v>2218</v>
      </c>
      <c r="B500" s="1">
        <v>499</v>
      </c>
      <c r="C500" s="1" t="s">
        <v>102</v>
      </c>
      <c r="D500" s="1" t="s">
        <v>11091</v>
      </c>
      <c r="E500" s="1" t="s">
        <v>2009</v>
      </c>
      <c r="F500" s="1" t="s">
        <v>562</v>
      </c>
      <c r="G500" s="1" t="s">
        <v>2010</v>
      </c>
      <c r="H500" s="1">
        <v>41.9</v>
      </c>
      <c r="I500" s="1">
        <v>0</v>
      </c>
      <c r="J500" s="1">
        <v>1</v>
      </c>
      <c r="K500" s="1"/>
      <c r="L500" s="1">
        <v>0</v>
      </c>
      <c r="M500" s="1" t="s">
        <v>2056</v>
      </c>
      <c r="N500" s="1" t="s">
        <v>2063</v>
      </c>
    </row>
    <row r="501" spans="1:14" s="16" customFormat="1" x14ac:dyDescent="0.25">
      <c r="A501" s="1" t="s">
        <v>2220</v>
      </c>
      <c r="B501" s="1">
        <v>500</v>
      </c>
      <c r="C501" s="1" t="s">
        <v>102</v>
      </c>
      <c r="D501" s="1" t="s">
        <v>11091</v>
      </c>
      <c r="E501" s="1" t="s">
        <v>2009</v>
      </c>
      <c r="F501" s="1" t="s">
        <v>562</v>
      </c>
      <c r="G501" s="1" t="s">
        <v>2010</v>
      </c>
      <c r="H501" s="1">
        <v>41.9</v>
      </c>
      <c r="I501" s="1">
        <v>0</v>
      </c>
      <c r="J501" s="1">
        <v>1</v>
      </c>
      <c r="K501" s="1"/>
      <c r="L501" s="1">
        <v>0</v>
      </c>
      <c r="M501" s="1" t="s">
        <v>2065</v>
      </c>
      <c r="N501" s="1" t="s">
        <v>2065</v>
      </c>
    </row>
    <row r="502" spans="1:14" s="1" customFormat="1" x14ac:dyDescent="0.25">
      <c r="A502" s="1" t="s">
        <v>2225</v>
      </c>
      <c r="B502" s="1">
        <v>501</v>
      </c>
      <c r="C502" s="1" t="s">
        <v>102</v>
      </c>
      <c r="D502" s="1" t="s">
        <v>11091</v>
      </c>
      <c r="E502" s="1" t="s">
        <v>2009</v>
      </c>
      <c r="F502" s="1" t="s">
        <v>562</v>
      </c>
      <c r="G502" s="1" t="s">
        <v>2010</v>
      </c>
      <c r="H502" s="1">
        <v>41.9</v>
      </c>
      <c r="I502" s="1">
        <v>0</v>
      </c>
      <c r="J502" s="1">
        <v>1</v>
      </c>
      <c r="L502" s="1">
        <v>0</v>
      </c>
      <c r="M502" s="1" t="s">
        <v>16043</v>
      </c>
      <c r="N502" s="1" t="s">
        <v>16043</v>
      </c>
    </row>
    <row r="503" spans="1:14" s="1" customFormat="1" x14ac:dyDescent="0.25">
      <c r="A503" s="1" t="s">
        <v>2228</v>
      </c>
      <c r="B503" s="1">
        <v>502</v>
      </c>
      <c r="C503" s="1" t="s">
        <v>102</v>
      </c>
      <c r="D503" s="1" t="s">
        <v>11091</v>
      </c>
      <c r="E503" s="1" t="s">
        <v>2009</v>
      </c>
      <c r="F503" s="1" t="s">
        <v>562</v>
      </c>
      <c r="G503" s="1" t="s">
        <v>2010</v>
      </c>
      <c r="H503" s="1">
        <v>41.9</v>
      </c>
      <c r="I503" s="1">
        <v>0</v>
      </c>
      <c r="J503" s="1">
        <v>1</v>
      </c>
      <c r="L503" s="1">
        <v>0</v>
      </c>
      <c r="M503" s="1" t="s">
        <v>16050</v>
      </c>
      <c r="N503" s="1" t="s">
        <v>16050</v>
      </c>
    </row>
    <row r="504" spans="1:14" x14ac:dyDescent="0.25">
      <c r="A504" s="1" t="s">
        <v>2230</v>
      </c>
      <c r="B504" s="1">
        <v>503</v>
      </c>
      <c r="C504" s="1" t="s">
        <v>102</v>
      </c>
      <c r="D504" s="1" t="s">
        <v>11091</v>
      </c>
      <c r="E504" s="1" t="s">
        <v>2009</v>
      </c>
      <c r="F504" s="1" t="s">
        <v>976</v>
      </c>
      <c r="G504" s="1" t="s">
        <v>2067</v>
      </c>
      <c r="H504" s="1">
        <v>41.9</v>
      </c>
      <c r="I504" s="1">
        <v>0</v>
      </c>
      <c r="J504" s="1">
        <v>1</v>
      </c>
      <c r="K504" s="1"/>
      <c r="L504" s="1">
        <v>0</v>
      </c>
      <c r="M504" s="1" t="s">
        <v>2068</v>
      </c>
      <c r="N504" s="1" t="s">
        <v>2069</v>
      </c>
    </row>
    <row r="505" spans="1:14" x14ac:dyDescent="0.25">
      <c r="A505" s="1" t="s">
        <v>2232</v>
      </c>
      <c r="B505" s="1">
        <v>504</v>
      </c>
      <c r="C505" s="1" t="s">
        <v>102</v>
      </c>
      <c r="D505" s="1" t="s">
        <v>11091</v>
      </c>
      <c r="E505" s="1" t="s">
        <v>2009</v>
      </c>
      <c r="F505" s="1" t="s">
        <v>976</v>
      </c>
      <c r="G505" s="1" t="s">
        <v>2067</v>
      </c>
      <c r="H505" s="1">
        <v>41.9</v>
      </c>
      <c r="I505" s="1">
        <v>0</v>
      </c>
      <c r="J505" s="1">
        <v>1</v>
      </c>
      <c r="K505" s="1"/>
      <c r="L505" s="1">
        <v>0</v>
      </c>
      <c r="M505" s="1" t="s">
        <v>2068</v>
      </c>
      <c r="N505" s="1" t="s">
        <v>2071</v>
      </c>
    </row>
    <row r="506" spans="1:14" x14ac:dyDescent="0.25">
      <c r="A506" s="1" t="s">
        <v>2234</v>
      </c>
      <c r="B506" s="1">
        <v>505</v>
      </c>
      <c r="C506" s="1" t="s">
        <v>102</v>
      </c>
      <c r="D506" s="1" t="s">
        <v>11091</v>
      </c>
      <c r="E506" s="1" t="s">
        <v>2009</v>
      </c>
      <c r="F506" s="1" t="s">
        <v>976</v>
      </c>
      <c r="G506" s="1" t="s">
        <v>2067</v>
      </c>
      <c r="H506" s="1">
        <v>41.9</v>
      </c>
      <c r="I506" s="1">
        <v>0</v>
      </c>
      <c r="J506" s="1">
        <v>1</v>
      </c>
      <c r="K506" s="1"/>
      <c r="L506" s="1">
        <v>0</v>
      </c>
      <c r="M506" s="1" t="s">
        <v>2068</v>
      </c>
      <c r="N506" s="1" t="s">
        <v>2073</v>
      </c>
    </row>
    <row r="507" spans="1:14" x14ac:dyDescent="0.25">
      <c r="A507" s="1" t="s">
        <v>2236</v>
      </c>
      <c r="B507" s="1">
        <v>506</v>
      </c>
      <c r="C507" s="1" t="s">
        <v>102</v>
      </c>
      <c r="D507" s="1" t="s">
        <v>11091</v>
      </c>
      <c r="E507" s="1" t="s">
        <v>2009</v>
      </c>
      <c r="F507" s="1" t="s">
        <v>976</v>
      </c>
      <c r="G507" s="1" t="s">
        <v>2067</v>
      </c>
      <c r="H507" s="1">
        <v>41.9</v>
      </c>
      <c r="I507" s="1">
        <v>0</v>
      </c>
      <c r="J507" s="1">
        <v>1</v>
      </c>
      <c r="K507" s="1"/>
      <c r="L507" s="1">
        <v>0</v>
      </c>
      <c r="M507" s="1" t="s">
        <v>2068</v>
      </c>
      <c r="N507" s="1" t="s">
        <v>2075</v>
      </c>
    </row>
    <row r="508" spans="1:14" x14ac:dyDescent="0.25">
      <c r="A508" s="1" t="s">
        <v>2238</v>
      </c>
      <c r="B508" s="1">
        <v>507</v>
      </c>
      <c r="C508" s="1" t="s">
        <v>102</v>
      </c>
      <c r="D508" s="1" t="s">
        <v>11091</v>
      </c>
      <c r="E508" s="1" t="s">
        <v>2009</v>
      </c>
      <c r="F508" s="1" t="s">
        <v>976</v>
      </c>
      <c r="G508" s="1" t="s">
        <v>2067</v>
      </c>
      <c r="H508" s="1">
        <v>41.9</v>
      </c>
      <c r="I508" s="1">
        <v>0</v>
      </c>
      <c r="J508" s="1">
        <v>1</v>
      </c>
      <c r="K508" s="1"/>
      <c r="L508" s="1">
        <v>0</v>
      </c>
      <c r="M508" s="1" t="s">
        <v>2068</v>
      </c>
      <c r="N508" s="1" t="s">
        <v>2077</v>
      </c>
    </row>
    <row r="509" spans="1:14" x14ac:dyDescent="0.25">
      <c r="A509" s="1" t="s">
        <v>2240</v>
      </c>
      <c r="B509" s="1">
        <v>508</v>
      </c>
      <c r="C509" s="1" t="s">
        <v>102</v>
      </c>
      <c r="D509" s="1" t="s">
        <v>11091</v>
      </c>
      <c r="E509" s="1" t="s">
        <v>2009</v>
      </c>
      <c r="F509" s="1" t="s">
        <v>976</v>
      </c>
      <c r="G509" s="1" t="s">
        <v>2067</v>
      </c>
      <c r="H509" s="1">
        <v>41.9</v>
      </c>
      <c r="I509" s="1">
        <v>0</v>
      </c>
      <c r="J509" s="1">
        <v>1</v>
      </c>
      <c r="K509" s="1"/>
      <c r="L509" s="1">
        <v>0</v>
      </c>
      <c r="M509" s="1" t="s">
        <v>2068</v>
      </c>
      <c r="N509" s="1" t="s">
        <v>2079</v>
      </c>
    </row>
    <row r="510" spans="1:14" x14ac:dyDescent="0.25">
      <c r="A510" s="1" t="s">
        <v>2242</v>
      </c>
      <c r="B510" s="1">
        <v>509</v>
      </c>
      <c r="C510" s="1" t="s">
        <v>102</v>
      </c>
      <c r="D510" s="1" t="s">
        <v>11091</v>
      </c>
      <c r="E510" s="1" t="s">
        <v>2009</v>
      </c>
      <c r="F510" s="1" t="s">
        <v>976</v>
      </c>
      <c r="G510" s="1" t="s">
        <v>2067</v>
      </c>
      <c r="H510" s="1">
        <v>41.9</v>
      </c>
      <c r="I510" s="1">
        <v>0</v>
      </c>
      <c r="J510" s="1">
        <v>1</v>
      </c>
      <c r="K510" s="1"/>
      <c r="L510" s="1">
        <v>0</v>
      </c>
      <c r="M510" s="1" t="s">
        <v>2068</v>
      </c>
      <c r="N510" s="1" t="s">
        <v>2081</v>
      </c>
    </row>
    <row r="511" spans="1:14" x14ac:dyDescent="0.25">
      <c r="A511" s="1" t="s">
        <v>2245</v>
      </c>
      <c r="B511" s="1">
        <v>510</v>
      </c>
      <c r="C511" s="1" t="s">
        <v>102</v>
      </c>
      <c r="D511" s="1" t="s">
        <v>11091</v>
      </c>
      <c r="E511" s="1" t="s">
        <v>2009</v>
      </c>
      <c r="F511" s="1" t="s">
        <v>976</v>
      </c>
      <c r="G511" s="1" t="s">
        <v>2067</v>
      </c>
      <c r="H511" s="1">
        <v>41.9</v>
      </c>
      <c r="I511" s="1">
        <v>0</v>
      </c>
      <c r="J511" s="1">
        <v>1</v>
      </c>
      <c r="K511" s="1"/>
      <c r="L511" s="1">
        <v>0</v>
      </c>
      <c r="M511" s="1" t="s">
        <v>2068</v>
      </c>
      <c r="N511" s="1" t="s">
        <v>2083</v>
      </c>
    </row>
    <row r="512" spans="1:14" x14ac:dyDescent="0.25">
      <c r="A512" s="1" t="s">
        <v>2247</v>
      </c>
      <c r="B512" s="1">
        <v>511</v>
      </c>
      <c r="C512" s="1" t="s">
        <v>102</v>
      </c>
      <c r="D512" s="1" t="s">
        <v>11091</v>
      </c>
      <c r="E512" s="1" t="s">
        <v>2009</v>
      </c>
      <c r="F512" s="1" t="s">
        <v>976</v>
      </c>
      <c r="G512" s="1" t="s">
        <v>2067</v>
      </c>
      <c r="H512" s="1">
        <v>41.9</v>
      </c>
      <c r="I512" s="1">
        <v>0</v>
      </c>
      <c r="J512" s="1">
        <v>1</v>
      </c>
      <c r="K512" s="1"/>
      <c r="L512" s="1">
        <v>0</v>
      </c>
      <c r="M512" s="1" t="s">
        <v>2068</v>
      </c>
      <c r="N512" s="1" t="s">
        <v>2085</v>
      </c>
    </row>
    <row r="513" spans="1:14" x14ac:dyDescent="0.25">
      <c r="A513" s="1" t="s">
        <v>2249</v>
      </c>
      <c r="B513" s="1">
        <v>512</v>
      </c>
      <c r="C513" s="1" t="s">
        <v>102</v>
      </c>
      <c r="D513" s="1" t="s">
        <v>11091</v>
      </c>
      <c r="E513" s="1" t="s">
        <v>2009</v>
      </c>
      <c r="F513" s="1" t="s">
        <v>976</v>
      </c>
      <c r="G513" s="1" t="s">
        <v>2067</v>
      </c>
      <c r="H513" s="1">
        <v>41.9</v>
      </c>
      <c r="I513" s="1">
        <v>0</v>
      </c>
      <c r="J513" s="1">
        <v>1</v>
      </c>
      <c r="K513" s="1"/>
      <c r="L513" s="1">
        <v>0</v>
      </c>
      <c r="M513" s="1" t="s">
        <v>2068</v>
      </c>
      <c r="N513" s="1" t="s">
        <v>2135</v>
      </c>
    </row>
    <row r="514" spans="1:14" x14ac:dyDescent="0.25">
      <c r="A514" s="1" t="s">
        <v>2252</v>
      </c>
      <c r="B514" s="1">
        <v>513</v>
      </c>
      <c r="C514" s="1" t="s">
        <v>102</v>
      </c>
      <c r="D514" s="1" t="s">
        <v>11091</v>
      </c>
      <c r="E514" s="1" t="s">
        <v>2009</v>
      </c>
      <c r="F514" s="1" t="s">
        <v>976</v>
      </c>
      <c r="G514" s="1" t="s">
        <v>2067</v>
      </c>
      <c r="H514" s="1">
        <v>41.9</v>
      </c>
      <c r="I514" s="1">
        <v>0</v>
      </c>
      <c r="J514" s="1">
        <v>1</v>
      </c>
      <c r="K514" s="1"/>
      <c r="L514" s="1">
        <v>0</v>
      </c>
      <c r="M514" s="1" t="s">
        <v>2068</v>
      </c>
      <c r="N514" s="1" t="s">
        <v>2106</v>
      </c>
    </row>
    <row r="515" spans="1:14" x14ac:dyDescent="0.25">
      <c r="A515" s="1" t="s">
        <v>2255</v>
      </c>
      <c r="B515" s="1">
        <v>514</v>
      </c>
      <c r="C515" s="1" t="s">
        <v>102</v>
      </c>
      <c r="D515" s="1" t="s">
        <v>11091</v>
      </c>
      <c r="E515" s="1" t="s">
        <v>2009</v>
      </c>
      <c r="F515" s="1" t="s">
        <v>976</v>
      </c>
      <c r="G515" s="1" t="s">
        <v>2067</v>
      </c>
      <c r="H515" s="1">
        <v>41.9</v>
      </c>
      <c r="I515" s="1">
        <v>0</v>
      </c>
      <c r="J515" s="1">
        <v>1</v>
      </c>
      <c r="K515" s="1"/>
      <c r="L515" s="1">
        <v>0</v>
      </c>
      <c r="M515" s="1" t="s">
        <v>2087</v>
      </c>
      <c r="N515" s="1" t="s">
        <v>2088</v>
      </c>
    </row>
    <row r="516" spans="1:14" x14ac:dyDescent="0.25">
      <c r="A516" s="1" t="s">
        <v>2257</v>
      </c>
      <c r="B516" s="1">
        <v>515</v>
      </c>
      <c r="C516" s="1" t="s">
        <v>102</v>
      </c>
      <c r="D516" s="1" t="s">
        <v>11091</v>
      </c>
      <c r="E516" s="1" t="s">
        <v>2009</v>
      </c>
      <c r="F516" s="1" t="s">
        <v>976</v>
      </c>
      <c r="G516" s="1" t="s">
        <v>2067</v>
      </c>
      <c r="H516" s="1">
        <v>41.9</v>
      </c>
      <c r="I516" s="1">
        <v>0</v>
      </c>
      <c r="J516" s="1">
        <v>1</v>
      </c>
      <c r="K516" s="1"/>
      <c r="L516" s="1">
        <v>0</v>
      </c>
      <c r="M516" s="1" t="s">
        <v>2090</v>
      </c>
      <c r="N516" s="1" t="s">
        <v>2091</v>
      </c>
    </row>
    <row r="517" spans="1:14" x14ac:dyDescent="0.25">
      <c r="A517" s="1" t="s">
        <v>2259</v>
      </c>
      <c r="B517" s="1">
        <v>516</v>
      </c>
      <c r="C517" s="1" t="s">
        <v>102</v>
      </c>
      <c r="D517" s="1" t="s">
        <v>11091</v>
      </c>
      <c r="E517" s="1" t="s">
        <v>2009</v>
      </c>
      <c r="F517" s="1" t="s">
        <v>976</v>
      </c>
      <c r="G517" s="1" t="s">
        <v>2067</v>
      </c>
      <c r="H517" s="1">
        <v>41.9</v>
      </c>
      <c r="I517" s="1">
        <v>0</v>
      </c>
      <c r="J517" s="1">
        <v>1</v>
      </c>
      <c r="K517" s="1"/>
      <c r="L517" s="1">
        <v>0</v>
      </c>
      <c r="M517" s="1" t="s">
        <v>2093</v>
      </c>
      <c r="N517" s="1" t="s">
        <v>2094</v>
      </c>
    </row>
    <row r="518" spans="1:14" x14ac:dyDescent="0.25">
      <c r="A518" s="1" t="s">
        <v>2262</v>
      </c>
      <c r="B518" s="1">
        <v>517</v>
      </c>
      <c r="C518" s="1" t="s">
        <v>102</v>
      </c>
      <c r="D518" s="1" t="s">
        <v>11091</v>
      </c>
      <c r="E518" s="1" t="s">
        <v>2009</v>
      </c>
      <c r="F518" s="1" t="s">
        <v>976</v>
      </c>
      <c r="G518" s="1" t="s">
        <v>2067</v>
      </c>
      <c r="H518" s="1">
        <v>41.9</v>
      </c>
      <c r="I518" s="1">
        <v>0</v>
      </c>
      <c r="J518" s="1">
        <v>1</v>
      </c>
      <c r="K518" s="1"/>
      <c r="L518" s="1">
        <v>0</v>
      </c>
      <c r="M518" s="1" t="s">
        <v>2093</v>
      </c>
      <c r="N518" s="1" t="s">
        <v>2096</v>
      </c>
    </row>
    <row r="519" spans="1:14" x14ac:dyDescent="0.25">
      <c r="A519" s="1" t="s">
        <v>2264</v>
      </c>
      <c r="B519" s="1">
        <v>518</v>
      </c>
      <c r="C519" s="1" t="s">
        <v>102</v>
      </c>
      <c r="D519" s="1" t="s">
        <v>11091</v>
      </c>
      <c r="E519" s="1" t="s">
        <v>2009</v>
      </c>
      <c r="F519" s="1" t="s">
        <v>976</v>
      </c>
      <c r="G519" s="1" t="s">
        <v>2067</v>
      </c>
      <c r="H519" s="1">
        <v>41.9</v>
      </c>
      <c r="I519" s="1">
        <v>0</v>
      </c>
      <c r="J519" s="1">
        <v>1</v>
      </c>
      <c r="K519" s="1"/>
      <c r="L519" s="1">
        <v>0</v>
      </c>
      <c r="M519" s="1" t="s">
        <v>2093</v>
      </c>
      <c r="N519" s="1" t="s">
        <v>2098</v>
      </c>
    </row>
    <row r="520" spans="1:14" x14ac:dyDescent="0.25">
      <c r="A520" s="1" t="s">
        <v>2266</v>
      </c>
      <c r="B520" s="1">
        <v>519</v>
      </c>
      <c r="C520" s="1" t="s">
        <v>102</v>
      </c>
      <c r="D520" s="1" t="s">
        <v>11091</v>
      </c>
      <c r="E520" s="1" t="s">
        <v>2009</v>
      </c>
      <c r="F520" s="1" t="s">
        <v>976</v>
      </c>
      <c r="G520" s="1" t="s">
        <v>2067</v>
      </c>
      <c r="H520" s="1">
        <v>41.9</v>
      </c>
      <c r="I520" s="1">
        <v>0</v>
      </c>
      <c r="J520" s="1">
        <v>1</v>
      </c>
      <c r="K520" s="1"/>
      <c r="L520" s="1">
        <v>0</v>
      </c>
      <c r="M520" s="1" t="s">
        <v>2093</v>
      </c>
      <c r="N520" s="1" t="s">
        <v>2100</v>
      </c>
    </row>
    <row r="521" spans="1:14" x14ac:dyDescent="0.25">
      <c r="A521" s="1" t="s">
        <v>2268</v>
      </c>
      <c r="B521" s="1">
        <v>520</v>
      </c>
      <c r="C521" s="1" t="s">
        <v>102</v>
      </c>
      <c r="D521" s="1" t="s">
        <v>11091</v>
      </c>
      <c r="E521" s="1" t="s">
        <v>2009</v>
      </c>
      <c r="F521" s="1" t="s">
        <v>976</v>
      </c>
      <c r="G521" s="1" t="s">
        <v>2067</v>
      </c>
      <c r="H521" s="1">
        <v>41.9</v>
      </c>
      <c r="I521" s="1">
        <v>0</v>
      </c>
      <c r="J521" s="1">
        <v>1</v>
      </c>
      <c r="K521" s="1"/>
      <c r="L521" s="1">
        <v>0</v>
      </c>
      <c r="M521" s="1" t="s">
        <v>2093</v>
      </c>
      <c r="N521" s="1" t="s">
        <v>2102</v>
      </c>
    </row>
    <row r="522" spans="1:14" x14ac:dyDescent="0.25">
      <c r="A522" s="1" t="s">
        <v>2270</v>
      </c>
      <c r="B522" s="1">
        <v>521</v>
      </c>
      <c r="C522" s="1" t="s">
        <v>102</v>
      </c>
      <c r="D522" s="1" t="s">
        <v>11091</v>
      </c>
      <c r="E522" s="1" t="s">
        <v>2009</v>
      </c>
      <c r="F522" s="1" t="s">
        <v>976</v>
      </c>
      <c r="G522" s="1" t="s">
        <v>2067</v>
      </c>
      <c r="H522" s="1">
        <v>41.9</v>
      </c>
      <c r="I522" s="1">
        <v>0</v>
      </c>
      <c r="J522" s="1">
        <v>1</v>
      </c>
      <c r="K522" s="1"/>
      <c r="L522" s="1">
        <v>0</v>
      </c>
      <c r="M522" s="1" t="s">
        <v>2093</v>
      </c>
      <c r="N522" s="1" t="s">
        <v>2104</v>
      </c>
    </row>
    <row r="523" spans="1:14" x14ac:dyDescent="0.25">
      <c r="A523" s="1" t="s">
        <v>2272</v>
      </c>
      <c r="B523" s="1">
        <v>522</v>
      </c>
      <c r="C523" s="1" t="s">
        <v>102</v>
      </c>
      <c r="D523" s="1" t="s">
        <v>11091</v>
      </c>
      <c r="E523" s="1" t="s">
        <v>2009</v>
      </c>
      <c r="F523" s="1" t="s">
        <v>976</v>
      </c>
      <c r="G523" s="1" t="s">
        <v>2067</v>
      </c>
      <c r="H523" s="1">
        <v>41.9</v>
      </c>
      <c r="I523" s="1">
        <v>0</v>
      </c>
      <c r="J523" s="1">
        <v>1</v>
      </c>
      <c r="K523" s="1"/>
      <c r="L523" s="1">
        <v>0</v>
      </c>
      <c r="M523" s="1" t="s">
        <v>2108</v>
      </c>
      <c r="N523" s="1" t="s">
        <v>2109</v>
      </c>
    </row>
    <row r="524" spans="1:14" x14ac:dyDescent="0.25">
      <c r="A524" s="1" t="s">
        <v>2274</v>
      </c>
      <c r="B524" s="1">
        <v>523</v>
      </c>
      <c r="C524" s="1" t="s">
        <v>102</v>
      </c>
      <c r="D524" s="1" t="s">
        <v>11091</v>
      </c>
      <c r="E524" s="1" t="s">
        <v>2009</v>
      </c>
      <c r="F524" s="1" t="s">
        <v>976</v>
      </c>
      <c r="G524" s="1" t="s">
        <v>2067</v>
      </c>
      <c r="H524" s="1">
        <v>41.9</v>
      </c>
      <c r="I524" s="1">
        <v>0</v>
      </c>
      <c r="J524" s="1">
        <v>1</v>
      </c>
      <c r="K524" s="1"/>
      <c r="L524" s="1">
        <v>0</v>
      </c>
      <c r="M524" s="1" t="s">
        <v>2108</v>
      </c>
      <c r="N524" s="1" t="s">
        <v>2111</v>
      </c>
    </row>
    <row r="525" spans="1:14" x14ac:dyDescent="0.25">
      <c r="A525" s="1" t="s">
        <v>2277</v>
      </c>
      <c r="B525" s="1">
        <v>524</v>
      </c>
      <c r="C525" s="1" t="s">
        <v>102</v>
      </c>
      <c r="D525" s="1" t="s">
        <v>11091</v>
      </c>
      <c r="E525" s="1" t="s">
        <v>2009</v>
      </c>
      <c r="F525" s="1" t="s">
        <v>976</v>
      </c>
      <c r="G525" s="1" t="s">
        <v>2067</v>
      </c>
      <c r="H525" s="1">
        <v>41.9</v>
      </c>
      <c r="I525" s="1">
        <v>0</v>
      </c>
      <c r="J525" s="1">
        <v>1</v>
      </c>
      <c r="K525" s="1"/>
      <c r="L525" s="1">
        <v>0</v>
      </c>
      <c r="M525" s="1" t="s">
        <v>2108</v>
      </c>
      <c r="N525" s="1" t="s">
        <v>2113</v>
      </c>
    </row>
    <row r="526" spans="1:14" x14ac:dyDescent="0.25">
      <c r="A526" s="1" t="s">
        <v>2279</v>
      </c>
      <c r="B526" s="1">
        <v>525</v>
      </c>
      <c r="C526" s="1" t="s">
        <v>102</v>
      </c>
      <c r="D526" s="1" t="s">
        <v>11091</v>
      </c>
      <c r="E526" s="1" t="s">
        <v>2009</v>
      </c>
      <c r="F526" s="1" t="s">
        <v>976</v>
      </c>
      <c r="G526" s="1" t="s">
        <v>2067</v>
      </c>
      <c r="H526" s="1">
        <v>41.9</v>
      </c>
      <c r="I526" s="1">
        <v>0</v>
      </c>
      <c r="J526" s="1">
        <v>1</v>
      </c>
      <c r="K526" s="1"/>
      <c r="L526" s="1">
        <v>0</v>
      </c>
      <c r="M526" s="1" t="s">
        <v>2108</v>
      </c>
      <c r="N526" s="1" t="s">
        <v>2115</v>
      </c>
    </row>
    <row r="527" spans="1:14" x14ac:dyDescent="0.25">
      <c r="A527" s="1" t="s">
        <v>2281</v>
      </c>
      <c r="B527" s="1">
        <v>526</v>
      </c>
      <c r="C527" s="1" t="s">
        <v>102</v>
      </c>
      <c r="D527" s="1" t="s">
        <v>11091</v>
      </c>
      <c r="E527" s="1" t="s">
        <v>2009</v>
      </c>
      <c r="F527" s="1" t="s">
        <v>976</v>
      </c>
      <c r="G527" s="1" t="s">
        <v>2067</v>
      </c>
      <c r="H527" s="1">
        <v>41.9</v>
      </c>
      <c r="I527" s="1">
        <v>0</v>
      </c>
      <c r="J527" s="1">
        <v>1</v>
      </c>
      <c r="K527" s="1"/>
      <c r="L527" s="1">
        <v>0</v>
      </c>
      <c r="M527" s="1" t="s">
        <v>2117</v>
      </c>
      <c r="N527" s="1" t="s">
        <v>2118</v>
      </c>
    </row>
    <row r="528" spans="1:14" x14ac:dyDescent="0.25">
      <c r="A528" s="1" t="s">
        <v>2283</v>
      </c>
      <c r="B528" s="1">
        <v>527</v>
      </c>
      <c r="C528" s="1" t="s">
        <v>102</v>
      </c>
      <c r="D528" s="1" t="s">
        <v>11091</v>
      </c>
      <c r="E528" s="1" t="s">
        <v>2009</v>
      </c>
      <c r="F528" s="1" t="s">
        <v>976</v>
      </c>
      <c r="G528" s="1" t="s">
        <v>2067</v>
      </c>
      <c r="H528" s="1">
        <v>41.9</v>
      </c>
      <c r="I528" s="1">
        <v>0</v>
      </c>
      <c r="J528" s="1">
        <v>1</v>
      </c>
      <c r="K528" s="1"/>
      <c r="L528" s="1">
        <v>0</v>
      </c>
      <c r="M528" s="1" t="s">
        <v>2120</v>
      </c>
      <c r="N528" s="1" t="s">
        <v>2121</v>
      </c>
    </row>
    <row r="529" spans="1:14" x14ac:dyDescent="0.25">
      <c r="A529" s="1" t="s">
        <v>2287</v>
      </c>
      <c r="B529" s="1">
        <v>528</v>
      </c>
      <c r="C529" s="1" t="s">
        <v>102</v>
      </c>
      <c r="D529" s="1" t="s">
        <v>11091</v>
      </c>
      <c r="E529" s="1" t="s">
        <v>2009</v>
      </c>
      <c r="F529" s="1" t="s">
        <v>976</v>
      </c>
      <c r="G529" s="1" t="s">
        <v>2067</v>
      </c>
      <c r="H529" s="1">
        <v>41.9</v>
      </c>
      <c r="I529" s="1">
        <v>0</v>
      </c>
      <c r="J529" s="1">
        <v>1</v>
      </c>
      <c r="K529" s="1"/>
      <c r="L529" s="1">
        <v>0</v>
      </c>
      <c r="M529" s="1" t="s">
        <v>2120</v>
      </c>
      <c r="N529" s="1" t="s">
        <v>2133</v>
      </c>
    </row>
    <row r="530" spans="1:14" x14ac:dyDescent="0.25">
      <c r="A530" s="1" t="s">
        <v>2289</v>
      </c>
      <c r="B530" s="1">
        <v>529</v>
      </c>
      <c r="C530" s="1" t="s">
        <v>102</v>
      </c>
      <c r="D530" s="1" t="s">
        <v>11091</v>
      </c>
      <c r="E530" s="1" t="s">
        <v>2009</v>
      </c>
      <c r="F530" s="1" t="s">
        <v>976</v>
      </c>
      <c r="G530" s="1" t="s">
        <v>2067</v>
      </c>
      <c r="H530" s="1">
        <v>41.9</v>
      </c>
      <c r="I530" s="1">
        <v>0</v>
      </c>
      <c r="J530" s="1">
        <v>1</v>
      </c>
      <c r="K530" s="1"/>
      <c r="L530" s="1">
        <v>0</v>
      </c>
      <c r="M530" s="1" t="s">
        <v>2120</v>
      </c>
      <c r="N530" s="1" t="s">
        <v>5786</v>
      </c>
    </row>
    <row r="531" spans="1:14" x14ac:dyDescent="0.25">
      <c r="A531" s="1" t="s">
        <v>2291</v>
      </c>
      <c r="B531" s="1">
        <v>530</v>
      </c>
      <c r="C531" s="1" t="s">
        <v>102</v>
      </c>
      <c r="D531" s="1" t="s">
        <v>11091</v>
      </c>
      <c r="E531" s="1" t="s">
        <v>2009</v>
      </c>
      <c r="F531" s="1" t="s">
        <v>976</v>
      </c>
      <c r="G531" s="1" t="s">
        <v>2067</v>
      </c>
      <c r="H531" s="1">
        <v>41.9</v>
      </c>
      <c r="I531" s="1">
        <v>0</v>
      </c>
      <c r="J531" s="1">
        <v>1</v>
      </c>
      <c r="K531" s="1"/>
      <c r="L531" s="1">
        <v>0</v>
      </c>
      <c r="M531" s="1" t="s">
        <v>2120</v>
      </c>
      <c r="N531" s="1" t="s">
        <v>5787</v>
      </c>
    </row>
    <row r="532" spans="1:14" x14ac:dyDescent="0.25">
      <c r="A532" s="1" t="s">
        <v>2293</v>
      </c>
      <c r="B532" s="1">
        <v>531</v>
      </c>
      <c r="C532" s="1" t="s">
        <v>102</v>
      </c>
      <c r="D532" s="1" t="s">
        <v>11091</v>
      </c>
      <c r="E532" s="1" t="s">
        <v>2009</v>
      </c>
      <c r="F532" s="1" t="s">
        <v>976</v>
      </c>
      <c r="G532" s="1" t="s">
        <v>2067</v>
      </c>
      <c r="H532" s="1">
        <v>41.9</v>
      </c>
      <c r="I532" s="1">
        <v>0</v>
      </c>
      <c r="J532" s="1">
        <v>1</v>
      </c>
      <c r="K532" s="1"/>
      <c r="L532" s="1">
        <v>0</v>
      </c>
      <c r="M532" s="1" t="s">
        <v>2120</v>
      </c>
      <c r="N532" s="1" t="s">
        <v>5788</v>
      </c>
    </row>
    <row r="533" spans="1:14" x14ac:dyDescent="0.25">
      <c r="A533" s="1" t="s">
        <v>2295</v>
      </c>
      <c r="B533" s="1">
        <v>532</v>
      </c>
      <c r="C533" s="1" t="s">
        <v>102</v>
      </c>
      <c r="D533" s="1" t="s">
        <v>11091</v>
      </c>
      <c r="E533" s="1" t="s">
        <v>2009</v>
      </c>
      <c r="F533" s="1" t="s">
        <v>976</v>
      </c>
      <c r="G533" s="1" t="s">
        <v>2067</v>
      </c>
      <c r="H533" s="1">
        <v>41.9</v>
      </c>
      <c r="I533" s="1">
        <v>0</v>
      </c>
      <c r="J533" s="1">
        <v>1</v>
      </c>
      <c r="K533" s="1"/>
      <c r="L533" s="1">
        <v>0</v>
      </c>
      <c r="M533" s="1" t="s">
        <v>2120</v>
      </c>
      <c r="N533" s="1" t="s">
        <v>2123</v>
      </c>
    </row>
    <row r="534" spans="1:14" x14ac:dyDescent="0.25">
      <c r="A534" s="1" t="s">
        <v>2297</v>
      </c>
      <c r="B534" s="1">
        <v>533</v>
      </c>
      <c r="C534" s="1" t="s">
        <v>102</v>
      </c>
      <c r="D534" s="1" t="s">
        <v>11091</v>
      </c>
      <c r="E534" s="1" t="s">
        <v>2009</v>
      </c>
      <c r="F534" s="1" t="s">
        <v>976</v>
      </c>
      <c r="G534" s="1" t="s">
        <v>2067</v>
      </c>
      <c r="H534" s="1">
        <v>41.9</v>
      </c>
      <c r="I534" s="1">
        <v>0</v>
      </c>
      <c r="J534" s="1">
        <v>1</v>
      </c>
      <c r="K534" s="1"/>
      <c r="L534" s="1">
        <v>0</v>
      </c>
      <c r="M534" s="1" t="s">
        <v>2120</v>
      </c>
      <c r="N534" s="1" t="s">
        <v>2125</v>
      </c>
    </row>
    <row r="535" spans="1:14" x14ac:dyDescent="0.25">
      <c r="A535" s="1" t="s">
        <v>2300</v>
      </c>
      <c r="B535" s="1">
        <v>534</v>
      </c>
      <c r="C535" s="1" t="s">
        <v>102</v>
      </c>
      <c r="D535" s="1" t="s">
        <v>11091</v>
      </c>
      <c r="E535" s="1" t="s">
        <v>2009</v>
      </c>
      <c r="F535" s="1" t="s">
        <v>976</v>
      </c>
      <c r="G535" s="1" t="s">
        <v>2067</v>
      </c>
      <c r="H535" s="1">
        <v>41.9</v>
      </c>
      <c r="I535" s="1">
        <v>0</v>
      </c>
      <c r="J535" s="1">
        <v>1</v>
      </c>
      <c r="K535" s="1"/>
      <c r="L535" s="1">
        <v>0</v>
      </c>
      <c r="M535" s="1" t="s">
        <v>2120</v>
      </c>
      <c r="N535" s="1" t="s">
        <v>2127</v>
      </c>
    </row>
    <row r="536" spans="1:14" s="16" customFormat="1" x14ac:dyDescent="0.25">
      <c r="A536" s="1" t="s">
        <v>2302</v>
      </c>
      <c r="B536" s="1">
        <v>535</v>
      </c>
      <c r="C536" s="1" t="s">
        <v>102</v>
      </c>
      <c r="D536" s="1" t="s">
        <v>11091</v>
      </c>
      <c r="E536" s="1" t="s">
        <v>2009</v>
      </c>
      <c r="F536" s="1" t="s">
        <v>976</v>
      </c>
      <c r="G536" s="1" t="s">
        <v>2067</v>
      </c>
      <c r="H536" s="1">
        <v>41.9</v>
      </c>
      <c r="I536" s="1">
        <v>0</v>
      </c>
      <c r="J536" s="1">
        <v>1</v>
      </c>
      <c r="K536" s="1"/>
      <c r="L536" s="1">
        <v>0</v>
      </c>
      <c r="M536" s="1" t="s">
        <v>2120</v>
      </c>
      <c r="N536" s="1" t="s">
        <v>2129</v>
      </c>
    </row>
    <row r="537" spans="1:14" s="16" customFormat="1" x14ac:dyDescent="0.25">
      <c r="A537" s="1" t="s">
        <v>2304</v>
      </c>
      <c r="B537" s="1">
        <v>536</v>
      </c>
      <c r="C537" s="1" t="s">
        <v>102</v>
      </c>
      <c r="D537" s="1" t="s">
        <v>11091</v>
      </c>
      <c r="E537" s="1" t="s">
        <v>2009</v>
      </c>
      <c r="F537" s="1" t="s">
        <v>976</v>
      </c>
      <c r="G537" s="1" t="s">
        <v>2067</v>
      </c>
      <c r="H537" s="1">
        <v>41.9</v>
      </c>
      <c r="I537" s="1">
        <v>0</v>
      </c>
      <c r="J537" s="1">
        <v>1</v>
      </c>
      <c r="K537" s="1"/>
      <c r="L537" s="1">
        <v>0</v>
      </c>
      <c r="M537" s="1" t="s">
        <v>2120</v>
      </c>
      <c r="N537" s="1" t="s">
        <v>2131</v>
      </c>
    </row>
    <row r="538" spans="1:14" s="1" customFormat="1" x14ac:dyDescent="0.25">
      <c r="A538" s="1" t="s">
        <v>2306</v>
      </c>
      <c r="B538" s="1">
        <v>537</v>
      </c>
      <c r="C538" s="1" t="s">
        <v>102</v>
      </c>
      <c r="D538" s="1" t="s">
        <v>11091</v>
      </c>
      <c r="E538" s="1" t="s">
        <v>2009</v>
      </c>
      <c r="F538" s="1" t="s">
        <v>976</v>
      </c>
      <c r="G538" s="1" t="s">
        <v>2067</v>
      </c>
      <c r="H538" s="1">
        <v>41.9</v>
      </c>
      <c r="I538" s="1">
        <v>0</v>
      </c>
      <c r="J538" s="1">
        <v>1</v>
      </c>
      <c r="L538" s="1">
        <v>0</v>
      </c>
      <c r="M538" s="1" t="s">
        <v>15208</v>
      </c>
      <c r="N538" s="1" t="s">
        <v>15208</v>
      </c>
    </row>
    <row r="539" spans="1:14" s="1" customFormat="1" x14ac:dyDescent="0.25">
      <c r="A539" s="1" t="s">
        <v>2308</v>
      </c>
      <c r="B539" s="1">
        <v>538</v>
      </c>
      <c r="C539" s="1" t="s">
        <v>102</v>
      </c>
      <c r="D539" s="1" t="s">
        <v>11091</v>
      </c>
      <c r="E539" s="1" t="s">
        <v>2009</v>
      </c>
      <c r="F539" s="1" t="s">
        <v>976</v>
      </c>
      <c r="G539" s="1" t="s">
        <v>2067</v>
      </c>
      <c r="H539" s="1">
        <v>41.9</v>
      </c>
      <c r="I539" s="1">
        <v>0</v>
      </c>
      <c r="J539" s="1">
        <v>1</v>
      </c>
      <c r="L539" s="1">
        <v>0</v>
      </c>
      <c r="M539" s="1" t="s">
        <v>15210</v>
      </c>
      <c r="N539" s="1" t="s">
        <v>15210</v>
      </c>
    </row>
    <row r="540" spans="1:14" x14ac:dyDescent="0.25">
      <c r="A540" s="1" t="s">
        <v>2310</v>
      </c>
      <c r="B540" s="1">
        <v>539</v>
      </c>
      <c r="C540" s="1" t="s">
        <v>102</v>
      </c>
      <c r="D540" s="1" t="s">
        <v>11091</v>
      </c>
      <c r="E540" s="1" t="s">
        <v>2009</v>
      </c>
      <c r="F540" s="1" t="s">
        <v>988</v>
      </c>
      <c r="G540" s="1" t="s">
        <v>2137</v>
      </c>
      <c r="H540" s="1">
        <v>41.9</v>
      </c>
      <c r="I540" s="1">
        <v>0</v>
      </c>
      <c r="J540" s="1">
        <v>1</v>
      </c>
      <c r="K540" s="1"/>
      <c r="L540" s="1">
        <v>0</v>
      </c>
      <c r="M540" s="1" t="s">
        <v>2138</v>
      </c>
      <c r="N540" s="1" t="s">
        <v>2139</v>
      </c>
    </row>
    <row r="541" spans="1:14" x14ac:dyDescent="0.25">
      <c r="A541" s="1" t="s">
        <v>2312</v>
      </c>
      <c r="B541" s="1">
        <v>540</v>
      </c>
      <c r="C541" s="1" t="s">
        <v>102</v>
      </c>
      <c r="D541" s="1" t="s">
        <v>11091</v>
      </c>
      <c r="E541" s="1" t="s">
        <v>2009</v>
      </c>
      <c r="F541" s="1" t="s">
        <v>988</v>
      </c>
      <c r="G541" s="1" t="s">
        <v>2137</v>
      </c>
      <c r="H541" s="1">
        <v>41.9</v>
      </c>
      <c r="I541" s="1">
        <v>0</v>
      </c>
      <c r="J541" s="1">
        <v>1</v>
      </c>
      <c r="K541" s="1"/>
      <c r="L541" s="1">
        <v>0</v>
      </c>
      <c r="M541" s="1" t="s">
        <v>2138</v>
      </c>
      <c r="N541" s="1" t="s">
        <v>2141</v>
      </c>
    </row>
    <row r="542" spans="1:14" x14ac:dyDescent="0.25">
      <c r="A542" s="1" t="s">
        <v>2314</v>
      </c>
      <c r="B542" s="1">
        <v>541</v>
      </c>
      <c r="C542" s="1" t="s">
        <v>102</v>
      </c>
      <c r="D542" s="1" t="s">
        <v>11091</v>
      </c>
      <c r="E542" s="1" t="s">
        <v>2009</v>
      </c>
      <c r="F542" s="1" t="s">
        <v>988</v>
      </c>
      <c r="G542" s="1" t="s">
        <v>2137</v>
      </c>
      <c r="H542" s="1">
        <v>41.9</v>
      </c>
      <c r="I542" s="1">
        <v>0</v>
      </c>
      <c r="J542" s="1">
        <v>1</v>
      </c>
      <c r="K542" s="1"/>
      <c r="L542" s="1">
        <v>0</v>
      </c>
      <c r="M542" s="1" t="s">
        <v>2143</v>
      </c>
      <c r="N542" s="1" t="s">
        <v>2144</v>
      </c>
    </row>
    <row r="543" spans="1:14" x14ac:dyDescent="0.25">
      <c r="A543" s="1" t="s">
        <v>5793</v>
      </c>
      <c r="B543" s="1">
        <v>542</v>
      </c>
      <c r="C543" s="1" t="s">
        <v>102</v>
      </c>
      <c r="D543" s="1" t="s">
        <v>11091</v>
      </c>
      <c r="E543" s="1" t="s">
        <v>2009</v>
      </c>
      <c r="F543" s="1" t="s">
        <v>988</v>
      </c>
      <c r="G543" s="1" t="s">
        <v>2137</v>
      </c>
      <c r="H543" s="1">
        <v>41.9</v>
      </c>
      <c r="I543" s="1">
        <v>0</v>
      </c>
      <c r="J543" s="1">
        <v>1</v>
      </c>
      <c r="K543" s="1"/>
      <c r="L543" s="1">
        <v>0</v>
      </c>
      <c r="M543" s="1" t="s">
        <v>2143</v>
      </c>
      <c r="N543" s="1" t="s">
        <v>2146</v>
      </c>
    </row>
    <row r="544" spans="1:14" x14ac:dyDescent="0.25">
      <c r="A544" s="1" t="s">
        <v>5794</v>
      </c>
      <c r="B544" s="1">
        <v>543</v>
      </c>
      <c r="C544" s="1" t="s">
        <v>102</v>
      </c>
      <c r="D544" s="1" t="s">
        <v>11091</v>
      </c>
      <c r="E544" s="1" t="s">
        <v>2009</v>
      </c>
      <c r="F544" s="1" t="s">
        <v>988</v>
      </c>
      <c r="G544" s="1" t="s">
        <v>2137</v>
      </c>
      <c r="H544" s="1">
        <v>41.9</v>
      </c>
      <c r="I544" s="1">
        <v>0</v>
      </c>
      <c r="J544" s="1">
        <v>1</v>
      </c>
      <c r="K544" s="1"/>
      <c r="L544" s="1">
        <v>0</v>
      </c>
      <c r="M544" s="1" t="s">
        <v>2143</v>
      </c>
      <c r="N544" s="1" t="s">
        <v>2148</v>
      </c>
    </row>
    <row r="545" spans="1:14" x14ac:dyDescent="0.25">
      <c r="A545" s="1" t="s">
        <v>5795</v>
      </c>
      <c r="B545" s="1">
        <v>544</v>
      </c>
      <c r="C545" s="1" t="s">
        <v>102</v>
      </c>
      <c r="D545" s="1" t="s">
        <v>11091</v>
      </c>
      <c r="E545" s="1" t="s">
        <v>2009</v>
      </c>
      <c r="F545" s="1" t="s">
        <v>988</v>
      </c>
      <c r="G545" s="1" t="s">
        <v>2137</v>
      </c>
      <c r="H545" s="1">
        <v>41.9</v>
      </c>
      <c r="I545" s="1">
        <v>0</v>
      </c>
      <c r="J545" s="1">
        <v>1</v>
      </c>
      <c r="K545" s="1"/>
      <c r="L545" s="1">
        <v>0</v>
      </c>
      <c r="M545" s="1" t="s">
        <v>2143</v>
      </c>
      <c r="N545" s="1" t="s">
        <v>2150</v>
      </c>
    </row>
    <row r="546" spans="1:14" x14ac:dyDescent="0.25">
      <c r="A546" s="1" t="s">
        <v>5796</v>
      </c>
      <c r="B546" s="1">
        <v>545</v>
      </c>
      <c r="C546" s="1" t="s">
        <v>102</v>
      </c>
      <c r="D546" s="1" t="s">
        <v>11091</v>
      </c>
      <c r="E546" s="1" t="s">
        <v>2009</v>
      </c>
      <c r="F546" s="1" t="s">
        <v>988</v>
      </c>
      <c r="G546" s="1" t="s">
        <v>2137</v>
      </c>
      <c r="H546" s="1">
        <v>41.9</v>
      </c>
      <c r="I546" s="1">
        <v>0</v>
      </c>
      <c r="J546" s="1">
        <v>1</v>
      </c>
      <c r="K546" s="1"/>
      <c r="L546" s="1">
        <v>0</v>
      </c>
      <c r="M546" s="1" t="s">
        <v>2143</v>
      </c>
      <c r="N546" s="1" t="s">
        <v>2152</v>
      </c>
    </row>
    <row r="547" spans="1:14" x14ac:dyDescent="0.25">
      <c r="A547" s="1" t="s">
        <v>5797</v>
      </c>
      <c r="B547" s="1">
        <v>546</v>
      </c>
      <c r="C547" s="1" t="s">
        <v>102</v>
      </c>
      <c r="D547" s="1" t="s">
        <v>11091</v>
      </c>
      <c r="E547" s="1" t="s">
        <v>2009</v>
      </c>
      <c r="F547" s="1" t="s">
        <v>988</v>
      </c>
      <c r="G547" s="1" t="s">
        <v>2137</v>
      </c>
      <c r="H547" s="1">
        <v>41.9</v>
      </c>
      <c r="I547" s="1">
        <v>0</v>
      </c>
      <c r="J547" s="1">
        <v>1</v>
      </c>
      <c r="K547" s="1"/>
      <c r="L547" s="1">
        <v>0</v>
      </c>
      <c r="M547" s="1" t="s">
        <v>2143</v>
      </c>
      <c r="N547" s="1" t="s">
        <v>2154</v>
      </c>
    </row>
    <row r="548" spans="1:14" x14ac:dyDescent="0.25">
      <c r="A548" s="1" t="s">
        <v>5798</v>
      </c>
      <c r="B548" s="1">
        <v>547</v>
      </c>
      <c r="C548" s="1" t="s">
        <v>102</v>
      </c>
      <c r="D548" s="1" t="s">
        <v>11091</v>
      </c>
      <c r="E548" s="1" t="s">
        <v>2009</v>
      </c>
      <c r="F548" s="1" t="s">
        <v>988</v>
      </c>
      <c r="G548" s="1" t="s">
        <v>2137</v>
      </c>
      <c r="H548" s="1">
        <v>41.9</v>
      </c>
      <c r="I548" s="1">
        <v>0</v>
      </c>
      <c r="J548" s="1">
        <v>1</v>
      </c>
      <c r="K548" s="1"/>
      <c r="L548" s="1">
        <v>0</v>
      </c>
      <c r="M548" s="1" t="s">
        <v>2156</v>
      </c>
      <c r="N548" s="1" t="s">
        <v>2157</v>
      </c>
    </row>
    <row r="549" spans="1:14" x14ac:dyDescent="0.25">
      <c r="A549" s="1" t="s">
        <v>2316</v>
      </c>
      <c r="B549" s="1">
        <v>548</v>
      </c>
      <c r="C549" s="1" t="s">
        <v>102</v>
      </c>
      <c r="D549" s="1" t="s">
        <v>11091</v>
      </c>
      <c r="E549" s="1" t="s">
        <v>2009</v>
      </c>
      <c r="F549" s="1" t="s">
        <v>988</v>
      </c>
      <c r="G549" s="1" t="s">
        <v>2137</v>
      </c>
      <c r="H549" s="1">
        <v>41.9</v>
      </c>
      <c r="I549" s="1">
        <v>0</v>
      </c>
      <c r="J549" s="1">
        <v>1</v>
      </c>
      <c r="K549" s="1"/>
      <c r="L549" s="1">
        <v>0</v>
      </c>
      <c r="M549" s="1" t="s">
        <v>2159</v>
      </c>
      <c r="N549" s="1" t="s">
        <v>2160</v>
      </c>
    </row>
    <row r="550" spans="1:14" x14ac:dyDescent="0.25">
      <c r="A550" s="1" t="s">
        <v>2319</v>
      </c>
      <c r="B550" s="1">
        <v>549</v>
      </c>
      <c r="C550" s="1" t="s">
        <v>102</v>
      </c>
      <c r="D550" s="1" t="s">
        <v>11091</v>
      </c>
      <c r="E550" s="1" t="s">
        <v>2009</v>
      </c>
      <c r="F550" s="1" t="s">
        <v>988</v>
      </c>
      <c r="G550" s="1" t="s">
        <v>2137</v>
      </c>
      <c r="H550" s="1">
        <v>41.9</v>
      </c>
      <c r="I550" s="1">
        <v>0</v>
      </c>
      <c r="J550" s="1">
        <v>1</v>
      </c>
      <c r="K550" s="1"/>
      <c r="L550" s="1">
        <v>0</v>
      </c>
      <c r="M550" s="1" t="s">
        <v>2159</v>
      </c>
      <c r="N550" s="1" t="s">
        <v>2162</v>
      </c>
    </row>
    <row r="551" spans="1:14" x14ac:dyDescent="0.25">
      <c r="A551" s="1" t="s">
        <v>2323</v>
      </c>
      <c r="B551" s="1">
        <v>550</v>
      </c>
      <c r="C551" s="1" t="s">
        <v>102</v>
      </c>
      <c r="D551" s="1" t="s">
        <v>11091</v>
      </c>
      <c r="E551" s="1" t="s">
        <v>2009</v>
      </c>
      <c r="F551" s="1" t="s">
        <v>988</v>
      </c>
      <c r="G551" s="1" t="s">
        <v>2137</v>
      </c>
      <c r="H551" s="1">
        <v>41.9</v>
      </c>
      <c r="I551" s="1">
        <v>0</v>
      </c>
      <c r="J551" s="1">
        <v>1</v>
      </c>
      <c r="K551" s="1"/>
      <c r="L551" s="1">
        <v>0</v>
      </c>
      <c r="M551" s="1" t="s">
        <v>2159</v>
      </c>
      <c r="N551" s="1" t="s">
        <v>2152</v>
      </c>
    </row>
    <row r="552" spans="1:14" x14ac:dyDescent="0.25">
      <c r="A552" s="1" t="s">
        <v>2325</v>
      </c>
      <c r="B552" s="1">
        <v>551</v>
      </c>
      <c r="C552" s="1" t="s">
        <v>102</v>
      </c>
      <c r="D552" s="1" t="s">
        <v>11091</v>
      </c>
      <c r="E552" s="1" t="s">
        <v>2009</v>
      </c>
      <c r="F552" s="1" t="s">
        <v>988</v>
      </c>
      <c r="G552" s="1" t="s">
        <v>2137</v>
      </c>
      <c r="H552" s="1">
        <v>41.9</v>
      </c>
      <c r="I552" s="1">
        <v>0</v>
      </c>
      <c r="J552" s="1">
        <v>1</v>
      </c>
      <c r="K552" s="1"/>
      <c r="L552" s="1">
        <v>0</v>
      </c>
      <c r="M552" s="1" t="s">
        <v>2159</v>
      </c>
      <c r="N552" s="1" t="s">
        <v>2165</v>
      </c>
    </row>
    <row r="553" spans="1:14" x14ac:dyDescent="0.25">
      <c r="A553" s="1" t="s">
        <v>2327</v>
      </c>
      <c r="B553" s="1">
        <v>552</v>
      </c>
      <c r="C553" s="1" t="s">
        <v>102</v>
      </c>
      <c r="D553" s="1" t="s">
        <v>11091</v>
      </c>
      <c r="E553" s="1" t="s">
        <v>2009</v>
      </c>
      <c r="F553" s="1" t="s">
        <v>988</v>
      </c>
      <c r="G553" s="1" t="s">
        <v>2137</v>
      </c>
      <c r="H553" s="1">
        <v>41.9</v>
      </c>
      <c r="I553" s="1">
        <v>0</v>
      </c>
      <c r="J553" s="1">
        <v>1</v>
      </c>
      <c r="K553" s="1"/>
      <c r="L553" s="1">
        <v>0</v>
      </c>
      <c r="M553" s="1" t="s">
        <v>2167</v>
      </c>
      <c r="N553" s="1" t="s">
        <v>2168</v>
      </c>
    </row>
    <row r="554" spans="1:14" x14ac:dyDescent="0.25">
      <c r="A554" s="1" t="s">
        <v>2329</v>
      </c>
      <c r="B554" s="1">
        <v>553</v>
      </c>
      <c r="C554" s="1" t="s">
        <v>102</v>
      </c>
      <c r="D554" s="1" t="s">
        <v>11091</v>
      </c>
      <c r="E554" s="1" t="s">
        <v>2009</v>
      </c>
      <c r="F554" s="1" t="s">
        <v>988</v>
      </c>
      <c r="G554" s="1" t="s">
        <v>2137</v>
      </c>
      <c r="H554" s="1">
        <v>41.9</v>
      </c>
      <c r="I554" s="1">
        <v>0</v>
      </c>
      <c r="J554" s="1">
        <v>1</v>
      </c>
      <c r="K554" s="1"/>
      <c r="L554" s="1">
        <v>0</v>
      </c>
      <c r="M554" s="1" t="s">
        <v>2170</v>
      </c>
      <c r="N554" s="1" t="s">
        <v>2171</v>
      </c>
    </row>
    <row r="555" spans="1:14" x14ac:dyDescent="0.25">
      <c r="A555" s="1" t="s">
        <v>2331</v>
      </c>
      <c r="B555" s="1">
        <v>554</v>
      </c>
      <c r="C555" s="1" t="s">
        <v>102</v>
      </c>
      <c r="D555" s="1" t="s">
        <v>11091</v>
      </c>
      <c r="E555" s="1" t="s">
        <v>2009</v>
      </c>
      <c r="F555" s="1" t="s">
        <v>988</v>
      </c>
      <c r="G555" s="1" t="s">
        <v>2137</v>
      </c>
      <c r="H555" s="1">
        <v>41.9</v>
      </c>
      <c r="I555" s="1">
        <v>0</v>
      </c>
      <c r="J555" s="1">
        <v>1</v>
      </c>
      <c r="K555" s="1"/>
      <c r="L555" s="1">
        <v>0</v>
      </c>
      <c r="M555" s="1" t="s">
        <v>2170</v>
      </c>
      <c r="N555" s="1" t="s">
        <v>2173</v>
      </c>
    </row>
    <row r="556" spans="1:14" x14ac:dyDescent="0.25">
      <c r="A556" s="1" t="s">
        <v>2333</v>
      </c>
      <c r="B556" s="1">
        <v>555</v>
      </c>
      <c r="C556" s="1" t="s">
        <v>102</v>
      </c>
      <c r="D556" s="1" t="s">
        <v>11091</v>
      </c>
      <c r="E556" s="1" t="s">
        <v>2009</v>
      </c>
      <c r="F556" s="1" t="s">
        <v>988</v>
      </c>
      <c r="G556" s="1" t="s">
        <v>2137</v>
      </c>
      <c r="H556" s="1">
        <v>41.9</v>
      </c>
      <c r="I556" s="1">
        <v>0</v>
      </c>
      <c r="J556" s="1">
        <v>1</v>
      </c>
      <c r="K556" s="1"/>
      <c r="L556" s="1">
        <v>0</v>
      </c>
      <c r="M556" s="1" t="s">
        <v>2170</v>
      </c>
      <c r="N556" s="1" t="s">
        <v>2175</v>
      </c>
    </row>
    <row r="557" spans="1:14" x14ac:dyDescent="0.25">
      <c r="A557" s="1" t="s">
        <v>2335</v>
      </c>
      <c r="B557" s="1">
        <v>556</v>
      </c>
      <c r="C557" s="1" t="s">
        <v>102</v>
      </c>
      <c r="D557" s="1" t="s">
        <v>11091</v>
      </c>
      <c r="E557" s="1" t="s">
        <v>2009</v>
      </c>
      <c r="F557" s="1" t="s">
        <v>988</v>
      </c>
      <c r="G557" s="1" t="s">
        <v>2137</v>
      </c>
      <c r="H557" s="1">
        <v>41.9</v>
      </c>
      <c r="I557" s="1">
        <v>0</v>
      </c>
      <c r="J557" s="1">
        <v>1</v>
      </c>
      <c r="K557" s="1"/>
      <c r="L557" s="1">
        <v>0</v>
      </c>
      <c r="M557" s="1" t="s">
        <v>2170</v>
      </c>
      <c r="N557" s="1" t="s">
        <v>2177</v>
      </c>
    </row>
    <row r="558" spans="1:14" x14ac:dyDescent="0.25">
      <c r="A558" s="1" t="s">
        <v>2338</v>
      </c>
      <c r="B558" s="1">
        <v>557</v>
      </c>
      <c r="C558" s="1" t="s">
        <v>102</v>
      </c>
      <c r="D558" s="1" t="s">
        <v>11091</v>
      </c>
      <c r="E558" s="1" t="s">
        <v>2009</v>
      </c>
      <c r="F558" s="1" t="s">
        <v>988</v>
      </c>
      <c r="G558" s="1" t="s">
        <v>2137</v>
      </c>
      <c r="H558" s="1">
        <v>41.9</v>
      </c>
      <c r="I558" s="1">
        <v>0</v>
      </c>
      <c r="J558" s="1">
        <v>1</v>
      </c>
      <c r="K558" s="1"/>
      <c r="L558" s="1">
        <v>0</v>
      </c>
      <c r="M558" s="1" t="s">
        <v>2170</v>
      </c>
      <c r="N558" s="1" t="s">
        <v>2179</v>
      </c>
    </row>
    <row r="559" spans="1:14" s="1" customFormat="1" x14ac:dyDescent="0.25">
      <c r="A559" s="1" t="s">
        <v>2340</v>
      </c>
      <c r="B559" s="1">
        <v>558</v>
      </c>
      <c r="C559" s="1" t="s">
        <v>102</v>
      </c>
      <c r="D559" s="1" t="s">
        <v>11091</v>
      </c>
      <c r="E559" s="1" t="s">
        <v>2009</v>
      </c>
      <c r="F559" s="1" t="s">
        <v>988</v>
      </c>
      <c r="G559" s="1" t="s">
        <v>2137</v>
      </c>
      <c r="H559" s="1">
        <v>41.9</v>
      </c>
      <c r="I559" s="1">
        <v>0</v>
      </c>
      <c r="J559" s="1">
        <v>1</v>
      </c>
      <c r="L559" s="1">
        <v>0</v>
      </c>
      <c r="M559" s="1" t="s">
        <v>15211</v>
      </c>
      <c r="N559" s="1" t="s">
        <v>15211</v>
      </c>
    </row>
    <row r="560" spans="1:14" s="1" customFormat="1" x14ac:dyDescent="0.25">
      <c r="A560" s="1" t="s">
        <v>2342</v>
      </c>
      <c r="B560" s="1">
        <v>559</v>
      </c>
      <c r="C560" s="1" t="s">
        <v>102</v>
      </c>
      <c r="D560" s="1" t="s">
        <v>11091</v>
      </c>
      <c r="E560" s="1" t="s">
        <v>2009</v>
      </c>
      <c r="F560" s="1" t="s">
        <v>988</v>
      </c>
      <c r="G560" s="1" t="s">
        <v>2137</v>
      </c>
      <c r="H560" s="1">
        <v>41.9</v>
      </c>
      <c r="I560" s="1">
        <v>0</v>
      </c>
      <c r="J560" s="1">
        <v>1</v>
      </c>
      <c r="L560" s="1">
        <v>0</v>
      </c>
      <c r="M560" s="1" t="s">
        <v>15213</v>
      </c>
      <c r="N560" s="1" t="s">
        <v>15213</v>
      </c>
    </row>
    <row r="561" spans="1:14" x14ac:dyDescent="0.25">
      <c r="A561" s="1" t="s">
        <v>2344</v>
      </c>
      <c r="B561" s="1">
        <v>560</v>
      </c>
      <c r="C561" s="1" t="s">
        <v>102</v>
      </c>
      <c r="D561" s="1" t="s">
        <v>11091</v>
      </c>
      <c r="E561" s="1" t="s">
        <v>2009</v>
      </c>
      <c r="F561" s="1" t="s">
        <v>329</v>
      </c>
      <c r="G561" s="1" t="s">
        <v>2183</v>
      </c>
      <c r="H561" s="1">
        <v>41.9</v>
      </c>
      <c r="I561" s="1">
        <v>0</v>
      </c>
      <c r="J561" s="1">
        <v>1</v>
      </c>
      <c r="K561" s="1"/>
      <c r="L561" s="1">
        <v>0</v>
      </c>
      <c r="M561" s="1" t="s">
        <v>2184</v>
      </c>
      <c r="N561" s="1" t="s">
        <v>2185</v>
      </c>
    </row>
    <row r="562" spans="1:14" x14ac:dyDescent="0.25">
      <c r="A562" s="1" t="s">
        <v>2346</v>
      </c>
      <c r="B562" s="1">
        <v>561</v>
      </c>
      <c r="C562" s="1" t="s">
        <v>102</v>
      </c>
      <c r="D562" s="1" t="s">
        <v>11091</v>
      </c>
      <c r="E562" s="1" t="s">
        <v>2009</v>
      </c>
      <c r="F562" s="1" t="s">
        <v>329</v>
      </c>
      <c r="G562" s="1" t="s">
        <v>2183</v>
      </c>
      <c r="H562" s="1">
        <v>41.9</v>
      </c>
      <c r="I562" s="1">
        <v>0</v>
      </c>
      <c r="J562" s="1">
        <v>1</v>
      </c>
      <c r="K562" s="1"/>
      <c r="L562" s="1">
        <v>0</v>
      </c>
      <c r="M562" s="1" t="s">
        <v>2184</v>
      </c>
      <c r="N562" s="1" t="s">
        <v>2187</v>
      </c>
    </row>
    <row r="563" spans="1:14" x14ac:dyDescent="0.25">
      <c r="A563" s="1" t="s">
        <v>2348</v>
      </c>
      <c r="B563" s="1">
        <v>562</v>
      </c>
      <c r="C563" s="1" t="s">
        <v>102</v>
      </c>
      <c r="D563" s="1" t="s">
        <v>11091</v>
      </c>
      <c r="E563" s="1" t="s">
        <v>2009</v>
      </c>
      <c r="F563" s="1" t="s">
        <v>329</v>
      </c>
      <c r="G563" s="1" t="s">
        <v>2183</v>
      </c>
      <c r="H563" s="1">
        <v>41.9</v>
      </c>
      <c r="I563" s="1">
        <v>0</v>
      </c>
      <c r="J563" s="1">
        <v>1</v>
      </c>
      <c r="K563" s="1"/>
      <c r="L563" s="1">
        <v>0</v>
      </c>
      <c r="M563" s="1" t="s">
        <v>2189</v>
      </c>
      <c r="N563" s="1" t="s">
        <v>2190</v>
      </c>
    </row>
    <row r="564" spans="1:14" x14ac:dyDescent="0.25">
      <c r="A564" s="1" t="s">
        <v>2350</v>
      </c>
      <c r="B564" s="1">
        <v>563</v>
      </c>
      <c r="C564" s="1" t="s">
        <v>102</v>
      </c>
      <c r="D564" s="1" t="s">
        <v>11091</v>
      </c>
      <c r="E564" s="1" t="s">
        <v>2009</v>
      </c>
      <c r="F564" s="1" t="s">
        <v>329</v>
      </c>
      <c r="G564" s="1" t="s">
        <v>2183</v>
      </c>
      <c r="H564" s="1">
        <v>41.9</v>
      </c>
      <c r="I564" s="1">
        <v>0</v>
      </c>
      <c r="J564" s="1">
        <v>1</v>
      </c>
      <c r="K564" s="1"/>
      <c r="L564" s="1">
        <v>0</v>
      </c>
      <c r="M564" s="1" t="s">
        <v>2189</v>
      </c>
      <c r="N564" s="1" t="s">
        <v>2192</v>
      </c>
    </row>
    <row r="565" spans="1:14" x14ac:dyDescent="0.25">
      <c r="A565" s="1" t="s">
        <v>2353</v>
      </c>
      <c r="B565" s="1">
        <v>564</v>
      </c>
      <c r="C565" s="1" t="s">
        <v>102</v>
      </c>
      <c r="D565" s="1" t="s">
        <v>11091</v>
      </c>
      <c r="E565" s="1" t="s">
        <v>2009</v>
      </c>
      <c r="F565" s="1" t="s">
        <v>329</v>
      </c>
      <c r="G565" s="1" t="s">
        <v>2183</v>
      </c>
      <c r="H565" s="1">
        <v>41.9</v>
      </c>
      <c r="I565" s="1">
        <v>0</v>
      </c>
      <c r="J565" s="1">
        <v>1</v>
      </c>
      <c r="K565" s="1"/>
      <c r="L565" s="1">
        <v>0</v>
      </c>
      <c r="M565" s="1" t="s">
        <v>2189</v>
      </c>
      <c r="N565" s="1" t="s">
        <v>2194</v>
      </c>
    </row>
    <row r="566" spans="1:14" x14ac:dyDescent="0.25">
      <c r="A566" s="1" t="s">
        <v>2356</v>
      </c>
      <c r="B566" s="1">
        <v>565</v>
      </c>
      <c r="C566" s="1" t="s">
        <v>102</v>
      </c>
      <c r="D566" s="1" t="s">
        <v>11091</v>
      </c>
      <c r="E566" s="1" t="s">
        <v>2009</v>
      </c>
      <c r="F566" s="1" t="s">
        <v>329</v>
      </c>
      <c r="G566" s="1" t="s">
        <v>2183</v>
      </c>
      <c r="H566" s="1">
        <v>41.9</v>
      </c>
      <c r="I566" s="1">
        <v>0</v>
      </c>
      <c r="J566" s="1">
        <v>1</v>
      </c>
      <c r="K566" s="1"/>
      <c r="L566" s="1">
        <v>0</v>
      </c>
      <c r="M566" s="1" t="s">
        <v>2196</v>
      </c>
      <c r="N566" s="1" t="s">
        <v>2197</v>
      </c>
    </row>
    <row r="567" spans="1:14" x14ac:dyDescent="0.25">
      <c r="A567" s="1" t="s">
        <v>2358</v>
      </c>
      <c r="B567" s="1">
        <v>566</v>
      </c>
      <c r="C567" s="1" t="s">
        <v>102</v>
      </c>
      <c r="D567" s="1" t="s">
        <v>11091</v>
      </c>
      <c r="E567" s="1" t="s">
        <v>2009</v>
      </c>
      <c r="F567" s="1" t="s">
        <v>329</v>
      </c>
      <c r="G567" s="1" t="s">
        <v>2183</v>
      </c>
      <c r="H567" s="1">
        <v>41.9</v>
      </c>
      <c r="I567" s="1">
        <v>0</v>
      </c>
      <c r="J567" s="1">
        <v>1</v>
      </c>
      <c r="K567" s="1"/>
      <c r="L567" s="1">
        <v>0</v>
      </c>
      <c r="M567" s="1" t="s">
        <v>2196</v>
      </c>
      <c r="N567" s="1" t="s">
        <v>2199</v>
      </c>
    </row>
    <row r="568" spans="1:14" x14ac:dyDescent="0.25">
      <c r="A568" s="1" t="s">
        <v>2360</v>
      </c>
      <c r="B568" s="1">
        <v>567</v>
      </c>
      <c r="C568" s="1" t="s">
        <v>102</v>
      </c>
      <c r="D568" s="1" t="s">
        <v>11091</v>
      </c>
      <c r="E568" s="1" t="s">
        <v>2009</v>
      </c>
      <c r="F568" s="1" t="s">
        <v>329</v>
      </c>
      <c r="G568" s="1" t="s">
        <v>2183</v>
      </c>
      <c r="H568" s="1">
        <v>41.9</v>
      </c>
      <c r="I568" s="1">
        <v>0</v>
      </c>
      <c r="J568" s="1">
        <v>1</v>
      </c>
      <c r="K568" s="1"/>
      <c r="L568" s="1">
        <v>0</v>
      </c>
      <c r="M568" s="1" t="s">
        <v>2196</v>
      </c>
      <c r="N568" s="1" t="s">
        <v>2201</v>
      </c>
    </row>
    <row r="569" spans="1:14" x14ac:dyDescent="0.25">
      <c r="A569" s="1" t="s">
        <v>2362</v>
      </c>
      <c r="B569" s="1">
        <v>568</v>
      </c>
      <c r="C569" s="1" t="s">
        <v>102</v>
      </c>
      <c r="D569" s="1" t="s">
        <v>11091</v>
      </c>
      <c r="E569" s="1" t="s">
        <v>2009</v>
      </c>
      <c r="F569" s="1" t="s">
        <v>329</v>
      </c>
      <c r="G569" s="1" t="s">
        <v>2183</v>
      </c>
      <c r="H569" s="1">
        <v>41.9</v>
      </c>
      <c r="I569" s="1">
        <v>0</v>
      </c>
      <c r="J569" s="1">
        <v>1</v>
      </c>
      <c r="K569" s="1"/>
      <c r="L569" s="1">
        <v>0</v>
      </c>
      <c r="M569" s="1" t="s">
        <v>2203</v>
      </c>
      <c r="N569" s="1" t="s">
        <v>2204</v>
      </c>
    </row>
    <row r="570" spans="1:14" x14ac:dyDescent="0.25">
      <c r="A570" s="1" t="s">
        <v>2364</v>
      </c>
      <c r="B570" s="1">
        <v>569</v>
      </c>
      <c r="C570" s="1" t="s">
        <v>102</v>
      </c>
      <c r="D570" s="1" t="s">
        <v>11091</v>
      </c>
      <c r="E570" s="1" t="s">
        <v>2009</v>
      </c>
      <c r="F570" s="1" t="s">
        <v>329</v>
      </c>
      <c r="G570" s="1" t="s">
        <v>2183</v>
      </c>
      <c r="H570" s="1">
        <v>41.9</v>
      </c>
      <c r="I570" s="1">
        <v>0</v>
      </c>
      <c r="J570" s="1">
        <v>1</v>
      </c>
      <c r="K570" s="1"/>
      <c r="L570" s="1">
        <v>0</v>
      </c>
      <c r="M570" s="1" t="s">
        <v>2203</v>
      </c>
      <c r="N570" s="1" t="s">
        <v>2206</v>
      </c>
    </row>
    <row r="571" spans="1:14" x14ac:dyDescent="0.25">
      <c r="A571" s="1" t="s">
        <v>2366</v>
      </c>
      <c r="B571" s="1">
        <v>570</v>
      </c>
      <c r="C571" s="1" t="s">
        <v>102</v>
      </c>
      <c r="D571" s="1" t="s">
        <v>11091</v>
      </c>
      <c r="E571" s="1" t="s">
        <v>2009</v>
      </c>
      <c r="F571" s="1" t="s">
        <v>329</v>
      </c>
      <c r="G571" s="1" t="s">
        <v>2183</v>
      </c>
      <c r="H571" s="1">
        <v>41.9</v>
      </c>
      <c r="I571" s="1">
        <v>0</v>
      </c>
      <c r="J571" s="1">
        <v>1</v>
      </c>
      <c r="K571" s="1"/>
      <c r="L571" s="1">
        <v>0</v>
      </c>
      <c r="M571" s="1" t="s">
        <v>2203</v>
      </c>
      <c r="N571" s="1" t="s">
        <v>2208</v>
      </c>
    </row>
    <row r="572" spans="1:14" x14ac:dyDescent="0.25">
      <c r="A572" s="1" t="s">
        <v>2369</v>
      </c>
      <c r="B572" s="1">
        <v>571</v>
      </c>
      <c r="C572" s="1" t="s">
        <v>102</v>
      </c>
      <c r="D572" s="1" t="s">
        <v>11091</v>
      </c>
      <c r="E572" s="1" t="s">
        <v>2009</v>
      </c>
      <c r="F572" s="1" t="s">
        <v>329</v>
      </c>
      <c r="G572" s="1" t="s">
        <v>2183</v>
      </c>
      <c r="H572" s="1">
        <v>41.9</v>
      </c>
      <c r="I572" s="1">
        <v>0</v>
      </c>
      <c r="J572" s="1">
        <v>1</v>
      </c>
      <c r="K572" s="1"/>
      <c r="L572" s="1">
        <v>0</v>
      </c>
      <c r="M572" s="1" t="s">
        <v>2210</v>
      </c>
      <c r="N572" s="1" t="s">
        <v>2211</v>
      </c>
    </row>
    <row r="573" spans="1:14" x14ac:dyDescent="0.25">
      <c r="A573" s="1" t="s">
        <v>2372</v>
      </c>
      <c r="B573" s="1">
        <v>572</v>
      </c>
      <c r="C573" s="1" t="s">
        <v>102</v>
      </c>
      <c r="D573" s="1" t="s">
        <v>11091</v>
      </c>
      <c r="E573" s="1" t="s">
        <v>2009</v>
      </c>
      <c r="F573" s="1" t="s">
        <v>329</v>
      </c>
      <c r="G573" s="1" t="s">
        <v>2183</v>
      </c>
      <c r="H573" s="1">
        <v>41.9</v>
      </c>
      <c r="I573" s="1">
        <v>0</v>
      </c>
      <c r="J573" s="1">
        <v>1</v>
      </c>
      <c r="K573" s="1"/>
      <c r="L573" s="1">
        <v>0</v>
      </c>
      <c r="M573" s="1" t="s">
        <v>2210</v>
      </c>
      <c r="N573" s="1" t="s">
        <v>2213</v>
      </c>
    </row>
    <row r="574" spans="1:14" x14ac:dyDescent="0.25">
      <c r="A574" s="1" t="s">
        <v>2374</v>
      </c>
      <c r="B574" s="1">
        <v>573</v>
      </c>
      <c r="C574" s="1" t="s">
        <v>102</v>
      </c>
      <c r="D574" s="1" t="s">
        <v>11091</v>
      </c>
      <c r="E574" s="1" t="s">
        <v>2009</v>
      </c>
      <c r="F574" s="1" t="s">
        <v>329</v>
      </c>
      <c r="G574" s="1" t="s">
        <v>2183</v>
      </c>
      <c r="H574" s="1">
        <v>41.9</v>
      </c>
      <c r="I574" s="1">
        <v>0</v>
      </c>
      <c r="J574" s="1">
        <v>1</v>
      </c>
      <c r="K574" s="1"/>
      <c r="L574" s="1">
        <v>0</v>
      </c>
      <c r="M574" s="1" t="s">
        <v>2210</v>
      </c>
      <c r="N574" s="1" t="s">
        <v>2215</v>
      </c>
    </row>
    <row r="575" spans="1:14" x14ac:dyDescent="0.25">
      <c r="A575" s="1" t="s">
        <v>2376</v>
      </c>
      <c r="B575" s="1">
        <v>574</v>
      </c>
      <c r="C575" s="1" t="s">
        <v>102</v>
      </c>
      <c r="D575" s="1" t="s">
        <v>11091</v>
      </c>
      <c r="E575" s="1" t="s">
        <v>2009</v>
      </c>
      <c r="F575" s="1" t="s">
        <v>329</v>
      </c>
      <c r="G575" s="1" t="s">
        <v>2183</v>
      </c>
      <c r="H575" s="1">
        <v>41.9</v>
      </c>
      <c r="I575" s="1">
        <v>0</v>
      </c>
      <c r="J575" s="1">
        <v>1</v>
      </c>
      <c r="K575" s="1"/>
      <c r="L575" s="1">
        <v>0</v>
      </c>
      <c r="M575" s="1" t="s">
        <v>2210</v>
      </c>
      <c r="N575" s="1" t="s">
        <v>2217</v>
      </c>
    </row>
    <row r="576" spans="1:14" s="16" customFormat="1" x14ac:dyDescent="0.25">
      <c r="A576" s="1" t="s">
        <v>2378</v>
      </c>
      <c r="B576" s="1">
        <v>575</v>
      </c>
      <c r="C576" s="1" t="s">
        <v>102</v>
      </c>
      <c r="D576" s="1" t="s">
        <v>11091</v>
      </c>
      <c r="E576" s="1" t="s">
        <v>2009</v>
      </c>
      <c r="F576" s="1" t="s">
        <v>329</v>
      </c>
      <c r="G576" s="1" t="s">
        <v>2183</v>
      </c>
      <c r="H576" s="1">
        <v>41.9</v>
      </c>
      <c r="I576" s="1">
        <v>0</v>
      </c>
      <c r="J576" s="1">
        <v>1</v>
      </c>
      <c r="K576" s="1"/>
      <c r="L576" s="1">
        <v>0</v>
      </c>
      <c r="M576" s="1" t="s">
        <v>2210</v>
      </c>
      <c r="N576" s="1" t="s">
        <v>2219</v>
      </c>
    </row>
    <row r="577" spans="1:14" s="1" customFormat="1" x14ac:dyDescent="0.25">
      <c r="A577" s="1" t="s">
        <v>2380</v>
      </c>
      <c r="B577" s="1">
        <v>576</v>
      </c>
      <c r="C577" s="1" t="s">
        <v>102</v>
      </c>
      <c r="D577" s="1" t="s">
        <v>11091</v>
      </c>
      <c r="E577" s="1" t="s">
        <v>2009</v>
      </c>
      <c r="F577" s="1" t="s">
        <v>329</v>
      </c>
      <c r="G577" s="1" t="s">
        <v>2183</v>
      </c>
      <c r="H577" s="1">
        <v>41.9</v>
      </c>
      <c r="I577" s="1">
        <v>0</v>
      </c>
      <c r="J577" s="1">
        <v>1</v>
      </c>
      <c r="L577" s="1">
        <v>0</v>
      </c>
      <c r="M577" s="1" t="s">
        <v>15215</v>
      </c>
      <c r="N577" s="1" t="s">
        <v>15215</v>
      </c>
    </row>
    <row r="578" spans="1:14" s="1" customFormat="1" x14ac:dyDescent="0.25">
      <c r="A578" s="1" t="s">
        <v>2382</v>
      </c>
      <c r="B578" s="1">
        <v>577</v>
      </c>
      <c r="C578" s="1" t="s">
        <v>102</v>
      </c>
      <c r="D578" s="1" t="s">
        <v>11091</v>
      </c>
      <c r="E578" s="1" t="s">
        <v>2009</v>
      </c>
      <c r="F578" s="1" t="s">
        <v>329</v>
      </c>
      <c r="G578" s="1" t="s">
        <v>2183</v>
      </c>
      <c r="H578" s="1">
        <v>41.9</v>
      </c>
      <c r="I578" s="1">
        <v>0</v>
      </c>
      <c r="J578" s="1">
        <v>1</v>
      </c>
      <c r="L578" s="1">
        <v>0</v>
      </c>
      <c r="M578" s="1" t="s">
        <v>15216</v>
      </c>
      <c r="N578" s="1" t="s">
        <v>15216</v>
      </c>
    </row>
    <row r="579" spans="1:14" s="1" customFormat="1" x14ac:dyDescent="0.25">
      <c r="A579" s="1" t="s">
        <v>2385</v>
      </c>
      <c r="B579" s="1">
        <v>578</v>
      </c>
      <c r="C579" s="1" t="s">
        <v>102</v>
      </c>
      <c r="D579" s="1" t="s">
        <v>11091</v>
      </c>
      <c r="E579" s="1" t="s">
        <v>2009</v>
      </c>
      <c r="F579" s="1" t="s">
        <v>329</v>
      </c>
      <c r="G579" s="1" t="s">
        <v>2183</v>
      </c>
      <c r="H579" s="1">
        <v>41.9</v>
      </c>
      <c r="I579" s="1">
        <v>0</v>
      </c>
      <c r="J579" s="1">
        <v>1</v>
      </c>
      <c r="L579" s="1">
        <v>0</v>
      </c>
      <c r="M579" s="1" t="s">
        <v>15219</v>
      </c>
      <c r="N579" s="1" t="s">
        <v>15219</v>
      </c>
    </row>
    <row r="580" spans="1:14" x14ac:dyDescent="0.25">
      <c r="A580" s="1" t="s">
        <v>2387</v>
      </c>
      <c r="B580" s="1">
        <v>579</v>
      </c>
      <c r="C580" s="1" t="s">
        <v>102</v>
      </c>
      <c r="D580" s="1" t="s">
        <v>11091</v>
      </c>
      <c r="E580" s="1" t="s">
        <v>2009</v>
      </c>
      <c r="F580" s="1" t="s">
        <v>2221</v>
      </c>
      <c r="G580" s="1" t="s">
        <v>2222</v>
      </c>
      <c r="H580" s="1">
        <v>41.9</v>
      </c>
      <c r="I580" s="1">
        <v>0</v>
      </c>
      <c r="J580" s="1">
        <v>1</v>
      </c>
      <c r="K580" s="1"/>
      <c r="L580" s="1">
        <v>0</v>
      </c>
      <c r="M580" s="1" t="s">
        <v>2223</v>
      </c>
      <c r="N580" s="1" t="s">
        <v>2224</v>
      </c>
    </row>
    <row r="581" spans="1:14" x14ac:dyDescent="0.25">
      <c r="A581" s="1" t="s">
        <v>2389</v>
      </c>
      <c r="B581" s="1">
        <v>580</v>
      </c>
      <c r="C581" s="1" t="s">
        <v>102</v>
      </c>
      <c r="D581" s="1" t="s">
        <v>11091</v>
      </c>
      <c r="E581" s="1" t="s">
        <v>2009</v>
      </c>
      <c r="F581" s="1" t="s">
        <v>2221</v>
      </c>
      <c r="G581" s="1" t="s">
        <v>2222</v>
      </c>
      <c r="H581" s="1">
        <v>41.9</v>
      </c>
      <c r="I581" s="1">
        <v>0</v>
      </c>
      <c r="J581" s="1">
        <v>1</v>
      </c>
      <c r="K581" s="1"/>
      <c r="L581" s="1">
        <v>0</v>
      </c>
      <c r="M581" s="1" t="s">
        <v>2226</v>
      </c>
      <c r="N581" s="1" t="s">
        <v>2227</v>
      </c>
    </row>
    <row r="582" spans="1:14" x14ac:dyDescent="0.25">
      <c r="A582" s="1" t="s">
        <v>2391</v>
      </c>
      <c r="B582" s="1">
        <v>581</v>
      </c>
      <c r="C582" s="1" t="s">
        <v>102</v>
      </c>
      <c r="D582" s="1" t="s">
        <v>11091</v>
      </c>
      <c r="E582" s="1" t="s">
        <v>2009</v>
      </c>
      <c r="F582" s="1" t="s">
        <v>2221</v>
      </c>
      <c r="G582" s="1" t="s">
        <v>2222</v>
      </c>
      <c r="H582" s="1">
        <v>41.9</v>
      </c>
      <c r="I582" s="1">
        <v>0</v>
      </c>
      <c r="J582" s="1">
        <v>1</v>
      </c>
      <c r="K582" s="1"/>
      <c r="L582" s="1">
        <v>0</v>
      </c>
      <c r="M582" s="1" t="s">
        <v>2226</v>
      </c>
      <c r="N582" s="1" t="s">
        <v>2229</v>
      </c>
    </row>
    <row r="583" spans="1:14" x14ac:dyDescent="0.25">
      <c r="A583" s="1" t="s">
        <v>2393</v>
      </c>
      <c r="B583" s="1">
        <v>582</v>
      </c>
      <c r="C583" s="1" t="s">
        <v>102</v>
      </c>
      <c r="D583" s="1" t="s">
        <v>11091</v>
      </c>
      <c r="E583" s="1" t="s">
        <v>2009</v>
      </c>
      <c r="F583" s="1" t="s">
        <v>2221</v>
      </c>
      <c r="G583" s="1" t="s">
        <v>2222</v>
      </c>
      <c r="H583" s="1">
        <v>41.9</v>
      </c>
      <c r="I583" s="1">
        <v>0</v>
      </c>
      <c r="J583" s="1">
        <v>1</v>
      </c>
      <c r="K583" s="1"/>
      <c r="L583" s="1">
        <v>0</v>
      </c>
      <c r="M583" s="1" t="s">
        <v>2226</v>
      </c>
      <c r="N583" s="1" t="s">
        <v>2231</v>
      </c>
    </row>
    <row r="584" spans="1:14" x14ac:dyDescent="0.25">
      <c r="A584" s="1" t="s">
        <v>2396</v>
      </c>
      <c r="B584" s="1">
        <v>583</v>
      </c>
      <c r="C584" s="1" t="s">
        <v>102</v>
      </c>
      <c r="D584" s="1" t="s">
        <v>11091</v>
      </c>
      <c r="E584" s="1" t="s">
        <v>2009</v>
      </c>
      <c r="F584" s="1" t="s">
        <v>2221</v>
      </c>
      <c r="G584" s="1" t="s">
        <v>2222</v>
      </c>
      <c r="H584" s="1">
        <v>41.9</v>
      </c>
      <c r="I584" s="1">
        <v>0</v>
      </c>
      <c r="J584" s="1">
        <v>1</v>
      </c>
      <c r="K584" s="1"/>
      <c r="L584" s="1">
        <v>0</v>
      </c>
      <c r="M584" s="1" t="s">
        <v>2226</v>
      </c>
      <c r="N584" s="1" t="s">
        <v>2233</v>
      </c>
    </row>
    <row r="585" spans="1:14" x14ac:dyDescent="0.25">
      <c r="A585" s="1" t="s">
        <v>2398</v>
      </c>
      <c r="B585" s="1">
        <v>584</v>
      </c>
      <c r="C585" s="1" t="s">
        <v>102</v>
      </c>
      <c r="D585" s="1" t="s">
        <v>11091</v>
      </c>
      <c r="E585" s="1" t="s">
        <v>2009</v>
      </c>
      <c r="F585" s="1" t="s">
        <v>2221</v>
      </c>
      <c r="G585" s="1" t="s">
        <v>2222</v>
      </c>
      <c r="H585" s="1">
        <v>41.9</v>
      </c>
      <c r="I585" s="1">
        <v>0</v>
      </c>
      <c r="J585" s="1">
        <v>1</v>
      </c>
      <c r="K585" s="1"/>
      <c r="L585" s="1">
        <v>0</v>
      </c>
      <c r="M585" s="1" t="s">
        <v>2226</v>
      </c>
      <c r="N585" s="1" t="s">
        <v>2235</v>
      </c>
    </row>
    <row r="586" spans="1:14" x14ac:dyDescent="0.25">
      <c r="A586" s="1" t="s">
        <v>2400</v>
      </c>
      <c r="B586" s="1">
        <v>585</v>
      </c>
      <c r="C586" s="1" t="s">
        <v>102</v>
      </c>
      <c r="D586" s="1" t="s">
        <v>11091</v>
      </c>
      <c r="E586" s="1" t="s">
        <v>2009</v>
      </c>
      <c r="F586" s="1" t="s">
        <v>2221</v>
      </c>
      <c r="G586" s="1" t="s">
        <v>2222</v>
      </c>
      <c r="H586" s="1">
        <v>41.9</v>
      </c>
      <c r="I586" s="1">
        <v>0</v>
      </c>
      <c r="J586" s="1">
        <v>1</v>
      </c>
      <c r="K586" s="1"/>
      <c r="L586" s="1">
        <v>0</v>
      </c>
      <c r="M586" s="1" t="s">
        <v>2226</v>
      </c>
      <c r="N586" s="1" t="s">
        <v>2237</v>
      </c>
    </row>
    <row r="587" spans="1:14" x14ac:dyDescent="0.25">
      <c r="A587" s="1" t="s">
        <v>2402</v>
      </c>
      <c r="B587" s="1">
        <v>586</v>
      </c>
      <c r="C587" s="1" t="s">
        <v>102</v>
      </c>
      <c r="D587" s="1" t="s">
        <v>11091</v>
      </c>
      <c r="E587" s="1" t="s">
        <v>2009</v>
      </c>
      <c r="F587" s="1" t="s">
        <v>2221</v>
      </c>
      <c r="G587" s="1" t="s">
        <v>2222</v>
      </c>
      <c r="H587" s="1">
        <v>41.9</v>
      </c>
      <c r="I587" s="1">
        <v>0</v>
      </c>
      <c r="J587" s="1">
        <v>1</v>
      </c>
      <c r="K587" s="1"/>
      <c r="L587" s="1">
        <v>0</v>
      </c>
      <c r="M587" s="1" t="s">
        <v>2226</v>
      </c>
      <c r="N587" s="1" t="s">
        <v>2239</v>
      </c>
    </row>
    <row r="588" spans="1:14" x14ac:dyDescent="0.25">
      <c r="A588" s="1" t="s">
        <v>2404</v>
      </c>
      <c r="B588" s="1">
        <v>587</v>
      </c>
      <c r="C588" s="1" t="s">
        <v>102</v>
      </c>
      <c r="D588" s="1" t="s">
        <v>11091</v>
      </c>
      <c r="E588" s="1" t="s">
        <v>2009</v>
      </c>
      <c r="F588" s="1" t="s">
        <v>2221</v>
      </c>
      <c r="G588" s="1" t="s">
        <v>2222</v>
      </c>
      <c r="H588" s="1">
        <v>41.9</v>
      </c>
      <c r="I588" s="1">
        <v>0</v>
      </c>
      <c r="J588" s="1">
        <v>1</v>
      </c>
      <c r="K588" s="1"/>
      <c r="L588" s="1">
        <v>0</v>
      </c>
      <c r="M588" s="1" t="s">
        <v>2226</v>
      </c>
      <c r="N588" s="1" t="s">
        <v>2241</v>
      </c>
    </row>
    <row r="589" spans="1:14" x14ac:dyDescent="0.25">
      <c r="A589" s="1" t="s">
        <v>2406</v>
      </c>
      <c r="B589" s="1">
        <v>588</v>
      </c>
      <c r="C589" s="1" t="s">
        <v>102</v>
      </c>
      <c r="D589" s="1" t="s">
        <v>11091</v>
      </c>
      <c r="E589" s="1" t="s">
        <v>2009</v>
      </c>
      <c r="F589" s="1" t="s">
        <v>2221</v>
      </c>
      <c r="G589" s="1" t="s">
        <v>2222</v>
      </c>
      <c r="H589" s="1">
        <v>41.9</v>
      </c>
      <c r="I589" s="1">
        <v>0</v>
      </c>
      <c r="J589" s="1">
        <v>1</v>
      </c>
      <c r="K589" s="1"/>
      <c r="L589" s="1">
        <v>0</v>
      </c>
      <c r="M589" s="1" t="s">
        <v>2243</v>
      </c>
      <c r="N589" s="1" t="s">
        <v>2244</v>
      </c>
    </row>
    <row r="590" spans="1:14" x14ac:dyDescent="0.25">
      <c r="A590" s="1" t="s">
        <v>2410</v>
      </c>
      <c r="B590" s="1">
        <v>589</v>
      </c>
      <c r="C590" s="1" t="s">
        <v>102</v>
      </c>
      <c r="D590" s="1" t="s">
        <v>11091</v>
      </c>
      <c r="E590" s="1" t="s">
        <v>2009</v>
      </c>
      <c r="F590" s="1" t="s">
        <v>2221</v>
      </c>
      <c r="G590" s="1" t="s">
        <v>2222</v>
      </c>
      <c r="H590" s="1">
        <v>41.9</v>
      </c>
      <c r="I590" s="1">
        <v>0</v>
      </c>
      <c r="J590" s="1">
        <v>1</v>
      </c>
      <c r="K590" s="1"/>
      <c r="L590" s="1">
        <v>0</v>
      </c>
      <c r="M590" s="1" t="s">
        <v>2243</v>
      </c>
      <c r="N590" s="1" t="s">
        <v>2246</v>
      </c>
    </row>
    <row r="591" spans="1:14" x14ac:dyDescent="0.25">
      <c r="A591" s="1" t="s">
        <v>2412</v>
      </c>
      <c r="B591" s="1">
        <v>590</v>
      </c>
      <c r="C591" s="1" t="s">
        <v>102</v>
      </c>
      <c r="D591" s="1" t="s">
        <v>11091</v>
      </c>
      <c r="E591" s="1" t="s">
        <v>2009</v>
      </c>
      <c r="F591" s="1" t="s">
        <v>2221</v>
      </c>
      <c r="G591" s="1" t="s">
        <v>2222</v>
      </c>
      <c r="H591" s="1">
        <v>41.9</v>
      </c>
      <c r="I591" s="1">
        <v>0</v>
      </c>
      <c r="J591" s="1">
        <v>1</v>
      </c>
      <c r="K591" s="1"/>
      <c r="L591" s="1">
        <v>0</v>
      </c>
      <c r="M591" s="1" t="s">
        <v>2243</v>
      </c>
      <c r="N591" s="1" t="s">
        <v>2248</v>
      </c>
    </row>
    <row r="592" spans="1:14" x14ac:dyDescent="0.25">
      <c r="A592" s="1" t="s">
        <v>2414</v>
      </c>
      <c r="B592" s="1">
        <v>591</v>
      </c>
      <c r="C592" s="1" t="s">
        <v>102</v>
      </c>
      <c r="D592" s="1" t="s">
        <v>11091</v>
      </c>
      <c r="E592" s="1" t="s">
        <v>2009</v>
      </c>
      <c r="F592" s="1" t="s">
        <v>2221</v>
      </c>
      <c r="G592" s="1" t="s">
        <v>2222</v>
      </c>
      <c r="H592" s="1">
        <v>41.9</v>
      </c>
      <c r="I592" s="1">
        <v>0</v>
      </c>
      <c r="J592" s="1">
        <v>1</v>
      </c>
      <c r="K592" s="1"/>
      <c r="L592" s="1">
        <v>0</v>
      </c>
      <c r="M592" s="1" t="s">
        <v>2250</v>
      </c>
      <c r="N592" s="1" t="s">
        <v>2251</v>
      </c>
    </row>
    <row r="593" spans="1:14" x14ac:dyDescent="0.25">
      <c r="A593" s="1" t="s">
        <v>2417</v>
      </c>
      <c r="B593" s="1">
        <v>592</v>
      </c>
      <c r="C593" s="1" t="s">
        <v>102</v>
      </c>
      <c r="D593" s="1" t="s">
        <v>11091</v>
      </c>
      <c r="E593" s="1" t="s">
        <v>2009</v>
      </c>
      <c r="F593" s="1" t="s">
        <v>2221</v>
      </c>
      <c r="G593" s="1" t="s">
        <v>2222</v>
      </c>
      <c r="H593" s="1">
        <v>41.9</v>
      </c>
      <c r="I593" s="1">
        <v>0</v>
      </c>
      <c r="J593" s="1">
        <v>1</v>
      </c>
      <c r="K593" s="1"/>
      <c r="L593" s="1">
        <v>0</v>
      </c>
      <c r="M593" s="1" t="s">
        <v>2253</v>
      </c>
      <c r="N593" s="1" t="s">
        <v>2254</v>
      </c>
    </row>
    <row r="594" spans="1:14" x14ac:dyDescent="0.25">
      <c r="A594" s="1" t="s">
        <v>2419</v>
      </c>
      <c r="B594" s="1">
        <v>593</v>
      </c>
      <c r="C594" s="1" t="s">
        <v>102</v>
      </c>
      <c r="D594" s="1" t="s">
        <v>11091</v>
      </c>
      <c r="E594" s="1" t="s">
        <v>2009</v>
      </c>
      <c r="F594" s="1" t="s">
        <v>2221</v>
      </c>
      <c r="G594" s="1" t="s">
        <v>2222</v>
      </c>
      <c r="H594" s="1">
        <v>41.9</v>
      </c>
      <c r="I594" s="1">
        <v>0</v>
      </c>
      <c r="J594" s="1">
        <v>1</v>
      </c>
      <c r="K594" s="1"/>
      <c r="L594" s="1">
        <v>0</v>
      </c>
      <c r="M594" s="1" t="s">
        <v>2253</v>
      </c>
      <c r="N594" s="1" t="s">
        <v>2256</v>
      </c>
    </row>
    <row r="595" spans="1:14" x14ac:dyDescent="0.25">
      <c r="A595" s="1" t="s">
        <v>2422</v>
      </c>
      <c r="B595" s="1">
        <v>594</v>
      </c>
      <c r="C595" s="1" t="s">
        <v>102</v>
      </c>
      <c r="D595" s="1" t="s">
        <v>11091</v>
      </c>
      <c r="E595" s="1" t="s">
        <v>2009</v>
      </c>
      <c r="F595" s="1" t="s">
        <v>2221</v>
      </c>
      <c r="G595" s="1" t="s">
        <v>2222</v>
      </c>
      <c r="H595" s="1">
        <v>41.9</v>
      </c>
      <c r="I595" s="1">
        <v>0</v>
      </c>
      <c r="J595" s="1">
        <v>1</v>
      </c>
      <c r="K595" s="1"/>
      <c r="L595" s="1">
        <v>0</v>
      </c>
      <c r="M595" s="1" t="s">
        <v>2253</v>
      </c>
      <c r="N595" s="1" t="s">
        <v>2258</v>
      </c>
    </row>
    <row r="596" spans="1:14" x14ac:dyDescent="0.25">
      <c r="A596" s="1" t="s">
        <v>2424</v>
      </c>
      <c r="B596" s="1">
        <v>595</v>
      </c>
      <c r="C596" s="1" t="s">
        <v>102</v>
      </c>
      <c r="D596" s="1" t="s">
        <v>11091</v>
      </c>
      <c r="E596" s="1" t="s">
        <v>2009</v>
      </c>
      <c r="F596" s="1" t="s">
        <v>2221</v>
      </c>
      <c r="G596" s="1" t="s">
        <v>2222</v>
      </c>
      <c r="H596" s="1">
        <v>41.9</v>
      </c>
      <c r="I596" s="1">
        <v>0</v>
      </c>
      <c r="J596" s="1">
        <v>1</v>
      </c>
      <c r="K596" s="1"/>
      <c r="L596" s="1">
        <v>0</v>
      </c>
      <c r="M596" s="1" t="s">
        <v>2260</v>
      </c>
      <c r="N596" s="1" t="s">
        <v>2261</v>
      </c>
    </row>
    <row r="597" spans="1:14" x14ac:dyDescent="0.25">
      <c r="A597" s="1" t="s">
        <v>2426</v>
      </c>
      <c r="B597" s="1">
        <v>596</v>
      </c>
      <c r="C597" s="1" t="s">
        <v>102</v>
      </c>
      <c r="D597" s="1" t="s">
        <v>11091</v>
      </c>
      <c r="E597" s="1" t="s">
        <v>2009</v>
      </c>
      <c r="F597" s="1" t="s">
        <v>2221</v>
      </c>
      <c r="G597" s="1" t="s">
        <v>2222</v>
      </c>
      <c r="H597" s="1">
        <v>41.9</v>
      </c>
      <c r="I597" s="1">
        <v>0</v>
      </c>
      <c r="J597" s="1">
        <v>1</v>
      </c>
      <c r="K597" s="1"/>
      <c r="L597" s="1">
        <v>0</v>
      </c>
      <c r="M597" s="1" t="s">
        <v>2260</v>
      </c>
      <c r="N597" s="1" t="s">
        <v>2263</v>
      </c>
    </row>
    <row r="598" spans="1:14" x14ac:dyDescent="0.25">
      <c r="A598" s="1" t="s">
        <v>2428</v>
      </c>
      <c r="B598" s="1">
        <v>597</v>
      </c>
      <c r="C598" s="1" t="s">
        <v>102</v>
      </c>
      <c r="D598" s="1" t="s">
        <v>11091</v>
      </c>
      <c r="E598" s="1" t="s">
        <v>2009</v>
      </c>
      <c r="F598" s="1" t="s">
        <v>2221</v>
      </c>
      <c r="G598" s="1" t="s">
        <v>2222</v>
      </c>
      <c r="H598" s="1">
        <v>41.9</v>
      </c>
      <c r="I598" s="1">
        <v>0</v>
      </c>
      <c r="J598" s="1">
        <v>1</v>
      </c>
      <c r="K598" s="1"/>
      <c r="L598" s="1">
        <v>0</v>
      </c>
      <c r="M598" s="1" t="s">
        <v>2260</v>
      </c>
      <c r="N598" s="1" t="s">
        <v>2265</v>
      </c>
    </row>
    <row r="599" spans="1:14" x14ac:dyDescent="0.25">
      <c r="A599" s="1" t="s">
        <v>2431</v>
      </c>
      <c r="B599" s="1">
        <v>598</v>
      </c>
      <c r="C599" s="1" t="s">
        <v>102</v>
      </c>
      <c r="D599" s="1" t="s">
        <v>11091</v>
      </c>
      <c r="E599" s="1" t="s">
        <v>2009</v>
      </c>
      <c r="F599" s="1" t="s">
        <v>2221</v>
      </c>
      <c r="G599" s="1" t="s">
        <v>2222</v>
      </c>
      <c r="H599" s="1">
        <v>41.9</v>
      </c>
      <c r="I599" s="1">
        <v>0</v>
      </c>
      <c r="J599" s="1">
        <v>1</v>
      </c>
      <c r="K599" s="1"/>
      <c r="L599" s="1">
        <v>0</v>
      </c>
      <c r="M599" s="1" t="s">
        <v>2260</v>
      </c>
      <c r="N599" s="1" t="s">
        <v>2267</v>
      </c>
    </row>
    <row r="600" spans="1:14" x14ac:dyDescent="0.25">
      <c r="A600" s="1" t="s">
        <v>2433</v>
      </c>
      <c r="B600" s="1">
        <v>599</v>
      </c>
      <c r="C600" s="1" t="s">
        <v>102</v>
      </c>
      <c r="D600" s="1" t="s">
        <v>11091</v>
      </c>
      <c r="E600" s="1" t="s">
        <v>2009</v>
      </c>
      <c r="F600" s="1" t="s">
        <v>2221</v>
      </c>
      <c r="G600" s="1" t="s">
        <v>2222</v>
      </c>
      <c r="H600" s="1">
        <v>41.9</v>
      </c>
      <c r="I600" s="1">
        <v>0</v>
      </c>
      <c r="J600" s="1">
        <v>1</v>
      </c>
      <c r="K600" s="1"/>
      <c r="L600" s="1">
        <v>0</v>
      </c>
      <c r="M600" s="1" t="s">
        <v>2260</v>
      </c>
      <c r="N600" s="1" t="s">
        <v>2269</v>
      </c>
    </row>
    <row r="601" spans="1:14" x14ac:dyDescent="0.25">
      <c r="A601" s="1" t="s">
        <v>2435</v>
      </c>
      <c r="B601" s="1">
        <v>600</v>
      </c>
      <c r="C601" s="1" t="s">
        <v>102</v>
      </c>
      <c r="D601" s="1" t="s">
        <v>11091</v>
      </c>
      <c r="E601" s="1" t="s">
        <v>2009</v>
      </c>
      <c r="F601" s="1" t="s">
        <v>2221</v>
      </c>
      <c r="G601" s="1" t="s">
        <v>2222</v>
      </c>
      <c r="H601" s="1">
        <v>41.9</v>
      </c>
      <c r="I601" s="1">
        <v>0</v>
      </c>
      <c r="J601" s="1">
        <v>1</v>
      </c>
      <c r="K601" s="1"/>
      <c r="L601" s="1">
        <v>0</v>
      </c>
      <c r="M601" s="1" t="s">
        <v>2260</v>
      </c>
      <c r="N601" s="1" t="s">
        <v>2271</v>
      </c>
    </row>
    <row r="602" spans="1:14" x14ac:dyDescent="0.25">
      <c r="A602" s="1" t="s">
        <v>2437</v>
      </c>
      <c r="B602" s="1">
        <v>601</v>
      </c>
      <c r="C602" s="1" t="s">
        <v>102</v>
      </c>
      <c r="D602" s="1" t="s">
        <v>11091</v>
      </c>
      <c r="E602" s="1" t="s">
        <v>2009</v>
      </c>
      <c r="F602" s="1" t="s">
        <v>2221</v>
      </c>
      <c r="G602" s="1" t="s">
        <v>2222</v>
      </c>
      <c r="H602" s="1">
        <v>41.9</v>
      </c>
      <c r="I602" s="1">
        <v>0</v>
      </c>
      <c r="J602" s="1">
        <v>1</v>
      </c>
      <c r="K602" s="1"/>
      <c r="L602" s="1">
        <v>0</v>
      </c>
      <c r="M602" s="1" t="s">
        <v>2260</v>
      </c>
      <c r="N602" s="1" t="s">
        <v>2273</v>
      </c>
    </row>
    <row r="603" spans="1:14" x14ac:dyDescent="0.25">
      <c r="A603" s="1" t="s">
        <v>2439</v>
      </c>
      <c r="B603" s="1">
        <v>602</v>
      </c>
      <c r="C603" s="1" t="s">
        <v>102</v>
      </c>
      <c r="D603" s="1" t="s">
        <v>11091</v>
      </c>
      <c r="E603" s="1" t="s">
        <v>2009</v>
      </c>
      <c r="F603" s="1" t="s">
        <v>2221</v>
      </c>
      <c r="G603" s="1" t="s">
        <v>2222</v>
      </c>
      <c r="H603" s="1">
        <v>41.9</v>
      </c>
      <c r="I603" s="1">
        <v>0</v>
      </c>
      <c r="J603" s="1">
        <v>1</v>
      </c>
      <c r="K603" s="1"/>
      <c r="L603" s="1">
        <v>0</v>
      </c>
      <c r="M603" s="1" t="s">
        <v>2275</v>
      </c>
      <c r="N603" s="1" t="s">
        <v>2276</v>
      </c>
    </row>
    <row r="604" spans="1:14" x14ac:dyDescent="0.25">
      <c r="A604" s="1" t="s">
        <v>2441</v>
      </c>
      <c r="B604" s="1">
        <v>603</v>
      </c>
      <c r="C604" s="1" t="s">
        <v>102</v>
      </c>
      <c r="D604" s="1" t="s">
        <v>11091</v>
      </c>
      <c r="E604" s="1" t="s">
        <v>2009</v>
      </c>
      <c r="F604" s="1" t="s">
        <v>2221</v>
      </c>
      <c r="G604" s="1" t="s">
        <v>2222</v>
      </c>
      <c r="H604" s="1">
        <v>41.9</v>
      </c>
      <c r="I604" s="1">
        <v>0</v>
      </c>
      <c r="J604" s="1">
        <v>1</v>
      </c>
      <c r="K604" s="1"/>
      <c r="L604" s="1">
        <v>0</v>
      </c>
      <c r="M604" s="1" t="s">
        <v>2275</v>
      </c>
      <c r="N604" s="1" t="s">
        <v>2278</v>
      </c>
    </row>
    <row r="605" spans="1:14" x14ac:dyDescent="0.25">
      <c r="A605" s="1" t="s">
        <v>2446</v>
      </c>
      <c r="B605" s="1">
        <v>604</v>
      </c>
      <c r="C605" s="1" t="s">
        <v>102</v>
      </c>
      <c r="D605" s="1" t="s">
        <v>11091</v>
      </c>
      <c r="E605" s="1" t="s">
        <v>2009</v>
      </c>
      <c r="F605" s="1" t="s">
        <v>2221</v>
      </c>
      <c r="G605" s="1" t="s">
        <v>2222</v>
      </c>
      <c r="H605" s="1">
        <v>41.9</v>
      </c>
      <c r="I605" s="1">
        <v>0</v>
      </c>
      <c r="J605" s="1">
        <v>1</v>
      </c>
      <c r="K605" s="1"/>
      <c r="L605" s="1">
        <v>0</v>
      </c>
      <c r="M605" s="1" t="s">
        <v>2275</v>
      </c>
      <c r="N605" s="1" t="s">
        <v>2280</v>
      </c>
    </row>
    <row r="606" spans="1:14" x14ac:dyDescent="0.25">
      <c r="A606" s="1" t="s">
        <v>2449</v>
      </c>
      <c r="B606" s="1">
        <v>605</v>
      </c>
      <c r="C606" s="1" t="s">
        <v>102</v>
      </c>
      <c r="D606" s="1" t="s">
        <v>11091</v>
      </c>
      <c r="E606" s="1" t="s">
        <v>2009</v>
      </c>
      <c r="F606" s="1" t="s">
        <v>2221</v>
      </c>
      <c r="G606" s="1" t="s">
        <v>2222</v>
      </c>
      <c r="H606" s="1">
        <v>41.9</v>
      </c>
      <c r="I606" s="1">
        <v>0</v>
      </c>
      <c r="J606" s="1">
        <v>1</v>
      </c>
      <c r="K606" s="1"/>
      <c r="L606" s="1">
        <v>0</v>
      </c>
      <c r="M606" s="1" t="s">
        <v>2275</v>
      </c>
      <c r="N606" s="1" t="s">
        <v>2282</v>
      </c>
    </row>
    <row r="607" spans="1:14" s="1" customFormat="1" x14ac:dyDescent="0.25">
      <c r="A607" s="1" t="s">
        <v>2451</v>
      </c>
      <c r="B607" s="1">
        <v>606</v>
      </c>
      <c r="C607" s="1" t="s">
        <v>102</v>
      </c>
      <c r="D607" s="1" t="s">
        <v>11091</v>
      </c>
      <c r="E607" s="1" t="s">
        <v>2009</v>
      </c>
      <c r="F607" s="1" t="s">
        <v>2221</v>
      </c>
      <c r="G607" s="1" t="s">
        <v>2222</v>
      </c>
      <c r="H607" s="1">
        <v>41.9</v>
      </c>
      <c r="I607" s="1">
        <v>0</v>
      </c>
      <c r="J607" s="1">
        <v>1</v>
      </c>
      <c r="L607" s="1">
        <v>0</v>
      </c>
      <c r="M607" s="1" t="s">
        <v>15224</v>
      </c>
      <c r="N607" s="1" t="s">
        <v>15224</v>
      </c>
    </row>
    <row r="608" spans="1:14" s="1" customFormat="1" x14ac:dyDescent="0.25">
      <c r="A608" s="1" t="s">
        <v>2453</v>
      </c>
      <c r="B608" s="1">
        <v>607</v>
      </c>
      <c r="C608" s="1" t="s">
        <v>102</v>
      </c>
      <c r="D608" s="1" t="s">
        <v>11091</v>
      </c>
      <c r="E608" s="1" t="s">
        <v>2009</v>
      </c>
      <c r="F608" s="1" t="s">
        <v>2221</v>
      </c>
      <c r="G608" s="1" t="s">
        <v>2222</v>
      </c>
      <c r="H608" s="1">
        <v>41.9</v>
      </c>
      <c r="I608" s="1">
        <v>0</v>
      </c>
      <c r="J608" s="1">
        <v>1</v>
      </c>
      <c r="L608" s="1">
        <v>0</v>
      </c>
      <c r="M608" s="1" t="s">
        <v>15225</v>
      </c>
      <c r="N608" s="1" t="s">
        <v>15225</v>
      </c>
    </row>
    <row r="609" spans="1:14" x14ac:dyDescent="0.25">
      <c r="A609" s="1" t="s">
        <v>2455</v>
      </c>
      <c r="B609" s="1">
        <v>608</v>
      </c>
      <c r="C609" s="1" t="s">
        <v>102</v>
      </c>
      <c r="D609" s="1" t="s">
        <v>11091</v>
      </c>
      <c r="E609" s="1" t="s">
        <v>2009</v>
      </c>
      <c r="F609" s="1" t="s">
        <v>944</v>
      </c>
      <c r="G609" s="1" t="s">
        <v>2284</v>
      </c>
      <c r="H609" s="1">
        <v>41.9</v>
      </c>
      <c r="I609" s="1">
        <v>0</v>
      </c>
      <c r="J609" s="1">
        <v>1</v>
      </c>
      <c r="K609" s="1"/>
      <c r="L609" s="1">
        <v>0</v>
      </c>
      <c r="M609" s="1" t="s">
        <v>2285</v>
      </c>
      <c r="N609" s="1" t="s">
        <v>2286</v>
      </c>
    </row>
    <row r="610" spans="1:14" x14ac:dyDescent="0.25">
      <c r="A610" s="1" t="s">
        <v>2457</v>
      </c>
      <c r="B610" s="1">
        <v>609</v>
      </c>
      <c r="C610" s="1" t="s">
        <v>102</v>
      </c>
      <c r="D610" s="1" t="s">
        <v>11091</v>
      </c>
      <c r="E610" s="1" t="s">
        <v>2009</v>
      </c>
      <c r="F610" s="1" t="s">
        <v>944</v>
      </c>
      <c r="G610" s="1" t="s">
        <v>2284</v>
      </c>
      <c r="H610" s="1">
        <v>41.9</v>
      </c>
      <c r="I610" s="1">
        <v>0</v>
      </c>
      <c r="J610" s="1">
        <v>1</v>
      </c>
      <c r="K610" s="1"/>
      <c r="L610" s="1">
        <v>0</v>
      </c>
      <c r="M610" s="1" t="s">
        <v>2285</v>
      </c>
      <c r="N610" s="1" t="s">
        <v>2288</v>
      </c>
    </row>
    <row r="611" spans="1:14" x14ac:dyDescent="0.25">
      <c r="A611" s="1" t="s">
        <v>2459</v>
      </c>
      <c r="B611" s="1">
        <v>610</v>
      </c>
      <c r="C611" s="1" t="s">
        <v>102</v>
      </c>
      <c r="D611" s="1" t="s">
        <v>11091</v>
      </c>
      <c r="E611" s="1" t="s">
        <v>2009</v>
      </c>
      <c r="F611" s="1" t="s">
        <v>944</v>
      </c>
      <c r="G611" s="1" t="s">
        <v>2284</v>
      </c>
      <c r="H611" s="1">
        <v>41.9</v>
      </c>
      <c r="I611" s="1">
        <v>0</v>
      </c>
      <c r="J611" s="1">
        <v>1</v>
      </c>
      <c r="K611" s="1"/>
      <c r="L611" s="1">
        <v>0</v>
      </c>
      <c r="M611" s="1" t="s">
        <v>2285</v>
      </c>
      <c r="N611" s="1" t="s">
        <v>2290</v>
      </c>
    </row>
    <row r="612" spans="1:14" x14ac:dyDescent="0.25">
      <c r="A612" s="1" t="s">
        <v>2462</v>
      </c>
      <c r="B612" s="1">
        <v>611</v>
      </c>
      <c r="C612" s="1" t="s">
        <v>102</v>
      </c>
      <c r="D612" s="1" t="s">
        <v>11091</v>
      </c>
      <c r="E612" s="1" t="s">
        <v>2009</v>
      </c>
      <c r="F612" s="1" t="s">
        <v>944</v>
      </c>
      <c r="G612" s="1" t="s">
        <v>2284</v>
      </c>
      <c r="H612" s="1">
        <v>41.9</v>
      </c>
      <c r="I612" s="1">
        <v>0</v>
      </c>
      <c r="J612" s="1">
        <v>1</v>
      </c>
      <c r="K612" s="1"/>
      <c r="L612" s="1">
        <v>0</v>
      </c>
      <c r="M612" s="1" t="s">
        <v>2285</v>
      </c>
      <c r="N612" s="1" t="s">
        <v>2292</v>
      </c>
    </row>
    <row r="613" spans="1:14" x14ac:dyDescent="0.25">
      <c r="A613" s="1" t="s">
        <v>2465</v>
      </c>
      <c r="B613" s="1">
        <v>612</v>
      </c>
      <c r="C613" s="1" t="s">
        <v>102</v>
      </c>
      <c r="D613" s="1" t="s">
        <v>11091</v>
      </c>
      <c r="E613" s="1" t="s">
        <v>2009</v>
      </c>
      <c r="F613" s="1" t="s">
        <v>944</v>
      </c>
      <c r="G613" s="1" t="s">
        <v>2284</v>
      </c>
      <c r="H613" s="1">
        <v>41.9</v>
      </c>
      <c r="I613" s="1">
        <v>0</v>
      </c>
      <c r="J613" s="1">
        <v>1</v>
      </c>
      <c r="K613" s="1"/>
      <c r="L613" s="1">
        <v>0</v>
      </c>
      <c r="M613" s="1" t="s">
        <v>2285</v>
      </c>
      <c r="N613" s="1" t="s">
        <v>2294</v>
      </c>
    </row>
    <row r="614" spans="1:14" x14ac:dyDescent="0.25">
      <c r="A614" s="1" t="s">
        <v>2467</v>
      </c>
      <c r="B614" s="1">
        <v>613</v>
      </c>
      <c r="C614" s="1" t="s">
        <v>102</v>
      </c>
      <c r="D614" s="1" t="s">
        <v>11091</v>
      </c>
      <c r="E614" s="1" t="s">
        <v>2009</v>
      </c>
      <c r="F614" s="1" t="s">
        <v>944</v>
      </c>
      <c r="G614" s="1" t="s">
        <v>2284</v>
      </c>
      <c r="H614" s="1">
        <v>41.9</v>
      </c>
      <c r="I614" s="1">
        <v>0</v>
      </c>
      <c r="J614" s="1">
        <v>1</v>
      </c>
      <c r="K614" s="1"/>
      <c r="L614" s="1">
        <v>0</v>
      </c>
      <c r="M614" s="1" t="s">
        <v>2285</v>
      </c>
      <c r="N614" s="1" t="s">
        <v>2296</v>
      </c>
    </row>
    <row r="615" spans="1:14" x14ac:dyDescent="0.25">
      <c r="A615" s="1" t="s">
        <v>2469</v>
      </c>
      <c r="B615" s="1">
        <v>614</v>
      </c>
      <c r="C615" s="1" t="s">
        <v>102</v>
      </c>
      <c r="D615" s="1" t="s">
        <v>11091</v>
      </c>
      <c r="E615" s="1" t="s">
        <v>2009</v>
      </c>
      <c r="F615" s="1" t="s">
        <v>944</v>
      </c>
      <c r="G615" s="1" t="s">
        <v>2284</v>
      </c>
      <c r="H615" s="1">
        <v>41.9</v>
      </c>
      <c r="I615" s="1">
        <v>0</v>
      </c>
      <c r="J615" s="1">
        <v>1</v>
      </c>
      <c r="K615" s="1"/>
      <c r="L615" s="1">
        <v>0</v>
      </c>
      <c r="M615" s="1" t="s">
        <v>2298</v>
      </c>
      <c r="N615" s="1" t="s">
        <v>2299</v>
      </c>
    </row>
    <row r="616" spans="1:14" x14ac:dyDescent="0.25">
      <c r="A616" s="1" t="s">
        <v>2471</v>
      </c>
      <c r="B616" s="1">
        <v>615</v>
      </c>
      <c r="C616" s="1" t="s">
        <v>102</v>
      </c>
      <c r="D616" s="1" t="s">
        <v>11091</v>
      </c>
      <c r="E616" s="1" t="s">
        <v>2009</v>
      </c>
      <c r="F616" s="1" t="s">
        <v>944</v>
      </c>
      <c r="G616" s="1" t="s">
        <v>2284</v>
      </c>
      <c r="H616" s="1">
        <v>41.9</v>
      </c>
      <c r="I616" s="1">
        <v>0</v>
      </c>
      <c r="J616" s="1">
        <v>1</v>
      </c>
      <c r="K616" s="1"/>
      <c r="L616" s="1">
        <v>0</v>
      </c>
      <c r="M616" s="1" t="s">
        <v>2298</v>
      </c>
      <c r="N616" s="1" t="s">
        <v>2301</v>
      </c>
    </row>
    <row r="617" spans="1:14" x14ac:dyDescent="0.25">
      <c r="A617" s="1" t="s">
        <v>2473</v>
      </c>
      <c r="B617" s="1">
        <v>616</v>
      </c>
      <c r="C617" s="1" t="s">
        <v>102</v>
      </c>
      <c r="D617" s="1" t="s">
        <v>11091</v>
      </c>
      <c r="E617" s="1" t="s">
        <v>2009</v>
      </c>
      <c r="F617" s="1" t="s">
        <v>944</v>
      </c>
      <c r="G617" s="1" t="s">
        <v>2284</v>
      </c>
      <c r="H617" s="1">
        <v>41.9</v>
      </c>
      <c r="I617" s="1">
        <v>0</v>
      </c>
      <c r="J617" s="1">
        <v>1</v>
      </c>
      <c r="K617" s="1"/>
      <c r="L617" s="1">
        <v>0</v>
      </c>
      <c r="M617" s="1" t="s">
        <v>2298</v>
      </c>
      <c r="N617" s="1" t="s">
        <v>2303</v>
      </c>
    </row>
    <row r="618" spans="1:14" x14ac:dyDescent="0.25">
      <c r="A618" s="1" t="s">
        <v>2476</v>
      </c>
      <c r="B618" s="1">
        <v>617</v>
      </c>
      <c r="C618" s="1" t="s">
        <v>102</v>
      </c>
      <c r="D618" s="1" t="s">
        <v>11091</v>
      </c>
      <c r="E618" s="1" t="s">
        <v>2009</v>
      </c>
      <c r="F618" s="1" t="s">
        <v>944</v>
      </c>
      <c r="G618" s="1" t="s">
        <v>2284</v>
      </c>
      <c r="H618" s="1">
        <v>41.9</v>
      </c>
      <c r="I618" s="1">
        <v>0</v>
      </c>
      <c r="J618" s="1">
        <v>1</v>
      </c>
      <c r="K618" s="1"/>
      <c r="L618" s="1">
        <v>0</v>
      </c>
      <c r="M618" s="1" t="s">
        <v>2298</v>
      </c>
      <c r="N618" s="1" t="s">
        <v>2305</v>
      </c>
    </row>
    <row r="619" spans="1:14" x14ac:dyDescent="0.25">
      <c r="A619" s="1" t="s">
        <v>2478</v>
      </c>
      <c r="B619" s="1">
        <v>618</v>
      </c>
      <c r="C619" s="1" t="s">
        <v>102</v>
      </c>
      <c r="D619" s="1" t="s">
        <v>11091</v>
      </c>
      <c r="E619" s="1" t="s">
        <v>2009</v>
      </c>
      <c r="F619" s="1" t="s">
        <v>944</v>
      </c>
      <c r="G619" s="1" t="s">
        <v>2284</v>
      </c>
      <c r="H619" s="1">
        <v>41.9</v>
      </c>
      <c r="I619" s="1">
        <v>0</v>
      </c>
      <c r="J619" s="1">
        <v>1</v>
      </c>
      <c r="K619" s="1"/>
      <c r="L619" s="1">
        <v>0</v>
      </c>
      <c r="M619" s="1" t="s">
        <v>1056</v>
      </c>
      <c r="N619" s="1" t="s">
        <v>2307</v>
      </c>
    </row>
    <row r="620" spans="1:14" x14ac:dyDescent="0.25">
      <c r="A620" s="1" t="s">
        <v>2480</v>
      </c>
      <c r="B620" s="1">
        <v>619</v>
      </c>
      <c r="C620" s="1" t="s">
        <v>102</v>
      </c>
      <c r="D620" s="1" t="s">
        <v>11091</v>
      </c>
      <c r="E620" s="1" t="s">
        <v>2009</v>
      </c>
      <c r="F620" s="1" t="s">
        <v>944</v>
      </c>
      <c r="G620" s="1" t="s">
        <v>2284</v>
      </c>
      <c r="H620" s="1">
        <v>41.9</v>
      </c>
      <c r="I620" s="1">
        <v>0</v>
      </c>
      <c r="J620" s="1">
        <v>1</v>
      </c>
      <c r="K620" s="1"/>
      <c r="L620" s="1">
        <v>0</v>
      </c>
      <c r="M620" s="1" t="s">
        <v>1056</v>
      </c>
      <c r="N620" s="1" t="s">
        <v>2309</v>
      </c>
    </row>
    <row r="621" spans="1:14" x14ac:dyDescent="0.25">
      <c r="A621" s="1" t="s">
        <v>2484</v>
      </c>
      <c r="B621" s="1">
        <v>620</v>
      </c>
      <c r="C621" s="1" t="s">
        <v>102</v>
      </c>
      <c r="D621" s="1" t="s">
        <v>11091</v>
      </c>
      <c r="E621" s="1" t="s">
        <v>2009</v>
      </c>
      <c r="F621" s="1" t="s">
        <v>944</v>
      </c>
      <c r="G621" s="1" t="s">
        <v>2284</v>
      </c>
      <c r="H621" s="1">
        <v>41.9</v>
      </c>
      <c r="I621" s="1">
        <v>0</v>
      </c>
      <c r="J621" s="1">
        <v>1</v>
      </c>
      <c r="K621" s="1"/>
      <c r="L621" s="1">
        <v>0</v>
      </c>
      <c r="M621" s="1" t="s">
        <v>1056</v>
      </c>
      <c r="N621" s="1" t="s">
        <v>2311</v>
      </c>
    </row>
    <row r="622" spans="1:14" x14ac:dyDescent="0.25">
      <c r="A622" s="1" t="s">
        <v>2486</v>
      </c>
      <c r="B622" s="1">
        <v>621</v>
      </c>
      <c r="C622" s="1" t="s">
        <v>102</v>
      </c>
      <c r="D622" s="1" t="s">
        <v>11091</v>
      </c>
      <c r="E622" s="1" t="s">
        <v>2009</v>
      </c>
      <c r="F622" s="1" t="s">
        <v>944</v>
      </c>
      <c r="G622" s="1" t="s">
        <v>2284</v>
      </c>
      <c r="H622" s="1">
        <v>41.9</v>
      </c>
      <c r="I622" s="1">
        <v>0</v>
      </c>
      <c r="J622" s="1">
        <v>1</v>
      </c>
      <c r="K622" s="1"/>
      <c r="L622" s="1">
        <v>0</v>
      </c>
      <c r="M622" s="1" t="s">
        <v>1056</v>
      </c>
      <c r="N622" s="1" t="s">
        <v>2313</v>
      </c>
    </row>
    <row r="623" spans="1:14" x14ac:dyDescent="0.25">
      <c r="A623" s="1" t="s">
        <v>2488</v>
      </c>
      <c r="B623" s="1">
        <v>622</v>
      </c>
      <c r="C623" s="1" t="s">
        <v>102</v>
      </c>
      <c r="D623" s="1" t="s">
        <v>11091</v>
      </c>
      <c r="E623" s="1" t="s">
        <v>2009</v>
      </c>
      <c r="F623" s="1" t="s">
        <v>944</v>
      </c>
      <c r="G623" s="1" t="s">
        <v>2284</v>
      </c>
      <c r="H623" s="1">
        <v>41.9</v>
      </c>
      <c r="I623" s="1">
        <v>0</v>
      </c>
      <c r="J623" s="1">
        <v>1</v>
      </c>
      <c r="K623" s="1"/>
      <c r="L623" s="1">
        <v>0</v>
      </c>
      <c r="M623" s="1" t="s">
        <v>1056</v>
      </c>
      <c r="N623" s="1" t="s">
        <v>2315</v>
      </c>
    </row>
    <row r="624" spans="1:14" x14ac:dyDescent="0.25">
      <c r="A624" s="1" t="s">
        <v>2490</v>
      </c>
      <c r="B624" s="1">
        <v>623</v>
      </c>
      <c r="C624" s="1" t="s">
        <v>102</v>
      </c>
      <c r="D624" s="1" t="s">
        <v>11091</v>
      </c>
      <c r="E624" s="1" t="s">
        <v>2009</v>
      </c>
      <c r="F624" s="1" t="s">
        <v>944</v>
      </c>
      <c r="G624" s="1" t="s">
        <v>2284</v>
      </c>
      <c r="H624" s="1">
        <v>41.9</v>
      </c>
      <c r="I624" s="1">
        <v>0</v>
      </c>
      <c r="J624" s="1">
        <v>1</v>
      </c>
      <c r="K624" s="1"/>
      <c r="L624" s="1">
        <v>0</v>
      </c>
      <c r="M624" s="1" t="s">
        <v>1056</v>
      </c>
      <c r="N624" s="1" t="s">
        <v>5799</v>
      </c>
    </row>
    <row r="625" spans="1:14" x14ac:dyDescent="0.25">
      <c r="A625" s="1" t="s">
        <v>2493</v>
      </c>
      <c r="B625" s="1">
        <v>624</v>
      </c>
      <c r="C625" s="1" t="s">
        <v>102</v>
      </c>
      <c r="D625" s="1" t="s">
        <v>11091</v>
      </c>
      <c r="E625" s="1" t="s">
        <v>2009</v>
      </c>
      <c r="F625" s="1" t="s">
        <v>944</v>
      </c>
      <c r="G625" s="1" t="s">
        <v>2284</v>
      </c>
      <c r="H625" s="1">
        <v>41.9</v>
      </c>
      <c r="I625" s="1">
        <v>0</v>
      </c>
      <c r="J625" s="1">
        <v>1</v>
      </c>
      <c r="K625" s="1"/>
      <c r="L625" s="1">
        <v>0</v>
      </c>
      <c r="M625" s="1" t="s">
        <v>1056</v>
      </c>
      <c r="N625" s="1" t="s">
        <v>5800</v>
      </c>
    </row>
    <row r="626" spans="1:14" s="1" customFormat="1" x14ac:dyDescent="0.25">
      <c r="A626" s="1" t="s">
        <v>2495</v>
      </c>
      <c r="B626" s="1">
        <v>625</v>
      </c>
      <c r="C626" s="1" t="s">
        <v>102</v>
      </c>
      <c r="D626" s="1" t="s">
        <v>11091</v>
      </c>
      <c r="E626" s="1" t="s">
        <v>2009</v>
      </c>
      <c r="F626" s="1" t="s">
        <v>944</v>
      </c>
      <c r="G626" s="1" t="s">
        <v>2284</v>
      </c>
      <c r="H626" s="1">
        <v>41.9</v>
      </c>
      <c r="I626" s="1">
        <v>0</v>
      </c>
      <c r="J626" s="1">
        <v>1</v>
      </c>
      <c r="L626" s="1">
        <v>0</v>
      </c>
      <c r="M626" s="1" t="s">
        <v>15231</v>
      </c>
      <c r="N626" s="1" t="s">
        <v>15231</v>
      </c>
    </row>
    <row r="627" spans="1:14" s="1" customFormat="1" x14ac:dyDescent="0.25">
      <c r="A627" s="1" t="s">
        <v>2497</v>
      </c>
      <c r="B627" s="1">
        <v>626</v>
      </c>
      <c r="C627" s="1" t="s">
        <v>102</v>
      </c>
      <c r="D627" s="1" t="s">
        <v>11091</v>
      </c>
      <c r="E627" s="1" t="s">
        <v>2009</v>
      </c>
      <c r="F627" s="1" t="s">
        <v>944</v>
      </c>
      <c r="G627" s="1" t="s">
        <v>2284</v>
      </c>
      <c r="H627" s="1">
        <v>41.9</v>
      </c>
      <c r="I627" s="1">
        <v>0</v>
      </c>
      <c r="J627" s="1">
        <v>1</v>
      </c>
      <c r="L627" s="1">
        <v>0</v>
      </c>
      <c r="M627" s="1" t="s">
        <v>15234</v>
      </c>
      <c r="N627" s="1" t="s">
        <v>15234</v>
      </c>
    </row>
    <row r="628" spans="1:14" s="1" customFormat="1" x14ac:dyDescent="0.25">
      <c r="A628" s="1" t="s">
        <v>2499</v>
      </c>
      <c r="B628" s="1">
        <v>627</v>
      </c>
      <c r="C628" s="1" t="s">
        <v>102</v>
      </c>
      <c r="D628" s="1" t="s">
        <v>11091</v>
      </c>
      <c r="E628" s="1" t="s">
        <v>2009</v>
      </c>
      <c r="F628" s="1" t="s">
        <v>944</v>
      </c>
      <c r="G628" s="1" t="s">
        <v>2284</v>
      </c>
      <c r="H628" s="1">
        <v>41.9</v>
      </c>
      <c r="I628" s="1">
        <v>0</v>
      </c>
      <c r="J628" s="1">
        <v>1</v>
      </c>
      <c r="L628" s="1">
        <v>0</v>
      </c>
      <c r="M628" s="1" t="s">
        <v>15248</v>
      </c>
      <c r="N628" s="1" t="s">
        <v>15248</v>
      </c>
    </row>
    <row r="629" spans="1:14" s="1" customFormat="1" x14ac:dyDescent="0.25">
      <c r="A629" s="1" t="s">
        <v>2502</v>
      </c>
      <c r="B629" s="1">
        <v>628</v>
      </c>
      <c r="C629" s="1" t="s">
        <v>102</v>
      </c>
      <c r="D629" s="1" t="s">
        <v>11091</v>
      </c>
      <c r="E629" s="1" t="s">
        <v>2009</v>
      </c>
      <c r="F629" s="1" t="s">
        <v>944</v>
      </c>
      <c r="G629" s="1" t="s">
        <v>2284</v>
      </c>
      <c r="H629" s="1">
        <v>41.9</v>
      </c>
      <c r="I629" s="1">
        <v>0</v>
      </c>
      <c r="J629" s="1">
        <v>1</v>
      </c>
      <c r="L629" s="1">
        <v>0</v>
      </c>
      <c r="M629" s="1" t="s">
        <v>16402</v>
      </c>
      <c r="N629" s="1" t="s">
        <v>16402</v>
      </c>
    </row>
    <row r="630" spans="1:14" x14ac:dyDescent="0.25">
      <c r="A630" s="1" t="s">
        <v>2504</v>
      </c>
      <c r="B630" s="1">
        <v>629</v>
      </c>
      <c r="C630" s="1" t="s">
        <v>133</v>
      </c>
      <c r="D630" s="1" t="s">
        <v>11096</v>
      </c>
      <c r="E630" s="1" t="s">
        <v>2367</v>
      </c>
      <c r="F630" s="1" t="s">
        <v>2368</v>
      </c>
      <c r="G630" s="1" t="s">
        <v>16563</v>
      </c>
      <c r="H630" s="1">
        <v>21.4</v>
      </c>
      <c r="I630" s="1">
        <v>0</v>
      </c>
      <c r="J630" s="1">
        <v>1</v>
      </c>
      <c r="K630" s="1" t="s">
        <v>1071</v>
      </c>
      <c r="L630" s="1">
        <v>0</v>
      </c>
      <c r="M630" s="1" t="s">
        <v>2368</v>
      </c>
      <c r="N630" s="1" t="s">
        <v>2368</v>
      </c>
    </row>
    <row r="631" spans="1:14" x14ac:dyDescent="0.25">
      <c r="A631" s="1" t="s">
        <v>2506</v>
      </c>
      <c r="B631" s="1">
        <v>630</v>
      </c>
      <c r="C631" s="1" t="s">
        <v>133</v>
      </c>
      <c r="D631" s="1" t="s">
        <v>11098</v>
      </c>
      <c r="E631" s="1" t="s">
        <v>2317</v>
      </c>
      <c r="F631" s="1" t="s">
        <v>2318</v>
      </c>
      <c r="G631" s="1" t="s">
        <v>16564</v>
      </c>
      <c r="H631" s="1">
        <v>21.4</v>
      </c>
      <c r="I631" s="1">
        <v>0</v>
      </c>
      <c r="J631" s="1">
        <v>1</v>
      </c>
      <c r="K631" s="1" t="s">
        <v>1071</v>
      </c>
      <c r="L631" s="1">
        <v>0</v>
      </c>
      <c r="M631" s="1" t="s">
        <v>2318</v>
      </c>
      <c r="N631" s="1" t="s">
        <v>2318</v>
      </c>
    </row>
    <row r="632" spans="1:14" s="1" customFormat="1" x14ac:dyDescent="0.25">
      <c r="A632" s="1" t="s">
        <v>2508</v>
      </c>
      <c r="B632" s="1">
        <v>631</v>
      </c>
      <c r="C632" s="1" t="s">
        <v>133</v>
      </c>
      <c r="D632" s="1" t="s">
        <v>11098</v>
      </c>
      <c r="E632" s="1" t="s">
        <v>2317</v>
      </c>
      <c r="F632" s="1" t="s">
        <v>2318</v>
      </c>
      <c r="G632" s="1" t="s">
        <v>16564</v>
      </c>
      <c r="H632" s="1">
        <v>21.4</v>
      </c>
      <c r="I632" s="1">
        <v>0</v>
      </c>
      <c r="J632" s="1">
        <v>1</v>
      </c>
      <c r="K632" s="1" t="s">
        <v>1071</v>
      </c>
      <c r="L632" s="1">
        <v>0</v>
      </c>
      <c r="M632" s="1" t="s">
        <v>6650</v>
      </c>
      <c r="N632" s="1" t="s">
        <v>6650</v>
      </c>
    </row>
    <row r="633" spans="1:14" s="1" customFormat="1" x14ac:dyDescent="0.25">
      <c r="A633" s="1" t="s">
        <v>2510</v>
      </c>
      <c r="B633" s="1">
        <v>632</v>
      </c>
      <c r="C633" s="1" t="s">
        <v>133</v>
      </c>
      <c r="D633" s="1" t="s">
        <v>11098</v>
      </c>
      <c r="E633" s="1" t="s">
        <v>2317</v>
      </c>
      <c r="F633" s="1" t="s">
        <v>2318</v>
      </c>
      <c r="G633" s="1" t="s">
        <v>16564</v>
      </c>
      <c r="H633" s="1">
        <v>21.4</v>
      </c>
      <c r="I633" s="1">
        <v>0</v>
      </c>
      <c r="J633" s="1">
        <v>1</v>
      </c>
      <c r="K633" s="1" t="s">
        <v>1071</v>
      </c>
      <c r="L633" s="1">
        <v>0</v>
      </c>
      <c r="M633" s="1" t="s">
        <v>15276</v>
      </c>
      <c r="N633" s="1" t="s">
        <v>15276</v>
      </c>
    </row>
    <row r="634" spans="1:14" x14ac:dyDescent="0.25">
      <c r="A634" s="1" t="s">
        <v>2512</v>
      </c>
      <c r="B634" s="1">
        <v>633</v>
      </c>
      <c r="C634" s="1" t="s">
        <v>133</v>
      </c>
      <c r="D634" s="1" t="s">
        <v>11098</v>
      </c>
      <c r="E634" s="1" t="s">
        <v>2317</v>
      </c>
      <c r="F634" s="1" t="s">
        <v>2320</v>
      </c>
      <c r="G634" s="1" t="s">
        <v>16565</v>
      </c>
      <c r="H634" s="1">
        <v>41.9</v>
      </c>
      <c r="I634" s="1">
        <v>0</v>
      </c>
      <c r="J634" s="1">
        <v>1</v>
      </c>
      <c r="K634" s="1"/>
      <c r="L634" s="1">
        <v>0</v>
      </c>
      <c r="M634" s="1" t="s">
        <v>2321</v>
      </c>
      <c r="N634" s="1" t="s">
        <v>2322</v>
      </c>
    </row>
    <row r="635" spans="1:14" x14ac:dyDescent="0.25">
      <c r="A635" s="1" t="s">
        <v>2514</v>
      </c>
      <c r="B635" s="1">
        <v>634</v>
      </c>
      <c r="C635" s="1" t="s">
        <v>133</v>
      </c>
      <c r="D635" s="1" t="s">
        <v>11098</v>
      </c>
      <c r="E635" s="1" t="s">
        <v>2317</v>
      </c>
      <c r="F635" s="1" t="s">
        <v>2320</v>
      </c>
      <c r="G635" s="1" t="s">
        <v>16565</v>
      </c>
      <c r="H635" s="1">
        <v>41.9</v>
      </c>
      <c r="I635" s="1">
        <v>0</v>
      </c>
      <c r="J635" s="1">
        <v>1</v>
      </c>
      <c r="K635" s="1"/>
      <c r="L635" s="1">
        <v>0</v>
      </c>
      <c r="M635" s="1" t="s">
        <v>2321</v>
      </c>
      <c r="N635" s="1" t="s">
        <v>2324</v>
      </c>
    </row>
    <row r="636" spans="1:14" x14ac:dyDescent="0.25">
      <c r="A636" s="1" t="s">
        <v>5803</v>
      </c>
      <c r="B636" s="1">
        <v>635</v>
      </c>
      <c r="C636" s="1" t="s">
        <v>133</v>
      </c>
      <c r="D636" s="1" t="s">
        <v>11098</v>
      </c>
      <c r="E636" s="1" t="s">
        <v>2317</v>
      </c>
      <c r="F636" s="1" t="s">
        <v>2320</v>
      </c>
      <c r="G636" s="1" t="s">
        <v>16565</v>
      </c>
      <c r="H636" s="1">
        <v>41.9</v>
      </c>
      <c r="I636" s="1">
        <v>0</v>
      </c>
      <c r="J636" s="1">
        <v>1</v>
      </c>
      <c r="K636" s="1"/>
      <c r="L636" s="1">
        <v>0</v>
      </c>
      <c r="M636" s="1" t="s">
        <v>2321</v>
      </c>
      <c r="N636" s="1" t="s">
        <v>2326</v>
      </c>
    </row>
    <row r="637" spans="1:14" x14ac:dyDescent="0.25">
      <c r="A637" s="1" t="s">
        <v>5804</v>
      </c>
      <c r="B637" s="1">
        <v>636</v>
      </c>
      <c r="C637" s="1" t="s">
        <v>133</v>
      </c>
      <c r="D637" s="1" t="s">
        <v>11098</v>
      </c>
      <c r="E637" s="1" t="s">
        <v>2317</v>
      </c>
      <c r="F637" s="1" t="s">
        <v>2320</v>
      </c>
      <c r="G637" s="1" t="s">
        <v>16565</v>
      </c>
      <c r="H637" s="1">
        <v>41.9</v>
      </c>
      <c r="I637" s="1">
        <v>0</v>
      </c>
      <c r="J637" s="1">
        <v>1</v>
      </c>
      <c r="K637" s="1"/>
      <c r="L637" s="1">
        <v>0</v>
      </c>
      <c r="M637" s="1" t="s">
        <v>2321</v>
      </c>
      <c r="N637" s="1" t="s">
        <v>2328</v>
      </c>
    </row>
    <row r="638" spans="1:14" x14ac:dyDescent="0.25">
      <c r="A638" s="1" t="s">
        <v>5805</v>
      </c>
      <c r="B638" s="1">
        <v>637</v>
      </c>
      <c r="C638" s="1" t="s">
        <v>133</v>
      </c>
      <c r="D638" s="1" t="s">
        <v>11098</v>
      </c>
      <c r="E638" s="1" t="s">
        <v>2317</v>
      </c>
      <c r="F638" s="1" t="s">
        <v>2320</v>
      </c>
      <c r="G638" s="1" t="s">
        <v>16565</v>
      </c>
      <c r="H638" s="1">
        <v>41.9</v>
      </c>
      <c r="I638" s="1">
        <v>0</v>
      </c>
      <c r="J638" s="1">
        <v>1</v>
      </c>
      <c r="K638" s="1"/>
      <c r="L638" s="1">
        <v>0</v>
      </c>
      <c r="M638" s="1" t="s">
        <v>2321</v>
      </c>
      <c r="N638" s="1" t="s">
        <v>2330</v>
      </c>
    </row>
    <row r="639" spans="1:14" x14ac:dyDescent="0.25">
      <c r="A639" s="1" t="s">
        <v>5806</v>
      </c>
      <c r="B639" s="1">
        <v>638</v>
      </c>
      <c r="C639" s="1" t="s">
        <v>133</v>
      </c>
      <c r="D639" s="1" t="s">
        <v>11098</v>
      </c>
      <c r="E639" s="1" t="s">
        <v>2317</v>
      </c>
      <c r="F639" s="1" t="s">
        <v>2320</v>
      </c>
      <c r="G639" s="1" t="s">
        <v>16565</v>
      </c>
      <c r="H639" s="1">
        <v>41.9</v>
      </c>
      <c r="I639" s="1">
        <v>0</v>
      </c>
      <c r="J639" s="1">
        <v>1</v>
      </c>
      <c r="K639" s="1"/>
      <c r="L639" s="1">
        <v>0</v>
      </c>
      <c r="M639" s="1" t="s">
        <v>2321</v>
      </c>
      <c r="N639" s="1" t="s">
        <v>2332</v>
      </c>
    </row>
    <row r="640" spans="1:14" x14ac:dyDescent="0.25">
      <c r="A640" s="1" t="s">
        <v>5807</v>
      </c>
      <c r="B640" s="1">
        <v>639</v>
      </c>
      <c r="C640" s="1" t="s">
        <v>133</v>
      </c>
      <c r="D640" s="1" t="s">
        <v>11098</v>
      </c>
      <c r="E640" s="1" t="s">
        <v>2317</v>
      </c>
      <c r="F640" s="1" t="s">
        <v>2320</v>
      </c>
      <c r="G640" s="1" t="s">
        <v>16565</v>
      </c>
      <c r="H640" s="1">
        <v>41.9</v>
      </c>
      <c r="I640" s="1">
        <v>0</v>
      </c>
      <c r="J640" s="1">
        <v>1</v>
      </c>
      <c r="K640" s="1"/>
      <c r="L640" s="1">
        <v>0</v>
      </c>
      <c r="M640" s="1" t="s">
        <v>2321</v>
      </c>
      <c r="N640" s="1" t="s">
        <v>2334</v>
      </c>
    </row>
    <row r="641" spans="1:14" x14ac:dyDescent="0.25">
      <c r="A641" s="1" t="s">
        <v>5808</v>
      </c>
      <c r="B641" s="1">
        <v>640</v>
      </c>
      <c r="C641" s="1" t="s">
        <v>133</v>
      </c>
      <c r="D641" s="1" t="s">
        <v>11098</v>
      </c>
      <c r="E641" s="1" t="s">
        <v>2317</v>
      </c>
      <c r="F641" s="1" t="s">
        <v>2320</v>
      </c>
      <c r="G641" s="1" t="s">
        <v>16565</v>
      </c>
      <c r="H641" s="1">
        <v>41.9</v>
      </c>
      <c r="I641" s="1">
        <v>0</v>
      </c>
      <c r="J641" s="1">
        <v>1</v>
      </c>
      <c r="K641" s="1"/>
      <c r="L641" s="1">
        <v>0</v>
      </c>
      <c r="M641" s="1" t="s">
        <v>2336</v>
      </c>
      <c r="N641" s="1" t="s">
        <v>2337</v>
      </c>
    </row>
    <row r="642" spans="1:14" x14ac:dyDescent="0.25">
      <c r="A642" s="1" t="s">
        <v>5809</v>
      </c>
      <c r="B642" s="1">
        <v>641</v>
      </c>
      <c r="C642" s="1" t="s">
        <v>133</v>
      </c>
      <c r="D642" s="1" t="s">
        <v>11098</v>
      </c>
      <c r="E642" s="1" t="s">
        <v>2317</v>
      </c>
      <c r="F642" s="1" t="s">
        <v>2320</v>
      </c>
      <c r="G642" s="1" t="s">
        <v>16565</v>
      </c>
      <c r="H642" s="1">
        <v>41.9</v>
      </c>
      <c r="I642" s="1">
        <v>0</v>
      </c>
      <c r="J642" s="1">
        <v>1</v>
      </c>
      <c r="K642" s="1"/>
      <c r="L642" s="1">
        <v>0</v>
      </c>
      <c r="M642" s="1" t="s">
        <v>2336</v>
      </c>
      <c r="N642" s="1" t="s">
        <v>2339</v>
      </c>
    </row>
    <row r="643" spans="1:14" x14ac:dyDescent="0.25">
      <c r="A643" s="1" t="s">
        <v>5810</v>
      </c>
      <c r="B643" s="1">
        <v>642</v>
      </c>
      <c r="C643" s="1" t="s">
        <v>133</v>
      </c>
      <c r="D643" s="1" t="s">
        <v>11098</v>
      </c>
      <c r="E643" s="1" t="s">
        <v>2317</v>
      </c>
      <c r="F643" s="1" t="s">
        <v>2320</v>
      </c>
      <c r="G643" s="1" t="s">
        <v>16565</v>
      </c>
      <c r="H643" s="1">
        <v>41.9</v>
      </c>
      <c r="I643" s="1">
        <v>0</v>
      </c>
      <c r="J643" s="1">
        <v>1</v>
      </c>
      <c r="K643" s="1"/>
      <c r="L643" s="1">
        <v>0</v>
      </c>
      <c r="M643" s="1" t="s">
        <v>2336</v>
      </c>
      <c r="N643" s="1" t="s">
        <v>2341</v>
      </c>
    </row>
    <row r="644" spans="1:14" x14ac:dyDescent="0.25">
      <c r="A644" s="1" t="s">
        <v>5811</v>
      </c>
      <c r="B644" s="1">
        <v>643</v>
      </c>
      <c r="C644" s="1" t="s">
        <v>133</v>
      </c>
      <c r="D644" s="1" t="s">
        <v>11098</v>
      </c>
      <c r="E644" s="1" t="s">
        <v>2317</v>
      </c>
      <c r="F644" s="1" t="s">
        <v>2320</v>
      </c>
      <c r="G644" s="1" t="s">
        <v>16565</v>
      </c>
      <c r="H644" s="1">
        <v>41.9</v>
      </c>
      <c r="I644" s="1">
        <v>0</v>
      </c>
      <c r="J644" s="1">
        <v>1</v>
      </c>
      <c r="K644" s="1"/>
      <c r="L644" s="1">
        <v>0</v>
      </c>
      <c r="M644" s="1" t="s">
        <v>2336</v>
      </c>
      <c r="N644" s="1" t="s">
        <v>2343</v>
      </c>
    </row>
    <row r="645" spans="1:14" x14ac:dyDescent="0.25">
      <c r="A645" s="1" t="s">
        <v>5812</v>
      </c>
      <c r="B645" s="1">
        <v>644</v>
      </c>
      <c r="C645" s="1" t="s">
        <v>133</v>
      </c>
      <c r="D645" s="1" t="s">
        <v>11098</v>
      </c>
      <c r="E645" s="1" t="s">
        <v>2317</v>
      </c>
      <c r="F645" s="1" t="s">
        <v>2320</v>
      </c>
      <c r="G645" s="1" t="s">
        <v>16565</v>
      </c>
      <c r="H645" s="1">
        <v>41.9</v>
      </c>
      <c r="I645" s="1">
        <v>0</v>
      </c>
      <c r="J645" s="1">
        <v>1</v>
      </c>
      <c r="K645" s="1"/>
      <c r="L645" s="1">
        <v>0</v>
      </c>
      <c r="M645" s="1" t="s">
        <v>2336</v>
      </c>
      <c r="N645" s="1" t="s">
        <v>2345</v>
      </c>
    </row>
    <row r="646" spans="1:14" x14ac:dyDescent="0.25">
      <c r="A646" s="1" t="s">
        <v>5813</v>
      </c>
      <c r="B646" s="1">
        <v>645</v>
      </c>
      <c r="C646" s="1" t="s">
        <v>133</v>
      </c>
      <c r="D646" s="1" t="s">
        <v>11098</v>
      </c>
      <c r="E646" s="1" t="s">
        <v>2317</v>
      </c>
      <c r="F646" s="1" t="s">
        <v>2320</v>
      </c>
      <c r="G646" s="1" t="s">
        <v>16565</v>
      </c>
      <c r="H646" s="1">
        <v>41.9</v>
      </c>
      <c r="I646" s="1">
        <v>0</v>
      </c>
      <c r="J646" s="1">
        <v>1</v>
      </c>
      <c r="K646" s="1"/>
      <c r="L646" s="1">
        <v>0</v>
      </c>
      <c r="M646" s="1" t="s">
        <v>2336</v>
      </c>
      <c r="N646" s="1" t="s">
        <v>2347</v>
      </c>
    </row>
    <row r="647" spans="1:14" x14ac:dyDescent="0.25">
      <c r="A647" s="1" t="s">
        <v>5814</v>
      </c>
      <c r="B647" s="1">
        <v>646</v>
      </c>
      <c r="C647" s="1" t="s">
        <v>133</v>
      </c>
      <c r="D647" s="1" t="s">
        <v>11098</v>
      </c>
      <c r="E647" s="1" t="s">
        <v>2317</v>
      </c>
      <c r="F647" s="1" t="s">
        <v>2320</v>
      </c>
      <c r="G647" s="1" t="s">
        <v>16565</v>
      </c>
      <c r="H647" s="1">
        <v>41.9</v>
      </c>
      <c r="I647" s="1">
        <v>0</v>
      </c>
      <c r="J647" s="1">
        <v>1</v>
      </c>
      <c r="K647" s="1"/>
      <c r="L647" s="1">
        <v>0</v>
      </c>
      <c r="M647" s="1" t="s">
        <v>2336</v>
      </c>
      <c r="N647" s="1" t="s">
        <v>2349</v>
      </c>
    </row>
    <row r="648" spans="1:14" x14ac:dyDescent="0.25">
      <c r="A648" s="1" t="s">
        <v>2516</v>
      </c>
      <c r="B648" s="1">
        <v>647</v>
      </c>
      <c r="C648" s="1" t="s">
        <v>133</v>
      </c>
      <c r="D648" s="1" t="s">
        <v>11098</v>
      </c>
      <c r="E648" s="1" t="s">
        <v>2317</v>
      </c>
      <c r="F648" s="1" t="s">
        <v>2320</v>
      </c>
      <c r="G648" s="1" t="s">
        <v>16565</v>
      </c>
      <c r="H648" s="1">
        <v>41.9</v>
      </c>
      <c r="I648" s="1">
        <v>0</v>
      </c>
      <c r="J648" s="1">
        <v>1</v>
      </c>
      <c r="K648" s="1"/>
      <c r="L648" s="1">
        <v>0</v>
      </c>
      <c r="M648" s="1" t="s">
        <v>2351</v>
      </c>
      <c r="N648" s="1" t="s">
        <v>2352</v>
      </c>
    </row>
    <row r="649" spans="1:14" x14ac:dyDescent="0.25">
      <c r="A649" s="1" t="s">
        <v>2521</v>
      </c>
      <c r="B649" s="1">
        <v>648</v>
      </c>
      <c r="C649" s="1" t="s">
        <v>133</v>
      </c>
      <c r="D649" s="1" t="s">
        <v>11098</v>
      </c>
      <c r="E649" s="1" t="s">
        <v>2317</v>
      </c>
      <c r="F649" s="1" t="s">
        <v>2320</v>
      </c>
      <c r="G649" s="1" t="s">
        <v>16565</v>
      </c>
      <c r="H649" s="1">
        <v>41.9</v>
      </c>
      <c r="I649" s="1">
        <v>0</v>
      </c>
      <c r="J649" s="1">
        <v>1</v>
      </c>
      <c r="K649" s="1"/>
      <c r="L649" s="1">
        <v>0</v>
      </c>
      <c r="M649" s="1" t="s">
        <v>2354</v>
      </c>
      <c r="N649" s="1" t="s">
        <v>2355</v>
      </c>
    </row>
    <row r="650" spans="1:14" x14ac:dyDescent="0.25">
      <c r="A650" s="1" t="s">
        <v>2523</v>
      </c>
      <c r="B650" s="1">
        <v>649</v>
      </c>
      <c r="C650" s="1" t="s">
        <v>133</v>
      </c>
      <c r="D650" s="1" t="s">
        <v>11098</v>
      </c>
      <c r="E650" s="1" t="s">
        <v>2317</v>
      </c>
      <c r="F650" s="1" t="s">
        <v>2320</v>
      </c>
      <c r="G650" s="1" t="s">
        <v>16565</v>
      </c>
      <c r="H650" s="1">
        <v>41.9</v>
      </c>
      <c r="I650" s="1">
        <v>0</v>
      </c>
      <c r="J650" s="1">
        <v>1</v>
      </c>
      <c r="K650" s="1"/>
      <c r="L650" s="1">
        <v>0</v>
      </c>
      <c r="M650" s="1" t="s">
        <v>2354</v>
      </c>
      <c r="N650" s="1" t="s">
        <v>2357</v>
      </c>
    </row>
    <row r="651" spans="1:14" x14ac:dyDescent="0.25">
      <c r="A651" s="1" t="s">
        <v>2525</v>
      </c>
      <c r="B651" s="1">
        <v>650</v>
      </c>
      <c r="C651" s="1" t="s">
        <v>133</v>
      </c>
      <c r="D651" s="1" t="s">
        <v>11098</v>
      </c>
      <c r="E651" s="1" t="s">
        <v>2317</v>
      </c>
      <c r="F651" s="1" t="s">
        <v>2320</v>
      </c>
      <c r="G651" s="1" t="s">
        <v>16565</v>
      </c>
      <c r="H651" s="1">
        <v>41.9</v>
      </c>
      <c r="I651" s="1">
        <v>0</v>
      </c>
      <c r="J651" s="1">
        <v>1</v>
      </c>
      <c r="K651" s="1"/>
      <c r="L651" s="1">
        <v>0</v>
      </c>
      <c r="M651" s="1" t="s">
        <v>2354</v>
      </c>
      <c r="N651" s="1" t="s">
        <v>2359</v>
      </c>
    </row>
    <row r="652" spans="1:14" x14ac:dyDescent="0.25">
      <c r="A652" s="1" t="s">
        <v>2527</v>
      </c>
      <c r="B652" s="1">
        <v>651</v>
      </c>
      <c r="C652" s="1" t="s">
        <v>133</v>
      </c>
      <c r="D652" s="1" t="s">
        <v>11098</v>
      </c>
      <c r="E652" s="1" t="s">
        <v>2317</v>
      </c>
      <c r="F652" s="1" t="s">
        <v>2320</v>
      </c>
      <c r="G652" s="1" t="s">
        <v>16565</v>
      </c>
      <c r="H652" s="1">
        <v>41.9</v>
      </c>
      <c r="I652" s="1">
        <v>0</v>
      </c>
      <c r="J652" s="1">
        <v>1</v>
      </c>
      <c r="K652" s="1"/>
      <c r="L652" s="1">
        <v>0</v>
      </c>
      <c r="M652" s="1" t="s">
        <v>2354</v>
      </c>
      <c r="N652" s="1" t="s">
        <v>2361</v>
      </c>
    </row>
    <row r="653" spans="1:14" s="16" customFormat="1" x14ac:dyDescent="0.25">
      <c r="A653" s="1" t="s">
        <v>2530</v>
      </c>
      <c r="B653" s="1">
        <v>652</v>
      </c>
      <c r="C653" s="1" t="s">
        <v>133</v>
      </c>
      <c r="D653" s="1" t="s">
        <v>11098</v>
      </c>
      <c r="E653" s="1" t="s">
        <v>2317</v>
      </c>
      <c r="F653" s="1" t="s">
        <v>2320</v>
      </c>
      <c r="G653" s="1" t="s">
        <v>16565</v>
      </c>
      <c r="H653" s="1">
        <v>41.9</v>
      </c>
      <c r="I653" s="1">
        <v>0</v>
      </c>
      <c r="J653" s="1">
        <v>1</v>
      </c>
      <c r="K653" s="1"/>
      <c r="L653" s="1">
        <v>0</v>
      </c>
      <c r="M653" s="1" t="s">
        <v>2354</v>
      </c>
      <c r="N653" s="1" t="s">
        <v>2363</v>
      </c>
    </row>
    <row r="654" spans="1:14" s="16" customFormat="1" x14ac:dyDescent="0.25">
      <c r="A654" s="1" t="s">
        <v>2532</v>
      </c>
      <c r="B654" s="1">
        <v>653</v>
      </c>
      <c r="C654" s="1" t="s">
        <v>133</v>
      </c>
      <c r="D654" s="1" t="s">
        <v>11098</v>
      </c>
      <c r="E654" s="1" t="s">
        <v>2317</v>
      </c>
      <c r="F654" s="1" t="s">
        <v>2320</v>
      </c>
      <c r="G654" s="1" t="s">
        <v>16565</v>
      </c>
      <c r="H654" s="1">
        <v>41.9</v>
      </c>
      <c r="I654" s="1">
        <v>0</v>
      </c>
      <c r="J654" s="1">
        <v>1</v>
      </c>
      <c r="K654" s="1"/>
      <c r="L654" s="1">
        <v>0</v>
      </c>
      <c r="M654" s="1" t="s">
        <v>2354</v>
      </c>
      <c r="N654" s="1" t="s">
        <v>2365</v>
      </c>
    </row>
    <row r="655" spans="1:14" s="1" customFormat="1" x14ac:dyDescent="0.25">
      <c r="A655" s="1" t="s">
        <v>2534</v>
      </c>
      <c r="B655" s="1">
        <v>654</v>
      </c>
      <c r="C655" s="1" t="s">
        <v>133</v>
      </c>
      <c r="D655" s="1" t="s">
        <v>11098</v>
      </c>
      <c r="E655" s="1" t="s">
        <v>2317</v>
      </c>
      <c r="F655" s="1" t="s">
        <v>2320</v>
      </c>
      <c r="G655" s="1" t="s">
        <v>16565</v>
      </c>
      <c r="H655" s="1">
        <v>41.9</v>
      </c>
      <c r="I655" s="1">
        <v>0</v>
      </c>
      <c r="J655" s="1">
        <v>1</v>
      </c>
      <c r="L655" s="1">
        <v>0</v>
      </c>
      <c r="M655" s="1" t="s">
        <v>15287</v>
      </c>
      <c r="N655" s="1" t="s">
        <v>15287</v>
      </c>
    </row>
    <row r="656" spans="1:14" s="1" customFormat="1" x14ac:dyDescent="0.25">
      <c r="A656" s="1" t="s">
        <v>2537</v>
      </c>
      <c r="B656" s="1">
        <v>655</v>
      </c>
      <c r="C656" s="1" t="s">
        <v>133</v>
      </c>
      <c r="D656" s="1" t="s">
        <v>11098</v>
      </c>
      <c r="E656" s="1" t="s">
        <v>2317</v>
      </c>
      <c r="F656" s="1" t="s">
        <v>2320</v>
      </c>
      <c r="G656" s="1" t="s">
        <v>16565</v>
      </c>
      <c r="H656" s="1">
        <v>41.9</v>
      </c>
      <c r="I656" s="1">
        <v>0</v>
      </c>
      <c r="J656" s="1">
        <v>1</v>
      </c>
      <c r="L656" s="1">
        <v>0</v>
      </c>
      <c r="M656" s="1" t="s">
        <v>15294</v>
      </c>
      <c r="N656" s="1" t="s">
        <v>15294</v>
      </c>
    </row>
    <row r="657" spans="1:14" s="1" customFormat="1" x14ac:dyDescent="0.25">
      <c r="A657" s="1" t="s">
        <v>2539</v>
      </c>
      <c r="B657" s="1">
        <v>656</v>
      </c>
      <c r="C657" s="1" t="s">
        <v>133</v>
      </c>
      <c r="D657" s="1" t="s">
        <v>11098</v>
      </c>
      <c r="E657" s="1" t="s">
        <v>2317</v>
      </c>
      <c r="F657" s="1" t="s">
        <v>2320</v>
      </c>
      <c r="G657" s="1" t="s">
        <v>16565</v>
      </c>
      <c r="H657" s="1">
        <v>41.9</v>
      </c>
      <c r="I657" s="1">
        <v>0</v>
      </c>
      <c r="J657" s="1">
        <v>1</v>
      </c>
      <c r="L657" s="1">
        <v>0</v>
      </c>
      <c r="M657" s="1" t="s">
        <v>15301</v>
      </c>
      <c r="N657" s="1" t="s">
        <v>15301</v>
      </c>
    </row>
    <row r="658" spans="1:14" x14ac:dyDescent="0.25">
      <c r="A658" s="1" t="s">
        <v>2541</v>
      </c>
      <c r="B658" s="1">
        <v>657</v>
      </c>
      <c r="C658" s="1" t="s">
        <v>133</v>
      </c>
      <c r="D658" s="1" t="s">
        <v>11096</v>
      </c>
      <c r="E658" s="1" t="s">
        <v>2367</v>
      </c>
      <c r="F658" s="1" t="s">
        <v>837</v>
      </c>
      <c r="G658" s="1" t="s">
        <v>11096</v>
      </c>
      <c r="H658" s="1">
        <v>41.9</v>
      </c>
      <c r="I658" s="1">
        <v>0</v>
      </c>
      <c r="J658" s="1">
        <v>1</v>
      </c>
      <c r="K658" s="1"/>
      <c r="L658" s="1">
        <v>0</v>
      </c>
      <c r="M658" s="1" t="s">
        <v>2370</v>
      </c>
      <c r="N658" s="1" t="s">
        <v>2371</v>
      </c>
    </row>
    <row r="659" spans="1:14" x14ac:dyDescent="0.25">
      <c r="A659" s="1" t="s">
        <v>2544</v>
      </c>
      <c r="B659" s="1">
        <v>658</v>
      </c>
      <c r="C659" s="1" t="s">
        <v>133</v>
      </c>
      <c r="D659" s="1" t="s">
        <v>11096</v>
      </c>
      <c r="E659" s="1" t="s">
        <v>2367</v>
      </c>
      <c r="F659" s="1" t="s">
        <v>837</v>
      </c>
      <c r="G659" s="1" t="s">
        <v>11096</v>
      </c>
      <c r="H659" s="1">
        <v>41.9</v>
      </c>
      <c r="I659" s="1">
        <v>0</v>
      </c>
      <c r="J659" s="1">
        <v>1</v>
      </c>
      <c r="K659" s="1"/>
      <c r="L659" s="1">
        <v>0</v>
      </c>
      <c r="M659" s="1" t="s">
        <v>2370</v>
      </c>
      <c r="N659" s="1" t="s">
        <v>2373</v>
      </c>
    </row>
    <row r="660" spans="1:14" x14ac:dyDescent="0.25">
      <c r="A660" s="1" t="s">
        <v>2548</v>
      </c>
      <c r="B660" s="1">
        <v>659</v>
      </c>
      <c r="C660" s="1" t="s">
        <v>133</v>
      </c>
      <c r="D660" s="1" t="s">
        <v>11096</v>
      </c>
      <c r="E660" s="1" t="s">
        <v>2367</v>
      </c>
      <c r="F660" s="1" t="s">
        <v>837</v>
      </c>
      <c r="G660" s="1" t="s">
        <v>11096</v>
      </c>
      <c r="H660" s="1">
        <v>41.9</v>
      </c>
      <c r="I660" s="1">
        <v>0</v>
      </c>
      <c r="J660" s="1">
        <v>1</v>
      </c>
      <c r="K660" s="1"/>
      <c r="L660" s="1">
        <v>0</v>
      </c>
      <c r="M660" s="1" t="s">
        <v>2370</v>
      </c>
      <c r="N660" s="1" t="s">
        <v>2375</v>
      </c>
    </row>
    <row r="661" spans="1:14" x14ac:dyDescent="0.25">
      <c r="A661" s="1" t="s">
        <v>2550</v>
      </c>
      <c r="B661" s="1">
        <v>660</v>
      </c>
      <c r="C661" s="1" t="s">
        <v>133</v>
      </c>
      <c r="D661" s="1" t="s">
        <v>11096</v>
      </c>
      <c r="E661" s="1" t="s">
        <v>2367</v>
      </c>
      <c r="F661" s="1" t="s">
        <v>837</v>
      </c>
      <c r="G661" s="1" t="s">
        <v>11096</v>
      </c>
      <c r="H661" s="1">
        <v>41.9</v>
      </c>
      <c r="I661" s="1">
        <v>0</v>
      </c>
      <c r="J661" s="1">
        <v>1</v>
      </c>
      <c r="K661" s="1"/>
      <c r="L661" s="1">
        <v>0</v>
      </c>
      <c r="M661" s="1" t="s">
        <v>2370</v>
      </c>
      <c r="N661" s="1" t="s">
        <v>2377</v>
      </c>
    </row>
    <row r="662" spans="1:14" x14ac:dyDescent="0.25">
      <c r="A662" s="1" t="s">
        <v>2552</v>
      </c>
      <c r="B662" s="1">
        <v>661</v>
      </c>
      <c r="C662" s="1" t="s">
        <v>133</v>
      </c>
      <c r="D662" s="1" t="s">
        <v>11096</v>
      </c>
      <c r="E662" s="1" t="s">
        <v>2367</v>
      </c>
      <c r="F662" s="1" t="s">
        <v>837</v>
      </c>
      <c r="G662" s="1" t="s">
        <v>11096</v>
      </c>
      <c r="H662" s="1">
        <v>41.9</v>
      </c>
      <c r="I662" s="1">
        <v>0</v>
      </c>
      <c r="J662" s="1">
        <v>1</v>
      </c>
      <c r="K662" s="1"/>
      <c r="L662" s="1">
        <v>0</v>
      </c>
      <c r="M662" s="1" t="s">
        <v>2370</v>
      </c>
      <c r="N662" s="1" t="s">
        <v>2379</v>
      </c>
    </row>
    <row r="663" spans="1:14" x14ac:dyDescent="0.25">
      <c r="A663" s="1" t="s">
        <v>2554</v>
      </c>
      <c r="B663" s="1">
        <v>662</v>
      </c>
      <c r="C663" s="1" t="s">
        <v>133</v>
      </c>
      <c r="D663" s="1" t="s">
        <v>11096</v>
      </c>
      <c r="E663" s="1" t="s">
        <v>2367</v>
      </c>
      <c r="F663" s="1" t="s">
        <v>837</v>
      </c>
      <c r="G663" s="1" t="s">
        <v>11096</v>
      </c>
      <c r="H663" s="1">
        <v>41.9</v>
      </c>
      <c r="I663" s="1">
        <v>0</v>
      </c>
      <c r="J663" s="1">
        <v>1</v>
      </c>
      <c r="K663" s="1"/>
      <c r="L663" s="1">
        <v>0</v>
      </c>
      <c r="M663" s="1" t="s">
        <v>2370</v>
      </c>
      <c r="N663" s="1" t="s">
        <v>2381</v>
      </c>
    </row>
    <row r="664" spans="1:14" x14ac:dyDescent="0.25">
      <c r="A664" s="1" t="s">
        <v>2557</v>
      </c>
      <c r="B664" s="1">
        <v>663</v>
      </c>
      <c r="C664" s="1" t="s">
        <v>133</v>
      </c>
      <c r="D664" s="1" t="s">
        <v>11096</v>
      </c>
      <c r="E664" s="1" t="s">
        <v>2367</v>
      </c>
      <c r="F664" s="1" t="s">
        <v>837</v>
      </c>
      <c r="G664" s="1" t="s">
        <v>11096</v>
      </c>
      <c r="H664" s="1">
        <v>41.9</v>
      </c>
      <c r="I664" s="1">
        <v>0</v>
      </c>
      <c r="J664" s="1">
        <v>1</v>
      </c>
      <c r="K664" s="1"/>
      <c r="L664" s="1">
        <v>0</v>
      </c>
      <c r="M664" s="1" t="s">
        <v>2383</v>
      </c>
      <c r="N664" s="1" t="s">
        <v>2384</v>
      </c>
    </row>
    <row r="665" spans="1:14" x14ac:dyDescent="0.25">
      <c r="A665" s="1" t="s">
        <v>2559</v>
      </c>
      <c r="B665" s="1">
        <v>664</v>
      </c>
      <c r="C665" s="1" t="s">
        <v>133</v>
      </c>
      <c r="D665" s="1" t="s">
        <v>11096</v>
      </c>
      <c r="E665" s="1" t="s">
        <v>2367</v>
      </c>
      <c r="F665" s="1" t="s">
        <v>837</v>
      </c>
      <c r="G665" s="1" t="s">
        <v>11096</v>
      </c>
      <c r="H665" s="1">
        <v>41.9</v>
      </c>
      <c r="I665" s="1">
        <v>0</v>
      </c>
      <c r="J665" s="1">
        <v>1</v>
      </c>
      <c r="K665" s="1"/>
      <c r="L665" s="1">
        <v>0</v>
      </c>
      <c r="M665" s="1" t="s">
        <v>2383</v>
      </c>
      <c r="N665" s="1" t="s">
        <v>2386</v>
      </c>
    </row>
    <row r="666" spans="1:14" x14ac:dyDescent="0.25">
      <c r="A666" s="1" t="s">
        <v>2561</v>
      </c>
      <c r="B666" s="1">
        <v>665</v>
      </c>
      <c r="C666" s="1" t="s">
        <v>133</v>
      </c>
      <c r="D666" s="1" t="s">
        <v>11096</v>
      </c>
      <c r="E666" s="1" t="s">
        <v>2367</v>
      </c>
      <c r="F666" s="1" t="s">
        <v>837</v>
      </c>
      <c r="G666" s="1" t="s">
        <v>11096</v>
      </c>
      <c r="H666" s="1">
        <v>41.9</v>
      </c>
      <c r="I666" s="1">
        <v>0</v>
      </c>
      <c r="J666" s="1">
        <v>1</v>
      </c>
      <c r="K666" s="1"/>
      <c r="L666" s="1">
        <v>0</v>
      </c>
      <c r="M666" s="1" t="s">
        <v>2383</v>
      </c>
      <c r="N666" s="1" t="s">
        <v>2388</v>
      </c>
    </row>
    <row r="667" spans="1:14" x14ac:dyDescent="0.25">
      <c r="A667" s="1" t="s">
        <v>2564</v>
      </c>
      <c r="B667" s="1">
        <v>666</v>
      </c>
      <c r="C667" s="1" t="s">
        <v>133</v>
      </c>
      <c r="D667" s="1" t="s">
        <v>11096</v>
      </c>
      <c r="E667" s="1" t="s">
        <v>2367</v>
      </c>
      <c r="F667" s="1" t="s">
        <v>837</v>
      </c>
      <c r="G667" s="1" t="s">
        <v>11096</v>
      </c>
      <c r="H667" s="1">
        <v>41.9</v>
      </c>
      <c r="I667" s="1">
        <v>0</v>
      </c>
      <c r="J667" s="1">
        <v>1</v>
      </c>
      <c r="K667" s="1"/>
      <c r="L667" s="1">
        <v>0</v>
      </c>
      <c r="M667" s="1" t="s">
        <v>2383</v>
      </c>
      <c r="N667" s="1" t="s">
        <v>2390</v>
      </c>
    </row>
    <row r="668" spans="1:14" x14ac:dyDescent="0.25">
      <c r="A668" s="1" t="s">
        <v>2566</v>
      </c>
      <c r="B668" s="1">
        <v>667</v>
      </c>
      <c r="C668" s="1" t="s">
        <v>133</v>
      </c>
      <c r="D668" s="1" t="s">
        <v>11096</v>
      </c>
      <c r="E668" s="1" t="s">
        <v>2367</v>
      </c>
      <c r="F668" s="1" t="s">
        <v>837</v>
      </c>
      <c r="G668" s="1" t="s">
        <v>11096</v>
      </c>
      <c r="H668" s="1">
        <v>41.9</v>
      </c>
      <c r="I668" s="1">
        <v>0</v>
      </c>
      <c r="J668" s="1">
        <v>1</v>
      </c>
      <c r="K668" s="1"/>
      <c r="L668" s="1">
        <v>0</v>
      </c>
      <c r="M668" s="1" t="s">
        <v>2383</v>
      </c>
      <c r="N668" s="1" t="s">
        <v>2392</v>
      </c>
    </row>
    <row r="669" spans="1:14" x14ac:dyDescent="0.25">
      <c r="A669" s="1" t="s">
        <v>2569</v>
      </c>
      <c r="B669" s="1">
        <v>668</v>
      </c>
      <c r="C669" s="1" t="s">
        <v>133</v>
      </c>
      <c r="D669" s="1" t="s">
        <v>11096</v>
      </c>
      <c r="E669" s="1" t="s">
        <v>2367</v>
      </c>
      <c r="F669" s="1" t="s">
        <v>837</v>
      </c>
      <c r="G669" s="1" t="s">
        <v>11096</v>
      </c>
      <c r="H669" s="1">
        <v>41.9</v>
      </c>
      <c r="I669" s="1">
        <v>0</v>
      </c>
      <c r="J669" s="1">
        <v>1</v>
      </c>
      <c r="K669" s="1"/>
      <c r="L669" s="1">
        <v>0</v>
      </c>
      <c r="M669" s="1" t="s">
        <v>2394</v>
      </c>
      <c r="N669" s="1" t="s">
        <v>2395</v>
      </c>
    </row>
    <row r="670" spans="1:14" x14ac:dyDescent="0.25">
      <c r="A670" s="1" t="s">
        <v>2571</v>
      </c>
      <c r="B670" s="1">
        <v>669</v>
      </c>
      <c r="C670" s="1" t="s">
        <v>133</v>
      </c>
      <c r="D670" s="1" t="s">
        <v>11096</v>
      </c>
      <c r="E670" s="1" t="s">
        <v>2367</v>
      </c>
      <c r="F670" s="1" t="s">
        <v>837</v>
      </c>
      <c r="G670" s="1" t="s">
        <v>11096</v>
      </c>
      <c r="H670" s="1">
        <v>41.9</v>
      </c>
      <c r="I670" s="1">
        <v>0</v>
      </c>
      <c r="J670" s="1">
        <v>1</v>
      </c>
      <c r="K670" s="1"/>
      <c r="L670" s="1">
        <v>0</v>
      </c>
      <c r="M670" s="1" t="s">
        <v>2394</v>
      </c>
      <c r="N670" s="1" t="s">
        <v>2397</v>
      </c>
    </row>
    <row r="671" spans="1:14" x14ac:dyDescent="0.25">
      <c r="A671" s="1" t="s">
        <v>2573</v>
      </c>
      <c r="B671" s="1">
        <v>670</v>
      </c>
      <c r="C671" s="1" t="s">
        <v>133</v>
      </c>
      <c r="D671" s="1" t="s">
        <v>11096</v>
      </c>
      <c r="E671" s="1" t="s">
        <v>2367</v>
      </c>
      <c r="F671" s="1" t="s">
        <v>837</v>
      </c>
      <c r="G671" s="1" t="s">
        <v>11096</v>
      </c>
      <c r="H671" s="1">
        <v>41.9</v>
      </c>
      <c r="I671" s="1">
        <v>0</v>
      </c>
      <c r="J671" s="1">
        <v>1</v>
      </c>
      <c r="K671" s="1"/>
      <c r="L671" s="1">
        <v>0</v>
      </c>
      <c r="M671" s="1" t="s">
        <v>2394</v>
      </c>
      <c r="N671" s="1" t="s">
        <v>2399</v>
      </c>
    </row>
    <row r="672" spans="1:14" x14ac:dyDescent="0.25">
      <c r="A672" s="1" t="s">
        <v>2575</v>
      </c>
      <c r="B672" s="1">
        <v>671</v>
      </c>
      <c r="C672" s="1" t="s">
        <v>133</v>
      </c>
      <c r="D672" s="1" t="s">
        <v>11096</v>
      </c>
      <c r="E672" s="1" t="s">
        <v>2367</v>
      </c>
      <c r="F672" s="1" t="s">
        <v>837</v>
      </c>
      <c r="G672" s="1" t="s">
        <v>11096</v>
      </c>
      <c r="H672" s="1">
        <v>41.9</v>
      </c>
      <c r="I672" s="1">
        <v>0</v>
      </c>
      <c r="J672" s="1">
        <v>1</v>
      </c>
      <c r="K672" s="1"/>
      <c r="L672" s="1">
        <v>0</v>
      </c>
      <c r="M672" s="1" t="s">
        <v>2394</v>
      </c>
      <c r="N672" s="1" t="s">
        <v>2401</v>
      </c>
    </row>
    <row r="673" spans="1:14" x14ac:dyDescent="0.25">
      <c r="A673" s="1" t="s">
        <v>2578</v>
      </c>
      <c r="B673" s="1">
        <v>672</v>
      </c>
      <c r="C673" s="1" t="s">
        <v>133</v>
      </c>
      <c r="D673" s="1" t="s">
        <v>11096</v>
      </c>
      <c r="E673" s="1" t="s">
        <v>2367</v>
      </c>
      <c r="F673" s="1" t="s">
        <v>837</v>
      </c>
      <c r="G673" s="1" t="s">
        <v>11096</v>
      </c>
      <c r="H673" s="1">
        <v>41.9</v>
      </c>
      <c r="I673" s="1">
        <v>0</v>
      </c>
      <c r="J673" s="1">
        <v>1</v>
      </c>
      <c r="K673" s="1"/>
      <c r="L673" s="1">
        <v>0</v>
      </c>
      <c r="M673" s="1" t="s">
        <v>2394</v>
      </c>
      <c r="N673" s="1" t="s">
        <v>2403</v>
      </c>
    </row>
    <row r="674" spans="1:14" s="16" customFormat="1" x14ac:dyDescent="0.25">
      <c r="A674" s="1" t="s">
        <v>2580</v>
      </c>
      <c r="B674" s="1">
        <v>673</v>
      </c>
      <c r="C674" s="1" t="s">
        <v>133</v>
      </c>
      <c r="D674" s="1" t="s">
        <v>11096</v>
      </c>
      <c r="E674" s="1" t="s">
        <v>2367</v>
      </c>
      <c r="F674" s="1" t="s">
        <v>837</v>
      </c>
      <c r="G674" s="1" t="s">
        <v>11096</v>
      </c>
      <c r="H674" s="1">
        <v>41.9</v>
      </c>
      <c r="I674" s="1">
        <v>0</v>
      </c>
      <c r="J674" s="1">
        <v>1</v>
      </c>
      <c r="K674" s="1"/>
      <c r="L674" s="1">
        <v>0</v>
      </c>
      <c r="M674" s="1" t="s">
        <v>2405</v>
      </c>
      <c r="N674" s="1" t="s">
        <v>2405</v>
      </c>
    </row>
    <row r="675" spans="1:14" s="1" customFormat="1" x14ac:dyDescent="0.25">
      <c r="A675" s="1" t="s">
        <v>2582</v>
      </c>
      <c r="B675" s="1">
        <v>674</v>
      </c>
      <c r="C675" s="1" t="s">
        <v>133</v>
      </c>
      <c r="D675" s="1" t="s">
        <v>11096</v>
      </c>
      <c r="E675" s="1" t="s">
        <v>2367</v>
      </c>
      <c r="F675" s="1" t="s">
        <v>837</v>
      </c>
      <c r="G675" s="1" t="s">
        <v>11096</v>
      </c>
      <c r="H675" s="1">
        <v>41.9</v>
      </c>
      <c r="I675" s="1">
        <v>0</v>
      </c>
      <c r="J675" s="1">
        <v>1</v>
      </c>
      <c r="L675" s="1">
        <v>0</v>
      </c>
      <c r="M675" s="1" t="s">
        <v>2403</v>
      </c>
      <c r="N675" s="1" t="s">
        <v>2403</v>
      </c>
    </row>
    <row r="676" spans="1:14" s="1" customFormat="1" x14ac:dyDescent="0.25">
      <c r="A676" s="1" t="s">
        <v>2584</v>
      </c>
      <c r="B676" s="1">
        <v>675</v>
      </c>
      <c r="C676" s="1" t="s">
        <v>133</v>
      </c>
      <c r="D676" s="1" t="s">
        <v>11096</v>
      </c>
      <c r="E676" s="1" t="s">
        <v>2367</v>
      </c>
      <c r="F676" s="1" t="s">
        <v>837</v>
      </c>
      <c r="G676" s="1" t="s">
        <v>11096</v>
      </c>
      <c r="H676" s="1">
        <v>41.9</v>
      </c>
      <c r="I676" s="1">
        <v>0</v>
      </c>
      <c r="J676" s="1">
        <v>1</v>
      </c>
      <c r="L676" s="1">
        <v>0</v>
      </c>
      <c r="M676" s="1" t="s">
        <v>15341</v>
      </c>
      <c r="N676" s="1" t="s">
        <v>15341</v>
      </c>
    </row>
    <row r="677" spans="1:14" s="1" customFormat="1" x14ac:dyDescent="0.25">
      <c r="A677" s="1" t="s">
        <v>2587</v>
      </c>
      <c r="B677" s="1">
        <v>676</v>
      </c>
      <c r="C677" s="1" t="s">
        <v>133</v>
      </c>
      <c r="D677" s="1" t="s">
        <v>11096</v>
      </c>
      <c r="E677" s="1" t="s">
        <v>2367</v>
      </c>
      <c r="F677" s="1" t="s">
        <v>837</v>
      </c>
      <c r="G677" s="1" t="s">
        <v>11096</v>
      </c>
      <c r="H677" s="1">
        <v>41.9</v>
      </c>
      <c r="I677" s="1">
        <v>0</v>
      </c>
      <c r="J677" s="1">
        <v>1</v>
      </c>
      <c r="L677" s="1">
        <v>0</v>
      </c>
      <c r="M677" s="1" t="s">
        <v>2384</v>
      </c>
      <c r="N677" s="1" t="s">
        <v>2384</v>
      </c>
    </row>
    <row r="678" spans="1:14" s="1" customFormat="1" x14ac:dyDescent="0.25">
      <c r="A678" s="1" t="s">
        <v>2589</v>
      </c>
      <c r="B678" s="1">
        <v>677</v>
      </c>
      <c r="C678" s="1" t="s">
        <v>133</v>
      </c>
      <c r="D678" s="1" t="s">
        <v>11096</v>
      </c>
      <c r="E678" s="1" t="s">
        <v>2367</v>
      </c>
      <c r="F678" s="1" t="s">
        <v>837</v>
      </c>
      <c r="G678" s="1" t="s">
        <v>11096</v>
      </c>
      <c r="H678" s="1">
        <v>41.9</v>
      </c>
      <c r="I678" s="1">
        <v>0</v>
      </c>
      <c r="J678" s="1">
        <v>1</v>
      </c>
      <c r="L678" s="1">
        <v>0</v>
      </c>
      <c r="M678" s="1" t="s">
        <v>2371</v>
      </c>
      <c r="N678" s="1" t="s">
        <v>2371</v>
      </c>
    </row>
    <row r="679" spans="1:14" s="1" customFormat="1" x14ac:dyDescent="0.25">
      <c r="A679" s="1" t="s">
        <v>2591</v>
      </c>
      <c r="B679" s="1">
        <v>678</v>
      </c>
      <c r="C679" s="1" t="s">
        <v>133</v>
      </c>
      <c r="D679" s="1" t="s">
        <v>11096</v>
      </c>
      <c r="E679" s="1" t="s">
        <v>2367</v>
      </c>
      <c r="F679" s="1" t="s">
        <v>837</v>
      </c>
      <c r="G679" s="1" t="s">
        <v>11096</v>
      </c>
      <c r="H679" s="1">
        <v>41.9</v>
      </c>
      <c r="I679" s="1">
        <v>0</v>
      </c>
      <c r="J679" s="1">
        <v>1</v>
      </c>
      <c r="L679" s="1">
        <v>0</v>
      </c>
      <c r="M679" s="1" t="s">
        <v>15358</v>
      </c>
      <c r="N679" s="1" t="s">
        <v>15358</v>
      </c>
    </row>
    <row r="680" spans="1:14" s="1" customFormat="1" x14ac:dyDescent="0.25">
      <c r="A680" s="1" t="s">
        <v>2594</v>
      </c>
      <c r="B680" s="1">
        <v>679</v>
      </c>
      <c r="C680" s="1" t="s">
        <v>133</v>
      </c>
      <c r="D680" s="1" t="s">
        <v>11096</v>
      </c>
      <c r="E680" s="1" t="s">
        <v>2367</v>
      </c>
      <c r="F680" s="1" t="s">
        <v>837</v>
      </c>
      <c r="G680" s="1" t="s">
        <v>11096</v>
      </c>
      <c r="H680" s="1">
        <v>41.9</v>
      </c>
      <c r="I680" s="1">
        <v>0</v>
      </c>
      <c r="J680" s="1">
        <v>1</v>
      </c>
      <c r="L680" s="1">
        <v>0</v>
      </c>
      <c r="M680" s="1" t="s">
        <v>2375</v>
      </c>
      <c r="N680" s="1" t="s">
        <v>2375</v>
      </c>
    </row>
    <row r="681" spans="1:14" s="1" customFormat="1" x14ac:dyDescent="0.25">
      <c r="A681" s="1" t="s">
        <v>2596</v>
      </c>
      <c r="B681" s="1">
        <v>680</v>
      </c>
      <c r="C681" s="1" t="s">
        <v>133</v>
      </c>
      <c r="D681" s="1" t="s">
        <v>11096</v>
      </c>
      <c r="E681" s="1" t="s">
        <v>2367</v>
      </c>
      <c r="F681" s="1" t="s">
        <v>837</v>
      </c>
      <c r="G681" s="1" t="s">
        <v>11096</v>
      </c>
      <c r="H681" s="1">
        <v>41.9</v>
      </c>
      <c r="I681" s="1">
        <v>0</v>
      </c>
      <c r="J681" s="1">
        <v>1</v>
      </c>
      <c r="L681" s="1">
        <v>0</v>
      </c>
      <c r="M681" s="1" t="s">
        <v>15377</v>
      </c>
      <c r="N681" s="1" t="s">
        <v>15377</v>
      </c>
    </row>
    <row r="682" spans="1:14" x14ac:dyDescent="0.25">
      <c r="A682" s="1" t="s">
        <v>2600</v>
      </c>
      <c r="B682" s="1">
        <v>681</v>
      </c>
      <c r="C682" s="1" t="s">
        <v>133</v>
      </c>
      <c r="D682" s="1" t="s">
        <v>11097</v>
      </c>
      <c r="E682" s="1" t="s">
        <v>2367</v>
      </c>
      <c r="F682" s="1" t="s">
        <v>2407</v>
      </c>
      <c r="G682" s="1" t="s">
        <v>11097</v>
      </c>
      <c r="H682" s="1">
        <v>41.9</v>
      </c>
      <c r="I682" s="1">
        <v>0</v>
      </c>
      <c r="J682" s="1">
        <v>1</v>
      </c>
      <c r="K682" s="1"/>
      <c r="L682" s="1">
        <v>0</v>
      </c>
      <c r="M682" s="1" t="s">
        <v>2408</v>
      </c>
      <c r="N682" s="1" t="s">
        <v>2409</v>
      </c>
    </row>
    <row r="683" spans="1:14" x14ac:dyDescent="0.25">
      <c r="A683" s="1" t="s">
        <v>2602</v>
      </c>
      <c r="B683" s="1">
        <v>682</v>
      </c>
      <c r="C683" s="1" t="s">
        <v>133</v>
      </c>
      <c r="D683" s="1" t="s">
        <v>11097</v>
      </c>
      <c r="E683" s="1" t="s">
        <v>2367</v>
      </c>
      <c r="F683" s="1" t="s">
        <v>2407</v>
      </c>
      <c r="G683" s="1" t="s">
        <v>11097</v>
      </c>
      <c r="H683" s="1">
        <v>41.9</v>
      </c>
      <c r="I683" s="1">
        <v>0</v>
      </c>
      <c r="J683" s="1">
        <v>1</v>
      </c>
      <c r="K683" s="1"/>
      <c r="L683" s="1">
        <v>0</v>
      </c>
      <c r="M683" s="1" t="s">
        <v>2408</v>
      </c>
      <c r="N683" s="1" t="s">
        <v>2411</v>
      </c>
    </row>
    <row r="684" spans="1:14" x14ac:dyDescent="0.25">
      <c r="A684" s="1" t="s">
        <v>2604</v>
      </c>
      <c r="B684" s="1">
        <v>683</v>
      </c>
      <c r="C684" s="1" t="s">
        <v>133</v>
      </c>
      <c r="D684" s="1" t="s">
        <v>11097</v>
      </c>
      <c r="E684" s="1" t="s">
        <v>2367</v>
      </c>
      <c r="F684" s="1" t="s">
        <v>2407</v>
      </c>
      <c r="G684" s="1" t="s">
        <v>11097</v>
      </c>
      <c r="H684" s="1">
        <v>41.9</v>
      </c>
      <c r="I684" s="1">
        <v>0</v>
      </c>
      <c r="J684" s="1">
        <v>1</v>
      </c>
      <c r="K684" s="1"/>
      <c r="L684" s="1">
        <v>0</v>
      </c>
      <c r="M684" s="1" t="s">
        <v>2408</v>
      </c>
      <c r="N684" s="1" t="s">
        <v>2413</v>
      </c>
    </row>
    <row r="685" spans="1:14" x14ac:dyDescent="0.25">
      <c r="A685" s="1" t="s">
        <v>2606</v>
      </c>
      <c r="B685" s="1">
        <v>684</v>
      </c>
      <c r="C685" s="1" t="s">
        <v>133</v>
      </c>
      <c r="D685" s="1" t="s">
        <v>11097</v>
      </c>
      <c r="E685" s="1" t="s">
        <v>2367</v>
      </c>
      <c r="F685" s="1" t="s">
        <v>2407</v>
      </c>
      <c r="G685" s="1" t="s">
        <v>11097</v>
      </c>
      <c r="H685" s="1">
        <v>41.9</v>
      </c>
      <c r="I685" s="1">
        <v>0</v>
      </c>
      <c r="J685" s="1">
        <v>1</v>
      </c>
      <c r="K685" s="1"/>
      <c r="L685" s="1">
        <v>0</v>
      </c>
      <c r="M685" s="1" t="s">
        <v>2408</v>
      </c>
      <c r="N685" s="1" t="s">
        <v>2440</v>
      </c>
    </row>
    <row r="686" spans="1:14" x14ac:dyDescent="0.25">
      <c r="A686" s="1" t="s">
        <v>2608</v>
      </c>
      <c r="B686" s="1">
        <v>685</v>
      </c>
      <c r="C686" s="1" t="s">
        <v>133</v>
      </c>
      <c r="D686" s="1" t="s">
        <v>11097</v>
      </c>
      <c r="E686" s="1" t="s">
        <v>2367</v>
      </c>
      <c r="F686" s="1" t="s">
        <v>2407</v>
      </c>
      <c r="G686" s="1" t="s">
        <v>11097</v>
      </c>
      <c r="H686" s="1">
        <v>41.9</v>
      </c>
      <c r="I686" s="1">
        <v>0</v>
      </c>
      <c r="J686" s="1">
        <v>1</v>
      </c>
      <c r="K686" s="1"/>
      <c r="L686" s="1">
        <v>0</v>
      </c>
      <c r="M686" s="1" t="s">
        <v>2415</v>
      </c>
      <c r="N686" s="1" t="s">
        <v>2416</v>
      </c>
    </row>
    <row r="687" spans="1:14" x14ac:dyDescent="0.25">
      <c r="A687" s="1" t="s">
        <v>2610</v>
      </c>
      <c r="B687" s="1">
        <v>686</v>
      </c>
      <c r="C687" s="1" t="s">
        <v>133</v>
      </c>
      <c r="D687" s="1" t="s">
        <v>11097</v>
      </c>
      <c r="E687" s="1" t="s">
        <v>2367</v>
      </c>
      <c r="F687" s="1" t="s">
        <v>2407</v>
      </c>
      <c r="G687" s="1" t="s">
        <v>11097</v>
      </c>
      <c r="H687" s="1">
        <v>41.9</v>
      </c>
      <c r="I687" s="1">
        <v>0</v>
      </c>
      <c r="J687" s="1">
        <v>1</v>
      </c>
      <c r="K687" s="1"/>
      <c r="L687" s="1">
        <v>0</v>
      </c>
      <c r="M687" s="1" t="s">
        <v>2415</v>
      </c>
      <c r="N687" s="1" t="s">
        <v>2418</v>
      </c>
    </row>
    <row r="688" spans="1:14" x14ac:dyDescent="0.25">
      <c r="A688" s="1" t="s">
        <v>2613</v>
      </c>
      <c r="B688" s="1">
        <v>687</v>
      </c>
      <c r="C688" s="1" t="s">
        <v>133</v>
      </c>
      <c r="D688" s="1" t="s">
        <v>11097</v>
      </c>
      <c r="E688" s="1" t="s">
        <v>2367</v>
      </c>
      <c r="F688" s="1" t="s">
        <v>2407</v>
      </c>
      <c r="G688" s="1" t="s">
        <v>11097</v>
      </c>
      <c r="H688" s="1">
        <v>41.9</v>
      </c>
      <c r="I688" s="1">
        <v>0</v>
      </c>
      <c r="J688" s="1">
        <v>1</v>
      </c>
      <c r="K688" s="1"/>
      <c r="L688" s="1">
        <v>0</v>
      </c>
      <c r="M688" s="1" t="s">
        <v>2420</v>
      </c>
      <c r="N688" s="1" t="s">
        <v>2421</v>
      </c>
    </row>
    <row r="689" spans="1:14" x14ac:dyDescent="0.25">
      <c r="A689" s="1" t="s">
        <v>2615</v>
      </c>
      <c r="B689" s="1">
        <v>688</v>
      </c>
      <c r="C689" s="1" t="s">
        <v>133</v>
      </c>
      <c r="D689" s="1" t="s">
        <v>11097</v>
      </c>
      <c r="E689" s="1" t="s">
        <v>2367</v>
      </c>
      <c r="F689" s="1" t="s">
        <v>2407</v>
      </c>
      <c r="G689" s="1" t="s">
        <v>11097</v>
      </c>
      <c r="H689" s="1">
        <v>41.9</v>
      </c>
      <c r="I689" s="1">
        <v>0</v>
      </c>
      <c r="J689" s="1">
        <v>1</v>
      </c>
      <c r="K689" s="1"/>
      <c r="L689" s="1">
        <v>0</v>
      </c>
      <c r="M689" s="1" t="s">
        <v>2420</v>
      </c>
      <c r="N689" s="1" t="s">
        <v>2423</v>
      </c>
    </row>
    <row r="690" spans="1:14" x14ac:dyDescent="0.25">
      <c r="A690" s="1" t="s">
        <v>2617</v>
      </c>
      <c r="B690" s="1">
        <v>689</v>
      </c>
      <c r="C690" s="1" t="s">
        <v>133</v>
      </c>
      <c r="D690" s="1" t="s">
        <v>11097</v>
      </c>
      <c r="E690" s="1" t="s">
        <v>2367</v>
      </c>
      <c r="F690" s="1" t="s">
        <v>2407</v>
      </c>
      <c r="G690" s="1" t="s">
        <v>11097</v>
      </c>
      <c r="H690" s="1">
        <v>41.9</v>
      </c>
      <c r="I690" s="1">
        <v>0</v>
      </c>
      <c r="J690" s="1">
        <v>1</v>
      </c>
      <c r="K690" s="1"/>
      <c r="L690" s="1">
        <v>0</v>
      </c>
      <c r="M690" s="1" t="s">
        <v>2420</v>
      </c>
      <c r="N690" s="1" t="s">
        <v>2427</v>
      </c>
    </row>
    <row r="691" spans="1:14" x14ac:dyDescent="0.25">
      <c r="A691" s="1" t="s">
        <v>2619</v>
      </c>
      <c r="B691" s="1">
        <v>690</v>
      </c>
      <c r="C691" s="1" t="s">
        <v>133</v>
      </c>
      <c r="D691" s="1" t="s">
        <v>11097</v>
      </c>
      <c r="E691" s="1" t="s">
        <v>2367</v>
      </c>
      <c r="F691" s="1" t="s">
        <v>2407</v>
      </c>
      <c r="G691" s="1" t="s">
        <v>11097</v>
      </c>
      <c r="H691" s="1">
        <v>41.9</v>
      </c>
      <c r="I691" s="1">
        <v>0</v>
      </c>
      <c r="J691" s="1">
        <v>1</v>
      </c>
      <c r="K691" s="1"/>
      <c r="L691" s="1">
        <v>0</v>
      </c>
      <c r="M691" s="1" t="s">
        <v>2420</v>
      </c>
      <c r="N691" s="1" t="s">
        <v>2438</v>
      </c>
    </row>
    <row r="692" spans="1:14" x14ac:dyDescent="0.25">
      <c r="A692" s="1" t="s">
        <v>2621</v>
      </c>
      <c r="B692" s="1">
        <v>691</v>
      </c>
      <c r="C692" s="1" t="s">
        <v>133</v>
      </c>
      <c r="D692" s="1" t="s">
        <v>11097</v>
      </c>
      <c r="E692" s="1" t="s">
        <v>2367</v>
      </c>
      <c r="F692" s="1" t="s">
        <v>2407</v>
      </c>
      <c r="G692" s="1" t="s">
        <v>11097</v>
      </c>
      <c r="H692" s="1">
        <v>41.9</v>
      </c>
      <c r="I692" s="1">
        <v>0</v>
      </c>
      <c r="J692" s="1">
        <v>1</v>
      </c>
      <c r="K692" s="1"/>
      <c r="L692" s="1">
        <v>0</v>
      </c>
      <c r="M692" s="1" t="s">
        <v>2429</v>
      </c>
      <c r="N692" s="1" t="s">
        <v>2430</v>
      </c>
    </row>
    <row r="693" spans="1:14" x14ac:dyDescent="0.25">
      <c r="A693" s="1" t="s">
        <v>2623</v>
      </c>
      <c r="B693" s="1">
        <v>692</v>
      </c>
      <c r="C693" s="1" t="s">
        <v>133</v>
      </c>
      <c r="D693" s="1" t="s">
        <v>11097</v>
      </c>
      <c r="E693" s="1" t="s">
        <v>2367</v>
      </c>
      <c r="F693" s="1" t="s">
        <v>2407</v>
      </c>
      <c r="G693" s="1" t="s">
        <v>11097</v>
      </c>
      <c r="H693" s="1">
        <v>41.9</v>
      </c>
      <c r="I693" s="1">
        <v>0</v>
      </c>
      <c r="J693" s="1">
        <v>1</v>
      </c>
      <c r="K693" s="1"/>
      <c r="L693" s="1">
        <v>0</v>
      </c>
      <c r="M693" s="1" t="s">
        <v>2429</v>
      </c>
      <c r="N693" s="1" t="s">
        <v>2425</v>
      </c>
    </row>
    <row r="694" spans="1:14" x14ac:dyDescent="0.25">
      <c r="A694" s="1" t="s">
        <v>2626</v>
      </c>
      <c r="B694" s="1">
        <v>693</v>
      </c>
      <c r="C694" s="1" t="s">
        <v>133</v>
      </c>
      <c r="D694" s="1" t="s">
        <v>11097</v>
      </c>
      <c r="E694" s="1" t="s">
        <v>2367</v>
      </c>
      <c r="F694" s="1" t="s">
        <v>2407</v>
      </c>
      <c r="G694" s="1" t="s">
        <v>11097</v>
      </c>
      <c r="H694" s="1">
        <v>41.9</v>
      </c>
      <c r="I694" s="1">
        <v>0</v>
      </c>
      <c r="J694" s="1">
        <v>1</v>
      </c>
      <c r="K694" s="1"/>
      <c r="L694" s="1">
        <v>0</v>
      </c>
      <c r="M694" s="1" t="s">
        <v>2429</v>
      </c>
      <c r="N694" s="1" t="s">
        <v>2432</v>
      </c>
    </row>
    <row r="695" spans="1:14" x14ac:dyDescent="0.25">
      <c r="A695" s="1" t="s">
        <v>2628</v>
      </c>
      <c r="B695" s="1">
        <v>694</v>
      </c>
      <c r="C695" s="1" t="s">
        <v>133</v>
      </c>
      <c r="D695" s="1" t="s">
        <v>11097</v>
      </c>
      <c r="E695" s="1" t="s">
        <v>2367</v>
      </c>
      <c r="F695" s="1" t="s">
        <v>2407</v>
      </c>
      <c r="G695" s="1" t="s">
        <v>11097</v>
      </c>
      <c r="H695" s="1">
        <v>41.9</v>
      </c>
      <c r="I695" s="1">
        <v>0</v>
      </c>
      <c r="J695" s="1">
        <v>1</v>
      </c>
      <c r="K695" s="1"/>
      <c r="L695" s="1">
        <v>0</v>
      </c>
      <c r="M695" s="1" t="s">
        <v>2429</v>
      </c>
      <c r="N695" s="1" t="s">
        <v>2434</v>
      </c>
    </row>
    <row r="696" spans="1:14" x14ac:dyDescent="0.25">
      <c r="A696" s="1" t="s">
        <v>2630</v>
      </c>
      <c r="B696" s="1">
        <v>695</v>
      </c>
      <c r="C696" s="1" t="s">
        <v>133</v>
      </c>
      <c r="D696" s="1" t="s">
        <v>11097</v>
      </c>
      <c r="E696" s="1" t="s">
        <v>2367</v>
      </c>
      <c r="F696" s="1" t="s">
        <v>2407</v>
      </c>
      <c r="G696" s="1" t="s">
        <v>11097</v>
      </c>
      <c r="H696" s="1">
        <v>41.9</v>
      </c>
      <c r="I696" s="1">
        <v>0</v>
      </c>
      <c r="J696" s="1">
        <v>1</v>
      </c>
      <c r="K696" s="1"/>
      <c r="L696" s="1">
        <v>0</v>
      </c>
      <c r="M696" s="1" t="s">
        <v>2429</v>
      </c>
      <c r="N696" s="1" t="s">
        <v>2436</v>
      </c>
    </row>
    <row r="697" spans="1:14" s="1" customFormat="1" x14ac:dyDescent="0.25">
      <c r="A697" s="1" t="s">
        <v>2633</v>
      </c>
      <c r="B697" s="1">
        <v>696</v>
      </c>
      <c r="C697" s="1" t="s">
        <v>133</v>
      </c>
      <c r="D697" s="1" t="s">
        <v>11097</v>
      </c>
      <c r="E697" s="1" t="s">
        <v>2367</v>
      </c>
      <c r="F697" s="1" t="s">
        <v>2407</v>
      </c>
      <c r="G697" s="1" t="s">
        <v>11097</v>
      </c>
      <c r="H697" s="1">
        <v>41.9</v>
      </c>
      <c r="I697" s="1">
        <v>0</v>
      </c>
      <c r="J697" s="1">
        <v>1</v>
      </c>
      <c r="L697" s="1">
        <v>0</v>
      </c>
      <c r="M697" s="1" t="s">
        <v>15421</v>
      </c>
      <c r="N697" s="1" t="s">
        <v>15421</v>
      </c>
    </row>
    <row r="698" spans="1:14" s="1" customFormat="1" x14ac:dyDescent="0.25">
      <c r="A698" s="1" t="s">
        <v>2635</v>
      </c>
      <c r="B698" s="1">
        <v>697</v>
      </c>
      <c r="C698" s="1" t="s">
        <v>133</v>
      </c>
      <c r="D698" s="1" t="s">
        <v>11097</v>
      </c>
      <c r="E698" s="1" t="s">
        <v>2367</v>
      </c>
      <c r="F698" s="1" t="s">
        <v>2407</v>
      </c>
      <c r="G698" s="1" t="s">
        <v>11097</v>
      </c>
      <c r="H698" s="1">
        <v>41.9</v>
      </c>
      <c r="I698" s="1">
        <v>0</v>
      </c>
      <c r="J698" s="1">
        <v>1</v>
      </c>
      <c r="L698" s="1">
        <v>0</v>
      </c>
      <c r="M698" s="1" t="s">
        <v>15430</v>
      </c>
      <c r="N698" s="1" t="s">
        <v>15430</v>
      </c>
    </row>
    <row r="699" spans="1:14" x14ac:dyDescent="0.25">
      <c r="A699" s="1" t="s">
        <v>2638</v>
      </c>
      <c r="B699" s="1">
        <v>698</v>
      </c>
      <c r="C699" s="1" t="s">
        <v>133</v>
      </c>
      <c r="D699" s="1" t="s">
        <v>11091</v>
      </c>
      <c r="E699" s="1" t="s">
        <v>2442</v>
      </c>
      <c r="F699" s="1" t="s">
        <v>2443</v>
      </c>
      <c r="G699" s="1" t="s">
        <v>16566</v>
      </c>
      <c r="H699" s="1">
        <v>41.9</v>
      </c>
      <c r="I699" s="1">
        <v>0</v>
      </c>
      <c r="J699" s="1">
        <v>1</v>
      </c>
      <c r="K699" s="1"/>
      <c r="L699" s="1">
        <v>0</v>
      </c>
      <c r="M699" s="1" t="s">
        <v>2444</v>
      </c>
      <c r="N699" s="1" t="s">
        <v>2445</v>
      </c>
    </row>
    <row r="700" spans="1:14" x14ac:dyDescent="0.25">
      <c r="A700" s="1" t="s">
        <v>2641</v>
      </c>
      <c r="B700" s="1">
        <v>699</v>
      </c>
      <c r="C700" s="1" t="s">
        <v>133</v>
      </c>
      <c r="D700" s="1" t="s">
        <v>11091</v>
      </c>
      <c r="E700" s="1" t="s">
        <v>2442</v>
      </c>
      <c r="F700" s="1" t="s">
        <v>2443</v>
      </c>
      <c r="G700" s="1" t="s">
        <v>16566</v>
      </c>
      <c r="H700" s="1">
        <v>41.9</v>
      </c>
      <c r="I700" s="1">
        <v>0</v>
      </c>
      <c r="J700" s="1">
        <v>1</v>
      </c>
      <c r="K700" s="1"/>
      <c r="L700" s="1">
        <v>0</v>
      </c>
      <c r="M700" s="1" t="s">
        <v>2447</v>
      </c>
      <c r="N700" s="1" t="s">
        <v>2448</v>
      </c>
    </row>
    <row r="701" spans="1:14" x14ac:dyDescent="0.25">
      <c r="A701" s="1" t="s">
        <v>2643</v>
      </c>
      <c r="B701" s="1">
        <v>700</v>
      </c>
      <c r="C701" s="1" t="s">
        <v>133</v>
      </c>
      <c r="D701" s="1" t="s">
        <v>11091</v>
      </c>
      <c r="E701" s="1" t="s">
        <v>2442</v>
      </c>
      <c r="F701" s="1" t="s">
        <v>2443</v>
      </c>
      <c r="G701" s="1" t="s">
        <v>16566</v>
      </c>
      <c r="H701" s="1">
        <v>41.9</v>
      </c>
      <c r="I701" s="1">
        <v>0</v>
      </c>
      <c r="J701" s="1">
        <v>1</v>
      </c>
      <c r="K701" s="1"/>
      <c r="L701" s="1">
        <v>0</v>
      </c>
      <c r="M701" s="1" t="s">
        <v>2447</v>
      </c>
      <c r="N701" s="1" t="s">
        <v>2450</v>
      </c>
    </row>
    <row r="702" spans="1:14" x14ac:dyDescent="0.25">
      <c r="A702" s="1" t="s">
        <v>2645</v>
      </c>
      <c r="B702" s="1">
        <v>701</v>
      </c>
      <c r="C702" s="1" t="s">
        <v>133</v>
      </c>
      <c r="D702" s="1" t="s">
        <v>11091</v>
      </c>
      <c r="E702" s="1" t="s">
        <v>2442</v>
      </c>
      <c r="F702" s="1" t="s">
        <v>2443</v>
      </c>
      <c r="G702" s="1" t="s">
        <v>16566</v>
      </c>
      <c r="H702" s="1">
        <v>41.9</v>
      </c>
      <c r="I702" s="1">
        <v>0</v>
      </c>
      <c r="J702" s="1">
        <v>1</v>
      </c>
      <c r="K702" s="1"/>
      <c r="L702" s="1">
        <v>0</v>
      </c>
      <c r="M702" s="1" t="s">
        <v>2447</v>
      </c>
      <c r="N702" s="1" t="s">
        <v>2452</v>
      </c>
    </row>
    <row r="703" spans="1:14" x14ac:dyDescent="0.25">
      <c r="A703" s="1" t="s">
        <v>2648</v>
      </c>
      <c r="B703" s="1">
        <v>702</v>
      </c>
      <c r="C703" s="1" t="s">
        <v>133</v>
      </c>
      <c r="D703" s="1" t="s">
        <v>11091</v>
      </c>
      <c r="E703" s="1" t="s">
        <v>2442</v>
      </c>
      <c r="F703" s="1" t="s">
        <v>2443</v>
      </c>
      <c r="G703" s="1" t="s">
        <v>16566</v>
      </c>
      <c r="H703" s="1">
        <v>41.9</v>
      </c>
      <c r="I703" s="1">
        <v>0</v>
      </c>
      <c r="J703" s="1">
        <v>1</v>
      </c>
      <c r="K703" s="1"/>
      <c r="L703" s="1">
        <v>0</v>
      </c>
      <c r="M703" s="1" t="s">
        <v>2447</v>
      </c>
      <c r="N703" s="1" t="s">
        <v>2454</v>
      </c>
    </row>
    <row r="704" spans="1:14" x14ac:dyDescent="0.25">
      <c r="A704" s="1" t="s">
        <v>2652</v>
      </c>
      <c r="B704" s="1">
        <v>703</v>
      </c>
      <c r="C704" s="1" t="s">
        <v>133</v>
      </c>
      <c r="D704" s="1" t="s">
        <v>11091</v>
      </c>
      <c r="E704" s="1" t="s">
        <v>2442</v>
      </c>
      <c r="F704" s="1" t="s">
        <v>2443</v>
      </c>
      <c r="G704" s="1" t="s">
        <v>16566</v>
      </c>
      <c r="H704" s="1">
        <v>41.9</v>
      </c>
      <c r="I704" s="1">
        <v>0</v>
      </c>
      <c r="J704" s="1">
        <v>1</v>
      </c>
      <c r="K704" s="1"/>
      <c r="L704" s="1">
        <v>0</v>
      </c>
      <c r="M704" s="1" t="s">
        <v>2447</v>
      </c>
      <c r="N704" s="1" t="s">
        <v>2456</v>
      </c>
    </row>
    <row r="705" spans="1:14" x14ac:dyDescent="0.25">
      <c r="A705" s="1" t="s">
        <v>2654</v>
      </c>
      <c r="B705" s="1">
        <v>704</v>
      </c>
      <c r="C705" s="1" t="s">
        <v>133</v>
      </c>
      <c r="D705" s="1" t="s">
        <v>11091</v>
      </c>
      <c r="E705" s="1" t="s">
        <v>2442</v>
      </c>
      <c r="F705" s="1" t="s">
        <v>2443</v>
      </c>
      <c r="G705" s="1" t="s">
        <v>16566</v>
      </c>
      <c r="H705" s="1">
        <v>41.9</v>
      </c>
      <c r="I705" s="1">
        <v>0</v>
      </c>
      <c r="J705" s="1">
        <v>1</v>
      </c>
      <c r="K705" s="1"/>
      <c r="L705" s="1">
        <v>0</v>
      </c>
      <c r="M705" s="1" t="s">
        <v>2447</v>
      </c>
      <c r="N705" s="1" t="s">
        <v>2458</v>
      </c>
    </row>
    <row r="706" spans="1:14" x14ac:dyDescent="0.25">
      <c r="A706" s="1" t="s">
        <v>2656</v>
      </c>
      <c r="B706" s="1">
        <v>705</v>
      </c>
      <c r="C706" s="1" t="s">
        <v>133</v>
      </c>
      <c r="D706" s="1" t="s">
        <v>11091</v>
      </c>
      <c r="E706" s="1" t="s">
        <v>2442</v>
      </c>
      <c r="F706" s="1" t="s">
        <v>2443</v>
      </c>
      <c r="G706" s="1" t="s">
        <v>16566</v>
      </c>
      <c r="H706" s="1">
        <v>41.9</v>
      </c>
      <c r="I706" s="1">
        <v>0</v>
      </c>
      <c r="J706" s="1">
        <v>1</v>
      </c>
      <c r="K706" s="1"/>
      <c r="L706" s="1">
        <v>0</v>
      </c>
      <c r="M706" s="1" t="s">
        <v>2460</v>
      </c>
      <c r="N706" s="1" t="s">
        <v>2461</v>
      </c>
    </row>
    <row r="707" spans="1:14" x14ac:dyDescent="0.25">
      <c r="A707" s="1" t="s">
        <v>2658</v>
      </c>
      <c r="B707" s="1">
        <v>706</v>
      </c>
      <c r="C707" s="1" t="s">
        <v>133</v>
      </c>
      <c r="D707" s="1" t="s">
        <v>11091</v>
      </c>
      <c r="E707" s="1" t="s">
        <v>2442</v>
      </c>
      <c r="F707" s="1" t="s">
        <v>2443</v>
      </c>
      <c r="G707" s="1" t="s">
        <v>16566</v>
      </c>
      <c r="H707" s="1">
        <v>41.9</v>
      </c>
      <c r="I707" s="1">
        <v>0</v>
      </c>
      <c r="J707" s="1">
        <v>1</v>
      </c>
      <c r="K707" s="1"/>
      <c r="L707" s="1">
        <v>0</v>
      </c>
      <c r="M707" s="1" t="s">
        <v>2463</v>
      </c>
      <c r="N707" s="1" t="s">
        <v>2464</v>
      </c>
    </row>
    <row r="708" spans="1:14" x14ac:dyDescent="0.25">
      <c r="A708" s="1" t="s">
        <v>2660</v>
      </c>
      <c r="B708" s="1">
        <v>707</v>
      </c>
      <c r="C708" s="1" t="s">
        <v>133</v>
      </c>
      <c r="D708" s="1" t="s">
        <v>11091</v>
      </c>
      <c r="E708" s="1" t="s">
        <v>2442</v>
      </c>
      <c r="F708" s="1" t="s">
        <v>2443</v>
      </c>
      <c r="G708" s="1" t="s">
        <v>16566</v>
      </c>
      <c r="H708" s="1">
        <v>41.9</v>
      </c>
      <c r="I708" s="1">
        <v>0</v>
      </c>
      <c r="J708" s="1">
        <v>1</v>
      </c>
      <c r="K708" s="1"/>
      <c r="L708" s="1">
        <v>0</v>
      </c>
      <c r="M708" s="1" t="s">
        <v>2463</v>
      </c>
      <c r="N708" s="1" t="s">
        <v>2466</v>
      </c>
    </row>
    <row r="709" spans="1:14" x14ac:dyDescent="0.25">
      <c r="A709" s="1" t="s">
        <v>2662</v>
      </c>
      <c r="B709" s="1">
        <v>708</v>
      </c>
      <c r="C709" s="1" t="s">
        <v>133</v>
      </c>
      <c r="D709" s="1" t="s">
        <v>11091</v>
      </c>
      <c r="E709" s="1" t="s">
        <v>2442</v>
      </c>
      <c r="F709" s="1" t="s">
        <v>2443</v>
      </c>
      <c r="G709" s="1" t="s">
        <v>16566</v>
      </c>
      <c r="H709" s="1">
        <v>41.9</v>
      </c>
      <c r="I709" s="1">
        <v>0</v>
      </c>
      <c r="J709" s="1">
        <v>1</v>
      </c>
      <c r="K709" s="1"/>
      <c r="L709" s="1">
        <v>0</v>
      </c>
      <c r="M709" s="1" t="s">
        <v>2463</v>
      </c>
      <c r="N709" s="1" t="s">
        <v>2468</v>
      </c>
    </row>
    <row r="710" spans="1:14" x14ac:dyDescent="0.25">
      <c r="A710" s="1" t="s">
        <v>2665</v>
      </c>
      <c r="B710" s="1">
        <v>709</v>
      </c>
      <c r="C710" s="1" t="s">
        <v>133</v>
      </c>
      <c r="D710" s="1" t="s">
        <v>11091</v>
      </c>
      <c r="E710" s="1" t="s">
        <v>2442</v>
      </c>
      <c r="F710" s="1" t="s">
        <v>2443</v>
      </c>
      <c r="G710" s="1" t="s">
        <v>16566</v>
      </c>
      <c r="H710" s="1">
        <v>41.9</v>
      </c>
      <c r="I710" s="1">
        <v>0</v>
      </c>
      <c r="J710" s="1">
        <v>1</v>
      </c>
      <c r="K710" s="1"/>
      <c r="L710" s="1">
        <v>0</v>
      </c>
      <c r="M710" s="1" t="s">
        <v>2463</v>
      </c>
      <c r="N710" s="1" t="s">
        <v>2470</v>
      </c>
    </row>
    <row r="711" spans="1:14" x14ac:dyDescent="0.25">
      <c r="A711" s="1" t="s">
        <v>2668</v>
      </c>
      <c r="B711" s="1">
        <v>710</v>
      </c>
      <c r="C711" s="1" t="s">
        <v>133</v>
      </c>
      <c r="D711" s="1" t="s">
        <v>11091</v>
      </c>
      <c r="E711" s="1" t="s">
        <v>2442</v>
      </c>
      <c r="F711" s="1" t="s">
        <v>2443</v>
      </c>
      <c r="G711" s="1" t="s">
        <v>16566</v>
      </c>
      <c r="H711" s="1">
        <v>41.9</v>
      </c>
      <c r="I711" s="1">
        <v>0</v>
      </c>
      <c r="J711" s="1">
        <v>1</v>
      </c>
      <c r="K711" s="1"/>
      <c r="L711" s="1">
        <v>0</v>
      </c>
      <c r="M711" s="1" t="s">
        <v>2463</v>
      </c>
      <c r="N711" s="1" t="s">
        <v>2472</v>
      </c>
    </row>
    <row r="712" spans="1:14" s="16" customFormat="1" x14ac:dyDescent="0.25">
      <c r="A712" s="1" t="s">
        <v>2670</v>
      </c>
      <c r="B712" s="1">
        <v>711</v>
      </c>
      <c r="C712" s="1" t="s">
        <v>133</v>
      </c>
      <c r="D712" s="1" t="s">
        <v>11091</v>
      </c>
      <c r="E712" s="1" t="s">
        <v>2442</v>
      </c>
      <c r="F712" s="1" t="s">
        <v>2443</v>
      </c>
      <c r="G712" s="1" t="s">
        <v>16566</v>
      </c>
      <c r="H712" s="1">
        <v>41.9</v>
      </c>
      <c r="I712" s="1">
        <v>0</v>
      </c>
      <c r="J712" s="1">
        <v>1</v>
      </c>
      <c r="K712" s="1"/>
      <c r="L712" s="1">
        <v>0</v>
      </c>
      <c r="M712" s="1" t="s">
        <v>2474</v>
      </c>
      <c r="N712" s="1" t="s">
        <v>2475</v>
      </c>
    </row>
    <row r="713" spans="1:14" x14ac:dyDescent="0.25">
      <c r="A713" s="1" t="s">
        <v>2672</v>
      </c>
      <c r="B713" s="1">
        <v>712</v>
      </c>
      <c r="C713" s="1" t="s">
        <v>133</v>
      </c>
      <c r="D713" s="1" t="s">
        <v>11091</v>
      </c>
      <c r="E713" s="1" t="s">
        <v>2442</v>
      </c>
      <c r="F713" s="1" t="s">
        <v>2443</v>
      </c>
      <c r="G713" s="1" t="s">
        <v>16566</v>
      </c>
      <c r="H713" s="1">
        <v>41.9</v>
      </c>
      <c r="I713" s="1">
        <v>0</v>
      </c>
      <c r="J713" s="1">
        <v>1</v>
      </c>
      <c r="K713" s="1"/>
      <c r="L713" s="1">
        <v>0</v>
      </c>
      <c r="M713" s="1" t="s">
        <v>2477</v>
      </c>
      <c r="N713" s="1" t="s">
        <v>2477</v>
      </c>
    </row>
    <row r="714" spans="1:14" x14ac:dyDescent="0.25">
      <c r="A714" s="1" t="s">
        <v>2674</v>
      </c>
      <c r="B714" s="1">
        <v>713</v>
      </c>
      <c r="C714" s="1" t="s">
        <v>133</v>
      </c>
      <c r="D714" s="1" t="s">
        <v>11091</v>
      </c>
      <c r="E714" s="1" t="s">
        <v>2442</v>
      </c>
      <c r="F714" s="1" t="s">
        <v>2443</v>
      </c>
      <c r="G714" s="1" t="s">
        <v>16566</v>
      </c>
      <c r="H714" s="1">
        <v>41.9</v>
      </c>
      <c r="I714" s="1">
        <v>0</v>
      </c>
      <c r="J714" s="1">
        <v>1</v>
      </c>
      <c r="K714" s="1"/>
      <c r="L714" s="1">
        <v>0</v>
      </c>
      <c r="M714" s="1" t="s">
        <v>2479</v>
      </c>
      <c r="N714" s="1" t="s">
        <v>2479</v>
      </c>
    </row>
    <row r="715" spans="1:14" s="1" customFormat="1" x14ac:dyDescent="0.25">
      <c r="A715" s="1" t="s">
        <v>2676</v>
      </c>
      <c r="B715" s="1">
        <v>714</v>
      </c>
      <c r="C715" s="1" t="s">
        <v>133</v>
      </c>
      <c r="D715" s="1" t="s">
        <v>11091</v>
      </c>
      <c r="E715" s="1" t="s">
        <v>2442</v>
      </c>
      <c r="F715" s="1" t="s">
        <v>2443</v>
      </c>
      <c r="G715" s="1" t="s">
        <v>16566</v>
      </c>
      <c r="H715" s="1">
        <v>41.9</v>
      </c>
      <c r="I715" s="1">
        <v>0</v>
      </c>
      <c r="J715" s="1">
        <v>1</v>
      </c>
      <c r="L715" s="1">
        <v>0</v>
      </c>
      <c r="M715" s="1" t="s">
        <v>15452</v>
      </c>
      <c r="N715" s="1" t="s">
        <v>15452</v>
      </c>
    </row>
    <row r="716" spans="1:14" x14ac:dyDescent="0.25">
      <c r="A716" s="1" t="s">
        <v>2679</v>
      </c>
      <c r="B716" s="1">
        <v>715</v>
      </c>
      <c r="C716" s="1" t="s">
        <v>133</v>
      </c>
      <c r="D716" s="1" t="s">
        <v>11091</v>
      </c>
      <c r="E716" s="1" t="s">
        <v>2442</v>
      </c>
      <c r="F716" s="1" t="s">
        <v>2481</v>
      </c>
      <c r="G716" s="1" t="s">
        <v>16567</v>
      </c>
      <c r="H716" s="1">
        <v>41.9</v>
      </c>
      <c r="I716" s="1">
        <v>0</v>
      </c>
      <c r="J716" s="1">
        <v>1</v>
      </c>
      <c r="K716" s="1"/>
      <c r="L716" s="1">
        <v>0</v>
      </c>
      <c r="M716" s="1" t="s">
        <v>2482</v>
      </c>
      <c r="N716" s="1" t="s">
        <v>2483</v>
      </c>
    </row>
    <row r="717" spans="1:14" x14ac:dyDescent="0.25">
      <c r="A717" s="1" t="s">
        <v>2681</v>
      </c>
      <c r="B717" s="1">
        <v>716</v>
      </c>
      <c r="C717" s="1" t="s">
        <v>133</v>
      </c>
      <c r="D717" s="1" t="s">
        <v>11091</v>
      </c>
      <c r="E717" s="1" t="s">
        <v>2442</v>
      </c>
      <c r="F717" s="1" t="s">
        <v>2481</v>
      </c>
      <c r="G717" s="1" t="s">
        <v>16567</v>
      </c>
      <c r="H717" s="1">
        <v>41.9</v>
      </c>
      <c r="I717" s="1">
        <v>0</v>
      </c>
      <c r="J717" s="1">
        <v>1</v>
      </c>
      <c r="K717" s="1"/>
      <c r="L717" s="1">
        <v>0</v>
      </c>
      <c r="M717" s="1" t="s">
        <v>2482</v>
      </c>
      <c r="N717" s="1" t="s">
        <v>2485</v>
      </c>
    </row>
    <row r="718" spans="1:14" x14ac:dyDescent="0.25">
      <c r="A718" s="1" t="s">
        <v>2684</v>
      </c>
      <c r="B718" s="1">
        <v>717</v>
      </c>
      <c r="C718" s="1" t="s">
        <v>133</v>
      </c>
      <c r="D718" s="1" t="s">
        <v>11091</v>
      </c>
      <c r="E718" s="1" t="s">
        <v>2442</v>
      </c>
      <c r="F718" s="1" t="s">
        <v>2481</v>
      </c>
      <c r="G718" s="1" t="s">
        <v>16567</v>
      </c>
      <c r="H718" s="1">
        <v>41.9</v>
      </c>
      <c r="I718" s="1">
        <v>0</v>
      </c>
      <c r="J718" s="1">
        <v>1</v>
      </c>
      <c r="K718" s="1"/>
      <c r="L718" s="1">
        <v>0</v>
      </c>
      <c r="M718" s="1" t="s">
        <v>2482</v>
      </c>
      <c r="N718" s="1" t="s">
        <v>2487</v>
      </c>
    </row>
    <row r="719" spans="1:14" x14ac:dyDescent="0.25">
      <c r="A719" s="1" t="s">
        <v>2686</v>
      </c>
      <c r="B719" s="1">
        <v>718</v>
      </c>
      <c r="C719" s="1" t="s">
        <v>133</v>
      </c>
      <c r="D719" s="1" t="s">
        <v>11091</v>
      </c>
      <c r="E719" s="1" t="s">
        <v>2442</v>
      </c>
      <c r="F719" s="1" t="s">
        <v>2481</v>
      </c>
      <c r="G719" s="1" t="s">
        <v>16567</v>
      </c>
      <c r="H719" s="1">
        <v>41.9</v>
      </c>
      <c r="I719" s="1">
        <v>0</v>
      </c>
      <c r="J719" s="1">
        <v>1</v>
      </c>
      <c r="K719" s="1"/>
      <c r="L719" s="1">
        <v>0</v>
      </c>
      <c r="M719" s="1" t="s">
        <v>2482</v>
      </c>
      <c r="N719" s="1" t="s">
        <v>2489</v>
      </c>
    </row>
    <row r="720" spans="1:14" x14ac:dyDescent="0.25">
      <c r="A720" s="1" t="s">
        <v>2688</v>
      </c>
      <c r="B720" s="1">
        <v>719</v>
      </c>
      <c r="C720" s="1" t="s">
        <v>133</v>
      </c>
      <c r="D720" s="1" t="s">
        <v>11091</v>
      </c>
      <c r="E720" s="1" t="s">
        <v>2442</v>
      </c>
      <c r="F720" s="1" t="s">
        <v>2481</v>
      </c>
      <c r="G720" s="1" t="s">
        <v>16567</v>
      </c>
      <c r="H720" s="1">
        <v>41.9</v>
      </c>
      <c r="I720" s="1">
        <v>0</v>
      </c>
      <c r="J720" s="1">
        <v>1</v>
      </c>
      <c r="K720" s="1"/>
      <c r="L720" s="1">
        <v>0</v>
      </c>
      <c r="M720" s="1" t="s">
        <v>2491</v>
      </c>
      <c r="N720" s="1" t="s">
        <v>2492</v>
      </c>
    </row>
    <row r="721" spans="1:14" x14ac:dyDescent="0.25">
      <c r="A721" s="1" t="s">
        <v>2690</v>
      </c>
      <c r="B721" s="1">
        <v>720</v>
      </c>
      <c r="C721" s="1" t="s">
        <v>133</v>
      </c>
      <c r="D721" s="1" t="s">
        <v>11091</v>
      </c>
      <c r="E721" s="1" t="s">
        <v>2442</v>
      </c>
      <c r="F721" s="1" t="s">
        <v>2481</v>
      </c>
      <c r="G721" s="1" t="s">
        <v>16567</v>
      </c>
      <c r="H721" s="1">
        <v>41.9</v>
      </c>
      <c r="I721" s="1">
        <v>0</v>
      </c>
      <c r="J721" s="1">
        <v>1</v>
      </c>
      <c r="K721" s="1"/>
      <c r="L721" s="1">
        <v>0</v>
      </c>
      <c r="M721" s="1" t="s">
        <v>2491</v>
      </c>
      <c r="N721" s="1" t="s">
        <v>2494</v>
      </c>
    </row>
    <row r="722" spans="1:14" x14ac:dyDescent="0.25">
      <c r="A722" s="1" t="s">
        <v>2692</v>
      </c>
      <c r="B722" s="1">
        <v>721</v>
      </c>
      <c r="C722" s="1" t="s">
        <v>133</v>
      </c>
      <c r="D722" s="1" t="s">
        <v>11091</v>
      </c>
      <c r="E722" s="1" t="s">
        <v>2442</v>
      </c>
      <c r="F722" s="1" t="s">
        <v>2481</v>
      </c>
      <c r="G722" s="1" t="s">
        <v>16567</v>
      </c>
      <c r="H722" s="1">
        <v>41.9</v>
      </c>
      <c r="I722" s="1">
        <v>0</v>
      </c>
      <c r="J722" s="1">
        <v>1</v>
      </c>
      <c r="K722" s="1"/>
      <c r="L722" s="1">
        <v>0</v>
      </c>
      <c r="M722" s="1" t="s">
        <v>2491</v>
      </c>
      <c r="N722" s="1" t="s">
        <v>2496</v>
      </c>
    </row>
    <row r="723" spans="1:14" x14ac:dyDescent="0.25">
      <c r="A723" s="1" t="s">
        <v>2694</v>
      </c>
      <c r="B723" s="1">
        <v>722</v>
      </c>
      <c r="C723" s="1" t="s">
        <v>133</v>
      </c>
      <c r="D723" s="1" t="s">
        <v>11091</v>
      </c>
      <c r="E723" s="1" t="s">
        <v>2442</v>
      </c>
      <c r="F723" s="1" t="s">
        <v>2481</v>
      </c>
      <c r="G723" s="1" t="s">
        <v>16567</v>
      </c>
      <c r="H723" s="1">
        <v>41.9</v>
      </c>
      <c r="I723" s="1">
        <v>0</v>
      </c>
      <c r="J723" s="1">
        <v>1</v>
      </c>
      <c r="K723" s="1"/>
      <c r="L723" s="1">
        <v>0</v>
      </c>
      <c r="M723" s="1" t="s">
        <v>2491</v>
      </c>
      <c r="N723" s="1" t="s">
        <v>2498</v>
      </c>
    </row>
    <row r="724" spans="1:14" x14ac:dyDescent="0.25">
      <c r="A724" s="1" t="s">
        <v>2696</v>
      </c>
      <c r="B724" s="1">
        <v>723</v>
      </c>
      <c r="C724" s="1" t="s">
        <v>133</v>
      </c>
      <c r="D724" s="1" t="s">
        <v>11091</v>
      </c>
      <c r="E724" s="1" t="s">
        <v>2442</v>
      </c>
      <c r="F724" s="1" t="s">
        <v>2481</v>
      </c>
      <c r="G724" s="1" t="s">
        <v>16567</v>
      </c>
      <c r="H724" s="1">
        <v>41.9</v>
      </c>
      <c r="I724" s="1">
        <v>0</v>
      </c>
      <c r="J724" s="1">
        <v>1</v>
      </c>
      <c r="K724" s="1"/>
      <c r="L724" s="1">
        <v>0</v>
      </c>
      <c r="M724" s="1" t="s">
        <v>2500</v>
      </c>
      <c r="N724" s="1" t="s">
        <v>2501</v>
      </c>
    </row>
    <row r="725" spans="1:14" x14ac:dyDescent="0.25">
      <c r="A725" s="1" t="s">
        <v>2699</v>
      </c>
      <c r="B725" s="1">
        <v>724</v>
      </c>
      <c r="C725" s="1" t="s">
        <v>133</v>
      </c>
      <c r="D725" s="1" t="s">
        <v>11091</v>
      </c>
      <c r="E725" s="1" t="s">
        <v>2442</v>
      </c>
      <c r="F725" s="1" t="s">
        <v>2481</v>
      </c>
      <c r="G725" s="1" t="s">
        <v>16567</v>
      </c>
      <c r="H725" s="1">
        <v>41.9</v>
      </c>
      <c r="I725" s="1">
        <v>0</v>
      </c>
      <c r="J725" s="1">
        <v>1</v>
      </c>
      <c r="K725" s="1"/>
      <c r="L725" s="1">
        <v>0</v>
      </c>
      <c r="M725" s="1" t="s">
        <v>2500</v>
      </c>
      <c r="N725" s="1" t="s">
        <v>2503</v>
      </c>
    </row>
    <row r="726" spans="1:14" x14ac:dyDescent="0.25">
      <c r="A726" s="1" t="s">
        <v>2701</v>
      </c>
      <c r="B726" s="1">
        <v>725</v>
      </c>
      <c r="C726" s="1" t="s">
        <v>133</v>
      </c>
      <c r="D726" s="1" t="s">
        <v>11091</v>
      </c>
      <c r="E726" s="1" t="s">
        <v>2442</v>
      </c>
      <c r="F726" s="1" t="s">
        <v>2481</v>
      </c>
      <c r="G726" s="1" t="s">
        <v>16567</v>
      </c>
      <c r="H726" s="1">
        <v>41.9</v>
      </c>
      <c r="I726" s="1">
        <v>0</v>
      </c>
      <c r="J726" s="1">
        <v>1</v>
      </c>
      <c r="K726" s="1"/>
      <c r="L726" s="1">
        <v>0</v>
      </c>
      <c r="M726" s="1" t="s">
        <v>2500</v>
      </c>
      <c r="N726" s="1" t="s">
        <v>2505</v>
      </c>
    </row>
    <row r="727" spans="1:14" x14ac:dyDescent="0.25">
      <c r="A727" s="1" t="s">
        <v>2703</v>
      </c>
      <c r="B727" s="1">
        <v>726</v>
      </c>
      <c r="C727" s="1" t="s">
        <v>133</v>
      </c>
      <c r="D727" s="1" t="s">
        <v>11091</v>
      </c>
      <c r="E727" s="1" t="s">
        <v>2442</v>
      </c>
      <c r="F727" s="1" t="s">
        <v>2481</v>
      </c>
      <c r="G727" s="1" t="s">
        <v>16567</v>
      </c>
      <c r="H727" s="1">
        <v>41.9</v>
      </c>
      <c r="I727" s="1">
        <v>0</v>
      </c>
      <c r="J727" s="1">
        <v>1</v>
      </c>
      <c r="K727" s="1"/>
      <c r="L727" s="1">
        <v>0</v>
      </c>
      <c r="M727" s="1" t="s">
        <v>2500</v>
      </c>
      <c r="N727" s="1" t="s">
        <v>2507</v>
      </c>
    </row>
    <row r="728" spans="1:14" x14ac:dyDescent="0.25">
      <c r="A728" s="1" t="s">
        <v>2705</v>
      </c>
      <c r="B728" s="1">
        <v>727</v>
      </c>
      <c r="C728" s="1" t="s">
        <v>133</v>
      </c>
      <c r="D728" s="1" t="s">
        <v>11091</v>
      </c>
      <c r="E728" s="1" t="s">
        <v>2442</v>
      </c>
      <c r="F728" s="1" t="s">
        <v>2481</v>
      </c>
      <c r="G728" s="1" t="s">
        <v>16567</v>
      </c>
      <c r="H728" s="1">
        <v>41.9</v>
      </c>
      <c r="I728" s="1">
        <v>0</v>
      </c>
      <c r="J728" s="1">
        <v>1</v>
      </c>
      <c r="K728" s="1"/>
      <c r="L728" s="1">
        <v>0</v>
      </c>
      <c r="M728" s="1" t="s">
        <v>2500</v>
      </c>
      <c r="N728" s="1" t="s">
        <v>2509</v>
      </c>
    </row>
    <row r="729" spans="1:14" x14ac:dyDescent="0.25">
      <c r="A729" s="1" t="s">
        <v>2707</v>
      </c>
      <c r="B729" s="1">
        <v>728</v>
      </c>
      <c r="C729" s="1" t="s">
        <v>133</v>
      </c>
      <c r="D729" s="1" t="s">
        <v>11091</v>
      </c>
      <c r="E729" s="1" t="s">
        <v>2442</v>
      </c>
      <c r="F729" s="1" t="s">
        <v>2481</v>
      </c>
      <c r="G729" s="1" t="s">
        <v>16567</v>
      </c>
      <c r="H729" s="1">
        <v>41.9</v>
      </c>
      <c r="I729" s="1">
        <v>0</v>
      </c>
      <c r="J729" s="1">
        <v>1</v>
      </c>
      <c r="K729" s="1"/>
      <c r="L729" s="1">
        <v>0</v>
      </c>
      <c r="M729" s="1" t="s">
        <v>2500</v>
      </c>
      <c r="N729" s="1" t="s">
        <v>2511</v>
      </c>
    </row>
    <row r="730" spans="1:14" x14ac:dyDescent="0.25">
      <c r="A730" s="1" t="s">
        <v>2709</v>
      </c>
      <c r="B730" s="1">
        <v>729</v>
      </c>
      <c r="C730" s="1" t="s">
        <v>133</v>
      </c>
      <c r="D730" s="1" t="s">
        <v>11091</v>
      </c>
      <c r="E730" s="1" t="s">
        <v>2442</v>
      </c>
      <c r="F730" s="1" t="s">
        <v>2481</v>
      </c>
      <c r="G730" s="1" t="s">
        <v>16567</v>
      </c>
      <c r="H730" s="1">
        <v>41.9</v>
      </c>
      <c r="I730" s="1">
        <v>0</v>
      </c>
      <c r="J730" s="1">
        <v>1</v>
      </c>
      <c r="K730" s="1"/>
      <c r="L730" s="1">
        <v>0</v>
      </c>
      <c r="M730" s="1" t="s">
        <v>2500</v>
      </c>
      <c r="N730" s="1" t="s">
        <v>2513</v>
      </c>
    </row>
    <row r="731" spans="1:14" x14ac:dyDescent="0.25">
      <c r="A731" s="1" t="s">
        <v>5859</v>
      </c>
      <c r="B731" s="1">
        <v>730</v>
      </c>
      <c r="C731" s="1" t="s">
        <v>133</v>
      </c>
      <c r="D731" s="1" t="s">
        <v>11091</v>
      </c>
      <c r="E731" s="1" t="s">
        <v>2442</v>
      </c>
      <c r="F731" s="1" t="s">
        <v>2481</v>
      </c>
      <c r="G731" s="1" t="s">
        <v>16567</v>
      </c>
      <c r="H731" s="1">
        <v>41.9</v>
      </c>
      <c r="I731" s="1">
        <v>0</v>
      </c>
      <c r="J731" s="1">
        <v>1</v>
      </c>
      <c r="K731" s="1"/>
      <c r="L731" s="1">
        <v>0</v>
      </c>
      <c r="M731" s="1" t="s">
        <v>2500</v>
      </c>
      <c r="N731" s="1" t="s">
        <v>2515</v>
      </c>
    </row>
    <row r="732" spans="1:14" x14ac:dyDescent="0.25">
      <c r="A732" s="1" t="s">
        <v>5860</v>
      </c>
      <c r="B732" s="1">
        <v>731</v>
      </c>
      <c r="C732" s="1" t="s">
        <v>133</v>
      </c>
      <c r="D732" s="1" t="s">
        <v>11091</v>
      </c>
      <c r="E732" s="1" t="s">
        <v>2442</v>
      </c>
      <c r="F732" s="1" t="s">
        <v>2481</v>
      </c>
      <c r="G732" s="1" t="s">
        <v>16567</v>
      </c>
      <c r="H732" s="1">
        <v>41.9</v>
      </c>
      <c r="I732" s="1">
        <v>0</v>
      </c>
      <c r="J732" s="1">
        <v>1</v>
      </c>
      <c r="K732" s="1"/>
      <c r="L732" s="1">
        <v>0</v>
      </c>
      <c r="M732" s="1" t="s">
        <v>5818</v>
      </c>
      <c r="N732" s="1" t="s">
        <v>5815</v>
      </c>
    </row>
    <row r="733" spans="1:14" x14ac:dyDescent="0.25">
      <c r="A733" s="1" t="s">
        <v>5861</v>
      </c>
      <c r="B733" s="1">
        <v>732</v>
      </c>
      <c r="C733" s="1" t="s">
        <v>133</v>
      </c>
      <c r="D733" s="1" t="s">
        <v>11091</v>
      </c>
      <c r="E733" s="1" t="s">
        <v>2442</v>
      </c>
      <c r="F733" s="1" t="s">
        <v>2481</v>
      </c>
      <c r="G733" s="1" t="s">
        <v>16567</v>
      </c>
      <c r="H733" s="1">
        <v>41.9</v>
      </c>
      <c r="I733" s="1">
        <v>0</v>
      </c>
      <c r="J733" s="1">
        <v>1</v>
      </c>
      <c r="K733" s="1"/>
      <c r="L733" s="1">
        <v>0</v>
      </c>
      <c r="M733" s="1" t="s">
        <v>5818</v>
      </c>
      <c r="N733" s="1" t="s">
        <v>5816</v>
      </c>
    </row>
    <row r="734" spans="1:14" x14ac:dyDescent="0.25">
      <c r="A734" s="1" t="s">
        <v>5862</v>
      </c>
      <c r="B734" s="1">
        <v>733</v>
      </c>
      <c r="C734" s="1" t="s">
        <v>133</v>
      </c>
      <c r="D734" s="1" t="s">
        <v>11091</v>
      </c>
      <c r="E734" s="1" t="s">
        <v>2442</v>
      </c>
      <c r="F734" s="1" t="s">
        <v>2481</v>
      </c>
      <c r="G734" s="1" t="s">
        <v>16567</v>
      </c>
      <c r="H734" s="1">
        <v>41.9</v>
      </c>
      <c r="I734" s="1">
        <v>0</v>
      </c>
      <c r="J734" s="1">
        <v>1</v>
      </c>
      <c r="K734" s="1"/>
      <c r="L734" s="1">
        <v>0</v>
      </c>
      <c r="M734" s="1" t="s">
        <v>5818</v>
      </c>
      <c r="N734" s="1" t="s">
        <v>5817</v>
      </c>
    </row>
    <row r="735" spans="1:14" x14ac:dyDescent="0.25">
      <c r="A735" s="1" t="s">
        <v>5863</v>
      </c>
      <c r="B735" s="1">
        <v>734</v>
      </c>
      <c r="C735" s="1" t="s">
        <v>133</v>
      </c>
      <c r="D735" s="1" t="s">
        <v>11091</v>
      </c>
      <c r="E735" s="1" t="s">
        <v>2442</v>
      </c>
      <c r="F735" s="1" t="s">
        <v>2481</v>
      </c>
      <c r="G735" s="1" t="s">
        <v>16567</v>
      </c>
      <c r="H735" s="1">
        <v>41.9</v>
      </c>
      <c r="I735" s="1">
        <v>0</v>
      </c>
      <c r="J735" s="1">
        <v>1</v>
      </c>
      <c r="K735" s="1"/>
      <c r="L735" s="1">
        <v>0</v>
      </c>
      <c r="M735" s="1" t="s">
        <v>2515</v>
      </c>
      <c r="N735" s="1" t="s">
        <v>2515</v>
      </c>
    </row>
    <row r="736" spans="1:14" s="1" customFormat="1" x14ac:dyDescent="0.25">
      <c r="A736" s="1" t="s">
        <v>5864</v>
      </c>
      <c r="B736" s="1">
        <v>735</v>
      </c>
      <c r="C736" s="1" t="s">
        <v>133</v>
      </c>
      <c r="D736" s="1" t="s">
        <v>11091</v>
      </c>
      <c r="E736" s="1" t="s">
        <v>2442</v>
      </c>
      <c r="F736" s="1" t="s">
        <v>2481</v>
      </c>
      <c r="G736" s="1" t="s">
        <v>16567</v>
      </c>
      <c r="H736" s="1">
        <v>41.9</v>
      </c>
      <c r="I736" s="1">
        <v>0</v>
      </c>
      <c r="J736" s="1">
        <v>1</v>
      </c>
      <c r="L736" s="1">
        <v>0</v>
      </c>
      <c r="M736" s="1" t="s">
        <v>15459</v>
      </c>
      <c r="N736" s="1" t="s">
        <v>15459</v>
      </c>
    </row>
    <row r="737" spans="1:14" s="1" customFormat="1" x14ac:dyDescent="0.25">
      <c r="A737" s="1" t="s">
        <v>5865</v>
      </c>
      <c r="B737" s="1">
        <v>736</v>
      </c>
      <c r="C737" s="1" t="s">
        <v>133</v>
      </c>
      <c r="D737" s="1" t="s">
        <v>11091</v>
      </c>
      <c r="E737" s="1" t="s">
        <v>2442</v>
      </c>
      <c r="F737" s="1" t="s">
        <v>2481</v>
      </c>
      <c r="G737" s="1" t="s">
        <v>16567</v>
      </c>
      <c r="H737" s="1">
        <v>41.9</v>
      </c>
      <c r="I737" s="1">
        <v>0</v>
      </c>
      <c r="J737" s="1">
        <v>1</v>
      </c>
      <c r="L737" s="1">
        <v>0</v>
      </c>
      <c r="M737" s="1" t="s">
        <v>15468</v>
      </c>
      <c r="N737" s="1" t="s">
        <v>15468</v>
      </c>
    </row>
    <row r="738" spans="1:14" s="1" customFormat="1" x14ac:dyDescent="0.25">
      <c r="A738" s="1" t="s">
        <v>5866</v>
      </c>
      <c r="B738" s="1">
        <v>737</v>
      </c>
      <c r="C738" s="1" t="s">
        <v>133</v>
      </c>
      <c r="D738" s="1" t="s">
        <v>11091</v>
      </c>
      <c r="E738" s="1" t="s">
        <v>2442</v>
      </c>
      <c r="F738" s="1" t="s">
        <v>2481</v>
      </c>
      <c r="G738" s="1" t="s">
        <v>16567</v>
      </c>
      <c r="H738" s="1">
        <v>41.9</v>
      </c>
      <c r="I738" s="1">
        <v>0</v>
      </c>
      <c r="J738" s="1">
        <v>1</v>
      </c>
      <c r="L738" s="1">
        <v>0</v>
      </c>
      <c r="M738" s="1" t="s">
        <v>15474</v>
      </c>
      <c r="N738" s="1" t="s">
        <v>15474</v>
      </c>
    </row>
    <row r="739" spans="1:14" s="1" customFormat="1" x14ac:dyDescent="0.25">
      <c r="A739" s="1" t="s">
        <v>5867</v>
      </c>
      <c r="B739" s="1">
        <v>738</v>
      </c>
      <c r="C739" s="1" t="s">
        <v>133</v>
      </c>
      <c r="D739" s="1" t="s">
        <v>11091</v>
      </c>
      <c r="E739" s="1" t="s">
        <v>2442</v>
      </c>
      <c r="F739" s="1" t="s">
        <v>2481</v>
      </c>
      <c r="G739" s="1" t="s">
        <v>16567</v>
      </c>
      <c r="H739" s="1">
        <v>41.9</v>
      </c>
      <c r="I739" s="1">
        <v>0</v>
      </c>
      <c r="J739" s="1">
        <v>1</v>
      </c>
      <c r="L739" s="1">
        <v>0</v>
      </c>
      <c r="M739" s="1" t="s">
        <v>2492</v>
      </c>
      <c r="N739" s="1" t="s">
        <v>2492</v>
      </c>
    </row>
    <row r="740" spans="1:14" s="1" customFormat="1" x14ac:dyDescent="0.25">
      <c r="A740" s="1" t="s">
        <v>5868</v>
      </c>
      <c r="B740" s="1">
        <v>739</v>
      </c>
      <c r="C740" s="1" t="s">
        <v>133</v>
      </c>
      <c r="D740" s="1" t="s">
        <v>11091</v>
      </c>
      <c r="E740" s="1" t="s">
        <v>2442</v>
      </c>
      <c r="F740" s="1" t="s">
        <v>2481</v>
      </c>
      <c r="G740" s="1" t="s">
        <v>16567</v>
      </c>
      <c r="H740" s="1">
        <v>41.9</v>
      </c>
      <c r="I740" s="1">
        <v>0</v>
      </c>
      <c r="J740" s="1">
        <v>1</v>
      </c>
      <c r="L740" s="1">
        <v>0</v>
      </c>
      <c r="M740" s="1" t="s">
        <v>15489</v>
      </c>
      <c r="N740" s="1" t="s">
        <v>15489</v>
      </c>
    </row>
    <row r="741" spans="1:14" s="1" customFormat="1" x14ac:dyDescent="0.25">
      <c r="A741" s="1" t="s">
        <v>5869</v>
      </c>
      <c r="B741" s="1">
        <v>740</v>
      </c>
      <c r="C741" s="1" t="s">
        <v>133</v>
      </c>
      <c r="D741" s="1" t="s">
        <v>11091</v>
      </c>
      <c r="E741" s="1" t="s">
        <v>2442</v>
      </c>
      <c r="F741" s="1" t="s">
        <v>2481</v>
      </c>
      <c r="G741" s="1" t="s">
        <v>16567</v>
      </c>
      <c r="H741" s="1">
        <v>41.9</v>
      </c>
      <c r="I741" s="1">
        <v>0</v>
      </c>
      <c r="J741" s="1">
        <v>1</v>
      </c>
      <c r="L741" s="1">
        <v>0</v>
      </c>
      <c r="M741" s="1" t="s">
        <v>15498</v>
      </c>
      <c r="N741" s="1" t="s">
        <v>15498</v>
      </c>
    </row>
    <row r="742" spans="1:14" s="1" customFormat="1" x14ac:dyDescent="0.25">
      <c r="A742" s="1" t="s">
        <v>5870</v>
      </c>
      <c r="B742" s="1">
        <v>741</v>
      </c>
      <c r="C742" s="1" t="s">
        <v>133</v>
      </c>
      <c r="D742" s="1" t="s">
        <v>11091</v>
      </c>
      <c r="E742" s="1" t="s">
        <v>2442</v>
      </c>
      <c r="F742" s="1" t="s">
        <v>2481</v>
      </c>
      <c r="G742" s="1" t="s">
        <v>16567</v>
      </c>
      <c r="H742" s="1">
        <v>41.9</v>
      </c>
      <c r="I742" s="1">
        <v>0</v>
      </c>
      <c r="J742" s="1">
        <v>1</v>
      </c>
      <c r="L742" s="1">
        <v>0</v>
      </c>
      <c r="M742" s="1" t="s">
        <v>15507</v>
      </c>
      <c r="N742" s="1" t="s">
        <v>15507</v>
      </c>
    </row>
    <row r="743" spans="1:14" x14ac:dyDescent="0.25">
      <c r="A743" s="1" t="s">
        <v>2712</v>
      </c>
      <c r="B743" s="1">
        <v>742</v>
      </c>
      <c r="C743" s="1" t="s">
        <v>133</v>
      </c>
      <c r="D743" s="1" t="s">
        <v>11091</v>
      </c>
      <c r="E743" s="1" t="s">
        <v>2517</v>
      </c>
      <c r="F743" s="1" t="s">
        <v>2518</v>
      </c>
      <c r="G743" s="1" t="s">
        <v>16568</v>
      </c>
      <c r="H743" s="1">
        <v>41.9</v>
      </c>
      <c r="I743" s="1">
        <v>0</v>
      </c>
      <c r="J743" s="1">
        <v>1</v>
      </c>
      <c r="K743" s="1"/>
      <c r="L743" s="1">
        <v>0</v>
      </c>
      <c r="M743" s="1" t="s">
        <v>5825</v>
      </c>
      <c r="N743" s="1" t="s">
        <v>5824</v>
      </c>
    </row>
    <row r="744" spans="1:14" x14ac:dyDescent="0.25">
      <c r="A744" s="1" t="s">
        <v>2716</v>
      </c>
      <c r="B744" s="1">
        <v>743</v>
      </c>
      <c r="C744" s="1" t="s">
        <v>133</v>
      </c>
      <c r="D744" s="1" t="s">
        <v>11091</v>
      </c>
      <c r="E744" s="1" t="s">
        <v>2517</v>
      </c>
      <c r="F744" s="1" t="s">
        <v>2518</v>
      </c>
      <c r="G744" s="1" t="s">
        <v>16568</v>
      </c>
      <c r="H744" s="1">
        <v>41.9</v>
      </c>
      <c r="I744" s="1">
        <v>0</v>
      </c>
      <c r="J744" s="1">
        <v>1</v>
      </c>
      <c r="K744" s="1"/>
      <c r="L744" s="1">
        <v>0</v>
      </c>
      <c r="M744" s="1" t="s">
        <v>5825</v>
      </c>
      <c r="N744" s="1" t="s">
        <v>5823</v>
      </c>
    </row>
    <row r="745" spans="1:14" x14ac:dyDescent="0.25">
      <c r="A745" s="1" t="s">
        <v>2719</v>
      </c>
      <c r="B745" s="1">
        <v>744</v>
      </c>
      <c r="C745" s="1" t="s">
        <v>133</v>
      </c>
      <c r="D745" s="1" t="s">
        <v>11091</v>
      </c>
      <c r="E745" s="1" t="s">
        <v>2517</v>
      </c>
      <c r="F745" s="1" t="s">
        <v>2518</v>
      </c>
      <c r="G745" s="1" t="s">
        <v>16568</v>
      </c>
      <c r="H745" s="1">
        <v>41.9</v>
      </c>
      <c r="I745" s="1">
        <v>0</v>
      </c>
      <c r="J745" s="1">
        <v>1</v>
      </c>
      <c r="K745" s="1"/>
      <c r="L745" s="1">
        <v>0</v>
      </c>
      <c r="M745" s="1" t="s">
        <v>5825</v>
      </c>
      <c r="N745" s="1" t="s">
        <v>5822</v>
      </c>
    </row>
    <row r="746" spans="1:14" x14ac:dyDescent="0.25">
      <c r="A746" s="1" t="s">
        <v>2721</v>
      </c>
      <c r="B746" s="1">
        <v>745</v>
      </c>
      <c r="C746" s="1" t="s">
        <v>133</v>
      </c>
      <c r="D746" s="1" t="s">
        <v>11091</v>
      </c>
      <c r="E746" s="1" t="s">
        <v>2517</v>
      </c>
      <c r="F746" s="1" t="s">
        <v>2518</v>
      </c>
      <c r="G746" s="1" t="s">
        <v>16568</v>
      </c>
      <c r="H746" s="1">
        <v>41.9</v>
      </c>
      <c r="I746" s="1">
        <v>0</v>
      </c>
      <c r="J746" s="1">
        <v>1</v>
      </c>
      <c r="K746" s="1"/>
      <c r="L746" s="1">
        <v>0</v>
      </c>
      <c r="M746" s="1" t="s">
        <v>5825</v>
      </c>
      <c r="N746" s="1" t="s">
        <v>5821</v>
      </c>
    </row>
    <row r="747" spans="1:14" x14ac:dyDescent="0.25">
      <c r="A747" s="1" t="s">
        <v>2723</v>
      </c>
      <c r="B747" s="1">
        <v>746</v>
      </c>
      <c r="C747" s="1" t="s">
        <v>133</v>
      </c>
      <c r="D747" s="1" t="s">
        <v>11091</v>
      </c>
      <c r="E747" s="1" t="s">
        <v>2517</v>
      </c>
      <c r="F747" s="1" t="s">
        <v>2518</v>
      </c>
      <c r="G747" s="1" t="s">
        <v>16568</v>
      </c>
      <c r="H747" s="1">
        <v>41.9</v>
      </c>
      <c r="I747" s="1">
        <v>0</v>
      </c>
      <c r="J747" s="1">
        <v>1</v>
      </c>
      <c r="K747" s="1"/>
      <c r="L747" s="1">
        <v>0</v>
      </c>
      <c r="M747" s="1" t="s">
        <v>5825</v>
      </c>
      <c r="N747" s="1" t="s">
        <v>5820</v>
      </c>
    </row>
    <row r="748" spans="1:14" x14ac:dyDescent="0.25">
      <c r="A748" s="1" t="s">
        <v>2725</v>
      </c>
      <c r="B748" s="1">
        <v>747</v>
      </c>
      <c r="C748" s="1" t="s">
        <v>133</v>
      </c>
      <c r="D748" s="1" t="s">
        <v>11091</v>
      </c>
      <c r="E748" s="1" t="s">
        <v>2517</v>
      </c>
      <c r="F748" s="1" t="s">
        <v>2518</v>
      </c>
      <c r="G748" s="1" t="s">
        <v>16568</v>
      </c>
      <c r="H748" s="1">
        <v>41.9</v>
      </c>
      <c r="I748" s="1">
        <v>0</v>
      </c>
      <c r="J748" s="1">
        <v>1</v>
      </c>
      <c r="K748" s="1"/>
      <c r="L748" s="1">
        <v>0</v>
      </c>
      <c r="M748" s="1" t="s">
        <v>5825</v>
      </c>
      <c r="N748" s="1" t="s">
        <v>5819</v>
      </c>
    </row>
    <row r="749" spans="1:14" x14ac:dyDescent="0.25">
      <c r="A749" s="1" t="s">
        <v>2727</v>
      </c>
      <c r="B749" s="1">
        <v>748</v>
      </c>
      <c r="C749" s="1" t="s">
        <v>133</v>
      </c>
      <c r="D749" s="1" t="s">
        <v>11091</v>
      </c>
      <c r="E749" s="1" t="s">
        <v>2517</v>
      </c>
      <c r="F749" s="1" t="s">
        <v>2518</v>
      </c>
      <c r="G749" s="1" t="s">
        <v>16568</v>
      </c>
      <c r="H749" s="1">
        <v>41.9</v>
      </c>
      <c r="I749" s="1">
        <v>0</v>
      </c>
      <c r="J749" s="1">
        <v>1</v>
      </c>
      <c r="K749" s="1"/>
      <c r="L749" s="1">
        <v>0</v>
      </c>
      <c r="M749" s="1" t="s">
        <v>5825</v>
      </c>
      <c r="N749" s="1" t="s">
        <v>3514</v>
      </c>
    </row>
    <row r="750" spans="1:14" x14ac:dyDescent="0.25">
      <c r="A750" s="1" t="s">
        <v>2729</v>
      </c>
      <c r="B750" s="1">
        <v>749</v>
      </c>
      <c r="C750" s="1" t="s">
        <v>133</v>
      </c>
      <c r="D750" s="1" t="s">
        <v>11091</v>
      </c>
      <c r="E750" s="1" t="s">
        <v>2517</v>
      </c>
      <c r="F750" s="1" t="s">
        <v>2518</v>
      </c>
      <c r="G750" s="1" t="s">
        <v>16568</v>
      </c>
      <c r="H750" s="1">
        <v>41.9</v>
      </c>
      <c r="I750" s="1">
        <v>0</v>
      </c>
      <c r="J750" s="1">
        <v>1</v>
      </c>
      <c r="K750" s="1"/>
      <c r="L750" s="1">
        <v>0</v>
      </c>
      <c r="M750" s="1" t="s">
        <v>5825</v>
      </c>
      <c r="N750" s="1" t="s">
        <v>3512</v>
      </c>
    </row>
    <row r="751" spans="1:14" x14ac:dyDescent="0.25">
      <c r="A751" s="1" t="s">
        <v>2731</v>
      </c>
      <c r="B751" s="1">
        <v>750</v>
      </c>
      <c r="C751" s="1" t="s">
        <v>133</v>
      </c>
      <c r="D751" s="1" t="s">
        <v>11091</v>
      </c>
      <c r="E751" s="1" t="s">
        <v>2517</v>
      </c>
      <c r="F751" s="1" t="s">
        <v>2518</v>
      </c>
      <c r="G751" s="1" t="s">
        <v>16568</v>
      </c>
      <c r="H751" s="1">
        <v>41.9</v>
      </c>
      <c r="I751" s="1">
        <v>0</v>
      </c>
      <c r="J751" s="1">
        <v>1</v>
      </c>
      <c r="K751" s="1"/>
      <c r="L751" s="1">
        <v>0</v>
      </c>
      <c r="M751" s="1" t="s">
        <v>2519</v>
      </c>
      <c r="N751" s="1" t="s">
        <v>2520</v>
      </c>
    </row>
    <row r="752" spans="1:14" x14ac:dyDescent="0.25">
      <c r="A752" s="1" t="s">
        <v>2734</v>
      </c>
      <c r="B752" s="1">
        <v>751</v>
      </c>
      <c r="C752" s="1" t="s">
        <v>133</v>
      </c>
      <c r="D752" s="1" t="s">
        <v>11091</v>
      </c>
      <c r="E752" s="1" t="s">
        <v>2517</v>
      </c>
      <c r="F752" s="1" t="s">
        <v>2518</v>
      </c>
      <c r="G752" s="1" t="s">
        <v>16568</v>
      </c>
      <c r="H752" s="1">
        <v>41.9</v>
      </c>
      <c r="I752" s="1">
        <v>0</v>
      </c>
      <c r="J752" s="1">
        <v>1</v>
      </c>
      <c r="K752" s="1"/>
      <c r="L752" s="1">
        <v>0</v>
      </c>
      <c r="M752" s="1" t="s">
        <v>2519</v>
      </c>
      <c r="N752" s="1" t="s">
        <v>2522</v>
      </c>
    </row>
    <row r="753" spans="1:14" x14ac:dyDescent="0.25">
      <c r="A753" s="1" t="s">
        <v>2736</v>
      </c>
      <c r="B753" s="1">
        <v>752</v>
      </c>
      <c r="C753" s="1" t="s">
        <v>133</v>
      </c>
      <c r="D753" s="1" t="s">
        <v>11091</v>
      </c>
      <c r="E753" s="1" t="s">
        <v>2517</v>
      </c>
      <c r="F753" s="1" t="s">
        <v>2518</v>
      </c>
      <c r="G753" s="1" t="s">
        <v>16568</v>
      </c>
      <c r="H753" s="1">
        <v>41.9</v>
      </c>
      <c r="I753" s="1">
        <v>0</v>
      </c>
      <c r="J753" s="1">
        <v>1</v>
      </c>
      <c r="K753" s="1"/>
      <c r="L753" s="1">
        <v>0</v>
      </c>
      <c r="M753" s="1" t="s">
        <v>2519</v>
      </c>
      <c r="N753" s="1" t="s">
        <v>2524</v>
      </c>
    </row>
    <row r="754" spans="1:14" x14ac:dyDescent="0.25">
      <c r="A754" s="1" t="s">
        <v>2738</v>
      </c>
      <c r="B754" s="1">
        <v>753</v>
      </c>
      <c r="C754" s="1" t="s">
        <v>133</v>
      </c>
      <c r="D754" s="1" t="s">
        <v>11091</v>
      </c>
      <c r="E754" s="1" t="s">
        <v>2517</v>
      </c>
      <c r="F754" s="1" t="s">
        <v>2518</v>
      </c>
      <c r="G754" s="1" t="s">
        <v>16568</v>
      </c>
      <c r="H754" s="1">
        <v>41.9</v>
      </c>
      <c r="I754" s="1">
        <v>0</v>
      </c>
      <c r="J754" s="1">
        <v>1</v>
      </c>
      <c r="K754" s="1"/>
      <c r="L754" s="1">
        <v>0</v>
      </c>
      <c r="M754" s="1" t="s">
        <v>2519</v>
      </c>
      <c r="N754" s="1" t="s">
        <v>2526</v>
      </c>
    </row>
    <row r="755" spans="1:14" x14ac:dyDescent="0.25">
      <c r="A755" s="1" t="s">
        <v>2740</v>
      </c>
      <c r="B755" s="1">
        <v>754</v>
      </c>
      <c r="C755" s="1" t="s">
        <v>133</v>
      </c>
      <c r="D755" s="1" t="s">
        <v>11091</v>
      </c>
      <c r="E755" s="1" t="s">
        <v>2517</v>
      </c>
      <c r="F755" s="1" t="s">
        <v>2518</v>
      </c>
      <c r="G755" s="1" t="s">
        <v>16568</v>
      </c>
      <c r="H755" s="1">
        <v>41.9</v>
      </c>
      <c r="I755" s="1">
        <v>0</v>
      </c>
      <c r="J755" s="1">
        <v>1</v>
      </c>
      <c r="K755" s="1"/>
      <c r="L755" s="1">
        <v>0</v>
      </c>
      <c r="M755" s="1" t="s">
        <v>2528</v>
      </c>
      <c r="N755" s="1" t="s">
        <v>2529</v>
      </c>
    </row>
    <row r="756" spans="1:14" x14ac:dyDescent="0.25">
      <c r="A756" s="1" t="s">
        <v>2743</v>
      </c>
      <c r="B756" s="1">
        <v>755</v>
      </c>
      <c r="C756" s="1" t="s">
        <v>133</v>
      </c>
      <c r="D756" s="1" t="s">
        <v>11091</v>
      </c>
      <c r="E756" s="1" t="s">
        <v>2517</v>
      </c>
      <c r="F756" s="1" t="s">
        <v>2518</v>
      </c>
      <c r="G756" s="1" t="s">
        <v>16568</v>
      </c>
      <c r="H756" s="1">
        <v>41.9</v>
      </c>
      <c r="I756" s="1">
        <v>0</v>
      </c>
      <c r="J756" s="1">
        <v>1</v>
      </c>
      <c r="K756" s="1"/>
      <c r="L756" s="1">
        <v>0</v>
      </c>
      <c r="M756" s="1" t="s">
        <v>2528</v>
      </c>
      <c r="N756" s="1" t="s">
        <v>2531</v>
      </c>
    </row>
    <row r="757" spans="1:14" x14ac:dyDescent="0.25">
      <c r="A757" s="1" t="s">
        <v>2745</v>
      </c>
      <c r="B757" s="1">
        <v>756</v>
      </c>
      <c r="C757" s="1" t="s">
        <v>133</v>
      </c>
      <c r="D757" s="1" t="s">
        <v>11091</v>
      </c>
      <c r="E757" s="1" t="s">
        <v>2517</v>
      </c>
      <c r="F757" s="1" t="s">
        <v>2518</v>
      </c>
      <c r="G757" s="1" t="s">
        <v>16568</v>
      </c>
      <c r="H757" s="1">
        <v>41.9</v>
      </c>
      <c r="I757" s="1">
        <v>0</v>
      </c>
      <c r="J757" s="1">
        <v>1</v>
      </c>
      <c r="K757" s="1"/>
      <c r="L757" s="1">
        <v>0</v>
      </c>
      <c r="M757" s="1" t="s">
        <v>2528</v>
      </c>
      <c r="N757" s="1" t="s">
        <v>2533</v>
      </c>
    </row>
    <row r="758" spans="1:14" x14ac:dyDescent="0.25">
      <c r="A758" s="1" t="s">
        <v>2747</v>
      </c>
      <c r="B758" s="1">
        <v>757</v>
      </c>
      <c r="C758" s="1" t="s">
        <v>133</v>
      </c>
      <c r="D758" s="1" t="s">
        <v>11091</v>
      </c>
      <c r="E758" s="1" t="s">
        <v>2517</v>
      </c>
      <c r="F758" s="1" t="s">
        <v>2518</v>
      </c>
      <c r="G758" s="1" t="s">
        <v>16568</v>
      </c>
      <c r="H758" s="1">
        <v>41.9</v>
      </c>
      <c r="I758" s="1">
        <v>0</v>
      </c>
      <c r="J758" s="1">
        <v>1</v>
      </c>
      <c r="K758" s="1"/>
      <c r="L758" s="1">
        <v>0</v>
      </c>
      <c r="M758" s="1" t="s">
        <v>2535</v>
      </c>
      <c r="N758" s="1" t="s">
        <v>2536</v>
      </c>
    </row>
    <row r="759" spans="1:14" x14ac:dyDescent="0.25">
      <c r="A759" s="1" t="s">
        <v>2752</v>
      </c>
      <c r="B759" s="1">
        <v>758</v>
      </c>
      <c r="C759" s="1" t="s">
        <v>133</v>
      </c>
      <c r="D759" s="1" t="s">
        <v>11091</v>
      </c>
      <c r="E759" s="1" t="s">
        <v>2517</v>
      </c>
      <c r="F759" s="1" t="s">
        <v>2518</v>
      </c>
      <c r="G759" s="1" t="s">
        <v>16568</v>
      </c>
      <c r="H759" s="1">
        <v>41.9</v>
      </c>
      <c r="I759" s="1">
        <v>0</v>
      </c>
      <c r="J759" s="1">
        <v>1</v>
      </c>
      <c r="K759" s="1"/>
      <c r="L759" s="1">
        <v>0</v>
      </c>
      <c r="M759" s="1" t="s">
        <v>2535</v>
      </c>
      <c r="N759" s="1" t="s">
        <v>2538</v>
      </c>
    </row>
    <row r="760" spans="1:14" x14ac:dyDescent="0.25">
      <c r="A760" s="1" t="s">
        <v>2755</v>
      </c>
      <c r="B760" s="1">
        <v>759</v>
      </c>
      <c r="C760" s="1" t="s">
        <v>133</v>
      </c>
      <c r="D760" s="1" t="s">
        <v>11091</v>
      </c>
      <c r="E760" s="1" t="s">
        <v>2517</v>
      </c>
      <c r="F760" s="1" t="s">
        <v>2518</v>
      </c>
      <c r="G760" s="1" t="s">
        <v>16568</v>
      </c>
      <c r="H760" s="1">
        <v>41.9</v>
      </c>
      <c r="I760" s="1">
        <v>0</v>
      </c>
      <c r="J760" s="1">
        <v>1</v>
      </c>
      <c r="K760" s="1"/>
      <c r="L760" s="1">
        <v>0</v>
      </c>
      <c r="M760" s="1" t="s">
        <v>2535</v>
      </c>
      <c r="N760" s="1" t="s">
        <v>2540</v>
      </c>
    </row>
    <row r="761" spans="1:14" s="1" customFormat="1" x14ac:dyDescent="0.25">
      <c r="A761" s="1" t="s">
        <v>2757</v>
      </c>
      <c r="B761" s="1">
        <v>760</v>
      </c>
      <c r="C761" s="1" t="s">
        <v>133</v>
      </c>
      <c r="D761" s="1" t="s">
        <v>11091</v>
      </c>
      <c r="E761" s="1" t="s">
        <v>2517</v>
      </c>
      <c r="F761" s="1" t="s">
        <v>2518</v>
      </c>
      <c r="G761" s="1" t="s">
        <v>16568</v>
      </c>
      <c r="H761" s="1">
        <v>41.9</v>
      </c>
      <c r="I761" s="1">
        <v>0</v>
      </c>
      <c r="J761" s="1">
        <v>1</v>
      </c>
      <c r="L761" s="1">
        <v>0</v>
      </c>
      <c r="M761" s="1" t="s">
        <v>15518</v>
      </c>
      <c r="N761" s="1" t="s">
        <v>15518</v>
      </c>
    </row>
    <row r="762" spans="1:14" s="1" customFormat="1" x14ac:dyDescent="0.25">
      <c r="A762" s="1" t="s">
        <v>2759</v>
      </c>
      <c r="B762" s="1">
        <v>761</v>
      </c>
      <c r="C762" s="1" t="s">
        <v>133</v>
      </c>
      <c r="D762" s="1" t="s">
        <v>11091</v>
      </c>
      <c r="E762" s="1" t="s">
        <v>2517</v>
      </c>
      <c r="F762" s="1" t="s">
        <v>2518</v>
      </c>
      <c r="G762" s="1" t="s">
        <v>16568</v>
      </c>
      <c r="H762" s="1">
        <v>41.9</v>
      </c>
      <c r="I762" s="1">
        <v>0</v>
      </c>
      <c r="J762" s="1">
        <v>1</v>
      </c>
      <c r="L762" s="1">
        <v>0</v>
      </c>
      <c r="M762" s="1" t="s">
        <v>2538</v>
      </c>
      <c r="N762" s="1" t="s">
        <v>2538</v>
      </c>
    </row>
    <row r="763" spans="1:14" x14ac:dyDescent="0.25">
      <c r="A763" s="1" t="s">
        <v>2761</v>
      </c>
      <c r="B763" s="1">
        <v>762</v>
      </c>
      <c r="C763" s="1" t="s">
        <v>215</v>
      </c>
      <c r="D763" s="1" t="s">
        <v>11100</v>
      </c>
      <c r="E763" s="1" t="s">
        <v>2542</v>
      </c>
      <c r="F763" s="1" t="s">
        <v>2543</v>
      </c>
      <c r="G763" s="1" t="s">
        <v>16569</v>
      </c>
      <c r="H763" s="1">
        <v>23.7</v>
      </c>
      <c r="I763" s="1">
        <v>0</v>
      </c>
      <c r="J763" s="1">
        <v>1</v>
      </c>
      <c r="K763" s="1" t="s">
        <v>1071</v>
      </c>
      <c r="L763" s="1">
        <v>0</v>
      </c>
      <c r="M763" s="1" t="s">
        <v>2543</v>
      </c>
      <c r="N763" s="1" t="s">
        <v>2543</v>
      </c>
    </row>
    <row r="764" spans="1:14" s="1" customFormat="1" x14ac:dyDescent="0.25">
      <c r="A764" s="1" t="s">
        <v>2763</v>
      </c>
      <c r="B764" s="1">
        <v>763</v>
      </c>
      <c r="C764" s="1" t="s">
        <v>215</v>
      </c>
      <c r="D764" s="1" t="s">
        <v>11100</v>
      </c>
      <c r="E764" s="1" t="s">
        <v>2542</v>
      </c>
      <c r="F764" s="1" t="s">
        <v>2543</v>
      </c>
      <c r="G764" s="1" t="s">
        <v>16569</v>
      </c>
      <c r="H764" s="1">
        <v>23.7</v>
      </c>
      <c r="I764" s="1">
        <v>0</v>
      </c>
      <c r="J764" s="1">
        <v>1</v>
      </c>
      <c r="K764" s="1" t="s">
        <v>1071</v>
      </c>
      <c r="L764" s="1">
        <v>0</v>
      </c>
      <c r="M764" s="1" t="s">
        <v>15538</v>
      </c>
      <c r="N764" s="1" t="s">
        <v>15538</v>
      </c>
    </row>
    <row r="765" spans="1:14" s="1" customFormat="1" x14ac:dyDescent="0.25">
      <c r="A765" s="1" t="s">
        <v>2766</v>
      </c>
      <c r="B765" s="1">
        <v>764</v>
      </c>
      <c r="C765" s="1" t="s">
        <v>215</v>
      </c>
      <c r="D765" s="1" t="s">
        <v>11100</v>
      </c>
      <c r="E765" s="1" t="s">
        <v>2542</v>
      </c>
      <c r="F765" s="1" t="s">
        <v>2543</v>
      </c>
      <c r="G765" s="1" t="s">
        <v>16569</v>
      </c>
      <c r="H765" s="1">
        <v>23.7</v>
      </c>
      <c r="I765" s="1">
        <v>0</v>
      </c>
      <c r="J765" s="1">
        <v>1</v>
      </c>
      <c r="K765" s="1" t="s">
        <v>1071</v>
      </c>
      <c r="L765" s="1">
        <v>0</v>
      </c>
      <c r="M765" s="1" t="s">
        <v>6791</v>
      </c>
      <c r="N765" s="1" t="s">
        <v>6791</v>
      </c>
    </row>
    <row r="766" spans="1:14" x14ac:dyDescent="0.25">
      <c r="A766" s="1" t="s">
        <v>2768</v>
      </c>
      <c r="B766" s="1">
        <v>765</v>
      </c>
      <c r="C766" s="1" t="s">
        <v>215</v>
      </c>
      <c r="D766" s="1" t="s">
        <v>11099</v>
      </c>
      <c r="E766" s="1" t="s">
        <v>2710</v>
      </c>
      <c r="F766" s="1" t="s">
        <v>2711</v>
      </c>
      <c r="G766" s="1" t="s">
        <v>16571</v>
      </c>
      <c r="H766" s="1">
        <v>23.7</v>
      </c>
      <c r="I766" s="1">
        <v>0</v>
      </c>
      <c r="J766" s="1">
        <v>1</v>
      </c>
      <c r="K766" s="1" t="s">
        <v>1071</v>
      </c>
      <c r="L766" s="1">
        <v>0</v>
      </c>
      <c r="M766" s="1" t="s">
        <v>2711</v>
      </c>
      <c r="N766" s="1" t="s">
        <v>2711</v>
      </c>
    </row>
    <row r="767" spans="1:14" s="1" customFormat="1" x14ac:dyDescent="0.25">
      <c r="A767" s="1" t="s">
        <v>2770</v>
      </c>
      <c r="B767" s="1">
        <v>766</v>
      </c>
      <c r="C767" s="1" t="s">
        <v>215</v>
      </c>
      <c r="D767" s="1" t="s">
        <v>11099</v>
      </c>
      <c r="E767" s="1" t="s">
        <v>2710</v>
      </c>
      <c r="F767" s="1" t="s">
        <v>2711</v>
      </c>
      <c r="G767" s="1" t="s">
        <v>16571</v>
      </c>
      <c r="H767" s="1">
        <v>23.7</v>
      </c>
      <c r="I767" s="1">
        <v>0</v>
      </c>
      <c r="J767" s="1">
        <v>1</v>
      </c>
      <c r="K767" s="1" t="s">
        <v>1071</v>
      </c>
      <c r="L767" s="1">
        <v>0</v>
      </c>
      <c r="M767" s="1" t="s">
        <v>6849</v>
      </c>
      <c r="N767" s="1" t="s">
        <v>6849</v>
      </c>
    </row>
    <row r="768" spans="1:14" x14ac:dyDescent="0.25">
      <c r="A768" s="1" t="s">
        <v>2772</v>
      </c>
      <c r="B768" s="1">
        <v>767</v>
      </c>
      <c r="C768" s="1" t="s">
        <v>215</v>
      </c>
      <c r="D768" s="1" t="s">
        <v>11100</v>
      </c>
      <c r="E768" s="1" t="s">
        <v>2542</v>
      </c>
      <c r="F768" s="1" t="s">
        <v>2545</v>
      </c>
      <c r="G768" s="1" t="s">
        <v>16570</v>
      </c>
      <c r="H768" s="1">
        <v>41.9</v>
      </c>
      <c r="I768" s="1">
        <v>0</v>
      </c>
      <c r="J768" s="1">
        <v>1</v>
      </c>
      <c r="K768" s="1"/>
      <c r="L768" s="1">
        <v>0</v>
      </c>
      <c r="M768" s="1" t="s">
        <v>2546</v>
      </c>
      <c r="N768" s="1" t="s">
        <v>2547</v>
      </c>
    </row>
    <row r="769" spans="1:14" x14ac:dyDescent="0.25">
      <c r="A769" s="1" t="s">
        <v>2774</v>
      </c>
      <c r="B769" s="1">
        <v>768</v>
      </c>
      <c r="C769" s="1" t="s">
        <v>215</v>
      </c>
      <c r="D769" s="1" t="s">
        <v>11100</v>
      </c>
      <c r="E769" s="1" t="s">
        <v>2542</v>
      </c>
      <c r="F769" s="1" t="s">
        <v>2545</v>
      </c>
      <c r="G769" s="1" t="s">
        <v>16570</v>
      </c>
      <c r="H769" s="1">
        <v>41.9</v>
      </c>
      <c r="I769" s="1">
        <v>0</v>
      </c>
      <c r="J769" s="1">
        <v>1</v>
      </c>
      <c r="K769" s="1"/>
      <c r="L769" s="1">
        <v>0</v>
      </c>
      <c r="M769" s="1" t="s">
        <v>2546</v>
      </c>
      <c r="N769" s="1" t="s">
        <v>2549</v>
      </c>
    </row>
    <row r="770" spans="1:14" x14ac:dyDescent="0.25">
      <c r="A770" s="1" t="s">
        <v>2776</v>
      </c>
      <c r="B770" s="1">
        <v>769</v>
      </c>
      <c r="C770" s="1" t="s">
        <v>215</v>
      </c>
      <c r="D770" s="1" t="s">
        <v>11100</v>
      </c>
      <c r="E770" s="1" t="s">
        <v>2542</v>
      </c>
      <c r="F770" s="1" t="s">
        <v>2545</v>
      </c>
      <c r="G770" s="1" t="s">
        <v>16570</v>
      </c>
      <c r="H770" s="1">
        <v>41.9</v>
      </c>
      <c r="I770" s="1">
        <v>0</v>
      </c>
      <c r="J770" s="1">
        <v>1</v>
      </c>
      <c r="K770" s="1"/>
      <c r="L770" s="1">
        <v>0</v>
      </c>
      <c r="M770" s="1" t="s">
        <v>2546</v>
      </c>
      <c r="N770" s="1" t="s">
        <v>2551</v>
      </c>
    </row>
    <row r="771" spans="1:14" x14ac:dyDescent="0.25">
      <c r="A771" s="1" t="s">
        <v>2778</v>
      </c>
      <c r="B771" s="1">
        <v>770</v>
      </c>
      <c r="C771" s="1" t="s">
        <v>215</v>
      </c>
      <c r="D771" s="1" t="s">
        <v>11100</v>
      </c>
      <c r="E771" s="1" t="s">
        <v>2542</v>
      </c>
      <c r="F771" s="1" t="s">
        <v>2545</v>
      </c>
      <c r="G771" s="1" t="s">
        <v>16570</v>
      </c>
      <c r="H771" s="1">
        <v>41.9</v>
      </c>
      <c r="I771" s="1">
        <v>0</v>
      </c>
      <c r="J771" s="1">
        <v>1</v>
      </c>
      <c r="K771" s="1"/>
      <c r="L771" s="1">
        <v>0</v>
      </c>
      <c r="M771" s="1" t="s">
        <v>2546</v>
      </c>
      <c r="N771" s="1" t="s">
        <v>2553</v>
      </c>
    </row>
    <row r="772" spans="1:14" x14ac:dyDescent="0.25">
      <c r="A772" s="1" t="s">
        <v>2781</v>
      </c>
      <c r="B772" s="1">
        <v>771</v>
      </c>
      <c r="C772" s="1" t="s">
        <v>215</v>
      </c>
      <c r="D772" s="1" t="s">
        <v>11100</v>
      </c>
      <c r="E772" s="1" t="s">
        <v>2542</v>
      </c>
      <c r="F772" s="1" t="s">
        <v>2545</v>
      </c>
      <c r="G772" s="1" t="s">
        <v>16570</v>
      </c>
      <c r="H772" s="1">
        <v>41.9</v>
      </c>
      <c r="I772" s="1">
        <v>0</v>
      </c>
      <c r="J772" s="1">
        <v>1</v>
      </c>
      <c r="K772" s="1"/>
      <c r="L772" s="1">
        <v>0</v>
      </c>
      <c r="M772" s="1" t="s">
        <v>2555</v>
      </c>
      <c r="N772" s="1" t="s">
        <v>2556</v>
      </c>
    </row>
    <row r="773" spans="1:14" x14ac:dyDescent="0.25">
      <c r="A773" s="1" t="s">
        <v>2783</v>
      </c>
      <c r="B773" s="1">
        <v>772</v>
      </c>
      <c r="C773" s="1" t="s">
        <v>215</v>
      </c>
      <c r="D773" s="1" t="s">
        <v>11100</v>
      </c>
      <c r="E773" s="1" t="s">
        <v>2542</v>
      </c>
      <c r="F773" s="1" t="s">
        <v>2545</v>
      </c>
      <c r="G773" s="1" t="s">
        <v>16570</v>
      </c>
      <c r="H773" s="1">
        <v>41.9</v>
      </c>
      <c r="I773" s="1">
        <v>0</v>
      </c>
      <c r="J773" s="1">
        <v>1</v>
      </c>
      <c r="K773" s="1"/>
      <c r="L773" s="1">
        <v>0</v>
      </c>
      <c r="M773" s="1" t="s">
        <v>2555</v>
      </c>
      <c r="N773" s="1" t="s">
        <v>2558</v>
      </c>
    </row>
    <row r="774" spans="1:14" x14ac:dyDescent="0.25">
      <c r="A774" s="1" t="s">
        <v>2785</v>
      </c>
      <c r="B774" s="1">
        <v>773</v>
      </c>
      <c r="C774" s="1" t="s">
        <v>215</v>
      </c>
      <c r="D774" s="1" t="s">
        <v>11100</v>
      </c>
      <c r="E774" s="1" t="s">
        <v>2542</v>
      </c>
      <c r="F774" s="1" t="s">
        <v>2545</v>
      </c>
      <c r="G774" s="1" t="s">
        <v>16570</v>
      </c>
      <c r="H774" s="1">
        <v>41.9</v>
      </c>
      <c r="I774" s="1">
        <v>0</v>
      </c>
      <c r="J774" s="1">
        <v>1</v>
      </c>
      <c r="K774" s="1"/>
      <c r="L774" s="1">
        <v>0</v>
      </c>
      <c r="M774" s="1" t="s">
        <v>2555</v>
      </c>
      <c r="N774" s="1" t="s">
        <v>2560</v>
      </c>
    </row>
    <row r="775" spans="1:14" x14ac:dyDescent="0.25">
      <c r="A775" s="1" t="s">
        <v>2787</v>
      </c>
      <c r="B775" s="1">
        <v>774</v>
      </c>
      <c r="C775" s="1" t="s">
        <v>215</v>
      </c>
      <c r="D775" s="1" t="s">
        <v>11100</v>
      </c>
      <c r="E775" s="1" t="s">
        <v>2542</v>
      </c>
      <c r="F775" s="1" t="s">
        <v>2545</v>
      </c>
      <c r="G775" s="1" t="s">
        <v>16570</v>
      </c>
      <c r="H775" s="1">
        <v>41.9</v>
      </c>
      <c r="I775" s="1">
        <v>0</v>
      </c>
      <c r="J775" s="1">
        <v>1</v>
      </c>
      <c r="K775" s="1"/>
      <c r="L775" s="1">
        <v>0</v>
      </c>
      <c r="M775" s="1" t="s">
        <v>2562</v>
      </c>
      <c r="N775" s="1" t="s">
        <v>2563</v>
      </c>
    </row>
    <row r="776" spans="1:14" x14ac:dyDescent="0.25">
      <c r="A776" s="1" t="s">
        <v>2789</v>
      </c>
      <c r="B776" s="1">
        <v>775</v>
      </c>
      <c r="C776" s="1" t="s">
        <v>215</v>
      </c>
      <c r="D776" s="1" t="s">
        <v>11100</v>
      </c>
      <c r="E776" s="1" t="s">
        <v>2542</v>
      </c>
      <c r="F776" s="1" t="s">
        <v>2545</v>
      </c>
      <c r="G776" s="1" t="s">
        <v>16570</v>
      </c>
      <c r="H776" s="1">
        <v>41.9</v>
      </c>
      <c r="I776" s="1">
        <v>0</v>
      </c>
      <c r="J776" s="1">
        <v>1</v>
      </c>
      <c r="K776" s="1"/>
      <c r="L776" s="1">
        <v>0</v>
      </c>
      <c r="M776" s="1" t="s">
        <v>2562</v>
      </c>
      <c r="N776" s="1" t="s">
        <v>2565</v>
      </c>
    </row>
    <row r="777" spans="1:14" x14ac:dyDescent="0.25">
      <c r="A777" s="1" t="s">
        <v>2791</v>
      </c>
      <c r="B777" s="1">
        <v>776</v>
      </c>
      <c r="C777" s="1" t="s">
        <v>215</v>
      </c>
      <c r="D777" s="1" t="s">
        <v>11100</v>
      </c>
      <c r="E777" s="1" t="s">
        <v>2542</v>
      </c>
      <c r="F777" s="1" t="s">
        <v>2545</v>
      </c>
      <c r="G777" s="1" t="s">
        <v>16570</v>
      </c>
      <c r="H777" s="1">
        <v>41.9</v>
      </c>
      <c r="I777" s="1">
        <v>0</v>
      </c>
      <c r="J777" s="1">
        <v>1</v>
      </c>
      <c r="K777" s="1"/>
      <c r="L777" s="1">
        <v>0</v>
      </c>
      <c r="M777" s="1" t="s">
        <v>2567</v>
      </c>
      <c r="N777" s="1" t="s">
        <v>2568</v>
      </c>
    </row>
    <row r="778" spans="1:14" x14ac:dyDescent="0.25">
      <c r="A778" s="1" t="s">
        <v>2794</v>
      </c>
      <c r="B778" s="1">
        <v>777</v>
      </c>
      <c r="C778" s="1" t="s">
        <v>215</v>
      </c>
      <c r="D778" s="1" t="s">
        <v>11100</v>
      </c>
      <c r="E778" s="1" t="s">
        <v>2542</v>
      </c>
      <c r="F778" s="1" t="s">
        <v>2545</v>
      </c>
      <c r="G778" s="1" t="s">
        <v>16570</v>
      </c>
      <c r="H778" s="1">
        <v>41.9</v>
      </c>
      <c r="I778" s="1">
        <v>0</v>
      </c>
      <c r="J778" s="1">
        <v>1</v>
      </c>
      <c r="K778" s="1"/>
      <c r="L778" s="1">
        <v>0</v>
      </c>
      <c r="M778" s="1" t="s">
        <v>2567</v>
      </c>
      <c r="N778" s="1" t="s">
        <v>2570</v>
      </c>
    </row>
    <row r="779" spans="1:14" x14ac:dyDescent="0.25">
      <c r="A779" s="1" t="s">
        <v>2796</v>
      </c>
      <c r="B779" s="1">
        <v>778</v>
      </c>
      <c r="C779" s="1" t="s">
        <v>215</v>
      </c>
      <c r="D779" s="1" t="s">
        <v>11100</v>
      </c>
      <c r="E779" s="1" t="s">
        <v>2542</v>
      </c>
      <c r="F779" s="1" t="s">
        <v>2545</v>
      </c>
      <c r="G779" s="1" t="s">
        <v>16570</v>
      </c>
      <c r="H779" s="1">
        <v>41.9</v>
      </c>
      <c r="I779" s="1">
        <v>0</v>
      </c>
      <c r="J779" s="1">
        <v>1</v>
      </c>
      <c r="K779" s="1"/>
      <c r="L779" s="1">
        <v>0</v>
      </c>
      <c r="M779" s="1" t="s">
        <v>2567</v>
      </c>
      <c r="N779" s="1" t="s">
        <v>2572</v>
      </c>
    </row>
    <row r="780" spans="1:14" x14ac:dyDescent="0.25">
      <c r="A780" s="1" t="s">
        <v>5871</v>
      </c>
      <c r="B780" s="1">
        <v>779</v>
      </c>
      <c r="C780" s="1" t="s">
        <v>215</v>
      </c>
      <c r="D780" s="1" t="s">
        <v>11100</v>
      </c>
      <c r="E780" s="1" t="s">
        <v>2542</v>
      </c>
      <c r="F780" s="1" t="s">
        <v>2545</v>
      </c>
      <c r="G780" s="1" t="s">
        <v>16570</v>
      </c>
      <c r="H780" s="1">
        <v>41.9</v>
      </c>
      <c r="I780" s="1">
        <v>0</v>
      </c>
      <c r="J780" s="1">
        <v>1</v>
      </c>
      <c r="K780" s="1"/>
      <c r="L780" s="1">
        <v>0</v>
      </c>
      <c r="M780" s="1" t="s">
        <v>2567</v>
      </c>
      <c r="N780" s="1" t="s">
        <v>2574</v>
      </c>
    </row>
    <row r="781" spans="1:14" x14ac:dyDescent="0.25">
      <c r="A781" s="1" t="s">
        <v>5872</v>
      </c>
      <c r="B781" s="1">
        <v>780</v>
      </c>
      <c r="C781" s="1" t="s">
        <v>215</v>
      </c>
      <c r="D781" s="1" t="s">
        <v>11100</v>
      </c>
      <c r="E781" s="1" t="s">
        <v>2542</v>
      </c>
      <c r="F781" s="1" t="s">
        <v>2545</v>
      </c>
      <c r="G781" s="1" t="s">
        <v>16570</v>
      </c>
      <c r="H781" s="1">
        <v>41.9</v>
      </c>
      <c r="I781" s="1">
        <v>0</v>
      </c>
      <c r="J781" s="1">
        <v>1</v>
      </c>
      <c r="K781" s="1"/>
      <c r="L781" s="1">
        <v>0</v>
      </c>
      <c r="M781" s="1" t="s">
        <v>2576</v>
      </c>
      <c r="N781" s="1" t="s">
        <v>2577</v>
      </c>
    </row>
    <row r="782" spans="1:14" x14ac:dyDescent="0.25">
      <c r="A782" s="1" t="s">
        <v>5873</v>
      </c>
      <c r="B782" s="1">
        <v>781</v>
      </c>
      <c r="C782" s="1" t="s">
        <v>215</v>
      </c>
      <c r="D782" s="1" t="s">
        <v>11100</v>
      </c>
      <c r="E782" s="1" t="s">
        <v>2542</v>
      </c>
      <c r="F782" s="1" t="s">
        <v>2545</v>
      </c>
      <c r="G782" s="1" t="s">
        <v>16570</v>
      </c>
      <c r="H782" s="1">
        <v>41.9</v>
      </c>
      <c r="I782" s="1">
        <v>0</v>
      </c>
      <c r="J782" s="1">
        <v>1</v>
      </c>
      <c r="K782" s="1"/>
      <c r="L782" s="1">
        <v>0</v>
      </c>
      <c r="M782" s="1" t="s">
        <v>2576</v>
      </c>
      <c r="N782" s="1" t="s">
        <v>2579</v>
      </c>
    </row>
    <row r="783" spans="1:14" x14ac:dyDescent="0.25">
      <c r="A783" s="1" t="s">
        <v>5874</v>
      </c>
      <c r="B783" s="1">
        <v>782</v>
      </c>
      <c r="C783" s="1" t="s">
        <v>215</v>
      </c>
      <c r="D783" s="1" t="s">
        <v>11100</v>
      </c>
      <c r="E783" s="1" t="s">
        <v>2542</v>
      </c>
      <c r="F783" s="1" t="s">
        <v>2545</v>
      </c>
      <c r="G783" s="1" t="s">
        <v>16570</v>
      </c>
      <c r="H783" s="1">
        <v>41.9</v>
      </c>
      <c r="I783" s="1">
        <v>0</v>
      </c>
      <c r="J783" s="1">
        <v>1</v>
      </c>
      <c r="K783" s="1"/>
      <c r="L783" s="1">
        <v>0</v>
      </c>
      <c r="M783" s="1" t="s">
        <v>2576</v>
      </c>
      <c r="N783" s="1" t="s">
        <v>2581</v>
      </c>
    </row>
    <row r="784" spans="1:14" x14ac:dyDescent="0.25">
      <c r="A784" s="1" t="s">
        <v>5875</v>
      </c>
      <c r="B784" s="1">
        <v>783</v>
      </c>
      <c r="C784" s="1" t="s">
        <v>215</v>
      </c>
      <c r="D784" s="1" t="s">
        <v>11100</v>
      </c>
      <c r="E784" s="1" t="s">
        <v>2542</v>
      </c>
      <c r="F784" s="1" t="s">
        <v>2545</v>
      </c>
      <c r="G784" s="1" t="s">
        <v>16570</v>
      </c>
      <c r="H784" s="1">
        <v>41.9</v>
      </c>
      <c r="I784" s="1">
        <v>0</v>
      </c>
      <c r="J784" s="1">
        <v>1</v>
      </c>
      <c r="K784" s="1"/>
      <c r="L784" s="1">
        <v>0</v>
      </c>
      <c r="M784" s="1" t="s">
        <v>2576</v>
      </c>
      <c r="N784" s="1" t="s">
        <v>2583</v>
      </c>
    </row>
    <row r="785" spans="1:14" x14ac:dyDescent="0.25">
      <c r="A785" s="1" t="s">
        <v>5876</v>
      </c>
      <c r="B785" s="1">
        <v>784</v>
      </c>
      <c r="C785" s="1" t="s">
        <v>215</v>
      </c>
      <c r="D785" s="1" t="s">
        <v>11100</v>
      </c>
      <c r="E785" s="1" t="s">
        <v>2542</v>
      </c>
      <c r="F785" s="1" t="s">
        <v>2545</v>
      </c>
      <c r="G785" s="1" t="s">
        <v>16570</v>
      </c>
      <c r="H785" s="1">
        <v>41.9</v>
      </c>
      <c r="I785" s="1">
        <v>0</v>
      </c>
      <c r="J785" s="1">
        <v>1</v>
      </c>
      <c r="K785" s="1"/>
      <c r="L785" s="1">
        <v>0</v>
      </c>
      <c r="M785" s="1" t="s">
        <v>2585</v>
      </c>
      <c r="N785" s="1" t="s">
        <v>2586</v>
      </c>
    </row>
    <row r="786" spans="1:14" x14ac:dyDescent="0.25">
      <c r="A786" s="1" t="s">
        <v>5877</v>
      </c>
      <c r="B786" s="1">
        <v>785</v>
      </c>
      <c r="C786" s="1" t="s">
        <v>215</v>
      </c>
      <c r="D786" s="1" t="s">
        <v>11100</v>
      </c>
      <c r="E786" s="1" t="s">
        <v>2542</v>
      </c>
      <c r="F786" s="1" t="s">
        <v>2545</v>
      </c>
      <c r="G786" s="1" t="s">
        <v>16570</v>
      </c>
      <c r="H786" s="1">
        <v>41.9</v>
      </c>
      <c r="I786" s="1">
        <v>0</v>
      </c>
      <c r="J786" s="1">
        <v>1</v>
      </c>
      <c r="K786" s="1"/>
      <c r="L786" s="1">
        <v>0</v>
      </c>
      <c r="M786" s="1" t="s">
        <v>2585</v>
      </c>
      <c r="N786" s="1" t="s">
        <v>2588</v>
      </c>
    </row>
    <row r="787" spans="1:14" x14ac:dyDescent="0.25">
      <c r="A787" s="1" t="s">
        <v>16410</v>
      </c>
      <c r="B787" s="1">
        <v>786</v>
      </c>
      <c r="C787" s="1" t="s">
        <v>215</v>
      </c>
      <c r="D787" s="1" t="s">
        <v>11100</v>
      </c>
      <c r="E787" s="1" t="s">
        <v>2542</v>
      </c>
      <c r="F787" s="1" t="s">
        <v>2545</v>
      </c>
      <c r="G787" s="1" t="s">
        <v>16570</v>
      </c>
      <c r="H787" s="1">
        <v>41.9</v>
      </c>
      <c r="I787" s="1">
        <v>0</v>
      </c>
      <c r="J787" s="1">
        <v>1</v>
      </c>
      <c r="K787" s="1"/>
      <c r="L787" s="1">
        <v>0</v>
      </c>
      <c r="M787" s="1" t="s">
        <v>2585</v>
      </c>
      <c r="N787" s="1" t="s">
        <v>2590</v>
      </c>
    </row>
    <row r="788" spans="1:14" x14ac:dyDescent="0.25">
      <c r="A788" s="1" t="s">
        <v>16411</v>
      </c>
      <c r="B788" s="1">
        <v>787</v>
      </c>
      <c r="C788" s="1" t="s">
        <v>215</v>
      </c>
      <c r="D788" s="1" t="s">
        <v>11100</v>
      </c>
      <c r="E788" s="1" t="s">
        <v>2542</v>
      </c>
      <c r="F788" s="1" t="s">
        <v>2545</v>
      </c>
      <c r="G788" s="1" t="s">
        <v>16570</v>
      </c>
      <c r="H788" s="1">
        <v>41.9</v>
      </c>
      <c r="I788" s="1">
        <v>0</v>
      </c>
      <c r="J788" s="1">
        <v>1</v>
      </c>
      <c r="K788" s="1"/>
      <c r="L788" s="1">
        <v>0</v>
      </c>
      <c r="M788" s="1" t="s">
        <v>2592</v>
      </c>
      <c r="N788" s="1" t="s">
        <v>2593</v>
      </c>
    </row>
    <row r="789" spans="1:14" x14ac:dyDescent="0.25">
      <c r="A789" s="1" t="s">
        <v>16412</v>
      </c>
      <c r="B789" s="1">
        <v>788</v>
      </c>
      <c r="C789" s="1" t="s">
        <v>215</v>
      </c>
      <c r="D789" s="1" t="s">
        <v>11100</v>
      </c>
      <c r="E789" s="1" t="s">
        <v>2542</v>
      </c>
      <c r="F789" s="1" t="s">
        <v>2545</v>
      </c>
      <c r="G789" s="1" t="s">
        <v>16570</v>
      </c>
      <c r="H789" s="1">
        <v>41.9</v>
      </c>
      <c r="I789" s="1">
        <v>0</v>
      </c>
      <c r="J789" s="1">
        <v>1</v>
      </c>
      <c r="K789" s="1"/>
      <c r="L789" s="1">
        <v>0</v>
      </c>
      <c r="M789" s="1" t="s">
        <v>2592</v>
      </c>
      <c r="N789" s="1" t="s">
        <v>2595</v>
      </c>
    </row>
    <row r="790" spans="1:14" x14ac:dyDescent="0.25">
      <c r="A790" s="1" t="s">
        <v>16413</v>
      </c>
      <c r="B790" s="1">
        <v>789</v>
      </c>
      <c r="C790" s="1" t="s">
        <v>215</v>
      </c>
      <c r="D790" s="1" t="s">
        <v>11100</v>
      </c>
      <c r="E790" s="1" t="s">
        <v>2542</v>
      </c>
      <c r="F790" s="1" t="s">
        <v>2597</v>
      </c>
      <c r="G790" s="1" t="s">
        <v>16572</v>
      </c>
      <c r="H790" s="1">
        <v>41.9</v>
      </c>
      <c r="I790" s="1">
        <v>0</v>
      </c>
      <c r="J790" s="1">
        <v>1</v>
      </c>
      <c r="K790" s="1"/>
      <c r="L790" s="1">
        <v>0</v>
      </c>
      <c r="M790" s="1" t="s">
        <v>2598</v>
      </c>
      <c r="N790" s="1" t="s">
        <v>2599</v>
      </c>
    </row>
    <row r="791" spans="1:14" x14ac:dyDescent="0.25">
      <c r="A791" s="1" t="s">
        <v>16414</v>
      </c>
      <c r="B791" s="1">
        <v>790</v>
      </c>
      <c r="C791" s="1" t="s">
        <v>215</v>
      </c>
      <c r="D791" s="1" t="s">
        <v>11100</v>
      </c>
      <c r="E791" s="1" t="s">
        <v>2542</v>
      </c>
      <c r="F791" s="1" t="s">
        <v>2597</v>
      </c>
      <c r="G791" s="1" t="s">
        <v>16572</v>
      </c>
      <c r="H791" s="1">
        <v>41.9</v>
      </c>
      <c r="I791" s="1">
        <v>0</v>
      </c>
      <c r="J791" s="1">
        <v>1</v>
      </c>
      <c r="K791" s="1"/>
      <c r="L791" s="1">
        <v>0</v>
      </c>
      <c r="M791" s="1" t="s">
        <v>2598</v>
      </c>
      <c r="N791" s="1" t="s">
        <v>2601</v>
      </c>
    </row>
    <row r="792" spans="1:14" x14ac:dyDescent="0.25">
      <c r="A792" s="1" t="s">
        <v>16415</v>
      </c>
      <c r="B792" s="1">
        <v>791</v>
      </c>
      <c r="C792" s="1" t="s">
        <v>215</v>
      </c>
      <c r="D792" s="1" t="s">
        <v>11100</v>
      </c>
      <c r="E792" s="1" t="s">
        <v>2542</v>
      </c>
      <c r="F792" s="1" t="s">
        <v>2597</v>
      </c>
      <c r="G792" s="1" t="s">
        <v>16572</v>
      </c>
      <c r="H792" s="1">
        <v>41.9</v>
      </c>
      <c r="I792" s="1">
        <v>0</v>
      </c>
      <c r="J792" s="1">
        <v>1</v>
      </c>
      <c r="K792" s="1"/>
      <c r="L792" s="1">
        <v>0</v>
      </c>
      <c r="M792" s="1" t="s">
        <v>2598</v>
      </c>
      <c r="N792" s="1" t="s">
        <v>2603</v>
      </c>
    </row>
    <row r="793" spans="1:14" x14ac:dyDescent="0.25">
      <c r="A793" s="1" t="s">
        <v>16416</v>
      </c>
      <c r="B793" s="1">
        <v>792</v>
      </c>
      <c r="C793" s="1" t="s">
        <v>215</v>
      </c>
      <c r="D793" s="1" t="s">
        <v>11100</v>
      </c>
      <c r="E793" s="1" t="s">
        <v>2542</v>
      </c>
      <c r="F793" s="1" t="s">
        <v>2597</v>
      </c>
      <c r="G793" s="1" t="s">
        <v>16572</v>
      </c>
      <c r="H793" s="1">
        <v>41.9</v>
      </c>
      <c r="I793" s="1">
        <v>0</v>
      </c>
      <c r="J793" s="1">
        <v>1</v>
      </c>
      <c r="K793" s="1"/>
      <c r="L793" s="1">
        <v>0</v>
      </c>
      <c r="M793" s="1" t="s">
        <v>2598</v>
      </c>
      <c r="N793" s="1" t="s">
        <v>2605</v>
      </c>
    </row>
    <row r="794" spans="1:14" x14ac:dyDescent="0.25">
      <c r="A794" s="1" t="s">
        <v>16417</v>
      </c>
      <c r="B794" s="1">
        <v>793</v>
      </c>
      <c r="C794" s="1" t="s">
        <v>215</v>
      </c>
      <c r="D794" s="1" t="s">
        <v>11100</v>
      </c>
      <c r="E794" s="1" t="s">
        <v>2542</v>
      </c>
      <c r="F794" s="1" t="s">
        <v>2597</v>
      </c>
      <c r="G794" s="1" t="s">
        <v>16572</v>
      </c>
      <c r="H794" s="1">
        <v>41.9</v>
      </c>
      <c r="I794" s="1">
        <v>0</v>
      </c>
      <c r="J794" s="1">
        <v>1</v>
      </c>
      <c r="K794" s="1"/>
      <c r="L794" s="1">
        <v>0</v>
      </c>
      <c r="M794" s="1" t="s">
        <v>2598</v>
      </c>
      <c r="N794" s="1" t="s">
        <v>2607</v>
      </c>
    </row>
    <row r="795" spans="1:14" x14ac:dyDescent="0.25">
      <c r="A795" s="1" t="s">
        <v>16418</v>
      </c>
      <c r="B795" s="1">
        <v>794</v>
      </c>
      <c r="C795" s="1" t="s">
        <v>215</v>
      </c>
      <c r="D795" s="1" t="s">
        <v>11100</v>
      </c>
      <c r="E795" s="1" t="s">
        <v>2542</v>
      </c>
      <c r="F795" s="1" t="s">
        <v>2597</v>
      </c>
      <c r="G795" s="1" t="s">
        <v>16572</v>
      </c>
      <c r="H795" s="1">
        <v>41.9</v>
      </c>
      <c r="I795" s="1">
        <v>0</v>
      </c>
      <c r="J795" s="1">
        <v>1</v>
      </c>
      <c r="K795" s="1"/>
      <c r="L795" s="1">
        <v>0</v>
      </c>
      <c r="M795" s="1" t="s">
        <v>2598</v>
      </c>
      <c r="N795" s="1" t="s">
        <v>2609</v>
      </c>
    </row>
    <row r="796" spans="1:14" x14ac:dyDescent="0.25">
      <c r="A796" s="1" t="s">
        <v>16419</v>
      </c>
      <c r="B796" s="1">
        <v>795</v>
      </c>
      <c r="C796" s="1" t="s">
        <v>215</v>
      </c>
      <c r="D796" s="1" t="s">
        <v>11100</v>
      </c>
      <c r="E796" s="1" t="s">
        <v>2542</v>
      </c>
      <c r="F796" s="1" t="s">
        <v>2597</v>
      </c>
      <c r="G796" s="1" t="s">
        <v>16572</v>
      </c>
      <c r="H796" s="1">
        <v>41.9</v>
      </c>
      <c r="I796" s="1">
        <v>0</v>
      </c>
      <c r="J796" s="1">
        <v>1</v>
      </c>
      <c r="K796" s="1"/>
      <c r="L796" s="1">
        <v>0</v>
      </c>
      <c r="M796" s="1" t="s">
        <v>2611</v>
      </c>
      <c r="N796" s="1" t="s">
        <v>2612</v>
      </c>
    </row>
    <row r="797" spans="1:14" x14ac:dyDescent="0.25">
      <c r="A797" s="1" t="s">
        <v>16420</v>
      </c>
      <c r="B797" s="1">
        <v>796</v>
      </c>
      <c r="C797" s="1" t="s">
        <v>215</v>
      </c>
      <c r="D797" s="1" t="s">
        <v>11100</v>
      </c>
      <c r="E797" s="1" t="s">
        <v>2542</v>
      </c>
      <c r="F797" s="1" t="s">
        <v>2597</v>
      </c>
      <c r="G797" s="1" t="s">
        <v>16572</v>
      </c>
      <c r="H797" s="1">
        <v>41.9</v>
      </c>
      <c r="I797" s="1">
        <v>0</v>
      </c>
      <c r="J797" s="1">
        <v>1</v>
      </c>
      <c r="K797" s="1"/>
      <c r="L797" s="1">
        <v>0</v>
      </c>
      <c r="M797" s="1" t="s">
        <v>2611</v>
      </c>
      <c r="N797" s="1" t="s">
        <v>2614</v>
      </c>
    </row>
    <row r="798" spans="1:14" x14ac:dyDescent="0.25">
      <c r="A798" s="1" t="s">
        <v>16421</v>
      </c>
      <c r="B798" s="1">
        <v>797</v>
      </c>
      <c r="C798" s="1" t="s">
        <v>215</v>
      </c>
      <c r="D798" s="1" t="s">
        <v>11100</v>
      </c>
      <c r="E798" s="1" t="s">
        <v>2542</v>
      </c>
      <c r="F798" s="1" t="s">
        <v>2597</v>
      </c>
      <c r="G798" s="1" t="s">
        <v>16572</v>
      </c>
      <c r="H798" s="1">
        <v>41.9</v>
      </c>
      <c r="I798" s="1">
        <v>0</v>
      </c>
      <c r="J798" s="1">
        <v>1</v>
      </c>
      <c r="K798" s="1"/>
      <c r="L798" s="1">
        <v>0</v>
      </c>
      <c r="M798" s="1" t="s">
        <v>2611</v>
      </c>
      <c r="N798" s="1" t="s">
        <v>2616</v>
      </c>
    </row>
    <row r="799" spans="1:14" x14ac:dyDescent="0.25">
      <c r="A799" s="1" t="s">
        <v>16422</v>
      </c>
      <c r="B799" s="1">
        <v>798</v>
      </c>
      <c r="C799" s="1" t="s">
        <v>215</v>
      </c>
      <c r="D799" s="1" t="s">
        <v>11100</v>
      </c>
      <c r="E799" s="1" t="s">
        <v>2542</v>
      </c>
      <c r="F799" s="1" t="s">
        <v>2597</v>
      </c>
      <c r="G799" s="1" t="s">
        <v>16572</v>
      </c>
      <c r="H799" s="1">
        <v>41.9</v>
      </c>
      <c r="I799" s="1">
        <v>0</v>
      </c>
      <c r="J799" s="1">
        <v>1</v>
      </c>
      <c r="K799" s="1"/>
      <c r="L799" s="1">
        <v>0</v>
      </c>
      <c r="M799" s="1" t="s">
        <v>2611</v>
      </c>
      <c r="N799" s="1" t="s">
        <v>2618</v>
      </c>
    </row>
    <row r="800" spans="1:14" x14ac:dyDescent="0.25">
      <c r="A800" s="1" t="s">
        <v>16423</v>
      </c>
      <c r="B800" s="1">
        <v>799</v>
      </c>
      <c r="C800" s="1" t="s">
        <v>215</v>
      </c>
      <c r="D800" s="1" t="s">
        <v>11100</v>
      </c>
      <c r="E800" s="1" t="s">
        <v>2542</v>
      </c>
      <c r="F800" s="1" t="s">
        <v>2597</v>
      </c>
      <c r="G800" s="1" t="s">
        <v>16572</v>
      </c>
      <c r="H800" s="1">
        <v>41.9</v>
      </c>
      <c r="I800" s="1">
        <v>0</v>
      </c>
      <c r="J800" s="1">
        <v>1</v>
      </c>
      <c r="K800" s="1"/>
      <c r="L800" s="1">
        <v>0</v>
      </c>
      <c r="M800" s="1" t="s">
        <v>2611</v>
      </c>
      <c r="N800" s="1" t="s">
        <v>2620</v>
      </c>
    </row>
    <row r="801" spans="1:14" x14ac:dyDescent="0.25">
      <c r="A801" s="1" t="s">
        <v>16424</v>
      </c>
      <c r="B801" s="1">
        <v>800</v>
      </c>
      <c r="C801" s="1" t="s">
        <v>215</v>
      </c>
      <c r="D801" s="1" t="s">
        <v>11100</v>
      </c>
      <c r="E801" s="1" t="s">
        <v>2542</v>
      </c>
      <c r="F801" s="1" t="s">
        <v>2597</v>
      </c>
      <c r="G801" s="1" t="s">
        <v>16572</v>
      </c>
      <c r="H801" s="1">
        <v>41.9</v>
      </c>
      <c r="I801" s="1">
        <v>0</v>
      </c>
      <c r="J801" s="1">
        <v>1</v>
      </c>
      <c r="K801" s="1"/>
      <c r="L801" s="1">
        <v>0</v>
      </c>
      <c r="M801" s="1" t="s">
        <v>2611</v>
      </c>
      <c r="N801" s="1" t="s">
        <v>2622</v>
      </c>
    </row>
    <row r="802" spans="1:14" x14ac:dyDescent="0.25">
      <c r="A802" s="1" t="s">
        <v>16425</v>
      </c>
      <c r="B802" s="1">
        <v>801</v>
      </c>
      <c r="C802" s="1" t="s">
        <v>215</v>
      </c>
      <c r="D802" s="1" t="s">
        <v>11100</v>
      </c>
      <c r="E802" s="1" t="s">
        <v>2542</v>
      </c>
      <c r="F802" s="1" t="s">
        <v>2597</v>
      </c>
      <c r="G802" s="1" t="s">
        <v>16572</v>
      </c>
      <c r="H802" s="1">
        <v>41.9</v>
      </c>
      <c r="I802" s="1">
        <v>0</v>
      </c>
      <c r="J802" s="1">
        <v>1</v>
      </c>
      <c r="K802" s="1"/>
      <c r="L802" s="1">
        <v>0</v>
      </c>
      <c r="M802" s="1" t="s">
        <v>2624</v>
      </c>
      <c r="N802" s="1" t="s">
        <v>2625</v>
      </c>
    </row>
    <row r="803" spans="1:14" x14ac:dyDescent="0.25">
      <c r="A803" s="1" t="s">
        <v>16426</v>
      </c>
      <c r="B803" s="1">
        <v>802</v>
      </c>
      <c r="C803" s="1" t="s">
        <v>215</v>
      </c>
      <c r="D803" s="1" t="s">
        <v>11100</v>
      </c>
      <c r="E803" s="1" t="s">
        <v>2542</v>
      </c>
      <c r="F803" s="1" t="s">
        <v>2597</v>
      </c>
      <c r="G803" s="1" t="s">
        <v>16572</v>
      </c>
      <c r="H803" s="1">
        <v>41.9</v>
      </c>
      <c r="I803" s="1">
        <v>0</v>
      </c>
      <c r="J803" s="1">
        <v>1</v>
      </c>
      <c r="K803" s="1"/>
      <c r="L803" s="1">
        <v>0</v>
      </c>
      <c r="M803" s="1" t="s">
        <v>2624</v>
      </c>
      <c r="N803" s="1" t="s">
        <v>2627</v>
      </c>
    </row>
    <row r="804" spans="1:14" x14ac:dyDescent="0.25">
      <c r="A804" s="1" t="s">
        <v>16427</v>
      </c>
      <c r="B804" s="1">
        <v>803</v>
      </c>
      <c r="C804" s="1" t="s">
        <v>215</v>
      </c>
      <c r="D804" s="1" t="s">
        <v>11100</v>
      </c>
      <c r="E804" s="1" t="s">
        <v>2542</v>
      </c>
      <c r="F804" s="1" t="s">
        <v>2597</v>
      </c>
      <c r="G804" s="1" t="s">
        <v>16572</v>
      </c>
      <c r="H804" s="1">
        <v>41.9</v>
      </c>
      <c r="I804" s="1">
        <v>0</v>
      </c>
      <c r="J804" s="1">
        <v>1</v>
      </c>
      <c r="K804" s="1"/>
      <c r="L804" s="1">
        <v>0</v>
      </c>
      <c r="M804" s="1" t="s">
        <v>2624</v>
      </c>
      <c r="N804" s="1" t="s">
        <v>2629</v>
      </c>
    </row>
    <row r="805" spans="1:14" x14ac:dyDescent="0.25">
      <c r="A805" s="1" t="s">
        <v>16428</v>
      </c>
      <c r="B805" s="1">
        <v>804</v>
      </c>
      <c r="C805" s="1" t="s">
        <v>215</v>
      </c>
      <c r="D805" s="1" t="s">
        <v>11100</v>
      </c>
      <c r="E805" s="1" t="s">
        <v>2542</v>
      </c>
      <c r="F805" s="1" t="s">
        <v>2597</v>
      </c>
      <c r="G805" s="1" t="s">
        <v>16572</v>
      </c>
      <c r="H805" s="1">
        <v>41.9</v>
      </c>
      <c r="I805" s="1">
        <v>0</v>
      </c>
      <c r="J805" s="1">
        <v>1</v>
      </c>
      <c r="K805" s="1"/>
      <c r="L805" s="1">
        <v>0</v>
      </c>
      <c r="M805" s="1" t="s">
        <v>2631</v>
      </c>
      <c r="N805" s="1" t="s">
        <v>2632</v>
      </c>
    </row>
    <row r="806" spans="1:14" x14ac:dyDescent="0.25">
      <c r="A806" s="1" t="s">
        <v>16429</v>
      </c>
      <c r="B806" s="1">
        <v>805</v>
      </c>
      <c r="C806" s="1" t="s">
        <v>215</v>
      </c>
      <c r="D806" s="1" t="s">
        <v>11100</v>
      </c>
      <c r="E806" s="1" t="s">
        <v>2542</v>
      </c>
      <c r="F806" s="1" t="s">
        <v>2597</v>
      </c>
      <c r="G806" s="1" t="s">
        <v>16572</v>
      </c>
      <c r="H806" s="1">
        <v>41.9</v>
      </c>
      <c r="I806" s="1">
        <v>0</v>
      </c>
      <c r="J806" s="1">
        <v>1</v>
      </c>
      <c r="K806" s="1"/>
      <c r="L806" s="1">
        <v>0</v>
      </c>
      <c r="M806" s="1" t="s">
        <v>2631</v>
      </c>
      <c r="N806" s="1" t="s">
        <v>2634</v>
      </c>
    </row>
    <row r="807" spans="1:14" x14ac:dyDescent="0.25">
      <c r="A807" s="1" t="s">
        <v>16430</v>
      </c>
      <c r="B807" s="1">
        <v>806</v>
      </c>
      <c r="C807" s="1" t="s">
        <v>215</v>
      </c>
      <c r="D807" s="1" t="s">
        <v>11100</v>
      </c>
      <c r="E807" s="1" t="s">
        <v>2542</v>
      </c>
      <c r="F807" s="1" t="s">
        <v>2597</v>
      </c>
      <c r="G807" s="1" t="s">
        <v>16572</v>
      </c>
      <c r="H807" s="1">
        <v>41.9</v>
      </c>
      <c r="I807" s="1">
        <v>0</v>
      </c>
      <c r="J807" s="1">
        <v>1</v>
      </c>
      <c r="K807" s="1"/>
      <c r="L807" s="1">
        <v>0</v>
      </c>
      <c r="M807" s="1" t="s">
        <v>2636</v>
      </c>
      <c r="N807" s="1" t="s">
        <v>2637</v>
      </c>
    </row>
    <row r="808" spans="1:14" x14ac:dyDescent="0.25">
      <c r="A808" s="1" t="s">
        <v>16431</v>
      </c>
      <c r="B808" s="1">
        <v>807</v>
      </c>
      <c r="C808" s="1" t="s">
        <v>215</v>
      </c>
      <c r="D808" s="1" t="s">
        <v>11100</v>
      </c>
      <c r="E808" s="1" t="s">
        <v>2542</v>
      </c>
      <c r="F808" s="1" t="s">
        <v>2597</v>
      </c>
      <c r="G808" s="1" t="s">
        <v>16572</v>
      </c>
      <c r="H808" s="1">
        <v>41.9</v>
      </c>
      <c r="I808" s="1">
        <v>0</v>
      </c>
      <c r="J808" s="1">
        <v>1</v>
      </c>
      <c r="K808" s="1"/>
      <c r="L808" s="1">
        <v>0</v>
      </c>
      <c r="M808" s="1" t="s">
        <v>2639</v>
      </c>
      <c r="N808" s="1" t="s">
        <v>2640</v>
      </c>
    </row>
    <row r="809" spans="1:14" x14ac:dyDescent="0.25">
      <c r="A809" s="1" t="s">
        <v>16432</v>
      </c>
      <c r="B809" s="1">
        <v>808</v>
      </c>
      <c r="C809" s="1" t="s">
        <v>215</v>
      </c>
      <c r="D809" s="1" t="s">
        <v>11100</v>
      </c>
      <c r="E809" s="1" t="s">
        <v>2542</v>
      </c>
      <c r="F809" s="1" t="s">
        <v>2597</v>
      </c>
      <c r="G809" s="1" t="s">
        <v>16572</v>
      </c>
      <c r="H809" s="1">
        <v>41.9</v>
      </c>
      <c r="I809" s="1">
        <v>0</v>
      </c>
      <c r="J809" s="1">
        <v>1</v>
      </c>
      <c r="K809" s="1"/>
      <c r="L809" s="1">
        <v>0</v>
      </c>
      <c r="M809" s="1" t="s">
        <v>2639</v>
      </c>
      <c r="N809" s="1" t="s">
        <v>2642</v>
      </c>
    </row>
    <row r="810" spans="1:14" x14ac:dyDescent="0.25">
      <c r="A810" s="1" t="s">
        <v>16433</v>
      </c>
      <c r="B810" s="1">
        <v>809</v>
      </c>
      <c r="C810" s="1" t="s">
        <v>215</v>
      </c>
      <c r="D810" s="1" t="s">
        <v>11100</v>
      </c>
      <c r="E810" s="1" t="s">
        <v>2542</v>
      </c>
      <c r="F810" s="1" t="s">
        <v>2597</v>
      </c>
      <c r="G810" s="1" t="s">
        <v>16572</v>
      </c>
      <c r="H810" s="1">
        <v>41.9</v>
      </c>
      <c r="I810" s="1">
        <v>0</v>
      </c>
      <c r="J810" s="1">
        <v>1</v>
      </c>
      <c r="K810" s="1"/>
      <c r="L810" s="1">
        <v>0</v>
      </c>
      <c r="M810" s="1" t="s">
        <v>2639</v>
      </c>
      <c r="N810" s="1" t="s">
        <v>2644</v>
      </c>
    </row>
    <row r="811" spans="1:14" s="16" customFormat="1" x14ac:dyDescent="0.25">
      <c r="A811" s="1" t="s">
        <v>16434</v>
      </c>
      <c r="B811" s="1">
        <v>810</v>
      </c>
      <c r="C811" s="1" t="s">
        <v>215</v>
      </c>
      <c r="D811" s="1" t="s">
        <v>11100</v>
      </c>
      <c r="E811" s="1" t="s">
        <v>2542</v>
      </c>
      <c r="F811" s="1" t="s">
        <v>2597</v>
      </c>
      <c r="G811" s="1" t="s">
        <v>16572</v>
      </c>
      <c r="H811" s="1">
        <v>41.9</v>
      </c>
      <c r="I811" s="1">
        <v>0</v>
      </c>
      <c r="J811" s="1">
        <v>1</v>
      </c>
      <c r="K811" s="1"/>
      <c r="L811" s="1">
        <v>0</v>
      </c>
      <c r="M811" s="1" t="s">
        <v>2646</v>
      </c>
      <c r="N811" s="1" t="s">
        <v>2647</v>
      </c>
    </row>
    <row r="812" spans="1:14" s="1" customFormat="1" x14ac:dyDescent="0.25">
      <c r="A812" s="1" t="s">
        <v>16435</v>
      </c>
      <c r="B812" s="1">
        <v>811</v>
      </c>
      <c r="C812" s="1" t="s">
        <v>215</v>
      </c>
      <c r="D812" s="1" t="s">
        <v>11100</v>
      </c>
      <c r="E812" s="1" t="s">
        <v>2542</v>
      </c>
      <c r="F812" s="1" t="s">
        <v>2597</v>
      </c>
      <c r="G812" s="1" t="s">
        <v>16572</v>
      </c>
      <c r="H812" s="1">
        <v>41.9</v>
      </c>
      <c r="I812" s="1">
        <v>0</v>
      </c>
      <c r="J812" s="1">
        <v>1</v>
      </c>
      <c r="L812" s="1">
        <v>0</v>
      </c>
      <c r="M812" s="1" t="s">
        <v>15586</v>
      </c>
      <c r="N812" s="1" t="s">
        <v>15586</v>
      </c>
    </row>
    <row r="813" spans="1:14" s="1" customFormat="1" x14ac:dyDescent="0.25">
      <c r="A813" s="1" t="s">
        <v>16436</v>
      </c>
      <c r="B813" s="1">
        <v>812</v>
      </c>
      <c r="C813" s="1" t="s">
        <v>215</v>
      </c>
      <c r="D813" s="1" t="s">
        <v>11100</v>
      </c>
      <c r="E813" s="1" t="s">
        <v>2542</v>
      </c>
      <c r="F813" s="1" t="s">
        <v>2597</v>
      </c>
      <c r="G813" s="1" t="s">
        <v>16572</v>
      </c>
      <c r="H813" s="1">
        <v>41.9</v>
      </c>
      <c r="I813" s="1">
        <v>0</v>
      </c>
      <c r="J813" s="1">
        <v>1</v>
      </c>
      <c r="L813" s="1">
        <v>0</v>
      </c>
      <c r="M813" s="1" t="s">
        <v>15602</v>
      </c>
      <c r="N813" s="1" t="s">
        <v>15602</v>
      </c>
    </row>
    <row r="814" spans="1:14" x14ac:dyDescent="0.25">
      <c r="A814" s="1" t="s">
        <v>16437</v>
      </c>
      <c r="B814" s="1">
        <v>813</v>
      </c>
      <c r="C814" s="1" t="s">
        <v>215</v>
      </c>
      <c r="D814" s="1" t="s">
        <v>11100</v>
      </c>
      <c r="E814" s="1" t="s">
        <v>2542</v>
      </c>
      <c r="F814" s="1" t="s">
        <v>2649</v>
      </c>
      <c r="G814" s="1" t="s">
        <v>16573</v>
      </c>
      <c r="H814" s="1">
        <v>41.9</v>
      </c>
      <c r="I814" s="1">
        <v>0</v>
      </c>
      <c r="J814" s="1">
        <v>1</v>
      </c>
      <c r="K814" s="1"/>
      <c r="L814" s="1">
        <v>0</v>
      </c>
      <c r="M814" s="1" t="s">
        <v>2650</v>
      </c>
      <c r="N814" s="1" t="s">
        <v>2651</v>
      </c>
    </row>
    <row r="815" spans="1:14" x14ac:dyDescent="0.25">
      <c r="A815" s="1" t="s">
        <v>16438</v>
      </c>
      <c r="B815" s="1">
        <v>814</v>
      </c>
      <c r="C815" s="1" t="s">
        <v>215</v>
      </c>
      <c r="D815" s="1" t="s">
        <v>11100</v>
      </c>
      <c r="E815" s="1" t="s">
        <v>2542</v>
      </c>
      <c r="F815" s="1" t="s">
        <v>2649</v>
      </c>
      <c r="G815" s="1" t="s">
        <v>16573</v>
      </c>
      <c r="H815" s="1">
        <v>41.9</v>
      </c>
      <c r="I815" s="1">
        <v>0</v>
      </c>
      <c r="J815" s="1">
        <v>1</v>
      </c>
      <c r="K815" s="1"/>
      <c r="L815" s="1">
        <v>0</v>
      </c>
      <c r="M815" s="1" t="s">
        <v>2650</v>
      </c>
      <c r="N815" s="1" t="s">
        <v>2653</v>
      </c>
    </row>
    <row r="816" spans="1:14" x14ac:dyDescent="0.25">
      <c r="A816" s="1" t="s">
        <v>16439</v>
      </c>
      <c r="B816" s="1">
        <v>815</v>
      </c>
      <c r="C816" s="1" t="s">
        <v>215</v>
      </c>
      <c r="D816" s="1" t="s">
        <v>11100</v>
      </c>
      <c r="E816" s="1" t="s">
        <v>2542</v>
      </c>
      <c r="F816" s="1" t="s">
        <v>2649</v>
      </c>
      <c r="G816" s="1" t="s">
        <v>16573</v>
      </c>
      <c r="H816" s="1">
        <v>41.9</v>
      </c>
      <c r="I816" s="1">
        <v>0</v>
      </c>
      <c r="J816" s="1">
        <v>1</v>
      </c>
      <c r="K816" s="1"/>
      <c r="L816" s="1">
        <v>0</v>
      </c>
      <c r="M816" s="1" t="s">
        <v>2650</v>
      </c>
      <c r="N816" s="1" t="s">
        <v>2655</v>
      </c>
    </row>
    <row r="817" spans="1:14" x14ac:dyDescent="0.25">
      <c r="A817" s="1" t="s">
        <v>16440</v>
      </c>
      <c r="B817" s="1">
        <v>816</v>
      </c>
      <c r="C817" s="1" t="s">
        <v>215</v>
      </c>
      <c r="D817" s="1" t="s">
        <v>11100</v>
      </c>
      <c r="E817" s="1" t="s">
        <v>2542</v>
      </c>
      <c r="F817" s="1" t="s">
        <v>2649</v>
      </c>
      <c r="G817" s="1" t="s">
        <v>16573</v>
      </c>
      <c r="H817" s="1">
        <v>41.9</v>
      </c>
      <c r="I817" s="1">
        <v>0</v>
      </c>
      <c r="J817" s="1">
        <v>1</v>
      </c>
      <c r="K817" s="1"/>
      <c r="L817" s="1">
        <v>0</v>
      </c>
      <c r="M817" s="1" t="s">
        <v>2650</v>
      </c>
      <c r="N817" s="1" t="s">
        <v>2657</v>
      </c>
    </row>
    <row r="818" spans="1:14" x14ac:dyDescent="0.25">
      <c r="A818" s="1" t="s">
        <v>16441</v>
      </c>
      <c r="B818" s="1">
        <v>817</v>
      </c>
      <c r="C818" s="1" t="s">
        <v>215</v>
      </c>
      <c r="D818" s="1" t="s">
        <v>11100</v>
      </c>
      <c r="E818" s="1" t="s">
        <v>2542</v>
      </c>
      <c r="F818" s="1" t="s">
        <v>2649</v>
      </c>
      <c r="G818" s="1" t="s">
        <v>16573</v>
      </c>
      <c r="H818" s="1">
        <v>41.9</v>
      </c>
      <c r="I818" s="1">
        <v>0</v>
      </c>
      <c r="J818" s="1">
        <v>1</v>
      </c>
      <c r="K818" s="1"/>
      <c r="L818" s="1">
        <v>0</v>
      </c>
      <c r="M818" s="1" t="s">
        <v>2650</v>
      </c>
      <c r="N818" s="1" t="s">
        <v>2659</v>
      </c>
    </row>
    <row r="819" spans="1:14" x14ac:dyDescent="0.25">
      <c r="A819" s="1" t="s">
        <v>16442</v>
      </c>
      <c r="B819" s="1">
        <v>818</v>
      </c>
      <c r="C819" s="1" t="s">
        <v>215</v>
      </c>
      <c r="D819" s="1" t="s">
        <v>11100</v>
      </c>
      <c r="E819" s="1" t="s">
        <v>2542</v>
      </c>
      <c r="F819" s="1" t="s">
        <v>2649</v>
      </c>
      <c r="G819" s="1" t="s">
        <v>16573</v>
      </c>
      <c r="H819" s="1">
        <v>41.9</v>
      </c>
      <c r="I819" s="1">
        <v>0</v>
      </c>
      <c r="J819" s="1">
        <v>1</v>
      </c>
      <c r="K819" s="1"/>
      <c r="L819" s="1">
        <v>0</v>
      </c>
      <c r="M819" s="1" t="s">
        <v>2650</v>
      </c>
      <c r="N819" s="1" t="s">
        <v>2661</v>
      </c>
    </row>
    <row r="820" spans="1:14" x14ac:dyDescent="0.25">
      <c r="A820" s="1" t="s">
        <v>16443</v>
      </c>
      <c r="B820" s="1">
        <v>819</v>
      </c>
      <c r="C820" s="1" t="s">
        <v>215</v>
      </c>
      <c r="D820" s="1" t="s">
        <v>11100</v>
      </c>
      <c r="E820" s="1" t="s">
        <v>2542</v>
      </c>
      <c r="F820" s="1" t="s">
        <v>2649</v>
      </c>
      <c r="G820" s="1" t="s">
        <v>16573</v>
      </c>
      <c r="H820" s="1">
        <v>41.9</v>
      </c>
      <c r="I820" s="1">
        <v>0</v>
      </c>
      <c r="J820" s="1">
        <v>1</v>
      </c>
      <c r="K820" s="1"/>
      <c r="L820" s="1">
        <v>0</v>
      </c>
      <c r="M820" s="1" t="s">
        <v>2663</v>
      </c>
      <c r="N820" s="1" t="s">
        <v>2664</v>
      </c>
    </row>
    <row r="821" spans="1:14" x14ac:dyDescent="0.25">
      <c r="A821" s="1" t="s">
        <v>16444</v>
      </c>
      <c r="B821" s="1">
        <v>820</v>
      </c>
      <c r="C821" s="1" t="s">
        <v>215</v>
      </c>
      <c r="D821" s="1" t="s">
        <v>11100</v>
      </c>
      <c r="E821" s="1" t="s">
        <v>2542</v>
      </c>
      <c r="F821" s="1" t="s">
        <v>2649</v>
      </c>
      <c r="G821" s="1" t="s">
        <v>16573</v>
      </c>
      <c r="H821" s="1">
        <v>41.9</v>
      </c>
      <c r="I821" s="1">
        <v>0</v>
      </c>
      <c r="J821" s="1">
        <v>1</v>
      </c>
      <c r="K821" s="1"/>
      <c r="L821" s="1">
        <v>0</v>
      </c>
      <c r="M821" s="1" t="s">
        <v>2666</v>
      </c>
      <c r="N821" s="1" t="s">
        <v>2667</v>
      </c>
    </row>
    <row r="822" spans="1:14" x14ac:dyDescent="0.25">
      <c r="A822" s="1" t="s">
        <v>16445</v>
      </c>
      <c r="B822" s="1">
        <v>821</v>
      </c>
      <c r="C822" s="1" t="s">
        <v>215</v>
      </c>
      <c r="D822" s="1" t="s">
        <v>11100</v>
      </c>
      <c r="E822" s="1" t="s">
        <v>2542</v>
      </c>
      <c r="F822" s="1" t="s">
        <v>2649</v>
      </c>
      <c r="G822" s="1" t="s">
        <v>16573</v>
      </c>
      <c r="H822" s="1">
        <v>41.9</v>
      </c>
      <c r="I822" s="1">
        <v>0</v>
      </c>
      <c r="J822" s="1">
        <v>1</v>
      </c>
      <c r="K822" s="1"/>
      <c r="L822" s="1">
        <v>0</v>
      </c>
      <c r="M822" s="1" t="s">
        <v>2666</v>
      </c>
      <c r="N822" s="1" t="s">
        <v>2669</v>
      </c>
    </row>
    <row r="823" spans="1:14" x14ac:dyDescent="0.25">
      <c r="A823" s="1" t="s">
        <v>16446</v>
      </c>
      <c r="B823" s="1">
        <v>822</v>
      </c>
      <c r="C823" s="1" t="s">
        <v>215</v>
      </c>
      <c r="D823" s="1" t="s">
        <v>11100</v>
      </c>
      <c r="E823" s="1" t="s">
        <v>2542</v>
      </c>
      <c r="F823" s="1" t="s">
        <v>2649</v>
      </c>
      <c r="G823" s="1" t="s">
        <v>16573</v>
      </c>
      <c r="H823" s="1">
        <v>41.9</v>
      </c>
      <c r="I823" s="1">
        <v>0</v>
      </c>
      <c r="J823" s="1">
        <v>1</v>
      </c>
      <c r="K823" s="1"/>
      <c r="L823" s="1">
        <v>0</v>
      </c>
      <c r="M823" s="1" t="s">
        <v>2666</v>
      </c>
      <c r="N823" s="1" t="s">
        <v>2671</v>
      </c>
    </row>
    <row r="824" spans="1:14" x14ac:dyDescent="0.25">
      <c r="A824" s="1" t="s">
        <v>16447</v>
      </c>
      <c r="B824" s="1">
        <v>823</v>
      </c>
      <c r="C824" s="1" t="s">
        <v>215</v>
      </c>
      <c r="D824" s="1" t="s">
        <v>11100</v>
      </c>
      <c r="E824" s="1" t="s">
        <v>2542</v>
      </c>
      <c r="F824" s="1" t="s">
        <v>2649</v>
      </c>
      <c r="G824" s="1" t="s">
        <v>16573</v>
      </c>
      <c r="H824" s="1">
        <v>41.9</v>
      </c>
      <c r="I824" s="1">
        <v>0</v>
      </c>
      <c r="J824" s="1">
        <v>1</v>
      </c>
      <c r="K824" s="1"/>
      <c r="L824" s="1">
        <v>0</v>
      </c>
      <c r="M824" s="1" t="s">
        <v>2666</v>
      </c>
      <c r="N824" s="1" t="s">
        <v>2673</v>
      </c>
    </row>
    <row r="825" spans="1:14" x14ac:dyDescent="0.25">
      <c r="A825" s="1" t="s">
        <v>16448</v>
      </c>
      <c r="B825" s="1">
        <v>824</v>
      </c>
      <c r="C825" s="1" t="s">
        <v>215</v>
      </c>
      <c r="D825" s="1" t="s">
        <v>11100</v>
      </c>
      <c r="E825" s="1" t="s">
        <v>2542</v>
      </c>
      <c r="F825" s="1" t="s">
        <v>2649</v>
      </c>
      <c r="G825" s="1" t="s">
        <v>16573</v>
      </c>
      <c r="H825" s="1">
        <v>41.9</v>
      </c>
      <c r="I825" s="1">
        <v>0</v>
      </c>
      <c r="J825" s="1">
        <v>1</v>
      </c>
      <c r="K825" s="1"/>
      <c r="L825" s="1">
        <v>0</v>
      </c>
      <c r="M825" s="1" t="s">
        <v>2666</v>
      </c>
      <c r="N825" s="1" t="s">
        <v>2675</v>
      </c>
    </row>
    <row r="826" spans="1:14" x14ac:dyDescent="0.25">
      <c r="A826" s="1" t="s">
        <v>16449</v>
      </c>
      <c r="B826" s="1">
        <v>825</v>
      </c>
      <c r="C826" s="1" t="s">
        <v>215</v>
      </c>
      <c r="D826" s="1" t="s">
        <v>11100</v>
      </c>
      <c r="E826" s="1" t="s">
        <v>2542</v>
      </c>
      <c r="F826" s="1" t="s">
        <v>2649</v>
      </c>
      <c r="G826" s="1" t="s">
        <v>16573</v>
      </c>
      <c r="H826" s="1">
        <v>41.9</v>
      </c>
      <c r="I826" s="1">
        <v>0</v>
      </c>
      <c r="J826" s="1">
        <v>1</v>
      </c>
      <c r="K826" s="1"/>
      <c r="L826" s="1">
        <v>0</v>
      </c>
      <c r="M826" s="1" t="s">
        <v>2677</v>
      </c>
      <c r="N826" s="1" t="s">
        <v>2678</v>
      </c>
    </row>
    <row r="827" spans="1:14" x14ac:dyDescent="0.25">
      <c r="A827" s="1" t="s">
        <v>16450</v>
      </c>
      <c r="B827" s="1">
        <v>826</v>
      </c>
      <c r="C827" s="1" t="s">
        <v>215</v>
      </c>
      <c r="D827" s="1" t="s">
        <v>11100</v>
      </c>
      <c r="E827" s="1" t="s">
        <v>2542</v>
      </c>
      <c r="F827" s="1" t="s">
        <v>2649</v>
      </c>
      <c r="G827" s="1" t="s">
        <v>16573</v>
      </c>
      <c r="H827" s="1">
        <v>41.9</v>
      </c>
      <c r="I827" s="1">
        <v>0</v>
      </c>
      <c r="J827" s="1">
        <v>1</v>
      </c>
      <c r="K827" s="1"/>
      <c r="L827" s="1">
        <v>0</v>
      </c>
      <c r="M827" s="1" t="s">
        <v>2677</v>
      </c>
      <c r="N827" s="1" t="s">
        <v>2680</v>
      </c>
    </row>
    <row r="828" spans="1:14" x14ac:dyDescent="0.25">
      <c r="A828" s="1" t="s">
        <v>16451</v>
      </c>
      <c r="B828" s="1">
        <v>827</v>
      </c>
      <c r="C828" s="1" t="s">
        <v>215</v>
      </c>
      <c r="D828" s="1" t="s">
        <v>11100</v>
      </c>
      <c r="E828" s="1" t="s">
        <v>2542</v>
      </c>
      <c r="F828" s="1" t="s">
        <v>2649</v>
      </c>
      <c r="G828" s="1" t="s">
        <v>16573</v>
      </c>
      <c r="H828" s="1">
        <v>41.9</v>
      </c>
      <c r="I828" s="1">
        <v>0</v>
      </c>
      <c r="J828" s="1">
        <v>1</v>
      </c>
      <c r="K828" s="1"/>
      <c r="L828" s="1">
        <v>0</v>
      </c>
      <c r="M828" s="1" t="s">
        <v>2682</v>
      </c>
      <c r="N828" s="1" t="s">
        <v>2683</v>
      </c>
    </row>
    <row r="829" spans="1:14" x14ac:dyDescent="0.25">
      <c r="A829" s="1" t="s">
        <v>16452</v>
      </c>
      <c r="B829" s="1">
        <v>828</v>
      </c>
      <c r="C829" s="1" t="s">
        <v>215</v>
      </c>
      <c r="D829" s="1" t="s">
        <v>11100</v>
      </c>
      <c r="E829" s="1" t="s">
        <v>2542</v>
      </c>
      <c r="F829" s="1" t="s">
        <v>2649</v>
      </c>
      <c r="G829" s="1" t="s">
        <v>16573</v>
      </c>
      <c r="H829" s="1">
        <v>41.9</v>
      </c>
      <c r="I829" s="1">
        <v>0</v>
      </c>
      <c r="J829" s="1">
        <v>1</v>
      </c>
      <c r="K829" s="1"/>
      <c r="L829" s="1">
        <v>0</v>
      </c>
      <c r="M829" s="1" t="s">
        <v>2682</v>
      </c>
      <c r="N829" s="1" t="s">
        <v>2685</v>
      </c>
    </row>
    <row r="830" spans="1:14" x14ac:dyDescent="0.25">
      <c r="A830" s="1" t="s">
        <v>16453</v>
      </c>
      <c r="B830" s="1">
        <v>829</v>
      </c>
      <c r="C830" s="1" t="s">
        <v>215</v>
      </c>
      <c r="D830" s="1" t="s">
        <v>11100</v>
      </c>
      <c r="E830" s="1" t="s">
        <v>2542</v>
      </c>
      <c r="F830" s="1" t="s">
        <v>2649</v>
      </c>
      <c r="G830" s="1" t="s">
        <v>16573</v>
      </c>
      <c r="H830" s="1">
        <v>41.9</v>
      </c>
      <c r="I830" s="1">
        <v>0</v>
      </c>
      <c r="J830" s="1">
        <v>1</v>
      </c>
      <c r="K830" s="1"/>
      <c r="L830" s="1">
        <v>0</v>
      </c>
      <c r="M830" s="1" t="s">
        <v>2682</v>
      </c>
      <c r="N830" s="1" t="s">
        <v>2687</v>
      </c>
    </row>
    <row r="831" spans="1:14" x14ac:dyDescent="0.25">
      <c r="A831" s="1" t="s">
        <v>16454</v>
      </c>
      <c r="B831" s="1">
        <v>830</v>
      </c>
      <c r="C831" s="1" t="s">
        <v>215</v>
      </c>
      <c r="D831" s="1" t="s">
        <v>11100</v>
      </c>
      <c r="E831" s="1" t="s">
        <v>2542</v>
      </c>
      <c r="F831" s="1" t="s">
        <v>2649</v>
      </c>
      <c r="G831" s="1" t="s">
        <v>16573</v>
      </c>
      <c r="H831" s="1">
        <v>41.9</v>
      </c>
      <c r="I831" s="1">
        <v>0</v>
      </c>
      <c r="J831" s="1">
        <v>1</v>
      </c>
      <c r="K831" s="1"/>
      <c r="L831" s="1">
        <v>0</v>
      </c>
      <c r="M831" s="1" t="s">
        <v>2682</v>
      </c>
      <c r="N831" s="1" t="s">
        <v>2689</v>
      </c>
    </row>
    <row r="832" spans="1:14" x14ac:dyDescent="0.25">
      <c r="A832" s="1" t="s">
        <v>16455</v>
      </c>
      <c r="B832" s="1">
        <v>831</v>
      </c>
      <c r="C832" s="1" t="s">
        <v>215</v>
      </c>
      <c r="D832" s="1" t="s">
        <v>11100</v>
      </c>
      <c r="E832" s="1" t="s">
        <v>2542</v>
      </c>
      <c r="F832" s="1" t="s">
        <v>2649</v>
      </c>
      <c r="G832" s="1" t="s">
        <v>16573</v>
      </c>
      <c r="H832" s="1">
        <v>41.9</v>
      </c>
      <c r="I832" s="1">
        <v>0</v>
      </c>
      <c r="J832" s="1">
        <v>1</v>
      </c>
      <c r="K832" s="1"/>
      <c r="L832" s="1">
        <v>0</v>
      </c>
      <c r="M832" s="1" t="s">
        <v>2682</v>
      </c>
      <c r="N832" s="1" t="s">
        <v>2691</v>
      </c>
    </row>
    <row r="833" spans="1:14" x14ac:dyDescent="0.25">
      <c r="A833" s="1" t="s">
        <v>16456</v>
      </c>
      <c r="B833" s="1">
        <v>832</v>
      </c>
      <c r="C833" s="1" t="s">
        <v>215</v>
      </c>
      <c r="D833" s="1" t="s">
        <v>11100</v>
      </c>
      <c r="E833" s="1" t="s">
        <v>2542</v>
      </c>
      <c r="F833" s="1" t="s">
        <v>2649</v>
      </c>
      <c r="G833" s="1" t="s">
        <v>16573</v>
      </c>
      <c r="H833" s="1">
        <v>41.9</v>
      </c>
      <c r="I833" s="1">
        <v>0</v>
      </c>
      <c r="J833" s="1">
        <v>1</v>
      </c>
      <c r="K833" s="1"/>
      <c r="L833" s="1">
        <v>0</v>
      </c>
      <c r="M833" s="1" t="s">
        <v>2682</v>
      </c>
      <c r="N833" s="1" t="s">
        <v>2693</v>
      </c>
    </row>
    <row r="834" spans="1:14" x14ac:dyDescent="0.25">
      <c r="A834" s="1" t="s">
        <v>16457</v>
      </c>
      <c r="B834" s="1">
        <v>833</v>
      </c>
      <c r="C834" s="1" t="s">
        <v>215</v>
      </c>
      <c r="D834" s="1" t="s">
        <v>11100</v>
      </c>
      <c r="E834" s="1" t="s">
        <v>2542</v>
      </c>
      <c r="F834" s="1" t="s">
        <v>2649</v>
      </c>
      <c r="G834" s="1" t="s">
        <v>16573</v>
      </c>
      <c r="H834" s="1">
        <v>41.9</v>
      </c>
      <c r="I834" s="1">
        <v>0</v>
      </c>
      <c r="J834" s="1">
        <v>1</v>
      </c>
      <c r="K834" s="1"/>
      <c r="L834" s="1">
        <v>0</v>
      </c>
      <c r="M834" s="1" t="s">
        <v>2682</v>
      </c>
      <c r="N834" s="1" t="s">
        <v>2695</v>
      </c>
    </row>
    <row r="835" spans="1:14" x14ac:dyDescent="0.25">
      <c r="A835" s="1" t="s">
        <v>16458</v>
      </c>
      <c r="B835" s="1">
        <v>834</v>
      </c>
      <c r="C835" s="1" t="s">
        <v>215</v>
      </c>
      <c r="D835" s="1" t="s">
        <v>11100</v>
      </c>
      <c r="E835" s="1" t="s">
        <v>2542</v>
      </c>
      <c r="F835" s="1" t="s">
        <v>2649</v>
      </c>
      <c r="G835" s="1" t="s">
        <v>16573</v>
      </c>
      <c r="H835" s="1">
        <v>41.9</v>
      </c>
      <c r="I835" s="1">
        <v>0</v>
      </c>
      <c r="J835" s="1">
        <v>1</v>
      </c>
      <c r="K835" s="1"/>
      <c r="L835" s="1">
        <v>0</v>
      </c>
      <c r="M835" s="1" t="s">
        <v>2682</v>
      </c>
      <c r="N835" s="1" t="s">
        <v>5853</v>
      </c>
    </row>
    <row r="836" spans="1:14" x14ac:dyDescent="0.25">
      <c r="A836" s="1" t="s">
        <v>16459</v>
      </c>
      <c r="B836" s="1">
        <v>835</v>
      </c>
      <c r="C836" s="1" t="s">
        <v>215</v>
      </c>
      <c r="D836" s="1" t="s">
        <v>11100</v>
      </c>
      <c r="E836" s="1" t="s">
        <v>2542</v>
      </c>
      <c r="F836" s="1" t="s">
        <v>2649</v>
      </c>
      <c r="G836" s="1" t="s">
        <v>16573</v>
      </c>
      <c r="H836" s="1">
        <v>41.9</v>
      </c>
      <c r="I836" s="1">
        <v>0</v>
      </c>
      <c r="J836" s="1">
        <v>1</v>
      </c>
      <c r="K836" s="1"/>
      <c r="L836" s="1">
        <v>0</v>
      </c>
      <c r="M836" s="1" t="s">
        <v>2697</v>
      </c>
      <c r="N836" s="1" t="s">
        <v>2698</v>
      </c>
    </row>
    <row r="837" spans="1:14" x14ac:dyDescent="0.25">
      <c r="A837" s="1" t="s">
        <v>16460</v>
      </c>
      <c r="B837" s="1">
        <v>836</v>
      </c>
      <c r="C837" s="1" t="s">
        <v>215</v>
      </c>
      <c r="D837" s="1" t="s">
        <v>11100</v>
      </c>
      <c r="E837" s="1" t="s">
        <v>2542</v>
      </c>
      <c r="F837" s="1" t="s">
        <v>2649</v>
      </c>
      <c r="G837" s="1" t="s">
        <v>16573</v>
      </c>
      <c r="H837" s="1">
        <v>41.9</v>
      </c>
      <c r="I837" s="1">
        <v>0</v>
      </c>
      <c r="J837" s="1">
        <v>1</v>
      </c>
      <c r="K837" s="1"/>
      <c r="L837" s="1">
        <v>0</v>
      </c>
      <c r="M837" s="1" t="s">
        <v>2697</v>
      </c>
      <c r="N837" s="1" t="s">
        <v>2700</v>
      </c>
    </row>
    <row r="838" spans="1:14" x14ac:dyDescent="0.25">
      <c r="A838" s="1" t="s">
        <v>16461</v>
      </c>
      <c r="B838" s="1">
        <v>837</v>
      </c>
      <c r="C838" s="1" t="s">
        <v>215</v>
      </c>
      <c r="D838" s="1" t="s">
        <v>11100</v>
      </c>
      <c r="E838" s="1" t="s">
        <v>2542</v>
      </c>
      <c r="F838" s="1" t="s">
        <v>2649</v>
      </c>
      <c r="G838" s="1" t="s">
        <v>16573</v>
      </c>
      <c r="H838" s="1">
        <v>41.9</v>
      </c>
      <c r="I838" s="1">
        <v>0</v>
      </c>
      <c r="J838" s="1">
        <v>1</v>
      </c>
      <c r="K838" s="1"/>
      <c r="L838" s="1">
        <v>0</v>
      </c>
      <c r="M838" s="1" t="s">
        <v>2697</v>
      </c>
      <c r="N838" s="1" t="s">
        <v>2702</v>
      </c>
    </row>
    <row r="839" spans="1:14" x14ac:dyDescent="0.25">
      <c r="A839" s="1" t="s">
        <v>16462</v>
      </c>
      <c r="B839" s="1">
        <v>838</v>
      </c>
      <c r="C839" s="1" t="s">
        <v>215</v>
      </c>
      <c r="D839" s="1" t="s">
        <v>11100</v>
      </c>
      <c r="E839" s="1" t="s">
        <v>2542</v>
      </c>
      <c r="F839" s="1" t="s">
        <v>2649</v>
      </c>
      <c r="G839" s="1" t="s">
        <v>16573</v>
      </c>
      <c r="H839" s="1">
        <v>41.9</v>
      </c>
      <c r="I839" s="1">
        <v>0</v>
      </c>
      <c r="J839" s="1">
        <v>1</v>
      </c>
      <c r="K839" s="1"/>
      <c r="L839" s="1">
        <v>0</v>
      </c>
      <c r="M839" s="1" t="s">
        <v>2697</v>
      </c>
      <c r="N839" s="1" t="s">
        <v>2704</v>
      </c>
    </row>
    <row r="840" spans="1:14" x14ac:dyDescent="0.25">
      <c r="A840" s="1" t="s">
        <v>16463</v>
      </c>
      <c r="B840" s="1">
        <v>839</v>
      </c>
      <c r="C840" s="1" t="s">
        <v>215</v>
      </c>
      <c r="D840" s="1" t="s">
        <v>11100</v>
      </c>
      <c r="E840" s="1" t="s">
        <v>2542</v>
      </c>
      <c r="F840" s="1" t="s">
        <v>2649</v>
      </c>
      <c r="G840" s="1" t="s">
        <v>16573</v>
      </c>
      <c r="H840" s="1">
        <v>41.9</v>
      </c>
      <c r="I840" s="1">
        <v>0</v>
      </c>
      <c r="J840" s="1">
        <v>1</v>
      </c>
      <c r="K840" s="1"/>
      <c r="L840" s="1">
        <v>0</v>
      </c>
      <c r="M840" s="1" t="s">
        <v>2697</v>
      </c>
      <c r="N840" s="1" t="s">
        <v>2706</v>
      </c>
    </row>
    <row r="841" spans="1:14" x14ac:dyDescent="0.25">
      <c r="A841" s="1" t="s">
        <v>16464</v>
      </c>
      <c r="B841" s="1">
        <v>840</v>
      </c>
      <c r="C841" s="1" t="s">
        <v>215</v>
      </c>
      <c r="D841" s="1" t="s">
        <v>11100</v>
      </c>
      <c r="E841" s="1" t="s">
        <v>2542</v>
      </c>
      <c r="F841" s="1" t="s">
        <v>2649</v>
      </c>
      <c r="G841" s="1" t="s">
        <v>16573</v>
      </c>
      <c r="H841" s="1">
        <v>41.9</v>
      </c>
      <c r="I841" s="1">
        <v>0</v>
      </c>
      <c r="J841" s="1">
        <v>1</v>
      </c>
      <c r="K841" s="1"/>
      <c r="L841" s="1">
        <v>0</v>
      </c>
      <c r="M841" s="1" t="s">
        <v>2697</v>
      </c>
      <c r="N841" s="1" t="s">
        <v>2708</v>
      </c>
    </row>
    <row r="842" spans="1:14" x14ac:dyDescent="0.25">
      <c r="A842" s="1" t="s">
        <v>16465</v>
      </c>
      <c r="B842" s="1">
        <v>841</v>
      </c>
      <c r="C842" s="1" t="s">
        <v>215</v>
      </c>
      <c r="D842" s="1" t="s">
        <v>11100</v>
      </c>
      <c r="E842" s="1" t="s">
        <v>2710</v>
      </c>
      <c r="F842" s="1" t="s">
        <v>2713</v>
      </c>
      <c r="G842" s="1" t="s">
        <v>16574</v>
      </c>
      <c r="H842" s="1">
        <v>41.9</v>
      </c>
      <c r="I842" s="1">
        <v>0</v>
      </c>
      <c r="J842" s="1">
        <v>1</v>
      </c>
      <c r="K842" s="1"/>
      <c r="L842" s="1">
        <v>0</v>
      </c>
      <c r="M842" s="1" t="s">
        <v>3684</v>
      </c>
      <c r="N842" s="1" t="s">
        <v>5852</v>
      </c>
    </row>
    <row r="843" spans="1:14" x14ac:dyDescent="0.25">
      <c r="A843" s="1" t="s">
        <v>16466</v>
      </c>
      <c r="B843" s="1">
        <v>842</v>
      </c>
      <c r="C843" s="1" t="s">
        <v>215</v>
      </c>
      <c r="D843" s="1" t="s">
        <v>11100</v>
      </c>
      <c r="E843" s="1" t="s">
        <v>2710</v>
      </c>
      <c r="F843" s="1" t="s">
        <v>2713</v>
      </c>
      <c r="G843" s="1" t="s">
        <v>16574</v>
      </c>
      <c r="H843" s="1">
        <v>41.9</v>
      </c>
      <c r="I843" s="1">
        <v>0</v>
      </c>
      <c r="J843" s="1">
        <v>1</v>
      </c>
      <c r="K843" s="1"/>
      <c r="L843" s="1">
        <v>0</v>
      </c>
      <c r="M843" s="1" t="s">
        <v>3684</v>
      </c>
      <c r="N843" s="1" t="s">
        <v>5851</v>
      </c>
    </row>
    <row r="844" spans="1:14" x14ac:dyDescent="0.25">
      <c r="A844" s="1" t="s">
        <v>16467</v>
      </c>
      <c r="B844" s="1">
        <v>843</v>
      </c>
      <c r="C844" s="1" t="s">
        <v>215</v>
      </c>
      <c r="D844" s="1" t="s">
        <v>11100</v>
      </c>
      <c r="E844" s="1" t="s">
        <v>2710</v>
      </c>
      <c r="F844" s="1" t="s">
        <v>2713</v>
      </c>
      <c r="G844" s="1" t="s">
        <v>16574</v>
      </c>
      <c r="H844" s="1">
        <v>41.9</v>
      </c>
      <c r="I844" s="1">
        <v>0</v>
      </c>
      <c r="J844" s="1">
        <v>1</v>
      </c>
      <c r="K844" s="1"/>
      <c r="L844" s="1">
        <v>0</v>
      </c>
      <c r="M844" s="1" t="s">
        <v>3684</v>
      </c>
      <c r="N844" s="1" t="s">
        <v>5850</v>
      </c>
    </row>
    <row r="845" spans="1:14" x14ac:dyDescent="0.25">
      <c r="A845" s="1" t="s">
        <v>16468</v>
      </c>
      <c r="B845" s="1">
        <v>844</v>
      </c>
      <c r="C845" s="1" t="s">
        <v>215</v>
      </c>
      <c r="D845" s="1" t="s">
        <v>11100</v>
      </c>
      <c r="E845" s="1" t="s">
        <v>2710</v>
      </c>
      <c r="F845" s="1" t="s">
        <v>2713</v>
      </c>
      <c r="G845" s="1" t="s">
        <v>16574</v>
      </c>
      <c r="H845" s="1">
        <v>41.9</v>
      </c>
      <c r="I845" s="1">
        <v>0</v>
      </c>
      <c r="J845" s="1">
        <v>1</v>
      </c>
      <c r="K845" s="1"/>
      <c r="L845" s="1">
        <v>0</v>
      </c>
      <c r="M845" s="1" t="s">
        <v>3684</v>
      </c>
      <c r="N845" s="1" t="s">
        <v>5849</v>
      </c>
    </row>
    <row r="846" spans="1:14" x14ac:dyDescent="0.25">
      <c r="A846" s="1" t="s">
        <v>16469</v>
      </c>
      <c r="B846" s="1">
        <v>845</v>
      </c>
      <c r="C846" s="1" t="s">
        <v>215</v>
      </c>
      <c r="D846" s="1" t="s">
        <v>11100</v>
      </c>
      <c r="E846" s="1" t="s">
        <v>2710</v>
      </c>
      <c r="F846" s="1" t="s">
        <v>2713</v>
      </c>
      <c r="G846" s="1" t="s">
        <v>16574</v>
      </c>
      <c r="H846" s="1">
        <v>41.9</v>
      </c>
      <c r="I846" s="1">
        <v>0</v>
      </c>
      <c r="J846" s="1">
        <v>1</v>
      </c>
      <c r="K846" s="1"/>
      <c r="L846" s="1">
        <v>0</v>
      </c>
      <c r="M846" s="1" t="s">
        <v>3684</v>
      </c>
      <c r="N846" s="1" t="s">
        <v>5848</v>
      </c>
    </row>
    <row r="847" spans="1:14" x14ac:dyDescent="0.25">
      <c r="A847" s="1" t="s">
        <v>16470</v>
      </c>
      <c r="B847" s="1">
        <v>846</v>
      </c>
      <c r="C847" s="1" t="s">
        <v>215</v>
      </c>
      <c r="D847" s="1" t="s">
        <v>11100</v>
      </c>
      <c r="E847" s="1" t="s">
        <v>2710</v>
      </c>
      <c r="F847" s="1" t="s">
        <v>2713</v>
      </c>
      <c r="G847" s="1" t="s">
        <v>16574</v>
      </c>
      <c r="H847" s="1">
        <v>41.9</v>
      </c>
      <c r="I847" s="1">
        <v>0</v>
      </c>
      <c r="J847" s="1">
        <v>1</v>
      </c>
      <c r="K847" s="1"/>
      <c r="L847" s="1">
        <v>0</v>
      </c>
      <c r="M847" s="1" t="s">
        <v>4274</v>
      </c>
      <c r="N847" s="1" t="s">
        <v>5847</v>
      </c>
    </row>
    <row r="848" spans="1:14" x14ac:dyDescent="0.25">
      <c r="A848" s="1" t="s">
        <v>16471</v>
      </c>
      <c r="B848" s="1">
        <v>847</v>
      </c>
      <c r="C848" s="1" t="s">
        <v>215</v>
      </c>
      <c r="D848" s="1" t="s">
        <v>11100</v>
      </c>
      <c r="E848" s="1" t="s">
        <v>2710</v>
      </c>
      <c r="F848" s="1" t="s">
        <v>2713</v>
      </c>
      <c r="G848" s="1" t="s">
        <v>16574</v>
      </c>
      <c r="H848" s="1">
        <v>41.9</v>
      </c>
      <c r="I848" s="1">
        <v>0</v>
      </c>
      <c r="J848" s="1">
        <v>1</v>
      </c>
      <c r="K848" s="1"/>
      <c r="L848" s="1">
        <v>0</v>
      </c>
      <c r="M848" s="1" t="s">
        <v>4274</v>
      </c>
      <c r="N848" s="1" t="s">
        <v>5846</v>
      </c>
    </row>
    <row r="849" spans="1:14" x14ac:dyDescent="0.25">
      <c r="A849" s="1" t="s">
        <v>16472</v>
      </c>
      <c r="B849" s="1">
        <v>848</v>
      </c>
      <c r="C849" s="1" t="s">
        <v>215</v>
      </c>
      <c r="D849" s="1" t="s">
        <v>11100</v>
      </c>
      <c r="E849" s="1" t="s">
        <v>2710</v>
      </c>
      <c r="F849" s="1" t="s">
        <v>2713</v>
      </c>
      <c r="G849" s="1" t="s">
        <v>16574</v>
      </c>
      <c r="H849" s="1">
        <v>41.9</v>
      </c>
      <c r="I849" s="1">
        <v>0</v>
      </c>
      <c r="J849" s="1">
        <v>1</v>
      </c>
      <c r="K849" s="1"/>
      <c r="L849" s="1">
        <v>0</v>
      </c>
      <c r="M849" s="1" t="s">
        <v>4274</v>
      </c>
      <c r="N849" s="1" t="s">
        <v>5845</v>
      </c>
    </row>
    <row r="850" spans="1:14" x14ac:dyDescent="0.25">
      <c r="A850" s="1" t="s">
        <v>16473</v>
      </c>
      <c r="B850" s="1">
        <v>849</v>
      </c>
      <c r="C850" s="1" t="s">
        <v>215</v>
      </c>
      <c r="D850" s="1" t="s">
        <v>11100</v>
      </c>
      <c r="E850" s="1" t="s">
        <v>2710</v>
      </c>
      <c r="F850" s="1" t="s">
        <v>2713</v>
      </c>
      <c r="G850" s="1" t="s">
        <v>16574</v>
      </c>
      <c r="H850" s="1">
        <v>41.9</v>
      </c>
      <c r="I850" s="1">
        <v>0</v>
      </c>
      <c r="J850" s="1">
        <v>1</v>
      </c>
      <c r="K850" s="1"/>
      <c r="L850" s="1">
        <v>0</v>
      </c>
      <c r="M850" s="1" t="s">
        <v>4274</v>
      </c>
      <c r="N850" s="1" t="s">
        <v>5844</v>
      </c>
    </row>
    <row r="851" spans="1:14" x14ac:dyDescent="0.25">
      <c r="A851" s="1" t="s">
        <v>16474</v>
      </c>
      <c r="B851" s="1">
        <v>850</v>
      </c>
      <c r="C851" s="1" t="s">
        <v>215</v>
      </c>
      <c r="D851" s="1" t="s">
        <v>11100</v>
      </c>
      <c r="E851" s="1" t="s">
        <v>2710</v>
      </c>
      <c r="F851" s="1" t="s">
        <v>2713</v>
      </c>
      <c r="G851" s="1" t="s">
        <v>16574</v>
      </c>
      <c r="H851" s="1">
        <v>41.9</v>
      </c>
      <c r="I851" s="1">
        <v>0</v>
      </c>
      <c r="J851" s="1">
        <v>1</v>
      </c>
      <c r="K851" s="1"/>
      <c r="L851" s="1">
        <v>0</v>
      </c>
      <c r="M851" s="1" t="s">
        <v>2714</v>
      </c>
      <c r="N851" s="1" t="s">
        <v>5843</v>
      </c>
    </row>
    <row r="852" spans="1:14" x14ac:dyDescent="0.25">
      <c r="A852" s="1" t="s">
        <v>16475</v>
      </c>
      <c r="B852" s="1">
        <v>851</v>
      </c>
      <c r="C852" s="1" t="s">
        <v>215</v>
      </c>
      <c r="D852" s="1" t="s">
        <v>11100</v>
      </c>
      <c r="E852" s="1" t="s">
        <v>2710</v>
      </c>
      <c r="F852" s="1" t="s">
        <v>2713</v>
      </c>
      <c r="G852" s="1" t="s">
        <v>16574</v>
      </c>
      <c r="H852" s="1">
        <v>41.9</v>
      </c>
      <c r="I852" s="1">
        <v>0</v>
      </c>
      <c r="J852" s="1">
        <v>1</v>
      </c>
      <c r="K852" s="1"/>
      <c r="L852" s="1">
        <v>0</v>
      </c>
      <c r="M852" s="1" t="s">
        <v>2714</v>
      </c>
      <c r="N852" s="1" t="s">
        <v>5842</v>
      </c>
    </row>
    <row r="853" spans="1:14" x14ac:dyDescent="0.25">
      <c r="A853" s="1" t="s">
        <v>16476</v>
      </c>
      <c r="B853" s="1">
        <v>852</v>
      </c>
      <c r="C853" s="1" t="s">
        <v>215</v>
      </c>
      <c r="D853" s="1" t="s">
        <v>11100</v>
      </c>
      <c r="E853" s="1" t="s">
        <v>2710</v>
      </c>
      <c r="F853" s="1" t="s">
        <v>2713</v>
      </c>
      <c r="G853" s="1" t="s">
        <v>16574</v>
      </c>
      <c r="H853" s="1">
        <v>41.9</v>
      </c>
      <c r="I853" s="1">
        <v>0</v>
      </c>
      <c r="J853" s="1">
        <v>1</v>
      </c>
      <c r="K853" s="1"/>
      <c r="L853" s="1">
        <v>0</v>
      </c>
      <c r="M853" s="1" t="s">
        <v>2714</v>
      </c>
      <c r="N853" s="1" t="s">
        <v>5841</v>
      </c>
    </row>
    <row r="854" spans="1:14" x14ac:dyDescent="0.25">
      <c r="A854" s="1" t="s">
        <v>16477</v>
      </c>
      <c r="B854" s="1">
        <v>853</v>
      </c>
      <c r="C854" s="1" t="s">
        <v>215</v>
      </c>
      <c r="D854" s="1" t="s">
        <v>11100</v>
      </c>
      <c r="E854" s="1" t="s">
        <v>2710</v>
      </c>
      <c r="F854" s="1" t="s">
        <v>2713</v>
      </c>
      <c r="G854" s="1" t="s">
        <v>16574</v>
      </c>
      <c r="H854" s="1">
        <v>41.9</v>
      </c>
      <c r="I854" s="1">
        <v>0</v>
      </c>
      <c r="J854" s="1">
        <v>1</v>
      </c>
      <c r="K854" s="1"/>
      <c r="L854" s="1">
        <v>0</v>
      </c>
      <c r="M854" s="1" t="s">
        <v>2714</v>
      </c>
      <c r="N854" s="1" t="s">
        <v>2715</v>
      </c>
    </row>
    <row r="855" spans="1:14" s="1" customFormat="1" x14ac:dyDescent="0.25">
      <c r="A855" s="1" t="s">
        <v>16478</v>
      </c>
      <c r="B855" s="1">
        <v>854</v>
      </c>
      <c r="C855" s="1" t="s">
        <v>215</v>
      </c>
      <c r="D855" s="1" t="s">
        <v>11100</v>
      </c>
      <c r="E855" s="1" t="s">
        <v>2710</v>
      </c>
      <c r="F855" s="1" t="s">
        <v>2713</v>
      </c>
      <c r="G855" s="1" t="s">
        <v>16574</v>
      </c>
      <c r="H855" s="1">
        <v>41.9</v>
      </c>
      <c r="I855" s="1">
        <v>0</v>
      </c>
      <c r="J855" s="1">
        <v>1</v>
      </c>
      <c r="L855" s="1">
        <v>0</v>
      </c>
      <c r="M855" s="1" t="s">
        <v>15721</v>
      </c>
      <c r="N855" s="1" t="s">
        <v>15721</v>
      </c>
    </row>
    <row r="856" spans="1:14" s="1" customFormat="1" x14ac:dyDescent="0.25">
      <c r="A856" s="1" t="s">
        <v>16479</v>
      </c>
      <c r="B856" s="1">
        <v>855</v>
      </c>
      <c r="C856" s="1" t="s">
        <v>215</v>
      </c>
      <c r="D856" s="1" t="s">
        <v>11100</v>
      </c>
      <c r="E856" s="1" t="s">
        <v>2710</v>
      </c>
      <c r="F856" s="1" t="s">
        <v>2713</v>
      </c>
      <c r="G856" s="1" t="s">
        <v>16574</v>
      </c>
      <c r="H856" s="1">
        <v>41.9</v>
      </c>
      <c r="I856" s="1">
        <v>0</v>
      </c>
      <c r="J856" s="1">
        <v>1</v>
      </c>
      <c r="L856" s="1">
        <v>0</v>
      </c>
      <c r="M856" s="1" t="s">
        <v>15743</v>
      </c>
      <c r="N856" s="1" t="s">
        <v>15743</v>
      </c>
    </row>
    <row r="857" spans="1:14" x14ac:dyDescent="0.25">
      <c r="A857" s="1" t="s">
        <v>16480</v>
      </c>
      <c r="B857" s="1">
        <v>856</v>
      </c>
      <c r="C857" s="1" t="s">
        <v>215</v>
      </c>
      <c r="D857" s="1" t="s">
        <v>11099</v>
      </c>
      <c r="E857" s="1" t="s">
        <v>2710</v>
      </c>
      <c r="F857" s="1" t="s">
        <v>340</v>
      </c>
      <c r="G857" s="1" t="s">
        <v>16575</v>
      </c>
      <c r="H857" s="1">
        <v>41.9</v>
      </c>
      <c r="I857" s="1">
        <v>0</v>
      </c>
      <c r="J857" s="1">
        <v>1</v>
      </c>
      <c r="K857" s="1"/>
      <c r="L857" s="1">
        <v>0</v>
      </c>
      <c r="M857" s="1" t="s">
        <v>2717</v>
      </c>
      <c r="N857" s="1" t="s">
        <v>2718</v>
      </c>
    </row>
    <row r="858" spans="1:14" x14ac:dyDescent="0.25">
      <c r="A858" s="1" t="s">
        <v>16481</v>
      </c>
      <c r="B858" s="1">
        <v>857</v>
      </c>
      <c r="C858" s="1" t="s">
        <v>215</v>
      </c>
      <c r="D858" s="1" t="s">
        <v>11099</v>
      </c>
      <c r="E858" s="1" t="s">
        <v>2710</v>
      </c>
      <c r="F858" s="1" t="s">
        <v>340</v>
      </c>
      <c r="G858" s="1" t="s">
        <v>16575</v>
      </c>
      <c r="H858" s="1">
        <v>41.9</v>
      </c>
      <c r="I858" s="1">
        <v>0</v>
      </c>
      <c r="J858" s="1">
        <v>1</v>
      </c>
      <c r="K858" s="1"/>
      <c r="L858" s="1">
        <v>0</v>
      </c>
      <c r="M858" s="1" t="s">
        <v>2717</v>
      </c>
      <c r="N858" s="1" t="s">
        <v>2720</v>
      </c>
    </row>
    <row r="859" spans="1:14" x14ac:dyDescent="0.25">
      <c r="A859" s="1" t="s">
        <v>16482</v>
      </c>
      <c r="B859" s="1">
        <v>858</v>
      </c>
      <c r="C859" s="1" t="s">
        <v>215</v>
      </c>
      <c r="D859" s="1" t="s">
        <v>11099</v>
      </c>
      <c r="E859" s="1" t="s">
        <v>2710</v>
      </c>
      <c r="F859" s="1" t="s">
        <v>340</v>
      </c>
      <c r="G859" s="1" t="s">
        <v>16575</v>
      </c>
      <c r="H859" s="1">
        <v>41.9</v>
      </c>
      <c r="I859" s="1">
        <v>0</v>
      </c>
      <c r="J859" s="1">
        <v>1</v>
      </c>
      <c r="K859" s="1"/>
      <c r="L859" s="1">
        <v>0</v>
      </c>
      <c r="M859" s="1" t="s">
        <v>2717</v>
      </c>
      <c r="N859" s="1" t="s">
        <v>2722</v>
      </c>
    </row>
    <row r="860" spans="1:14" x14ac:dyDescent="0.25">
      <c r="A860" s="1" t="s">
        <v>16483</v>
      </c>
      <c r="B860" s="1">
        <v>859</v>
      </c>
      <c r="C860" s="1" t="s">
        <v>215</v>
      </c>
      <c r="D860" s="1" t="s">
        <v>11099</v>
      </c>
      <c r="E860" s="1" t="s">
        <v>2710</v>
      </c>
      <c r="F860" s="1" t="s">
        <v>340</v>
      </c>
      <c r="G860" s="1" t="s">
        <v>16575</v>
      </c>
      <c r="H860" s="1">
        <v>41.9</v>
      </c>
      <c r="I860" s="1">
        <v>0</v>
      </c>
      <c r="J860" s="1">
        <v>1</v>
      </c>
      <c r="K860" s="1"/>
      <c r="L860" s="1">
        <v>0</v>
      </c>
      <c r="M860" s="1" t="s">
        <v>2717</v>
      </c>
      <c r="N860" s="1" t="s">
        <v>2724</v>
      </c>
    </row>
    <row r="861" spans="1:14" x14ac:dyDescent="0.25">
      <c r="A861" s="1" t="s">
        <v>16484</v>
      </c>
      <c r="B861" s="1">
        <v>860</v>
      </c>
      <c r="C861" s="1" t="s">
        <v>215</v>
      </c>
      <c r="D861" s="1" t="s">
        <v>11099</v>
      </c>
      <c r="E861" s="1" t="s">
        <v>2710</v>
      </c>
      <c r="F861" s="1" t="s">
        <v>340</v>
      </c>
      <c r="G861" s="1" t="s">
        <v>16575</v>
      </c>
      <c r="H861" s="1">
        <v>41.9</v>
      </c>
      <c r="I861" s="1">
        <v>0</v>
      </c>
      <c r="J861" s="1">
        <v>1</v>
      </c>
      <c r="K861" s="1"/>
      <c r="L861" s="1">
        <v>0</v>
      </c>
      <c r="M861" s="1" t="s">
        <v>2717</v>
      </c>
      <c r="N861" s="1" t="s">
        <v>2726</v>
      </c>
    </row>
    <row r="862" spans="1:14" x14ac:dyDescent="0.25">
      <c r="A862" s="1" t="s">
        <v>16485</v>
      </c>
      <c r="B862" s="1">
        <v>861</v>
      </c>
      <c r="C862" s="1" t="s">
        <v>215</v>
      </c>
      <c r="D862" s="1" t="s">
        <v>11099</v>
      </c>
      <c r="E862" s="1" t="s">
        <v>2710</v>
      </c>
      <c r="F862" s="1" t="s">
        <v>340</v>
      </c>
      <c r="G862" s="1" t="s">
        <v>16575</v>
      </c>
      <c r="H862" s="1">
        <v>41.9</v>
      </c>
      <c r="I862" s="1">
        <v>0</v>
      </c>
      <c r="J862" s="1">
        <v>1</v>
      </c>
      <c r="K862" s="1"/>
      <c r="L862" s="1">
        <v>0</v>
      </c>
      <c r="M862" s="1" t="s">
        <v>2717</v>
      </c>
      <c r="N862" s="1" t="s">
        <v>2728</v>
      </c>
    </row>
    <row r="863" spans="1:14" x14ac:dyDescent="0.25">
      <c r="A863" s="1" t="s">
        <v>16486</v>
      </c>
      <c r="B863" s="1">
        <v>862</v>
      </c>
      <c r="C863" s="1" t="s">
        <v>215</v>
      </c>
      <c r="D863" s="1" t="s">
        <v>11099</v>
      </c>
      <c r="E863" s="1" t="s">
        <v>2710</v>
      </c>
      <c r="F863" s="1" t="s">
        <v>340</v>
      </c>
      <c r="G863" s="1" t="s">
        <v>16575</v>
      </c>
      <c r="H863" s="1">
        <v>41.9</v>
      </c>
      <c r="I863" s="1">
        <v>0</v>
      </c>
      <c r="J863" s="1">
        <v>1</v>
      </c>
      <c r="K863" s="1"/>
      <c r="L863" s="1">
        <v>0</v>
      </c>
      <c r="M863" s="1" t="s">
        <v>2717</v>
      </c>
      <c r="N863" s="1" t="s">
        <v>2730</v>
      </c>
    </row>
    <row r="864" spans="1:14" x14ac:dyDescent="0.25">
      <c r="A864" s="1" t="s">
        <v>16487</v>
      </c>
      <c r="B864" s="1">
        <v>863</v>
      </c>
      <c r="C864" s="1" t="s">
        <v>215</v>
      </c>
      <c r="D864" s="1" t="s">
        <v>11099</v>
      </c>
      <c r="E864" s="1" t="s">
        <v>2710</v>
      </c>
      <c r="F864" s="1" t="s">
        <v>340</v>
      </c>
      <c r="G864" s="1" t="s">
        <v>16575</v>
      </c>
      <c r="H864" s="1">
        <v>41.9</v>
      </c>
      <c r="I864" s="1">
        <v>0</v>
      </c>
      <c r="J864" s="1">
        <v>1</v>
      </c>
      <c r="K864" s="1"/>
      <c r="L864" s="1">
        <v>0</v>
      </c>
      <c r="M864" s="1" t="s">
        <v>2732</v>
      </c>
      <c r="N864" s="1" t="s">
        <v>2733</v>
      </c>
    </row>
    <row r="865" spans="1:14" x14ac:dyDescent="0.25">
      <c r="A865" s="1" t="s">
        <v>16488</v>
      </c>
      <c r="B865" s="1">
        <v>864</v>
      </c>
      <c r="C865" s="1" t="s">
        <v>215</v>
      </c>
      <c r="D865" s="1" t="s">
        <v>11099</v>
      </c>
      <c r="E865" s="1" t="s">
        <v>2710</v>
      </c>
      <c r="F865" s="1" t="s">
        <v>340</v>
      </c>
      <c r="G865" s="1" t="s">
        <v>16575</v>
      </c>
      <c r="H865" s="1">
        <v>41.9</v>
      </c>
      <c r="I865" s="1">
        <v>0</v>
      </c>
      <c r="J865" s="1">
        <v>1</v>
      </c>
      <c r="K865" s="1"/>
      <c r="L865" s="1">
        <v>0</v>
      </c>
      <c r="M865" s="1" t="s">
        <v>2732</v>
      </c>
      <c r="N865" s="1" t="s">
        <v>2735</v>
      </c>
    </row>
    <row r="866" spans="1:14" x14ac:dyDescent="0.25">
      <c r="A866" s="1" t="s">
        <v>16489</v>
      </c>
      <c r="B866" s="1">
        <v>865</v>
      </c>
      <c r="C866" s="1" t="s">
        <v>215</v>
      </c>
      <c r="D866" s="1" t="s">
        <v>11099</v>
      </c>
      <c r="E866" s="1" t="s">
        <v>2710</v>
      </c>
      <c r="F866" s="1" t="s">
        <v>340</v>
      </c>
      <c r="G866" s="1" t="s">
        <v>16575</v>
      </c>
      <c r="H866" s="1">
        <v>41.9</v>
      </c>
      <c r="I866" s="1">
        <v>0</v>
      </c>
      <c r="J866" s="1">
        <v>1</v>
      </c>
      <c r="K866" s="1"/>
      <c r="L866" s="1">
        <v>0</v>
      </c>
      <c r="M866" s="1" t="s">
        <v>2732</v>
      </c>
      <c r="N866" s="1" t="s">
        <v>2737</v>
      </c>
    </row>
    <row r="867" spans="1:14" x14ac:dyDescent="0.25">
      <c r="A867" s="1" t="s">
        <v>16490</v>
      </c>
      <c r="B867" s="1">
        <v>866</v>
      </c>
      <c r="C867" s="1" t="s">
        <v>215</v>
      </c>
      <c r="D867" s="1" t="s">
        <v>11099</v>
      </c>
      <c r="E867" s="1" t="s">
        <v>2710</v>
      </c>
      <c r="F867" s="1" t="s">
        <v>340</v>
      </c>
      <c r="G867" s="1" t="s">
        <v>16575</v>
      </c>
      <c r="H867" s="1">
        <v>41.9</v>
      </c>
      <c r="I867" s="1">
        <v>0</v>
      </c>
      <c r="J867" s="1">
        <v>1</v>
      </c>
      <c r="K867" s="1"/>
      <c r="L867" s="1">
        <v>0</v>
      </c>
      <c r="M867" s="1" t="s">
        <v>2732</v>
      </c>
      <c r="N867" s="1" t="s">
        <v>2739</v>
      </c>
    </row>
    <row r="868" spans="1:14" x14ac:dyDescent="0.25">
      <c r="A868" s="1" t="s">
        <v>16491</v>
      </c>
      <c r="B868" s="1">
        <v>867</v>
      </c>
      <c r="C868" s="1" t="s">
        <v>215</v>
      </c>
      <c r="D868" s="1" t="s">
        <v>11099</v>
      </c>
      <c r="E868" s="1" t="s">
        <v>2710</v>
      </c>
      <c r="F868" s="1" t="s">
        <v>340</v>
      </c>
      <c r="G868" s="1" t="s">
        <v>16575</v>
      </c>
      <c r="H868" s="1">
        <v>41.9</v>
      </c>
      <c r="I868" s="1">
        <v>0</v>
      </c>
      <c r="J868" s="1">
        <v>1</v>
      </c>
      <c r="K868" s="1"/>
      <c r="L868" s="1">
        <v>0</v>
      </c>
      <c r="M868" s="1" t="s">
        <v>2741</v>
      </c>
      <c r="N868" s="1" t="s">
        <v>2742</v>
      </c>
    </row>
    <row r="869" spans="1:14" x14ac:dyDescent="0.25">
      <c r="A869" s="1" t="s">
        <v>16492</v>
      </c>
      <c r="B869" s="1">
        <v>868</v>
      </c>
      <c r="C869" s="1" t="s">
        <v>215</v>
      </c>
      <c r="D869" s="1" t="s">
        <v>11099</v>
      </c>
      <c r="E869" s="1" t="s">
        <v>2710</v>
      </c>
      <c r="F869" s="1" t="s">
        <v>340</v>
      </c>
      <c r="G869" s="1" t="s">
        <v>16575</v>
      </c>
      <c r="H869" s="1">
        <v>41.9</v>
      </c>
      <c r="I869" s="1">
        <v>0</v>
      </c>
      <c r="J869" s="1">
        <v>1</v>
      </c>
      <c r="K869" s="1"/>
      <c r="L869" s="1">
        <v>0</v>
      </c>
      <c r="M869" s="1" t="s">
        <v>2741</v>
      </c>
      <c r="N869" s="1" t="s">
        <v>2744</v>
      </c>
    </row>
    <row r="870" spans="1:14" x14ac:dyDescent="0.25">
      <c r="A870" s="1" t="s">
        <v>16493</v>
      </c>
      <c r="B870" s="1">
        <v>869</v>
      </c>
      <c r="C870" s="1" t="s">
        <v>215</v>
      </c>
      <c r="D870" s="1" t="s">
        <v>11099</v>
      </c>
      <c r="E870" s="1" t="s">
        <v>2710</v>
      </c>
      <c r="F870" s="1" t="s">
        <v>340</v>
      </c>
      <c r="G870" s="1" t="s">
        <v>16575</v>
      </c>
      <c r="H870" s="1">
        <v>41.9</v>
      </c>
      <c r="I870" s="1">
        <v>0</v>
      </c>
      <c r="J870" s="1">
        <v>1</v>
      </c>
      <c r="K870" s="1"/>
      <c r="L870" s="1">
        <v>0</v>
      </c>
      <c r="M870" s="1" t="s">
        <v>2741</v>
      </c>
      <c r="N870" s="1" t="s">
        <v>2746</v>
      </c>
    </row>
    <row r="871" spans="1:14" s="1" customFormat="1" x14ac:dyDescent="0.25">
      <c r="A871" s="1" t="s">
        <v>16494</v>
      </c>
      <c r="B871" s="1">
        <v>870</v>
      </c>
      <c r="C871" s="1" t="s">
        <v>215</v>
      </c>
      <c r="D871" s="1" t="s">
        <v>11099</v>
      </c>
      <c r="E871" s="1" t="s">
        <v>2710</v>
      </c>
      <c r="F871" s="1" t="s">
        <v>340</v>
      </c>
      <c r="G871" s="1" t="s">
        <v>16575</v>
      </c>
      <c r="H871" s="1">
        <v>41.9</v>
      </c>
      <c r="I871" s="1">
        <v>0</v>
      </c>
      <c r="J871" s="1">
        <v>1</v>
      </c>
      <c r="L871" s="1">
        <v>0</v>
      </c>
      <c r="M871" s="1" t="s">
        <v>15758</v>
      </c>
      <c r="N871" s="1" t="s">
        <v>15758</v>
      </c>
    </row>
    <row r="872" spans="1:14" s="1" customFormat="1" x14ac:dyDescent="0.25">
      <c r="A872" s="1" t="s">
        <v>16495</v>
      </c>
      <c r="B872" s="1">
        <v>871</v>
      </c>
      <c r="C872" s="1" t="s">
        <v>215</v>
      </c>
      <c r="D872" s="1" t="s">
        <v>11099</v>
      </c>
      <c r="E872" s="1" t="s">
        <v>2710</v>
      </c>
      <c r="F872" s="1" t="s">
        <v>340</v>
      </c>
      <c r="G872" s="1" t="s">
        <v>16575</v>
      </c>
      <c r="H872" s="1">
        <v>41.9</v>
      </c>
      <c r="I872" s="1">
        <v>0</v>
      </c>
      <c r="J872" s="1">
        <v>1</v>
      </c>
      <c r="L872" s="1">
        <v>0</v>
      </c>
      <c r="M872" s="1" t="s">
        <v>15770</v>
      </c>
      <c r="N872" s="1" t="s">
        <v>15770</v>
      </c>
    </row>
    <row r="873" spans="1:14" s="1" customFormat="1" x14ac:dyDescent="0.25">
      <c r="A873" s="1" t="s">
        <v>16496</v>
      </c>
      <c r="B873" s="1">
        <v>872</v>
      </c>
      <c r="C873" s="1" t="s">
        <v>215</v>
      </c>
      <c r="D873" s="1" t="s">
        <v>11099</v>
      </c>
      <c r="E873" s="1" t="s">
        <v>2710</v>
      </c>
      <c r="F873" s="1" t="s">
        <v>340</v>
      </c>
      <c r="G873" s="1" t="s">
        <v>16575</v>
      </c>
      <c r="H873" s="1">
        <v>41.9</v>
      </c>
      <c r="I873" s="1">
        <v>0</v>
      </c>
      <c r="J873" s="1">
        <v>1</v>
      </c>
      <c r="L873" s="1">
        <v>0</v>
      </c>
      <c r="M873" s="1" t="s">
        <v>15777</v>
      </c>
      <c r="N873" s="1" t="s">
        <v>15777</v>
      </c>
    </row>
    <row r="874" spans="1:14" x14ac:dyDescent="0.25">
      <c r="A874" s="1" t="s">
        <v>16497</v>
      </c>
      <c r="B874" s="1">
        <v>873</v>
      </c>
      <c r="C874" s="1" t="s">
        <v>215</v>
      </c>
      <c r="D874" s="1" t="s">
        <v>11091</v>
      </c>
      <c r="E874" s="1" t="s">
        <v>2748</v>
      </c>
      <c r="F874" s="1" t="s">
        <v>2749</v>
      </c>
      <c r="G874" s="1" t="s">
        <v>16576</v>
      </c>
      <c r="H874" s="1">
        <v>41.9</v>
      </c>
      <c r="I874" s="1">
        <v>0</v>
      </c>
      <c r="J874" s="1">
        <v>1</v>
      </c>
      <c r="K874" s="1"/>
      <c r="L874" s="1">
        <v>0</v>
      </c>
      <c r="M874" s="1" t="s">
        <v>2750</v>
      </c>
      <c r="N874" s="1" t="s">
        <v>2751</v>
      </c>
    </row>
    <row r="875" spans="1:14" x14ac:dyDescent="0.25">
      <c r="A875" s="1" t="s">
        <v>16498</v>
      </c>
      <c r="B875" s="1">
        <v>874</v>
      </c>
      <c r="C875" s="1" t="s">
        <v>215</v>
      </c>
      <c r="D875" s="1" t="s">
        <v>11091</v>
      </c>
      <c r="E875" s="1" t="s">
        <v>2748</v>
      </c>
      <c r="F875" s="1" t="s">
        <v>2749</v>
      </c>
      <c r="G875" s="1" t="s">
        <v>16576</v>
      </c>
      <c r="H875" s="1">
        <v>41.9</v>
      </c>
      <c r="I875" s="1">
        <v>0</v>
      </c>
      <c r="J875" s="1">
        <v>1</v>
      </c>
      <c r="K875" s="1"/>
      <c r="L875" s="1">
        <v>0</v>
      </c>
      <c r="M875" s="1" t="s">
        <v>2753</v>
      </c>
      <c r="N875" s="1" t="s">
        <v>2754</v>
      </c>
    </row>
    <row r="876" spans="1:14" x14ac:dyDescent="0.25">
      <c r="A876" s="1" t="s">
        <v>16499</v>
      </c>
      <c r="B876" s="1">
        <v>875</v>
      </c>
      <c r="C876" s="1" t="s">
        <v>215</v>
      </c>
      <c r="D876" s="1" t="s">
        <v>11091</v>
      </c>
      <c r="E876" s="1" t="s">
        <v>2748</v>
      </c>
      <c r="F876" s="1" t="s">
        <v>2749</v>
      </c>
      <c r="G876" s="1" t="s">
        <v>16576</v>
      </c>
      <c r="H876" s="1">
        <v>41.9</v>
      </c>
      <c r="I876" s="1">
        <v>0</v>
      </c>
      <c r="J876" s="1">
        <v>1</v>
      </c>
      <c r="K876" s="1"/>
      <c r="L876" s="1">
        <v>0</v>
      </c>
      <c r="M876" s="1" t="s">
        <v>2753</v>
      </c>
      <c r="N876" s="1" t="s">
        <v>2756</v>
      </c>
    </row>
    <row r="877" spans="1:14" x14ac:dyDescent="0.25">
      <c r="A877" s="1" t="s">
        <v>16500</v>
      </c>
      <c r="B877" s="1">
        <v>876</v>
      </c>
      <c r="C877" s="1" t="s">
        <v>215</v>
      </c>
      <c r="D877" s="1" t="s">
        <v>11091</v>
      </c>
      <c r="E877" s="1" t="s">
        <v>2748</v>
      </c>
      <c r="F877" s="1" t="s">
        <v>2749</v>
      </c>
      <c r="G877" s="1" t="s">
        <v>16576</v>
      </c>
      <c r="H877" s="1">
        <v>41.9</v>
      </c>
      <c r="I877" s="1">
        <v>0</v>
      </c>
      <c r="J877" s="1">
        <v>1</v>
      </c>
      <c r="K877" s="1"/>
      <c r="L877" s="1">
        <v>0</v>
      </c>
      <c r="M877" s="1" t="s">
        <v>2753</v>
      </c>
      <c r="N877" s="1" t="s">
        <v>2758</v>
      </c>
    </row>
    <row r="878" spans="1:14" x14ac:dyDescent="0.25">
      <c r="A878" s="1" t="s">
        <v>16501</v>
      </c>
      <c r="B878" s="1">
        <v>877</v>
      </c>
      <c r="C878" s="1" t="s">
        <v>215</v>
      </c>
      <c r="D878" s="1" t="s">
        <v>11091</v>
      </c>
      <c r="E878" s="1" t="s">
        <v>2748</v>
      </c>
      <c r="F878" s="1" t="s">
        <v>2749</v>
      </c>
      <c r="G878" s="1" t="s">
        <v>16576</v>
      </c>
      <c r="H878" s="1">
        <v>41.9</v>
      </c>
      <c r="I878" s="1">
        <v>0</v>
      </c>
      <c r="J878" s="1">
        <v>1</v>
      </c>
      <c r="K878" s="1"/>
      <c r="L878" s="1">
        <v>0</v>
      </c>
      <c r="M878" s="1" t="s">
        <v>2753</v>
      </c>
      <c r="N878" s="1" t="s">
        <v>2760</v>
      </c>
    </row>
    <row r="879" spans="1:14" x14ac:dyDescent="0.25">
      <c r="A879" s="1" t="s">
        <v>16502</v>
      </c>
      <c r="B879" s="1">
        <v>878</v>
      </c>
      <c r="C879" s="1" t="s">
        <v>215</v>
      </c>
      <c r="D879" s="1" t="s">
        <v>11091</v>
      </c>
      <c r="E879" s="1" t="s">
        <v>2748</v>
      </c>
      <c r="F879" s="1" t="s">
        <v>2749</v>
      </c>
      <c r="G879" s="1" t="s">
        <v>16576</v>
      </c>
      <c r="H879" s="1">
        <v>41.9</v>
      </c>
      <c r="I879" s="1">
        <v>0</v>
      </c>
      <c r="J879" s="1">
        <v>1</v>
      </c>
      <c r="K879" s="1"/>
      <c r="L879" s="1">
        <v>0</v>
      </c>
      <c r="M879" s="1" t="s">
        <v>2753</v>
      </c>
      <c r="N879" s="1" t="s">
        <v>2762</v>
      </c>
    </row>
    <row r="880" spans="1:14" x14ac:dyDescent="0.25">
      <c r="A880" s="1" t="s">
        <v>16503</v>
      </c>
      <c r="B880" s="1">
        <v>879</v>
      </c>
      <c r="C880" s="1" t="s">
        <v>215</v>
      </c>
      <c r="D880" s="1" t="s">
        <v>11091</v>
      </c>
      <c r="E880" s="1" t="s">
        <v>2748</v>
      </c>
      <c r="F880" s="1" t="s">
        <v>2749</v>
      </c>
      <c r="G880" s="1" t="s">
        <v>16576</v>
      </c>
      <c r="H880" s="1">
        <v>41.9</v>
      </c>
      <c r="I880" s="1">
        <v>0</v>
      </c>
      <c r="J880" s="1">
        <v>1</v>
      </c>
      <c r="K880" s="1"/>
      <c r="L880" s="1">
        <v>0</v>
      </c>
      <c r="M880" s="1" t="s">
        <v>2764</v>
      </c>
      <c r="N880" s="1" t="s">
        <v>2765</v>
      </c>
    </row>
    <row r="881" spans="1:14" x14ac:dyDescent="0.25">
      <c r="A881" s="1" t="s">
        <v>16504</v>
      </c>
      <c r="B881" s="1">
        <v>880</v>
      </c>
      <c r="C881" s="1" t="s">
        <v>215</v>
      </c>
      <c r="D881" s="1" t="s">
        <v>11091</v>
      </c>
      <c r="E881" s="1" t="s">
        <v>2748</v>
      </c>
      <c r="F881" s="1" t="s">
        <v>2749</v>
      </c>
      <c r="G881" s="1" t="s">
        <v>16576</v>
      </c>
      <c r="H881" s="1">
        <v>41.9</v>
      </c>
      <c r="I881" s="1">
        <v>0</v>
      </c>
      <c r="J881" s="1">
        <v>1</v>
      </c>
      <c r="K881" s="1"/>
      <c r="L881" s="1">
        <v>0</v>
      </c>
      <c r="M881" s="1" t="s">
        <v>2764</v>
      </c>
      <c r="N881" s="1" t="s">
        <v>2767</v>
      </c>
    </row>
    <row r="882" spans="1:14" x14ac:dyDescent="0.25">
      <c r="A882" s="1" t="s">
        <v>16505</v>
      </c>
      <c r="B882" s="1">
        <v>881</v>
      </c>
      <c r="C882" s="1" t="s">
        <v>215</v>
      </c>
      <c r="D882" s="1" t="s">
        <v>11091</v>
      </c>
      <c r="E882" s="1" t="s">
        <v>2748</v>
      </c>
      <c r="F882" s="1" t="s">
        <v>2749</v>
      </c>
      <c r="G882" s="1" t="s">
        <v>16576</v>
      </c>
      <c r="H882" s="1">
        <v>41.9</v>
      </c>
      <c r="I882" s="1">
        <v>0</v>
      </c>
      <c r="J882" s="1">
        <v>1</v>
      </c>
      <c r="K882" s="1"/>
      <c r="L882" s="1">
        <v>0</v>
      </c>
      <c r="M882" s="1" t="s">
        <v>2764</v>
      </c>
      <c r="N882" s="1" t="s">
        <v>2769</v>
      </c>
    </row>
    <row r="883" spans="1:14" x14ac:dyDescent="0.25">
      <c r="A883" s="1" t="s">
        <v>16506</v>
      </c>
      <c r="B883" s="1">
        <v>882</v>
      </c>
      <c r="C883" s="1" t="s">
        <v>215</v>
      </c>
      <c r="D883" s="1" t="s">
        <v>11091</v>
      </c>
      <c r="E883" s="1" t="s">
        <v>2748</v>
      </c>
      <c r="F883" s="1" t="s">
        <v>2749</v>
      </c>
      <c r="G883" s="1" t="s">
        <v>16576</v>
      </c>
      <c r="H883" s="1">
        <v>41.9</v>
      </c>
      <c r="I883" s="1">
        <v>0</v>
      </c>
      <c r="J883" s="1">
        <v>1</v>
      </c>
      <c r="K883" s="1"/>
      <c r="L883" s="1">
        <v>0</v>
      </c>
      <c r="M883" s="1" t="s">
        <v>2764</v>
      </c>
      <c r="N883" s="1" t="s">
        <v>2771</v>
      </c>
    </row>
    <row r="884" spans="1:14" x14ac:dyDescent="0.25">
      <c r="A884" s="1" t="s">
        <v>16507</v>
      </c>
      <c r="B884" s="1">
        <v>883</v>
      </c>
      <c r="C884" s="1" t="s">
        <v>215</v>
      </c>
      <c r="D884" s="1" t="s">
        <v>11091</v>
      </c>
      <c r="E884" s="1" t="s">
        <v>2748</v>
      </c>
      <c r="F884" s="1" t="s">
        <v>2749</v>
      </c>
      <c r="G884" s="1" t="s">
        <v>16576</v>
      </c>
      <c r="H884" s="1">
        <v>41.9</v>
      </c>
      <c r="I884" s="1">
        <v>0</v>
      </c>
      <c r="J884" s="1">
        <v>1</v>
      </c>
      <c r="K884" s="1"/>
      <c r="L884" s="1">
        <v>0</v>
      </c>
      <c r="M884" s="1" t="s">
        <v>2764</v>
      </c>
      <c r="N884" s="1" t="s">
        <v>2773</v>
      </c>
    </row>
    <row r="885" spans="1:14" x14ac:dyDescent="0.25">
      <c r="A885" s="1" t="s">
        <v>16508</v>
      </c>
      <c r="B885" s="1">
        <v>884</v>
      </c>
      <c r="C885" s="1" t="s">
        <v>215</v>
      </c>
      <c r="D885" s="1" t="s">
        <v>11091</v>
      </c>
      <c r="E885" s="1" t="s">
        <v>2748</v>
      </c>
      <c r="F885" s="1" t="s">
        <v>2749</v>
      </c>
      <c r="G885" s="1" t="s">
        <v>16576</v>
      </c>
      <c r="H885" s="1">
        <v>41.9</v>
      </c>
      <c r="I885" s="1">
        <v>0</v>
      </c>
      <c r="J885" s="1">
        <v>1</v>
      </c>
      <c r="K885" s="1"/>
      <c r="L885" s="1">
        <v>0</v>
      </c>
      <c r="M885" s="1" t="s">
        <v>2764</v>
      </c>
      <c r="N885" s="1" t="s">
        <v>2775</v>
      </c>
    </row>
    <row r="886" spans="1:14" x14ac:dyDescent="0.25">
      <c r="A886" s="1" t="s">
        <v>16509</v>
      </c>
      <c r="B886" s="1">
        <v>885</v>
      </c>
      <c r="C886" s="1" t="s">
        <v>215</v>
      </c>
      <c r="D886" s="1" t="s">
        <v>11091</v>
      </c>
      <c r="E886" s="1" t="s">
        <v>2748</v>
      </c>
      <c r="F886" s="1" t="s">
        <v>2749</v>
      </c>
      <c r="G886" s="1" t="s">
        <v>16576</v>
      </c>
      <c r="H886" s="1">
        <v>41.9</v>
      </c>
      <c r="I886" s="1">
        <v>0</v>
      </c>
      <c r="J886" s="1">
        <v>1</v>
      </c>
      <c r="K886" s="1"/>
      <c r="L886" s="1">
        <v>0</v>
      </c>
      <c r="M886" s="1" t="s">
        <v>2764</v>
      </c>
      <c r="N886" s="1" t="s">
        <v>2777</v>
      </c>
    </row>
    <row r="887" spans="1:14" x14ac:dyDescent="0.25">
      <c r="A887" s="1" t="s">
        <v>16510</v>
      </c>
      <c r="B887" s="1">
        <v>886</v>
      </c>
      <c r="C887" s="1" t="s">
        <v>215</v>
      </c>
      <c r="D887" s="1" t="s">
        <v>11091</v>
      </c>
      <c r="E887" s="1" t="s">
        <v>2748</v>
      </c>
      <c r="F887" s="1" t="s">
        <v>2749</v>
      </c>
      <c r="G887" s="1" t="s">
        <v>16576</v>
      </c>
      <c r="H887" s="1">
        <v>41.9</v>
      </c>
      <c r="I887" s="1">
        <v>0</v>
      </c>
      <c r="J887" s="1">
        <v>1</v>
      </c>
      <c r="K887" s="1"/>
      <c r="L887" s="1">
        <v>0</v>
      </c>
      <c r="M887" s="1" t="s">
        <v>2779</v>
      </c>
      <c r="N887" s="1" t="s">
        <v>2780</v>
      </c>
    </row>
    <row r="888" spans="1:14" x14ac:dyDescent="0.25">
      <c r="A888" s="1" t="s">
        <v>16511</v>
      </c>
      <c r="B888" s="1">
        <v>887</v>
      </c>
      <c r="C888" s="1" t="s">
        <v>215</v>
      </c>
      <c r="D888" s="1" t="s">
        <v>11091</v>
      </c>
      <c r="E888" s="1" t="s">
        <v>2748</v>
      </c>
      <c r="F888" s="1" t="s">
        <v>2749</v>
      </c>
      <c r="G888" s="1" t="s">
        <v>16576</v>
      </c>
      <c r="H888" s="1">
        <v>41.9</v>
      </c>
      <c r="I888" s="1">
        <v>0</v>
      </c>
      <c r="J888" s="1">
        <v>1</v>
      </c>
      <c r="K888" s="1"/>
      <c r="L888" s="1">
        <v>0</v>
      </c>
      <c r="M888" s="1" t="s">
        <v>2779</v>
      </c>
      <c r="N888" s="1" t="s">
        <v>2782</v>
      </c>
    </row>
    <row r="889" spans="1:14" x14ac:dyDescent="0.25">
      <c r="A889" s="1" t="s">
        <v>16512</v>
      </c>
      <c r="B889" s="1">
        <v>888</v>
      </c>
      <c r="C889" s="1" t="s">
        <v>215</v>
      </c>
      <c r="D889" s="1" t="s">
        <v>11091</v>
      </c>
      <c r="E889" s="1" t="s">
        <v>2748</v>
      </c>
      <c r="F889" s="1" t="s">
        <v>2749</v>
      </c>
      <c r="G889" s="1" t="s">
        <v>16576</v>
      </c>
      <c r="H889" s="1">
        <v>41.9</v>
      </c>
      <c r="I889" s="1">
        <v>0</v>
      </c>
      <c r="J889" s="1">
        <v>1</v>
      </c>
      <c r="K889" s="1"/>
      <c r="L889" s="1">
        <v>0</v>
      </c>
      <c r="M889" s="1" t="s">
        <v>2779</v>
      </c>
      <c r="N889" s="1" t="s">
        <v>2784</v>
      </c>
    </row>
    <row r="890" spans="1:14" x14ac:dyDescent="0.25">
      <c r="A890" s="1" t="s">
        <v>16513</v>
      </c>
      <c r="B890" s="1">
        <v>889</v>
      </c>
      <c r="C890" s="1" t="s">
        <v>215</v>
      </c>
      <c r="D890" s="1" t="s">
        <v>11091</v>
      </c>
      <c r="E890" s="1" t="s">
        <v>2748</v>
      </c>
      <c r="F890" s="1" t="s">
        <v>2749</v>
      </c>
      <c r="G890" s="1" t="s">
        <v>16576</v>
      </c>
      <c r="H890" s="1">
        <v>41.9</v>
      </c>
      <c r="I890" s="1">
        <v>0</v>
      </c>
      <c r="J890" s="1">
        <v>1</v>
      </c>
      <c r="K890" s="1"/>
      <c r="L890" s="1">
        <v>0</v>
      </c>
      <c r="M890" s="1" t="s">
        <v>2779</v>
      </c>
      <c r="N890" s="1" t="s">
        <v>2786</v>
      </c>
    </row>
    <row r="891" spans="1:14" x14ac:dyDescent="0.25">
      <c r="A891" s="1" t="s">
        <v>16514</v>
      </c>
      <c r="B891" s="1">
        <v>890</v>
      </c>
      <c r="C891" s="1" t="s">
        <v>215</v>
      </c>
      <c r="D891" s="1" t="s">
        <v>11091</v>
      </c>
      <c r="E891" s="1" t="s">
        <v>2748</v>
      </c>
      <c r="F891" s="1" t="s">
        <v>2749</v>
      </c>
      <c r="G891" s="1" t="s">
        <v>16576</v>
      </c>
      <c r="H891" s="1">
        <v>41.9</v>
      </c>
      <c r="I891" s="1">
        <v>0</v>
      </c>
      <c r="J891" s="1">
        <v>1</v>
      </c>
      <c r="K891" s="1"/>
      <c r="L891" s="1">
        <v>0</v>
      </c>
      <c r="M891" s="1" t="s">
        <v>2779</v>
      </c>
      <c r="N891" s="1" t="s">
        <v>2788</v>
      </c>
    </row>
    <row r="892" spans="1:14" x14ac:dyDescent="0.25">
      <c r="A892" s="1" t="s">
        <v>16515</v>
      </c>
      <c r="B892" s="1">
        <v>891</v>
      </c>
      <c r="C892" s="1" t="s">
        <v>215</v>
      </c>
      <c r="D892" s="1" t="s">
        <v>11091</v>
      </c>
      <c r="E892" s="1" t="s">
        <v>2748</v>
      </c>
      <c r="F892" s="1" t="s">
        <v>2749</v>
      </c>
      <c r="G892" s="1" t="s">
        <v>16576</v>
      </c>
      <c r="H892" s="1">
        <v>41.9</v>
      </c>
      <c r="I892" s="1">
        <v>0</v>
      </c>
      <c r="J892" s="1">
        <v>1</v>
      </c>
      <c r="K892" s="1"/>
      <c r="L892" s="1">
        <v>0</v>
      </c>
      <c r="M892" s="1" t="s">
        <v>2779</v>
      </c>
      <c r="N892" s="1" t="s">
        <v>2790</v>
      </c>
    </row>
    <row r="893" spans="1:14" x14ac:dyDescent="0.25">
      <c r="A893" s="1" t="s">
        <v>16516</v>
      </c>
      <c r="B893" s="1">
        <v>892</v>
      </c>
      <c r="C893" s="1" t="s">
        <v>215</v>
      </c>
      <c r="D893" s="1" t="s">
        <v>11091</v>
      </c>
      <c r="E893" s="1" t="s">
        <v>2748</v>
      </c>
      <c r="F893" s="1" t="s">
        <v>2749</v>
      </c>
      <c r="G893" s="1" t="s">
        <v>16576</v>
      </c>
      <c r="H893" s="1">
        <v>41.9</v>
      </c>
      <c r="I893" s="1">
        <v>0</v>
      </c>
      <c r="J893" s="1">
        <v>1</v>
      </c>
      <c r="K893" s="1"/>
      <c r="L893" s="1">
        <v>0</v>
      </c>
      <c r="M893" s="1" t="s">
        <v>2792</v>
      </c>
      <c r="N893" s="1" t="s">
        <v>2793</v>
      </c>
    </row>
    <row r="894" spans="1:14" x14ac:dyDescent="0.25">
      <c r="A894" s="1" t="s">
        <v>16517</v>
      </c>
      <c r="B894" s="1">
        <v>893</v>
      </c>
      <c r="C894" s="1" t="s">
        <v>215</v>
      </c>
      <c r="D894" s="1" t="s">
        <v>11091</v>
      </c>
      <c r="E894" s="1" t="s">
        <v>2748</v>
      </c>
      <c r="F894" s="1" t="s">
        <v>2749</v>
      </c>
      <c r="G894" s="1" t="s">
        <v>16576</v>
      </c>
      <c r="H894" s="1">
        <v>41.9</v>
      </c>
      <c r="I894" s="1">
        <v>0</v>
      </c>
      <c r="J894" s="1">
        <v>1</v>
      </c>
      <c r="K894" s="1"/>
      <c r="L894" s="1">
        <v>0</v>
      </c>
      <c r="M894" s="1" t="s">
        <v>2792</v>
      </c>
      <c r="N894" s="1" t="s">
        <v>2795</v>
      </c>
    </row>
    <row r="895" spans="1:14" x14ac:dyDescent="0.25">
      <c r="A895" s="1" t="s">
        <v>16518</v>
      </c>
      <c r="B895" s="1">
        <v>894</v>
      </c>
      <c r="C895" s="1" t="s">
        <v>215</v>
      </c>
      <c r="D895" s="1" t="s">
        <v>11091</v>
      </c>
      <c r="E895" s="1" t="s">
        <v>2748</v>
      </c>
      <c r="F895" s="1" t="s">
        <v>2749</v>
      </c>
      <c r="G895" s="1" t="s">
        <v>16576</v>
      </c>
      <c r="H895" s="1">
        <v>41.9</v>
      </c>
      <c r="I895" s="1">
        <v>0</v>
      </c>
      <c r="J895" s="1">
        <v>1</v>
      </c>
      <c r="K895" s="1"/>
      <c r="L895" s="1">
        <v>0</v>
      </c>
      <c r="M895" s="1" t="s">
        <v>2792</v>
      </c>
      <c r="N895" s="1" t="s">
        <v>2797</v>
      </c>
    </row>
    <row r="896" spans="1:14" x14ac:dyDescent="0.25">
      <c r="A896" s="1" t="s">
        <v>16519</v>
      </c>
      <c r="B896" s="1">
        <v>895</v>
      </c>
      <c r="C896" s="1" t="s">
        <v>215</v>
      </c>
      <c r="D896" s="1" t="s">
        <v>11091</v>
      </c>
      <c r="E896" s="1" t="s">
        <v>2748</v>
      </c>
      <c r="F896" s="1" t="s">
        <v>2749</v>
      </c>
      <c r="G896" s="1" t="s">
        <v>16576</v>
      </c>
      <c r="H896" s="1">
        <v>41.9</v>
      </c>
      <c r="I896" s="1">
        <v>0</v>
      </c>
      <c r="J896" s="1">
        <v>1</v>
      </c>
      <c r="K896" s="1"/>
      <c r="L896" s="1">
        <v>0</v>
      </c>
      <c r="M896" s="1" t="s">
        <v>2792</v>
      </c>
      <c r="N896" s="1" t="s">
        <v>5840</v>
      </c>
    </row>
    <row r="897" spans="1:14" s="1" customFormat="1" x14ac:dyDescent="0.25">
      <c r="A897" s="1" t="s">
        <v>16520</v>
      </c>
      <c r="B897" s="1">
        <v>896</v>
      </c>
      <c r="C897" s="1" t="s">
        <v>215</v>
      </c>
      <c r="D897" s="1" t="s">
        <v>11091</v>
      </c>
      <c r="E897" s="1" t="s">
        <v>2748</v>
      </c>
      <c r="F897" s="1" t="s">
        <v>2749</v>
      </c>
      <c r="G897" s="1" t="s">
        <v>16576</v>
      </c>
      <c r="H897" s="1">
        <v>41.9</v>
      </c>
      <c r="I897" s="1">
        <v>0</v>
      </c>
      <c r="J897" s="1">
        <v>1</v>
      </c>
      <c r="L897" s="1">
        <v>0</v>
      </c>
      <c r="M897" s="1" t="s">
        <v>15788</v>
      </c>
      <c r="N897" s="1" t="s">
        <v>15788</v>
      </c>
    </row>
    <row r="898" spans="1:14" s="1" customFormat="1" x14ac:dyDescent="0.25">
      <c r="A898" s="1" t="s">
        <v>16521</v>
      </c>
      <c r="B898" s="1">
        <v>897</v>
      </c>
      <c r="C898" s="1" t="s">
        <v>215</v>
      </c>
      <c r="D898" s="1" t="s">
        <v>11091</v>
      </c>
      <c r="E898" s="1" t="s">
        <v>2748</v>
      </c>
      <c r="F898" s="1" t="s">
        <v>2749</v>
      </c>
      <c r="G898" s="1" t="s">
        <v>16576</v>
      </c>
      <c r="H898" s="1">
        <v>41.9</v>
      </c>
      <c r="I898" s="1">
        <v>0</v>
      </c>
      <c r="J898" s="1">
        <v>1</v>
      </c>
      <c r="L898" s="1">
        <v>0</v>
      </c>
      <c r="M898" s="1" t="s">
        <v>15794</v>
      </c>
      <c r="N898" s="1" t="s">
        <v>15794</v>
      </c>
    </row>
    <row r="899" spans="1:14" s="1" customFormat="1" x14ac:dyDescent="0.25">
      <c r="A899" s="1" t="s">
        <v>16522</v>
      </c>
      <c r="B899" s="1">
        <v>898</v>
      </c>
      <c r="C899" s="1" t="s">
        <v>215</v>
      </c>
      <c r="D899" s="1" t="s">
        <v>11091</v>
      </c>
      <c r="E899" s="1" t="s">
        <v>2748</v>
      </c>
      <c r="F899" s="1" t="s">
        <v>2749</v>
      </c>
      <c r="G899" s="1" t="s">
        <v>16576</v>
      </c>
      <c r="H899" s="1">
        <v>41.9</v>
      </c>
      <c r="I899" s="1">
        <v>0</v>
      </c>
      <c r="J899" s="1">
        <v>1</v>
      </c>
      <c r="L899" s="1">
        <v>0</v>
      </c>
      <c r="M899" s="1" t="s">
        <v>15800</v>
      </c>
      <c r="N899" s="1" t="s">
        <v>15800</v>
      </c>
    </row>
    <row r="900" spans="1:14" s="1" customFormat="1" x14ac:dyDescent="0.25">
      <c r="A900" s="1" t="s">
        <v>16523</v>
      </c>
      <c r="B900" s="1">
        <v>899</v>
      </c>
      <c r="C900" s="1" t="s">
        <v>215</v>
      </c>
      <c r="D900" s="1" t="s">
        <v>11091</v>
      </c>
      <c r="E900" s="1" t="s">
        <v>2748</v>
      </c>
      <c r="F900" s="1" t="s">
        <v>2749</v>
      </c>
      <c r="G900" s="1" t="s">
        <v>16576</v>
      </c>
      <c r="H900" s="1">
        <v>41.9</v>
      </c>
      <c r="I900" s="1">
        <v>0</v>
      </c>
      <c r="J900" s="1">
        <v>1</v>
      </c>
      <c r="L900" s="1">
        <v>0</v>
      </c>
      <c r="M900" s="1" t="s">
        <v>15807</v>
      </c>
      <c r="N900" s="1" t="s">
        <v>15807</v>
      </c>
    </row>
    <row r="901" spans="1:14" x14ac:dyDescent="0.25">
      <c r="A901" s="1" t="s">
        <v>16524</v>
      </c>
      <c r="B901" s="1">
        <v>900</v>
      </c>
      <c r="C901" s="1" t="s">
        <v>1067</v>
      </c>
      <c r="D901" s="1" t="s">
        <v>11087</v>
      </c>
      <c r="E901" s="1" t="s">
        <v>1068</v>
      </c>
      <c r="F901" s="1" t="s">
        <v>408</v>
      </c>
      <c r="G901" s="1" t="s">
        <v>1085</v>
      </c>
      <c r="H901" s="1">
        <v>41.9</v>
      </c>
      <c r="I901" s="1">
        <v>0</v>
      </c>
      <c r="J901" s="1">
        <v>1</v>
      </c>
      <c r="K901" s="1"/>
      <c r="L901" s="1">
        <v>0</v>
      </c>
      <c r="M901" t="s">
        <v>3376</v>
      </c>
      <c r="N901" t="s">
        <v>3376</v>
      </c>
    </row>
    <row r="902" spans="1:14" x14ac:dyDescent="0.25">
      <c r="A902" s="1" t="s">
        <v>16525</v>
      </c>
      <c r="B902" s="1">
        <v>901</v>
      </c>
      <c r="C902" s="1" t="s">
        <v>1067</v>
      </c>
      <c r="D902" s="1" t="s">
        <v>11087</v>
      </c>
      <c r="E902" s="1" t="s">
        <v>1068</v>
      </c>
      <c r="F902" s="1" t="s">
        <v>475</v>
      </c>
      <c r="G902" s="1" t="s">
        <v>1143</v>
      </c>
      <c r="H902" s="1">
        <v>41.9</v>
      </c>
      <c r="I902" s="1">
        <v>0</v>
      </c>
      <c r="J902" s="1">
        <v>1</v>
      </c>
      <c r="K902" s="1"/>
      <c r="L902" s="1">
        <v>0</v>
      </c>
      <c r="M902" t="s">
        <v>14227</v>
      </c>
      <c r="N902" t="s">
        <v>14227</v>
      </c>
    </row>
    <row r="903" spans="1:14" x14ac:dyDescent="0.25">
      <c r="A903" s="1" t="s">
        <v>16526</v>
      </c>
      <c r="B903" s="1">
        <v>902</v>
      </c>
      <c r="C903" s="1" t="s">
        <v>1067</v>
      </c>
      <c r="D903" s="1" t="s">
        <v>11087</v>
      </c>
      <c r="E903" s="1" t="s">
        <v>1068</v>
      </c>
      <c r="F903" s="1" t="s">
        <v>412</v>
      </c>
      <c r="G903" s="1" t="s">
        <v>1162</v>
      </c>
      <c r="H903" s="1">
        <v>41.9</v>
      </c>
      <c r="I903" s="1">
        <v>0</v>
      </c>
      <c r="J903" s="1">
        <v>1</v>
      </c>
      <c r="K903" s="1"/>
      <c r="L903" s="1">
        <v>0</v>
      </c>
      <c r="M903" t="s">
        <v>3382</v>
      </c>
      <c r="N903" t="s">
        <v>3382</v>
      </c>
    </row>
    <row r="904" spans="1:14" x14ac:dyDescent="0.25">
      <c r="A904" s="1" t="s">
        <v>16527</v>
      </c>
      <c r="B904" s="1">
        <v>903</v>
      </c>
      <c r="C904" s="1" t="s">
        <v>1067</v>
      </c>
      <c r="D904" s="1" t="s">
        <v>11088</v>
      </c>
      <c r="E904" s="1" t="s">
        <v>1223</v>
      </c>
      <c r="F904" s="1" t="s">
        <v>344</v>
      </c>
      <c r="G904" s="1" t="s">
        <v>1320</v>
      </c>
      <c r="H904" s="1">
        <v>41.9</v>
      </c>
      <c r="I904" s="1">
        <v>0</v>
      </c>
      <c r="J904" s="1">
        <v>1</v>
      </c>
      <c r="K904" s="1"/>
      <c r="L904" s="1">
        <v>0</v>
      </c>
      <c r="M904" t="s">
        <v>14685</v>
      </c>
      <c r="N904" t="s">
        <v>14685</v>
      </c>
    </row>
    <row r="905" spans="1:14" x14ac:dyDescent="0.25">
      <c r="A905" s="1" t="s">
        <v>16528</v>
      </c>
      <c r="B905" s="1">
        <v>904</v>
      </c>
      <c r="C905" s="1" t="s">
        <v>1067</v>
      </c>
      <c r="D905" s="1" t="s">
        <v>11088</v>
      </c>
      <c r="E905" s="1" t="s">
        <v>1223</v>
      </c>
      <c r="F905" s="1" t="s">
        <v>512</v>
      </c>
      <c r="G905" s="1" t="s">
        <v>1297</v>
      </c>
      <c r="H905" s="1">
        <v>41.9</v>
      </c>
      <c r="I905" s="1">
        <v>0</v>
      </c>
      <c r="J905" s="1">
        <v>1</v>
      </c>
      <c r="K905" s="1"/>
      <c r="L905" s="1">
        <v>0</v>
      </c>
      <c r="M905" t="s">
        <v>14635</v>
      </c>
      <c r="N905" t="s">
        <v>14635</v>
      </c>
    </row>
    <row r="906" spans="1:14" x14ac:dyDescent="0.25">
      <c r="A906" s="1" t="s">
        <v>16529</v>
      </c>
      <c r="B906" s="1">
        <v>905</v>
      </c>
      <c r="C906" s="1" t="s">
        <v>1067</v>
      </c>
      <c r="D906" s="1" t="s">
        <v>11088</v>
      </c>
      <c r="E906" s="1" t="s">
        <v>1223</v>
      </c>
      <c r="F906" s="1" t="s">
        <v>512</v>
      </c>
      <c r="G906" s="1" t="s">
        <v>1297</v>
      </c>
      <c r="H906" s="1">
        <v>41.9</v>
      </c>
      <c r="I906" s="1">
        <v>0</v>
      </c>
      <c r="J906" s="1">
        <v>1</v>
      </c>
      <c r="K906" s="1"/>
      <c r="L906" s="1">
        <v>0</v>
      </c>
      <c r="M906" t="s">
        <v>14601</v>
      </c>
      <c r="N906" t="s">
        <v>14601</v>
      </c>
    </row>
    <row r="907" spans="1:14" x14ac:dyDescent="0.25">
      <c r="A907" s="1" t="s">
        <v>16530</v>
      </c>
      <c r="B907" s="1">
        <v>906</v>
      </c>
      <c r="C907" s="1" t="s">
        <v>1067</v>
      </c>
      <c r="D907" s="1" t="s">
        <v>11088</v>
      </c>
      <c r="E907" s="1" t="s">
        <v>1223</v>
      </c>
      <c r="F907" s="1" t="s">
        <v>369</v>
      </c>
      <c r="G907" s="1" t="s">
        <v>1271</v>
      </c>
      <c r="H907" s="1">
        <v>41.9</v>
      </c>
      <c r="I907" s="1">
        <v>0</v>
      </c>
      <c r="J907" s="1">
        <v>1</v>
      </c>
      <c r="K907" s="1"/>
      <c r="L907" s="1">
        <v>0</v>
      </c>
      <c r="M907" t="s">
        <v>14566</v>
      </c>
      <c r="N907" t="s">
        <v>14566</v>
      </c>
    </row>
    <row r="908" spans="1:14" x14ac:dyDescent="0.25">
      <c r="A908" s="1" t="s">
        <v>16531</v>
      </c>
      <c r="B908" s="1">
        <v>907</v>
      </c>
      <c r="C908" s="1" t="s">
        <v>1067</v>
      </c>
      <c r="D908" s="1" t="s">
        <v>11088</v>
      </c>
      <c r="E908" s="1" t="s">
        <v>1223</v>
      </c>
      <c r="F908" s="1" t="s">
        <v>369</v>
      </c>
      <c r="G908" s="1" t="s">
        <v>1271</v>
      </c>
      <c r="H908" s="1">
        <v>41.9</v>
      </c>
      <c r="I908" s="1">
        <v>0</v>
      </c>
      <c r="J908" s="1">
        <v>1</v>
      </c>
      <c r="K908" s="1"/>
      <c r="L908" s="1">
        <v>0</v>
      </c>
      <c r="M908" t="s">
        <v>14556</v>
      </c>
      <c r="N908" t="s">
        <v>14556</v>
      </c>
    </row>
    <row r="909" spans="1:14" x14ac:dyDescent="0.25">
      <c r="A909" s="1" t="s">
        <v>16532</v>
      </c>
      <c r="B909" s="1">
        <v>908</v>
      </c>
      <c r="C909" s="1" t="s">
        <v>1067</v>
      </c>
      <c r="D909" s="1" t="s">
        <v>11088</v>
      </c>
      <c r="E909" s="1" t="s">
        <v>1223</v>
      </c>
      <c r="F909" s="1" t="s">
        <v>362</v>
      </c>
      <c r="G909" s="1" t="s">
        <v>1234</v>
      </c>
      <c r="H909" s="1">
        <v>41.9</v>
      </c>
      <c r="I909" s="1">
        <v>0</v>
      </c>
      <c r="J909" s="1">
        <v>1</v>
      </c>
      <c r="K909" s="1"/>
      <c r="L909" s="1">
        <v>0</v>
      </c>
      <c r="M909" t="s">
        <v>14534</v>
      </c>
      <c r="N909" t="s">
        <v>14534</v>
      </c>
    </row>
    <row r="910" spans="1:14" x14ac:dyDescent="0.25">
      <c r="A910" s="1" t="s">
        <v>16533</v>
      </c>
      <c r="B910" s="1">
        <v>909</v>
      </c>
      <c r="C910" s="1" t="s">
        <v>1067</v>
      </c>
      <c r="D910" s="1" t="s">
        <v>11088</v>
      </c>
      <c r="E910" s="1" t="s">
        <v>1223</v>
      </c>
      <c r="F910" s="1" t="s">
        <v>1227</v>
      </c>
      <c r="G910" s="1" t="s">
        <v>1225</v>
      </c>
      <c r="H910" s="1">
        <v>21.4</v>
      </c>
      <c r="I910" s="1">
        <v>0</v>
      </c>
      <c r="J910" s="1">
        <v>1</v>
      </c>
      <c r="K910" s="1" t="s">
        <v>1071</v>
      </c>
      <c r="L910" s="1">
        <v>0</v>
      </c>
      <c r="M910" t="s">
        <v>14501</v>
      </c>
      <c r="N910" t="s">
        <v>14501</v>
      </c>
    </row>
    <row r="911" spans="1:14" x14ac:dyDescent="0.25">
      <c r="A911" s="1" t="s">
        <v>16534</v>
      </c>
      <c r="B911" s="1">
        <v>910</v>
      </c>
      <c r="C911" s="1" t="s">
        <v>1067</v>
      </c>
      <c r="D911" s="1" t="s">
        <v>11087</v>
      </c>
      <c r="E911" s="1" t="s">
        <v>1068</v>
      </c>
      <c r="F911" s="1" t="s">
        <v>277</v>
      </c>
      <c r="G911" s="1" t="s">
        <v>1210</v>
      </c>
      <c r="H911" s="1">
        <v>41.9</v>
      </c>
      <c r="I911" s="1">
        <v>0</v>
      </c>
      <c r="J911" s="1">
        <v>1</v>
      </c>
      <c r="K911" s="1"/>
      <c r="L911" s="1">
        <v>0</v>
      </c>
      <c r="M911" t="s">
        <v>14466</v>
      </c>
      <c r="N911" t="s">
        <v>14466</v>
      </c>
    </row>
    <row r="912" spans="1:14" x14ac:dyDescent="0.25">
      <c r="A912" s="1" t="s">
        <v>16535</v>
      </c>
      <c r="B912" s="1">
        <v>911</v>
      </c>
      <c r="C912" s="1" t="s">
        <v>1067</v>
      </c>
      <c r="D912" s="1" t="s">
        <v>11087</v>
      </c>
      <c r="E912" s="1" t="s">
        <v>1068</v>
      </c>
      <c r="F912" s="1" t="s">
        <v>389</v>
      </c>
      <c r="G912" s="1" t="s">
        <v>1194</v>
      </c>
      <c r="H912" s="1">
        <v>41.9</v>
      </c>
      <c r="I912" s="1">
        <v>0</v>
      </c>
      <c r="J912" s="1">
        <v>1</v>
      </c>
      <c r="K912" s="1"/>
      <c r="L912" s="1">
        <v>0</v>
      </c>
      <c r="M912" t="s">
        <v>14447</v>
      </c>
      <c r="N912" t="s">
        <v>14447</v>
      </c>
    </row>
    <row r="913" spans="1:14" x14ac:dyDescent="0.25">
      <c r="A913" s="1" t="s">
        <v>16536</v>
      </c>
      <c r="B913" s="1">
        <v>912</v>
      </c>
      <c r="C913" s="1" t="s">
        <v>1067</v>
      </c>
      <c r="D913" s="1" t="s">
        <v>11087</v>
      </c>
      <c r="E913" s="1" t="s">
        <v>1068</v>
      </c>
      <c r="F913" s="1" t="s">
        <v>389</v>
      </c>
      <c r="G913" s="1" t="s">
        <v>1194</v>
      </c>
      <c r="H913" s="1">
        <v>41.9</v>
      </c>
      <c r="I913" s="1">
        <v>0</v>
      </c>
      <c r="J913" s="1">
        <v>1</v>
      </c>
      <c r="K913" s="1"/>
      <c r="L913" s="1">
        <v>0</v>
      </c>
      <c r="M913" t="s">
        <v>14440</v>
      </c>
      <c r="N913" t="s">
        <v>14440</v>
      </c>
    </row>
    <row r="914" spans="1:14" x14ac:dyDescent="0.25">
      <c r="A914" s="1" t="s">
        <v>16537</v>
      </c>
      <c r="B914" s="1">
        <v>913</v>
      </c>
      <c r="C914" s="1" t="s">
        <v>1067</v>
      </c>
      <c r="D914" s="1" t="s">
        <v>11089</v>
      </c>
      <c r="E914" s="1" t="s">
        <v>1347</v>
      </c>
      <c r="F914" s="1" t="s">
        <v>337</v>
      </c>
      <c r="G914" s="1" t="s">
        <v>1398</v>
      </c>
      <c r="H914" s="1">
        <v>41.9</v>
      </c>
      <c r="I914" s="1">
        <v>0</v>
      </c>
      <c r="J914" s="1">
        <v>1</v>
      </c>
      <c r="K914" s="1"/>
      <c r="L914" s="1">
        <v>0</v>
      </c>
      <c r="M914" t="s">
        <v>14807</v>
      </c>
      <c r="N914" t="s">
        <v>14807</v>
      </c>
    </row>
    <row r="915" spans="1:14" x14ac:dyDescent="0.25">
      <c r="A915" s="1" t="s">
        <v>16538</v>
      </c>
      <c r="B915" s="1">
        <v>914</v>
      </c>
      <c r="C915" s="1" t="s">
        <v>1067</v>
      </c>
      <c r="D915" s="1" t="s">
        <v>11089</v>
      </c>
      <c r="E915" s="1" t="s">
        <v>1347</v>
      </c>
      <c r="F915" s="1" t="s">
        <v>337</v>
      </c>
      <c r="G915" s="1" t="s">
        <v>1398</v>
      </c>
      <c r="H915" s="1">
        <v>41.9</v>
      </c>
      <c r="I915" s="1">
        <v>0</v>
      </c>
      <c r="J915" s="1">
        <v>1</v>
      </c>
      <c r="K915" s="1"/>
      <c r="L915" s="1">
        <v>0</v>
      </c>
      <c r="M915" t="s">
        <v>14800</v>
      </c>
      <c r="N915" t="s">
        <v>14800</v>
      </c>
    </row>
    <row r="916" spans="1:14" x14ac:dyDescent="0.25">
      <c r="A916" s="1" t="s">
        <v>16539</v>
      </c>
      <c r="B916" s="1">
        <v>915</v>
      </c>
      <c r="C916" s="1" t="s">
        <v>1067</v>
      </c>
      <c r="D916" s="1" t="s">
        <v>11089</v>
      </c>
      <c r="E916" s="1" t="s">
        <v>1347</v>
      </c>
      <c r="F916" s="1" t="s">
        <v>446</v>
      </c>
      <c r="G916" s="1" t="s">
        <v>1364</v>
      </c>
      <c r="H916" s="1">
        <v>41.9</v>
      </c>
      <c r="I916" s="1">
        <v>0</v>
      </c>
      <c r="J916" s="1">
        <v>1</v>
      </c>
      <c r="K916" s="1"/>
      <c r="L916" s="1">
        <v>0</v>
      </c>
      <c r="M916" t="s">
        <v>14756</v>
      </c>
      <c r="N916" t="s">
        <v>14756</v>
      </c>
    </row>
    <row r="917" spans="1:14" x14ac:dyDescent="0.25">
      <c r="A917" s="1" t="s">
        <v>16540</v>
      </c>
      <c r="B917" s="1">
        <v>916</v>
      </c>
      <c r="C917" s="1" t="s">
        <v>11</v>
      </c>
      <c r="D917" s="1" t="s">
        <v>11091</v>
      </c>
      <c r="E917" s="1" t="s">
        <v>1495</v>
      </c>
      <c r="F917" s="1" t="s">
        <v>956</v>
      </c>
      <c r="G917" s="1" t="s">
        <v>1661</v>
      </c>
      <c r="H917" s="1">
        <v>44.1</v>
      </c>
      <c r="I917" s="1">
        <v>0</v>
      </c>
      <c r="J917" s="1">
        <v>1</v>
      </c>
      <c r="K917" s="1"/>
      <c r="L917" s="1">
        <v>0</v>
      </c>
      <c r="M917" t="s">
        <v>15156</v>
      </c>
      <c r="N917" t="s">
        <v>15156</v>
      </c>
    </row>
    <row r="918" spans="1:14" x14ac:dyDescent="0.25">
      <c r="A918" s="1" t="s">
        <v>16541</v>
      </c>
      <c r="B918" s="1">
        <v>917</v>
      </c>
      <c r="C918" s="1" t="s">
        <v>73</v>
      </c>
      <c r="D918" s="1" t="s">
        <v>11092</v>
      </c>
      <c r="E918" s="1" t="s">
        <v>1730</v>
      </c>
      <c r="F918" s="1" t="s">
        <v>603</v>
      </c>
      <c r="G918" s="1" t="s">
        <v>1771</v>
      </c>
      <c r="H918" s="1">
        <v>41.9</v>
      </c>
      <c r="I918" s="1">
        <v>0</v>
      </c>
      <c r="J918" s="1">
        <v>1</v>
      </c>
      <c r="K918" s="1"/>
      <c r="L918" s="1">
        <v>0</v>
      </c>
      <c r="M918" t="s">
        <v>15169</v>
      </c>
      <c r="N918" t="s">
        <v>15169</v>
      </c>
    </row>
    <row r="919" spans="1:14" x14ac:dyDescent="0.25">
      <c r="A919" s="1" t="s">
        <v>16542</v>
      </c>
      <c r="B919" s="1">
        <v>918</v>
      </c>
      <c r="C919" s="1" t="s">
        <v>102</v>
      </c>
      <c r="D919" s="1" t="s">
        <v>11091</v>
      </c>
      <c r="E919" s="1" t="s">
        <v>2009</v>
      </c>
      <c r="F919" s="1" t="s">
        <v>2221</v>
      </c>
      <c r="G919" s="1" t="s">
        <v>2222</v>
      </c>
      <c r="H919" s="1">
        <v>41.9</v>
      </c>
      <c r="I919" s="1">
        <v>0</v>
      </c>
      <c r="J919" s="1">
        <v>1</v>
      </c>
      <c r="K919" s="1"/>
      <c r="L919" s="1">
        <v>0</v>
      </c>
      <c r="M919" t="s">
        <v>15226</v>
      </c>
      <c r="N919" t="s">
        <v>15226</v>
      </c>
    </row>
    <row r="920" spans="1:14" x14ac:dyDescent="0.25">
      <c r="A920" s="1" t="s">
        <v>16543</v>
      </c>
      <c r="B920" s="1">
        <v>919</v>
      </c>
      <c r="C920" s="1" t="s">
        <v>102</v>
      </c>
      <c r="D920" s="1" t="s">
        <v>11095</v>
      </c>
      <c r="E920" s="1" t="s">
        <v>2009</v>
      </c>
      <c r="F920" s="1" t="s">
        <v>3465</v>
      </c>
      <c r="G920" s="1" t="s">
        <v>2067</v>
      </c>
      <c r="H920" s="1">
        <v>21.4</v>
      </c>
      <c r="I920" s="1">
        <v>1</v>
      </c>
      <c r="J920" s="1">
        <v>1</v>
      </c>
      <c r="K920" s="1" t="s">
        <v>1071</v>
      </c>
      <c r="L920" s="1">
        <v>1</v>
      </c>
      <c r="M920" t="s">
        <v>6526</v>
      </c>
      <c r="N920" t="s">
        <v>6526</v>
      </c>
    </row>
    <row r="921" spans="1:14" x14ac:dyDescent="0.25">
      <c r="A921" s="1" t="s">
        <v>16544</v>
      </c>
      <c r="B921" s="1">
        <v>920</v>
      </c>
      <c r="C921" s="1" t="s">
        <v>102</v>
      </c>
      <c r="D921" s="1" t="s">
        <v>11094</v>
      </c>
      <c r="E921" s="1" t="s">
        <v>2009</v>
      </c>
      <c r="F921" s="1" t="s">
        <v>3463</v>
      </c>
      <c r="G921" s="1" t="s">
        <v>16562</v>
      </c>
      <c r="H921" s="1">
        <v>21.4</v>
      </c>
      <c r="I921" s="1">
        <v>0</v>
      </c>
      <c r="J921" s="1">
        <v>1</v>
      </c>
      <c r="K921" s="1" t="s">
        <v>1071</v>
      </c>
      <c r="L921" s="1">
        <v>0</v>
      </c>
      <c r="M921" t="s">
        <v>15207</v>
      </c>
      <c r="N921" t="s">
        <v>15207</v>
      </c>
    </row>
    <row r="922" spans="1:14" x14ac:dyDescent="0.25">
      <c r="A922" s="1" t="s">
        <v>16545</v>
      </c>
      <c r="B922" s="1">
        <v>921</v>
      </c>
      <c r="C922" s="1" t="s">
        <v>102</v>
      </c>
      <c r="D922" s="1" t="s">
        <v>11094</v>
      </c>
      <c r="E922" s="1" t="s">
        <v>2009</v>
      </c>
      <c r="F922" s="1" t="s">
        <v>3463</v>
      </c>
      <c r="G922" s="1" t="s">
        <v>16562</v>
      </c>
      <c r="H922" s="1">
        <v>21.4</v>
      </c>
      <c r="I922" s="1">
        <v>0</v>
      </c>
      <c r="J922" s="1">
        <v>1</v>
      </c>
      <c r="K922" s="1" t="s">
        <v>1071</v>
      </c>
      <c r="L922" s="1">
        <v>0</v>
      </c>
      <c r="M922" t="s">
        <v>15205</v>
      </c>
      <c r="N922" t="s">
        <v>15205</v>
      </c>
    </row>
    <row r="923" spans="1:14" x14ac:dyDescent="0.25">
      <c r="A923" s="1" t="s">
        <v>16546</v>
      </c>
      <c r="B923" s="1">
        <v>922</v>
      </c>
      <c r="C923" s="1" t="s">
        <v>102</v>
      </c>
      <c r="D923" s="1" t="s">
        <v>11094</v>
      </c>
      <c r="E923" s="1" t="s">
        <v>2009</v>
      </c>
      <c r="F923" s="1" t="s">
        <v>3463</v>
      </c>
      <c r="G923" s="1" t="s">
        <v>16562</v>
      </c>
      <c r="H923" s="1">
        <v>21.4</v>
      </c>
      <c r="I923" s="1">
        <v>0</v>
      </c>
      <c r="J923" s="1">
        <v>1</v>
      </c>
      <c r="K923" s="1" t="s">
        <v>1071</v>
      </c>
      <c r="L923" s="1">
        <v>0</v>
      </c>
      <c r="M923" t="s">
        <v>16558</v>
      </c>
      <c r="N923" t="s">
        <v>16558</v>
      </c>
    </row>
    <row r="924" spans="1:14" x14ac:dyDescent="0.25">
      <c r="A924" s="1" t="s">
        <v>16547</v>
      </c>
      <c r="B924" s="1">
        <v>923</v>
      </c>
      <c r="C924" s="1" t="s">
        <v>133</v>
      </c>
      <c r="D924" s="1" t="s">
        <v>11091</v>
      </c>
      <c r="E924" s="1" t="s">
        <v>2442</v>
      </c>
      <c r="F924" s="1" t="s">
        <v>2481</v>
      </c>
      <c r="G924" s="1" t="s">
        <v>16567</v>
      </c>
      <c r="H924" s="1">
        <v>41.9</v>
      </c>
      <c r="I924" s="1">
        <v>0</v>
      </c>
      <c r="J924" s="1">
        <v>1</v>
      </c>
      <c r="K924" s="1"/>
      <c r="L924" s="1">
        <v>0</v>
      </c>
      <c r="M924" t="s">
        <v>3508</v>
      </c>
      <c r="N924" t="s">
        <v>3508</v>
      </c>
    </row>
    <row r="925" spans="1:14" x14ac:dyDescent="0.25">
      <c r="A925" s="1" t="s">
        <v>16548</v>
      </c>
      <c r="B925" s="1">
        <v>924</v>
      </c>
      <c r="C925" s="1" t="s">
        <v>133</v>
      </c>
      <c r="D925" s="1" t="s">
        <v>11091</v>
      </c>
      <c r="E925" s="1" t="s">
        <v>2442</v>
      </c>
      <c r="F925" s="1" t="s">
        <v>2443</v>
      </c>
      <c r="G925" s="1" t="s">
        <v>16566</v>
      </c>
      <c r="H925" s="1">
        <v>41.9</v>
      </c>
      <c r="I925" s="1">
        <v>0</v>
      </c>
      <c r="J925" s="1">
        <v>1</v>
      </c>
      <c r="K925" s="1"/>
      <c r="L925" s="1">
        <v>0</v>
      </c>
      <c r="M925" t="s">
        <v>15444</v>
      </c>
      <c r="N925" t="s">
        <v>15444</v>
      </c>
    </row>
    <row r="926" spans="1:14" x14ac:dyDescent="0.25">
      <c r="A926" s="1" t="s">
        <v>16549</v>
      </c>
      <c r="B926" s="1">
        <v>925</v>
      </c>
      <c r="C926" s="1" t="s">
        <v>133</v>
      </c>
      <c r="D926" s="1" t="s">
        <v>11096</v>
      </c>
      <c r="E926" s="1" t="s">
        <v>2367</v>
      </c>
      <c r="F926" s="1" t="s">
        <v>837</v>
      </c>
      <c r="G926" s="1" t="s">
        <v>11096</v>
      </c>
      <c r="H926" s="1">
        <v>41.9</v>
      </c>
      <c r="I926" s="1">
        <v>0</v>
      </c>
      <c r="J926" s="1">
        <v>1</v>
      </c>
      <c r="K926" s="1"/>
      <c r="L926" s="1">
        <v>0</v>
      </c>
      <c r="M926" t="s">
        <v>15332</v>
      </c>
      <c r="N926" t="s">
        <v>15332</v>
      </c>
    </row>
    <row r="927" spans="1:14" x14ac:dyDescent="0.25">
      <c r="A927" s="1" t="s">
        <v>16550</v>
      </c>
      <c r="B927" s="1">
        <v>926</v>
      </c>
      <c r="C927" s="1" t="s">
        <v>133</v>
      </c>
      <c r="D927" s="1" t="s">
        <v>11096</v>
      </c>
      <c r="E927" s="1" t="s">
        <v>2367</v>
      </c>
      <c r="F927" s="1" t="s">
        <v>2368</v>
      </c>
      <c r="G927" s="1" t="s">
        <v>16563</v>
      </c>
      <c r="H927" s="1">
        <v>21.4</v>
      </c>
      <c r="I927" s="1">
        <v>0</v>
      </c>
      <c r="J927" s="1">
        <v>1</v>
      </c>
      <c r="K927" s="1" t="s">
        <v>1071</v>
      </c>
      <c r="L927" s="1">
        <v>0</v>
      </c>
      <c r="M927" t="s">
        <v>6685</v>
      </c>
      <c r="N927" t="s">
        <v>6685</v>
      </c>
    </row>
    <row r="928" spans="1:14" x14ac:dyDescent="0.25">
      <c r="A928" s="1" t="s">
        <v>16551</v>
      </c>
      <c r="B928" s="1">
        <v>927</v>
      </c>
      <c r="C928" s="1" t="s">
        <v>133</v>
      </c>
      <c r="D928" s="1" t="s">
        <v>11098</v>
      </c>
      <c r="E928" s="1" t="s">
        <v>2317</v>
      </c>
      <c r="F928" s="1" t="s">
        <v>2320</v>
      </c>
      <c r="G928" s="1" t="s">
        <v>16565</v>
      </c>
      <c r="H928" s="1">
        <v>41.9</v>
      </c>
      <c r="I928" s="1">
        <v>0</v>
      </c>
      <c r="J928" s="1">
        <v>1</v>
      </c>
      <c r="K928" s="1"/>
      <c r="L928" s="1">
        <v>0</v>
      </c>
      <c r="M928" t="s">
        <v>15315</v>
      </c>
      <c r="N928" t="s">
        <v>15315</v>
      </c>
    </row>
    <row r="929" spans="1:14" x14ac:dyDescent="0.25">
      <c r="A929" s="1" t="s">
        <v>16552</v>
      </c>
      <c r="B929" s="1">
        <v>928</v>
      </c>
      <c r="C929" s="1" t="s">
        <v>133</v>
      </c>
      <c r="D929" s="1" t="s">
        <v>11098</v>
      </c>
      <c r="E929" s="1" t="s">
        <v>2317</v>
      </c>
      <c r="F929" s="1" t="s">
        <v>2320</v>
      </c>
      <c r="G929" s="1" t="s">
        <v>16565</v>
      </c>
      <c r="H929" s="1">
        <v>41.9</v>
      </c>
      <c r="I929" s="1">
        <v>0</v>
      </c>
      <c r="J929" s="1">
        <v>1</v>
      </c>
      <c r="K929" s="1"/>
      <c r="L929" s="1">
        <v>0</v>
      </c>
      <c r="M929" t="s">
        <v>15307</v>
      </c>
      <c r="N929" t="s">
        <v>15307</v>
      </c>
    </row>
    <row r="930" spans="1:14" x14ac:dyDescent="0.25">
      <c r="A930" s="1" t="s">
        <v>16553</v>
      </c>
      <c r="B930" s="1">
        <v>929</v>
      </c>
      <c r="C930" s="1" t="s">
        <v>133</v>
      </c>
      <c r="D930" s="1" t="s">
        <v>11098</v>
      </c>
      <c r="E930" s="1" t="s">
        <v>2317</v>
      </c>
      <c r="F930" s="1" t="s">
        <v>2318</v>
      </c>
      <c r="G930" s="1" t="s">
        <v>16564</v>
      </c>
      <c r="H930" s="1">
        <v>21.4</v>
      </c>
      <c r="I930" s="1">
        <v>0</v>
      </c>
      <c r="J930" s="1">
        <v>1</v>
      </c>
      <c r="K930" s="1" t="s">
        <v>1071</v>
      </c>
      <c r="L930" s="1">
        <v>0</v>
      </c>
      <c r="M930" t="s">
        <v>15282</v>
      </c>
      <c r="N930" t="s">
        <v>15282</v>
      </c>
    </row>
    <row r="931" spans="1:14" x14ac:dyDescent="0.25">
      <c r="A931" s="1" t="s">
        <v>16554</v>
      </c>
      <c r="B931" s="1">
        <v>930</v>
      </c>
      <c r="C931" s="1" t="s">
        <v>215</v>
      </c>
      <c r="D931" s="1" t="s">
        <v>11100</v>
      </c>
      <c r="E931" s="1" t="s">
        <v>2710</v>
      </c>
      <c r="F931" s="1" t="s">
        <v>2713</v>
      </c>
      <c r="G931" s="1" t="s">
        <v>16574</v>
      </c>
      <c r="H931" s="1">
        <v>41.9</v>
      </c>
      <c r="I931" s="1">
        <v>0</v>
      </c>
      <c r="J931" s="1">
        <v>1</v>
      </c>
      <c r="K931" s="1"/>
      <c r="L931" s="1">
        <v>0</v>
      </c>
      <c r="M931" t="s">
        <v>15733</v>
      </c>
      <c r="N931" t="s">
        <v>15733</v>
      </c>
    </row>
    <row r="932" spans="1:14" x14ac:dyDescent="0.25">
      <c r="A932" s="1" t="s">
        <v>16555</v>
      </c>
      <c r="B932" s="1">
        <v>931</v>
      </c>
      <c r="C932" s="1" t="s">
        <v>215</v>
      </c>
      <c r="D932" s="1" t="s">
        <v>11100</v>
      </c>
      <c r="E932" s="1" t="s">
        <v>2542</v>
      </c>
      <c r="F932" s="1" t="s">
        <v>2649</v>
      </c>
      <c r="G932" s="1" t="s">
        <v>16573</v>
      </c>
      <c r="H932" s="1">
        <v>41.9</v>
      </c>
      <c r="I932" s="1">
        <v>0</v>
      </c>
      <c r="J932" s="1">
        <v>1</v>
      </c>
      <c r="K932" s="1"/>
      <c r="L932" s="1">
        <v>0</v>
      </c>
      <c r="M932" t="s">
        <v>15660</v>
      </c>
      <c r="N932" t="s">
        <v>15660</v>
      </c>
    </row>
    <row r="933" spans="1:14" x14ac:dyDescent="0.25">
      <c r="A933" s="1" t="s">
        <v>16556</v>
      </c>
      <c r="B933" s="1">
        <v>932</v>
      </c>
      <c r="C933" s="1" t="s">
        <v>215</v>
      </c>
      <c r="D933" s="1" t="s">
        <v>11100</v>
      </c>
      <c r="E933" s="1" t="s">
        <v>2542</v>
      </c>
      <c r="F933" s="1" t="s">
        <v>2649</v>
      </c>
      <c r="G933" s="1" t="s">
        <v>16573</v>
      </c>
      <c r="H933" s="1">
        <v>41.9</v>
      </c>
      <c r="I933" s="1">
        <v>0</v>
      </c>
      <c r="J933" s="1">
        <v>1</v>
      </c>
      <c r="K933" s="1"/>
      <c r="L933" s="1">
        <v>0</v>
      </c>
      <c r="M933" t="s">
        <v>15653</v>
      </c>
      <c r="N933" t="s">
        <v>15653</v>
      </c>
    </row>
    <row r="934" spans="1:14" x14ac:dyDescent="0.25">
      <c r="A934" s="1" t="s">
        <v>16557</v>
      </c>
      <c r="B934" s="1">
        <v>933</v>
      </c>
      <c r="C934" s="1" t="s">
        <v>215</v>
      </c>
      <c r="D934" s="1" t="s">
        <v>11100</v>
      </c>
      <c r="E934" s="1" t="s">
        <v>2542</v>
      </c>
      <c r="F934" s="1" t="s">
        <v>2543</v>
      </c>
      <c r="G934" s="1" t="s">
        <v>16569</v>
      </c>
      <c r="H934" s="1">
        <v>23.7</v>
      </c>
      <c r="I934" s="1">
        <v>0</v>
      </c>
      <c r="J934" s="1">
        <v>1</v>
      </c>
      <c r="K934" s="1" t="s">
        <v>1071</v>
      </c>
      <c r="L934" s="1">
        <v>0</v>
      </c>
      <c r="M934" t="s">
        <v>6794</v>
      </c>
      <c r="N934" t="s">
        <v>6794</v>
      </c>
    </row>
    <row r="935" spans="1:14" x14ac:dyDescent="0.25">
      <c r="A935" s="1" t="s">
        <v>16560</v>
      </c>
      <c r="B935" s="1">
        <v>934</v>
      </c>
      <c r="C935" s="1" t="s">
        <v>133</v>
      </c>
      <c r="D935" s="1" t="s">
        <v>11091</v>
      </c>
      <c r="E935" s="1" t="s">
        <v>2517</v>
      </c>
      <c r="F935" s="1" t="s">
        <v>2518</v>
      </c>
      <c r="G935" s="1" t="s">
        <v>16568</v>
      </c>
      <c r="H935" s="1">
        <v>41.9</v>
      </c>
      <c r="I935" s="1">
        <v>0</v>
      </c>
      <c r="J935" s="1">
        <v>1</v>
      </c>
      <c r="K935" s="1"/>
      <c r="L935" s="1">
        <v>0</v>
      </c>
      <c r="M935" t="s">
        <v>15525</v>
      </c>
      <c r="N935" t="s">
        <v>15525</v>
      </c>
    </row>
    <row r="936" spans="1:14" x14ac:dyDescent="0.25">
      <c r="A936" s="1" t="s">
        <v>16561</v>
      </c>
      <c r="B936" s="1">
        <v>935</v>
      </c>
      <c r="C936" s="1" t="s">
        <v>102</v>
      </c>
      <c r="D936" s="1" t="s">
        <v>11091</v>
      </c>
      <c r="E936" s="1" t="s">
        <v>2009</v>
      </c>
      <c r="F936" s="1" t="s">
        <v>976</v>
      </c>
      <c r="G936" s="1" t="s">
        <v>2067</v>
      </c>
      <c r="H936" s="1">
        <v>41.9</v>
      </c>
      <c r="I936" s="1">
        <v>0</v>
      </c>
      <c r="J936" s="1">
        <v>1</v>
      </c>
      <c r="K936" s="1"/>
      <c r="L936" s="1">
        <v>0</v>
      </c>
      <c r="M936" t="s">
        <v>16135</v>
      </c>
      <c r="N936" t="s">
        <v>16135</v>
      </c>
    </row>
  </sheetData>
  <phoneticPr fontId="1" type="noConversion"/>
  <pageMargins left="0.7" right="0.7" top="0.75" bottom="0.75" header="0.3" footer="0.3"/>
  <pageSetup paperSize="9" orientation="portrait" horizont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52AF-3E30-40F8-9B37-E1D1491AEC81}">
  <sheetPr>
    <tabColor theme="9" tint="-0.499984740745262"/>
  </sheetPr>
  <dimension ref="A1:F7"/>
  <sheetViews>
    <sheetView workbookViewId="0">
      <selection activeCell="B2" sqref="B2:B7"/>
    </sheetView>
  </sheetViews>
  <sheetFormatPr defaultRowHeight="15" x14ac:dyDescent="0.25"/>
  <cols>
    <col min="2" max="2" width="15.7109375" customWidth="1"/>
    <col min="4" max="4" width="17.7109375" customWidth="1"/>
    <col min="5" max="5" width="17.85546875" customWidth="1"/>
    <col min="6" max="6" width="16.7109375" customWidth="1"/>
  </cols>
  <sheetData>
    <row r="1" spans="1:6" x14ac:dyDescent="0.25">
      <c r="A1" s="8" t="s">
        <v>0</v>
      </c>
      <c r="B1" s="8" t="s">
        <v>2</v>
      </c>
      <c r="C1" s="8" t="s">
        <v>10659</v>
      </c>
      <c r="D1" s="8" t="s">
        <v>10746</v>
      </c>
      <c r="E1" s="8" t="s">
        <v>10744</v>
      </c>
      <c r="F1" s="8" t="s">
        <v>10745</v>
      </c>
    </row>
    <row r="2" spans="1:6" x14ac:dyDescent="0.25">
      <c r="A2" t="s">
        <v>10738</v>
      </c>
      <c r="B2" t="s">
        <v>1067</v>
      </c>
      <c r="C2" t="s">
        <v>10660</v>
      </c>
      <c r="D2">
        <v>0</v>
      </c>
      <c r="E2">
        <v>0</v>
      </c>
      <c r="F2">
        <v>50</v>
      </c>
    </row>
    <row r="3" spans="1:6" x14ac:dyDescent="0.25">
      <c r="A3" t="s">
        <v>10739</v>
      </c>
      <c r="B3" s="1" t="s">
        <v>11</v>
      </c>
      <c r="C3" t="s">
        <v>10661</v>
      </c>
      <c r="D3" s="1">
        <v>8775</v>
      </c>
      <c r="E3">
        <v>50</v>
      </c>
      <c r="F3">
        <v>60</v>
      </c>
    </row>
    <row r="4" spans="1:6" x14ac:dyDescent="0.25">
      <c r="A4" t="s">
        <v>10740</v>
      </c>
      <c r="B4" s="1" t="s">
        <v>73</v>
      </c>
      <c r="C4" t="s">
        <v>10662</v>
      </c>
      <c r="D4" s="1">
        <v>18750</v>
      </c>
      <c r="E4">
        <v>60</v>
      </c>
      <c r="F4">
        <v>70</v>
      </c>
    </row>
    <row r="5" spans="1:6" x14ac:dyDescent="0.25">
      <c r="A5" t="s">
        <v>10741</v>
      </c>
      <c r="B5" s="1" t="s">
        <v>102</v>
      </c>
      <c r="C5" t="s">
        <v>10663</v>
      </c>
      <c r="D5" s="1">
        <v>40500</v>
      </c>
      <c r="E5">
        <v>70</v>
      </c>
      <c r="F5">
        <v>80</v>
      </c>
    </row>
    <row r="6" spans="1:6" x14ac:dyDescent="0.25">
      <c r="A6" t="s">
        <v>10742</v>
      </c>
      <c r="B6" s="1" t="s">
        <v>133</v>
      </c>
      <c r="C6" s="1" t="s">
        <v>10664</v>
      </c>
      <c r="D6" s="1">
        <v>84150</v>
      </c>
      <c r="E6">
        <v>80</v>
      </c>
      <c r="F6">
        <v>90</v>
      </c>
    </row>
    <row r="7" spans="1:6" x14ac:dyDescent="0.25">
      <c r="A7" t="s">
        <v>10743</v>
      </c>
      <c r="B7" s="1" t="s">
        <v>215</v>
      </c>
      <c r="C7" s="1" t="s">
        <v>10665</v>
      </c>
      <c r="D7" s="1">
        <v>186480</v>
      </c>
      <c r="E7">
        <v>90</v>
      </c>
      <c r="F7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A532-8FE8-43C0-98EF-F2413A40F68B}">
  <sheetPr>
    <tabColor theme="9" tint="-0.499984740745262"/>
  </sheetPr>
  <dimension ref="A1:Y790"/>
  <sheetViews>
    <sheetView workbookViewId="0">
      <pane ySplit="1" topLeftCell="A659" activePane="bottomLeft" state="frozen"/>
      <selection pane="bottomLeft" activeCell="Q662" sqref="Q662"/>
    </sheetView>
  </sheetViews>
  <sheetFormatPr defaultRowHeight="15" x14ac:dyDescent="0.25"/>
  <cols>
    <col min="7" max="8" width="26.28515625" customWidth="1"/>
    <col min="11" max="11" width="20" customWidth="1"/>
    <col min="14" max="14" width="16.5703125" customWidth="1"/>
    <col min="16" max="16" width="20.5703125" customWidth="1"/>
    <col min="17" max="17" width="15.140625" customWidth="1"/>
  </cols>
  <sheetData>
    <row r="1" spans="1:25" x14ac:dyDescent="0.25">
      <c r="A1" t="s">
        <v>0</v>
      </c>
      <c r="B1" t="s">
        <v>237</v>
      </c>
      <c r="C1" t="s">
        <v>1</v>
      </c>
      <c r="D1" t="s">
        <v>3548</v>
      </c>
      <c r="E1" t="s">
        <v>3549</v>
      </c>
      <c r="F1" t="s">
        <v>11078</v>
      </c>
      <c r="G1" t="s">
        <v>3</v>
      </c>
      <c r="H1" t="s">
        <v>11082</v>
      </c>
      <c r="I1" t="s">
        <v>2840</v>
      </c>
      <c r="J1" t="s">
        <v>2841</v>
      </c>
      <c r="K1" t="s">
        <v>2842</v>
      </c>
      <c r="L1" t="s">
        <v>3550</v>
      </c>
      <c r="M1" t="s">
        <v>2</v>
      </c>
      <c r="N1" t="s">
        <v>1063</v>
      </c>
      <c r="O1" t="s">
        <v>3551</v>
      </c>
      <c r="P1" t="s">
        <v>11077</v>
      </c>
      <c r="Q1" t="s">
        <v>3552</v>
      </c>
      <c r="R1" t="s">
        <v>10666</v>
      </c>
      <c r="S1" t="s">
        <v>3553</v>
      </c>
      <c r="T1" t="s">
        <v>3554</v>
      </c>
      <c r="U1" t="s">
        <v>4</v>
      </c>
      <c r="V1" t="s">
        <v>5</v>
      </c>
      <c r="W1" t="s">
        <v>3555</v>
      </c>
      <c r="X1" t="s">
        <v>243</v>
      </c>
      <c r="Y1" t="s">
        <v>244</v>
      </c>
    </row>
    <row r="2" spans="1:25" x14ac:dyDescent="0.25">
      <c r="A2" t="s">
        <v>3556</v>
      </c>
      <c r="B2">
        <v>607</v>
      </c>
      <c r="C2">
        <v>1</v>
      </c>
      <c r="D2" t="s">
        <v>23</v>
      </c>
      <c r="E2" t="s">
        <v>3557</v>
      </c>
      <c r="F2" t="s">
        <v>3559</v>
      </c>
      <c r="G2" t="s">
        <v>3558</v>
      </c>
      <c r="H2">
        <v>0</v>
      </c>
      <c r="I2">
        <v>430</v>
      </c>
      <c r="J2">
        <v>329</v>
      </c>
      <c r="K2" t="str">
        <f t="shared" ref="K2:K65" si="0">LEFT(A2,4)&amp;SUBSTITUTE(X2,".","")&amp;SUBSTITUTE(Y2,".","")</f>
        <v>logg229179</v>
      </c>
      <c r="M2" t="s">
        <v>1067</v>
      </c>
      <c r="N2" t="s">
        <v>1247</v>
      </c>
      <c r="Q2" t="s">
        <v>11083</v>
      </c>
      <c r="U2">
        <v>1</v>
      </c>
      <c r="V2">
        <v>0</v>
      </c>
      <c r="W2">
        <v>5</v>
      </c>
      <c r="X2">
        <v>22.9</v>
      </c>
      <c r="Y2">
        <v>17.899999999999999</v>
      </c>
    </row>
    <row r="3" spans="1:25" x14ac:dyDescent="0.25">
      <c r="A3" t="s">
        <v>3560</v>
      </c>
      <c r="B3">
        <v>608</v>
      </c>
      <c r="C3">
        <v>2</v>
      </c>
      <c r="D3" t="s">
        <v>23</v>
      </c>
      <c r="E3" t="s">
        <v>3557</v>
      </c>
      <c r="F3" t="s">
        <v>3559</v>
      </c>
      <c r="G3" t="s">
        <v>3558</v>
      </c>
      <c r="H3">
        <v>0</v>
      </c>
      <c r="I3">
        <v>561</v>
      </c>
      <c r="J3">
        <v>498</v>
      </c>
      <c r="K3" t="str">
        <f t="shared" si="0"/>
        <v>logg295266</v>
      </c>
      <c r="M3" t="s">
        <v>1067</v>
      </c>
      <c r="N3" t="s">
        <v>1329</v>
      </c>
      <c r="Q3" t="s">
        <v>11083</v>
      </c>
      <c r="U3">
        <v>1</v>
      </c>
      <c r="V3">
        <v>0</v>
      </c>
      <c r="W3">
        <v>5</v>
      </c>
      <c r="X3">
        <v>29.5</v>
      </c>
      <c r="Y3">
        <v>26.6</v>
      </c>
    </row>
    <row r="4" spans="1:25" x14ac:dyDescent="0.25">
      <c r="A4" t="s">
        <v>3561</v>
      </c>
      <c r="B4">
        <v>609</v>
      </c>
      <c r="C4">
        <v>3</v>
      </c>
      <c r="D4" t="s">
        <v>23</v>
      </c>
      <c r="E4" t="s">
        <v>3557</v>
      </c>
      <c r="F4" t="s">
        <v>3559</v>
      </c>
      <c r="G4" t="s">
        <v>3562</v>
      </c>
      <c r="H4">
        <v>1</v>
      </c>
      <c r="I4">
        <v>306</v>
      </c>
      <c r="J4">
        <v>249</v>
      </c>
      <c r="K4" t="str">
        <f t="shared" si="0"/>
        <v>logg167137</v>
      </c>
      <c r="M4" t="s">
        <v>1067</v>
      </c>
      <c r="N4" t="s">
        <v>1105</v>
      </c>
      <c r="Q4" t="s">
        <v>11083</v>
      </c>
      <c r="U4">
        <v>1</v>
      </c>
      <c r="V4">
        <v>0</v>
      </c>
      <c r="W4">
        <v>30</v>
      </c>
      <c r="X4">
        <v>16.7</v>
      </c>
      <c r="Y4">
        <v>13.7</v>
      </c>
    </row>
    <row r="5" spans="1:25" x14ac:dyDescent="0.25">
      <c r="A5" t="s">
        <v>3563</v>
      </c>
      <c r="B5">
        <v>610</v>
      </c>
      <c r="C5">
        <v>4</v>
      </c>
      <c r="D5" t="s">
        <v>23</v>
      </c>
      <c r="E5" t="s">
        <v>3557</v>
      </c>
      <c r="F5" t="s">
        <v>3559</v>
      </c>
      <c r="G5" t="s">
        <v>3562</v>
      </c>
      <c r="H5">
        <v>1</v>
      </c>
      <c r="I5">
        <v>375</v>
      </c>
      <c r="J5">
        <v>399</v>
      </c>
      <c r="K5" t="str">
        <f t="shared" si="0"/>
        <v>logg20213</v>
      </c>
      <c r="M5" t="s">
        <v>1067</v>
      </c>
      <c r="N5" t="s">
        <v>1098</v>
      </c>
      <c r="Q5" t="s">
        <v>11083</v>
      </c>
      <c r="U5">
        <v>1</v>
      </c>
      <c r="V5">
        <v>0</v>
      </c>
      <c r="W5">
        <v>50</v>
      </c>
      <c r="X5">
        <v>20</v>
      </c>
      <c r="Y5">
        <v>21.3</v>
      </c>
    </row>
    <row r="6" spans="1:25" x14ac:dyDescent="0.25">
      <c r="A6" t="s">
        <v>3564</v>
      </c>
      <c r="B6">
        <v>611</v>
      </c>
      <c r="C6">
        <v>5</v>
      </c>
      <c r="D6" t="s">
        <v>23</v>
      </c>
      <c r="E6" t="s">
        <v>3557</v>
      </c>
      <c r="F6" t="s">
        <v>3559</v>
      </c>
      <c r="G6" t="s">
        <v>3565</v>
      </c>
      <c r="H6">
        <v>1</v>
      </c>
      <c r="I6">
        <v>507</v>
      </c>
      <c r="J6">
        <v>450</v>
      </c>
      <c r="K6" t="str">
        <f t="shared" si="0"/>
        <v>logg2724</v>
      </c>
      <c r="M6" t="s">
        <v>1067</v>
      </c>
      <c r="N6" t="s">
        <v>1168</v>
      </c>
      <c r="Q6" t="s">
        <v>11083</v>
      </c>
      <c r="U6">
        <v>1</v>
      </c>
      <c r="V6">
        <v>0</v>
      </c>
      <c r="W6">
        <v>20</v>
      </c>
      <c r="X6">
        <v>27</v>
      </c>
      <c r="Y6">
        <v>24</v>
      </c>
    </row>
    <row r="7" spans="1:25" x14ac:dyDescent="0.25">
      <c r="A7" t="s">
        <v>3566</v>
      </c>
      <c r="B7">
        <v>612</v>
      </c>
      <c r="C7">
        <v>6</v>
      </c>
      <c r="D7" t="s">
        <v>23</v>
      </c>
      <c r="E7" t="s">
        <v>3557</v>
      </c>
      <c r="F7" t="s">
        <v>3559</v>
      </c>
      <c r="G7" t="s">
        <v>3565</v>
      </c>
      <c r="H7">
        <v>1</v>
      </c>
      <c r="I7">
        <v>430</v>
      </c>
      <c r="J7">
        <v>329</v>
      </c>
      <c r="K7" t="str">
        <f t="shared" si="0"/>
        <v>logg229179</v>
      </c>
      <c r="M7" t="s">
        <v>1067</v>
      </c>
      <c r="N7" t="s">
        <v>1247</v>
      </c>
      <c r="Q7" t="s">
        <v>11083</v>
      </c>
      <c r="U7">
        <v>1</v>
      </c>
      <c r="V7">
        <v>0</v>
      </c>
      <c r="W7">
        <v>5</v>
      </c>
      <c r="X7">
        <v>22.9</v>
      </c>
      <c r="Y7">
        <v>17.899999999999999</v>
      </c>
    </row>
    <row r="8" spans="1:25" x14ac:dyDescent="0.25">
      <c r="A8" t="s">
        <v>3567</v>
      </c>
      <c r="B8">
        <v>613</v>
      </c>
      <c r="C8">
        <v>7</v>
      </c>
      <c r="D8" t="s">
        <v>23</v>
      </c>
      <c r="E8" t="s">
        <v>3557</v>
      </c>
      <c r="F8" t="s">
        <v>3559</v>
      </c>
      <c r="G8" t="s">
        <v>3565</v>
      </c>
      <c r="H8">
        <v>1</v>
      </c>
      <c r="I8">
        <v>438</v>
      </c>
      <c r="J8">
        <v>405</v>
      </c>
      <c r="K8" t="str">
        <f t="shared" si="0"/>
        <v>logg231215</v>
      </c>
      <c r="M8" t="s">
        <v>1067</v>
      </c>
      <c r="N8" t="s">
        <v>1308</v>
      </c>
      <c r="Q8" t="s">
        <v>11083</v>
      </c>
      <c r="U8">
        <v>1</v>
      </c>
      <c r="V8">
        <v>0</v>
      </c>
      <c r="W8">
        <v>25</v>
      </c>
      <c r="X8">
        <v>23.1</v>
      </c>
      <c r="Y8">
        <v>21.5</v>
      </c>
    </row>
    <row r="9" spans="1:25" x14ac:dyDescent="0.25">
      <c r="A9" t="s">
        <v>3568</v>
      </c>
      <c r="B9">
        <v>614</v>
      </c>
      <c r="C9">
        <v>8</v>
      </c>
      <c r="D9" t="s">
        <v>23</v>
      </c>
      <c r="E9" t="s">
        <v>3557</v>
      </c>
      <c r="F9" t="s">
        <v>3559</v>
      </c>
      <c r="G9" t="s">
        <v>3565</v>
      </c>
      <c r="H9">
        <v>1</v>
      </c>
      <c r="I9">
        <v>325</v>
      </c>
      <c r="J9">
        <v>406</v>
      </c>
      <c r="K9" t="str">
        <f t="shared" si="0"/>
        <v>logg174219</v>
      </c>
      <c r="M9" t="s">
        <v>1067</v>
      </c>
      <c r="N9" t="s">
        <v>1308</v>
      </c>
      <c r="Q9" t="s">
        <v>11083</v>
      </c>
      <c r="U9">
        <v>1</v>
      </c>
      <c r="V9">
        <v>0</v>
      </c>
      <c r="W9">
        <v>30</v>
      </c>
      <c r="X9">
        <v>17.399999999999999</v>
      </c>
      <c r="Y9">
        <v>21.9</v>
      </c>
    </row>
    <row r="10" spans="1:25" x14ac:dyDescent="0.25">
      <c r="A10" t="s">
        <v>3569</v>
      </c>
      <c r="B10">
        <v>615</v>
      </c>
      <c r="C10">
        <v>9</v>
      </c>
      <c r="D10" t="s">
        <v>23</v>
      </c>
      <c r="E10" t="s">
        <v>3557</v>
      </c>
      <c r="F10" t="s">
        <v>3559</v>
      </c>
      <c r="G10" t="s">
        <v>3565</v>
      </c>
      <c r="H10">
        <v>1</v>
      </c>
      <c r="I10">
        <v>498</v>
      </c>
      <c r="J10">
        <v>354</v>
      </c>
      <c r="K10" t="str">
        <f t="shared" si="0"/>
        <v>logg26219</v>
      </c>
      <c r="M10" t="s">
        <v>1067</v>
      </c>
      <c r="N10" t="s">
        <v>1301</v>
      </c>
      <c r="Q10" t="s">
        <v>11083</v>
      </c>
      <c r="U10">
        <v>1</v>
      </c>
      <c r="V10">
        <v>0</v>
      </c>
      <c r="W10">
        <v>30</v>
      </c>
      <c r="X10">
        <v>26.2</v>
      </c>
      <c r="Y10">
        <v>19</v>
      </c>
    </row>
    <row r="11" spans="1:25" x14ac:dyDescent="0.25">
      <c r="A11" t="s">
        <v>3570</v>
      </c>
      <c r="B11">
        <v>616</v>
      </c>
      <c r="C11">
        <v>10</v>
      </c>
      <c r="D11" t="s">
        <v>23</v>
      </c>
      <c r="E11" t="s">
        <v>3557</v>
      </c>
      <c r="F11" t="s">
        <v>3559</v>
      </c>
      <c r="G11" t="s">
        <v>3565</v>
      </c>
      <c r="H11">
        <v>1</v>
      </c>
      <c r="I11">
        <v>308</v>
      </c>
      <c r="J11">
        <v>573</v>
      </c>
      <c r="K11" t="str">
        <f t="shared" si="0"/>
        <v>logg165302</v>
      </c>
      <c r="M11" t="s">
        <v>1067</v>
      </c>
      <c r="N11" t="s">
        <v>1298</v>
      </c>
      <c r="Q11" t="s">
        <v>11083</v>
      </c>
      <c r="U11">
        <v>1</v>
      </c>
      <c r="V11">
        <v>0</v>
      </c>
      <c r="W11">
        <v>35</v>
      </c>
      <c r="X11">
        <v>16.5</v>
      </c>
      <c r="Y11">
        <v>30.2</v>
      </c>
    </row>
    <row r="12" spans="1:25" x14ac:dyDescent="0.25">
      <c r="A12" t="s">
        <v>3571</v>
      </c>
      <c r="B12">
        <v>617</v>
      </c>
      <c r="C12">
        <v>11</v>
      </c>
      <c r="D12" t="s">
        <v>23</v>
      </c>
      <c r="E12" t="s">
        <v>3557</v>
      </c>
      <c r="F12" t="s">
        <v>3559</v>
      </c>
      <c r="G12" t="s">
        <v>3565</v>
      </c>
      <c r="H12">
        <v>1</v>
      </c>
      <c r="I12">
        <v>505</v>
      </c>
      <c r="J12">
        <v>372</v>
      </c>
      <c r="K12" t="str">
        <f t="shared" si="0"/>
        <v>logg266198</v>
      </c>
      <c r="M12" t="s">
        <v>1067</v>
      </c>
      <c r="N12" t="s">
        <v>1528</v>
      </c>
      <c r="Q12" t="s">
        <v>11083</v>
      </c>
      <c r="U12">
        <v>1</v>
      </c>
      <c r="V12">
        <v>0</v>
      </c>
      <c r="W12">
        <v>5</v>
      </c>
      <c r="X12">
        <v>26.6</v>
      </c>
      <c r="Y12">
        <v>19.8</v>
      </c>
    </row>
    <row r="13" spans="1:25" x14ac:dyDescent="0.25">
      <c r="A13" t="s">
        <v>3572</v>
      </c>
      <c r="B13">
        <v>618</v>
      </c>
      <c r="C13">
        <v>12</v>
      </c>
      <c r="D13" t="s">
        <v>23</v>
      </c>
      <c r="E13" t="s">
        <v>3557</v>
      </c>
      <c r="F13" t="s">
        <v>3559</v>
      </c>
      <c r="G13" t="s">
        <v>3565</v>
      </c>
      <c r="H13">
        <v>1</v>
      </c>
      <c r="I13">
        <v>427</v>
      </c>
      <c r="J13">
        <v>327</v>
      </c>
      <c r="K13" t="str">
        <f t="shared" si="0"/>
        <v>logg228178</v>
      </c>
      <c r="M13" t="s">
        <v>1067</v>
      </c>
      <c r="N13" t="s">
        <v>1528</v>
      </c>
      <c r="Q13" t="s">
        <v>11083</v>
      </c>
      <c r="U13">
        <v>1</v>
      </c>
      <c r="V13">
        <v>0</v>
      </c>
      <c r="W13">
        <v>45</v>
      </c>
      <c r="X13">
        <v>22.8</v>
      </c>
      <c r="Y13">
        <v>17.8</v>
      </c>
    </row>
    <row r="14" spans="1:25" x14ac:dyDescent="0.25">
      <c r="A14" t="s">
        <v>3573</v>
      </c>
      <c r="B14">
        <v>619</v>
      </c>
      <c r="C14">
        <v>13</v>
      </c>
      <c r="D14" t="s">
        <v>23</v>
      </c>
      <c r="E14" t="s">
        <v>3557</v>
      </c>
      <c r="F14" t="s">
        <v>3559</v>
      </c>
      <c r="G14" t="s">
        <v>3574</v>
      </c>
      <c r="H14">
        <v>1</v>
      </c>
      <c r="I14">
        <v>430</v>
      </c>
      <c r="J14">
        <v>329</v>
      </c>
      <c r="K14" t="str">
        <f t="shared" si="0"/>
        <v>logg229179</v>
      </c>
      <c r="M14" t="s">
        <v>1067</v>
      </c>
      <c r="N14" t="s">
        <v>1247</v>
      </c>
      <c r="Q14" t="s">
        <v>11083</v>
      </c>
      <c r="U14">
        <v>1</v>
      </c>
      <c r="V14">
        <v>0</v>
      </c>
      <c r="W14">
        <v>5</v>
      </c>
      <c r="X14">
        <v>22.9</v>
      </c>
      <c r="Y14">
        <v>17.899999999999999</v>
      </c>
    </row>
    <row r="15" spans="1:25" x14ac:dyDescent="0.25">
      <c r="A15" t="s">
        <v>3575</v>
      </c>
      <c r="B15">
        <v>620</v>
      </c>
      <c r="C15">
        <v>14</v>
      </c>
      <c r="D15" t="s">
        <v>23</v>
      </c>
      <c r="E15" t="s">
        <v>3557</v>
      </c>
      <c r="F15" t="s">
        <v>3559</v>
      </c>
      <c r="G15" t="s">
        <v>3574</v>
      </c>
      <c r="H15">
        <v>1</v>
      </c>
      <c r="I15">
        <v>494</v>
      </c>
      <c r="J15">
        <v>383</v>
      </c>
      <c r="K15" t="str">
        <f t="shared" si="0"/>
        <v>logg263204</v>
      </c>
      <c r="M15" t="s">
        <v>1067</v>
      </c>
      <c r="N15" t="s">
        <v>1262</v>
      </c>
      <c r="Q15" t="s">
        <v>11083</v>
      </c>
      <c r="U15">
        <v>1</v>
      </c>
      <c r="V15">
        <v>0</v>
      </c>
      <c r="W15">
        <v>10</v>
      </c>
      <c r="X15">
        <v>26.3</v>
      </c>
      <c r="Y15">
        <v>20.399999999999999</v>
      </c>
    </row>
    <row r="16" spans="1:25" x14ac:dyDescent="0.25">
      <c r="A16" t="s">
        <v>3576</v>
      </c>
      <c r="B16">
        <v>621</v>
      </c>
      <c r="C16">
        <v>15</v>
      </c>
      <c r="D16" t="s">
        <v>23</v>
      </c>
      <c r="E16" t="s">
        <v>3557</v>
      </c>
      <c r="F16" t="s">
        <v>3559</v>
      </c>
      <c r="G16" t="s">
        <v>3574</v>
      </c>
      <c r="H16">
        <v>1</v>
      </c>
      <c r="I16">
        <v>382</v>
      </c>
      <c r="J16">
        <v>373</v>
      </c>
      <c r="K16" t="str">
        <f t="shared" si="0"/>
        <v>logg203202</v>
      </c>
      <c r="M16" t="s">
        <v>1067</v>
      </c>
      <c r="N16" t="s">
        <v>1235</v>
      </c>
      <c r="Q16" t="s">
        <v>11083</v>
      </c>
      <c r="U16">
        <v>1</v>
      </c>
      <c r="V16">
        <v>0</v>
      </c>
      <c r="W16">
        <v>15</v>
      </c>
      <c r="X16">
        <v>20.3</v>
      </c>
      <c r="Y16">
        <v>20.2</v>
      </c>
    </row>
    <row r="17" spans="1:25" x14ac:dyDescent="0.25">
      <c r="A17" t="s">
        <v>3577</v>
      </c>
      <c r="B17">
        <v>622</v>
      </c>
      <c r="C17">
        <v>16</v>
      </c>
      <c r="D17" t="s">
        <v>23</v>
      </c>
      <c r="E17" t="s">
        <v>3557</v>
      </c>
      <c r="F17" t="s">
        <v>3559</v>
      </c>
      <c r="G17" t="s">
        <v>3574</v>
      </c>
      <c r="H17">
        <v>1</v>
      </c>
      <c r="I17">
        <v>466</v>
      </c>
      <c r="J17">
        <v>583</v>
      </c>
      <c r="K17" t="str">
        <f t="shared" si="0"/>
        <v>logg246308</v>
      </c>
      <c r="M17" t="s">
        <v>1067</v>
      </c>
      <c r="N17" t="s">
        <v>1235</v>
      </c>
      <c r="Q17" t="s">
        <v>11083</v>
      </c>
      <c r="U17">
        <v>1</v>
      </c>
      <c r="V17">
        <v>0</v>
      </c>
      <c r="W17">
        <v>30</v>
      </c>
      <c r="X17">
        <v>24.6</v>
      </c>
      <c r="Y17">
        <v>30.8</v>
      </c>
    </row>
    <row r="18" spans="1:25" x14ac:dyDescent="0.25">
      <c r="A18" t="s">
        <v>3578</v>
      </c>
      <c r="B18">
        <v>623</v>
      </c>
      <c r="C18">
        <v>17</v>
      </c>
      <c r="D18" t="s">
        <v>23</v>
      </c>
      <c r="E18" t="s">
        <v>3557</v>
      </c>
      <c r="F18" t="s">
        <v>3559</v>
      </c>
      <c r="G18" t="s">
        <v>3574</v>
      </c>
      <c r="H18">
        <v>1</v>
      </c>
      <c r="I18">
        <v>284</v>
      </c>
      <c r="J18">
        <v>506</v>
      </c>
      <c r="K18" t="str">
        <f t="shared" si="0"/>
        <v>logg153271</v>
      </c>
      <c r="M18" t="s">
        <v>1067</v>
      </c>
      <c r="N18" t="s">
        <v>1284</v>
      </c>
      <c r="Q18" t="s">
        <v>11083</v>
      </c>
      <c r="U18">
        <v>1</v>
      </c>
      <c r="V18">
        <v>0</v>
      </c>
      <c r="W18">
        <v>20</v>
      </c>
      <c r="X18">
        <v>15.3</v>
      </c>
      <c r="Y18">
        <v>27.1</v>
      </c>
    </row>
    <row r="19" spans="1:25" x14ac:dyDescent="0.25">
      <c r="A19" t="s">
        <v>3579</v>
      </c>
      <c r="B19">
        <v>624</v>
      </c>
      <c r="C19">
        <v>18</v>
      </c>
      <c r="D19" t="s">
        <v>23</v>
      </c>
      <c r="E19" t="s">
        <v>3557</v>
      </c>
      <c r="F19" t="s">
        <v>3559</v>
      </c>
      <c r="G19" t="s">
        <v>3574</v>
      </c>
      <c r="H19">
        <v>1</v>
      </c>
      <c r="I19">
        <v>305</v>
      </c>
      <c r="J19">
        <v>435</v>
      </c>
      <c r="K19" t="str">
        <f t="shared" si="0"/>
        <v>logg164233</v>
      </c>
      <c r="M19" t="s">
        <v>1067</v>
      </c>
      <c r="N19" t="s">
        <v>1294</v>
      </c>
      <c r="Q19" t="s">
        <v>11083</v>
      </c>
      <c r="U19">
        <v>1</v>
      </c>
      <c r="V19">
        <v>0</v>
      </c>
      <c r="W19">
        <v>50</v>
      </c>
      <c r="X19">
        <v>16.399999999999999</v>
      </c>
      <c r="Y19">
        <v>23.3</v>
      </c>
    </row>
    <row r="20" spans="1:25" x14ac:dyDescent="0.25">
      <c r="A20" t="s">
        <v>3580</v>
      </c>
      <c r="B20">
        <v>625</v>
      </c>
      <c r="C20">
        <v>19</v>
      </c>
      <c r="D20" t="s">
        <v>23</v>
      </c>
      <c r="E20" t="s">
        <v>3557</v>
      </c>
      <c r="F20" t="s">
        <v>3559</v>
      </c>
      <c r="G20" t="s">
        <v>3581</v>
      </c>
      <c r="H20">
        <v>1</v>
      </c>
      <c r="I20">
        <v>607</v>
      </c>
      <c r="J20">
        <v>295</v>
      </c>
      <c r="K20" t="str">
        <f t="shared" si="0"/>
        <v>logg32216</v>
      </c>
      <c r="M20" t="s">
        <v>1067</v>
      </c>
      <c r="N20" t="s">
        <v>1129</v>
      </c>
      <c r="Q20" t="s">
        <v>11083</v>
      </c>
      <c r="U20">
        <v>1</v>
      </c>
      <c r="V20">
        <v>0</v>
      </c>
      <c r="W20">
        <v>10</v>
      </c>
      <c r="X20">
        <v>32.200000000000003</v>
      </c>
      <c r="Y20">
        <v>16</v>
      </c>
    </row>
    <row r="21" spans="1:25" x14ac:dyDescent="0.25">
      <c r="A21" t="s">
        <v>3582</v>
      </c>
      <c r="B21">
        <v>626</v>
      </c>
      <c r="C21">
        <v>20</v>
      </c>
      <c r="D21" t="s">
        <v>23</v>
      </c>
      <c r="E21" t="s">
        <v>3557</v>
      </c>
      <c r="F21" t="s">
        <v>3559</v>
      </c>
      <c r="G21" t="s">
        <v>3581</v>
      </c>
      <c r="H21">
        <v>1</v>
      </c>
      <c r="I21">
        <v>657</v>
      </c>
      <c r="J21">
        <v>315</v>
      </c>
      <c r="K21" t="str">
        <f t="shared" si="0"/>
        <v>logg34717</v>
      </c>
      <c r="M21" t="s">
        <v>1067</v>
      </c>
      <c r="N21" t="s">
        <v>1129</v>
      </c>
      <c r="Q21" t="s">
        <v>11083</v>
      </c>
      <c r="U21">
        <v>1</v>
      </c>
      <c r="V21">
        <v>0</v>
      </c>
      <c r="W21">
        <v>20</v>
      </c>
      <c r="X21">
        <v>34.700000000000003</v>
      </c>
      <c r="Y21">
        <v>17</v>
      </c>
    </row>
    <row r="22" spans="1:25" x14ac:dyDescent="0.25">
      <c r="A22" t="s">
        <v>3583</v>
      </c>
      <c r="B22">
        <v>627</v>
      </c>
      <c r="C22">
        <v>21</v>
      </c>
      <c r="D22" t="s">
        <v>23</v>
      </c>
      <c r="E22" t="s">
        <v>3557</v>
      </c>
      <c r="F22" t="s">
        <v>3559</v>
      </c>
      <c r="G22" t="s">
        <v>3581</v>
      </c>
      <c r="H22">
        <v>1</v>
      </c>
      <c r="I22">
        <v>561</v>
      </c>
      <c r="J22">
        <v>498</v>
      </c>
      <c r="K22" t="str">
        <f t="shared" si="0"/>
        <v>logg295266</v>
      </c>
      <c r="M22" t="s">
        <v>1067</v>
      </c>
      <c r="N22" t="s">
        <v>1329</v>
      </c>
      <c r="Q22" t="s">
        <v>11083</v>
      </c>
      <c r="U22">
        <v>1</v>
      </c>
      <c r="V22">
        <v>0</v>
      </c>
      <c r="W22">
        <v>5</v>
      </c>
      <c r="X22">
        <v>29.5</v>
      </c>
      <c r="Y22">
        <v>26.6</v>
      </c>
    </row>
    <row r="23" spans="1:25" x14ac:dyDescent="0.25">
      <c r="A23" t="s">
        <v>3584</v>
      </c>
      <c r="B23">
        <v>628</v>
      </c>
      <c r="C23">
        <v>22</v>
      </c>
      <c r="D23" t="s">
        <v>23</v>
      </c>
      <c r="E23" t="s">
        <v>3557</v>
      </c>
      <c r="F23" t="s">
        <v>3559</v>
      </c>
      <c r="G23" t="s">
        <v>3581</v>
      </c>
      <c r="H23">
        <v>1</v>
      </c>
      <c r="I23">
        <v>425</v>
      </c>
      <c r="J23">
        <v>396</v>
      </c>
      <c r="K23" t="str">
        <f t="shared" si="0"/>
        <v>logg225212</v>
      </c>
      <c r="M23" t="s">
        <v>1067</v>
      </c>
      <c r="N23" t="s">
        <v>1340</v>
      </c>
      <c r="Q23" t="s">
        <v>11083</v>
      </c>
      <c r="U23">
        <v>1</v>
      </c>
      <c r="V23">
        <v>0</v>
      </c>
      <c r="W23">
        <v>5</v>
      </c>
      <c r="X23">
        <v>22.5</v>
      </c>
      <c r="Y23">
        <v>21.2</v>
      </c>
    </row>
    <row r="24" spans="1:25" x14ac:dyDescent="0.25">
      <c r="A24" t="s">
        <v>3585</v>
      </c>
      <c r="B24">
        <v>629</v>
      </c>
      <c r="C24">
        <v>23</v>
      </c>
      <c r="D24" t="s">
        <v>23</v>
      </c>
      <c r="E24" t="s">
        <v>3557</v>
      </c>
      <c r="F24" t="s">
        <v>3559</v>
      </c>
      <c r="G24" t="s">
        <v>3581</v>
      </c>
      <c r="H24">
        <v>1</v>
      </c>
      <c r="I24">
        <v>523</v>
      </c>
      <c r="J24">
        <v>454</v>
      </c>
      <c r="K24" t="str">
        <f t="shared" si="0"/>
        <v>logg276244</v>
      </c>
      <c r="M24" t="s">
        <v>1067</v>
      </c>
      <c r="N24" t="s">
        <v>1329</v>
      </c>
      <c r="Q24" t="s">
        <v>11083</v>
      </c>
      <c r="U24">
        <v>1</v>
      </c>
      <c r="V24">
        <v>0</v>
      </c>
      <c r="W24">
        <v>10</v>
      </c>
      <c r="X24">
        <v>27.6</v>
      </c>
      <c r="Y24">
        <v>24.4</v>
      </c>
    </row>
    <row r="25" spans="1:25" x14ac:dyDescent="0.25">
      <c r="A25" t="s">
        <v>3586</v>
      </c>
      <c r="B25">
        <v>630</v>
      </c>
      <c r="C25">
        <v>24</v>
      </c>
      <c r="D25" t="s">
        <v>23</v>
      </c>
      <c r="E25" t="s">
        <v>3557</v>
      </c>
      <c r="F25" t="s">
        <v>3559</v>
      </c>
      <c r="G25" t="s">
        <v>3581</v>
      </c>
      <c r="H25">
        <v>1</v>
      </c>
      <c r="I25">
        <v>497</v>
      </c>
      <c r="J25">
        <v>410</v>
      </c>
      <c r="K25" t="str">
        <f t="shared" si="0"/>
        <v>logg265218</v>
      </c>
      <c r="M25" t="s">
        <v>1067</v>
      </c>
      <c r="N25" t="s">
        <v>1336</v>
      </c>
      <c r="Q25" t="s">
        <v>11083</v>
      </c>
      <c r="U25">
        <v>1</v>
      </c>
      <c r="V25">
        <v>0</v>
      </c>
      <c r="W25">
        <v>30</v>
      </c>
      <c r="X25">
        <v>26.5</v>
      </c>
      <c r="Y25">
        <v>21.8</v>
      </c>
    </row>
    <row r="26" spans="1:25" x14ac:dyDescent="0.25">
      <c r="A26" t="s">
        <v>3587</v>
      </c>
      <c r="B26">
        <v>631</v>
      </c>
      <c r="C26">
        <v>25</v>
      </c>
      <c r="D26" t="s">
        <v>23</v>
      </c>
      <c r="E26" t="s">
        <v>3557</v>
      </c>
      <c r="F26" t="s">
        <v>3559</v>
      </c>
      <c r="G26" t="s">
        <v>3588</v>
      </c>
      <c r="H26">
        <v>1</v>
      </c>
      <c r="I26">
        <v>422</v>
      </c>
      <c r="J26">
        <v>499</v>
      </c>
      <c r="K26" t="str">
        <f t="shared" si="0"/>
        <v>logg224266</v>
      </c>
      <c r="M26" t="s">
        <v>1067</v>
      </c>
      <c r="N26" t="s">
        <v>1399</v>
      </c>
      <c r="Q26" t="s">
        <v>11083</v>
      </c>
      <c r="U26">
        <v>1</v>
      </c>
      <c r="V26">
        <v>0</v>
      </c>
      <c r="W26">
        <v>10</v>
      </c>
      <c r="X26">
        <v>22.4</v>
      </c>
      <c r="Y26">
        <v>26.6</v>
      </c>
    </row>
    <row r="27" spans="1:25" x14ac:dyDescent="0.25">
      <c r="A27" t="s">
        <v>3589</v>
      </c>
      <c r="B27">
        <v>632</v>
      </c>
      <c r="C27">
        <v>26</v>
      </c>
      <c r="D27" t="s">
        <v>23</v>
      </c>
      <c r="E27" t="s">
        <v>3557</v>
      </c>
      <c r="F27" t="s">
        <v>3559</v>
      </c>
      <c r="G27" t="s">
        <v>3588</v>
      </c>
      <c r="H27">
        <v>1</v>
      </c>
      <c r="I27">
        <v>391</v>
      </c>
      <c r="J27">
        <v>375</v>
      </c>
      <c r="K27" t="str">
        <f t="shared" si="0"/>
        <v>logg209201</v>
      </c>
      <c r="M27" t="s">
        <v>1067</v>
      </c>
      <c r="N27" t="s">
        <v>1421</v>
      </c>
      <c r="Q27" t="s">
        <v>11083</v>
      </c>
      <c r="U27">
        <v>1</v>
      </c>
      <c r="V27">
        <v>0</v>
      </c>
      <c r="W27">
        <v>20</v>
      </c>
      <c r="X27">
        <v>20.9</v>
      </c>
      <c r="Y27">
        <v>20.100000000000001</v>
      </c>
    </row>
    <row r="28" spans="1:25" x14ac:dyDescent="0.25">
      <c r="A28" t="s">
        <v>3590</v>
      </c>
      <c r="B28">
        <v>633</v>
      </c>
      <c r="C28">
        <v>27</v>
      </c>
      <c r="D28" t="s">
        <v>23</v>
      </c>
      <c r="E28" t="s">
        <v>3557</v>
      </c>
      <c r="F28" t="s">
        <v>3559</v>
      </c>
      <c r="G28" t="s">
        <v>3588</v>
      </c>
      <c r="H28">
        <v>1</v>
      </c>
      <c r="I28">
        <v>463</v>
      </c>
      <c r="J28">
        <v>572</v>
      </c>
      <c r="K28" t="str">
        <f t="shared" si="0"/>
        <v>logg246306</v>
      </c>
      <c r="M28" t="s">
        <v>1067</v>
      </c>
      <c r="N28" t="s">
        <v>1399</v>
      </c>
      <c r="Q28" t="s">
        <v>11083</v>
      </c>
      <c r="U28">
        <v>1</v>
      </c>
      <c r="V28">
        <v>0</v>
      </c>
      <c r="W28">
        <v>30</v>
      </c>
      <c r="X28">
        <v>24.6</v>
      </c>
      <c r="Y28">
        <v>30.6</v>
      </c>
    </row>
    <row r="29" spans="1:25" x14ac:dyDescent="0.25">
      <c r="A29" t="s">
        <v>3591</v>
      </c>
      <c r="B29">
        <v>634</v>
      </c>
      <c r="C29">
        <v>28</v>
      </c>
      <c r="D29" t="s">
        <v>23</v>
      </c>
      <c r="E29" t="s">
        <v>3557</v>
      </c>
      <c r="F29" t="s">
        <v>3559</v>
      </c>
      <c r="G29" t="s">
        <v>3588</v>
      </c>
      <c r="H29">
        <v>1</v>
      </c>
      <c r="I29">
        <v>550</v>
      </c>
      <c r="J29">
        <v>366</v>
      </c>
      <c r="K29" t="str">
        <f t="shared" si="0"/>
        <v>logg292196</v>
      </c>
      <c r="M29" t="s">
        <v>1067</v>
      </c>
      <c r="N29" t="s">
        <v>1416</v>
      </c>
      <c r="Q29" t="s">
        <v>11083</v>
      </c>
      <c r="U29">
        <v>1</v>
      </c>
      <c r="V29">
        <v>0</v>
      </c>
      <c r="W29">
        <v>50</v>
      </c>
      <c r="X29">
        <v>29.2</v>
      </c>
      <c r="Y29">
        <v>19.600000000000001</v>
      </c>
    </row>
    <row r="30" spans="1:25" x14ac:dyDescent="0.25">
      <c r="A30" t="s">
        <v>3592</v>
      </c>
      <c r="B30">
        <v>635</v>
      </c>
      <c r="C30">
        <v>29</v>
      </c>
      <c r="D30" t="s">
        <v>23</v>
      </c>
      <c r="E30" t="s">
        <v>3557</v>
      </c>
      <c r="F30" t="s">
        <v>3559</v>
      </c>
      <c r="G30" t="s">
        <v>3588</v>
      </c>
      <c r="H30">
        <v>1</v>
      </c>
      <c r="I30">
        <v>273</v>
      </c>
      <c r="J30">
        <v>266</v>
      </c>
      <c r="K30" t="str">
        <f t="shared" si="0"/>
        <v>logg145145</v>
      </c>
      <c r="M30" t="s">
        <v>1067</v>
      </c>
      <c r="N30" t="s">
        <v>1568</v>
      </c>
      <c r="Q30" t="s">
        <v>11083</v>
      </c>
      <c r="U30">
        <v>1</v>
      </c>
      <c r="V30">
        <v>0</v>
      </c>
      <c r="W30">
        <v>5</v>
      </c>
      <c r="X30">
        <v>14.5</v>
      </c>
      <c r="Y30">
        <v>14.5</v>
      </c>
    </row>
    <row r="31" spans="1:25" x14ac:dyDescent="0.25">
      <c r="A31" t="s">
        <v>3593</v>
      </c>
      <c r="B31">
        <v>636</v>
      </c>
      <c r="C31">
        <v>30</v>
      </c>
      <c r="D31" t="s">
        <v>23</v>
      </c>
      <c r="E31" t="s">
        <v>3557</v>
      </c>
      <c r="F31" t="s">
        <v>3559</v>
      </c>
      <c r="G31" t="s">
        <v>3594</v>
      </c>
      <c r="H31">
        <v>1</v>
      </c>
      <c r="I31">
        <v>527</v>
      </c>
      <c r="J31">
        <v>637</v>
      </c>
      <c r="K31" t="str">
        <f t="shared" si="0"/>
        <v>logg278337</v>
      </c>
      <c r="M31" t="s">
        <v>1067</v>
      </c>
      <c r="N31" t="s">
        <v>1144</v>
      </c>
      <c r="Q31" t="s">
        <v>11083</v>
      </c>
      <c r="U31">
        <v>1</v>
      </c>
      <c r="V31">
        <v>0</v>
      </c>
      <c r="W31">
        <v>30</v>
      </c>
      <c r="X31">
        <v>27.8</v>
      </c>
      <c r="Y31">
        <v>33.700000000000003</v>
      </c>
    </row>
    <row r="32" spans="1:25" x14ac:dyDescent="0.25">
      <c r="A32" t="s">
        <v>3595</v>
      </c>
      <c r="B32">
        <v>637</v>
      </c>
      <c r="C32">
        <v>31</v>
      </c>
      <c r="D32" t="s">
        <v>23</v>
      </c>
      <c r="E32" t="s">
        <v>3557</v>
      </c>
      <c r="F32" t="s">
        <v>3559</v>
      </c>
      <c r="G32" t="s">
        <v>3594</v>
      </c>
      <c r="H32">
        <v>1</v>
      </c>
      <c r="I32">
        <v>357</v>
      </c>
      <c r="J32">
        <v>478</v>
      </c>
      <c r="K32" t="str">
        <f t="shared" si="0"/>
        <v>logg192255</v>
      </c>
      <c r="M32" t="s">
        <v>1067</v>
      </c>
      <c r="N32" t="s">
        <v>1153</v>
      </c>
      <c r="Q32" t="s">
        <v>11083</v>
      </c>
      <c r="U32">
        <v>1</v>
      </c>
      <c r="V32">
        <v>0</v>
      </c>
      <c r="W32">
        <v>40</v>
      </c>
      <c r="X32">
        <v>19.2</v>
      </c>
      <c r="Y32">
        <v>25.5</v>
      </c>
    </row>
    <row r="33" spans="1:25" x14ac:dyDescent="0.25">
      <c r="A33" t="s">
        <v>3596</v>
      </c>
      <c r="B33">
        <v>638</v>
      </c>
      <c r="C33">
        <v>32</v>
      </c>
      <c r="D33" t="s">
        <v>23</v>
      </c>
      <c r="E33" t="s">
        <v>3557</v>
      </c>
      <c r="F33" t="s">
        <v>3559</v>
      </c>
      <c r="G33" t="s">
        <v>3594</v>
      </c>
      <c r="H33">
        <v>1</v>
      </c>
      <c r="I33">
        <v>320</v>
      </c>
      <c r="J33">
        <v>613</v>
      </c>
      <c r="K33" t="str">
        <f t="shared" si="0"/>
        <v>logg172322</v>
      </c>
      <c r="M33" t="s">
        <v>1067</v>
      </c>
      <c r="N33" t="s">
        <v>1153</v>
      </c>
      <c r="Q33" t="s">
        <v>11083</v>
      </c>
      <c r="U33">
        <v>1</v>
      </c>
      <c r="V33">
        <v>0</v>
      </c>
      <c r="W33">
        <v>50</v>
      </c>
      <c r="X33">
        <v>17.2</v>
      </c>
      <c r="Y33">
        <v>32.200000000000003</v>
      </c>
    </row>
    <row r="34" spans="1:25" x14ac:dyDescent="0.25">
      <c r="A34" t="s">
        <v>3597</v>
      </c>
      <c r="B34">
        <v>639</v>
      </c>
      <c r="C34">
        <v>33</v>
      </c>
      <c r="D34" t="s">
        <v>23</v>
      </c>
      <c r="E34" t="s">
        <v>3557</v>
      </c>
      <c r="F34" t="s">
        <v>3559</v>
      </c>
      <c r="G34" t="s">
        <v>3598</v>
      </c>
      <c r="H34">
        <v>0</v>
      </c>
      <c r="I34">
        <v>430</v>
      </c>
      <c r="J34">
        <v>329</v>
      </c>
      <c r="K34" t="str">
        <f t="shared" si="0"/>
        <v>logg229179</v>
      </c>
      <c r="M34" t="s">
        <v>1067</v>
      </c>
      <c r="N34" t="s">
        <v>1247</v>
      </c>
      <c r="Q34" t="s">
        <v>11083</v>
      </c>
      <c r="U34">
        <v>2</v>
      </c>
      <c r="V34">
        <v>0</v>
      </c>
      <c r="W34">
        <v>5</v>
      </c>
      <c r="X34">
        <v>22.9</v>
      </c>
      <c r="Y34">
        <v>17.899999999999999</v>
      </c>
    </row>
    <row r="35" spans="1:25" x14ac:dyDescent="0.25">
      <c r="A35" t="s">
        <v>3599</v>
      </c>
      <c r="B35">
        <v>640</v>
      </c>
      <c r="C35">
        <v>34</v>
      </c>
      <c r="D35" t="s">
        <v>23</v>
      </c>
      <c r="E35" t="s">
        <v>3557</v>
      </c>
      <c r="F35" t="s">
        <v>3559</v>
      </c>
      <c r="G35" t="s">
        <v>3600</v>
      </c>
      <c r="H35">
        <v>0</v>
      </c>
      <c r="I35">
        <v>497</v>
      </c>
      <c r="J35">
        <v>512</v>
      </c>
      <c r="K35" t="str">
        <f t="shared" si="0"/>
        <v>logg264273</v>
      </c>
      <c r="M35" t="s">
        <v>1067</v>
      </c>
      <c r="N35" t="s">
        <v>1329</v>
      </c>
      <c r="Q35" t="s">
        <v>11083</v>
      </c>
      <c r="U35">
        <v>2</v>
      </c>
      <c r="V35">
        <v>0</v>
      </c>
      <c r="W35">
        <v>5</v>
      </c>
      <c r="X35">
        <v>26.4</v>
      </c>
      <c r="Y35">
        <v>27.3</v>
      </c>
    </row>
    <row r="36" spans="1:25" x14ac:dyDescent="0.25">
      <c r="A36" t="s">
        <v>3601</v>
      </c>
      <c r="B36">
        <v>641</v>
      </c>
      <c r="C36">
        <v>35</v>
      </c>
      <c r="D36" t="s">
        <v>23</v>
      </c>
      <c r="E36" t="s">
        <v>3557</v>
      </c>
      <c r="F36" t="s">
        <v>3559</v>
      </c>
      <c r="G36" t="s">
        <v>3602</v>
      </c>
      <c r="H36">
        <v>0</v>
      </c>
      <c r="I36">
        <v>430</v>
      </c>
      <c r="J36">
        <v>329</v>
      </c>
      <c r="K36" t="str">
        <f t="shared" si="0"/>
        <v>logg229179</v>
      </c>
      <c r="M36" t="s">
        <v>1067</v>
      </c>
      <c r="N36" t="s">
        <v>1247</v>
      </c>
      <c r="Q36" t="s">
        <v>11083</v>
      </c>
      <c r="U36">
        <v>3</v>
      </c>
      <c r="V36">
        <v>0</v>
      </c>
      <c r="W36">
        <v>5</v>
      </c>
      <c r="X36">
        <v>22.9</v>
      </c>
      <c r="Y36">
        <v>17.899999999999999</v>
      </c>
    </row>
    <row r="37" spans="1:25" x14ac:dyDescent="0.25">
      <c r="A37" t="s">
        <v>3603</v>
      </c>
      <c r="B37">
        <v>642</v>
      </c>
      <c r="C37">
        <v>36</v>
      </c>
      <c r="D37" t="s">
        <v>23</v>
      </c>
      <c r="E37" t="s">
        <v>3557</v>
      </c>
      <c r="F37" t="s">
        <v>3559</v>
      </c>
      <c r="G37" t="s">
        <v>3602</v>
      </c>
      <c r="H37">
        <v>0</v>
      </c>
      <c r="I37">
        <v>561</v>
      </c>
      <c r="J37">
        <v>498</v>
      </c>
      <c r="K37" t="str">
        <f t="shared" si="0"/>
        <v>logg295266</v>
      </c>
      <c r="M37" t="s">
        <v>1067</v>
      </c>
      <c r="N37" t="s">
        <v>1329</v>
      </c>
      <c r="Q37" t="s">
        <v>11083</v>
      </c>
      <c r="U37">
        <v>3</v>
      </c>
      <c r="V37">
        <v>0</v>
      </c>
      <c r="W37">
        <v>5</v>
      </c>
      <c r="X37">
        <v>29.5</v>
      </c>
      <c r="Y37">
        <v>26.6</v>
      </c>
    </row>
    <row r="38" spans="1:25" x14ac:dyDescent="0.25">
      <c r="A38" t="s">
        <v>3604</v>
      </c>
      <c r="B38">
        <v>643</v>
      </c>
      <c r="C38">
        <v>37</v>
      </c>
      <c r="D38" t="s">
        <v>23</v>
      </c>
      <c r="E38" t="s">
        <v>3557</v>
      </c>
      <c r="F38" t="s">
        <v>3559</v>
      </c>
      <c r="G38" t="s">
        <v>3605</v>
      </c>
      <c r="H38">
        <v>0</v>
      </c>
      <c r="I38">
        <v>497</v>
      </c>
      <c r="J38">
        <v>512</v>
      </c>
      <c r="K38" t="str">
        <f t="shared" si="0"/>
        <v>logg264273</v>
      </c>
      <c r="M38" t="s">
        <v>1067</v>
      </c>
      <c r="N38" t="s">
        <v>1329</v>
      </c>
      <c r="Q38" t="s">
        <v>11083</v>
      </c>
      <c r="U38">
        <v>4</v>
      </c>
      <c r="V38">
        <v>0</v>
      </c>
      <c r="W38">
        <v>5</v>
      </c>
      <c r="X38">
        <v>26.4</v>
      </c>
      <c r="Y38">
        <v>27.3</v>
      </c>
    </row>
    <row r="39" spans="1:25" x14ac:dyDescent="0.25">
      <c r="A39" t="s">
        <v>3606</v>
      </c>
      <c r="B39">
        <v>644</v>
      </c>
      <c r="C39">
        <v>38</v>
      </c>
      <c r="D39" t="s">
        <v>23</v>
      </c>
      <c r="E39" t="s">
        <v>3557</v>
      </c>
      <c r="F39" t="s">
        <v>3559</v>
      </c>
      <c r="G39" t="s">
        <v>3607</v>
      </c>
      <c r="H39">
        <v>0</v>
      </c>
      <c r="I39">
        <v>430</v>
      </c>
      <c r="J39">
        <v>329</v>
      </c>
      <c r="K39" t="str">
        <f t="shared" si="0"/>
        <v>logg229179</v>
      </c>
      <c r="M39" t="s">
        <v>1067</v>
      </c>
      <c r="N39" t="s">
        <v>1247</v>
      </c>
      <c r="Q39" t="s">
        <v>11083</v>
      </c>
      <c r="U39">
        <v>5</v>
      </c>
      <c r="V39">
        <v>0</v>
      </c>
      <c r="W39">
        <v>5</v>
      </c>
      <c r="X39">
        <v>22.9</v>
      </c>
      <c r="Y39">
        <v>17.899999999999999</v>
      </c>
    </row>
    <row r="40" spans="1:25" x14ac:dyDescent="0.25">
      <c r="A40" t="s">
        <v>3608</v>
      </c>
      <c r="B40">
        <v>645</v>
      </c>
      <c r="C40">
        <v>39</v>
      </c>
      <c r="D40" t="s">
        <v>23</v>
      </c>
      <c r="E40" t="s">
        <v>3557</v>
      </c>
      <c r="F40" t="s">
        <v>3559</v>
      </c>
      <c r="G40" t="s">
        <v>3607</v>
      </c>
      <c r="H40">
        <v>0</v>
      </c>
      <c r="I40">
        <v>561</v>
      </c>
      <c r="J40">
        <v>498</v>
      </c>
      <c r="K40" t="str">
        <f t="shared" si="0"/>
        <v>logg295266</v>
      </c>
      <c r="M40" t="s">
        <v>1067</v>
      </c>
      <c r="N40" t="s">
        <v>1329</v>
      </c>
      <c r="Q40" t="s">
        <v>11083</v>
      </c>
      <c r="U40">
        <v>5</v>
      </c>
      <c r="V40">
        <v>0</v>
      </c>
      <c r="W40">
        <v>5</v>
      </c>
      <c r="X40">
        <v>29.5</v>
      </c>
      <c r="Y40">
        <v>26.6</v>
      </c>
    </row>
    <row r="41" spans="1:25" x14ac:dyDescent="0.25">
      <c r="A41" t="s">
        <v>3609</v>
      </c>
      <c r="B41">
        <v>646</v>
      </c>
      <c r="C41">
        <v>40</v>
      </c>
      <c r="D41" t="s">
        <v>23</v>
      </c>
      <c r="E41" t="s">
        <v>3557</v>
      </c>
      <c r="F41" t="s">
        <v>3559</v>
      </c>
      <c r="G41" t="s">
        <v>3610</v>
      </c>
      <c r="H41">
        <v>0</v>
      </c>
      <c r="I41">
        <v>497</v>
      </c>
      <c r="J41">
        <v>512</v>
      </c>
      <c r="K41" t="str">
        <f t="shared" si="0"/>
        <v>logg264273</v>
      </c>
      <c r="M41" t="s">
        <v>1067</v>
      </c>
      <c r="N41" t="s">
        <v>1329</v>
      </c>
      <c r="Q41" t="s">
        <v>11083</v>
      </c>
      <c r="U41">
        <v>5</v>
      </c>
      <c r="V41">
        <v>0</v>
      </c>
      <c r="W41">
        <v>5</v>
      </c>
      <c r="X41">
        <v>26.4</v>
      </c>
      <c r="Y41">
        <v>27.3</v>
      </c>
    </row>
    <row r="42" spans="1:25" x14ac:dyDescent="0.25">
      <c r="A42" t="s">
        <v>3611</v>
      </c>
      <c r="B42">
        <v>647</v>
      </c>
      <c r="C42">
        <v>41</v>
      </c>
      <c r="D42" t="s">
        <v>23</v>
      </c>
      <c r="E42" t="s">
        <v>3557</v>
      </c>
      <c r="F42" t="s">
        <v>3559</v>
      </c>
      <c r="G42" t="s">
        <v>3612</v>
      </c>
      <c r="H42">
        <v>0</v>
      </c>
      <c r="I42">
        <v>422</v>
      </c>
      <c r="J42">
        <v>499</v>
      </c>
      <c r="K42" t="str">
        <f t="shared" si="0"/>
        <v>logg224266</v>
      </c>
      <c r="M42" t="s">
        <v>1067</v>
      </c>
      <c r="N42" t="s">
        <v>1399</v>
      </c>
      <c r="Q42" t="s">
        <v>11083</v>
      </c>
      <c r="U42">
        <v>6</v>
      </c>
      <c r="V42">
        <v>0</v>
      </c>
      <c r="W42">
        <v>10</v>
      </c>
      <c r="X42">
        <v>22.4</v>
      </c>
      <c r="Y42">
        <v>26.6</v>
      </c>
    </row>
    <row r="43" spans="1:25" x14ac:dyDescent="0.25">
      <c r="A43" t="s">
        <v>3613</v>
      </c>
      <c r="B43">
        <v>648</v>
      </c>
      <c r="C43">
        <v>42</v>
      </c>
      <c r="D43" t="s">
        <v>23</v>
      </c>
      <c r="E43" t="s">
        <v>3557</v>
      </c>
      <c r="F43" t="s">
        <v>3559</v>
      </c>
      <c r="G43" t="s">
        <v>3614</v>
      </c>
      <c r="H43">
        <v>0</v>
      </c>
      <c r="I43">
        <v>494</v>
      </c>
      <c r="J43">
        <v>383</v>
      </c>
      <c r="K43" t="str">
        <f t="shared" si="0"/>
        <v>logg263204</v>
      </c>
      <c r="M43" t="s">
        <v>1067</v>
      </c>
      <c r="N43" t="s">
        <v>1262</v>
      </c>
      <c r="Q43" t="s">
        <v>11083</v>
      </c>
      <c r="U43">
        <v>6</v>
      </c>
      <c r="V43">
        <v>0</v>
      </c>
      <c r="W43">
        <v>10</v>
      </c>
      <c r="X43">
        <v>26.3</v>
      </c>
      <c r="Y43">
        <v>20.399999999999999</v>
      </c>
    </row>
    <row r="44" spans="1:25" x14ac:dyDescent="0.25">
      <c r="A44" t="s">
        <v>3615</v>
      </c>
      <c r="B44">
        <v>649</v>
      </c>
      <c r="C44">
        <v>43</v>
      </c>
      <c r="D44" t="s">
        <v>23</v>
      </c>
      <c r="E44" t="s">
        <v>3557</v>
      </c>
      <c r="F44" t="s">
        <v>3559</v>
      </c>
      <c r="G44" t="s">
        <v>3614</v>
      </c>
      <c r="H44">
        <v>0</v>
      </c>
      <c r="I44">
        <v>523</v>
      </c>
      <c r="J44">
        <v>454</v>
      </c>
      <c r="K44" t="str">
        <f t="shared" si="0"/>
        <v>logg276244</v>
      </c>
      <c r="M44" t="s">
        <v>1067</v>
      </c>
      <c r="N44" t="s">
        <v>1329</v>
      </c>
      <c r="Q44" t="s">
        <v>11083</v>
      </c>
      <c r="U44">
        <v>6</v>
      </c>
      <c r="V44">
        <v>0</v>
      </c>
      <c r="W44">
        <v>10</v>
      </c>
      <c r="X44">
        <v>27.6</v>
      </c>
      <c r="Y44">
        <v>24.4</v>
      </c>
    </row>
    <row r="45" spans="1:25" x14ac:dyDescent="0.25">
      <c r="A45" t="s">
        <v>3616</v>
      </c>
      <c r="B45">
        <v>650</v>
      </c>
      <c r="C45">
        <v>44</v>
      </c>
      <c r="D45" t="s">
        <v>23</v>
      </c>
      <c r="E45" t="s">
        <v>3557</v>
      </c>
      <c r="F45" t="s">
        <v>3559</v>
      </c>
      <c r="G45" t="s">
        <v>3617</v>
      </c>
      <c r="H45">
        <v>0</v>
      </c>
      <c r="I45">
        <v>607</v>
      </c>
      <c r="J45">
        <v>295</v>
      </c>
      <c r="K45" t="str">
        <f t="shared" si="0"/>
        <v>logg32216</v>
      </c>
      <c r="M45" t="s">
        <v>1067</v>
      </c>
      <c r="N45" t="s">
        <v>1129</v>
      </c>
      <c r="Q45" t="s">
        <v>11083</v>
      </c>
      <c r="U45">
        <v>7</v>
      </c>
      <c r="V45">
        <v>0</v>
      </c>
      <c r="W45">
        <v>10</v>
      </c>
      <c r="X45">
        <v>32.200000000000003</v>
      </c>
      <c r="Y45">
        <v>16</v>
      </c>
    </row>
    <row r="46" spans="1:25" x14ac:dyDescent="0.25">
      <c r="A46" t="s">
        <v>3618</v>
      </c>
      <c r="B46">
        <v>651</v>
      </c>
      <c r="C46">
        <v>45</v>
      </c>
      <c r="D46" t="s">
        <v>23</v>
      </c>
      <c r="E46" t="s">
        <v>3557</v>
      </c>
      <c r="F46" t="s">
        <v>3559</v>
      </c>
      <c r="G46" t="s">
        <v>3619</v>
      </c>
      <c r="H46">
        <v>0</v>
      </c>
      <c r="I46">
        <v>607</v>
      </c>
      <c r="J46">
        <v>295</v>
      </c>
      <c r="K46" t="str">
        <f t="shared" si="0"/>
        <v>logg32216</v>
      </c>
      <c r="L46" t="s">
        <v>3620</v>
      </c>
      <c r="M46" t="s">
        <v>1067</v>
      </c>
      <c r="N46" t="s">
        <v>1129</v>
      </c>
      <c r="Q46" t="s">
        <v>11083</v>
      </c>
      <c r="U46">
        <v>7</v>
      </c>
      <c r="V46">
        <v>0</v>
      </c>
      <c r="W46">
        <v>10</v>
      </c>
      <c r="X46">
        <v>32.200000000000003</v>
      </c>
      <c r="Y46">
        <v>16</v>
      </c>
    </row>
    <row r="47" spans="1:25" x14ac:dyDescent="0.25">
      <c r="A47" t="s">
        <v>3621</v>
      </c>
      <c r="B47">
        <v>652</v>
      </c>
      <c r="C47">
        <v>46</v>
      </c>
      <c r="D47" t="s">
        <v>23</v>
      </c>
      <c r="E47" t="s">
        <v>3557</v>
      </c>
      <c r="F47" t="s">
        <v>3559</v>
      </c>
      <c r="G47" t="s">
        <v>3622</v>
      </c>
      <c r="H47">
        <v>0</v>
      </c>
      <c r="I47">
        <v>494</v>
      </c>
      <c r="J47">
        <v>383</v>
      </c>
      <c r="K47" t="str">
        <f t="shared" si="0"/>
        <v>logg263204</v>
      </c>
      <c r="M47" t="s">
        <v>1067</v>
      </c>
      <c r="N47" t="s">
        <v>1262</v>
      </c>
      <c r="Q47" t="s">
        <v>11083</v>
      </c>
      <c r="U47">
        <v>8</v>
      </c>
      <c r="V47">
        <v>0</v>
      </c>
      <c r="W47">
        <v>10</v>
      </c>
      <c r="X47">
        <v>26.3</v>
      </c>
      <c r="Y47">
        <v>20.399999999999999</v>
      </c>
    </row>
    <row r="48" spans="1:25" x14ac:dyDescent="0.25">
      <c r="A48" t="s">
        <v>3623</v>
      </c>
      <c r="B48">
        <v>653</v>
      </c>
      <c r="C48">
        <v>47</v>
      </c>
      <c r="D48" t="s">
        <v>23</v>
      </c>
      <c r="E48" t="s">
        <v>3557</v>
      </c>
      <c r="F48" t="s">
        <v>3559</v>
      </c>
      <c r="G48" t="s">
        <v>3622</v>
      </c>
      <c r="H48">
        <v>0</v>
      </c>
      <c r="I48">
        <v>523</v>
      </c>
      <c r="J48">
        <v>454</v>
      </c>
      <c r="K48" t="str">
        <f t="shared" si="0"/>
        <v>logg276244</v>
      </c>
      <c r="M48" t="s">
        <v>1067</v>
      </c>
      <c r="N48" t="s">
        <v>1329</v>
      </c>
      <c r="Q48" t="s">
        <v>11083</v>
      </c>
      <c r="U48">
        <v>8</v>
      </c>
      <c r="V48">
        <v>0</v>
      </c>
      <c r="W48">
        <v>10</v>
      </c>
      <c r="X48">
        <v>27.6</v>
      </c>
      <c r="Y48">
        <v>24.4</v>
      </c>
    </row>
    <row r="49" spans="1:25" x14ac:dyDescent="0.25">
      <c r="A49" t="s">
        <v>3624</v>
      </c>
      <c r="B49">
        <v>654</v>
      </c>
      <c r="C49">
        <v>48</v>
      </c>
      <c r="D49" t="s">
        <v>23</v>
      </c>
      <c r="E49" t="s">
        <v>3557</v>
      </c>
      <c r="F49" t="s">
        <v>3559</v>
      </c>
      <c r="G49" t="s">
        <v>3625</v>
      </c>
      <c r="H49">
        <v>0</v>
      </c>
      <c r="I49">
        <v>607</v>
      </c>
      <c r="J49">
        <v>295</v>
      </c>
      <c r="K49" t="str">
        <f t="shared" si="0"/>
        <v>logg32216</v>
      </c>
      <c r="M49" t="s">
        <v>1067</v>
      </c>
      <c r="N49" t="s">
        <v>1129</v>
      </c>
      <c r="Q49" t="s">
        <v>11083</v>
      </c>
      <c r="U49">
        <v>9</v>
      </c>
      <c r="V49">
        <v>0</v>
      </c>
      <c r="W49">
        <v>10</v>
      </c>
      <c r="X49">
        <v>32.200000000000003</v>
      </c>
      <c r="Y49">
        <v>16</v>
      </c>
    </row>
    <row r="50" spans="1:25" x14ac:dyDescent="0.25">
      <c r="A50" t="s">
        <v>3626</v>
      </c>
      <c r="B50">
        <v>655</v>
      </c>
      <c r="C50">
        <v>49</v>
      </c>
      <c r="D50" t="s">
        <v>23</v>
      </c>
      <c r="E50" t="s">
        <v>3557</v>
      </c>
      <c r="F50" t="s">
        <v>3559</v>
      </c>
      <c r="G50" t="s">
        <v>3627</v>
      </c>
      <c r="H50">
        <v>0</v>
      </c>
      <c r="I50">
        <v>494</v>
      </c>
      <c r="J50">
        <v>383</v>
      </c>
      <c r="K50" t="str">
        <f t="shared" si="0"/>
        <v>logg263204</v>
      </c>
      <c r="M50" t="s">
        <v>1067</v>
      </c>
      <c r="N50" t="s">
        <v>1262</v>
      </c>
      <c r="Q50" t="s">
        <v>11083</v>
      </c>
      <c r="U50">
        <v>9</v>
      </c>
      <c r="V50">
        <v>0</v>
      </c>
      <c r="W50">
        <v>10</v>
      </c>
      <c r="X50">
        <v>26.3</v>
      </c>
      <c r="Y50">
        <v>20.399999999999999</v>
      </c>
    </row>
    <row r="51" spans="1:25" x14ac:dyDescent="0.25">
      <c r="A51" t="s">
        <v>3628</v>
      </c>
      <c r="B51">
        <v>656</v>
      </c>
      <c r="C51">
        <v>50</v>
      </c>
      <c r="D51" t="s">
        <v>23</v>
      </c>
      <c r="E51" t="s">
        <v>3557</v>
      </c>
      <c r="F51" t="s">
        <v>3559</v>
      </c>
      <c r="G51" t="s">
        <v>3627</v>
      </c>
      <c r="H51">
        <v>0</v>
      </c>
      <c r="I51">
        <v>523</v>
      </c>
      <c r="J51">
        <v>454</v>
      </c>
      <c r="K51" t="str">
        <f t="shared" si="0"/>
        <v>logg276244</v>
      </c>
      <c r="M51" t="s">
        <v>1067</v>
      </c>
      <c r="N51" t="s">
        <v>1329</v>
      </c>
      <c r="Q51" t="s">
        <v>11083</v>
      </c>
      <c r="U51">
        <v>9</v>
      </c>
      <c r="V51">
        <v>0</v>
      </c>
      <c r="W51">
        <v>10</v>
      </c>
      <c r="X51">
        <v>27.6</v>
      </c>
      <c r="Y51">
        <v>24.4</v>
      </c>
    </row>
    <row r="52" spans="1:25" x14ac:dyDescent="0.25">
      <c r="A52" t="s">
        <v>3629</v>
      </c>
      <c r="B52">
        <v>657</v>
      </c>
      <c r="C52">
        <v>51</v>
      </c>
      <c r="D52" t="s">
        <v>23</v>
      </c>
      <c r="E52" t="s">
        <v>3557</v>
      </c>
      <c r="F52" t="s">
        <v>3559</v>
      </c>
      <c r="G52" t="s">
        <v>3630</v>
      </c>
      <c r="H52">
        <v>0</v>
      </c>
      <c r="I52">
        <v>422</v>
      </c>
      <c r="J52">
        <v>499</v>
      </c>
      <c r="K52" t="str">
        <f t="shared" si="0"/>
        <v>logg224266</v>
      </c>
      <c r="M52" t="s">
        <v>1067</v>
      </c>
      <c r="N52" t="s">
        <v>1399</v>
      </c>
      <c r="Q52" t="s">
        <v>11083</v>
      </c>
      <c r="U52">
        <v>10</v>
      </c>
      <c r="V52">
        <v>0</v>
      </c>
      <c r="W52">
        <v>10</v>
      </c>
      <c r="X52">
        <v>22.4</v>
      </c>
      <c r="Y52">
        <v>26.6</v>
      </c>
    </row>
    <row r="53" spans="1:25" x14ac:dyDescent="0.25">
      <c r="A53" t="s">
        <v>3631</v>
      </c>
      <c r="B53">
        <v>658</v>
      </c>
      <c r="C53">
        <v>52</v>
      </c>
      <c r="D53" t="s">
        <v>23</v>
      </c>
      <c r="E53" t="s">
        <v>3557</v>
      </c>
      <c r="F53" t="s">
        <v>3559</v>
      </c>
      <c r="G53" t="s">
        <v>3632</v>
      </c>
      <c r="H53">
        <v>0</v>
      </c>
      <c r="I53">
        <v>494</v>
      </c>
      <c r="J53">
        <v>383</v>
      </c>
      <c r="K53" t="str">
        <f t="shared" si="0"/>
        <v>logg263204</v>
      </c>
      <c r="M53" t="s">
        <v>1067</v>
      </c>
      <c r="N53" t="s">
        <v>1262</v>
      </c>
      <c r="Q53" t="s">
        <v>11083</v>
      </c>
      <c r="U53">
        <v>10</v>
      </c>
      <c r="V53">
        <v>0</v>
      </c>
      <c r="W53">
        <v>10</v>
      </c>
      <c r="X53">
        <v>26.3</v>
      </c>
      <c r="Y53">
        <v>20.399999999999999</v>
      </c>
    </row>
    <row r="54" spans="1:25" x14ac:dyDescent="0.25">
      <c r="A54" t="s">
        <v>3633</v>
      </c>
      <c r="B54">
        <v>659</v>
      </c>
      <c r="C54">
        <v>53</v>
      </c>
      <c r="D54" t="s">
        <v>23</v>
      </c>
      <c r="E54" t="s">
        <v>3557</v>
      </c>
      <c r="F54" t="s">
        <v>3559</v>
      </c>
      <c r="G54" t="s">
        <v>3634</v>
      </c>
      <c r="H54">
        <v>0</v>
      </c>
      <c r="I54">
        <v>382</v>
      </c>
      <c r="J54">
        <v>373</v>
      </c>
      <c r="K54" t="str">
        <f t="shared" si="0"/>
        <v>logg203202</v>
      </c>
      <c r="M54" t="s">
        <v>1067</v>
      </c>
      <c r="N54" t="s">
        <v>1235</v>
      </c>
      <c r="Q54" t="s">
        <v>11083</v>
      </c>
      <c r="U54">
        <v>12</v>
      </c>
      <c r="V54">
        <v>0</v>
      </c>
      <c r="W54">
        <v>15</v>
      </c>
      <c r="X54">
        <v>20.3</v>
      </c>
      <c r="Y54">
        <v>20.2</v>
      </c>
    </row>
    <row r="55" spans="1:25" x14ac:dyDescent="0.25">
      <c r="A55" t="s">
        <v>3635</v>
      </c>
      <c r="B55">
        <v>660</v>
      </c>
      <c r="C55">
        <v>54</v>
      </c>
      <c r="D55" t="s">
        <v>23</v>
      </c>
      <c r="E55" t="s">
        <v>3557</v>
      </c>
      <c r="F55" t="s">
        <v>3559</v>
      </c>
      <c r="G55" t="s">
        <v>3636</v>
      </c>
      <c r="H55">
        <v>0</v>
      </c>
      <c r="I55">
        <v>382</v>
      </c>
      <c r="J55">
        <v>373</v>
      </c>
      <c r="K55" t="str">
        <f t="shared" si="0"/>
        <v>logg203202</v>
      </c>
      <c r="M55" t="s">
        <v>1067</v>
      </c>
      <c r="N55" t="s">
        <v>1235</v>
      </c>
      <c r="Q55" t="s">
        <v>11083</v>
      </c>
      <c r="U55">
        <v>14</v>
      </c>
      <c r="V55">
        <v>0</v>
      </c>
      <c r="W55">
        <v>15</v>
      </c>
      <c r="X55">
        <v>20.3</v>
      </c>
      <c r="Y55">
        <v>20.2</v>
      </c>
    </row>
    <row r="56" spans="1:25" x14ac:dyDescent="0.25">
      <c r="A56" t="s">
        <v>3637</v>
      </c>
      <c r="B56">
        <v>661</v>
      </c>
      <c r="C56">
        <v>55</v>
      </c>
      <c r="D56" t="s">
        <v>23</v>
      </c>
      <c r="E56" t="s">
        <v>3557</v>
      </c>
      <c r="F56" t="s">
        <v>3559</v>
      </c>
      <c r="G56" t="s">
        <v>3638</v>
      </c>
      <c r="H56">
        <v>0</v>
      </c>
      <c r="I56">
        <v>284</v>
      </c>
      <c r="J56">
        <v>506</v>
      </c>
      <c r="K56" t="str">
        <f t="shared" si="0"/>
        <v>logg153271</v>
      </c>
      <c r="M56" t="s">
        <v>1067</v>
      </c>
      <c r="N56" t="s">
        <v>1284</v>
      </c>
      <c r="Q56" t="s">
        <v>11083</v>
      </c>
      <c r="U56">
        <v>16</v>
      </c>
      <c r="V56">
        <v>0</v>
      </c>
      <c r="W56">
        <v>20</v>
      </c>
      <c r="X56">
        <v>15.3</v>
      </c>
      <c r="Y56">
        <v>27.1</v>
      </c>
    </row>
    <row r="57" spans="1:25" x14ac:dyDescent="0.25">
      <c r="A57" t="s">
        <v>3639</v>
      </c>
      <c r="B57">
        <v>662</v>
      </c>
      <c r="C57">
        <v>56</v>
      </c>
      <c r="D57" t="s">
        <v>23</v>
      </c>
      <c r="E57" t="s">
        <v>3557</v>
      </c>
      <c r="F57" t="s">
        <v>3559</v>
      </c>
      <c r="G57" t="s">
        <v>3640</v>
      </c>
      <c r="H57">
        <v>0</v>
      </c>
      <c r="I57">
        <v>284</v>
      </c>
      <c r="J57">
        <v>506</v>
      </c>
      <c r="K57" t="str">
        <f t="shared" si="0"/>
        <v>logg153271</v>
      </c>
      <c r="L57" t="s">
        <v>3620</v>
      </c>
      <c r="M57" t="s">
        <v>1067</v>
      </c>
      <c r="N57" t="s">
        <v>1284</v>
      </c>
      <c r="Q57" t="s">
        <v>11083</v>
      </c>
      <c r="U57">
        <v>16</v>
      </c>
      <c r="V57">
        <v>0</v>
      </c>
      <c r="W57">
        <v>20</v>
      </c>
      <c r="X57">
        <v>15.3</v>
      </c>
      <c r="Y57">
        <v>27.1</v>
      </c>
    </row>
    <row r="58" spans="1:25" x14ac:dyDescent="0.25">
      <c r="A58" t="s">
        <v>3641</v>
      </c>
      <c r="B58">
        <v>663</v>
      </c>
      <c r="C58">
        <v>57</v>
      </c>
      <c r="D58" t="s">
        <v>23</v>
      </c>
      <c r="E58" t="s">
        <v>3557</v>
      </c>
      <c r="F58" t="s">
        <v>3559</v>
      </c>
      <c r="G58" t="s">
        <v>3642</v>
      </c>
      <c r="H58">
        <v>0</v>
      </c>
      <c r="I58">
        <v>657</v>
      </c>
      <c r="J58">
        <v>315</v>
      </c>
      <c r="K58" t="str">
        <f t="shared" si="0"/>
        <v>logg34717</v>
      </c>
      <c r="M58" t="s">
        <v>1067</v>
      </c>
      <c r="N58" t="s">
        <v>1129</v>
      </c>
      <c r="Q58" t="s">
        <v>11083</v>
      </c>
      <c r="U58">
        <v>17</v>
      </c>
      <c r="V58">
        <v>0</v>
      </c>
      <c r="W58">
        <v>20</v>
      </c>
      <c r="X58">
        <v>34.700000000000003</v>
      </c>
      <c r="Y58">
        <v>17</v>
      </c>
    </row>
    <row r="59" spans="1:25" x14ac:dyDescent="0.25">
      <c r="A59" t="s">
        <v>3643</v>
      </c>
      <c r="B59">
        <v>664</v>
      </c>
      <c r="C59">
        <v>58</v>
      </c>
      <c r="D59" t="s">
        <v>23</v>
      </c>
      <c r="E59" t="s">
        <v>3557</v>
      </c>
      <c r="F59" t="s">
        <v>3559</v>
      </c>
      <c r="G59" t="s">
        <v>3644</v>
      </c>
      <c r="H59">
        <v>0</v>
      </c>
      <c r="I59">
        <v>657</v>
      </c>
      <c r="J59">
        <v>315</v>
      </c>
      <c r="K59" t="str">
        <f t="shared" si="0"/>
        <v>logg34717</v>
      </c>
      <c r="L59" t="s">
        <v>3620</v>
      </c>
      <c r="M59" t="s">
        <v>1067</v>
      </c>
      <c r="N59" t="s">
        <v>1129</v>
      </c>
      <c r="Q59" t="s">
        <v>11083</v>
      </c>
      <c r="U59">
        <v>17</v>
      </c>
      <c r="V59">
        <v>0</v>
      </c>
      <c r="W59">
        <v>20</v>
      </c>
      <c r="X59">
        <v>34.700000000000003</v>
      </c>
      <c r="Y59">
        <v>17</v>
      </c>
    </row>
    <row r="60" spans="1:25" x14ac:dyDescent="0.25">
      <c r="A60" t="s">
        <v>3645</v>
      </c>
      <c r="B60">
        <v>665</v>
      </c>
      <c r="C60">
        <v>59</v>
      </c>
      <c r="D60" t="s">
        <v>23</v>
      </c>
      <c r="E60" t="s">
        <v>3557</v>
      </c>
      <c r="F60" t="s">
        <v>3559</v>
      </c>
      <c r="G60" t="s">
        <v>3646</v>
      </c>
      <c r="H60">
        <v>0</v>
      </c>
      <c r="I60">
        <v>391</v>
      </c>
      <c r="J60">
        <v>375</v>
      </c>
      <c r="K60" t="str">
        <f t="shared" si="0"/>
        <v>logg209201</v>
      </c>
      <c r="M60" t="s">
        <v>1067</v>
      </c>
      <c r="N60" t="s">
        <v>1421</v>
      </c>
      <c r="Q60" t="s">
        <v>11083</v>
      </c>
      <c r="U60">
        <v>18</v>
      </c>
      <c r="V60">
        <v>0</v>
      </c>
      <c r="W60">
        <v>20</v>
      </c>
      <c r="X60">
        <v>20.9</v>
      </c>
      <c r="Y60">
        <v>20.100000000000001</v>
      </c>
    </row>
    <row r="61" spans="1:25" x14ac:dyDescent="0.25">
      <c r="A61" t="s">
        <v>3647</v>
      </c>
      <c r="B61">
        <v>666</v>
      </c>
      <c r="C61">
        <v>60</v>
      </c>
      <c r="D61" t="s">
        <v>23</v>
      </c>
      <c r="E61" t="s">
        <v>3557</v>
      </c>
      <c r="F61" t="s">
        <v>3559</v>
      </c>
      <c r="G61" t="s">
        <v>3648</v>
      </c>
      <c r="H61">
        <v>0</v>
      </c>
      <c r="I61">
        <v>284</v>
      </c>
      <c r="J61">
        <v>506</v>
      </c>
      <c r="K61" t="str">
        <f t="shared" si="0"/>
        <v>logg153271</v>
      </c>
      <c r="M61" t="s">
        <v>1067</v>
      </c>
      <c r="N61" t="s">
        <v>1284</v>
      </c>
      <c r="Q61" t="s">
        <v>11083</v>
      </c>
      <c r="U61">
        <v>19</v>
      </c>
      <c r="V61">
        <v>0</v>
      </c>
      <c r="W61">
        <v>20</v>
      </c>
      <c r="X61">
        <v>15.3</v>
      </c>
      <c r="Y61">
        <v>27.1</v>
      </c>
    </row>
    <row r="62" spans="1:25" x14ac:dyDescent="0.25">
      <c r="A62" t="s">
        <v>3649</v>
      </c>
      <c r="B62">
        <v>667</v>
      </c>
      <c r="C62">
        <v>61</v>
      </c>
      <c r="D62" t="s">
        <v>23</v>
      </c>
      <c r="E62" t="s">
        <v>3557</v>
      </c>
      <c r="F62" t="s">
        <v>3559</v>
      </c>
      <c r="G62" t="s">
        <v>3650</v>
      </c>
      <c r="H62">
        <v>0</v>
      </c>
      <c r="I62">
        <v>284</v>
      </c>
      <c r="J62">
        <v>506</v>
      </c>
      <c r="K62" t="str">
        <f t="shared" si="0"/>
        <v>logg153271</v>
      </c>
      <c r="M62" t="s">
        <v>1067</v>
      </c>
      <c r="N62" t="s">
        <v>1284</v>
      </c>
      <c r="Q62" t="s">
        <v>11083</v>
      </c>
      <c r="U62">
        <v>20</v>
      </c>
      <c r="V62">
        <v>0</v>
      </c>
      <c r="W62">
        <v>20</v>
      </c>
      <c r="X62">
        <v>15.3</v>
      </c>
      <c r="Y62">
        <v>27.1</v>
      </c>
    </row>
    <row r="63" spans="1:25" x14ac:dyDescent="0.25">
      <c r="A63" t="s">
        <v>3651</v>
      </c>
      <c r="B63">
        <v>668</v>
      </c>
      <c r="C63">
        <v>62</v>
      </c>
      <c r="D63" t="s">
        <v>23</v>
      </c>
      <c r="E63" t="s">
        <v>3557</v>
      </c>
      <c r="F63" t="s">
        <v>3559</v>
      </c>
      <c r="G63" t="s">
        <v>3652</v>
      </c>
      <c r="H63">
        <v>0</v>
      </c>
      <c r="I63">
        <v>507</v>
      </c>
      <c r="J63">
        <v>450</v>
      </c>
      <c r="K63" t="str">
        <f t="shared" si="0"/>
        <v>logg2724</v>
      </c>
      <c r="M63" t="s">
        <v>1067</v>
      </c>
      <c r="N63" t="s">
        <v>1168</v>
      </c>
      <c r="Q63" t="s">
        <v>11083</v>
      </c>
      <c r="U63">
        <v>20</v>
      </c>
      <c r="V63">
        <v>0</v>
      </c>
      <c r="W63">
        <v>20</v>
      </c>
      <c r="X63">
        <v>27</v>
      </c>
      <c r="Y63">
        <v>24</v>
      </c>
    </row>
    <row r="64" spans="1:25" x14ac:dyDescent="0.25">
      <c r="A64" t="s">
        <v>3653</v>
      </c>
      <c r="B64">
        <v>669</v>
      </c>
      <c r="C64">
        <v>63</v>
      </c>
      <c r="D64" t="s">
        <v>23</v>
      </c>
      <c r="E64" t="s">
        <v>3557</v>
      </c>
      <c r="F64" t="s">
        <v>3559</v>
      </c>
      <c r="G64" t="s">
        <v>3654</v>
      </c>
      <c r="H64">
        <v>0</v>
      </c>
      <c r="I64">
        <v>438</v>
      </c>
      <c r="J64">
        <v>405</v>
      </c>
      <c r="K64" t="str">
        <f t="shared" si="0"/>
        <v>logg231215</v>
      </c>
      <c r="M64" t="s">
        <v>1067</v>
      </c>
      <c r="N64" t="s">
        <v>1308</v>
      </c>
      <c r="Q64" t="s">
        <v>11083</v>
      </c>
      <c r="U64">
        <v>21</v>
      </c>
      <c r="V64">
        <v>0</v>
      </c>
      <c r="W64">
        <v>25</v>
      </c>
      <c r="X64">
        <v>23.1</v>
      </c>
      <c r="Y64">
        <v>21.5</v>
      </c>
    </row>
    <row r="65" spans="1:25" x14ac:dyDescent="0.25">
      <c r="A65" t="s">
        <v>3655</v>
      </c>
      <c r="B65">
        <v>670</v>
      </c>
      <c r="C65">
        <v>64</v>
      </c>
      <c r="D65" t="s">
        <v>23</v>
      </c>
      <c r="E65" t="s">
        <v>3557</v>
      </c>
      <c r="F65" t="s">
        <v>3559</v>
      </c>
      <c r="G65" t="s">
        <v>3656</v>
      </c>
      <c r="H65">
        <v>0</v>
      </c>
      <c r="I65">
        <v>438</v>
      </c>
      <c r="J65">
        <v>405</v>
      </c>
      <c r="K65" t="str">
        <f t="shared" si="0"/>
        <v>logg231215</v>
      </c>
      <c r="M65" t="s">
        <v>1067</v>
      </c>
      <c r="N65" t="s">
        <v>1308</v>
      </c>
      <c r="Q65" t="s">
        <v>11083</v>
      </c>
      <c r="U65">
        <v>23</v>
      </c>
      <c r="V65">
        <v>0</v>
      </c>
      <c r="W65">
        <v>25</v>
      </c>
      <c r="X65">
        <v>23.1</v>
      </c>
      <c r="Y65">
        <v>21.5</v>
      </c>
    </row>
    <row r="66" spans="1:25" x14ac:dyDescent="0.25">
      <c r="A66" t="s">
        <v>3657</v>
      </c>
      <c r="B66">
        <v>671</v>
      </c>
      <c r="C66">
        <v>65</v>
      </c>
      <c r="D66" t="s">
        <v>23</v>
      </c>
      <c r="E66" t="s">
        <v>3557</v>
      </c>
      <c r="F66" t="s">
        <v>3559</v>
      </c>
      <c r="G66" t="s">
        <v>3658</v>
      </c>
      <c r="H66">
        <v>0</v>
      </c>
      <c r="I66">
        <v>438</v>
      </c>
      <c r="J66">
        <v>405</v>
      </c>
      <c r="K66" t="str">
        <f t="shared" ref="K66:K129" si="1">LEFT(A66,4)&amp;SUBSTITUTE(X66,".","")&amp;SUBSTITUTE(Y66,".","")</f>
        <v>logg231215</v>
      </c>
      <c r="M66" t="s">
        <v>1067</v>
      </c>
      <c r="N66" t="s">
        <v>1308</v>
      </c>
      <c r="Q66" t="s">
        <v>11083</v>
      </c>
      <c r="U66">
        <v>24</v>
      </c>
      <c r="V66">
        <v>0</v>
      </c>
      <c r="W66">
        <v>25</v>
      </c>
      <c r="X66">
        <v>23.1</v>
      </c>
      <c r="Y66">
        <v>21.5</v>
      </c>
    </row>
    <row r="67" spans="1:25" x14ac:dyDescent="0.25">
      <c r="A67" t="s">
        <v>3659</v>
      </c>
      <c r="B67">
        <v>672</v>
      </c>
      <c r="C67">
        <v>66</v>
      </c>
      <c r="D67" t="s">
        <v>23</v>
      </c>
      <c r="E67" t="s">
        <v>3557</v>
      </c>
      <c r="F67" t="s">
        <v>3559</v>
      </c>
      <c r="G67" t="s">
        <v>15</v>
      </c>
      <c r="H67">
        <v>1</v>
      </c>
      <c r="I67">
        <v>306</v>
      </c>
      <c r="J67">
        <v>249</v>
      </c>
      <c r="K67" t="str">
        <f t="shared" si="1"/>
        <v>logg167137</v>
      </c>
      <c r="M67" t="s">
        <v>1067</v>
      </c>
      <c r="N67" t="s">
        <v>1105</v>
      </c>
      <c r="Q67" t="s">
        <v>11083</v>
      </c>
      <c r="U67">
        <v>26</v>
      </c>
      <c r="V67">
        <v>0</v>
      </c>
      <c r="W67">
        <v>30</v>
      </c>
      <c r="X67">
        <v>16.7</v>
      </c>
      <c r="Y67">
        <v>13.7</v>
      </c>
    </row>
    <row r="68" spans="1:25" x14ac:dyDescent="0.25">
      <c r="A68" t="s">
        <v>3660</v>
      </c>
      <c r="B68">
        <v>673</v>
      </c>
      <c r="C68">
        <v>67</v>
      </c>
      <c r="D68" t="s">
        <v>23</v>
      </c>
      <c r="E68" t="s">
        <v>3557</v>
      </c>
      <c r="F68" t="s">
        <v>3559</v>
      </c>
      <c r="G68" t="s">
        <v>15</v>
      </c>
      <c r="H68">
        <v>1</v>
      </c>
      <c r="I68">
        <v>375</v>
      </c>
      <c r="J68">
        <v>399</v>
      </c>
      <c r="K68" t="str">
        <f t="shared" si="1"/>
        <v>logg20213</v>
      </c>
      <c r="M68" t="s">
        <v>1067</v>
      </c>
      <c r="N68" t="s">
        <v>1098</v>
      </c>
      <c r="Q68" t="s">
        <v>11083</v>
      </c>
      <c r="U68">
        <v>26</v>
      </c>
      <c r="V68">
        <v>0</v>
      </c>
      <c r="W68">
        <v>50</v>
      </c>
      <c r="X68">
        <v>20</v>
      </c>
      <c r="Y68">
        <v>21.3</v>
      </c>
    </row>
    <row r="69" spans="1:25" x14ac:dyDescent="0.25">
      <c r="A69" t="s">
        <v>3661</v>
      </c>
      <c r="B69">
        <v>674</v>
      </c>
      <c r="C69">
        <v>68</v>
      </c>
      <c r="D69" t="s">
        <v>23</v>
      </c>
      <c r="E69" t="s">
        <v>3557</v>
      </c>
      <c r="F69" t="s">
        <v>3559</v>
      </c>
      <c r="G69" t="s">
        <v>15</v>
      </c>
      <c r="H69">
        <v>1</v>
      </c>
      <c r="I69">
        <v>478</v>
      </c>
      <c r="J69">
        <v>484</v>
      </c>
      <c r="K69" t="str">
        <f t="shared" si="1"/>
        <v>logg266271</v>
      </c>
      <c r="M69" t="s">
        <v>11</v>
      </c>
      <c r="N69" t="s">
        <v>1667</v>
      </c>
      <c r="Q69" t="s">
        <v>11083</v>
      </c>
      <c r="U69">
        <v>26</v>
      </c>
      <c r="V69">
        <v>0</v>
      </c>
      <c r="W69">
        <v>55</v>
      </c>
      <c r="X69">
        <v>26.6</v>
      </c>
      <c r="Y69">
        <v>27.1</v>
      </c>
    </row>
    <row r="70" spans="1:25" x14ac:dyDescent="0.25">
      <c r="A70" t="s">
        <v>3662</v>
      </c>
      <c r="B70">
        <v>675</v>
      </c>
      <c r="C70">
        <v>69</v>
      </c>
      <c r="D70" t="s">
        <v>23</v>
      </c>
      <c r="E70" t="s">
        <v>3557</v>
      </c>
      <c r="F70" t="s">
        <v>3559</v>
      </c>
      <c r="G70" t="s">
        <v>15</v>
      </c>
      <c r="H70">
        <v>1</v>
      </c>
      <c r="I70">
        <v>643</v>
      </c>
      <c r="J70">
        <v>189</v>
      </c>
      <c r="K70" t="str">
        <f t="shared" si="1"/>
        <v>logg35411</v>
      </c>
      <c r="M70" t="s">
        <v>102</v>
      </c>
      <c r="N70" t="s">
        <v>1663</v>
      </c>
      <c r="Q70" t="s">
        <v>11083</v>
      </c>
      <c r="U70">
        <v>26</v>
      </c>
      <c r="V70">
        <v>0</v>
      </c>
      <c r="W70">
        <v>75</v>
      </c>
      <c r="X70">
        <v>35.4</v>
      </c>
      <c r="Y70">
        <v>11</v>
      </c>
    </row>
    <row r="71" spans="1:25" x14ac:dyDescent="0.25">
      <c r="A71" t="s">
        <v>3663</v>
      </c>
      <c r="B71">
        <v>676</v>
      </c>
      <c r="C71">
        <v>70</v>
      </c>
      <c r="D71" t="s">
        <v>23</v>
      </c>
      <c r="E71" t="s">
        <v>3557</v>
      </c>
      <c r="F71" t="s">
        <v>3559</v>
      </c>
      <c r="G71" t="s">
        <v>15</v>
      </c>
      <c r="H71">
        <v>1</v>
      </c>
      <c r="I71">
        <v>191</v>
      </c>
      <c r="J71">
        <v>300</v>
      </c>
      <c r="K71" t="str">
        <f t="shared" si="1"/>
        <v>logg105162</v>
      </c>
      <c r="M71" t="s">
        <v>73</v>
      </c>
      <c r="N71" t="s">
        <v>1736</v>
      </c>
      <c r="Q71" t="s">
        <v>11083</v>
      </c>
      <c r="U71">
        <v>26</v>
      </c>
      <c r="V71">
        <v>0</v>
      </c>
      <c r="W71">
        <v>65</v>
      </c>
      <c r="X71">
        <v>10.5</v>
      </c>
      <c r="Y71">
        <v>16.2</v>
      </c>
    </row>
    <row r="72" spans="1:25" x14ac:dyDescent="0.25">
      <c r="A72" t="s">
        <v>3664</v>
      </c>
      <c r="B72">
        <v>677</v>
      </c>
      <c r="C72">
        <v>71</v>
      </c>
      <c r="D72" t="s">
        <v>23</v>
      </c>
      <c r="E72" t="s">
        <v>3557</v>
      </c>
      <c r="F72" t="s">
        <v>3559</v>
      </c>
      <c r="G72" t="s">
        <v>15</v>
      </c>
      <c r="H72">
        <v>1</v>
      </c>
      <c r="I72">
        <v>165</v>
      </c>
      <c r="J72">
        <v>564</v>
      </c>
      <c r="K72" t="str">
        <f t="shared" si="1"/>
        <v>logg930</v>
      </c>
      <c r="M72" t="s">
        <v>73</v>
      </c>
      <c r="N72" t="s">
        <v>1743</v>
      </c>
      <c r="Q72" t="s">
        <v>11083</v>
      </c>
      <c r="U72">
        <v>26</v>
      </c>
      <c r="V72">
        <v>0</v>
      </c>
      <c r="W72">
        <v>70</v>
      </c>
      <c r="X72">
        <v>9</v>
      </c>
      <c r="Y72">
        <v>30</v>
      </c>
    </row>
    <row r="73" spans="1:25" x14ac:dyDescent="0.25">
      <c r="A73" t="s">
        <v>3665</v>
      </c>
      <c r="B73">
        <v>678</v>
      </c>
      <c r="C73">
        <v>72</v>
      </c>
      <c r="D73" t="s">
        <v>23</v>
      </c>
      <c r="E73" t="s">
        <v>3557</v>
      </c>
      <c r="F73" t="s">
        <v>3559</v>
      </c>
      <c r="G73" t="s">
        <v>15</v>
      </c>
      <c r="H73">
        <v>1</v>
      </c>
      <c r="I73">
        <v>650</v>
      </c>
      <c r="J73">
        <v>526</v>
      </c>
      <c r="K73" t="str">
        <f t="shared" si="1"/>
        <v>logg34328</v>
      </c>
      <c r="M73" t="s">
        <v>102</v>
      </c>
      <c r="N73" t="s">
        <v>1762</v>
      </c>
      <c r="Q73" t="s">
        <v>11083</v>
      </c>
      <c r="U73">
        <v>26</v>
      </c>
      <c r="V73">
        <v>0</v>
      </c>
      <c r="W73">
        <v>75</v>
      </c>
      <c r="X73">
        <v>34.299999999999997</v>
      </c>
      <c r="Y73">
        <v>28</v>
      </c>
    </row>
    <row r="74" spans="1:25" x14ac:dyDescent="0.25">
      <c r="A74" t="s">
        <v>3666</v>
      </c>
      <c r="B74">
        <v>679</v>
      </c>
      <c r="C74">
        <v>73</v>
      </c>
      <c r="D74" t="s">
        <v>23</v>
      </c>
      <c r="E74" t="s">
        <v>3557</v>
      </c>
      <c r="F74" t="s">
        <v>3559</v>
      </c>
      <c r="G74" t="s">
        <v>15</v>
      </c>
      <c r="H74">
        <v>1</v>
      </c>
      <c r="I74">
        <v>296</v>
      </c>
      <c r="J74">
        <v>567</v>
      </c>
      <c r="K74" t="str">
        <f t="shared" si="1"/>
        <v>logg16302</v>
      </c>
      <c r="M74" t="s">
        <v>102</v>
      </c>
      <c r="N74" t="s">
        <v>2157</v>
      </c>
      <c r="Q74" t="s">
        <v>11083</v>
      </c>
      <c r="U74">
        <v>26</v>
      </c>
      <c r="V74">
        <v>0</v>
      </c>
      <c r="W74">
        <v>80</v>
      </c>
      <c r="X74">
        <v>16</v>
      </c>
      <c r="Y74">
        <v>30.2</v>
      </c>
    </row>
    <row r="75" spans="1:25" x14ac:dyDescent="0.25">
      <c r="A75" t="s">
        <v>3667</v>
      </c>
      <c r="B75">
        <v>680</v>
      </c>
      <c r="C75">
        <v>74</v>
      </c>
      <c r="D75" t="s">
        <v>23</v>
      </c>
      <c r="E75" t="s">
        <v>3557</v>
      </c>
      <c r="F75" t="s">
        <v>3559</v>
      </c>
      <c r="G75" t="s">
        <v>15</v>
      </c>
      <c r="H75">
        <v>1</v>
      </c>
      <c r="I75">
        <v>312</v>
      </c>
      <c r="J75">
        <v>414</v>
      </c>
      <c r="K75" t="str">
        <f t="shared" si="1"/>
        <v>logg169222</v>
      </c>
      <c r="M75" t="s">
        <v>133</v>
      </c>
      <c r="N75" t="s">
        <v>2392</v>
      </c>
      <c r="Q75" t="s">
        <v>11083</v>
      </c>
      <c r="U75">
        <v>26</v>
      </c>
      <c r="V75">
        <v>0</v>
      </c>
      <c r="W75">
        <v>85</v>
      </c>
      <c r="X75">
        <v>16.899999999999999</v>
      </c>
      <c r="Y75">
        <v>22.2</v>
      </c>
    </row>
    <row r="76" spans="1:25" x14ac:dyDescent="0.25">
      <c r="A76" t="s">
        <v>3668</v>
      </c>
      <c r="B76">
        <v>681</v>
      </c>
      <c r="C76">
        <v>75</v>
      </c>
      <c r="D76" t="s">
        <v>23</v>
      </c>
      <c r="E76" t="s">
        <v>3557</v>
      </c>
      <c r="F76" t="s">
        <v>3559</v>
      </c>
      <c r="G76" t="s">
        <v>15</v>
      </c>
      <c r="H76">
        <v>1</v>
      </c>
      <c r="I76">
        <v>507</v>
      </c>
      <c r="J76">
        <v>285</v>
      </c>
      <c r="K76" t="str">
        <f t="shared" si="1"/>
        <v>logg267156</v>
      </c>
      <c r="M76" t="s">
        <v>133</v>
      </c>
      <c r="N76" t="s">
        <v>2375</v>
      </c>
      <c r="Q76" t="s">
        <v>3669</v>
      </c>
      <c r="R76" t="s">
        <v>2819</v>
      </c>
      <c r="U76">
        <v>26</v>
      </c>
      <c r="V76">
        <v>0</v>
      </c>
      <c r="W76">
        <v>90</v>
      </c>
      <c r="X76">
        <v>26.7</v>
      </c>
      <c r="Y76">
        <v>15.6</v>
      </c>
    </row>
    <row r="77" spans="1:25" x14ac:dyDescent="0.25">
      <c r="A77" t="s">
        <v>3670</v>
      </c>
      <c r="B77">
        <v>682</v>
      </c>
      <c r="C77">
        <v>76</v>
      </c>
      <c r="D77" t="s">
        <v>23</v>
      </c>
      <c r="E77" t="s">
        <v>3557</v>
      </c>
      <c r="F77" t="s">
        <v>3559</v>
      </c>
      <c r="G77" t="s">
        <v>37</v>
      </c>
      <c r="H77">
        <v>1</v>
      </c>
      <c r="I77">
        <v>325</v>
      </c>
      <c r="J77">
        <v>406</v>
      </c>
      <c r="K77" t="str">
        <f t="shared" si="1"/>
        <v>logg174219</v>
      </c>
      <c r="M77" t="s">
        <v>1067</v>
      </c>
      <c r="N77" t="s">
        <v>1308</v>
      </c>
      <c r="Q77" t="s">
        <v>11083</v>
      </c>
      <c r="U77">
        <v>26</v>
      </c>
      <c r="V77">
        <v>0</v>
      </c>
      <c r="W77">
        <v>30</v>
      </c>
      <c r="X77">
        <v>17.399999999999999</v>
      </c>
      <c r="Y77">
        <v>21.9</v>
      </c>
    </row>
    <row r="78" spans="1:25" x14ac:dyDescent="0.25">
      <c r="A78" t="s">
        <v>3671</v>
      </c>
      <c r="B78">
        <v>683</v>
      </c>
      <c r="C78">
        <v>77</v>
      </c>
      <c r="D78" t="s">
        <v>23</v>
      </c>
      <c r="E78" t="s">
        <v>3557</v>
      </c>
      <c r="F78" t="s">
        <v>3559</v>
      </c>
      <c r="G78" t="s">
        <v>37</v>
      </c>
      <c r="H78">
        <v>1</v>
      </c>
      <c r="I78">
        <v>567</v>
      </c>
      <c r="J78">
        <v>571</v>
      </c>
      <c r="K78" t="str">
        <f t="shared" si="1"/>
        <v>logg314319</v>
      </c>
      <c r="M78" t="s">
        <v>11</v>
      </c>
      <c r="N78" t="s">
        <v>1532</v>
      </c>
      <c r="Q78" t="s">
        <v>11083</v>
      </c>
      <c r="U78">
        <v>26</v>
      </c>
      <c r="V78">
        <v>0</v>
      </c>
      <c r="W78">
        <v>50</v>
      </c>
      <c r="X78">
        <v>31.4</v>
      </c>
      <c r="Y78">
        <v>31.9</v>
      </c>
    </row>
    <row r="79" spans="1:25" x14ac:dyDescent="0.25">
      <c r="A79" t="s">
        <v>3672</v>
      </c>
      <c r="B79">
        <v>684</v>
      </c>
      <c r="C79">
        <v>78</v>
      </c>
      <c r="D79" t="s">
        <v>23</v>
      </c>
      <c r="E79" t="s">
        <v>3557</v>
      </c>
      <c r="F79" t="s">
        <v>3559</v>
      </c>
      <c r="G79" t="s">
        <v>37</v>
      </c>
      <c r="H79">
        <v>1</v>
      </c>
      <c r="I79">
        <v>537</v>
      </c>
      <c r="J79">
        <v>174</v>
      </c>
      <c r="K79" t="str">
        <f t="shared" si="1"/>
        <v>logg28498</v>
      </c>
      <c r="M79" t="s">
        <v>73</v>
      </c>
      <c r="N79" t="s">
        <v>1864</v>
      </c>
      <c r="Q79" t="s">
        <v>11083</v>
      </c>
      <c r="U79">
        <v>26</v>
      </c>
      <c r="V79">
        <v>0</v>
      </c>
      <c r="W79">
        <v>70</v>
      </c>
      <c r="X79">
        <v>28.4</v>
      </c>
      <c r="Y79">
        <v>9.8000000000000007</v>
      </c>
    </row>
    <row r="80" spans="1:25" x14ac:dyDescent="0.25">
      <c r="A80" t="s">
        <v>3673</v>
      </c>
      <c r="B80">
        <v>685</v>
      </c>
      <c r="C80">
        <v>79</v>
      </c>
      <c r="D80" t="s">
        <v>23</v>
      </c>
      <c r="E80" t="s">
        <v>3557</v>
      </c>
      <c r="F80" t="s">
        <v>3559</v>
      </c>
      <c r="G80" t="s">
        <v>37</v>
      </c>
      <c r="H80">
        <v>1</v>
      </c>
      <c r="I80">
        <v>590</v>
      </c>
      <c r="J80">
        <v>503</v>
      </c>
      <c r="K80" t="str">
        <f t="shared" si="1"/>
        <v>logg31269</v>
      </c>
      <c r="M80" t="s">
        <v>73</v>
      </c>
      <c r="N80" t="s">
        <v>1862</v>
      </c>
      <c r="Q80" t="s">
        <v>3669</v>
      </c>
      <c r="R80" t="s">
        <v>2810</v>
      </c>
      <c r="U80">
        <v>26</v>
      </c>
      <c r="V80">
        <v>0</v>
      </c>
      <c r="W80">
        <v>70</v>
      </c>
      <c r="X80">
        <v>31</v>
      </c>
      <c r="Y80">
        <v>26.9</v>
      </c>
    </row>
    <row r="81" spans="1:25" x14ac:dyDescent="0.25">
      <c r="A81" t="s">
        <v>3674</v>
      </c>
      <c r="B81">
        <v>686</v>
      </c>
      <c r="C81">
        <v>80</v>
      </c>
      <c r="D81" t="s">
        <v>23</v>
      </c>
      <c r="E81" t="s">
        <v>3557</v>
      </c>
      <c r="F81" t="s">
        <v>3559</v>
      </c>
      <c r="G81" t="s">
        <v>37</v>
      </c>
      <c r="H81">
        <v>1</v>
      </c>
      <c r="I81">
        <v>327</v>
      </c>
      <c r="J81">
        <v>460</v>
      </c>
      <c r="K81" t="str">
        <f t="shared" si="1"/>
        <v>logg175245</v>
      </c>
      <c r="M81" t="s">
        <v>102</v>
      </c>
      <c r="N81" t="s">
        <v>2133</v>
      </c>
      <c r="Q81" t="s">
        <v>11083</v>
      </c>
      <c r="U81">
        <v>26</v>
      </c>
      <c r="V81">
        <v>0</v>
      </c>
      <c r="W81">
        <v>70</v>
      </c>
      <c r="X81">
        <v>17.5</v>
      </c>
      <c r="Y81">
        <v>24.5</v>
      </c>
    </row>
    <row r="82" spans="1:25" x14ac:dyDescent="0.25">
      <c r="A82" t="s">
        <v>3675</v>
      </c>
      <c r="B82">
        <v>687</v>
      </c>
      <c r="C82">
        <v>81</v>
      </c>
      <c r="D82" t="s">
        <v>23</v>
      </c>
      <c r="E82" t="s">
        <v>3557</v>
      </c>
      <c r="F82" t="s">
        <v>3559</v>
      </c>
      <c r="G82" t="s">
        <v>37</v>
      </c>
      <c r="H82">
        <v>1</v>
      </c>
      <c r="I82">
        <v>522</v>
      </c>
      <c r="J82">
        <v>458</v>
      </c>
      <c r="K82" t="str">
        <f t="shared" si="1"/>
        <v>logg276245</v>
      </c>
      <c r="M82" t="s">
        <v>102</v>
      </c>
      <c r="N82" t="s">
        <v>2068</v>
      </c>
      <c r="Q82" t="s">
        <v>11083</v>
      </c>
      <c r="U82">
        <v>26</v>
      </c>
      <c r="V82">
        <v>0</v>
      </c>
      <c r="W82">
        <v>75</v>
      </c>
      <c r="X82">
        <v>27.6</v>
      </c>
      <c r="Y82">
        <v>24.5</v>
      </c>
    </row>
    <row r="83" spans="1:25" x14ac:dyDescent="0.25">
      <c r="A83" t="s">
        <v>3676</v>
      </c>
      <c r="B83">
        <v>688</v>
      </c>
      <c r="C83">
        <v>82</v>
      </c>
      <c r="D83" t="s">
        <v>23</v>
      </c>
      <c r="E83" t="s">
        <v>3557</v>
      </c>
      <c r="F83" t="s">
        <v>3559</v>
      </c>
      <c r="G83" t="s">
        <v>37</v>
      </c>
      <c r="H83">
        <v>1</v>
      </c>
      <c r="I83">
        <v>617</v>
      </c>
      <c r="J83">
        <v>522</v>
      </c>
      <c r="K83" t="str">
        <f t="shared" si="1"/>
        <v>logg324278</v>
      </c>
      <c r="M83" t="s">
        <v>215</v>
      </c>
      <c r="N83" t="s">
        <v>2732</v>
      </c>
      <c r="Q83" t="s">
        <v>11083</v>
      </c>
      <c r="U83">
        <v>26</v>
      </c>
      <c r="V83">
        <v>0</v>
      </c>
      <c r="W83">
        <v>100</v>
      </c>
      <c r="X83">
        <v>32.4</v>
      </c>
      <c r="Y83">
        <v>27.8</v>
      </c>
    </row>
    <row r="84" spans="1:25" x14ac:dyDescent="0.25">
      <c r="A84" t="s">
        <v>3677</v>
      </c>
      <c r="B84">
        <v>689</v>
      </c>
      <c r="C84">
        <v>83</v>
      </c>
      <c r="D84" t="s">
        <v>23</v>
      </c>
      <c r="E84" t="s">
        <v>3557</v>
      </c>
      <c r="F84" t="s">
        <v>3559</v>
      </c>
      <c r="G84" t="s">
        <v>24</v>
      </c>
      <c r="H84">
        <v>1</v>
      </c>
      <c r="I84">
        <v>466</v>
      </c>
      <c r="J84">
        <v>583</v>
      </c>
      <c r="K84" t="str">
        <f t="shared" si="1"/>
        <v>logg246308</v>
      </c>
      <c r="M84" t="s">
        <v>1067</v>
      </c>
      <c r="N84" t="s">
        <v>1235</v>
      </c>
      <c r="Q84" t="s">
        <v>11083</v>
      </c>
      <c r="U84">
        <v>26</v>
      </c>
      <c r="V84">
        <v>0</v>
      </c>
      <c r="W84">
        <v>30</v>
      </c>
      <c r="X84">
        <v>24.6</v>
      </c>
      <c r="Y84">
        <v>30.8</v>
      </c>
    </row>
    <row r="85" spans="1:25" x14ac:dyDescent="0.25">
      <c r="A85" t="s">
        <v>3678</v>
      </c>
      <c r="B85">
        <v>690</v>
      </c>
      <c r="C85">
        <v>84</v>
      </c>
      <c r="D85" t="s">
        <v>23</v>
      </c>
      <c r="E85" t="s">
        <v>3557</v>
      </c>
      <c r="F85" t="s">
        <v>3559</v>
      </c>
      <c r="G85" t="s">
        <v>24</v>
      </c>
      <c r="H85">
        <v>1</v>
      </c>
      <c r="I85">
        <v>684</v>
      </c>
      <c r="J85">
        <v>441</v>
      </c>
      <c r="K85" t="str">
        <f t="shared" si="1"/>
        <v>logg378247</v>
      </c>
      <c r="M85" t="s">
        <v>73</v>
      </c>
      <c r="N85" t="s">
        <v>1686</v>
      </c>
      <c r="Q85" t="s">
        <v>11083</v>
      </c>
      <c r="U85">
        <v>26</v>
      </c>
      <c r="V85">
        <v>0</v>
      </c>
      <c r="W85">
        <v>75</v>
      </c>
      <c r="X85">
        <v>37.799999999999997</v>
      </c>
      <c r="Y85">
        <v>24.7</v>
      </c>
    </row>
    <row r="86" spans="1:25" x14ac:dyDescent="0.25">
      <c r="A86" t="s">
        <v>3679</v>
      </c>
      <c r="B86">
        <v>691</v>
      </c>
      <c r="C86">
        <v>85</v>
      </c>
      <c r="D86" t="s">
        <v>23</v>
      </c>
      <c r="E86" t="s">
        <v>3557</v>
      </c>
      <c r="F86" t="s">
        <v>3559</v>
      </c>
      <c r="G86" t="s">
        <v>24</v>
      </c>
      <c r="H86">
        <v>1</v>
      </c>
      <c r="I86">
        <v>675</v>
      </c>
      <c r="J86">
        <v>270</v>
      </c>
      <c r="K86" t="str">
        <f t="shared" si="1"/>
        <v>logg356148</v>
      </c>
      <c r="M86" t="s">
        <v>73</v>
      </c>
      <c r="N86" t="s">
        <v>1936</v>
      </c>
      <c r="Q86" t="s">
        <v>11083</v>
      </c>
      <c r="U86">
        <v>26</v>
      </c>
      <c r="V86">
        <v>0</v>
      </c>
      <c r="W86">
        <v>65</v>
      </c>
      <c r="X86">
        <v>35.6</v>
      </c>
      <c r="Y86">
        <v>14.8</v>
      </c>
    </row>
    <row r="87" spans="1:25" x14ac:dyDescent="0.25">
      <c r="A87" t="s">
        <v>3680</v>
      </c>
      <c r="B87">
        <v>692</v>
      </c>
      <c r="C87">
        <v>86</v>
      </c>
      <c r="D87" t="s">
        <v>23</v>
      </c>
      <c r="E87" t="s">
        <v>3557</v>
      </c>
      <c r="F87" t="s">
        <v>3559</v>
      </c>
      <c r="G87" t="s">
        <v>24</v>
      </c>
      <c r="H87">
        <v>1</v>
      </c>
      <c r="I87">
        <v>181</v>
      </c>
      <c r="J87">
        <v>386</v>
      </c>
      <c r="K87" t="str">
        <f t="shared" si="1"/>
        <v>logg10205</v>
      </c>
      <c r="M87" t="s">
        <v>102</v>
      </c>
      <c r="N87" t="s">
        <v>2235</v>
      </c>
      <c r="Q87" t="s">
        <v>11083</v>
      </c>
      <c r="U87">
        <v>26</v>
      </c>
      <c r="V87">
        <v>0</v>
      </c>
      <c r="W87">
        <v>75</v>
      </c>
      <c r="X87">
        <v>10</v>
      </c>
      <c r="Y87">
        <v>20.5</v>
      </c>
    </row>
    <row r="88" spans="1:25" x14ac:dyDescent="0.25">
      <c r="A88" t="s">
        <v>3681</v>
      </c>
      <c r="B88">
        <v>693</v>
      </c>
      <c r="C88">
        <v>87</v>
      </c>
      <c r="D88" t="s">
        <v>23</v>
      </c>
      <c r="E88" t="s">
        <v>3557</v>
      </c>
      <c r="F88" t="s">
        <v>3559</v>
      </c>
      <c r="G88" t="s">
        <v>24</v>
      </c>
      <c r="H88">
        <v>1</v>
      </c>
      <c r="I88">
        <v>285</v>
      </c>
      <c r="J88">
        <v>108</v>
      </c>
      <c r="K88" t="str">
        <f t="shared" si="1"/>
        <v>logg15565</v>
      </c>
      <c r="M88" t="s">
        <v>133</v>
      </c>
      <c r="N88" t="s">
        <v>2324</v>
      </c>
      <c r="Q88" t="s">
        <v>11083</v>
      </c>
      <c r="U88">
        <v>26</v>
      </c>
      <c r="V88">
        <v>0</v>
      </c>
      <c r="W88">
        <v>85</v>
      </c>
      <c r="X88">
        <v>15.5</v>
      </c>
      <c r="Y88">
        <v>6.5</v>
      </c>
    </row>
    <row r="89" spans="1:25" x14ac:dyDescent="0.25">
      <c r="A89" t="s">
        <v>3682</v>
      </c>
      <c r="B89">
        <v>694</v>
      </c>
      <c r="C89">
        <v>88</v>
      </c>
      <c r="D89" t="s">
        <v>23</v>
      </c>
      <c r="E89" t="s">
        <v>3557</v>
      </c>
      <c r="F89" t="s">
        <v>3559</v>
      </c>
      <c r="G89" t="s">
        <v>24</v>
      </c>
      <c r="H89">
        <v>1</v>
      </c>
      <c r="I89">
        <v>518</v>
      </c>
      <c r="J89">
        <v>251</v>
      </c>
      <c r="K89" t="str">
        <f t="shared" si="1"/>
        <v>logg275138</v>
      </c>
      <c r="M89" t="s">
        <v>215</v>
      </c>
      <c r="N89" t="s">
        <v>2714</v>
      </c>
      <c r="Q89" t="s">
        <v>11083</v>
      </c>
      <c r="U89">
        <v>26</v>
      </c>
      <c r="V89">
        <v>0</v>
      </c>
      <c r="W89">
        <v>100</v>
      </c>
      <c r="X89">
        <v>27.5</v>
      </c>
      <c r="Y89">
        <v>13.8</v>
      </c>
    </row>
    <row r="90" spans="1:25" x14ac:dyDescent="0.25">
      <c r="A90" t="s">
        <v>3683</v>
      </c>
      <c r="B90">
        <v>695</v>
      </c>
      <c r="C90">
        <v>89</v>
      </c>
      <c r="D90" t="s">
        <v>23</v>
      </c>
      <c r="E90" t="s">
        <v>3557</v>
      </c>
      <c r="F90" t="s">
        <v>3559</v>
      </c>
      <c r="G90" t="s">
        <v>24</v>
      </c>
      <c r="H90">
        <v>1</v>
      </c>
      <c r="I90">
        <v>226</v>
      </c>
      <c r="J90">
        <v>409</v>
      </c>
      <c r="K90" t="str">
        <f t="shared" si="1"/>
        <v>logg12222</v>
      </c>
      <c r="M90" t="s">
        <v>215</v>
      </c>
      <c r="N90" t="s">
        <v>3684</v>
      </c>
      <c r="Q90" t="s">
        <v>11083</v>
      </c>
      <c r="U90">
        <v>26</v>
      </c>
      <c r="V90">
        <v>0</v>
      </c>
      <c r="W90">
        <v>100</v>
      </c>
      <c r="X90">
        <v>12.2</v>
      </c>
      <c r="Y90">
        <v>22</v>
      </c>
    </row>
    <row r="91" spans="1:25" x14ac:dyDescent="0.25">
      <c r="A91" t="s">
        <v>3685</v>
      </c>
      <c r="B91">
        <v>696</v>
      </c>
      <c r="C91">
        <v>90</v>
      </c>
      <c r="D91" t="s">
        <v>23</v>
      </c>
      <c r="E91" t="s">
        <v>3557</v>
      </c>
      <c r="F91" t="s">
        <v>3559</v>
      </c>
      <c r="G91" t="s">
        <v>28</v>
      </c>
      <c r="H91">
        <v>1</v>
      </c>
      <c r="I91">
        <v>497</v>
      </c>
      <c r="J91">
        <v>410</v>
      </c>
      <c r="K91" t="str">
        <f t="shared" si="1"/>
        <v>logg265218</v>
      </c>
      <c r="M91" t="s">
        <v>1067</v>
      </c>
      <c r="N91" t="s">
        <v>1336</v>
      </c>
      <c r="Q91" t="s">
        <v>11083</v>
      </c>
      <c r="U91">
        <v>26</v>
      </c>
      <c r="V91">
        <v>0</v>
      </c>
      <c r="W91">
        <v>30</v>
      </c>
      <c r="X91">
        <v>26.5</v>
      </c>
      <c r="Y91">
        <v>21.8</v>
      </c>
    </row>
    <row r="92" spans="1:25" x14ac:dyDescent="0.25">
      <c r="A92" t="s">
        <v>3686</v>
      </c>
      <c r="B92">
        <v>697</v>
      </c>
      <c r="C92">
        <v>91</v>
      </c>
      <c r="D92" t="s">
        <v>23</v>
      </c>
      <c r="E92" t="s">
        <v>3557</v>
      </c>
      <c r="F92" t="s">
        <v>3559</v>
      </c>
      <c r="G92" t="s">
        <v>28</v>
      </c>
      <c r="H92">
        <v>1</v>
      </c>
      <c r="I92">
        <v>585</v>
      </c>
      <c r="J92">
        <v>566</v>
      </c>
      <c r="K92" t="str">
        <f t="shared" si="1"/>
        <v>logg325317</v>
      </c>
      <c r="M92" t="s">
        <v>11</v>
      </c>
      <c r="N92" t="s">
        <v>1706</v>
      </c>
      <c r="Q92" t="s">
        <v>11083</v>
      </c>
      <c r="U92">
        <v>26</v>
      </c>
      <c r="V92">
        <v>0</v>
      </c>
      <c r="W92">
        <v>60</v>
      </c>
      <c r="X92">
        <v>32.5</v>
      </c>
      <c r="Y92">
        <v>31.7</v>
      </c>
    </row>
    <row r="93" spans="1:25" x14ac:dyDescent="0.25">
      <c r="A93" t="s">
        <v>3687</v>
      </c>
      <c r="B93">
        <v>698</v>
      </c>
      <c r="C93">
        <v>92</v>
      </c>
      <c r="D93" t="s">
        <v>23</v>
      </c>
      <c r="E93" t="s">
        <v>3557</v>
      </c>
      <c r="F93" t="s">
        <v>3559</v>
      </c>
      <c r="G93" t="s">
        <v>28</v>
      </c>
      <c r="H93">
        <v>1</v>
      </c>
      <c r="I93">
        <v>639</v>
      </c>
      <c r="J93">
        <v>159</v>
      </c>
      <c r="K93" t="str">
        <f t="shared" si="1"/>
        <v>logg33892</v>
      </c>
      <c r="M93" t="s">
        <v>102</v>
      </c>
      <c r="N93" t="s">
        <v>1788</v>
      </c>
      <c r="Q93" t="s">
        <v>11083</v>
      </c>
      <c r="U93">
        <v>26</v>
      </c>
      <c r="V93">
        <v>0</v>
      </c>
      <c r="W93">
        <v>75</v>
      </c>
      <c r="X93">
        <v>33.799999999999997</v>
      </c>
      <c r="Y93">
        <v>9.1999999999999993</v>
      </c>
    </row>
    <row r="94" spans="1:25" x14ac:dyDescent="0.25">
      <c r="A94" t="s">
        <v>3688</v>
      </c>
      <c r="B94">
        <v>699</v>
      </c>
      <c r="C94">
        <v>93</v>
      </c>
      <c r="D94" t="s">
        <v>23</v>
      </c>
      <c r="E94" t="s">
        <v>3557</v>
      </c>
      <c r="F94" t="s">
        <v>3559</v>
      </c>
      <c r="G94" t="s">
        <v>28</v>
      </c>
      <c r="H94">
        <v>1</v>
      </c>
      <c r="I94">
        <v>672</v>
      </c>
      <c r="J94">
        <v>466</v>
      </c>
      <c r="K94" t="str">
        <f t="shared" si="1"/>
        <v>logg353249</v>
      </c>
      <c r="M94" t="s">
        <v>102</v>
      </c>
      <c r="N94" t="s">
        <v>2065</v>
      </c>
      <c r="Q94" t="s">
        <v>11083</v>
      </c>
      <c r="U94">
        <v>26</v>
      </c>
      <c r="V94">
        <v>0</v>
      </c>
      <c r="W94">
        <v>75</v>
      </c>
      <c r="X94">
        <v>35.299999999999997</v>
      </c>
      <c r="Y94">
        <v>24.9</v>
      </c>
    </row>
    <row r="95" spans="1:25" x14ac:dyDescent="0.25">
      <c r="A95" t="s">
        <v>3689</v>
      </c>
      <c r="B95">
        <v>700</v>
      </c>
      <c r="C95">
        <v>94</v>
      </c>
      <c r="D95" t="s">
        <v>23</v>
      </c>
      <c r="E95" t="s">
        <v>3557</v>
      </c>
      <c r="F95" t="s">
        <v>3559</v>
      </c>
      <c r="G95" t="s">
        <v>28</v>
      </c>
      <c r="H95">
        <v>1</v>
      </c>
      <c r="I95">
        <v>229</v>
      </c>
      <c r="J95">
        <v>181</v>
      </c>
      <c r="K95" t="str">
        <f t="shared" si="1"/>
        <v>logg124102</v>
      </c>
      <c r="M95" t="s">
        <v>102</v>
      </c>
      <c r="N95" t="s">
        <v>2020</v>
      </c>
      <c r="Q95" t="s">
        <v>11083</v>
      </c>
      <c r="U95">
        <v>26</v>
      </c>
      <c r="V95">
        <v>0</v>
      </c>
      <c r="W95">
        <v>80</v>
      </c>
      <c r="X95">
        <v>12.4</v>
      </c>
      <c r="Y95">
        <v>10.199999999999999</v>
      </c>
    </row>
    <row r="96" spans="1:25" x14ac:dyDescent="0.25">
      <c r="A96" t="s">
        <v>3690</v>
      </c>
      <c r="B96">
        <v>701</v>
      </c>
      <c r="C96">
        <v>95</v>
      </c>
      <c r="D96" t="s">
        <v>23</v>
      </c>
      <c r="E96" t="s">
        <v>3557</v>
      </c>
      <c r="F96" t="s">
        <v>3559</v>
      </c>
      <c r="G96" t="s">
        <v>28</v>
      </c>
      <c r="H96">
        <v>1</v>
      </c>
      <c r="I96">
        <v>300</v>
      </c>
      <c r="J96">
        <v>542</v>
      </c>
      <c r="K96" t="str">
        <f t="shared" si="1"/>
        <v>logg159289</v>
      </c>
      <c r="M96" t="s">
        <v>133</v>
      </c>
      <c r="N96" t="s">
        <v>2440</v>
      </c>
      <c r="Q96" t="s">
        <v>11083</v>
      </c>
      <c r="U96">
        <v>26</v>
      </c>
      <c r="V96">
        <v>0</v>
      </c>
      <c r="W96">
        <v>85</v>
      </c>
      <c r="X96">
        <v>15.9</v>
      </c>
      <c r="Y96">
        <v>28.9</v>
      </c>
    </row>
    <row r="97" spans="1:25" x14ac:dyDescent="0.25">
      <c r="A97" t="s">
        <v>3691</v>
      </c>
      <c r="B97">
        <v>702</v>
      </c>
      <c r="C97">
        <v>96</v>
      </c>
      <c r="D97" t="s">
        <v>23</v>
      </c>
      <c r="E97" t="s">
        <v>3557</v>
      </c>
      <c r="F97" t="s">
        <v>3559</v>
      </c>
      <c r="G97" t="s">
        <v>19</v>
      </c>
      <c r="H97">
        <v>1</v>
      </c>
      <c r="I97">
        <v>463</v>
      </c>
      <c r="J97">
        <v>572</v>
      </c>
      <c r="K97" t="str">
        <f t="shared" si="1"/>
        <v>logg246306</v>
      </c>
      <c r="M97" t="s">
        <v>1067</v>
      </c>
      <c r="N97" t="s">
        <v>1399</v>
      </c>
      <c r="Q97" t="s">
        <v>11083</v>
      </c>
      <c r="U97">
        <v>26</v>
      </c>
      <c r="V97">
        <v>0</v>
      </c>
      <c r="W97">
        <v>30</v>
      </c>
      <c r="X97">
        <v>24.6</v>
      </c>
      <c r="Y97">
        <v>30.6</v>
      </c>
    </row>
    <row r="98" spans="1:25" x14ac:dyDescent="0.25">
      <c r="A98" t="s">
        <v>3692</v>
      </c>
      <c r="B98">
        <v>703</v>
      </c>
      <c r="C98">
        <v>97</v>
      </c>
      <c r="D98" t="s">
        <v>23</v>
      </c>
      <c r="E98" t="s">
        <v>3557</v>
      </c>
      <c r="F98" t="s">
        <v>3559</v>
      </c>
      <c r="G98" t="s">
        <v>19</v>
      </c>
      <c r="H98">
        <v>1</v>
      </c>
      <c r="I98">
        <v>550</v>
      </c>
      <c r="J98">
        <v>366</v>
      </c>
      <c r="K98" t="str">
        <f t="shared" si="1"/>
        <v>logg292196</v>
      </c>
      <c r="M98" t="s">
        <v>1067</v>
      </c>
      <c r="N98" t="s">
        <v>1416</v>
      </c>
      <c r="Q98" t="s">
        <v>11083</v>
      </c>
      <c r="U98">
        <v>26</v>
      </c>
      <c r="V98">
        <v>0</v>
      </c>
      <c r="W98">
        <v>50</v>
      </c>
      <c r="X98">
        <v>29.2</v>
      </c>
      <c r="Y98">
        <v>19.600000000000001</v>
      </c>
    </row>
    <row r="99" spans="1:25" x14ac:dyDescent="0.25">
      <c r="A99" t="s">
        <v>3693</v>
      </c>
      <c r="B99">
        <v>704</v>
      </c>
      <c r="C99">
        <v>98</v>
      </c>
      <c r="D99" t="s">
        <v>23</v>
      </c>
      <c r="E99" t="s">
        <v>3557</v>
      </c>
      <c r="F99" t="s">
        <v>3559</v>
      </c>
      <c r="G99" t="s">
        <v>19</v>
      </c>
      <c r="H99">
        <v>1</v>
      </c>
      <c r="I99">
        <v>160</v>
      </c>
      <c r="J99">
        <v>432</v>
      </c>
      <c r="K99" t="str">
        <f t="shared" si="1"/>
        <v>logg923</v>
      </c>
      <c r="M99" t="s">
        <v>133</v>
      </c>
      <c r="N99" t="s">
        <v>2524</v>
      </c>
      <c r="Q99" t="s">
        <v>11083</v>
      </c>
      <c r="U99">
        <v>26</v>
      </c>
      <c r="V99">
        <v>0</v>
      </c>
      <c r="W99">
        <v>90</v>
      </c>
      <c r="X99">
        <v>9</v>
      </c>
      <c r="Y99">
        <v>23</v>
      </c>
    </row>
    <row r="100" spans="1:25" x14ac:dyDescent="0.25">
      <c r="A100" t="s">
        <v>3694</v>
      </c>
      <c r="B100">
        <v>705</v>
      </c>
      <c r="C100">
        <v>99</v>
      </c>
      <c r="D100" t="s">
        <v>23</v>
      </c>
      <c r="E100" t="s">
        <v>3557</v>
      </c>
      <c r="F100" t="s">
        <v>3559</v>
      </c>
      <c r="G100" t="s">
        <v>19</v>
      </c>
      <c r="H100">
        <v>1</v>
      </c>
      <c r="I100">
        <v>404</v>
      </c>
      <c r="J100">
        <v>161</v>
      </c>
      <c r="K100" t="str">
        <f t="shared" si="1"/>
        <v>logg21695</v>
      </c>
      <c r="M100" t="s">
        <v>215</v>
      </c>
      <c r="N100" t="s">
        <v>2598</v>
      </c>
      <c r="Q100" t="s">
        <v>11083</v>
      </c>
      <c r="U100">
        <v>26</v>
      </c>
      <c r="V100">
        <v>0</v>
      </c>
      <c r="W100">
        <v>95</v>
      </c>
      <c r="X100">
        <v>21.6</v>
      </c>
      <c r="Y100">
        <v>9.5</v>
      </c>
    </row>
    <row r="101" spans="1:25" x14ac:dyDescent="0.25">
      <c r="A101" t="s">
        <v>3695</v>
      </c>
      <c r="B101">
        <v>706</v>
      </c>
      <c r="C101">
        <v>100</v>
      </c>
      <c r="D101" t="s">
        <v>23</v>
      </c>
      <c r="E101" t="s">
        <v>3557</v>
      </c>
      <c r="F101" t="s">
        <v>3559</v>
      </c>
      <c r="G101" t="s">
        <v>19</v>
      </c>
      <c r="H101">
        <v>1</v>
      </c>
      <c r="I101">
        <v>611</v>
      </c>
      <c r="J101">
        <v>214</v>
      </c>
      <c r="K101" t="str">
        <f t="shared" si="1"/>
        <v>logg32112</v>
      </c>
      <c r="M101" t="s">
        <v>215</v>
      </c>
      <c r="N101" t="s">
        <v>2624</v>
      </c>
      <c r="Q101" t="s">
        <v>11083</v>
      </c>
      <c r="U101">
        <v>26</v>
      </c>
      <c r="V101">
        <v>0</v>
      </c>
      <c r="W101">
        <v>95</v>
      </c>
      <c r="X101">
        <v>32.1</v>
      </c>
      <c r="Y101">
        <v>12</v>
      </c>
    </row>
    <row r="102" spans="1:25" x14ac:dyDescent="0.25">
      <c r="A102" t="s">
        <v>3696</v>
      </c>
      <c r="B102">
        <v>707</v>
      </c>
      <c r="C102">
        <v>101</v>
      </c>
      <c r="D102" t="s">
        <v>23</v>
      </c>
      <c r="E102" t="s">
        <v>3557</v>
      </c>
      <c r="F102" t="s">
        <v>3559</v>
      </c>
      <c r="G102" t="s">
        <v>19</v>
      </c>
      <c r="H102">
        <v>1</v>
      </c>
      <c r="I102">
        <v>670</v>
      </c>
      <c r="J102">
        <v>644</v>
      </c>
      <c r="K102" t="str">
        <f t="shared" si="1"/>
        <v>logg35234</v>
      </c>
      <c r="M102" t="s">
        <v>215</v>
      </c>
      <c r="N102" t="s">
        <v>2631</v>
      </c>
      <c r="Q102" t="s">
        <v>11083</v>
      </c>
      <c r="U102">
        <v>26</v>
      </c>
      <c r="V102">
        <v>0</v>
      </c>
      <c r="W102">
        <v>95</v>
      </c>
      <c r="X102">
        <v>35.200000000000003</v>
      </c>
      <c r="Y102">
        <v>34</v>
      </c>
    </row>
    <row r="103" spans="1:25" x14ac:dyDescent="0.25">
      <c r="A103" t="s">
        <v>3697</v>
      </c>
      <c r="B103">
        <v>708</v>
      </c>
      <c r="C103">
        <v>102</v>
      </c>
      <c r="D103" t="s">
        <v>23</v>
      </c>
      <c r="E103" t="s">
        <v>3557</v>
      </c>
      <c r="F103" t="s">
        <v>3559</v>
      </c>
      <c r="G103" t="s">
        <v>33</v>
      </c>
      <c r="H103">
        <v>1</v>
      </c>
      <c r="I103">
        <v>527</v>
      </c>
      <c r="J103">
        <v>637</v>
      </c>
      <c r="K103" t="str">
        <f t="shared" si="1"/>
        <v>logg278337</v>
      </c>
      <c r="M103" t="s">
        <v>1067</v>
      </c>
      <c r="N103" t="s">
        <v>1144</v>
      </c>
      <c r="Q103" t="s">
        <v>11083</v>
      </c>
      <c r="U103">
        <v>26</v>
      </c>
      <c r="V103">
        <v>0</v>
      </c>
      <c r="W103">
        <v>30</v>
      </c>
      <c r="X103">
        <v>27.8</v>
      </c>
      <c r="Y103">
        <v>33.700000000000003</v>
      </c>
    </row>
    <row r="104" spans="1:25" x14ac:dyDescent="0.25">
      <c r="A104" t="s">
        <v>3698</v>
      </c>
      <c r="B104">
        <v>709</v>
      </c>
      <c r="C104">
        <v>103</v>
      </c>
      <c r="D104" t="s">
        <v>23</v>
      </c>
      <c r="E104" t="s">
        <v>3557</v>
      </c>
      <c r="F104" t="s">
        <v>3559</v>
      </c>
      <c r="G104" t="s">
        <v>33</v>
      </c>
      <c r="H104">
        <v>1</v>
      </c>
      <c r="I104">
        <v>320</v>
      </c>
      <c r="J104">
        <v>613</v>
      </c>
      <c r="K104" t="str">
        <f t="shared" si="1"/>
        <v>logg172322</v>
      </c>
      <c r="M104" t="s">
        <v>1067</v>
      </c>
      <c r="N104" t="s">
        <v>1153</v>
      </c>
      <c r="Q104" t="s">
        <v>11083</v>
      </c>
      <c r="U104">
        <v>26</v>
      </c>
      <c r="V104">
        <v>0</v>
      </c>
      <c r="W104">
        <v>50</v>
      </c>
      <c r="X104">
        <v>17.2</v>
      </c>
      <c r="Y104">
        <v>32.200000000000003</v>
      </c>
    </row>
    <row r="105" spans="1:25" x14ac:dyDescent="0.25">
      <c r="A105" t="s">
        <v>3699</v>
      </c>
      <c r="B105">
        <v>710</v>
      </c>
      <c r="C105">
        <v>104</v>
      </c>
      <c r="D105" t="s">
        <v>23</v>
      </c>
      <c r="E105" t="s">
        <v>3557</v>
      </c>
      <c r="F105" t="s">
        <v>3559</v>
      </c>
      <c r="G105" t="s">
        <v>33</v>
      </c>
      <c r="H105">
        <v>1</v>
      </c>
      <c r="I105">
        <v>474</v>
      </c>
      <c r="J105">
        <v>602</v>
      </c>
      <c r="K105" t="str">
        <f t="shared" si="1"/>
        <v>logg263334</v>
      </c>
      <c r="M105" t="s">
        <v>11</v>
      </c>
      <c r="N105" t="s">
        <v>1605</v>
      </c>
      <c r="Q105" t="s">
        <v>11083</v>
      </c>
      <c r="U105">
        <v>26</v>
      </c>
      <c r="V105">
        <v>0</v>
      </c>
      <c r="W105">
        <v>60</v>
      </c>
      <c r="X105">
        <v>26.3</v>
      </c>
      <c r="Y105">
        <v>33.4</v>
      </c>
    </row>
    <row r="106" spans="1:25" x14ac:dyDescent="0.25">
      <c r="A106" t="s">
        <v>3700</v>
      </c>
      <c r="B106">
        <v>711</v>
      </c>
      <c r="C106">
        <v>105</v>
      </c>
      <c r="D106" t="s">
        <v>23</v>
      </c>
      <c r="E106" t="s">
        <v>3557</v>
      </c>
      <c r="F106" t="s">
        <v>3559</v>
      </c>
      <c r="G106" t="s">
        <v>33</v>
      </c>
      <c r="H106">
        <v>1</v>
      </c>
      <c r="I106">
        <v>387</v>
      </c>
      <c r="J106">
        <v>112</v>
      </c>
      <c r="K106" t="str">
        <f t="shared" si="1"/>
        <v>logg20768</v>
      </c>
      <c r="M106" t="s">
        <v>73</v>
      </c>
      <c r="N106" t="s">
        <v>1903</v>
      </c>
      <c r="Q106" t="s">
        <v>11083</v>
      </c>
      <c r="U106">
        <v>26</v>
      </c>
      <c r="V106">
        <v>0</v>
      </c>
      <c r="W106">
        <v>65</v>
      </c>
      <c r="X106">
        <v>20.7</v>
      </c>
      <c r="Y106">
        <v>6.8</v>
      </c>
    </row>
    <row r="107" spans="1:25" x14ac:dyDescent="0.25">
      <c r="A107" t="s">
        <v>3701</v>
      </c>
      <c r="B107">
        <v>712</v>
      </c>
      <c r="C107">
        <v>106</v>
      </c>
      <c r="D107" t="s">
        <v>23</v>
      </c>
      <c r="E107" t="s">
        <v>3557</v>
      </c>
      <c r="F107" t="s">
        <v>3559</v>
      </c>
      <c r="G107" t="s">
        <v>33</v>
      </c>
      <c r="H107">
        <v>1</v>
      </c>
      <c r="I107">
        <v>607</v>
      </c>
      <c r="J107">
        <v>88</v>
      </c>
      <c r="K107" t="str">
        <f t="shared" si="1"/>
        <v>logg31951</v>
      </c>
      <c r="M107" t="s">
        <v>102</v>
      </c>
      <c r="N107" t="s">
        <v>2211</v>
      </c>
      <c r="Q107" t="s">
        <v>11083</v>
      </c>
      <c r="U107">
        <v>26</v>
      </c>
      <c r="V107">
        <v>0</v>
      </c>
      <c r="W107">
        <v>75</v>
      </c>
      <c r="X107">
        <v>31.9</v>
      </c>
      <c r="Y107">
        <v>5.0999999999999996</v>
      </c>
    </row>
    <row r="108" spans="1:25" x14ac:dyDescent="0.25">
      <c r="A108" t="s">
        <v>3702</v>
      </c>
      <c r="B108">
        <v>713</v>
      </c>
      <c r="C108">
        <v>107</v>
      </c>
      <c r="D108" t="s">
        <v>23</v>
      </c>
      <c r="E108" t="s">
        <v>3557</v>
      </c>
      <c r="F108" t="s">
        <v>3559</v>
      </c>
      <c r="G108" t="s">
        <v>33</v>
      </c>
      <c r="H108">
        <v>1</v>
      </c>
      <c r="I108">
        <v>135</v>
      </c>
      <c r="J108">
        <v>402</v>
      </c>
      <c r="K108" t="str">
        <f t="shared" si="1"/>
        <v>logg75218</v>
      </c>
      <c r="M108" t="s">
        <v>133</v>
      </c>
      <c r="N108" t="s">
        <v>2487</v>
      </c>
      <c r="Q108" t="s">
        <v>11083</v>
      </c>
      <c r="U108">
        <v>26</v>
      </c>
      <c r="V108">
        <v>0</v>
      </c>
      <c r="W108">
        <v>90</v>
      </c>
      <c r="X108">
        <v>7.5</v>
      </c>
      <c r="Y108">
        <v>21.8</v>
      </c>
    </row>
    <row r="109" spans="1:25" x14ac:dyDescent="0.25">
      <c r="A109" t="s">
        <v>3703</v>
      </c>
      <c r="B109">
        <v>714</v>
      </c>
      <c r="C109">
        <v>108</v>
      </c>
      <c r="D109" t="s">
        <v>23</v>
      </c>
      <c r="E109" t="s">
        <v>3557</v>
      </c>
      <c r="F109" t="s">
        <v>3559</v>
      </c>
      <c r="G109" t="s">
        <v>33</v>
      </c>
      <c r="H109">
        <v>1</v>
      </c>
      <c r="I109">
        <v>383</v>
      </c>
      <c r="J109">
        <v>399</v>
      </c>
      <c r="K109" t="str">
        <f t="shared" si="1"/>
        <v>logg206215</v>
      </c>
      <c r="M109" t="s">
        <v>215</v>
      </c>
      <c r="N109" t="s">
        <v>2682</v>
      </c>
      <c r="Q109" t="s">
        <v>11083</v>
      </c>
      <c r="U109">
        <v>26</v>
      </c>
      <c r="V109">
        <v>0</v>
      </c>
      <c r="W109">
        <v>95</v>
      </c>
      <c r="X109">
        <v>20.6</v>
      </c>
      <c r="Y109">
        <v>21.5</v>
      </c>
    </row>
    <row r="110" spans="1:25" x14ac:dyDescent="0.25">
      <c r="A110" t="s">
        <v>3704</v>
      </c>
      <c r="B110">
        <v>715</v>
      </c>
      <c r="C110">
        <v>109</v>
      </c>
      <c r="D110" t="s">
        <v>23</v>
      </c>
      <c r="E110" t="s">
        <v>3557</v>
      </c>
      <c r="F110" t="s">
        <v>3559</v>
      </c>
      <c r="G110" t="s">
        <v>3705</v>
      </c>
      <c r="H110">
        <v>0</v>
      </c>
      <c r="I110">
        <v>527</v>
      </c>
      <c r="J110">
        <v>637</v>
      </c>
      <c r="K110" t="str">
        <f t="shared" si="1"/>
        <v>logg278337</v>
      </c>
      <c r="M110" t="s">
        <v>1067</v>
      </c>
      <c r="N110" t="s">
        <v>1144</v>
      </c>
      <c r="Q110" t="s">
        <v>11083</v>
      </c>
      <c r="U110">
        <v>28</v>
      </c>
      <c r="V110">
        <v>0</v>
      </c>
      <c r="W110">
        <v>30</v>
      </c>
      <c r="X110">
        <v>27.8</v>
      </c>
      <c r="Y110">
        <v>33.700000000000003</v>
      </c>
    </row>
    <row r="111" spans="1:25" x14ac:dyDescent="0.25">
      <c r="A111" t="s">
        <v>3706</v>
      </c>
      <c r="B111">
        <v>716</v>
      </c>
      <c r="C111">
        <v>110</v>
      </c>
      <c r="D111" t="s">
        <v>23</v>
      </c>
      <c r="E111" t="s">
        <v>3557</v>
      </c>
      <c r="F111" t="s">
        <v>3559</v>
      </c>
      <c r="G111" t="s">
        <v>3707</v>
      </c>
      <c r="H111">
        <v>0</v>
      </c>
      <c r="I111">
        <v>306</v>
      </c>
      <c r="J111">
        <v>249</v>
      </c>
      <c r="K111" t="str">
        <f t="shared" si="1"/>
        <v>logg167137</v>
      </c>
      <c r="M111" t="s">
        <v>1067</v>
      </c>
      <c r="N111" t="s">
        <v>1105</v>
      </c>
      <c r="Q111" t="s">
        <v>11083</v>
      </c>
      <c r="U111">
        <v>28</v>
      </c>
      <c r="V111">
        <v>0</v>
      </c>
      <c r="W111">
        <v>30</v>
      </c>
      <c r="X111">
        <v>16.7</v>
      </c>
      <c r="Y111">
        <v>13.7</v>
      </c>
    </row>
    <row r="112" spans="1:25" x14ac:dyDescent="0.25">
      <c r="A112" t="s">
        <v>3708</v>
      </c>
      <c r="B112">
        <v>717</v>
      </c>
      <c r="C112">
        <v>111</v>
      </c>
      <c r="D112" t="s">
        <v>23</v>
      </c>
      <c r="E112" t="s">
        <v>3557</v>
      </c>
      <c r="F112" t="s">
        <v>3559</v>
      </c>
      <c r="G112" t="s">
        <v>3709</v>
      </c>
      <c r="H112">
        <v>0</v>
      </c>
      <c r="I112">
        <v>497</v>
      </c>
      <c r="J112">
        <v>410</v>
      </c>
      <c r="K112" t="str">
        <f t="shared" si="1"/>
        <v>logg265218</v>
      </c>
      <c r="M112" t="s">
        <v>1067</v>
      </c>
      <c r="N112" t="s">
        <v>1336</v>
      </c>
      <c r="Q112" t="s">
        <v>11083</v>
      </c>
      <c r="U112">
        <v>28</v>
      </c>
      <c r="V112">
        <v>0</v>
      </c>
      <c r="W112">
        <v>30</v>
      </c>
      <c r="X112">
        <v>26.5</v>
      </c>
      <c r="Y112">
        <v>21.8</v>
      </c>
    </row>
    <row r="113" spans="1:25" x14ac:dyDescent="0.25">
      <c r="A113" t="s">
        <v>3710</v>
      </c>
      <c r="B113">
        <v>718</v>
      </c>
      <c r="C113">
        <v>112</v>
      </c>
      <c r="D113" t="s">
        <v>23</v>
      </c>
      <c r="E113" t="s">
        <v>3557</v>
      </c>
      <c r="F113" t="s">
        <v>3559</v>
      </c>
      <c r="G113" t="s">
        <v>3711</v>
      </c>
      <c r="H113">
        <v>0</v>
      </c>
      <c r="I113">
        <v>325</v>
      </c>
      <c r="J113">
        <v>406</v>
      </c>
      <c r="K113" t="str">
        <f t="shared" si="1"/>
        <v>logg174219</v>
      </c>
      <c r="M113" t="s">
        <v>1067</v>
      </c>
      <c r="N113" t="s">
        <v>1308</v>
      </c>
      <c r="Q113" t="s">
        <v>11083</v>
      </c>
      <c r="U113">
        <v>28</v>
      </c>
      <c r="V113">
        <v>0</v>
      </c>
      <c r="W113">
        <v>30</v>
      </c>
      <c r="X113">
        <v>17.399999999999999</v>
      </c>
      <c r="Y113">
        <v>21.9</v>
      </c>
    </row>
    <row r="114" spans="1:25" x14ac:dyDescent="0.25">
      <c r="A114" t="s">
        <v>3712</v>
      </c>
      <c r="B114">
        <v>719</v>
      </c>
      <c r="C114">
        <v>113</v>
      </c>
      <c r="D114" t="s">
        <v>23</v>
      </c>
      <c r="E114" t="s">
        <v>3557</v>
      </c>
      <c r="F114" t="s">
        <v>3559</v>
      </c>
      <c r="G114" t="s">
        <v>3713</v>
      </c>
      <c r="H114">
        <v>0</v>
      </c>
      <c r="I114">
        <v>497</v>
      </c>
      <c r="J114">
        <v>410</v>
      </c>
      <c r="K114" t="str">
        <f t="shared" si="1"/>
        <v>logg265218</v>
      </c>
      <c r="M114" t="s">
        <v>1067</v>
      </c>
      <c r="N114" t="s">
        <v>1336</v>
      </c>
      <c r="Q114" t="s">
        <v>11083</v>
      </c>
      <c r="U114">
        <v>28</v>
      </c>
      <c r="V114">
        <v>0</v>
      </c>
      <c r="W114">
        <v>30</v>
      </c>
      <c r="X114">
        <v>26.5</v>
      </c>
      <c r="Y114">
        <v>21.8</v>
      </c>
    </row>
    <row r="115" spans="1:25" x14ac:dyDescent="0.25">
      <c r="A115" t="s">
        <v>3714</v>
      </c>
      <c r="B115">
        <v>720</v>
      </c>
      <c r="C115">
        <v>114</v>
      </c>
      <c r="D115" t="s">
        <v>23</v>
      </c>
      <c r="E115" t="s">
        <v>3557</v>
      </c>
      <c r="F115" t="s">
        <v>3559</v>
      </c>
      <c r="G115" t="s">
        <v>3715</v>
      </c>
      <c r="H115">
        <v>0</v>
      </c>
      <c r="I115">
        <v>466</v>
      </c>
      <c r="J115">
        <v>583</v>
      </c>
      <c r="K115" t="str">
        <f t="shared" si="1"/>
        <v>logg246308</v>
      </c>
      <c r="M115" t="s">
        <v>1067</v>
      </c>
      <c r="N115" t="s">
        <v>1235</v>
      </c>
      <c r="Q115" t="s">
        <v>11083</v>
      </c>
      <c r="U115">
        <v>28</v>
      </c>
      <c r="V115">
        <v>0</v>
      </c>
      <c r="W115">
        <v>30</v>
      </c>
      <c r="X115">
        <v>24.6</v>
      </c>
      <c r="Y115">
        <v>30.8</v>
      </c>
    </row>
    <row r="116" spans="1:25" x14ac:dyDescent="0.25">
      <c r="A116" t="s">
        <v>3716</v>
      </c>
      <c r="B116">
        <v>721</v>
      </c>
      <c r="C116">
        <v>115</v>
      </c>
      <c r="D116" t="s">
        <v>23</v>
      </c>
      <c r="E116" t="s">
        <v>3557</v>
      </c>
      <c r="F116" t="s">
        <v>3559</v>
      </c>
      <c r="G116" t="s">
        <v>3717</v>
      </c>
      <c r="H116">
        <v>0</v>
      </c>
      <c r="I116">
        <v>463</v>
      </c>
      <c r="J116">
        <v>572</v>
      </c>
      <c r="K116" t="str">
        <f t="shared" si="1"/>
        <v>logg246306</v>
      </c>
      <c r="M116" t="s">
        <v>1067</v>
      </c>
      <c r="N116" t="s">
        <v>1399</v>
      </c>
      <c r="Q116" t="s">
        <v>11083</v>
      </c>
      <c r="U116">
        <v>28</v>
      </c>
      <c r="V116">
        <v>0</v>
      </c>
      <c r="W116">
        <v>30</v>
      </c>
      <c r="X116">
        <v>24.6</v>
      </c>
      <c r="Y116">
        <v>30.6</v>
      </c>
    </row>
    <row r="117" spans="1:25" x14ac:dyDescent="0.25">
      <c r="A117" t="s">
        <v>3718</v>
      </c>
      <c r="B117">
        <v>722</v>
      </c>
      <c r="C117">
        <v>116</v>
      </c>
      <c r="D117" t="s">
        <v>23</v>
      </c>
      <c r="E117" t="s">
        <v>3557</v>
      </c>
      <c r="F117" t="s">
        <v>3559</v>
      </c>
      <c r="G117" t="s">
        <v>3719</v>
      </c>
      <c r="H117">
        <v>0</v>
      </c>
      <c r="I117">
        <v>498</v>
      </c>
      <c r="J117">
        <v>354</v>
      </c>
      <c r="K117" t="str">
        <f t="shared" si="1"/>
        <v>logg26219</v>
      </c>
      <c r="M117" t="s">
        <v>1067</v>
      </c>
      <c r="N117" t="s">
        <v>1301</v>
      </c>
      <c r="Q117" t="s">
        <v>11083</v>
      </c>
      <c r="U117">
        <v>28</v>
      </c>
      <c r="V117">
        <v>0</v>
      </c>
      <c r="W117">
        <v>30</v>
      </c>
      <c r="X117">
        <v>26.2</v>
      </c>
      <c r="Y117">
        <v>19</v>
      </c>
    </row>
    <row r="118" spans="1:25" x14ac:dyDescent="0.25">
      <c r="A118" t="s">
        <v>3720</v>
      </c>
      <c r="B118">
        <v>723</v>
      </c>
      <c r="C118">
        <v>117</v>
      </c>
      <c r="D118" t="s">
        <v>23</v>
      </c>
      <c r="E118" t="s">
        <v>3557</v>
      </c>
      <c r="F118" t="s">
        <v>3559</v>
      </c>
      <c r="G118" t="s">
        <v>3721</v>
      </c>
      <c r="H118">
        <v>0</v>
      </c>
      <c r="I118">
        <v>498</v>
      </c>
      <c r="J118">
        <v>354</v>
      </c>
      <c r="K118" t="str">
        <f t="shared" si="1"/>
        <v>logg26219</v>
      </c>
      <c r="M118" t="s">
        <v>1067</v>
      </c>
      <c r="N118" t="s">
        <v>1301</v>
      </c>
      <c r="Q118" t="s">
        <v>11083</v>
      </c>
      <c r="U118">
        <v>29</v>
      </c>
      <c r="V118">
        <v>0</v>
      </c>
      <c r="W118">
        <v>30</v>
      </c>
      <c r="X118">
        <v>26.2</v>
      </c>
      <c r="Y118">
        <v>19</v>
      </c>
    </row>
    <row r="119" spans="1:25" x14ac:dyDescent="0.25">
      <c r="A119" t="s">
        <v>3722</v>
      </c>
      <c r="B119">
        <v>724</v>
      </c>
      <c r="C119">
        <v>118</v>
      </c>
      <c r="D119" t="s">
        <v>23</v>
      </c>
      <c r="E119" t="s">
        <v>3557</v>
      </c>
      <c r="F119" t="s">
        <v>3559</v>
      </c>
      <c r="G119" t="s">
        <v>3723</v>
      </c>
      <c r="H119">
        <v>0</v>
      </c>
      <c r="I119">
        <v>308</v>
      </c>
      <c r="J119">
        <v>573</v>
      </c>
      <c r="K119" t="str">
        <f t="shared" si="1"/>
        <v>logg165302</v>
      </c>
      <c r="M119" t="s">
        <v>1067</v>
      </c>
      <c r="N119" t="s">
        <v>1298</v>
      </c>
      <c r="Q119" t="s">
        <v>11083</v>
      </c>
      <c r="U119">
        <v>31</v>
      </c>
      <c r="V119">
        <v>0</v>
      </c>
      <c r="W119">
        <v>35</v>
      </c>
      <c r="X119">
        <v>16.5</v>
      </c>
      <c r="Y119">
        <v>30.2</v>
      </c>
    </row>
    <row r="120" spans="1:25" x14ac:dyDescent="0.25">
      <c r="A120" t="s">
        <v>3724</v>
      </c>
      <c r="B120">
        <v>725</v>
      </c>
      <c r="C120">
        <v>119</v>
      </c>
      <c r="D120" t="s">
        <v>23</v>
      </c>
      <c r="E120" t="s">
        <v>3557</v>
      </c>
      <c r="F120" t="s">
        <v>3559</v>
      </c>
      <c r="G120" t="s">
        <v>3725</v>
      </c>
      <c r="H120">
        <v>0</v>
      </c>
      <c r="I120">
        <v>308</v>
      </c>
      <c r="J120">
        <v>573</v>
      </c>
      <c r="K120" t="str">
        <f t="shared" si="1"/>
        <v>logg165302</v>
      </c>
      <c r="M120" t="s">
        <v>1067</v>
      </c>
      <c r="N120" t="s">
        <v>1298</v>
      </c>
      <c r="Q120" t="s">
        <v>11083</v>
      </c>
      <c r="U120">
        <v>32</v>
      </c>
      <c r="V120">
        <v>0</v>
      </c>
      <c r="W120">
        <v>35</v>
      </c>
      <c r="X120">
        <v>16.5</v>
      </c>
      <c r="Y120">
        <v>30.2</v>
      </c>
    </row>
    <row r="121" spans="1:25" x14ac:dyDescent="0.25">
      <c r="A121" t="s">
        <v>3726</v>
      </c>
      <c r="B121">
        <v>726</v>
      </c>
      <c r="C121">
        <v>120</v>
      </c>
      <c r="D121" t="s">
        <v>23</v>
      </c>
      <c r="E121" t="s">
        <v>3557</v>
      </c>
      <c r="F121" t="s">
        <v>3559</v>
      </c>
      <c r="G121" t="s">
        <v>3727</v>
      </c>
      <c r="H121">
        <v>0</v>
      </c>
      <c r="I121">
        <v>308</v>
      </c>
      <c r="J121">
        <v>573</v>
      </c>
      <c r="K121" t="str">
        <f t="shared" si="1"/>
        <v>logg165302</v>
      </c>
      <c r="M121" t="s">
        <v>1067</v>
      </c>
      <c r="N121" t="s">
        <v>1298</v>
      </c>
      <c r="Q121" t="s">
        <v>11083</v>
      </c>
      <c r="U121">
        <v>35</v>
      </c>
      <c r="V121">
        <v>0</v>
      </c>
      <c r="W121">
        <v>35</v>
      </c>
      <c r="X121">
        <v>16.5</v>
      </c>
      <c r="Y121">
        <v>30.2</v>
      </c>
    </row>
    <row r="122" spans="1:25" x14ac:dyDescent="0.25">
      <c r="A122" t="s">
        <v>3728</v>
      </c>
      <c r="B122">
        <v>727</v>
      </c>
      <c r="C122">
        <v>121</v>
      </c>
      <c r="D122" t="s">
        <v>23</v>
      </c>
      <c r="E122" t="s">
        <v>3557</v>
      </c>
      <c r="F122" t="s">
        <v>3559</v>
      </c>
      <c r="G122" t="s">
        <v>3729</v>
      </c>
      <c r="H122">
        <v>0</v>
      </c>
      <c r="I122">
        <v>357</v>
      </c>
      <c r="J122">
        <v>478</v>
      </c>
      <c r="K122" t="str">
        <f t="shared" si="1"/>
        <v>logg192255</v>
      </c>
      <c r="M122" t="s">
        <v>1067</v>
      </c>
      <c r="N122" t="s">
        <v>1153</v>
      </c>
      <c r="Q122" t="s">
        <v>11083</v>
      </c>
      <c r="U122">
        <v>36</v>
      </c>
      <c r="V122">
        <v>0</v>
      </c>
      <c r="W122">
        <v>40</v>
      </c>
      <c r="X122">
        <v>19.2</v>
      </c>
      <c r="Y122">
        <v>25.5</v>
      </c>
    </row>
    <row r="123" spans="1:25" x14ac:dyDescent="0.25">
      <c r="A123" t="s">
        <v>3730</v>
      </c>
      <c r="B123">
        <v>728</v>
      </c>
      <c r="C123">
        <v>122</v>
      </c>
      <c r="D123" t="s">
        <v>23</v>
      </c>
      <c r="E123" t="s">
        <v>3557</v>
      </c>
      <c r="F123" t="s">
        <v>3559</v>
      </c>
      <c r="G123" t="s">
        <v>3731</v>
      </c>
      <c r="H123">
        <v>0</v>
      </c>
      <c r="I123">
        <v>357</v>
      </c>
      <c r="J123">
        <v>478</v>
      </c>
      <c r="K123" t="str">
        <f t="shared" si="1"/>
        <v>logg192255</v>
      </c>
      <c r="M123" t="s">
        <v>1067</v>
      </c>
      <c r="N123" t="s">
        <v>1153</v>
      </c>
      <c r="Q123" t="s">
        <v>11083</v>
      </c>
      <c r="U123">
        <v>37</v>
      </c>
      <c r="V123">
        <v>0</v>
      </c>
      <c r="W123">
        <v>40</v>
      </c>
      <c r="X123">
        <v>19.2</v>
      </c>
      <c r="Y123">
        <v>25.5</v>
      </c>
    </row>
    <row r="124" spans="1:25" x14ac:dyDescent="0.25">
      <c r="A124" t="s">
        <v>3732</v>
      </c>
      <c r="B124">
        <v>729</v>
      </c>
      <c r="C124">
        <v>123</v>
      </c>
      <c r="D124" t="s">
        <v>23</v>
      </c>
      <c r="E124" t="s">
        <v>3557</v>
      </c>
      <c r="F124" t="s">
        <v>3559</v>
      </c>
      <c r="G124" t="s">
        <v>3733</v>
      </c>
      <c r="H124">
        <v>0</v>
      </c>
      <c r="I124">
        <v>357</v>
      </c>
      <c r="J124">
        <v>478</v>
      </c>
      <c r="K124" t="str">
        <f t="shared" si="1"/>
        <v>logg192255</v>
      </c>
      <c r="M124" t="s">
        <v>1067</v>
      </c>
      <c r="N124" t="s">
        <v>1153</v>
      </c>
      <c r="Q124" t="s">
        <v>11083</v>
      </c>
      <c r="U124">
        <v>39</v>
      </c>
      <c r="V124">
        <v>0</v>
      </c>
      <c r="W124">
        <v>40</v>
      </c>
      <c r="X124">
        <v>19.2</v>
      </c>
      <c r="Y124">
        <v>25.5</v>
      </c>
    </row>
    <row r="125" spans="1:25" x14ac:dyDescent="0.25">
      <c r="A125" t="s">
        <v>3734</v>
      </c>
      <c r="B125">
        <v>730</v>
      </c>
      <c r="C125">
        <v>124</v>
      </c>
      <c r="D125" t="s">
        <v>23</v>
      </c>
      <c r="E125" t="s">
        <v>3557</v>
      </c>
      <c r="F125" t="s">
        <v>3559</v>
      </c>
      <c r="G125" t="s">
        <v>3735</v>
      </c>
      <c r="H125">
        <v>0</v>
      </c>
      <c r="I125">
        <v>357</v>
      </c>
      <c r="J125">
        <v>478</v>
      </c>
      <c r="K125" t="str">
        <f t="shared" si="1"/>
        <v>logg192255</v>
      </c>
      <c r="M125" t="s">
        <v>1067</v>
      </c>
      <c r="N125" t="s">
        <v>1153</v>
      </c>
      <c r="Q125" t="s">
        <v>11083</v>
      </c>
      <c r="U125">
        <v>40</v>
      </c>
      <c r="V125">
        <v>0</v>
      </c>
      <c r="W125">
        <v>40</v>
      </c>
      <c r="X125">
        <v>19.2</v>
      </c>
      <c r="Y125">
        <v>25.5</v>
      </c>
    </row>
    <row r="126" spans="1:25" x14ac:dyDescent="0.25">
      <c r="A126" t="s">
        <v>3736</v>
      </c>
      <c r="B126">
        <v>731</v>
      </c>
      <c r="C126">
        <v>125</v>
      </c>
      <c r="D126" t="s">
        <v>23</v>
      </c>
      <c r="E126" t="s">
        <v>3557</v>
      </c>
      <c r="F126" t="s">
        <v>3559</v>
      </c>
      <c r="G126" t="s">
        <v>3737</v>
      </c>
      <c r="H126">
        <v>0</v>
      </c>
      <c r="I126">
        <v>357</v>
      </c>
      <c r="J126">
        <v>478</v>
      </c>
      <c r="K126" t="str">
        <f t="shared" si="1"/>
        <v>logg192255</v>
      </c>
      <c r="M126" t="s">
        <v>1067</v>
      </c>
      <c r="N126" t="s">
        <v>1153</v>
      </c>
      <c r="Q126" t="s">
        <v>11083</v>
      </c>
      <c r="U126">
        <v>40</v>
      </c>
      <c r="V126">
        <v>0</v>
      </c>
      <c r="W126">
        <v>40</v>
      </c>
      <c r="X126">
        <v>19.2</v>
      </c>
      <c r="Y126">
        <v>25.5</v>
      </c>
    </row>
    <row r="127" spans="1:25" x14ac:dyDescent="0.25">
      <c r="A127" t="s">
        <v>3738</v>
      </c>
      <c r="B127">
        <v>732</v>
      </c>
      <c r="C127">
        <v>126</v>
      </c>
      <c r="D127" t="s">
        <v>23</v>
      </c>
      <c r="E127" t="s">
        <v>3557</v>
      </c>
      <c r="F127" t="s">
        <v>3559</v>
      </c>
      <c r="G127" t="s">
        <v>3739</v>
      </c>
      <c r="H127">
        <v>0</v>
      </c>
      <c r="I127">
        <v>427</v>
      </c>
      <c r="J127">
        <v>327</v>
      </c>
      <c r="K127" t="str">
        <f t="shared" si="1"/>
        <v>logg228178</v>
      </c>
      <c r="M127" t="s">
        <v>1067</v>
      </c>
      <c r="N127" t="s">
        <v>1528</v>
      </c>
      <c r="Q127" t="s">
        <v>11083</v>
      </c>
      <c r="U127">
        <v>42</v>
      </c>
      <c r="V127">
        <v>0</v>
      </c>
      <c r="W127">
        <v>45</v>
      </c>
      <c r="X127">
        <v>22.8</v>
      </c>
      <c r="Y127">
        <v>17.8</v>
      </c>
    </row>
    <row r="128" spans="1:25" x14ac:dyDescent="0.25">
      <c r="A128" t="s">
        <v>3740</v>
      </c>
      <c r="B128">
        <v>733</v>
      </c>
      <c r="C128">
        <v>127</v>
      </c>
      <c r="D128" t="s">
        <v>23</v>
      </c>
      <c r="E128" t="s">
        <v>3557</v>
      </c>
      <c r="F128" t="s">
        <v>3559</v>
      </c>
      <c r="G128" t="s">
        <v>3741</v>
      </c>
      <c r="H128">
        <v>0</v>
      </c>
      <c r="I128">
        <v>427</v>
      </c>
      <c r="J128">
        <v>327</v>
      </c>
      <c r="K128" t="str">
        <f t="shared" si="1"/>
        <v>logg228178</v>
      </c>
      <c r="M128" t="s">
        <v>1067</v>
      </c>
      <c r="N128" t="s">
        <v>1528</v>
      </c>
      <c r="Q128" t="s">
        <v>11083</v>
      </c>
      <c r="U128">
        <v>42</v>
      </c>
      <c r="V128">
        <v>0</v>
      </c>
      <c r="W128">
        <v>45</v>
      </c>
      <c r="X128">
        <v>22.8</v>
      </c>
      <c r="Y128">
        <v>17.8</v>
      </c>
    </row>
    <row r="129" spans="1:25" x14ac:dyDescent="0.25">
      <c r="A129" t="s">
        <v>3742</v>
      </c>
      <c r="B129">
        <v>734</v>
      </c>
      <c r="C129">
        <v>128</v>
      </c>
      <c r="D129" t="s">
        <v>23</v>
      </c>
      <c r="E129" t="s">
        <v>3557</v>
      </c>
      <c r="F129" t="s">
        <v>3559</v>
      </c>
      <c r="G129" t="s">
        <v>3743</v>
      </c>
      <c r="H129">
        <v>0</v>
      </c>
      <c r="I129">
        <v>427</v>
      </c>
      <c r="J129">
        <v>327</v>
      </c>
      <c r="K129" t="str">
        <f t="shared" si="1"/>
        <v>logg228178</v>
      </c>
      <c r="M129" t="s">
        <v>1067</v>
      </c>
      <c r="N129" t="s">
        <v>1528</v>
      </c>
      <c r="Q129" t="s">
        <v>11083</v>
      </c>
      <c r="U129">
        <v>44</v>
      </c>
      <c r="V129">
        <v>0</v>
      </c>
      <c r="W129">
        <v>45</v>
      </c>
      <c r="X129">
        <v>22.8</v>
      </c>
      <c r="Y129">
        <v>17.8</v>
      </c>
    </row>
    <row r="130" spans="1:25" x14ac:dyDescent="0.25">
      <c r="A130" t="s">
        <v>3744</v>
      </c>
      <c r="B130">
        <v>735</v>
      </c>
      <c r="C130">
        <v>129</v>
      </c>
      <c r="D130" t="s">
        <v>23</v>
      </c>
      <c r="E130" t="s">
        <v>3557</v>
      </c>
      <c r="F130" t="s">
        <v>3559</v>
      </c>
      <c r="G130" t="s">
        <v>3745</v>
      </c>
      <c r="H130">
        <v>0</v>
      </c>
      <c r="I130">
        <v>305</v>
      </c>
      <c r="J130">
        <v>435</v>
      </c>
      <c r="K130" t="str">
        <f t="shared" ref="K130:K193" si="2">LEFT(A130,4)&amp;SUBSTITUTE(X130,".","")&amp;SUBSTITUTE(Y130,".","")</f>
        <v>logg164233</v>
      </c>
      <c r="M130" t="s">
        <v>1067</v>
      </c>
      <c r="N130" t="s">
        <v>1294</v>
      </c>
      <c r="Q130" t="s">
        <v>11083</v>
      </c>
      <c r="U130">
        <v>46</v>
      </c>
      <c r="V130">
        <v>0</v>
      </c>
      <c r="W130">
        <v>50</v>
      </c>
      <c r="X130">
        <v>16.399999999999999</v>
      </c>
      <c r="Y130">
        <v>23.3</v>
      </c>
    </row>
    <row r="131" spans="1:25" x14ac:dyDescent="0.25">
      <c r="A131" t="s">
        <v>3746</v>
      </c>
      <c r="B131">
        <v>736</v>
      </c>
      <c r="C131">
        <v>130</v>
      </c>
      <c r="D131" t="s">
        <v>23</v>
      </c>
      <c r="E131" t="s">
        <v>3557</v>
      </c>
      <c r="F131" t="s">
        <v>3559</v>
      </c>
      <c r="G131" t="s">
        <v>3747</v>
      </c>
      <c r="H131">
        <v>0</v>
      </c>
      <c r="I131">
        <v>305</v>
      </c>
      <c r="J131">
        <v>435</v>
      </c>
      <c r="K131" t="str">
        <f t="shared" si="2"/>
        <v>logg164233</v>
      </c>
      <c r="M131" t="s">
        <v>1067</v>
      </c>
      <c r="N131" t="s">
        <v>1294</v>
      </c>
      <c r="Q131" t="s">
        <v>11083</v>
      </c>
      <c r="U131">
        <v>47</v>
      </c>
      <c r="V131">
        <v>0</v>
      </c>
      <c r="W131">
        <v>50</v>
      </c>
      <c r="X131">
        <v>16.399999999999999</v>
      </c>
      <c r="Y131">
        <v>23.3</v>
      </c>
    </row>
    <row r="132" spans="1:25" x14ac:dyDescent="0.25">
      <c r="A132" t="s">
        <v>3748</v>
      </c>
      <c r="B132">
        <v>737</v>
      </c>
      <c r="C132">
        <v>131</v>
      </c>
      <c r="D132" t="s">
        <v>23</v>
      </c>
      <c r="E132" t="s">
        <v>3557</v>
      </c>
      <c r="F132" t="s">
        <v>3559</v>
      </c>
      <c r="G132" t="s">
        <v>16</v>
      </c>
      <c r="H132">
        <v>1</v>
      </c>
      <c r="I132">
        <v>612</v>
      </c>
      <c r="J132">
        <v>242</v>
      </c>
      <c r="K132" t="str">
        <f t="shared" si="2"/>
        <v>logg32135</v>
      </c>
      <c r="M132" t="s">
        <v>1067</v>
      </c>
      <c r="N132" t="s">
        <v>1583</v>
      </c>
      <c r="Q132" t="s">
        <v>3749</v>
      </c>
      <c r="R132" t="s">
        <v>2827</v>
      </c>
      <c r="U132">
        <v>50</v>
      </c>
      <c r="V132">
        <v>0</v>
      </c>
      <c r="W132">
        <v>50</v>
      </c>
      <c r="X132">
        <v>32</v>
      </c>
      <c r="Y132">
        <v>13.5</v>
      </c>
    </row>
    <row r="133" spans="1:25" x14ac:dyDescent="0.25">
      <c r="A133" t="s">
        <v>3750</v>
      </c>
      <c r="B133">
        <v>738</v>
      </c>
      <c r="C133">
        <v>132</v>
      </c>
      <c r="D133" t="s">
        <v>23</v>
      </c>
      <c r="E133" t="s">
        <v>3557</v>
      </c>
      <c r="F133" t="s">
        <v>3559</v>
      </c>
      <c r="G133" t="s">
        <v>16</v>
      </c>
      <c r="H133">
        <v>1</v>
      </c>
      <c r="I133">
        <v>507</v>
      </c>
      <c r="J133">
        <v>285</v>
      </c>
      <c r="K133" t="str">
        <f t="shared" si="2"/>
        <v>logg267156</v>
      </c>
      <c r="M133" t="s">
        <v>133</v>
      </c>
      <c r="N133" t="s">
        <v>2375</v>
      </c>
      <c r="Q133" t="s">
        <v>3669</v>
      </c>
      <c r="R133" t="s">
        <v>2819</v>
      </c>
      <c r="U133">
        <v>50</v>
      </c>
      <c r="V133">
        <v>0</v>
      </c>
      <c r="W133">
        <v>90</v>
      </c>
      <c r="X133">
        <v>26.7</v>
      </c>
      <c r="Y133">
        <v>15.6</v>
      </c>
    </row>
    <row r="134" spans="1:25" x14ac:dyDescent="0.25">
      <c r="A134" t="s">
        <v>3751</v>
      </c>
      <c r="B134">
        <v>739</v>
      </c>
      <c r="C134">
        <v>133</v>
      </c>
      <c r="D134" t="s">
        <v>23</v>
      </c>
      <c r="E134" t="s">
        <v>3557</v>
      </c>
      <c r="F134" t="s">
        <v>3559</v>
      </c>
      <c r="G134" t="s">
        <v>38</v>
      </c>
      <c r="H134">
        <v>1</v>
      </c>
      <c r="I134">
        <v>612</v>
      </c>
      <c r="J134">
        <v>242</v>
      </c>
      <c r="K134" t="str">
        <f t="shared" si="2"/>
        <v>logg32135</v>
      </c>
      <c r="M134" t="s">
        <v>1067</v>
      </c>
      <c r="N134" t="s">
        <v>1583</v>
      </c>
      <c r="Q134" t="s">
        <v>3749</v>
      </c>
      <c r="R134" t="s">
        <v>2827</v>
      </c>
      <c r="U134">
        <v>50</v>
      </c>
      <c r="V134">
        <v>0</v>
      </c>
      <c r="W134">
        <v>50</v>
      </c>
      <c r="X134">
        <v>32</v>
      </c>
      <c r="Y134">
        <v>13.5</v>
      </c>
    </row>
    <row r="135" spans="1:25" x14ac:dyDescent="0.25">
      <c r="A135" t="s">
        <v>3752</v>
      </c>
      <c r="B135">
        <v>740</v>
      </c>
      <c r="C135">
        <v>134</v>
      </c>
      <c r="D135" t="s">
        <v>23</v>
      </c>
      <c r="E135" t="s">
        <v>3557</v>
      </c>
      <c r="F135" t="s">
        <v>3559</v>
      </c>
      <c r="G135" t="s">
        <v>38</v>
      </c>
      <c r="H135">
        <v>1</v>
      </c>
      <c r="I135">
        <v>590</v>
      </c>
      <c r="J135">
        <v>503</v>
      </c>
      <c r="K135" t="str">
        <f t="shared" si="2"/>
        <v>logg31269</v>
      </c>
      <c r="M135" t="s">
        <v>73</v>
      </c>
      <c r="N135" t="s">
        <v>1862</v>
      </c>
      <c r="Q135" t="s">
        <v>3669</v>
      </c>
      <c r="R135" t="s">
        <v>2810</v>
      </c>
      <c r="U135">
        <v>50</v>
      </c>
      <c r="V135">
        <v>0</v>
      </c>
      <c r="W135">
        <v>70</v>
      </c>
      <c r="X135">
        <v>31</v>
      </c>
      <c r="Y135">
        <v>26.9</v>
      </c>
    </row>
    <row r="136" spans="1:25" x14ac:dyDescent="0.25">
      <c r="A136" t="s">
        <v>3753</v>
      </c>
      <c r="B136">
        <v>741</v>
      </c>
      <c r="C136">
        <v>135</v>
      </c>
      <c r="D136" t="s">
        <v>23</v>
      </c>
      <c r="E136" t="s">
        <v>3557</v>
      </c>
      <c r="F136" t="s">
        <v>3559</v>
      </c>
      <c r="G136" t="s">
        <v>25</v>
      </c>
      <c r="H136">
        <v>1</v>
      </c>
      <c r="I136">
        <v>612</v>
      </c>
      <c r="J136">
        <v>242</v>
      </c>
      <c r="K136" t="str">
        <f t="shared" si="2"/>
        <v>logg32135</v>
      </c>
      <c r="M136" t="s">
        <v>1067</v>
      </c>
      <c r="N136" t="s">
        <v>1583</v>
      </c>
      <c r="Q136" t="s">
        <v>3749</v>
      </c>
      <c r="R136" t="s">
        <v>2827</v>
      </c>
      <c r="U136">
        <v>50</v>
      </c>
      <c r="V136">
        <v>0</v>
      </c>
      <c r="W136">
        <v>50</v>
      </c>
      <c r="X136">
        <v>32</v>
      </c>
      <c r="Y136">
        <v>13.5</v>
      </c>
    </row>
    <row r="137" spans="1:25" x14ac:dyDescent="0.25">
      <c r="A137" t="s">
        <v>3754</v>
      </c>
      <c r="B137">
        <v>742</v>
      </c>
      <c r="C137">
        <v>136</v>
      </c>
      <c r="D137" t="s">
        <v>23</v>
      </c>
      <c r="E137" t="s">
        <v>3557</v>
      </c>
      <c r="F137" t="s">
        <v>3559</v>
      </c>
      <c r="G137" t="s">
        <v>29</v>
      </c>
      <c r="H137">
        <v>1</v>
      </c>
      <c r="I137">
        <v>612</v>
      </c>
      <c r="J137">
        <v>242</v>
      </c>
      <c r="K137" t="str">
        <f t="shared" si="2"/>
        <v>logg32135</v>
      </c>
      <c r="M137" t="s">
        <v>1067</v>
      </c>
      <c r="N137" t="s">
        <v>1583</v>
      </c>
      <c r="Q137" t="s">
        <v>3749</v>
      </c>
      <c r="R137" t="s">
        <v>2827</v>
      </c>
      <c r="U137">
        <v>50</v>
      </c>
      <c r="V137">
        <v>0</v>
      </c>
      <c r="W137">
        <v>50</v>
      </c>
      <c r="X137">
        <v>32</v>
      </c>
      <c r="Y137">
        <v>13.5</v>
      </c>
    </row>
    <row r="138" spans="1:25" x14ac:dyDescent="0.25">
      <c r="A138" t="s">
        <v>3755</v>
      </c>
      <c r="B138">
        <v>743</v>
      </c>
      <c r="C138">
        <v>137</v>
      </c>
      <c r="D138" t="s">
        <v>23</v>
      </c>
      <c r="E138" t="s">
        <v>3557</v>
      </c>
      <c r="F138" t="s">
        <v>3559</v>
      </c>
      <c r="G138" t="s">
        <v>20</v>
      </c>
      <c r="H138">
        <v>1</v>
      </c>
      <c r="I138">
        <v>612</v>
      </c>
      <c r="J138">
        <v>242</v>
      </c>
      <c r="K138" t="str">
        <f t="shared" si="2"/>
        <v>logg32135</v>
      </c>
      <c r="M138" t="s">
        <v>1067</v>
      </c>
      <c r="N138" t="s">
        <v>1583</v>
      </c>
      <c r="Q138" t="s">
        <v>3749</v>
      </c>
      <c r="R138" t="s">
        <v>2827</v>
      </c>
      <c r="U138">
        <v>50</v>
      </c>
      <c r="V138">
        <v>0</v>
      </c>
      <c r="W138">
        <v>50</v>
      </c>
      <c r="X138">
        <v>32</v>
      </c>
      <c r="Y138">
        <v>13.5</v>
      </c>
    </row>
    <row r="139" spans="1:25" x14ac:dyDescent="0.25">
      <c r="A139" t="s">
        <v>3756</v>
      </c>
      <c r="B139">
        <v>744</v>
      </c>
      <c r="C139">
        <v>138</v>
      </c>
      <c r="D139" t="s">
        <v>23</v>
      </c>
      <c r="E139" t="s">
        <v>3557</v>
      </c>
      <c r="F139" t="s">
        <v>3559</v>
      </c>
      <c r="G139" t="s">
        <v>34</v>
      </c>
      <c r="H139">
        <v>1</v>
      </c>
      <c r="I139">
        <v>612</v>
      </c>
      <c r="J139">
        <v>242</v>
      </c>
      <c r="K139" t="str">
        <f t="shared" si="2"/>
        <v>logg32135</v>
      </c>
      <c r="M139" t="s">
        <v>1067</v>
      </c>
      <c r="N139" t="s">
        <v>1583</v>
      </c>
      <c r="Q139" t="s">
        <v>3749</v>
      </c>
      <c r="R139" t="s">
        <v>2827</v>
      </c>
      <c r="U139">
        <v>50</v>
      </c>
      <c r="V139">
        <v>0</v>
      </c>
      <c r="W139">
        <v>50</v>
      </c>
      <c r="X139">
        <v>32</v>
      </c>
      <c r="Y139">
        <v>13.5</v>
      </c>
    </row>
    <row r="140" spans="1:25" x14ac:dyDescent="0.25">
      <c r="A140" t="s">
        <v>3757</v>
      </c>
      <c r="B140">
        <v>745</v>
      </c>
      <c r="C140">
        <v>139</v>
      </c>
      <c r="D140" t="s">
        <v>23</v>
      </c>
      <c r="E140" t="s">
        <v>3557</v>
      </c>
      <c r="F140" t="s">
        <v>3559</v>
      </c>
      <c r="G140" t="s">
        <v>3758</v>
      </c>
      <c r="H140">
        <v>0</v>
      </c>
      <c r="I140">
        <v>577</v>
      </c>
      <c r="J140">
        <v>510</v>
      </c>
      <c r="K140" t="str">
        <f t="shared" si="2"/>
        <v>logg306269</v>
      </c>
      <c r="M140" t="s">
        <v>1067</v>
      </c>
      <c r="N140" t="s">
        <v>1144</v>
      </c>
      <c r="Q140" t="s">
        <v>3749</v>
      </c>
      <c r="R140" t="s">
        <v>2816</v>
      </c>
      <c r="U140">
        <v>50</v>
      </c>
      <c r="V140">
        <v>1</v>
      </c>
      <c r="W140">
        <v>50</v>
      </c>
      <c r="X140">
        <v>30.6</v>
      </c>
      <c r="Y140">
        <v>26.9</v>
      </c>
    </row>
    <row r="141" spans="1:25" x14ac:dyDescent="0.25">
      <c r="A141" t="s">
        <v>3759</v>
      </c>
      <c r="B141">
        <v>746</v>
      </c>
      <c r="C141">
        <v>140</v>
      </c>
      <c r="D141" t="s">
        <v>23</v>
      </c>
      <c r="E141" t="s">
        <v>3557</v>
      </c>
      <c r="F141" t="s">
        <v>3559</v>
      </c>
      <c r="G141" t="s">
        <v>3760</v>
      </c>
      <c r="H141">
        <v>0</v>
      </c>
      <c r="I141">
        <v>553</v>
      </c>
      <c r="J141">
        <v>229</v>
      </c>
      <c r="K141" t="str">
        <f t="shared" si="2"/>
        <v>logg291127</v>
      </c>
      <c r="M141" t="s">
        <v>1067</v>
      </c>
      <c r="N141" t="s">
        <v>1506</v>
      </c>
      <c r="Q141" t="s">
        <v>3749</v>
      </c>
      <c r="R141" t="s">
        <v>2816</v>
      </c>
      <c r="U141">
        <v>50</v>
      </c>
      <c r="V141">
        <v>1</v>
      </c>
      <c r="W141">
        <v>50</v>
      </c>
      <c r="X141">
        <v>29.1</v>
      </c>
      <c r="Y141">
        <v>12.7</v>
      </c>
    </row>
    <row r="142" spans="1:25" x14ac:dyDescent="0.25">
      <c r="A142" t="s">
        <v>3761</v>
      </c>
      <c r="B142">
        <v>747</v>
      </c>
      <c r="C142">
        <v>141</v>
      </c>
      <c r="D142" t="s">
        <v>23</v>
      </c>
      <c r="E142" t="s">
        <v>3557</v>
      </c>
      <c r="F142" t="s">
        <v>3559</v>
      </c>
      <c r="G142" t="s">
        <v>3762</v>
      </c>
      <c r="H142">
        <v>0</v>
      </c>
      <c r="I142">
        <v>151</v>
      </c>
      <c r="J142">
        <v>236</v>
      </c>
      <c r="K142" t="str">
        <f t="shared" si="2"/>
        <v>logg84133</v>
      </c>
      <c r="M142" t="s">
        <v>1067</v>
      </c>
      <c r="N142" t="s">
        <v>1528</v>
      </c>
      <c r="Q142" t="s">
        <v>3749</v>
      </c>
      <c r="R142" t="s">
        <v>2822</v>
      </c>
      <c r="U142">
        <v>50</v>
      </c>
      <c r="V142">
        <v>1</v>
      </c>
      <c r="W142">
        <v>50</v>
      </c>
      <c r="X142">
        <v>8.4</v>
      </c>
      <c r="Y142">
        <v>13.3</v>
      </c>
    </row>
    <row r="143" spans="1:25" x14ac:dyDescent="0.25">
      <c r="A143" t="s">
        <v>3763</v>
      </c>
      <c r="B143">
        <v>748</v>
      </c>
      <c r="C143">
        <v>142</v>
      </c>
      <c r="D143" t="s">
        <v>23</v>
      </c>
      <c r="E143" t="s">
        <v>3557</v>
      </c>
      <c r="F143" t="s">
        <v>3559</v>
      </c>
      <c r="G143" t="s">
        <v>3764</v>
      </c>
      <c r="H143">
        <v>0</v>
      </c>
      <c r="I143">
        <v>500</v>
      </c>
      <c r="J143">
        <v>458</v>
      </c>
      <c r="K143" t="str">
        <f t="shared" si="2"/>
        <v>logg265244</v>
      </c>
      <c r="M143" t="s">
        <v>1067</v>
      </c>
      <c r="N143" t="s">
        <v>1501</v>
      </c>
      <c r="Q143" t="s">
        <v>3749</v>
      </c>
      <c r="R143" t="s">
        <v>2820</v>
      </c>
      <c r="U143">
        <v>50</v>
      </c>
      <c r="V143">
        <v>1</v>
      </c>
      <c r="W143">
        <v>50</v>
      </c>
      <c r="X143">
        <v>26.5</v>
      </c>
      <c r="Y143">
        <v>24.4</v>
      </c>
    </row>
    <row r="144" spans="1:25" x14ac:dyDescent="0.25">
      <c r="A144" t="s">
        <v>3765</v>
      </c>
      <c r="B144">
        <v>749</v>
      </c>
      <c r="C144">
        <v>143</v>
      </c>
      <c r="D144" t="s">
        <v>23</v>
      </c>
      <c r="E144" t="s">
        <v>3557</v>
      </c>
      <c r="F144" t="s">
        <v>3559</v>
      </c>
      <c r="G144" t="s">
        <v>3766</v>
      </c>
      <c r="H144">
        <v>0</v>
      </c>
      <c r="I144">
        <v>577</v>
      </c>
      <c r="J144">
        <v>510</v>
      </c>
      <c r="K144" t="str">
        <f t="shared" si="2"/>
        <v>logg306269</v>
      </c>
      <c r="M144" t="s">
        <v>1067</v>
      </c>
      <c r="N144" t="s">
        <v>1144</v>
      </c>
      <c r="Q144" t="s">
        <v>3749</v>
      </c>
      <c r="R144" t="s">
        <v>2816</v>
      </c>
      <c r="U144">
        <v>50</v>
      </c>
      <c r="V144">
        <v>1</v>
      </c>
      <c r="W144">
        <v>50</v>
      </c>
      <c r="X144">
        <v>30.6</v>
      </c>
      <c r="Y144">
        <v>26.9</v>
      </c>
    </row>
    <row r="145" spans="1:25" x14ac:dyDescent="0.25">
      <c r="A145" t="s">
        <v>3767</v>
      </c>
      <c r="B145">
        <v>750</v>
      </c>
      <c r="C145">
        <v>144</v>
      </c>
      <c r="D145" t="s">
        <v>23</v>
      </c>
      <c r="E145" t="s">
        <v>3557</v>
      </c>
      <c r="F145" t="s">
        <v>3559</v>
      </c>
      <c r="G145" t="s">
        <v>3768</v>
      </c>
      <c r="H145">
        <v>0</v>
      </c>
      <c r="I145">
        <v>455</v>
      </c>
      <c r="J145">
        <v>491</v>
      </c>
      <c r="K145" t="str">
        <f t="shared" si="2"/>
        <v>logg243264</v>
      </c>
      <c r="L145" t="s">
        <v>3620</v>
      </c>
      <c r="M145" t="s">
        <v>1067</v>
      </c>
      <c r="N145" t="s">
        <v>1089</v>
      </c>
      <c r="Q145" t="s">
        <v>3749</v>
      </c>
      <c r="R145" t="s">
        <v>2809</v>
      </c>
      <c r="U145">
        <v>50</v>
      </c>
      <c r="V145">
        <v>1</v>
      </c>
      <c r="W145">
        <v>50</v>
      </c>
      <c r="X145">
        <v>24.3</v>
      </c>
      <c r="Y145">
        <v>26.4</v>
      </c>
    </row>
    <row r="146" spans="1:25" x14ac:dyDescent="0.25">
      <c r="A146" t="s">
        <v>3769</v>
      </c>
      <c r="B146">
        <v>751</v>
      </c>
      <c r="C146">
        <v>145</v>
      </c>
      <c r="D146" t="s">
        <v>23</v>
      </c>
      <c r="E146" t="s">
        <v>3557</v>
      </c>
      <c r="F146" t="s">
        <v>3559</v>
      </c>
      <c r="G146" t="s">
        <v>3768</v>
      </c>
      <c r="H146">
        <v>0</v>
      </c>
      <c r="I146">
        <v>346</v>
      </c>
      <c r="J146">
        <v>302</v>
      </c>
      <c r="K146" t="str">
        <f t="shared" si="2"/>
        <v>logg186164</v>
      </c>
      <c r="L146" t="s">
        <v>3620</v>
      </c>
      <c r="M146" t="s">
        <v>1067</v>
      </c>
      <c r="N146" t="s">
        <v>1098</v>
      </c>
      <c r="Q146" t="s">
        <v>3749</v>
      </c>
      <c r="R146" t="s">
        <v>2816</v>
      </c>
      <c r="U146">
        <v>50</v>
      </c>
      <c r="V146">
        <v>1</v>
      </c>
      <c r="W146">
        <v>50</v>
      </c>
      <c r="X146">
        <v>18.600000000000001</v>
      </c>
      <c r="Y146">
        <v>16.399999999999999</v>
      </c>
    </row>
    <row r="147" spans="1:25" x14ac:dyDescent="0.25">
      <c r="A147" t="s">
        <v>3770</v>
      </c>
      <c r="B147">
        <v>752</v>
      </c>
      <c r="C147">
        <v>146</v>
      </c>
      <c r="D147" t="s">
        <v>23</v>
      </c>
      <c r="E147" t="s">
        <v>3557</v>
      </c>
      <c r="F147" t="s">
        <v>3559</v>
      </c>
      <c r="G147" t="s">
        <v>3768</v>
      </c>
      <c r="H147">
        <v>0</v>
      </c>
      <c r="I147">
        <v>577</v>
      </c>
      <c r="J147">
        <v>510</v>
      </c>
      <c r="K147" t="str">
        <f t="shared" si="2"/>
        <v>logg306269</v>
      </c>
      <c r="L147" t="s">
        <v>3620</v>
      </c>
      <c r="M147" t="s">
        <v>1067</v>
      </c>
      <c r="N147" t="s">
        <v>1144</v>
      </c>
      <c r="Q147" t="s">
        <v>3749</v>
      </c>
      <c r="R147" t="s">
        <v>2816</v>
      </c>
      <c r="U147">
        <v>50</v>
      </c>
      <c r="V147">
        <v>1</v>
      </c>
      <c r="W147">
        <v>50</v>
      </c>
      <c r="X147">
        <v>30.6</v>
      </c>
      <c r="Y147">
        <v>26.9</v>
      </c>
    </row>
    <row r="148" spans="1:25" x14ac:dyDescent="0.25">
      <c r="A148" t="s">
        <v>3771</v>
      </c>
      <c r="B148">
        <v>753</v>
      </c>
      <c r="C148">
        <v>147</v>
      </c>
      <c r="D148" t="s">
        <v>23</v>
      </c>
      <c r="E148" t="s">
        <v>3557</v>
      </c>
      <c r="F148" t="s">
        <v>3559</v>
      </c>
      <c r="G148" t="s">
        <v>3768</v>
      </c>
      <c r="H148">
        <v>0</v>
      </c>
      <c r="I148">
        <v>551</v>
      </c>
      <c r="J148">
        <v>478</v>
      </c>
      <c r="K148" t="str">
        <f t="shared" si="2"/>
        <v>logg291254</v>
      </c>
      <c r="L148" t="s">
        <v>3620</v>
      </c>
      <c r="M148" t="s">
        <v>1067</v>
      </c>
      <c r="N148" t="s">
        <v>1195</v>
      </c>
      <c r="Q148" t="s">
        <v>3749</v>
      </c>
      <c r="R148" t="s">
        <v>2813</v>
      </c>
      <c r="U148">
        <v>50</v>
      </c>
      <c r="V148">
        <v>1</v>
      </c>
      <c r="W148">
        <v>50</v>
      </c>
      <c r="X148">
        <v>29.1</v>
      </c>
      <c r="Y148">
        <v>25.4</v>
      </c>
    </row>
    <row r="149" spans="1:25" x14ac:dyDescent="0.25">
      <c r="A149" t="s">
        <v>3772</v>
      </c>
      <c r="B149">
        <v>754</v>
      </c>
      <c r="C149">
        <v>148</v>
      </c>
      <c r="D149" t="s">
        <v>23</v>
      </c>
      <c r="E149" t="s">
        <v>3557</v>
      </c>
      <c r="F149" t="s">
        <v>3559</v>
      </c>
      <c r="G149" t="s">
        <v>3768</v>
      </c>
      <c r="H149">
        <v>0</v>
      </c>
      <c r="I149">
        <v>580</v>
      </c>
      <c r="J149">
        <v>376</v>
      </c>
      <c r="K149" t="str">
        <f t="shared" si="2"/>
        <v>logg305201</v>
      </c>
      <c r="L149" t="s">
        <v>3620</v>
      </c>
      <c r="M149" t="s">
        <v>1067</v>
      </c>
      <c r="N149" t="s">
        <v>1262</v>
      </c>
      <c r="Q149" t="s">
        <v>3749</v>
      </c>
      <c r="R149" t="s">
        <v>2812</v>
      </c>
      <c r="U149">
        <v>50</v>
      </c>
      <c r="V149">
        <v>1</v>
      </c>
      <c r="W149">
        <v>50</v>
      </c>
      <c r="X149">
        <v>30.5</v>
      </c>
      <c r="Y149">
        <v>20.100000000000001</v>
      </c>
    </row>
    <row r="150" spans="1:25" x14ac:dyDescent="0.25">
      <c r="A150" t="s">
        <v>3773</v>
      </c>
      <c r="B150">
        <v>755</v>
      </c>
      <c r="C150">
        <v>149</v>
      </c>
      <c r="D150" t="s">
        <v>23</v>
      </c>
      <c r="E150" t="s">
        <v>3557</v>
      </c>
      <c r="F150" t="s">
        <v>3559</v>
      </c>
      <c r="G150" t="s">
        <v>3768</v>
      </c>
      <c r="H150">
        <v>0</v>
      </c>
      <c r="I150">
        <v>580</v>
      </c>
      <c r="J150">
        <v>376</v>
      </c>
      <c r="K150" t="str">
        <f t="shared" si="2"/>
        <v>logg305201</v>
      </c>
      <c r="L150" t="s">
        <v>3620</v>
      </c>
      <c r="M150" t="s">
        <v>1067</v>
      </c>
      <c r="N150" t="s">
        <v>1235</v>
      </c>
      <c r="Q150" t="s">
        <v>3749</v>
      </c>
      <c r="R150" t="s">
        <v>2818</v>
      </c>
      <c r="U150">
        <v>50</v>
      </c>
      <c r="V150">
        <v>1</v>
      </c>
      <c r="W150">
        <v>50</v>
      </c>
      <c r="X150">
        <v>30.5</v>
      </c>
      <c r="Y150">
        <v>20.100000000000001</v>
      </c>
    </row>
    <row r="151" spans="1:25" x14ac:dyDescent="0.25">
      <c r="A151" t="s">
        <v>3774</v>
      </c>
      <c r="B151">
        <v>756</v>
      </c>
      <c r="C151">
        <v>150</v>
      </c>
      <c r="D151" t="s">
        <v>23</v>
      </c>
      <c r="E151" t="s">
        <v>3557</v>
      </c>
      <c r="F151" t="s">
        <v>3559</v>
      </c>
      <c r="G151" t="s">
        <v>3768</v>
      </c>
      <c r="H151">
        <v>0</v>
      </c>
      <c r="I151">
        <v>324</v>
      </c>
      <c r="J151">
        <v>430</v>
      </c>
      <c r="K151" t="str">
        <f t="shared" si="2"/>
        <v>logg17423</v>
      </c>
      <c r="L151" t="s">
        <v>3620</v>
      </c>
      <c r="M151" t="s">
        <v>1067</v>
      </c>
      <c r="N151" t="s">
        <v>1308</v>
      </c>
      <c r="Q151" t="s">
        <v>3749</v>
      </c>
      <c r="R151" t="s">
        <v>2807</v>
      </c>
      <c r="U151">
        <v>50</v>
      </c>
      <c r="V151">
        <v>1</v>
      </c>
      <c r="W151">
        <v>50</v>
      </c>
      <c r="X151">
        <v>17.399999999999999</v>
      </c>
      <c r="Y151">
        <v>23</v>
      </c>
    </row>
    <row r="152" spans="1:25" x14ac:dyDescent="0.25">
      <c r="A152" t="s">
        <v>3775</v>
      </c>
      <c r="B152">
        <v>757</v>
      </c>
      <c r="C152">
        <v>151</v>
      </c>
      <c r="D152" t="s">
        <v>23</v>
      </c>
      <c r="E152" t="s">
        <v>3557</v>
      </c>
      <c r="F152" t="s">
        <v>3559</v>
      </c>
      <c r="G152" t="s">
        <v>3768</v>
      </c>
      <c r="H152">
        <v>0</v>
      </c>
      <c r="I152">
        <v>306</v>
      </c>
      <c r="J152">
        <v>521</v>
      </c>
      <c r="K152" t="str">
        <f t="shared" si="2"/>
        <v>logg166275</v>
      </c>
      <c r="L152" t="s">
        <v>3620</v>
      </c>
      <c r="M152" t="s">
        <v>1067</v>
      </c>
      <c r="N152" t="s">
        <v>1321</v>
      </c>
      <c r="Q152" t="s">
        <v>3749</v>
      </c>
      <c r="R152" t="s">
        <v>2808</v>
      </c>
      <c r="U152">
        <v>50</v>
      </c>
      <c r="V152">
        <v>1</v>
      </c>
      <c r="W152">
        <v>50</v>
      </c>
      <c r="X152">
        <v>16.600000000000001</v>
      </c>
      <c r="Y152">
        <v>27.5</v>
      </c>
    </row>
    <row r="153" spans="1:25" x14ac:dyDescent="0.25">
      <c r="A153" t="s">
        <v>3776</v>
      </c>
      <c r="B153">
        <v>758</v>
      </c>
      <c r="C153">
        <v>152</v>
      </c>
      <c r="D153" t="s">
        <v>23</v>
      </c>
      <c r="E153" t="s">
        <v>3557</v>
      </c>
      <c r="F153" t="s">
        <v>3559</v>
      </c>
      <c r="G153" t="s">
        <v>3768</v>
      </c>
      <c r="H153">
        <v>0</v>
      </c>
      <c r="I153">
        <v>500</v>
      </c>
      <c r="J153">
        <v>458</v>
      </c>
      <c r="K153" t="str">
        <f t="shared" si="2"/>
        <v>logg265244</v>
      </c>
      <c r="L153" t="s">
        <v>3620</v>
      </c>
      <c r="M153" t="s">
        <v>1067</v>
      </c>
      <c r="N153" t="s">
        <v>1501</v>
      </c>
      <c r="Q153" t="s">
        <v>3749</v>
      </c>
      <c r="R153" t="s">
        <v>2820</v>
      </c>
      <c r="U153">
        <v>50</v>
      </c>
      <c r="V153">
        <v>1</v>
      </c>
      <c r="W153">
        <v>50</v>
      </c>
      <c r="X153">
        <v>26.5</v>
      </c>
      <c r="Y153">
        <v>24.4</v>
      </c>
    </row>
    <row r="154" spans="1:25" x14ac:dyDescent="0.25">
      <c r="A154" t="s">
        <v>3777</v>
      </c>
      <c r="B154">
        <v>759</v>
      </c>
      <c r="C154">
        <v>153</v>
      </c>
      <c r="D154" t="s">
        <v>23</v>
      </c>
      <c r="E154" t="s">
        <v>3557</v>
      </c>
      <c r="F154" t="s">
        <v>3559</v>
      </c>
      <c r="G154" t="s">
        <v>3768</v>
      </c>
      <c r="H154">
        <v>0</v>
      </c>
      <c r="I154">
        <v>553</v>
      </c>
      <c r="J154">
        <v>229</v>
      </c>
      <c r="K154" t="str">
        <f t="shared" si="2"/>
        <v>logg291127</v>
      </c>
      <c r="L154" t="s">
        <v>3620</v>
      </c>
      <c r="M154" t="s">
        <v>1067</v>
      </c>
      <c r="N154" t="s">
        <v>1506</v>
      </c>
      <c r="Q154" t="s">
        <v>3749</v>
      </c>
      <c r="R154" t="s">
        <v>2816</v>
      </c>
      <c r="U154">
        <v>50</v>
      </c>
      <c r="V154">
        <v>1</v>
      </c>
      <c r="W154">
        <v>50</v>
      </c>
      <c r="X154">
        <v>29.1</v>
      </c>
      <c r="Y154">
        <v>12.7</v>
      </c>
    </row>
    <row r="155" spans="1:25" x14ac:dyDescent="0.25">
      <c r="A155" t="s">
        <v>3778</v>
      </c>
      <c r="B155">
        <v>760</v>
      </c>
      <c r="C155">
        <v>154</v>
      </c>
      <c r="D155" t="s">
        <v>23</v>
      </c>
      <c r="E155" t="s">
        <v>3557</v>
      </c>
      <c r="F155" t="s">
        <v>3559</v>
      </c>
      <c r="G155" t="s">
        <v>3768</v>
      </c>
      <c r="H155">
        <v>0</v>
      </c>
      <c r="I155">
        <v>151</v>
      </c>
      <c r="J155">
        <v>236</v>
      </c>
      <c r="K155" t="str">
        <f t="shared" si="2"/>
        <v>logg84133</v>
      </c>
      <c r="L155" t="s">
        <v>3620</v>
      </c>
      <c r="M155" t="s">
        <v>1067</v>
      </c>
      <c r="N155" t="s">
        <v>1528</v>
      </c>
      <c r="Q155" t="s">
        <v>3749</v>
      </c>
      <c r="R155" t="s">
        <v>2822</v>
      </c>
      <c r="U155">
        <v>50</v>
      </c>
      <c r="V155">
        <v>1</v>
      </c>
      <c r="W155">
        <v>50</v>
      </c>
      <c r="X155">
        <v>8.4</v>
      </c>
      <c r="Y155">
        <v>13.3</v>
      </c>
    </row>
    <row r="156" spans="1:25" x14ac:dyDescent="0.25">
      <c r="A156" t="s">
        <v>3779</v>
      </c>
      <c r="B156">
        <v>761</v>
      </c>
      <c r="C156">
        <v>155</v>
      </c>
      <c r="D156" t="s">
        <v>23</v>
      </c>
      <c r="E156" t="s">
        <v>3557</v>
      </c>
      <c r="F156" t="s">
        <v>3559</v>
      </c>
      <c r="G156" t="s">
        <v>3768</v>
      </c>
      <c r="H156">
        <v>0</v>
      </c>
      <c r="I156">
        <v>612</v>
      </c>
      <c r="J156">
        <v>242</v>
      </c>
      <c r="K156" t="str">
        <f t="shared" si="2"/>
        <v>logg32135</v>
      </c>
      <c r="L156" t="s">
        <v>3620</v>
      </c>
      <c r="M156" t="s">
        <v>1067</v>
      </c>
      <c r="N156" t="s">
        <v>1583</v>
      </c>
      <c r="Q156" t="s">
        <v>3749</v>
      </c>
      <c r="R156" t="s">
        <v>2827</v>
      </c>
      <c r="U156">
        <v>50</v>
      </c>
      <c r="V156">
        <v>1</v>
      </c>
      <c r="W156">
        <v>50</v>
      </c>
      <c r="X156">
        <v>32</v>
      </c>
      <c r="Y156">
        <v>13.5</v>
      </c>
    </row>
    <row r="157" spans="1:25" x14ac:dyDescent="0.25">
      <c r="A157" t="s">
        <v>3780</v>
      </c>
      <c r="B157">
        <v>762</v>
      </c>
      <c r="C157">
        <v>156</v>
      </c>
      <c r="D157" t="s">
        <v>23</v>
      </c>
      <c r="E157" t="s">
        <v>3557</v>
      </c>
      <c r="F157" t="s">
        <v>3559</v>
      </c>
      <c r="G157" t="s">
        <v>3781</v>
      </c>
      <c r="H157">
        <v>0</v>
      </c>
      <c r="I157">
        <v>324</v>
      </c>
      <c r="J157">
        <v>430</v>
      </c>
      <c r="K157" t="str">
        <f t="shared" si="2"/>
        <v>logg17423</v>
      </c>
      <c r="M157" t="s">
        <v>1067</v>
      </c>
      <c r="N157" t="s">
        <v>1308</v>
      </c>
      <c r="Q157" t="s">
        <v>3749</v>
      </c>
      <c r="R157" t="s">
        <v>2807</v>
      </c>
      <c r="U157">
        <v>50</v>
      </c>
      <c r="V157">
        <v>1</v>
      </c>
      <c r="W157">
        <v>50</v>
      </c>
      <c r="X157">
        <v>17.399999999999999</v>
      </c>
      <c r="Y157">
        <v>23</v>
      </c>
    </row>
    <row r="158" spans="1:25" x14ac:dyDescent="0.25">
      <c r="A158" t="s">
        <v>3782</v>
      </c>
      <c r="B158">
        <v>763</v>
      </c>
      <c r="C158">
        <v>157</v>
      </c>
      <c r="D158" t="s">
        <v>23</v>
      </c>
      <c r="E158" t="s">
        <v>3557</v>
      </c>
      <c r="F158" t="s">
        <v>3559</v>
      </c>
      <c r="G158" t="s">
        <v>3783</v>
      </c>
      <c r="H158">
        <v>0</v>
      </c>
      <c r="I158">
        <v>346</v>
      </c>
      <c r="J158">
        <v>302</v>
      </c>
      <c r="K158" t="str">
        <f t="shared" si="2"/>
        <v>logg186164</v>
      </c>
      <c r="M158" t="s">
        <v>1067</v>
      </c>
      <c r="N158" t="s">
        <v>1098</v>
      </c>
      <c r="Q158" t="s">
        <v>3749</v>
      </c>
      <c r="R158" t="s">
        <v>2816</v>
      </c>
      <c r="U158">
        <v>50</v>
      </c>
      <c r="V158">
        <v>2</v>
      </c>
      <c r="W158">
        <v>50</v>
      </c>
      <c r="X158">
        <v>18.600000000000001</v>
      </c>
      <c r="Y158">
        <v>16.399999999999999</v>
      </c>
    </row>
    <row r="159" spans="1:25" x14ac:dyDescent="0.25">
      <c r="A159" t="s">
        <v>3784</v>
      </c>
      <c r="B159">
        <v>764</v>
      </c>
      <c r="C159">
        <v>158</v>
      </c>
      <c r="D159" t="s">
        <v>23</v>
      </c>
      <c r="E159" t="s">
        <v>3557</v>
      </c>
      <c r="F159" t="s">
        <v>3559</v>
      </c>
      <c r="G159" t="s">
        <v>3785</v>
      </c>
      <c r="H159">
        <v>0</v>
      </c>
      <c r="I159">
        <v>551</v>
      </c>
      <c r="J159">
        <v>478</v>
      </c>
      <c r="K159" t="str">
        <f t="shared" si="2"/>
        <v>logg291254</v>
      </c>
      <c r="M159" t="s">
        <v>1067</v>
      </c>
      <c r="N159" t="s">
        <v>1195</v>
      </c>
      <c r="Q159" t="s">
        <v>3749</v>
      </c>
      <c r="R159" t="s">
        <v>2813</v>
      </c>
      <c r="U159">
        <v>50</v>
      </c>
      <c r="V159">
        <v>2</v>
      </c>
      <c r="W159">
        <v>50</v>
      </c>
      <c r="X159">
        <v>29.1</v>
      </c>
      <c r="Y159">
        <v>25.4</v>
      </c>
    </row>
    <row r="160" spans="1:25" x14ac:dyDescent="0.25">
      <c r="A160" t="s">
        <v>3786</v>
      </c>
      <c r="B160">
        <v>765</v>
      </c>
      <c r="C160">
        <v>159</v>
      </c>
      <c r="D160" t="s">
        <v>23</v>
      </c>
      <c r="E160" t="s">
        <v>3557</v>
      </c>
      <c r="F160" t="s">
        <v>3559</v>
      </c>
      <c r="G160" t="s">
        <v>3787</v>
      </c>
      <c r="H160">
        <v>0</v>
      </c>
      <c r="I160">
        <v>551</v>
      </c>
      <c r="J160">
        <v>478</v>
      </c>
      <c r="K160" t="str">
        <f t="shared" si="2"/>
        <v>logg291254</v>
      </c>
      <c r="M160" t="s">
        <v>1067</v>
      </c>
      <c r="N160" t="s">
        <v>1195</v>
      </c>
      <c r="Q160" t="s">
        <v>3749</v>
      </c>
      <c r="R160" t="s">
        <v>2813</v>
      </c>
      <c r="U160">
        <v>50</v>
      </c>
      <c r="V160">
        <v>2</v>
      </c>
      <c r="W160">
        <v>50</v>
      </c>
      <c r="X160">
        <v>29.1</v>
      </c>
      <c r="Y160">
        <v>25.4</v>
      </c>
    </row>
    <row r="161" spans="1:25" x14ac:dyDescent="0.25">
      <c r="A161" t="s">
        <v>3788</v>
      </c>
      <c r="B161">
        <v>766</v>
      </c>
      <c r="C161">
        <v>160</v>
      </c>
      <c r="D161" t="s">
        <v>23</v>
      </c>
      <c r="E161" t="s">
        <v>3557</v>
      </c>
      <c r="F161" t="s">
        <v>3559</v>
      </c>
      <c r="G161" t="s">
        <v>3789</v>
      </c>
      <c r="H161">
        <v>0</v>
      </c>
      <c r="I161">
        <v>580</v>
      </c>
      <c r="J161">
        <v>376</v>
      </c>
      <c r="K161" t="str">
        <f t="shared" si="2"/>
        <v>logg305201</v>
      </c>
      <c r="M161" t="s">
        <v>1067</v>
      </c>
      <c r="N161" t="s">
        <v>1262</v>
      </c>
      <c r="Q161" t="s">
        <v>3749</v>
      </c>
      <c r="R161" t="s">
        <v>2812</v>
      </c>
      <c r="U161">
        <v>50</v>
      </c>
      <c r="V161">
        <v>2</v>
      </c>
      <c r="W161">
        <v>50</v>
      </c>
      <c r="X161">
        <v>30.5</v>
      </c>
      <c r="Y161">
        <v>20.100000000000001</v>
      </c>
    </row>
    <row r="162" spans="1:25" x14ac:dyDescent="0.25">
      <c r="A162" t="s">
        <v>3790</v>
      </c>
      <c r="B162">
        <v>767</v>
      </c>
      <c r="C162">
        <v>161</v>
      </c>
      <c r="D162" t="s">
        <v>23</v>
      </c>
      <c r="E162" t="s">
        <v>3557</v>
      </c>
      <c r="F162" t="s">
        <v>3559</v>
      </c>
      <c r="G162" t="s">
        <v>3791</v>
      </c>
      <c r="H162">
        <v>0</v>
      </c>
      <c r="I162">
        <v>306</v>
      </c>
      <c r="J162">
        <v>521</v>
      </c>
      <c r="K162" t="str">
        <f t="shared" si="2"/>
        <v>logg166275</v>
      </c>
      <c r="M162" t="s">
        <v>1067</v>
      </c>
      <c r="N162" t="s">
        <v>1321</v>
      </c>
      <c r="Q162" t="s">
        <v>3749</v>
      </c>
      <c r="R162" t="s">
        <v>2808</v>
      </c>
      <c r="U162">
        <v>50</v>
      </c>
      <c r="V162">
        <v>2</v>
      </c>
      <c r="W162">
        <v>50</v>
      </c>
      <c r="X162">
        <v>16.600000000000001</v>
      </c>
      <c r="Y162">
        <v>27.5</v>
      </c>
    </row>
    <row r="163" spans="1:25" x14ac:dyDescent="0.25">
      <c r="A163" t="s">
        <v>3792</v>
      </c>
      <c r="B163">
        <v>768</v>
      </c>
      <c r="C163">
        <v>162</v>
      </c>
      <c r="D163" t="s">
        <v>23</v>
      </c>
      <c r="E163" t="s">
        <v>3557</v>
      </c>
      <c r="F163" t="s">
        <v>3559</v>
      </c>
      <c r="G163" t="s">
        <v>3793</v>
      </c>
      <c r="H163">
        <v>0</v>
      </c>
      <c r="I163">
        <v>455</v>
      </c>
      <c r="J163">
        <v>491</v>
      </c>
      <c r="K163" t="str">
        <f t="shared" si="2"/>
        <v>logg243264</v>
      </c>
      <c r="L163" t="s">
        <v>3620</v>
      </c>
      <c r="M163" t="s">
        <v>1067</v>
      </c>
      <c r="N163" t="s">
        <v>1089</v>
      </c>
      <c r="Q163" t="s">
        <v>3749</v>
      </c>
      <c r="R163" t="s">
        <v>2809</v>
      </c>
      <c r="U163">
        <v>50</v>
      </c>
      <c r="V163">
        <v>2</v>
      </c>
      <c r="W163">
        <v>50</v>
      </c>
      <c r="X163">
        <v>24.3</v>
      </c>
      <c r="Y163">
        <v>26.4</v>
      </c>
    </row>
    <row r="164" spans="1:25" x14ac:dyDescent="0.25">
      <c r="A164" t="s">
        <v>3794</v>
      </c>
      <c r="B164">
        <v>769</v>
      </c>
      <c r="C164">
        <v>163</v>
      </c>
      <c r="D164" t="s">
        <v>23</v>
      </c>
      <c r="E164" t="s">
        <v>3557</v>
      </c>
      <c r="F164" t="s">
        <v>3559</v>
      </c>
      <c r="G164" t="s">
        <v>3793</v>
      </c>
      <c r="H164">
        <v>0</v>
      </c>
      <c r="I164">
        <v>346</v>
      </c>
      <c r="J164">
        <v>302</v>
      </c>
      <c r="K164" t="str">
        <f t="shared" si="2"/>
        <v>logg186164</v>
      </c>
      <c r="L164" t="s">
        <v>3620</v>
      </c>
      <c r="M164" t="s">
        <v>1067</v>
      </c>
      <c r="N164" t="s">
        <v>1098</v>
      </c>
      <c r="Q164" t="s">
        <v>3749</v>
      </c>
      <c r="R164" t="s">
        <v>2816</v>
      </c>
      <c r="U164">
        <v>50</v>
      </c>
      <c r="V164">
        <v>2</v>
      </c>
      <c r="W164">
        <v>50</v>
      </c>
      <c r="X164">
        <v>18.600000000000001</v>
      </c>
      <c r="Y164">
        <v>16.399999999999999</v>
      </c>
    </row>
    <row r="165" spans="1:25" x14ac:dyDescent="0.25">
      <c r="A165" t="s">
        <v>3795</v>
      </c>
      <c r="B165">
        <v>770</v>
      </c>
      <c r="C165">
        <v>164</v>
      </c>
      <c r="D165" t="s">
        <v>23</v>
      </c>
      <c r="E165" t="s">
        <v>3557</v>
      </c>
      <c r="F165" t="s">
        <v>3559</v>
      </c>
      <c r="G165" t="s">
        <v>3793</v>
      </c>
      <c r="H165">
        <v>0</v>
      </c>
      <c r="I165">
        <v>577</v>
      </c>
      <c r="J165">
        <v>510</v>
      </c>
      <c r="K165" t="str">
        <f t="shared" si="2"/>
        <v>logg306269</v>
      </c>
      <c r="L165" t="s">
        <v>3620</v>
      </c>
      <c r="M165" t="s">
        <v>1067</v>
      </c>
      <c r="N165" t="s">
        <v>1144</v>
      </c>
      <c r="Q165" t="s">
        <v>3749</v>
      </c>
      <c r="R165" t="s">
        <v>2816</v>
      </c>
      <c r="U165">
        <v>50</v>
      </c>
      <c r="V165">
        <v>2</v>
      </c>
      <c r="W165">
        <v>50</v>
      </c>
      <c r="X165">
        <v>30.6</v>
      </c>
      <c r="Y165">
        <v>26.9</v>
      </c>
    </row>
    <row r="166" spans="1:25" x14ac:dyDescent="0.25">
      <c r="A166" t="s">
        <v>3796</v>
      </c>
      <c r="B166">
        <v>771</v>
      </c>
      <c r="C166">
        <v>165</v>
      </c>
      <c r="D166" t="s">
        <v>23</v>
      </c>
      <c r="E166" t="s">
        <v>3557</v>
      </c>
      <c r="F166" t="s">
        <v>3559</v>
      </c>
      <c r="G166" t="s">
        <v>3793</v>
      </c>
      <c r="H166">
        <v>0</v>
      </c>
      <c r="I166">
        <v>551</v>
      </c>
      <c r="J166">
        <v>478</v>
      </c>
      <c r="K166" t="str">
        <f t="shared" si="2"/>
        <v>logg291254</v>
      </c>
      <c r="L166" t="s">
        <v>3620</v>
      </c>
      <c r="M166" t="s">
        <v>1067</v>
      </c>
      <c r="N166" t="s">
        <v>1195</v>
      </c>
      <c r="Q166" t="s">
        <v>3749</v>
      </c>
      <c r="R166" t="s">
        <v>2813</v>
      </c>
      <c r="U166">
        <v>50</v>
      </c>
      <c r="V166">
        <v>2</v>
      </c>
      <c r="W166">
        <v>50</v>
      </c>
      <c r="X166">
        <v>29.1</v>
      </c>
      <c r="Y166">
        <v>25.4</v>
      </c>
    </row>
    <row r="167" spans="1:25" x14ac:dyDescent="0.25">
      <c r="A167" t="s">
        <v>3797</v>
      </c>
      <c r="B167">
        <v>772</v>
      </c>
      <c r="C167">
        <v>166</v>
      </c>
      <c r="D167" t="s">
        <v>23</v>
      </c>
      <c r="E167" t="s">
        <v>3557</v>
      </c>
      <c r="F167" t="s">
        <v>3559</v>
      </c>
      <c r="G167" t="s">
        <v>3793</v>
      </c>
      <c r="H167">
        <v>0</v>
      </c>
      <c r="I167">
        <v>580</v>
      </c>
      <c r="J167">
        <v>376</v>
      </c>
      <c r="K167" t="str">
        <f t="shared" si="2"/>
        <v>logg305201</v>
      </c>
      <c r="L167" t="s">
        <v>3620</v>
      </c>
      <c r="M167" t="s">
        <v>1067</v>
      </c>
      <c r="N167" t="s">
        <v>1262</v>
      </c>
      <c r="Q167" t="s">
        <v>3749</v>
      </c>
      <c r="R167" t="s">
        <v>2812</v>
      </c>
      <c r="U167">
        <v>50</v>
      </c>
      <c r="V167">
        <v>2</v>
      </c>
      <c r="W167">
        <v>50</v>
      </c>
      <c r="X167">
        <v>30.5</v>
      </c>
      <c r="Y167">
        <v>20.100000000000001</v>
      </c>
    </row>
    <row r="168" spans="1:25" x14ac:dyDescent="0.25">
      <c r="A168" t="s">
        <v>3798</v>
      </c>
      <c r="B168">
        <v>773</v>
      </c>
      <c r="C168">
        <v>167</v>
      </c>
      <c r="D168" t="s">
        <v>23</v>
      </c>
      <c r="E168" t="s">
        <v>3557</v>
      </c>
      <c r="F168" t="s">
        <v>3559</v>
      </c>
      <c r="G168" t="s">
        <v>3793</v>
      </c>
      <c r="H168">
        <v>0</v>
      </c>
      <c r="I168">
        <v>580</v>
      </c>
      <c r="J168">
        <v>376</v>
      </c>
      <c r="K168" t="str">
        <f t="shared" si="2"/>
        <v>logg305201</v>
      </c>
      <c r="L168" t="s">
        <v>3620</v>
      </c>
      <c r="M168" t="s">
        <v>1067</v>
      </c>
      <c r="N168" t="s">
        <v>1235</v>
      </c>
      <c r="Q168" t="s">
        <v>3749</v>
      </c>
      <c r="R168" t="s">
        <v>2818</v>
      </c>
      <c r="U168">
        <v>50</v>
      </c>
      <c r="V168">
        <v>2</v>
      </c>
      <c r="W168">
        <v>50</v>
      </c>
      <c r="X168">
        <v>30.5</v>
      </c>
      <c r="Y168">
        <v>20.100000000000001</v>
      </c>
    </row>
    <row r="169" spans="1:25" x14ac:dyDescent="0.25">
      <c r="A169" t="s">
        <v>3799</v>
      </c>
      <c r="B169">
        <v>774</v>
      </c>
      <c r="C169">
        <v>168</v>
      </c>
      <c r="D169" t="s">
        <v>23</v>
      </c>
      <c r="E169" t="s">
        <v>3557</v>
      </c>
      <c r="F169" t="s">
        <v>3559</v>
      </c>
      <c r="G169" t="s">
        <v>3793</v>
      </c>
      <c r="H169">
        <v>0</v>
      </c>
      <c r="I169">
        <v>324</v>
      </c>
      <c r="J169">
        <v>430</v>
      </c>
      <c r="K169" t="str">
        <f t="shared" si="2"/>
        <v>logg17423</v>
      </c>
      <c r="L169" t="s">
        <v>3620</v>
      </c>
      <c r="M169" t="s">
        <v>1067</v>
      </c>
      <c r="N169" t="s">
        <v>1308</v>
      </c>
      <c r="Q169" t="s">
        <v>3749</v>
      </c>
      <c r="R169" t="s">
        <v>2807</v>
      </c>
      <c r="U169">
        <v>50</v>
      </c>
      <c r="V169">
        <v>2</v>
      </c>
      <c r="W169">
        <v>50</v>
      </c>
      <c r="X169">
        <v>17.399999999999999</v>
      </c>
      <c r="Y169">
        <v>23</v>
      </c>
    </row>
    <row r="170" spans="1:25" x14ac:dyDescent="0.25">
      <c r="A170" t="s">
        <v>3800</v>
      </c>
      <c r="B170">
        <v>775</v>
      </c>
      <c r="C170">
        <v>169</v>
      </c>
      <c r="D170" t="s">
        <v>23</v>
      </c>
      <c r="E170" t="s">
        <v>3557</v>
      </c>
      <c r="F170" t="s">
        <v>3559</v>
      </c>
      <c r="G170" t="s">
        <v>3793</v>
      </c>
      <c r="H170">
        <v>0</v>
      </c>
      <c r="I170">
        <v>306</v>
      </c>
      <c r="J170">
        <v>521</v>
      </c>
      <c r="K170" t="str">
        <f t="shared" si="2"/>
        <v>logg166275</v>
      </c>
      <c r="L170" t="s">
        <v>3620</v>
      </c>
      <c r="M170" t="s">
        <v>1067</v>
      </c>
      <c r="N170" t="s">
        <v>1321</v>
      </c>
      <c r="Q170" t="s">
        <v>3749</v>
      </c>
      <c r="R170" t="s">
        <v>2808</v>
      </c>
      <c r="U170">
        <v>50</v>
      </c>
      <c r="V170">
        <v>2</v>
      </c>
      <c r="W170">
        <v>50</v>
      </c>
      <c r="X170">
        <v>16.600000000000001</v>
      </c>
      <c r="Y170">
        <v>27.5</v>
      </c>
    </row>
    <row r="171" spans="1:25" x14ac:dyDescent="0.25">
      <c r="A171" t="s">
        <v>3801</v>
      </c>
      <c r="B171">
        <v>776</v>
      </c>
      <c r="C171">
        <v>170</v>
      </c>
      <c r="D171" t="s">
        <v>23</v>
      </c>
      <c r="E171" t="s">
        <v>3557</v>
      </c>
      <c r="F171" t="s">
        <v>3559</v>
      </c>
      <c r="G171" t="s">
        <v>3793</v>
      </c>
      <c r="H171">
        <v>0</v>
      </c>
      <c r="I171">
        <v>500</v>
      </c>
      <c r="J171">
        <v>458</v>
      </c>
      <c r="K171" t="str">
        <f t="shared" si="2"/>
        <v>logg265244</v>
      </c>
      <c r="L171" t="s">
        <v>3620</v>
      </c>
      <c r="M171" t="s">
        <v>1067</v>
      </c>
      <c r="N171" t="s">
        <v>1501</v>
      </c>
      <c r="Q171" t="s">
        <v>3749</v>
      </c>
      <c r="R171" t="s">
        <v>2820</v>
      </c>
      <c r="U171">
        <v>50</v>
      </c>
      <c r="V171">
        <v>2</v>
      </c>
      <c r="W171">
        <v>50</v>
      </c>
      <c r="X171">
        <v>26.5</v>
      </c>
      <c r="Y171">
        <v>24.4</v>
      </c>
    </row>
    <row r="172" spans="1:25" x14ac:dyDescent="0.25">
      <c r="A172" t="s">
        <v>3802</v>
      </c>
      <c r="B172">
        <v>777</v>
      </c>
      <c r="C172">
        <v>171</v>
      </c>
      <c r="D172" t="s">
        <v>23</v>
      </c>
      <c r="E172" t="s">
        <v>3557</v>
      </c>
      <c r="F172" t="s">
        <v>3559</v>
      </c>
      <c r="G172" t="s">
        <v>3793</v>
      </c>
      <c r="H172">
        <v>0</v>
      </c>
      <c r="I172">
        <v>553</v>
      </c>
      <c r="J172">
        <v>229</v>
      </c>
      <c r="K172" t="str">
        <f t="shared" si="2"/>
        <v>logg291127</v>
      </c>
      <c r="L172" t="s">
        <v>3620</v>
      </c>
      <c r="M172" t="s">
        <v>1067</v>
      </c>
      <c r="N172" t="s">
        <v>1506</v>
      </c>
      <c r="Q172" t="s">
        <v>3749</v>
      </c>
      <c r="R172" t="s">
        <v>2816</v>
      </c>
      <c r="U172">
        <v>50</v>
      </c>
      <c r="V172">
        <v>2</v>
      </c>
      <c r="W172">
        <v>50</v>
      </c>
      <c r="X172">
        <v>29.1</v>
      </c>
      <c r="Y172">
        <v>12.7</v>
      </c>
    </row>
    <row r="173" spans="1:25" x14ac:dyDescent="0.25">
      <c r="A173" t="s">
        <v>3803</v>
      </c>
      <c r="B173">
        <v>778</v>
      </c>
      <c r="C173">
        <v>172</v>
      </c>
      <c r="D173" t="s">
        <v>23</v>
      </c>
      <c r="E173" t="s">
        <v>3557</v>
      </c>
      <c r="F173" t="s">
        <v>3559</v>
      </c>
      <c r="G173" t="s">
        <v>3793</v>
      </c>
      <c r="H173">
        <v>0</v>
      </c>
      <c r="I173">
        <v>151</v>
      </c>
      <c r="J173">
        <v>236</v>
      </c>
      <c r="K173" t="str">
        <f t="shared" si="2"/>
        <v>logg84133</v>
      </c>
      <c r="L173" t="s">
        <v>3620</v>
      </c>
      <c r="M173" t="s">
        <v>1067</v>
      </c>
      <c r="N173" t="s">
        <v>1528</v>
      </c>
      <c r="Q173" t="s">
        <v>3749</v>
      </c>
      <c r="R173" t="s">
        <v>2822</v>
      </c>
      <c r="U173">
        <v>50</v>
      </c>
      <c r="V173">
        <v>2</v>
      </c>
      <c r="W173">
        <v>50</v>
      </c>
      <c r="X173">
        <v>8.4</v>
      </c>
      <c r="Y173">
        <v>13.3</v>
      </c>
    </row>
    <row r="174" spans="1:25" x14ac:dyDescent="0.25">
      <c r="A174" t="s">
        <v>3804</v>
      </c>
      <c r="B174">
        <v>779</v>
      </c>
      <c r="C174">
        <v>173</v>
      </c>
      <c r="D174" t="s">
        <v>23</v>
      </c>
      <c r="E174" t="s">
        <v>3557</v>
      </c>
      <c r="F174" t="s">
        <v>3559</v>
      </c>
      <c r="G174" t="s">
        <v>3793</v>
      </c>
      <c r="H174">
        <v>0</v>
      </c>
      <c r="I174">
        <v>612</v>
      </c>
      <c r="J174">
        <v>242</v>
      </c>
      <c r="K174" t="str">
        <f t="shared" si="2"/>
        <v>logg32135</v>
      </c>
      <c r="L174" t="s">
        <v>3620</v>
      </c>
      <c r="M174" t="s">
        <v>1067</v>
      </c>
      <c r="N174" t="s">
        <v>1583</v>
      </c>
      <c r="Q174" t="s">
        <v>3749</v>
      </c>
      <c r="R174" t="s">
        <v>2827</v>
      </c>
      <c r="U174">
        <v>50</v>
      </c>
      <c r="V174">
        <v>2</v>
      </c>
      <c r="W174">
        <v>50</v>
      </c>
      <c r="X174">
        <v>32</v>
      </c>
      <c r="Y174">
        <v>13.5</v>
      </c>
    </row>
    <row r="175" spans="1:25" x14ac:dyDescent="0.25">
      <c r="A175" t="s">
        <v>3805</v>
      </c>
      <c r="B175">
        <v>780</v>
      </c>
      <c r="C175">
        <v>174</v>
      </c>
      <c r="D175" t="s">
        <v>23</v>
      </c>
      <c r="E175" t="s">
        <v>3557</v>
      </c>
      <c r="F175" t="s">
        <v>3559</v>
      </c>
      <c r="G175" t="s">
        <v>3806</v>
      </c>
      <c r="H175">
        <v>0</v>
      </c>
      <c r="I175">
        <v>580</v>
      </c>
      <c r="J175">
        <v>376</v>
      </c>
      <c r="K175" t="str">
        <f t="shared" si="2"/>
        <v>logg305201</v>
      </c>
      <c r="M175" t="s">
        <v>1067</v>
      </c>
      <c r="N175" t="s">
        <v>1235</v>
      </c>
      <c r="Q175" t="s">
        <v>3749</v>
      </c>
      <c r="R175" t="s">
        <v>2818</v>
      </c>
      <c r="U175">
        <v>50</v>
      </c>
      <c r="V175">
        <v>3</v>
      </c>
      <c r="W175">
        <v>50</v>
      </c>
      <c r="X175">
        <v>30.5</v>
      </c>
      <c r="Y175">
        <v>20.100000000000001</v>
      </c>
    </row>
    <row r="176" spans="1:25" x14ac:dyDescent="0.25">
      <c r="A176" t="s">
        <v>3807</v>
      </c>
      <c r="B176">
        <v>781</v>
      </c>
      <c r="C176">
        <v>175</v>
      </c>
      <c r="D176" t="s">
        <v>23</v>
      </c>
      <c r="E176" t="s">
        <v>3557</v>
      </c>
      <c r="F176" t="s">
        <v>3559</v>
      </c>
      <c r="G176" t="s">
        <v>3808</v>
      </c>
      <c r="H176">
        <v>0</v>
      </c>
      <c r="I176">
        <v>455</v>
      </c>
      <c r="J176">
        <v>491</v>
      </c>
      <c r="K176" t="str">
        <f t="shared" si="2"/>
        <v>logg243264</v>
      </c>
      <c r="M176" t="s">
        <v>1067</v>
      </c>
      <c r="N176" t="s">
        <v>1089</v>
      </c>
      <c r="Q176" t="s">
        <v>3749</v>
      </c>
      <c r="R176" t="s">
        <v>2809</v>
      </c>
      <c r="U176">
        <v>50</v>
      </c>
      <c r="V176">
        <v>3</v>
      </c>
      <c r="W176">
        <v>50</v>
      </c>
      <c r="X176">
        <v>24.3</v>
      </c>
      <c r="Y176">
        <v>26.4</v>
      </c>
    </row>
    <row r="177" spans="1:25" x14ac:dyDescent="0.25">
      <c r="A177" t="s">
        <v>3809</v>
      </c>
      <c r="B177">
        <v>782</v>
      </c>
      <c r="C177">
        <v>176</v>
      </c>
      <c r="D177" t="s">
        <v>23</v>
      </c>
      <c r="E177" t="s">
        <v>3557</v>
      </c>
      <c r="F177" t="s">
        <v>3559</v>
      </c>
      <c r="G177" t="s">
        <v>3810</v>
      </c>
      <c r="H177">
        <v>0</v>
      </c>
      <c r="I177">
        <v>567</v>
      </c>
      <c r="J177">
        <v>571</v>
      </c>
      <c r="K177" t="str">
        <f t="shared" si="2"/>
        <v>logg314319</v>
      </c>
      <c r="M177" t="s">
        <v>11</v>
      </c>
      <c r="N177" t="s">
        <v>1532</v>
      </c>
      <c r="Q177" t="s">
        <v>11083</v>
      </c>
      <c r="U177">
        <v>50</v>
      </c>
      <c r="V177">
        <v>3</v>
      </c>
      <c r="W177">
        <v>50</v>
      </c>
      <c r="X177">
        <v>31.4</v>
      </c>
      <c r="Y177">
        <v>31.9</v>
      </c>
    </row>
    <row r="178" spans="1:25" x14ac:dyDescent="0.25">
      <c r="A178" t="s">
        <v>3811</v>
      </c>
      <c r="B178">
        <v>783</v>
      </c>
      <c r="C178">
        <v>177</v>
      </c>
      <c r="D178" t="s">
        <v>23</v>
      </c>
      <c r="E178" t="s">
        <v>3557</v>
      </c>
      <c r="F178" t="s">
        <v>3559</v>
      </c>
      <c r="G178" t="s">
        <v>3812</v>
      </c>
      <c r="H178">
        <v>0</v>
      </c>
      <c r="I178">
        <v>567</v>
      </c>
      <c r="J178">
        <v>571</v>
      </c>
      <c r="K178" t="str">
        <f t="shared" si="2"/>
        <v>logg314319</v>
      </c>
      <c r="M178" t="s">
        <v>11</v>
      </c>
      <c r="N178" t="s">
        <v>1532</v>
      </c>
      <c r="Q178" t="s">
        <v>11083</v>
      </c>
      <c r="U178">
        <v>50</v>
      </c>
      <c r="V178">
        <v>3</v>
      </c>
      <c r="W178">
        <v>50</v>
      </c>
      <c r="X178">
        <v>31.4</v>
      </c>
      <c r="Y178">
        <v>31.9</v>
      </c>
    </row>
    <row r="179" spans="1:25" x14ac:dyDescent="0.25">
      <c r="A179" t="s">
        <v>3813</v>
      </c>
      <c r="B179">
        <v>784</v>
      </c>
      <c r="C179">
        <v>178</v>
      </c>
      <c r="D179" t="s">
        <v>23</v>
      </c>
      <c r="E179" t="s">
        <v>3557</v>
      </c>
      <c r="F179" t="s">
        <v>3559</v>
      </c>
      <c r="G179" t="s">
        <v>3814</v>
      </c>
      <c r="H179">
        <v>0</v>
      </c>
      <c r="I179">
        <v>467</v>
      </c>
      <c r="J179">
        <v>145</v>
      </c>
      <c r="K179" t="str">
        <f t="shared" si="2"/>
        <v>logg25888</v>
      </c>
      <c r="M179" t="s">
        <v>11</v>
      </c>
      <c r="N179" t="s">
        <v>1713</v>
      </c>
      <c r="Q179" t="s">
        <v>3749</v>
      </c>
      <c r="R179" t="s">
        <v>2804</v>
      </c>
      <c r="U179">
        <v>51</v>
      </c>
      <c r="V179">
        <v>0</v>
      </c>
      <c r="W179">
        <v>55</v>
      </c>
      <c r="X179">
        <v>25.8</v>
      </c>
      <c r="Y179">
        <v>8.8000000000000007</v>
      </c>
    </row>
    <row r="180" spans="1:25" x14ac:dyDescent="0.25">
      <c r="A180" t="s">
        <v>3815</v>
      </c>
      <c r="B180">
        <v>785</v>
      </c>
      <c r="C180">
        <v>179</v>
      </c>
      <c r="D180" t="s">
        <v>23</v>
      </c>
      <c r="E180" t="s">
        <v>3557</v>
      </c>
      <c r="F180" t="s">
        <v>3559</v>
      </c>
      <c r="G180" t="s">
        <v>3816</v>
      </c>
      <c r="H180">
        <v>0</v>
      </c>
      <c r="I180">
        <v>478</v>
      </c>
      <c r="J180">
        <v>484</v>
      </c>
      <c r="K180" t="str">
        <f t="shared" si="2"/>
        <v>logg266271</v>
      </c>
      <c r="M180" t="s">
        <v>11</v>
      </c>
      <c r="N180" t="s">
        <v>1667</v>
      </c>
      <c r="Q180" t="s">
        <v>11083</v>
      </c>
      <c r="U180">
        <v>54</v>
      </c>
      <c r="V180">
        <v>0</v>
      </c>
      <c r="W180">
        <v>55</v>
      </c>
      <c r="X180">
        <v>26.6</v>
      </c>
      <c r="Y180">
        <v>27.1</v>
      </c>
    </row>
    <row r="181" spans="1:25" x14ac:dyDescent="0.25">
      <c r="A181" t="s">
        <v>3817</v>
      </c>
      <c r="B181">
        <v>786</v>
      </c>
      <c r="C181">
        <v>180</v>
      </c>
      <c r="D181" t="s">
        <v>23</v>
      </c>
      <c r="E181" t="s">
        <v>3557</v>
      </c>
      <c r="F181" t="s">
        <v>3559</v>
      </c>
      <c r="G181" t="s">
        <v>3818</v>
      </c>
      <c r="H181">
        <v>0</v>
      </c>
      <c r="I181">
        <v>467</v>
      </c>
      <c r="J181">
        <v>145</v>
      </c>
      <c r="K181" t="str">
        <f t="shared" si="2"/>
        <v>logg25888</v>
      </c>
      <c r="M181" t="s">
        <v>11</v>
      </c>
      <c r="N181" t="s">
        <v>1713</v>
      </c>
      <c r="Q181" t="s">
        <v>3749</v>
      </c>
      <c r="R181" t="s">
        <v>2804</v>
      </c>
      <c r="U181">
        <v>54</v>
      </c>
      <c r="V181">
        <v>0</v>
      </c>
      <c r="W181">
        <v>55</v>
      </c>
      <c r="X181">
        <v>25.8</v>
      </c>
      <c r="Y181">
        <v>8.8000000000000007</v>
      </c>
    </row>
    <row r="182" spans="1:25" x14ac:dyDescent="0.25">
      <c r="A182" t="s">
        <v>3819</v>
      </c>
      <c r="B182">
        <v>787</v>
      </c>
      <c r="C182">
        <v>181</v>
      </c>
      <c r="D182" t="s">
        <v>23</v>
      </c>
      <c r="E182" t="s">
        <v>3557</v>
      </c>
      <c r="F182" t="s">
        <v>3559</v>
      </c>
      <c r="G182" t="s">
        <v>3820</v>
      </c>
      <c r="H182">
        <v>0</v>
      </c>
      <c r="I182">
        <v>478</v>
      </c>
      <c r="J182">
        <v>484</v>
      </c>
      <c r="K182" t="str">
        <f t="shared" si="2"/>
        <v>logg266271</v>
      </c>
      <c r="L182" t="s">
        <v>3620</v>
      </c>
      <c r="M182" t="s">
        <v>11</v>
      </c>
      <c r="N182" t="s">
        <v>1667</v>
      </c>
      <c r="Q182" t="s">
        <v>11083</v>
      </c>
      <c r="U182">
        <v>55</v>
      </c>
      <c r="V182">
        <v>0</v>
      </c>
      <c r="W182">
        <v>55</v>
      </c>
      <c r="X182">
        <v>26.6</v>
      </c>
      <c r="Y182">
        <v>27.1</v>
      </c>
    </row>
    <row r="183" spans="1:25" x14ac:dyDescent="0.25">
      <c r="A183" t="s">
        <v>3821</v>
      </c>
      <c r="B183">
        <v>788</v>
      </c>
      <c r="C183">
        <v>182</v>
      </c>
      <c r="D183" t="s">
        <v>23</v>
      </c>
      <c r="E183" t="s">
        <v>3557</v>
      </c>
      <c r="F183" t="s">
        <v>3559</v>
      </c>
      <c r="G183" t="s">
        <v>3822</v>
      </c>
      <c r="H183">
        <v>0</v>
      </c>
      <c r="I183">
        <v>478</v>
      </c>
      <c r="J183">
        <v>484</v>
      </c>
      <c r="K183" t="str">
        <f t="shared" si="2"/>
        <v>logg266271</v>
      </c>
      <c r="M183" t="s">
        <v>11</v>
      </c>
      <c r="N183" t="s">
        <v>1667</v>
      </c>
      <c r="Q183" t="s">
        <v>11083</v>
      </c>
      <c r="U183">
        <v>55</v>
      </c>
      <c r="V183">
        <v>0</v>
      </c>
      <c r="W183">
        <v>55</v>
      </c>
      <c r="X183">
        <v>26.6</v>
      </c>
      <c r="Y183">
        <v>27.1</v>
      </c>
    </row>
    <row r="184" spans="1:25" x14ac:dyDescent="0.25">
      <c r="A184" t="s">
        <v>3823</v>
      </c>
      <c r="B184">
        <v>789</v>
      </c>
      <c r="C184">
        <v>183</v>
      </c>
      <c r="D184" t="s">
        <v>23</v>
      </c>
      <c r="E184" t="s">
        <v>3557</v>
      </c>
      <c r="F184" t="s">
        <v>3559</v>
      </c>
      <c r="G184" t="s">
        <v>3824</v>
      </c>
      <c r="H184">
        <v>0</v>
      </c>
      <c r="I184">
        <v>647</v>
      </c>
      <c r="J184">
        <v>377</v>
      </c>
      <c r="K184" t="str">
        <f t="shared" si="2"/>
        <v>logg358214</v>
      </c>
      <c r="M184" t="s">
        <v>11</v>
      </c>
      <c r="N184" t="s">
        <v>1614</v>
      </c>
      <c r="Q184" t="s">
        <v>3749</v>
      </c>
      <c r="R184" t="s">
        <v>2832</v>
      </c>
      <c r="U184">
        <v>56</v>
      </c>
      <c r="V184">
        <v>0</v>
      </c>
      <c r="W184">
        <v>60</v>
      </c>
      <c r="X184">
        <v>35.799999999999997</v>
      </c>
      <c r="Y184">
        <v>21.4</v>
      </c>
    </row>
    <row r="185" spans="1:25" x14ac:dyDescent="0.25">
      <c r="A185" t="s">
        <v>3825</v>
      </c>
      <c r="B185">
        <v>790</v>
      </c>
      <c r="C185">
        <v>184</v>
      </c>
      <c r="D185" t="s">
        <v>23</v>
      </c>
      <c r="E185" t="s">
        <v>3557</v>
      </c>
      <c r="F185" t="s">
        <v>3559</v>
      </c>
      <c r="G185" t="s">
        <v>3826</v>
      </c>
      <c r="H185">
        <v>0</v>
      </c>
      <c r="I185">
        <v>474</v>
      </c>
      <c r="J185">
        <v>602</v>
      </c>
      <c r="K185" t="str">
        <f t="shared" si="2"/>
        <v>logg263334</v>
      </c>
      <c r="M185" t="s">
        <v>11</v>
      </c>
      <c r="N185" t="s">
        <v>1605</v>
      </c>
      <c r="Q185" t="s">
        <v>11083</v>
      </c>
      <c r="U185">
        <v>56</v>
      </c>
      <c r="V185">
        <v>0</v>
      </c>
      <c r="W185">
        <v>60</v>
      </c>
      <c r="X185">
        <v>26.3</v>
      </c>
      <c r="Y185">
        <v>33.4</v>
      </c>
    </row>
    <row r="186" spans="1:25" x14ac:dyDescent="0.25">
      <c r="A186" t="s">
        <v>3827</v>
      </c>
      <c r="B186">
        <v>791</v>
      </c>
      <c r="C186">
        <v>185</v>
      </c>
      <c r="D186" t="s">
        <v>23</v>
      </c>
      <c r="E186" t="s">
        <v>3557</v>
      </c>
      <c r="F186" t="s">
        <v>3559</v>
      </c>
      <c r="G186" t="s">
        <v>3828</v>
      </c>
      <c r="H186">
        <v>0</v>
      </c>
      <c r="I186">
        <v>280</v>
      </c>
      <c r="J186">
        <v>670</v>
      </c>
      <c r="K186" t="str">
        <f t="shared" si="2"/>
        <v>logg16371</v>
      </c>
      <c r="M186" t="s">
        <v>11</v>
      </c>
      <c r="N186" t="s">
        <v>1695</v>
      </c>
      <c r="Q186" t="s">
        <v>3749</v>
      </c>
      <c r="R186" t="s">
        <v>2831</v>
      </c>
      <c r="U186">
        <v>57</v>
      </c>
      <c r="V186">
        <v>0</v>
      </c>
      <c r="W186">
        <v>60</v>
      </c>
      <c r="X186">
        <v>16</v>
      </c>
      <c r="Y186">
        <v>37.1</v>
      </c>
    </row>
    <row r="187" spans="1:25" x14ac:dyDescent="0.25">
      <c r="A187" t="s">
        <v>3829</v>
      </c>
      <c r="B187">
        <v>792</v>
      </c>
      <c r="C187">
        <v>186</v>
      </c>
      <c r="D187" t="s">
        <v>23</v>
      </c>
      <c r="E187" t="s">
        <v>3557</v>
      </c>
      <c r="F187" t="s">
        <v>3559</v>
      </c>
      <c r="G187" t="s">
        <v>3830</v>
      </c>
      <c r="H187">
        <v>0</v>
      </c>
      <c r="I187">
        <v>474</v>
      </c>
      <c r="J187">
        <v>602</v>
      </c>
      <c r="K187" t="str">
        <f t="shared" si="2"/>
        <v>logg263334</v>
      </c>
      <c r="L187" t="s">
        <v>3620</v>
      </c>
      <c r="M187" t="s">
        <v>11</v>
      </c>
      <c r="N187" t="s">
        <v>1605</v>
      </c>
      <c r="Q187" t="s">
        <v>11083</v>
      </c>
      <c r="U187">
        <v>58</v>
      </c>
      <c r="V187">
        <v>0</v>
      </c>
      <c r="W187">
        <v>60</v>
      </c>
      <c r="X187">
        <v>26.3</v>
      </c>
      <c r="Y187">
        <v>33.4</v>
      </c>
    </row>
    <row r="188" spans="1:25" x14ac:dyDescent="0.25">
      <c r="A188" t="s">
        <v>3831</v>
      </c>
      <c r="B188">
        <v>793</v>
      </c>
      <c r="C188">
        <v>187</v>
      </c>
      <c r="D188" t="s">
        <v>23</v>
      </c>
      <c r="E188" t="s">
        <v>3557</v>
      </c>
      <c r="F188" t="s">
        <v>3559</v>
      </c>
      <c r="G188" t="s">
        <v>3832</v>
      </c>
      <c r="H188">
        <v>0</v>
      </c>
      <c r="I188">
        <v>474</v>
      </c>
      <c r="J188">
        <v>602</v>
      </c>
      <c r="K188" t="str">
        <f t="shared" si="2"/>
        <v>logg263334</v>
      </c>
      <c r="M188" t="s">
        <v>11</v>
      </c>
      <c r="N188" t="s">
        <v>1605</v>
      </c>
      <c r="Q188" t="s">
        <v>11083</v>
      </c>
      <c r="U188">
        <v>58</v>
      </c>
      <c r="V188">
        <v>0</v>
      </c>
      <c r="W188">
        <v>60</v>
      </c>
      <c r="X188">
        <v>26.3</v>
      </c>
      <c r="Y188">
        <v>33.4</v>
      </c>
    </row>
    <row r="189" spans="1:25" x14ac:dyDescent="0.25">
      <c r="A189" t="s">
        <v>3833</v>
      </c>
      <c r="B189">
        <v>794</v>
      </c>
      <c r="C189">
        <v>188</v>
      </c>
      <c r="D189" t="s">
        <v>23</v>
      </c>
      <c r="E189" t="s">
        <v>3557</v>
      </c>
      <c r="F189" t="s">
        <v>3559</v>
      </c>
      <c r="G189" t="s">
        <v>3834</v>
      </c>
      <c r="H189">
        <v>0</v>
      </c>
      <c r="I189">
        <v>647</v>
      </c>
      <c r="J189">
        <v>377</v>
      </c>
      <c r="K189" t="str">
        <f t="shared" si="2"/>
        <v>logg358214</v>
      </c>
      <c r="M189" t="s">
        <v>11</v>
      </c>
      <c r="N189" t="s">
        <v>1614</v>
      </c>
      <c r="Q189" t="s">
        <v>3749</v>
      </c>
      <c r="R189" t="s">
        <v>2832</v>
      </c>
      <c r="U189">
        <v>58</v>
      </c>
      <c r="V189">
        <v>0</v>
      </c>
      <c r="W189">
        <v>60</v>
      </c>
      <c r="X189">
        <v>35.799999999999997</v>
      </c>
      <c r="Y189">
        <v>21.4</v>
      </c>
    </row>
    <row r="190" spans="1:25" x14ac:dyDescent="0.25">
      <c r="A190" t="s">
        <v>3835</v>
      </c>
      <c r="B190">
        <v>795</v>
      </c>
      <c r="C190">
        <v>189</v>
      </c>
      <c r="D190" t="s">
        <v>23</v>
      </c>
      <c r="E190" t="s">
        <v>3557</v>
      </c>
      <c r="F190" t="s">
        <v>3559</v>
      </c>
      <c r="G190" t="s">
        <v>3836</v>
      </c>
      <c r="H190">
        <v>0</v>
      </c>
      <c r="I190">
        <v>280</v>
      </c>
      <c r="J190">
        <v>670</v>
      </c>
      <c r="K190" t="str">
        <f t="shared" si="2"/>
        <v>logg16371</v>
      </c>
      <c r="M190" t="s">
        <v>11</v>
      </c>
      <c r="N190" t="s">
        <v>1695</v>
      </c>
      <c r="Q190" t="s">
        <v>3749</v>
      </c>
      <c r="R190" t="s">
        <v>2831</v>
      </c>
      <c r="U190">
        <v>59</v>
      </c>
      <c r="V190">
        <v>0</v>
      </c>
      <c r="W190">
        <v>60</v>
      </c>
      <c r="X190">
        <v>16</v>
      </c>
      <c r="Y190">
        <v>37.1</v>
      </c>
    </row>
    <row r="191" spans="1:25" x14ac:dyDescent="0.25">
      <c r="A191" t="s">
        <v>3837</v>
      </c>
      <c r="B191">
        <v>796</v>
      </c>
      <c r="C191">
        <v>190</v>
      </c>
      <c r="D191" t="s">
        <v>23</v>
      </c>
      <c r="E191" t="s">
        <v>3557</v>
      </c>
      <c r="F191" t="s">
        <v>3559</v>
      </c>
      <c r="G191" t="s">
        <v>3838</v>
      </c>
      <c r="H191">
        <v>0</v>
      </c>
      <c r="I191">
        <v>474</v>
      </c>
      <c r="J191">
        <v>602</v>
      </c>
      <c r="K191" t="str">
        <f t="shared" si="2"/>
        <v>logg263334</v>
      </c>
      <c r="M191" t="s">
        <v>11</v>
      </c>
      <c r="N191" t="s">
        <v>1605</v>
      </c>
      <c r="Q191" t="s">
        <v>11083</v>
      </c>
      <c r="U191">
        <v>59</v>
      </c>
      <c r="V191">
        <v>0</v>
      </c>
      <c r="W191">
        <v>60</v>
      </c>
      <c r="X191">
        <v>26.3</v>
      </c>
      <c r="Y191">
        <v>33.4</v>
      </c>
    </row>
    <row r="192" spans="1:25" x14ac:dyDescent="0.25">
      <c r="A192" t="s">
        <v>3839</v>
      </c>
      <c r="B192">
        <v>797</v>
      </c>
      <c r="C192">
        <v>191</v>
      </c>
      <c r="D192" t="s">
        <v>23</v>
      </c>
      <c r="E192" t="s">
        <v>3557</v>
      </c>
      <c r="F192" t="s">
        <v>3559</v>
      </c>
      <c r="G192" t="s">
        <v>3840</v>
      </c>
      <c r="H192">
        <v>0</v>
      </c>
      <c r="I192">
        <v>474</v>
      </c>
      <c r="J192">
        <v>602</v>
      </c>
      <c r="K192" t="str">
        <f t="shared" si="2"/>
        <v>logg263334</v>
      </c>
      <c r="M192" t="s">
        <v>11</v>
      </c>
      <c r="N192" t="s">
        <v>1605</v>
      </c>
      <c r="Q192" t="s">
        <v>11083</v>
      </c>
      <c r="U192">
        <v>59</v>
      </c>
      <c r="V192">
        <v>0</v>
      </c>
      <c r="W192">
        <v>60</v>
      </c>
      <c r="X192">
        <v>26.3</v>
      </c>
      <c r="Y192">
        <v>33.4</v>
      </c>
    </row>
    <row r="193" spans="1:25" x14ac:dyDescent="0.25">
      <c r="A193" t="s">
        <v>3841</v>
      </c>
      <c r="B193">
        <v>798</v>
      </c>
      <c r="C193">
        <v>192</v>
      </c>
      <c r="D193" t="s">
        <v>23</v>
      </c>
      <c r="E193" t="s">
        <v>3557</v>
      </c>
      <c r="F193" t="s">
        <v>3559</v>
      </c>
      <c r="G193" t="s">
        <v>3842</v>
      </c>
      <c r="H193">
        <v>0</v>
      </c>
      <c r="I193">
        <v>585</v>
      </c>
      <c r="J193">
        <v>566</v>
      </c>
      <c r="K193" t="str">
        <f t="shared" si="2"/>
        <v>logg325317</v>
      </c>
      <c r="M193" t="s">
        <v>11</v>
      </c>
      <c r="N193" t="s">
        <v>1706</v>
      </c>
      <c r="Q193" t="s">
        <v>11083</v>
      </c>
      <c r="U193">
        <v>60</v>
      </c>
      <c r="V193">
        <v>1</v>
      </c>
      <c r="W193">
        <v>60</v>
      </c>
      <c r="X193">
        <v>32.5</v>
      </c>
      <c r="Y193">
        <v>31.7</v>
      </c>
    </row>
    <row r="194" spans="1:25" x14ac:dyDescent="0.25">
      <c r="A194" t="s">
        <v>3843</v>
      </c>
      <c r="B194">
        <v>799</v>
      </c>
      <c r="C194">
        <v>193</v>
      </c>
      <c r="D194" t="s">
        <v>23</v>
      </c>
      <c r="E194" t="s">
        <v>3557</v>
      </c>
      <c r="F194" t="s">
        <v>3559</v>
      </c>
      <c r="G194" t="s">
        <v>3844</v>
      </c>
      <c r="H194">
        <v>0</v>
      </c>
      <c r="I194">
        <v>585</v>
      </c>
      <c r="J194">
        <v>566</v>
      </c>
      <c r="K194" t="str">
        <f t="shared" ref="K194:K257" si="3">LEFT(A194,4)&amp;SUBSTITUTE(X194,".","")&amp;SUBSTITUTE(Y194,".","")</f>
        <v>logg325317</v>
      </c>
      <c r="M194" t="s">
        <v>11</v>
      </c>
      <c r="N194" t="s">
        <v>1706</v>
      </c>
      <c r="Q194" t="s">
        <v>11083</v>
      </c>
      <c r="U194">
        <v>60</v>
      </c>
      <c r="V194">
        <v>1</v>
      </c>
      <c r="W194">
        <v>60</v>
      </c>
      <c r="X194">
        <v>32.5</v>
      </c>
      <c r="Y194">
        <v>31.7</v>
      </c>
    </row>
    <row r="195" spans="1:25" x14ac:dyDescent="0.25">
      <c r="A195" t="s">
        <v>3845</v>
      </c>
      <c r="B195">
        <v>800</v>
      </c>
      <c r="C195">
        <v>194</v>
      </c>
      <c r="D195" t="s">
        <v>23</v>
      </c>
      <c r="E195" t="s">
        <v>3557</v>
      </c>
      <c r="F195" t="s">
        <v>3559</v>
      </c>
      <c r="G195" t="s">
        <v>3846</v>
      </c>
      <c r="H195">
        <v>0</v>
      </c>
      <c r="I195">
        <v>191</v>
      </c>
      <c r="J195">
        <v>300</v>
      </c>
      <c r="K195" t="str">
        <f t="shared" si="3"/>
        <v>logg105162</v>
      </c>
      <c r="M195" t="s">
        <v>73</v>
      </c>
      <c r="N195" t="s">
        <v>1736</v>
      </c>
      <c r="Q195" t="s">
        <v>11083</v>
      </c>
      <c r="U195">
        <v>61</v>
      </c>
      <c r="V195">
        <v>0</v>
      </c>
      <c r="W195">
        <v>65</v>
      </c>
      <c r="X195">
        <v>10.5</v>
      </c>
      <c r="Y195">
        <v>16.2</v>
      </c>
    </row>
    <row r="196" spans="1:25" x14ac:dyDescent="0.25">
      <c r="A196" t="s">
        <v>3847</v>
      </c>
      <c r="B196">
        <v>801</v>
      </c>
      <c r="C196">
        <v>195</v>
      </c>
      <c r="D196" t="s">
        <v>23</v>
      </c>
      <c r="E196" t="s">
        <v>3557</v>
      </c>
      <c r="F196" t="s">
        <v>3559</v>
      </c>
      <c r="G196" t="s">
        <v>3848</v>
      </c>
      <c r="H196">
        <v>0</v>
      </c>
      <c r="I196">
        <v>191</v>
      </c>
      <c r="J196">
        <v>300</v>
      </c>
      <c r="K196" t="str">
        <f t="shared" si="3"/>
        <v>logg105162</v>
      </c>
      <c r="M196" t="s">
        <v>73</v>
      </c>
      <c r="N196" t="s">
        <v>1736</v>
      </c>
      <c r="Q196" t="s">
        <v>11083</v>
      </c>
      <c r="U196">
        <v>61</v>
      </c>
      <c r="V196">
        <v>0</v>
      </c>
      <c r="W196">
        <v>65</v>
      </c>
      <c r="X196">
        <v>10.5</v>
      </c>
      <c r="Y196">
        <v>16.2</v>
      </c>
    </row>
    <row r="197" spans="1:25" x14ac:dyDescent="0.25">
      <c r="A197" t="s">
        <v>3849</v>
      </c>
      <c r="B197">
        <v>802</v>
      </c>
      <c r="C197">
        <v>196</v>
      </c>
      <c r="D197" t="s">
        <v>23</v>
      </c>
      <c r="E197" t="s">
        <v>3557</v>
      </c>
      <c r="F197" t="s">
        <v>3559</v>
      </c>
      <c r="G197" t="s">
        <v>3850</v>
      </c>
      <c r="H197">
        <v>0</v>
      </c>
      <c r="I197">
        <v>191</v>
      </c>
      <c r="J197">
        <v>300</v>
      </c>
      <c r="K197" t="str">
        <f t="shared" si="3"/>
        <v>logg105162</v>
      </c>
      <c r="M197" t="s">
        <v>73</v>
      </c>
      <c r="N197" t="s">
        <v>1736</v>
      </c>
      <c r="Q197" t="s">
        <v>11083</v>
      </c>
      <c r="U197">
        <v>61</v>
      </c>
      <c r="V197">
        <v>0</v>
      </c>
      <c r="W197">
        <v>65</v>
      </c>
      <c r="X197">
        <v>10.5</v>
      </c>
      <c r="Y197">
        <v>16.2</v>
      </c>
    </row>
    <row r="198" spans="1:25" x14ac:dyDescent="0.25">
      <c r="A198" t="s">
        <v>3851</v>
      </c>
      <c r="B198">
        <v>803</v>
      </c>
      <c r="C198">
        <v>197</v>
      </c>
      <c r="D198" t="s">
        <v>23</v>
      </c>
      <c r="E198" t="s">
        <v>3557</v>
      </c>
      <c r="F198" t="s">
        <v>3559</v>
      </c>
      <c r="G198" t="s">
        <v>3852</v>
      </c>
      <c r="H198">
        <v>0</v>
      </c>
      <c r="I198">
        <v>546</v>
      </c>
      <c r="J198">
        <v>479</v>
      </c>
      <c r="K198" t="str">
        <f t="shared" si="3"/>
        <v>logg287255</v>
      </c>
      <c r="M198" t="s">
        <v>73</v>
      </c>
      <c r="N198" t="s">
        <v>1940</v>
      </c>
      <c r="Q198" t="s">
        <v>3749</v>
      </c>
      <c r="R198" t="s">
        <v>2834</v>
      </c>
      <c r="U198">
        <v>63</v>
      </c>
      <c r="V198">
        <v>0</v>
      </c>
      <c r="W198">
        <v>65</v>
      </c>
      <c r="X198">
        <v>28.7</v>
      </c>
      <c r="Y198">
        <v>25.5</v>
      </c>
    </row>
    <row r="199" spans="1:25" x14ac:dyDescent="0.25">
      <c r="A199" t="s">
        <v>3853</v>
      </c>
      <c r="B199">
        <v>804</v>
      </c>
      <c r="C199">
        <v>198</v>
      </c>
      <c r="D199" t="s">
        <v>23</v>
      </c>
      <c r="E199" t="s">
        <v>3557</v>
      </c>
      <c r="F199" t="s">
        <v>3559</v>
      </c>
      <c r="G199" t="s">
        <v>3854</v>
      </c>
      <c r="H199">
        <v>0</v>
      </c>
      <c r="I199">
        <v>387</v>
      </c>
      <c r="J199">
        <v>112</v>
      </c>
      <c r="K199" t="str">
        <f t="shared" si="3"/>
        <v>logg20768</v>
      </c>
      <c r="M199" t="s">
        <v>73</v>
      </c>
      <c r="N199" t="s">
        <v>1903</v>
      </c>
      <c r="Q199" t="s">
        <v>11083</v>
      </c>
      <c r="U199">
        <v>63</v>
      </c>
      <c r="V199">
        <v>0</v>
      </c>
      <c r="W199">
        <v>65</v>
      </c>
      <c r="X199">
        <v>20.7</v>
      </c>
      <c r="Y199">
        <v>6.8</v>
      </c>
    </row>
    <row r="200" spans="1:25" x14ac:dyDescent="0.25">
      <c r="A200" t="s">
        <v>3855</v>
      </c>
      <c r="B200">
        <v>805</v>
      </c>
      <c r="C200">
        <v>199</v>
      </c>
      <c r="D200" t="s">
        <v>23</v>
      </c>
      <c r="E200" t="s">
        <v>3557</v>
      </c>
      <c r="F200" t="s">
        <v>3559</v>
      </c>
      <c r="G200" t="s">
        <v>3856</v>
      </c>
      <c r="H200">
        <v>0</v>
      </c>
      <c r="I200">
        <v>675</v>
      </c>
      <c r="J200">
        <v>270</v>
      </c>
      <c r="K200" t="str">
        <f t="shared" si="3"/>
        <v>logg356148</v>
      </c>
      <c r="M200" t="s">
        <v>73</v>
      </c>
      <c r="N200" t="s">
        <v>1936</v>
      </c>
      <c r="Q200" t="s">
        <v>11083</v>
      </c>
      <c r="U200">
        <v>64</v>
      </c>
      <c r="V200">
        <v>0</v>
      </c>
      <c r="W200">
        <v>65</v>
      </c>
      <c r="X200">
        <v>35.6</v>
      </c>
      <c r="Y200">
        <v>14.8</v>
      </c>
    </row>
    <row r="201" spans="1:25" x14ac:dyDescent="0.25">
      <c r="A201" t="s">
        <v>3857</v>
      </c>
      <c r="B201">
        <v>806</v>
      </c>
      <c r="C201">
        <v>200</v>
      </c>
      <c r="D201" t="s">
        <v>23</v>
      </c>
      <c r="E201" t="s">
        <v>3557</v>
      </c>
      <c r="F201" t="s">
        <v>3559</v>
      </c>
      <c r="G201" t="s">
        <v>3858</v>
      </c>
      <c r="H201">
        <v>0</v>
      </c>
      <c r="I201">
        <v>387</v>
      </c>
      <c r="J201">
        <v>112</v>
      </c>
      <c r="K201" t="str">
        <f t="shared" si="3"/>
        <v>logg20768</v>
      </c>
      <c r="L201" t="s">
        <v>3859</v>
      </c>
      <c r="M201" t="s">
        <v>73</v>
      </c>
      <c r="N201" t="s">
        <v>1903</v>
      </c>
      <c r="O201" t="s">
        <v>3860</v>
      </c>
      <c r="P201" t="s">
        <v>3861</v>
      </c>
      <c r="Q201" t="s">
        <v>11083</v>
      </c>
      <c r="U201">
        <v>64</v>
      </c>
      <c r="V201">
        <v>0</v>
      </c>
      <c r="W201">
        <v>65</v>
      </c>
      <c r="X201">
        <v>20.7</v>
      </c>
      <c r="Y201">
        <v>6.8</v>
      </c>
    </row>
    <row r="202" spans="1:25" x14ac:dyDescent="0.25">
      <c r="A202" t="s">
        <v>3862</v>
      </c>
      <c r="B202">
        <v>807</v>
      </c>
      <c r="C202">
        <v>201</v>
      </c>
      <c r="D202" t="s">
        <v>23</v>
      </c>
      <c r="E202" t="s">
        <v>3557</v>
      </c>
      <c r="F202" t="s">
        <v>3559</v>
      </c>
      <c r="G202" t="s">
        <v>3863</v>
      </c>
      <c r="H202">
        <v>0</v>
      </c>
      <c r="I202">
        <v>387</v>
      </c>
      <c r="J202">
        <v>112</v>
      </c>
      <c r="K202" t="str">
        <f t="shared" si="3"/>
        <v>logg20768</v>
      </c>
      <c r="M202" t="s">
        <v>73</v>
      </c>
      <c r="N202" t="s">
        <v>1903</v>
      </c>
      <c r="Q202" t="s">
        <v>11083</v>
      </c>
      <c r="U202">
        <v>65</v>
      </c>
      <c r="V202">
        <v>0</v>
      </c>
      <c r="W202">
        <v>65</v>
      </c>
      <c r="X202">
        <v>20.7</v>
      </c>
      <c r="Y202">
        <v>6.8</v>
      </c>
    </row>
    <row r="203" spans="1:25" x14ac:dyDescent="0.25">
      <c r="A203" t="s">
        <v>3864</v>
      </c>
      <c r="B203">
        <v>808</v>
      </c>
      <c r="C203">
        <v>202</v>
      </c>
      <c r="D203" t="s">
        <v>23</v>
      </c>
      <c r="E203" t="s">
        <v>3557</v>
      </c>
      <c r="F203" t="s">
        <v>3559</v>
      </c>
      <c r="G203" t="s">
        <v>3865</v>
      </c>
      <c r="H203">
        <v>0</v>
      </c>
      <c r="I203">
        <v>675</v>
      </c>
      <c r="J203">
        <v>270</v>
      </c>
      <c r="K203" t="str">
        <f t="shared" si="3"/>
        <v>logg356148</v>
      </c>
      <c r="M203" t="s">
        <v>73</v>
      </c>
      <c r="N203" t="s">
        <v>1936</v>
      </c>
      <c r="Q203" t="s">
        <v>11083</v>
      </c>
      <c r="U203">
        <v>65</v>
      </c>
      <c r="V203">
        <v>0</v>
      </c>
      <c r="W203">
        <v>65</v>
      </c>
      <c r="X203">
        <v>35.6</v>
      </c>
      <c r="Y203">
        <v>14.8</v>
      </c>
    </row>
    <row r="204" spans="1:25" x14ac:dyDescent="0.25">
      <c r="A204" t="s">
        <v>3866</v>
      </c>
      <c r="B204">
        <v>809</v>
      </c>
      <c r="C204">
        <v>203</v>
      </c>
      <c r="D204" t="s">
        <v>23</v>
      </c>
      <c r="E204" t="s">
        <v>3557</v>
      </c>
      <c r="F204" t="s">
        <v>3559</v>
      </c>
      <c r="G204" t="s">
        <v>3867</v>
      </c>
      <c r="H204">
        <v>0</v>
      </c>
      <c r="I204">
        <v>675</v>
      </c>
      <c r="J204">
        <v>270</v>
      </c>
      <c r="K204" t="str">
        <f t="shared" si="3"/>
        <v>logg356148</v>
      </c>
      <c r="L204" t="s">
        <v>3859</v>
      </c>
      <c r="M204" t="s">
        <v>73</v>
      </c>
      <c r="N204" t="s">
        <v>1936</v>
      </c>
      <c r="O204" t="s">
        <v>3860</v>
      </c>
      <c r="P204" t="s">
        <v>3861</v>
      </c>
      <c r="Q204" t="s">
        <v>11083</v>
      </c>
      <c r="U204">
        <v>65</v>
      </c>
      <c r="V204">
        <v>0</v>
      </c>
      <c r="W204">
        <v>65</v>
      </c>
      <c r="X204">
        <v>35.6</v>
      </c>
      <c r="Y204">
        <v>14.8</v>
      </c>
    </row>
    <row r="205" spans="1:25" x14ac:dyDescent="0.25">
      <c r="A205" t="s">
        <v>3868</v>
      </c>
      <c r="B205">
        <v>810</v>
      </c>
      <c r="C205">
        <v>204</v>
      </c>
      <c r="D205" t="s">
        <v>23</v>
      </c>
      <c r="E205" t="s">
        <v>3557</v>
      </c>
      <c r="F205" t="s">
        <v>3559</v>
      </c>
      <c r="G205" t="s">
        <v>3869</v>
      </c>
      <c r="H205">
        <v>0</v>
      </c>
      <c r="I205">
        <v>165</v>
      </c>
      <c r="J205">
        <v>564</v>
      </c>
      <c r="K205" t="str">
        <f t="shared" si="3"/>
        <v>logg930</v>
      </c>
      <c r="M205" t="s">
        <v>73</v>
      </c>
      <c r="N205" t="s">
        <v>1743</v>
      </c>
      <c r="Q205" t="s">
        <v>11083</v>
      </c>
      <c r="U205">
        <v>66</v>
      </c>
      <c r="V205">
        <v>0</v>
      </c>
      <c r="W205">
        <v>70</v>
      </c>
      <c r="X205">
        <v>9</v>
      </c>
      <c r="Y205">
        <v>30</v>
      </c>
    </row>
    <row r="206" spans="1:25" x14ac:dyDescent="0.25">
      <c r="A206" t="s">
        <v>3870</v>
      </c>
      <c r="B206">
        <v>811</v>
      </c>
      <c r="C206">
        <v>205</v>
      </c>
      <c r="D206" t="s">
        <v>23</v>
      </c>
      <c r="E206" t="s">
        <v>3557</v>
      </c>
      <c r="F206" t="s">
        <v>3559</v>
      </c>
      <c r="G206" t="s">
        <v>3871</v>
      </c>
      <c r="H206">
        <v>0</v>
      </c>
      <c r="I206">
        <v>165</v>
      </c>
      <c r="J206">
        <v>564</v>
      </c>
      <c r="K206" t="str">
        <f t="shared" si="3"/>
        <v>logg930</v>
      </c>
      <c r="M206" t="s">
        <v>73</v>
      </c>
      <c r="N206" t="s">
        <v>1743</v>
      </c>
      <c r="Q206" t="s">
        <v>11083</v>
      </c>
      <c r="U206">
        <v>67</v>
      </c>
      <c r="V206">
        <v>0</v>
      </c>
      <c r="W206">
        <v>70</v>
      </c>
      <c r="X206">
        <v>9</v>
      </c>
      <c r="Y206">
        <v>30</v>
      </c>
    </row>
    <row r="207" spans="1:25" x14ac:dyDescent="0.25">
      <c r="A207" t="s">
        <v>3872</v>
      </c>
      <c r="B207">
        <v>812</v>
      </c>
      <c r="C207">
        <v>206</v>
      </c>
      <c r="D207" t="s">
        <v>23</v>
      </c>
      <c r="E207" t="s">
        <v>3557</v>
      </c>
      <c r="F207" t="s">
        <v>3559</v>
      </c>
      <c r="G207" t="s">
        <v>3873</v>
      </c>
      <c r="H207">
        <v>0</v>
      </c>
      <c r="I207">
        <v>165</v>
      </c>
      <c r="J207">
        <v>564</v>
      </c>
      <c r="K207" t="str">
        <f t="shared" si="3"/>
        <v>logg930</v>
      </c>
      <c r="M207" t="s">
        <v>73</v>
      </c>
      <c r="N207" t="s">
        <v>1743</v>
      </c>
      <c r="Q207" t="s">
        <v>11083</v>
      </c>
      <c r="U207">
        <v>67</v>
      </c>
      <c r="V207">
        <v>0</v>
      </c>
      <c r="W207">
        <v>70</v>
      </c>
      <c r="X207">
        <v>9</v>
      </c>
      <c r="Y207">
        <v>30</v>
      </c>
    </row>
    <row r="208" spans="1:25" x14ac:dyDescent="0.25">
      <c r="A208" t="s">
        <v>3874</v>
      </c>
      <c r="B208">
        <v>813</v>
      </c>
      <c r="C208">
        <v>207</v>
      </c>
      <c r="D208" t="s">
        <v>23</v>
      </c>
      <c r="E208" t="s">
        <v>3557</v>
      </c>
      <c r="F208" t="s">
        <v>3559</v>
      </c>
      <c r="G208" t="s">
        <v>3875</v>
      </c>
      <c r="H208">
        <v>0</v>
      </c>
      <c r="I208">
        <v>537</v>
      </c>
      <c r="J208">
        <v>174</v>
      </c>
      <c r="K208" t="str">
        <f t="shared" si="3"/>
        <v>logg28498</v>
      </c>
      <c r="L208" t="s">
        <v>3859</v>
      </c>
      <c r="M208" t="s">
        <v>73</v>
      </c>
      <c r="N208" t="s">
        <v>1864</v>
      </c>
      <c r="O208" t="s">
        <v>3860</v>
      </c>
      <c r="P208" t="s">
        <v>3861</v>
      </c>
      <c r="Q208" t="s">
        <v>11083</v>
      </c>
      <c r="U208">
        <v>68</v>
      </c>
      <c r="V208">
        <v>0</v>
      </c>
      <c r="W208">
        <v>70</v>
      </c>
      <c r="X208">
        <v>28.4</v>
      </c>
      <c r="Y208">
        <v>9.8000000000000007</v>
      </c>
    </row>
    <row r="209" spans="1:25" x14ac:dyDescent="0.25">
      <c r="A209" t="s">
        <v>3876</v>
      </c>
      <c r="B209">
        <v>814</v>
      </c>
      <c r="C209">
        <v>208</v>
      </c>
      <c r="D209" t="s">
        <v>23</v>
      </c>
      <c r="E209" t="s">
        <v>3557</v>
      </c>
      <c r="F209" t="s">
        <v>3559</v>
      </c>
      <c r="G209" t="s">
        <v>3877</v>
      </c>
      <c r="H209">
        <v>0</v>
      </c>
      <c r="I209">
        <v>516</v>
      </c>
      <c r="J209">
        <v>301</v>
      </c>
      <c r="K209" t="str">
        <f t="shared" si="3"/>
        <v>logg271163</v>
      </c>
      <c r="M209" t="s">
        <v>73</v>
      </c>
      <c r="N209" t="s">
        <v>1986</v>
      </c>
      <c r="Q209" t="s">
        <v>3749</v>
      </c>
      <c r="R209" t="s">
        <v>2830</v>
      </c>
      <c r="U209">
        <v>70</v>
      </c>
      <c r="V209">
        <v>0</v>
      </c>
      <c r="W209">
        <v>70</v>
      </c>
      <c r="X209">
        <v>27.1</v>
      </c>
      <c r="Y209">
        <v>16.3</v>
      </c>
    </row>
    <row r="210" spans="1:25" x14ac:dyDescent="0.25">
      <c r="A210" t="s">
        <v>3878</v>
      </c>
      <c r="B210">
        <v>815</v>
      </c>
      <c r="C210">
        <v>209</v>
      </c>
      <c r="D210" t="s">
        <v>23</v>
      </c>
      <c r="E210" t="s">
        <v>3557</v>
      </c>
      <c r="F210" t="s">
        <v>3559</v>
      </c>
      <c r="G210" t="s">
        <v>3879</v>
      </c>
      <c r="H210">
        <v>0</v>
      </c>
      <c r="I210">
        <v>537</v>
      </c>
      <c r="J210">
        <v>174</v>
      </c>
      <c r="K210" t="str">
        <f t="shared" si="3"/>
        <v>logg28498</v>
      </c>
      <c r="M210" t="s">
        <v>73</v>
      </c>
      <c r="N210" t="s">
        <v>1864</v>
      </c>
      <c r="Q210" t="s">
        <v>11083</v>
      </c>
      <c r="U210">
        <v>70</v>
      </c>
      <c r="V210">
        <v>0</v>
      </c>
      <c r="W210">
        <v>70</v>
      </c>
      <c r="X210">
        <v>28.4</v>
      </c>
      <c r="Y210">
        <v>9.8000000000000007</v>
      </c>
    </row>
    <row r="211" spans="1:25" x14ac:dyDescent="0.25">
      <c r="A211" t="s">
        <v>3880</v>
      </c>
      <c r="B211">
        <v>816</v>
      </c>
      <c r="C211">
        <v>210</v>
      </c>
      <c r="D211" t="s">
        <v>23</v>
      </c>
      <c r="E211" t="s">
        <v>3557</v>
      </c>
      <c r="F211" t="s">
        <v>3559</v>
      </c>
      <c r="G211" t="s">
        <v>3881</v>
      </c>
      <c r="H211">
        <v>0</v>
      </c>
      <c r="I211">
        <v>165</v>
      </c>
      <c r="J211">
        <v>564</v>
      </c>
      <c r="K211" t="str">
        <f t="shared" si="3"/>
        <v>logg930</v>
      </c>
      <c r="L211" t="s">
        <v>3859</v>
      </c>
      <c r="M211" t="s">
        <v>73</v>
      </c>
      <c r="N211" t="s">
        <v>1743</v>
      </c>
      <c r="O211" t="s">
        <v>3860</v>
      </c>
      <c r="P211" t="s">
        <v>3861</v>
      </c>
      <c r="Q211" t="s">
        <v>11083</v>
      </c>
      <c r="U211">
        <v>70</v>
      </c>
      <c r="V211">
        <v>0</v>
      </c>
      <c r="W211">
        <v>70</v>
      </c>
      <c r="X211">
        <v>9</v>
      </c>
      <c r="Y211">
        <v>30</v>
      </c>
    </row>
    <row r="212" spans="1:25" x14ac:dyDescent="0.25">
      <c r="A212" t="s">
        <v>3882</v>
      </c>
      <c r="B212">
        <v>817</v>
      </c>
      <c r="C212">
        <v>211</v>
      </c>
      <c r="D212" t="s">
        <v>23</v>
      </c>
      <c r="E212" t="s">
        <v>3557</v>
      </c>
      <c r="F212" t="s">
        <v>3559</v>
      </c>
      <c r="G212" t="s">
        <v>3883</v>
      </c>
      <c r="H212">
        <v>0</v>
      </c>
      <c r="I212">
        <v>327</v>
      </c>
      <c r="J212">
        <v>460</v>
      </c>
      <c r="K212" t="str">
        <f t="shared" si="3"/>
        <v>logg175245</v>
      </c>
      <c r="L212" t="s">
        <v>3859</v>
      </c>
      <c r="M212" t="s">
        <v>102</v>
      </c>
      <c r="N212" t="s">
        <v>2133</v>
      </c>
      <c r="O212" t="s">
        <v>3860</v>
      </c>
      <c r="P212" t="s">
        <v>3884</v>
      </c>
      <c r="Q212" t="s">
        <v>11083</v>
      </c>
      <c r="U212">
        <v>70</v>
      </c>
      <c r="V212">
        <v>0</v>
      </c>
      <c r="W212">
        <v>70</v>
      </c>
      <c r="X212">
        <v>17.5</v>
      </c>
      <c r="Y212">
        <v>24.5</v>
      </c>
    </row>
    <row r="213" spans="1:25" x14ac:dyDescent="0.25">
      <c r="A213" t="s">
        <v>3885</v>
      </c>
      <c r="B213">
        <v>818</v>
      </c>
      <c r="C213">
        <v>212</v>
      </c>
      <c r="D213" t="s">
        <v>23</v>
      </c>
      <c r="E213" t="s">
        <v>3557</v>
      </c>
      <c r="F213" t="s">
        <v>3559</v>
      </c>
      <c r="G213" t="s">
        <v>91</v>
      </c>
      <c r="H213">
        <v>0</v>
      </c>
      <c r="I213">
        <v>590</v>
      </c>
      <c r="J213">
        <v>503</v>
      </c>
      <c r="K213" t="str">
        <f t="shared" si="3"/>
        <v>logg31269</v>
      </c>
      <c r="L213" t="s">
        <v>3859</v>
      </c>
      <c r="M213" t="s">
        <v>73</v>
      </c>
      <c r="N213" t="s">
        <v>1862</v>
      </c>
      <c r="O213" t="s">
        <v>3886</v>
      </c>
      <c r="Q213" t="s">
        <v>3669</v>
      </c>
      <c r="R213" t="s">
        <v>2810</v>
      </c>
      <c r="U213">
        <v>70</v>
      </c>
      <c r="V213">
        <v>1</v>
      </c>
      <c r="W213">
        <v>70</v>
      </c>
      <c r="X213">
        <v>31</v>
      </c>
      <c r="Y213">
        <v>26.9</v>
      </c>
    </row>
    <row r="214" spans="1:25" x14ac:dyDescent="0.25">
      <c r="A214" t="s">
        <v>3887</v>
      </c>
      <c r="B214">
        <v>819</v>
      </c>
      <c r="C214">
        <v>213</v>
      </c>
      <c r="D214" t="s">
        <v>23</v>
      </c>
      <c r="E214" t="s">
        <v>3557</v>
      </c>
      <c r="F214" t="s">
        <v>3559</v>
      </c>
      <c r="G214" t="s">
        <v>3888</v>
      </c>
      <c r="H214">
        <v>0</v>
      </c>
      <c r="I214">
        <v>327</v>
      </c>
      <c r="J214">
        <v>460</v>
      </c>
      <c r="K214" t="str">
        <f t="shared" si="3"/>
        <v>logg175245</v>
      </c>
      <c r="L214" t="s">
        <v>3859</v>
      </c>
      <c r="M214" t="s">
        <v>102</v>
      </c>
      <c r="N214" t="s">
        <v>2133</v>
      </c>
      <c r="O214" t="s">
        <v>3860</v>
      </c>
      <c r="P214" t="s">
        <v>3884</v>
      </c>
      <c r="Q214" t="s">
        <v>11083</v>
      </c>
      <c r="U214">
        <v>70</v>
      </c>
      <c r="V214">
        <v>1</v>
      </c>
      <c r="W214">
        <v>70</v>
      </c>
      <c r="X214">
        <v>17.5</v>
      </c>
      <c r="Y214">
        <v>24.5</v>
      </c>
    </row>
    <row r="215" spans="1:25" x14ac:dyDescent="0.25">
      <c r="A215" t="s">
        <v>3889</v>
      </c>
      <c r="B215">
        <v>820</v>
      </c>
      <c r="C215">
        <v>214</v>
      </c>
      <c r="D215" t="s">
        <v>23</v>
      </c>
      <c r="E215" t="s">
        <v>3557</v>
      </c>
      <c r="F215" t="s">
        <v>3559</v>
      </c>
      <c r="G215" t="s">
        <v>100</v>
      </c>
      <c r="H215">
        <v>0</v>
      </c>
      <c r="I215">
        <v>590</v>
      </c>
      <c r="J215">
        <v>503</v>
      </c>
      <c r="K215" t="str">
        <f t="shared" si="3"/>
        <v>logg31269</v>
      </c>
      <c r="L215" t="s">
        <v>3859</v>
      </c>
      <c r="M215" t="s">
        <v>73</v>
      </c>
      <c r="N215" t="s">
        <v>1862</v>
      </c>
      <c r="O215" t="s">
        <v>3886</v>
      </c>
      <c r="Q215" t="s">
        <v>3669</v>
      </c>
      <c r="R215" t="s">
        <v>2810</v>
      </c>
      <c r="U215">
        <v>70</v>
      </c>
      <c r="V215">
        <v>2</v>
      </c>
      <c r="W215">
        <v>70</v>
      </c>
      <c r="X215">
        <v>31</v>
      </c>
      <c r="Y215">
        <v>26.9</v>
      </c>
    </row>
    <row r="216" spans="1:25" x14ac:dyDescent="0.25">
      <c r="A216" t="s">
        <v>3890</v>
      </c>
      <c r="B216">
        <v>821</v>
      </c>
      <c r="C216">
        <v>215</v>
      </c>
      <c r="D216" t="s">
        <v>23</v>
      </c>
      <c r="E216" t="s">
        <v>3557</v>
      </c>
      <c r="F216" t="s">
        <v>3559</v>
      </c>
      <c r="G216" t="s">
        <v>3891</v>
      </c>
      <c r="H216">
        <v>0</v>
      </c>
      <c r="I216">
        <v>607</v>
      </c>
      <c r="J216">
        <v>88</v>
      </c>
      <c r="K216" t="str">
        <f t="shared" si="3"/>
        <v>logg31951</v>
      </c>
      <c r="M216" t="s">
        <v>102</v>
      </c>
      <c r="N216" t="s">
        <v>2211</v>
      </c>
      <c r="Q216" t="s">
        <v>11083</v>
      </c>
      <c r="U216">
        <v>71</v>
      </c>
      <c r="V216">
        <v>0</v>
      </c>
      <c r="W216">
        <v>75</v>
      </c>
      <c r="X216">
        <v>31.9</v>
      </c>
      <c r="Y216">
        <v>5.0999999999999996</v>
      </c>
    </row>
    <row r="217" spans="1:25" x14ac:dyDescent="0.25">
      <c r="A217" t="s">
        <v>3892</v>
      </c>
      <c r="B217">
        <v>822</v>
      </c>
      <c r="C217">
        <v>216</v>
      </c>
      <c r="D217" t="s">
        <v>23</v>
      </c>
      <c r="E217" t="s">
        <v>3557</v>
      </c>
      <c r="F217" t="s">
        <v>3559</v>
      </c>
      <c r="G217" t="s">
        <v>3893</v>
      </c>
      <c r="H217">
        <v>0</v>
      </c>
      <c r="I217">
        <v>672</v>
      </c>
      <c r="J217">
        <v>466</v>
      </c>
      <c r="K217" t="str">
        <f t="shared" si="3"/>
        <v>logg353249</v>
      </c>
      <c r="M217" t="s">
        <v>102</v>
      </c>
      <c r="N217" t="s">
        <v>2065</v>
      </c>
      <c r="Q217" t="s">
        <v>11083</v>
      </c>
      <c r="U217">
        <v>71</v>
      </c>
      <c r="V217">
        <v>0</v>
      </c>
      <c r="W217">
        <v>75</v>
      </c>
      <c r="X217">
        <v>35.299999999999997</v>
      </c>
      <c r="Y217">
        <v>24.9</v>
      </c>
    </row>
    <row r="218" spans="1:25" x14ac:dyDescent="0.25">
      <c r="A218" t="s">
        <v>3894</v>
      </c>
      <c r="B218">
        <v>823</v>
      </c>
      <c r="C218">
        <v>217</v>
      </c>
      <c r="D218" t="s">
        <v>23</v>
      </c>
      <c r="E218" t="s">
        <v>3557</v>
      </c>
      <c r="F218" t="s">
        <v>3559</v>
      </c>
      <c r="G218" t="s">
        <v>3895</v>
      </c>
      <c r="H218">
        <v>0</v>
      </c>
      <c r="I218">
        <v>522</v>
      </c>
      <c r="J218">
        <v>458</v>
      </c>
      <c r="K218" t="str">
        <f t="shared" si="3"/>
        <v>logg276245</v>
      </c>
      <c r="M218" t="s">
        <v>102</v>
      </c>
      <c r="N218" t="s">
        <v>2068</v>
      </c>
      <c r="Q218" t="s">
        <v>11083</v>
      </c>
      <c r="U218">
        <v>71</v>
      </c>
      <c r="V218">
        <v>0</v>
      </c>
      <c r="W218">
        <v>75</v>
      </c>
      <c r="X218">
        <v>27.6</v>
      </c>
      <c r="Y218">
        <v>24.5</v>
      </c>
    </row>
    <row r="219" spans="1:25" x14ac:dyDescent="0.25">
      <c r="A219" t="s">
        <v>3896</v>
      </c>
      <c r="B219">
        <v>824</v>
      </c>
      <c r="C219">
        <v>218</v>
      </c>
      <c r="D219" t="s">
        <v>23</v>
      </c>
      <c r="E219" t="s">
        <v>3557</v>
      </c>
      <c r="F219" t="s">
        <v>3559</v>
      </c>
      <c r="G219" t="s">
        <v>3897</v>
      </c>
      <c r="H219">
        <v>0</v>
      </c>
      <c r="I219">
        <v>522</v>
      </c>
      <c r="J219">
        <v>458</v>
      </c>
      <c r="K219" t="str">
        <f t="shared" si="3"/>
        <v>logg276245</v>
      </c>
      <c r="M219" t="s">
        <v>102</v>
      </c>
      <c r="N219" t="s">
        <v>2068</v>
      </c>
      <c r="Q219" t="s">
        <v>11083</v>
      </c>
      <c r="U219">
        <v>71</v>
      </c>
      <c r="V219">
        <v>0</v>
      </c>
      <c r="W219">
        <v>75</v>
      </c>
      <c r="X219">
        <v>27.6</v>
      </c>
      <c r="Y219">
        <v>24.5</v>
      </c>
    </row>
    <row r="220" spans="1:25" x14ac:dyDescent="0.25">
      <c r="A220" t="s">
        <v>3898</v>
      </c>
      <c r="B220">
        <v>825</v>
      </c>
      <c r="C220">
        <v>219</v>
      </c>
      <c r="D220" t="s">
        <v>23</v>
      </c>
      <c r="E220" t="s">
        <v>3557</v>
      </c>
      <c r="F220" t="s">
        <v>3559</v>
      </c>
      <c r="G220" t="s">
        <v>3899</v>
      </c>
      <c r="H220">
        <v>0</v>
      </c>
      <c r="I220">
        <v>684</v>
      </c>
      <c r="J220">
        <v>441</v>
      </c>
      <c r="K220" t="str">
        <f t="shared" si="3"/>
        <v>logg378247</v>
      </c>
      <c r="L220" t="s">
        <v>3859</v>
      </c>
      <c r="M220" t="s">
        <v>73</v>
      </c>
      <c r="N220" t="s">
        <v>1686</v>
      </c>
      <c r="O220" t="s">
        <v>3860</v>
      </c>
      <c r="P220" t="s">
        <v>3900</v>
      </c>
      <c r="Q220" t="s">
        <v>11083</v>
      </c>
      <c r="U220">
        <v>71</v>
      </c>
      <c r="V220">
        <v>0</v>
      </c>
      <c r="W220">
        <v>75</v>
      </c>
      <c r="X220">
        <v>37.799999999999997</v>
      </c>
      <c r="Y220">
        <v>24.7</v>
      </c>
    </row>
    <row r="221" spans="1:25" x14ac:dyDescent="0.25">
      <c r="A221" t="s">
        <v>3901</v>
      </c>
      <c r="B221">
        <v>826</v>
      </c>
      <c r="C221">
        <v>220</v>
      </c>
      <c r="D221" t="s">
        <v>23</v>
      </c>
      <c r="E221" t="s">
        <v>3557</v>
      </c>
      <c r="F221" t="s">
        <v>3559</v>
      </c>
      <c r="G221" t="s">
        <v>3902</v>
      </c>
      <c r="H221">
        <v>0</v>
      </c>
      <c r="I221">
        <v>607</v>
      </c>
      <c r="J221">
        <v>88</v>
      </c>
      <c r="K221" t="str">
        <f t="shared" si="3"/>
        <v>logg31951</v>
      </c>
      <c r="M221" t="s">
        <v>102</v>
      </c>
      <c r="N221" t="s">
        <v>2211</v>
      </c>
      <c r="Q221" t="s">
        <v>11083</v>
      </c>
      <c r="U221">
        <v>72</v>
      </c>
      <c r="V221">
        <v>0</v>
      </c>
      <c r="W221">
        <v>75</v>
      </c>
      <c r="X221">
        <v>31.9</v>
      </c>
      <c r="Y221">
        <v>5.0999999999999996</v>
      </c>
    </row>
    <row r="222" spans="1:25" x14ac:dyDescent="0.25">
      <c r="A222" t="s">
        <v>3903</v>
      </c>
      <c r="B222">
        <v>827</v>
      </c>
      <c r="C222">
        <v>221</v>
      </c>
      <c r="D222" t="s">
        <v>23</v>
      </c>
      <c r="E222" t="s">
        <v>3557</v>
      </c>
      <c r="F222" t="s">
        <v>3559</v>
      </c>
      <c r="G222" t="s">
        <v>3904</v>
      </c>
      <c r="H222">
        <v>0</v>
      </c>
      <c r="I222">
        <v>643</v>
      </c>
      <c r="J222">
        <v>189</v>
      </c>
      <c r="K222" t="str">
        <f t="shared" si="3"/>
        <v>logg35411</v>
      </c>
      <c r="L222" t="s">
        <v>3859</v>
      </c>
      <c r="M222" t="s">
        <v>73</v>
      </c>
      <c r="N222" t="s">
        <v>1663</v>
      </c>
      <c r="O222" t="s">
        <v>3860</v>
      </c>
      <c r="P222" t="s">
        <v>3905</v>
      </c>
      <c r="Q222" t="s">
        <v>11083</v>
      </c>
      <c r="U222">
        <v>72</v>
      </c>
      <c r="V222">
        <v>0</v>
      </c>
      <c r="W222">
        <v>75</v>
      </c>
      <c r="X222">
        <v>35.4</v>
      </c>
      <c r="Y222">
        <v>11</v>
      </c>
    </row>
    <row r="223" spans="1:25" x14ac:dyDescent="0.25">
      <c r="A223" t="s">
        <v>3906</v>
      </c>
      <c r="B223">
        <v>828</v>
      </c>
      <c r="C223">
        <v>222</v>
      </c>
      <c r="D223" t="s">
        <v>23</v>
      </c>
      <c r="E223" t="s">
        <v>3557</v>
      </c>
      <c r="F223" t="s">
        <v>3559</v>
      </c>
      <c r="G223" t="s">
        <v>3907</v>
      </c>
      <c r="H223">
        <v>0</v>
      </c>
      <c r="I223">
        <v>650</v>
      </c>
      <c r="J223">
        <v>526</v>
      </c>
      <c r="K223" t="str">
        <f t="shared" si="3"/>
        <v>logg34328</v>
      </c>
      <c r="L223" t="s">
        <v>3859</v>
      </c>
      <c r="M223" t="s">
        <v>102</v>
      </c>
      <c r="N223" t="s">
        <v>1762</v>
      </c>
      <c r="O223" t="s">
        <v>3860</v>
      </c>
      <c r="P223" t="s">
        <v>3900</v>
      </c>
      <c r="Q223" t="s">
        <v>11083</v>
      </c>
      <c r="U223">
        <v>73</v>
      </c>
      <c r="V223">
        <v>0</v>
      </c>
      <c r="W223">
        <v>75</v>
      </c>
      <c r="X223">
        <v>34.299999999999997</v>
      </c>
      <c r="Y223">
        <v>28</v>
      </c>
    </row>
    <row r="224" spans="1:25" x14ac:dyDescent="0.25">
      <c r="A224" t="s">
        <v>3908</v>
      </c>
      <c r="B224">
        <v>829</v>
      </c>
      <c r="C224">
        <v>223</v>
      </c>
      <c r="D224" t="s">
        <v>23</v>
      </c>
      <c r="E224" t="s">
        <v>3557</v>
      </c>
      <c r="F224" t="s">
        <v>3559</v>
      </c>
      <c r="G224" t="s">
        <v>3909</v>
      </c>
      <c r="H224">
        <v>0</v>
      </c>
      <c r="I224">
        <v>181</v>
      </c>
      <c r="J224">
        <v>386</v>
      </c>
      <c r="K224" t="str">
        <f t="shared" si="3"/>
        <v>logg10205</v>
      </c>
      <c r="M224" t="s">
        <v>102</v>
      </c>
      <c r="N224" t="s">
        <v>2235</v>
      </c>
      <c r="Q224" t="s">
        <v>11083</v>
      </c>
      <c r="U224">
        <v>74</v>
      </c>
      <c r="V224">
        <v>0</v>
      </c>
      <c r="W224">
        <v>75</v>
      </c>
      <c r="X224">
        <v>10</v>
      </c>
      <c r="Y224">
        <v>20.5</v>
      </c>
    </row>
    <row r="225" spans="1:25" x14ac:dyDescent="0.25">
      <c r="A225" t="s">
        <v>3910</v>
      </c>
      <c r="B225">
        <v>830</v>
      </c>
      <c r="C225">
        <v>224</v>
      </c>
      <c r="D225" t="s">
        <v>23</v>
      </c>
      <c r="E225" t="s">
        <v>3557</v>
      </c>
      <c r="F225" t="s">
        <v>3559</v>
      </c>
      <c r="G225" t="s">
        <v>3911</v>
      </c>
      <c r="H225">
        <v>0</v>
      </c>
      <c r="I225">
        <v>639</v>
      </c>
      <c r="J225">
        <v>159</v>
      </c>
      <c r="K225" t="str">
        <f t="shared" si="3"/>
        <v>logg33892</v>
      </c>
      <c r="L225" t="s">
        <v>3859</v>
      </c>
      <c r="M225" t="s">
        <v>102</v>
      </c>
      <c r="N225" t="s">
        <v>1788</v>
      </c>
      <c r="O225" t="s">
        <v>3860</v>
      </c>
      <c r="P225" t="s">
        <v>3905</v>
      </c>
      <c r="Q225" t="s">
        <v>11083</v>
      </c>
      <c r="U225">
        <v>74</v>
      </c>
      <c r="V225">
        <v>0</v>
      </c>
      <c r="W225">
        <v>75</v>
      </c>
      <c r="X225">
        <v>33.799999999999997</v>
      </c>
      <c r="Y225">
        <v>9.1999999999999993</v>
      </c>
    </row>
    <row r="226" spans="1:25" x14ac:dyDescent="0.25">
      <c r="A226" t="s">
        <v>3912</v>
      </c>
      <c r="B226">
        <v>831</v>
      </c>
      <c r="C226">
        <v>225</v>
      </c>
      <c r="D226" t="s">
        <v>23</v>
      </c>
      <c r="E226" t="s">
        <v>3557</v>
      </c>
      <c r="F226" t="s">
        <v>3559</v>
      </c>
      <c r="G226" t="s">
        <v>3913</v>
      </c>
      <c r="H226">
        <v>0</v>
      </c>
      <c r="I226">
        <v>181</v>
      </c>
      <c r="J226">
        <v>386</v>
      </c>
      <c r="K226" t="str">
        <f t="shared" si="3"/>
        <v>logg10205</v>
      </c>
      <c r="M226" t="s">
        <v>102</v>
      </c>
      <c r="N226" t="s">
        <v>2235</v>
      </c>
      <c r="Q226" t="s">
        <v>11083</v>
      </c>
      <c r="U226">
        <v>75</v>
      </c>
      <c r="V226">
        <v>0</v>
      </c>
      <c r="W226">
        <v>75</v>
      </c>
      <c r="X226">
        <v>10</v>
      </c>
      <c r="Y226">
        <v>20.5</v>
      </c>
    </row>
    <row r="227" spans="1:25" x14ac:dyDescent="0.25">
      <c r="A227" t="s">
        <v>3914</v>
      </c>
      <c r="B227">
        <v>832</v>
      </c>
      <c r="C227">
        <v>226</v>
      </c>
      <c r="D227" t="s">
        <v>23</v>
      </c>
      <c r="E227" t="s">
        <v>3557</v>
      </c>
      <c r="F227" t="s">
        <v>3559</v>
      </c>
      <c r="G227" t="s">
        <v>3915</v>
      </c>
      <c r="H227">
        <v>0</v>
      </c>
      <c r="I227">
        <v>639</v>
      </c>
      <c r="J227">
        <v>159</v>
      </c>
      <c r="K227" t="str">
        <f t="shared" si="3"/>
        <v>logg33892</v>
      </c>
      <c r="L227" t="s">
        <v>3859</v>
      </c>
      <c r="M227" t="s">
        <v>102</v>
      </c>
      <c r="N227" t="s">
        <v>1788</v>
      </c>
      <c r="O227" t="s">
        <v>3860</v>
      </c>
      <c r="P227" t="s">
        <v>3900</v>
      </c>
      <c r="Q227" t="s">
        <v>11083</v>
      </c>
      <c r="U227">
        <v>75</v>
      </c>
      <c r="V227">
        <v>0</v>
      </c>
      <c r="W227">
        <v>75</v>
      </c>
      <c r="X227">
        <v>33.799999999999997</v>
      </c>
      <c r="Y227">
        <v>9.1999999999999993</v>
      </c>
    </row>
    <row r="228" spans="1:25" x14ac:dyDescent="0.25">
      <c r="A228" t="s">
        <v>3916</v>
      </c>
      <c r="B228">
        <v>833</v>
      </c>
      <c r="C228">
        <v>227</v>
      </c>
      <c r="D228" t="s">
        <v>23</v>
      </c>
      <c r="E228" t="s">
        <v>3557</v>
      </c>
      <c r="F228" t="s">
        <v>3559</v>
      </c>
      <c r="G228" t="s">
        <v>3917</v>
      </c>
      <c r="H228">
        <v>0</v>
      </c>
      <c r="I228">
        <v>296</v>
      </c>
      <c r="J228">
        <v>567</v>
      </c>
      <c r="K228" t="str">
        <f t="shared" si="3"/>
        <v>logg16302</v>
      </c>
      <c r="M228" t="s">
        <v>102</v>
      </c>
      <c r="N228" t="s">
        <v>2157</v>
      </c>
      <c r="Q228" t="s">
        <v>11083</v>
      </c>
      <c r="U228">
        <v>76</v>
      </c>
      <c r="V228">
        <v>0</v>
      </c>
      <c r="W228">
        <v>80</v>
      </c>
      <c r="X228">
        <v>16</v>
      </c>
      <c r="Y228">
        <v>30.2</v>
      </c>
    </row>
    <row r="229" spans="1:25" x14ac:dyDescent="0.25">
      <c r="A229" t="s">
        <v>3918</v>
      </c>
      <c r="B229">
        <v>834</v>
      </c>
      <c r="C229">
        <v>228</v>
      </c>
      <c r="D229" t="s">
        <v>23</v>
      </c>
      <c r="E229" t="s">
        <v>3557</v>
      </c>
      <c r="F229" t="s">
        <v>3559</v>
      </c>
      <c r="G229" t="s">
        <v>3919</v>
      </c>
      <c r="H229">
        <v>0</v>
      </c>
      <c r="I229">
        <v>296</v>
      </c>
      <c r="J229">
        <v>567</v>
      </c>
      <c r="K229" t="str">
        <f t="shared" si="3"/>
        <v>logg16302</v>
      </c>
      <c r="M229" t="s">
        <v>102</v>
      </c>
      <c r="N229" t="s">
        <v>2157</v>
      </c>
      <c r="Q229" t="s">
        <v>11083</v>
      </c>
      <c r="U229">
        <v>76</v>
      </c>
      <c r="V229">
        <v>0</v>
      </c>
      <c r="W229">
        <v>80</v>
      </c>
      <c r="X229">
        <v>16</v>
      </c>
      <c r="Y229">
        <v>30.2</v>
      </c>
    </row>
    <row r="230" spans="1:25" x14ac:dyDescent="0.25">
      <c r="A230" t="s">
        <v>3920</v>
      </c>
      <c r="B230">
        <v>835</v>
      </c>
      <c r="C230">
        <v>229</v>
      </c>
      <c r="D230" t="s">
        <v>23</v>
      </c>
      <c r="E230" t="s">
        <v>3557</v>
      </c>
      <c r="F230" t="s">
        <v>3559</v>
      </c>
      <c r="G230" t="s">
        <v>3921</v>
      </c>
      <c r="H230">
        <v>0</v>
      </c>
      <c r="I230">
        <v>229</v>
      </c>
      <c r="J230">
        <v>181</v>
      </c>
      <c r="K230" t="str">
        <f t="shared" si="3"/>
        <v>logg124102</v>
      </c>
      <c r="M230" t="s">
        <v>102</v>
      </c>
      <c r="N230" t="s">
        <v>2020</v>
      </c>
      <c r="Q230" t="s">
        <v>11083</v>
      </c>
      <c r="U230">
        <v>78</v>
      </c>
      <c r="V230">
        <v>0</v>
      </c>
      <c r="W230">
        <v>80</v>
      </c>
      <c r="X230">
        <v>12.4</v>
      </c>
      <c r="Y230">
        <v>10.199999999999999</v>
      </c>
    </row>
    <row r="231" spans="1:25" x14ac:dyDescent="0.25">
      <c r="A231" t="s">
        <v>3922</v>
      </c>
      <c r="B231">
        <v>836</v>
      </c>
      <c r="C231">
        <v>230</v>
      </c>
      <c r="D231" t="s">
        <v>23</v>
      </c>
      <c r="E231" t="s">
        <v>3557</v>
      </c>
      <c r="F231" t="s">
        <v>3559</v>
      </c>
      <c r="G231" t="s">
        <v>3923</v>
      </c>
      <c r="H231">
        <v>0</v>
      </c>
      <c r="I231">
        <v>373</v>
      </c>
      <c r="J231">
        <v>513</v>
      </c>
      <c r="K231" t="str">
        <f t="shared" si="3"/>
        <v>logg20274</v>
      </c>
      <c r="M231" t="s">
        <v>133</v>
      </c>
      <c r="N231" t="s">
        <v>2135</v>
      </c>
      <c r="Q231" t="s">
        <v>3749</v>
      </c>
      <c r="R231" t="s">
        <v>2832</v>
      </c>
      <c r="U231">
        <v>80</v>
      </c>
      <c r="V231">
        <v>0</v>
      </c>
      <c r="W231">
        <v>80</v>
      </c>
      <c r="X231">
        <v>20</v>
      </c>
      <c r="Y231">
        <v>27.4</v>
      </c>
    </row>
    <row r="232" spans="1:25" x14ac:dyDescent="0.25">
      <c r="A232" t="s">
        <v>3924</v>
      </c>
      <c r="B232">
        <v>837</v>
      </c>
      <c r="C232">
        <v>231</v>
      </c>
      <c r="D232" t="s">
        <v>23</v>
      </c>
      <c r="E232" t="s">
        <v>3557</v>
      </c>
      <c r="F232" t="s">
        <v>3559</v>
      </c>
      <c r="G232" t="s">
        <v>3925</v>
      </c>
      <c r="H232">
        <v>0</v>
      </c>
      <c r="I232">
        <v>229</v>
      </c>
      <c r="J232">
        <v>181</v>
      </c>
      <c r="K232" t="str">
        <f t="shared" si="3"/>
        <v>logg124102</v>
      </c>
      <c r="M232" t="s">
        <v>102</v>
      </c>
      <c r="N232" t="s">
        <v>2020</v>
      </c>
      <c r="Q232" t="s">
        <v>11083</v>
      </c>
      <c r="U232">
        <v>80</v>
      </c>
      <c r="V232">
        <v>0</v>
      </c>
      <c r="W232">
        <v>80</v>
      </c>
      <c r="X232">
        <v>12.4</v>
      </c>
      <c r="Y232">
        <v>10.199999999999999</v>
      </c>
    </row>
    <row r="233" spans="1:25" x14ac:dyDescent="0.25">
      <c r="A233" t="s">
        <v>3926</v>
      </c>
      <c r="B233">
        <v>838</v>
      </c>
      <c r="C233">
        <v>232</v>
      </c>
      <c r="D233" t="s">
        <v>23</v>
      </c>
      <c r="E233" t="s">
        <v>3557</v>
      </c>
      <c r="F233" t="s">
        <v>3559</v>
      </c>
      <c r="G233" t="s">
        <v>3927</v>
      </c>
      <c r="H233">
        <v>0</v>
      </c>
      <c r="I233">
        <v>285</v>
      </c>
      <c r="J233">
        <v>108</v>
      </c>
      <c r="K233" t="str">
        <f t="shared" si="3"/>
        <v>logg15565</v>
      </c>
      <c r="M233" t="s">
        <v>133</v>
      </c>
      <c r="N233" t="s">
        <v>2324</v>
      </c>
      <c r="Q233" t="s">
        <v>11083</v>
      </c>
      <c r="U233">
        <v>81</v>
      </c>
      <c r="V233">
        <v>0</v>
      </c>
      <c r="W233">
        <v>85</v>
      </c>
      <c r="X233">
        <v>15.5</v>
      </c>
      <c r="Y233">
        <v>6.5</v>
      </c>
    </row>
    <row r="234" spans="1:25" x14ac:dyDescent="0.25">
      <c r="A234" t="s">
        <v>3928</v>
      </c>
      <c r="B234">
        <v>839</v>
      </c>
      <c r="C234">
        <v>233</v>
      </c>
      <c r="D234" t="s">
        <v>23</v>
      </c>
      <c r="E234" t="s">
        <v>3557</v>
      </c>
      <c r="F234" t="s">
        <v>3559</v>
      </c>
      <c r="G234" t="s">
        <v>3929</v>
      </c>
      <c r="H234">
        <v>0</v>
      </c>
      <c r="I234">
        <v>312</v>
      </c>
      <c r="J234">
        <v>414</v>
      </c>
      <c r="K234" t="str">
        <f t="shared" si="3"/>
        <v>logg169222</v>
      </c>
      <c r="M234" t="s">
        <v>133</v>
      </c>
      <c r="N234" t="s">
        <v>2392</v>
      </c>
      <c r="Q234" t="s">
        <v>11083</v>
      </c>
      <c r="U234">
        <v>82</v>
      </c>
      <c r="V234">
        <v>0</v>
      </c>
      <c r="W234">
        <v>85</v>
      </c>
      <c r="X234">
        <v>16.899999999999999</v>
      </c>
      <c r="Y234">
        <v>22.2</v>
      </c>
    </row>
    <row r="235" spans="1:25" x14ac:dyDescent="0.25">
      <c r="A235" t="s">
        <v>3930</v>
      </c>
      <c r="B235">
        <v>840</v>
      </c>
      <c r="C235">
        <v>234</v>
      </c>
      <c r="D235" t="s">
        <v>23</v>
      </c>
      <c r="E235" t="s">
        <v>3557</v>
      </c>
      <c r="F235" t="s">
        <v>3559</v>
      </c>
      <c r="G235" t="s">
        <v>3931</v>
      </c>
      <c r="H235">
        <v>0</v>
      </c>
      <c r="I235">
        <v>312</v>
      </c>
      <c r="J235">
        <v>414</v>
      </c>
      <c r="K235" t="str">
        <f t="shared" si="3"/>
        <v>logg169222</v>
      </c>
      <c r="M235" t="s">
        <v>133</v>
      </c>
      <c r="N235" t="s">
        <v>2392</v>
      </c>
      <c r="Q235" t="s">
        <v>11083</v>
      </c>
      <c r="U235">
        <v>82</v>
      </c>
      <c r="V235">
        <v>0</v>
      </c>
      <c r="W235">
        <v>85</v>
      </c>
      <c r="X235">
        <v>16.899999999999999</v>
      </c>
      <c r="Y235">
        <v>22.2</v>
      </c>
    </row>
    <row r="236" spans="1:25" x14ac:dyDescent="0.25">
      <c r="A236" t="s">
        <v>3932</v>
      </c>
      <c r="B236">
        <v>841</v>
      </c>
      <c r="C236">
        <v>235</v>
      </c>
      <c r="D236" t="s">
        <v>23</v>
      </c>
      <c r="E236" t="s">
        <v>3557</v>
      </c>
      <c r="F236" t="s">
        <v>3559</v>
      </c>
      <c r="G236" t="s">
        <v>3933</v>
      </c>
      <c r="H236">
        <v>0</v>
      </c>
      <c r="I236">
        <v>312</v>
      </c>
      <c r="J236">
        <v>414</v>
      </c>
      <c r="K236" t="str">
        <f t="shared" si="3"/>
        <v>logg169222</v>
      </c>
      <c r="M236" t="s">
        <v>133</v>
      </c>
      <c r="N236" t="s">
        <v>2392</v>
      </c>
      <c r="Q236" t="s">
        <v>11083</v>
      </c>
      <c r="U236">
        <v>82</v>
      </c>
      <c r="V236">
        <v>0</v>
      </c>
      <c r="W236">
        <v>85</v>
      </c>
      <c r="X236">
        <v>16.899999999999999</v>
      </c>
      <c r="Y236">
        <v>22.2</v>
      </c>
    </row>
    <row r="237" spans="1:25" x14ac:dyDescent="0.25">
      <c r="A237" t="s">
        <v>3934</v>
      </c>
      <c r="B237">
        <v>842</v>
      </c>
      <c r="C237">
        <v>236</v>
      </c>
      <c r="D237" t="s">
        <v>23</v>
      </c>
      <c r="E237" t="s">
        <v>3557</v>
      </c>
      <c r="F237" t="s">
        <v>3559</v>
      </c>
      <c r="G237" t="s">
        <v>3935</v>
      </c>
      <c r="H237">
        <v>0</v>
      </c>
      <c r="I237">
        <v>300</v>
      </c>
      <c r="J237">
        <v>542</v>
      </c>
      <c r="K237" t="str">
        <f t="shared" si="3"/>
        <v>logg159289</v>
      </c>
      <c r="L237" t="s">
        <v>3859</v>
      </c>
      <c r="M237" t="s">
        <v>133</v>
      </c>
      <c r="N237" t="s">
        <v>2440</v>
      </c>
      <c r="O237" t="s">
        <v>3860</v>
      </c>
      <c r="P237" t="s">
        <v>3936</v>
      </c>
      <c r="Q237" t="s">
        <v>11083</v>
      </c>
      <c r="U237">
        <v>82</v>
      </c>
      <c r="V237">
        <v>0</v>
      </c>
      <c r="W237">
        <v>85</v>
      </c>
      <c r="X237">
        <v>15.9</v>
      </c>
      <c r="Y237">
        <v>28.9</v>
      </c>
    </row>
    <row r="238" spans="1:25" x14ac:dyDescent="0.25">
      <c r="A238" t="s">
        <v>3937</v>
      </c>
      <c r="B238">
        <v>843</v>
      </c>
      <c r="C238">
        <v>237</v>
      </c>
      <c r="D238" t="s">
        <v>23</v>
      </c>
      <c r="E238" t="s">
        <v>3557</v>
      </c>
      <c r="F238" t="s">
        <v>3559</v>
      </c>
      <c r="G238" t="s">
        <v>3938</v>
      </c>
      <c r="H238">
        <v>0</v>
      </c>
      <c r="I238">
        <v>285</v>
      </c>
      <c r="J238">
        <v>108</v>
      </c>
      <c r="K238" t="str">
        <f t="shared" si="3"/>
        <v>logg15565</v>
      </c>
      <c r="M238" t="s">
        <v>133</v>
      </c>
      <c r="N238" t="s">
        <v>2324</v>
      </c>
      <c r="Q238" t="s">
        <v>11083</v>
      </c>
      <c r="U238">
        <v>82</v>
      </c>
      <c r="V238">
        <v>0</v>
      </c>
      <c r="W238">
        <v>85</v>
      </c>
      <c r="X238">
        <v>15.5</v>
      </c>
      <c r="Y238">
        <v>6.5</v>
      </c>
    </row>
    <row r="239" spans="1:25" x14ac:dyDescent="0.25">
      <c r="A239" t="s">
        <v>3939</v>
      </c>
      <c r="B239">
        <v>844</v>
      </c>
      <c r="C239">
        <v>238</v>
      </c>
      <c r="D239" t="s">
        <v>23</v>
      </c>
      <c r="E239" t="s">
        <v>3557</v>
      </c>
      <c r="F239" t="s">
        <v>3559</v>
      </c>
      <c r="G239" t="s">
        <v>3940</v>
      </c>
      <c r="H239">
        <v>0</v>
      </c>
      <c r="I239">
        <v>312</v>
      </c>
      <c r="J239">
        <v>414</v>
      </c>
      <c r="K239" t="str">
        <f t="shared" si="3"/>
        <v>logg169222</v>
      </c>
      <c r="L239" t="s">
        <v>3859</v>
      </c>
      <c r="M239" t="s">
        <v>133</v>
      </c>
      <c r="N239" t="s">
        <v>2392</v>
      </c>
      <c r="O239" t="s">
        <v>3860</v>
      </c>
      <c r="P239" t="s">
        <v>3936</v>
      </c>
      <c r="Q239" t="s">
        <v>11083</v>
      </c>
      <c r="U239">
        <v>83</v>
      </c>
      <c r="V239">
        <v>0</v>
      </c>
      <c r="W239">
        <v>85</v>
      </c>
      <c r="X239">
        <v>16.899999999999999</v>
      </c>
      <c r="Y239">
        <v>22.2</v>
      </c>
    </row>
    <row r="240" spans="1:25" x14ac:dyDescent="0.25">
      <c r="A240" t="s">
        <v>3941</v>
      </c>
      <c r="B240">
        <v>845</v>
      </c>
      <c r="C240">
        <v>239</v>
      </c>
      <c r="D240" t="s">
        <v>23</v>
      </c>
      <c r="E240" t="s">
        <v>3557</v>
      </c>
      <c r="F240" t="s">
        <v>3559</v>
      </c>
      <c r="G240" t="s">
        <v>3942</v>
      </c>
      <c r="H240">
        <v>0</v>
      </c>
      <c r="I240">
        <v>300</v>
      </c>
      <c r="J240">
        <v>542</v>
      </c>
      <c r="K240" t="str">
        <f t="shared" si="3"/>
        <v>logg159289</v>
      </c>
      <c r="M240" t="s">
        <v>133</v>
      </c>
      <c r="N240" t="s">
        <v>2440</v>
      </c>
      <c r="Q240" t="s">
        <v>11083</v>
      </c>
      <c r="U240">
        <v>84</v>
      </c>
      <c r="V240">
        <v>0</v>
      </c>
      <c r="W240">
        <v>85</v>
      </c>
      <c r="X240">
        <v>15.9</v>
      </c>
      <c r="Y240">
        <v>28.9</v>
      </c>
    </row>
    <row r="241" spans="1:25" x14ac:dyDescent="0.25">
      <c r="A241" t="s">
        <v>3943</v>
      </c>
      <c r="B241">
        <v>846</v>
      </c>
      <c r="C241">
        <v>240</v>
      </c>
      <c r="D241" t="s">
        <v>23</v>
      </c>
      <c r="E241" t="s">
        <v>3557</v>
      </c>
      <c r="F241" t="s">
        <v>3559</v>
      </c>
      <c r="G241" t="s">
        <v>3944</v>
      </c>
      <c r="H241">
        <v>0</v>
      </c>
      <c r="I241">
        <v>160</v>
      </c>
      <c r="J241">
        <v>432</v>
      </c>
      <c r="K241" t="str">
        <f t="shared" si="3"/>
        <v>logg923</v>
      </c>
      <c r="M241" t="s">
        <v>133</v>
      </c>
      <c r="N241" t="s">
        <v>2524</v>
      </c>
      <c r="Q241" t="s">
        <v>11083</v>
      </c>
      <c r="U241">
        <v>86</v>
      </c>
      <c r="V241">
        <v>0</v>
      </c>
      <c r="W241">
        <v>90</v>
      </c>
      <c r="X241">
        <v>9</v>
      </c>
      <c r="Y241">
        <v>23</v>
      </c>
    </row>
    <row r="242" spans="1:25" x14ac:dyDescent="0.25">
      <c r="A242" t="s">
        <v>3945</v>
      </c>
      <c r="B242">
        <v>847</v>
      </c>
      <c r="C242">
        <v>241</v>
      </c>
      <c r="D242" t="s">
        <v>23</v>
      </c>
      <c r="E242" t="s">
        <v>3557</v>
      </c>
      <c r="F242" t="s">
        <v>3559</v>
      </c>
      <c r="G242" t="s">
        <v>3946</v>
      </c>
      <c r="H242">
        <v>0</v>
      </c>
      <c r="I242">
        <v>160</v>
      </c>
      <c r="J242">
        <v>432</v>
      </c>
      <c r="K242" t="str">
        <f t="shared" si="3"/>
        <v>logg923</v>
      </c>
      <c r="M242" t="s">
        <v>133</v>
      </c>
      <c r="N242" t="s">
        <v>2524</v>
      </c>
      <c r="Q242" t="s">
        <v>11083</v>
      </c>
      <c r="U242">
        <v>87</v>
      </c>
      <c r="V242">
        <v>0</v>
      </c>
      <c r="W242">
        <v>90</v>
      </c>
      <c r="X242">
        <v>9</v>
      </c>
      <c r="Y242">
        <v>23</v>
      </c>
    </row>
    <row r="243" spans="1:25" x14ac:dyDescent="0.25">
      <c r="A243" t="s">
        <v>3947</v>
      </c>
      <c r="B243">
        <v>848</v>
      </c>
      <c r="C243">
        <v>242</v>
      </c>
      <c r="D243" t="s">
        <v>23</v>
      </c>
      <c r="E243" t="s">
        <v>3557</v>
      </c>
      <c r="F243" t="s">
        <v>3559</v>
      </c>
      <c r="G243" t="s">
        <v>3948</v>
      </c>
      <c r="H243">
        <v>0</v>
      </c>
      <c r="I243">
        <v>160</v>
      </c>
      <c r="J243">
        <v>432</v>
      </c>
      <c r="K243" t="str">
        <f t="shared" si="3"/>
        <v>logg923</v>
      </c>
      <c r="M243" t="s">
        <v>133</v>
      </c>
      <c r="N243" t="s">
        <v>2524</v>
      </c>
      <c r="Q243" t="s">
        <v>11083</v>
      </c>
      <c r="U243">
        <v>88</v>
      </c>
      <c r="V243">
        <v>0</v>
      </c>
      <c r="W243">
        <v>90</v>
      </c>
      <c r="X243">
        <v>9</v>
      </c>
      <c r="Y243">
        <v>23</v>
      </c>
    </row>
    <row r="244" spans="1:25" x14ac:dyDescent="0.25">
      <c r="A244" t="s">
        <v>3949</v>
      </c>
      <c r="B244">
        <v>849</v>
      </c>
      <c r="C244">
        <v>243</v>
      </c>
      <c r="D244" t="s">
        <v>23</v>
      </c>
      <c r="E244" t="s">
        <v>3557</v>
      </c>
      <c r="F244" t="s">
        <v>3559</v>
      </c>
      <c r="G244" t="s">
        <v>3950</v>
      </c>
      <c r="H244">
        <v>0</v>
      </c>
      <c r="I244">
        <v>135</v>
      </c>
      <c r="J244">
        <v>402</v>
      </c>
      <c r="K244" t="str">
        <f t="shared" si="3"/>
        <v>logg75218</v>
      </c>
      <c r="M244" t="s">
        <v>133</v>
      </c>
      <c r="N244" t="s">
        <v>2487</v>
      </c>
      <c r="Q244" t="s">
        <v>11083</v>
      </c>
      <c r="U244">
        <v>89</v>
      </c>
      <c r="V244">
        <v>0</v>
      </c>
      <c r="W244">
        <v>90</v>
      </c>
      <c r="X244">
        <v>7.5</v>
      </c>
      <c r="Y244">
        <v>21.8</v>
      </c>
    </row>
    <row r="245" spans="1:25" x14ac:dyDescent="0.25">
      <c r="A245" t="s">
        <v>3951</v>
      </c>
      <c r="B245">
        <v>850</v>
      </c>
      <c r="C245">
        <v>244</v>
      </c>
      <c r="D245" t="s">
        <v>23</v>
      </c>
      <c r="E245" t="s">
        <v>3557</v>
      </c>
      <c r="F245" t="s">
        <v>3559</v>
      </c>
      <c r="G245" t="s">
        <v>146</v>
      </c>
      <c r="H245">
        <v>0</v>
      </c>
      <c r="I245">
        <v>507</v>
      </c>
      <c r="J245">
        <v>285</v>
      </c>
      <c r="K245" t="str">
        <f t="shared" si="3"/>
        <v>logg267156</v>
      </c>
      <c r="L245" t="s">
        <v>3859</v>
      </c>
      <c r="M245" t="s">
        <v>133</v>
      </c>
      <c r="N245" t="s">
        <v>2375</v>
      </c>
      <c r="O245" t="s">
        <v>3886</v>
      </c>
      <c r="Q245" t="s">
        <v>3669</v>
      </c>
      <c r="R245" t="s">
        <v>2819</v>
      </c>
      <c r="U245">
        <v>90</v>
      </c>
      <c r="V245">
        <v>0</v>
      </c>
      <c r="W245">
        <v>90</v>
      </c>
      <c r="X245">
        <v>26.7</v>
      </c>
      <c r="Y245">
        <v>15.6</v>
      </c>
    </row>
    <row r="246" spans="1:25" x14ac:dyDescent="0.25">
      <c r="A246" t="s">
        <v>3952</v>
      </c>
      <c r="B246">
        <v>851</v>
      </c>
      <c r="C246">
        <v>245</v>
      </c>
      <c r="D246" t="s">
        <v>23</v>
      </c>
      <c r="E246" t="s">
        <v>3557</v>
      </c>
      <c r="F246" t="s">
        <v>3559</v>
      </c>
      <c r="G246" t="s">
        <v>3953</v>
      </c>
      <c r="H246">
        <v>0</v>
      </c>
      <c r="I246">
        <v>370</v>
      </c>
      <c r="J246">
        <v>658</v>
      </c>
      <c r="K246" t="str">
        <f t="shared" si="3"/>
        <v>logg197347</v>
      </c>
      <c r="M246" t="s">
        <v>215</v>
      </c>
      <c r="N246" t="s">
        <v>2682</v>
      </c>
      <c r="Q246" t="s">
        <v>11083</v>
      </c>
      <c r="U246">
        <v>92</v>
      </c>
      <c r="V246">
        <v>0</v>
      </c>
      <c r="W246">
        <v>95</v>
      </c>
      <c r="X246">
        <v>19.7</v>
      </c>
      <c r="Y246">
        <v>34.700000000000003</v>
      </c>
    </row>
    <row r="247" spans="1:25" x14ac:dyDescent="0.25">
      <c r="A247" t="s">
        <v>3954</v>
      </c>
      <c r="B247">
        <v>852</v>
      </c>
      <c r="C247">
        <v>246</v>
      </c>
      <c r="D247" t="s">
        <v>23</v>
      </c>
      <c r="E247" t="s">
        <v>3557</v>
      </c>
      <c r="F247" t="s">
        <v>3559</v>
      </c>
      <c r="G247" t="s">
        <v>3955</v>
      </c>
      <c r="H247">
        <v>0</v>
      </c>
      <c r="I247">
        <v>404</v>
      </c>
      <c r="J247">
        <v>161</v>
      </c>
      <c r="K247" t="str">
        <f t="shared" si="3"/>
        <v>logg21695</v>
      </c>
      <c r="M247" t="s">
        <v>215</v>
      </c>
      <c r="N247" t="s">
        <v>2598</v>
      </c>
      <c r="Q247" t="s">
        <v>11083</v>
      </c>
      <c r="U247">
        <v>922</v>
      </c>
      <c r="V247">
        <v>0</v>
      </c>
      <c r="W247">
        <v>95</v>
      </c>
      <c r="X247">
        <v>21.6</v>
      </c>
      <c r="Y247">
        <v>9.5</v>
      </c>
    </row>
    <row r="248" spans="1:25" x14ac:dyDescent="0.25">
      <c r="A248" t="s">
        <v>3956</v>
      </c>
      <c r="B248">
        <v>853</v>
      </c>
      <c r="C248">
        <v>247</v>
      </c>
      <c r="D248" t="s">
        <v>23</v>
      </c>
      <c r="E248" t="s">
        <v>3557</v>
      </c>
      <c r="F248" t="s">
        <v>3559</v>
      </c>
      <c r="G248" t="s">
        <v>3957</v>
      </c>
      <c r="H248">
        <v>0</v>
      </c>
      <c r="I248">
        <v>670</v>
      </c>
      <c r="J248">
        <v>644</v>
      </c>
      <c r="K248" t="str">
        <f t="shared" si="3"/>
        <v>logg35234</v>
      </c>
      <c r="M248" t="s">
        <v>215</v>
      </c>
      <c r="N248" t="s">
        <v>2631</v>
      </c>
      <c r="Q248" t="s">
        <v>11083</v>
      </c>
      <c r="U248">
        <v>922</v>
      </c>
      <c r="V248">
        <v>0</v>
      </c>
      <c r="W248">
        <v>95</v>
      </c>
      <c r="X248">
        <v>35.200000000000003</v>
      </c>
      <c r="Y248">
        <v>34</v>
      </c>
    </row>
    <row r="249" spans="1:25" x14ac:dyDescent="0.25">
      <c r="A249" t="s">
        <v>3958</v>
      </c>
      <c r="B249">
        <v>854</v>
      </c>
      <c r="C249">
        <v>248</v>
      </c>
      <c r="D249" t="s">
        <v>23</v>
      </c>
      <c r="E249" t="s">
        <v>3557</v>
      </c>
      <c r="F249" t="s">
        <v>3559</v>
      </c>
      <c r="G249" t="s">
        <v>3959</v>
      </c>
      <c r="H249">
        <v>0</v>
      </c>
      <c r="I249">
        <v>404</v>
      </c>
      <c r="J249">
        <v>161</v>
      </c>
      <c r="K249" t="str">
        <f t="shared" si="3"/>
        <v>logg21695</v>
      </c>
      <c r="M249" t="s">
        <v>215</v>
      </c>
      <c r="N249" t="s">
        <v>2598</v>
      </c>
      <c r="Q249" t="s">
        <v>11083</v>
      </c>
      <c r="U249">
        <v>93</v>
      </c>
      <c r="V249">
        <v>0</v>
      </c>
      <c r="W249">
        <v>95</v>
      </c>
      <c r="X249">
        <v>21.6</v>
      </c>
      <c r="Y249">
        <v>9.5</v>
      </c>
    </row>
    <row r="250" spans="1:25" x14ac:dyDescent="0.25">
      <c r="A250" t="s">
        <v>3960</v>
      </c>
      <c r="B250">
        <v>855</v>
      </c>
      <c r="C250">
        <v>249</v>
      </c>
      <c r="D250" t="s">
        <v>23</v>
      </c>
      <c r="E250" t="s">
        <v>3557</v>
      </c>
      <c r="F250" t="s">
        <v>3559</v>
      </c>
      <c r="G250" t="s">
        <v>3961</v>
      </c>
      <c r="H250">
        <v>0</v>
      </c>
      <c r="I250">
        <v>383</v>
      </c>
      <c r="J250">
        <v>399</v>
      </c>
      <c r="K250" t="str">
        <f t="shared" si="3"/>
        <v>logg206215</v>
      </c>
      <c r="M250" t="s">
        <v>215</v>
      </c>
      <c r="N250" t="s">
        <v>2682</v>
      </c>
      <c r="Q250" t="s">
        <v>11083</v>
      </c>
      <c r="U250">
        <v>94</v>
      </c>
      <c r="V250">
        <v>0</v>
      </c>
      <c r="W250">
        <v>95</v>
      </c>
      <c r="X250">
        <v>20.6</v>
      </c>
      <c r="Y250">
        <v>21.5</v>
      </c>
    </row>
    <row r="251" spans="1:25" x14ac:dyDescent="0.25">
      <c r="A251" t="s">
        <v>3962</v>
      </c>
      <c r="B251">
        <v>856</v>
      </c>
      <c r="C251">
        <v>250</v>
      </c>
      <c r="D251" t="s">
        <v>23</v>
      </c>
      <c r="E251" t="s">
        <v>3557</v>
      </c>
      <c r="F251" t="s">
        <v>3559</v>
      </c>
      <c r="G251" t="s">
        <v>3963</v>
      </c>
      <c r="H251">
        <v>0</v>
      </c>
      <c r="I251">
        <v>611</v>
      </c>
      <c r="J251">
        <v>214</v>
      </c>
      <c r="K251" t="str">
        <f t="shared" si="3"/>
        <v>logg32112</v>
      </c>
      <c r="M251" t="s">
        <v>215</v>
      </c>
      <c r="N251" t="s">
        <v>2624</v>
      </c>
      <c r="Q251" t="s">
        <v>11083</v>
      </c>
      <c r="U251">
        <v>95</v>
      </c>
      <c r="V251">
        <v>0</v>
      </c>
      <c r="W251">
        <v>95</v>
      </c>
      <c r="X251">
        <v>32.1</v>
      </c>
      <c r="Y251">
        <v>12</v>
      </c>
    </row>
    <row r="252" spans="1:25" x14ac:dyDescent="0.25">
      <c r="A252" t="s">
        <v>3964</v>
      </c>
      <c r="B252">
        <v>857</v>
      </c>
      <c r="C252">
        <v>251</v>
      </c>
      <c r="D252" t="s">
        <v>23</v>
      </c>
      <c r="E252" t="s">
        <v>3557</v>
      </c>
      <c r="F252" t="s">
        <v>3559</v>
      </c>
      <c r="G252" t="s">
        <v>3965</v>
      </c>
      <c r="H252">
        <v>0</v>
      </c>
      <c r="I252">
        <v>383</v>
      </c>
      <c r="J252">
        <v>399</v>
      </c>
      <c r="K252" t="str">
        <f t="shared" si="3"/>
        <v>logg206215</v>
      </c>
      <c r="M252" t="s">
        <v>215</v>
      </c>
      <c r="N252" t="s">
        <v>2682</v>
      </c>
      <c r="Q252" t="s">
        <v>11083</v>
      </c>
      <c r="U252">
        <v>95</v>
      </c>
      <c r="V252">
        <v>0</v>
      </c>
      <c r="W252">
        <v>95</v>
      </c>
      <c r="X252">
        <v>20.6</v>
      </c>
      <c r="Y252">
        <v>21.5</v>
      </c>
    </row>
    <row r="253" spans="1:25" x14ac:dyDescent="0.25">
      <c r="A253" t="s">
        <v>3966</v>
      </c>
      <c r="B253">
        <v>858</v>
      </c>
      <c r="C253">
        <v>252</v>
      </c>
      <c r="D253" t="s">
        <v>23</v>
      </c>
      <c r="E253" t="s">
        <v>3557</v>
      </c>
      <c r="F253" t="s">
        <v>3559</v>
      </c>
      <c r="G253" t="s">
        <v>3967</v>
      </c>
      <c r="H253">
        <v>0</v>
      </c>
      <c r="I253">
        <v>226</v>
      </c>
      <c r="J253">
        <v>409</v>
      </c>
      <c r="K253" t="str">
        <f t="shared" si="3"/>
        <v>logg12222</v>
      </c>
      <c r="M253" t="s">
        <v>215</v>
      </c>
      <c r="N253" t="s">
        <v>3684</v>
      </c>
      <c r="Q253" t="s">
        <v>11083</v>
      </c>
      <c r="U253">
        <v>97</v>
      </c>
      <c r="V253">
        <v>0</v>
      </c>
      <c r="W253">
        <v>100</v>
      </c>
      <c r="X253">
        <v>12.2</v>
      </c>
      <c r="Y253">
        <v>22</v>
      </c>
    </row>
    <row r="254" spans="1:25" x14ac:dyDescent="0.25">
      <c r="A254" t="s">
        <v>3968</v>
      </c>
      <c r="B254">
        <v>859</v>
      </c>
      <c r="C254">
        <v>253</v>
      </c>
      <c r="D254" t="s">
        <v>23</v>
      </c>
      <c r="E254" t="s">
        <v>3557</v>
      </c>
      <c r="F254" t="s">
        <v>3559</v>
      </c>
      <c r="G254" t="s">
        <v>3969</v>
      </c>
      <c r="H254">
        <v>0</v>
      </c>
      <c r="I254">
        <v>518</v>
      </c>
      <c r="J254">
        <v>251</v>
      </c>
      <c r="K254" t="str">
        <f t="shared" si="3"/>
        <v>logg275138</v>
      </c>
      <c r="M254" t="s">
        <v>215</v>
      </c>
      <c r="N254" t="s">
        <v>2714</v>
      </c>
      <c r="Q254" t="s">
        <v>11083</v>
      </c>
      <c r="U254">
        <v>97</v>
      </c>
      <c r="V254">
        <v>0</v>
      </c>
      <c r="W254">
        <v>100</v>
      </c>
      <c r="X254">
        <v>27.5</v>
      </c>
      <c r="Y254">
        <v>13.8</v>
      </c>
    </row>
    <row r="255" spans="1:25" x14ac:dyDescent="0.25">
      <c r="A255" t="s">
        <v>3970</v>
      </c>
      <c r="B255">
        <v>860</v>
      </c>
      <c r="C255">
        <v>254</v>
      </c>
      <c r="D255" t="s">
        <v>23</v>
      </c>
      <c r="E255" t="s">
        <v>3557</v>
      </c>
      <c r="F255" t="s">
        <v>3559</v>
      </c>
      <c r="G255" t="s">
        <v>3971</v>
      </c>
      <c r="H255">
        <v>0</v>
      </c>
      <c r="I255">
        <v>518</v>
      </c>
      <c r="J255">
        <v>251</v>
      </c>
      <c r="K255" t="str">
        <f t="shared" si="3"/>
        <v>logg275138</v>
      </c>
      <c r="M255" t="s">
        <v>215</v>
      </c>
      <c r="N255" t="s">
        <v>2714</v>
      </c>
      <c r="Q255" t="s">
        <v>11083</v>
      </c>
      <c r="U255">
        <v>97</v>
      </c>
      <c r="V255">
        <v>0</v>
      </c>
      <c r="W255">
        <v>100</v>
      </c>
      <c r="X255">
        <v>27.5</v>
      </c>
      <c r="Y255">
        <v>13.8</v>
      </c>
    </row>
    <row r="256" spans="1:25" x14ac:dyDescent="0.25">
      <c r="A256" t="s">
        <v>3972</v>
      </c>
      <c r="B256">
        <v>861</v>
      </c>
      <c r="C256">
        <v>255</v>
      </c>
      <c r="D256" t="s">
        <v>23</v>
      </c>
      <c r="E256" t="s">
        <v>3557</v>
      </c>
      <c r="F256" t="s">
        <v>3559</v>
      </c>
      <c r="G256" t="s">
        <v>3973</v>
      </c>
      <c r="H256">
        <v>0</v>
      </c>
      <c r="I256">
        <v>617</v>
      </c>
      <c r="J256">
        <v>522</v>
      </c>
      <c r="K256" t="str">
        <f t="shared" si="3"/>
        <v>logg324278</v>
      </c>
      <c r="M256" t="s">
        <v>215</v>
      </c>
      <c r="N256" t="s">
        <v>2732</v>
      </c>
      <c r="Q256" t="s">
        <v>11083</v>
      </c>
      <c r="U256">
        <v>97</v>
      </c>
      <c r="V256">
        <v>0</v>
      </c>
      <c r="W256">
        <v>100</v>
      </c>
      <c r="X256">
        <v>32.4</v>
      </c>
      <c r="Y256">
        <v>27.8</v>
      </c>
    </row>
    <row r="257" spans="1:25" x14ac:dyDescent="0.25">
      <c r="A257" t="s">
        <v>3974</v>
      </c>
      <c r="B257">
        <v>862</v>
      </c>
      <c r="C257">
        <v>256</v>
      </c>
      <c r="D257" t="s">
        <v>23</v>
      </c>
      <c r="E257" t="s">
        <v>3557</v>
      </c>
      <c r="F257" t="s">
        <v>3978</v>
      </c>
      <c r="G257" t="s">
        <v>3975</v>
      </c>
      <c r="H257">
        <v>0</v>
      </c>
      <c r="I257">
        <v>526</v>
      </c>
      <c r="J257">
        <v>535</v>
      </c>
      <c r="K257" t="str">
        <f t="shared" si="3"/>
        <v>logg29130</v>
      </c>
      <c r="L257" t="s">
        <v>3859</v>
      </c>
      <c r="M257" t="s">
        <v>11</v>
      </c>
      <c r="N257" t="s">
        <v>1667</v>
      </c>
      <c r="O257" t="s">
        <v>3976</v>
      </c>
      <c r="P257" t="s">
        <v>3977</v>
      </c>
      <c r="Q257" t="s">
        <v>3749</v>
      </c>
      <c r="R257" t="s">
        <v>2817</v>
      </c>
      <c r="U257">
        <v>51</v>
      </c>
      <c r="V257">
        <v>0</v>
      </c>
      <c r="W257">
        <v>55</v>
      </c>
      <c r="X257">
        <v>29.1</v>
      </c>
      <c r="Y257">
        <v>30</v>
      </c>
    </row>
    <row r="258" spans="1:25" x14ac:dyDescent="0.25">
      <c r="A258" t="s">
        <v>3979</v>
      </c>
      <c r="B258">
        <v>863</v>
      </c>
      <c r="C258">
        <v>257</v>
      </c>
      <c r="D258" t="s">
        <v>23</v>
      </c>
      <c r="E258" t="s">
        <v>3557</v>
      </c>
      <c r="F258" t="s">
        <v>3978</v>
      </c>
      <c r="G258" t="s">
        <v>3980</v>
      </c>
      <c r="H258">
        <v>0</v>
      </c>
      <c r="I258">
        <v>526</v>
      </c>
      <c r="J258">
        <v>535</v>
      </c>
      <c r="K258" t="str">
        <f t="shared" ref="K258:K321" si="4">LEFT(A258,4)&amp;SUBSTITUTE(X258,".","")&amp;SUBSTITUTE(Y258,".","")</f>
        <v>logg29130</v>
      </c>
      <c r="L258" t="s">
        <v>3859</v>
      </c>
      <c r="M258" t="s">
        <v>11</v>
      </c>
      <c r="N258" t="s">
        <v>1667</v>
      </c>
      <c r="O258" t="s">
        <v>3976</v>
      </c>
      <c r="P258" t="s">
        <v>3977</v>
      </c>
      <c r="Q258" t="s">
        <v>3749</v>
      </c>
      <c r="R258" t="s">
        <v>2817</v>
      </c>
      <c r="U258">
        <v>53</v>
      </c>
      <c r="V258">
        <v>0</v>
      </c>
      <c r="W258">
        <v>55</v>
      </c>
      <c r="X258">
        <v>29.1</v>
      </c>
      <c r="Y258">
        <v>30</v>
      </c>
    </row>
    <row r="259" spans="1:25" x14ac:dyDescent="0.25">
      <c r="A259" t="s">
        <v>3981</v>
      </c>
      <c r="B259">
        <v>864</v>
      </c>
      <c r="C259">
        <v>258</v>
      </c>
      <c r="D259" t="s">
        <v>23</v>
      </c>
      <c r="E259" t="s">
        <v>3557</v>
      </c>
      <c r="F259" t="s">
        <v>3978</v>
      </c>
      <c r="G259" t="s">
        <v>3982</v>
      </c>
      <c r="H259">
        <v>0</v>
      </c>
      <c r="I259">
        <v>526</v>
      </c>
      <c r="J259">
        <v>535</v>
      </c>
      <c r="K259" t="str">
        <f t="shared" si="4"/>
        <v>logg29130</v>
      </c>
      <c r="L259" t="s">
        <v>3859</v>
      </c>
      <c r="M259" t="s">
        <v>11</v>
      </c>
      <c r="N259" t="s">
        <v>1667</v>
      </c>
      <c r="O259" t="s">
        <v>3976</v>
      </c>
      <c r="P259" t="s">
        <v>3977</v>
      </c>
      <c r="Q259" t="s">
        <v>3749</v>
      </c>
      <c r="R259" t="s">
        <v>2817</v>
      </c>
      <c r="U259">
        <v>55</v>
      </c>
      <c r="V259">
        <v>0</v>
      </c>
      <c r="W259">
        <v>55</v>
      </c>
      <c r="X259">
        <v>29.1</v>
      </c>
      <c r="Y259">
        <v>30</v>
      </c>
    </row>
    <row r="260" spans="1:25" x14ac:dyDescent="0.25">
      <c r="A260" t="s">
        <v>3983</v>
      </c>
      <c r="B260">
        <v>865</v>
      </c>
      <c r="C260">
        <v>259</v>
      </c>
      <c r="D260" t="s">
        <v>23</v>
      </c>
      <c r="E260" t="s">
        <v>3557</v>
      </c>
      <c r="F260" t="s">
        <v>3978</v>
      </c>
      <c r="G260" t="s">
        <v>3984</v>
      </c>
      <c r="H260">
        <v>0</v>
      </c>
      <c r="I260">
        <v>284</v>
      </c>
      <c r="J260">
        <v>655</v>
      </c>
      <c r="K260" t="str">
        <f t="shared" si="4"/>
        <v>logg161364</v>
      </c>
      <c r="L260" t="s">
        <v>3859</v>
      </c>
      <c r="M260" t="s">
        <v>11</v>
      </c>
      <c r="N260" t="s">
        <v>1672</v>
      </c>
      <c r="O260" t="s">
        <v>3976</v>
      </c>
      <c r="P260" t="s">
        <v>3977</v>
      </c>
      <c r="Q260" t="s">
        <v>3749</v>
      </c>
      <c r="R260" t="s">
        <v>2829</v>
      </c>
      <c r="U260">
        <v>57</v>
      </c>
      <c r="V260">
        <v>0</v>
      </c>
      <c r="W260">
        <v>60</v>
      </c>
      <c r="X260">
        <v>16.100000000000001</v>
      </c>
      <c r="Y260">
        <v>36.4</v>
      </c>
    </row>
    <row r="261" spans="1:25" x14ac:dyDescent="0.25">
      <c r="A261" t="s">
        <v>3985</v>
      </c>
      <c r="B261">
        <v>866</v>
      </c>
      <c r="C261">
        <v>260</v>
      </c>
      <c r="D261" t="s">
        <v>23</v>
      </c>
      <c r="E261" t="s">
        <v>3557</v>
      </c>
      <c r="F261" t="s">
        <v>3978</v>
      </c>
      <c r="G261" t="s">
        <v>3986</v>
      </c>
      <c r="H261">
        <v>0</v>
      </c>
      <c r="I261">
        <v>284</v>
      </c>
      <c r="J261">
        <v>655</v>
      </c>
      <c r="K261" t="str">
        <f t="shared" si="4"/>
        <v>logg161364</v>
      </c>
      <c r="L261" t="s">
        <v>3859</v>
      </c>
      <c r="M261" t="s">
        <v>11</v>
      </c>
      <c r="N261" t="s">
        <v>1672</v>
      </c>
      <c r="O261" t="s">
        <v>3976</v>
      </c>
      <c r="P261" t="s">
        <v>3977</v>
      </c>
      <c r="Q261" t="s">
        <v>3749</v>
      </c>
      <c r="R261" t="s">
        <v>2829</v>
      </c>
      <c r="U261">
        <v>59</v>
      </c>
      <c r="V261">
        <v>0</v>
      </c>
      <c r="W261">
        <v>60</v>
      </c>
      <c r="X261">
        <v>16.100000000000001</v>
      </c>
      <c r="Y261">
        <v>36.4</v>
      </c>
    </row>
    <row r="262" spans="1:25" x14ac:dyDescent="0.25">
      <c r="A262" t="s">
        <v>3987</v>
      </c>
      <c r="B262">
        <v>867</v>
      </c>
      <c r="C262">
        <v>261</v>
      </c>
      <c r="D262" t="s">
        <v>23</v>
      </c>
      <c r="E262" t="s">
        <v>3557</v>
      </c>
      <c r="F262" t="s">
        <v>3978</v>
      </c>
      <c r="G262" t="s">
        <v>3988</v>
      </c>
      <c r="H262">
        <v>0</v>
      </c>
      <c r="I262">
        <v>103</v>
      </c>
      <c r="J262">
        <v>289</v>
      </c>
      <c r="K262" t="str">
        <f t="shared" si="4"/>
        <v>logg59157</v>
      </c>
      <c r="L262" t="s">
        <v>3859</v>
      </c>
      <c r="M262" t="s">
        <v>73</v>
      </c>
      <c r="N262" t="s">
        <v>1928</v>
      </c>
      <c r="O262" t="s">
        <v>3976</v>
      </c>
      <c r="P262" t="s">
        <v>3977</v>
      </c>
      <c r="Q262" t="s">
        <v>3749</v>
      </c>
      <c r="R262" t="s">
        <v>2830</v>
      </c>
      <c r="U262">
        <v>61</v>
      </c>
      <c r="V262">
        <v>0</v>
      </c>
      <c r="W262">
        <v>65</v>
      </c>
      <c r="X262">
        <v>5.9</v>
      </c>
      <c r="Y262">
        <v>15.7</v>
      </c>
    </row>
    <row r="263" spans="1:25" x14ac:dyDescent="0.25">
      <c r="A263" t="s">
        <v>3989</v>
      </c>
      <c r="B263">
        <v>868</v>
      </c>
      <c r="C263">
        <v>262</v>
      </c>
      <c r="D263" t="s">
        <v>23</v>
      </c>
      <c r="E263" t="s">
        <v>3557</v>
      </c>
      <c r="F263" t="s">
        <v>3978</v>
      </c>
      <c r="G263" t="s">
        <v>3990</v>
      </c>
      <c r="H263">
        <v>0</v>
      </c>
      <c r="I263">
        <v>629</v>
      </c>
      <c r="J263">
        <v>164</v>
      </c>
      <c r="K263" t="str">
        <f t="shared" si="4"/>
        <v>logg3392</v>
      </c>
      <c r="L263" t="s">
        <v>3859</v>
      </c>
      <c r="M263" t="s">
        <v>73</v>
      </c>
      <c r="N263" t="s">
        <v>1913</v>
      </c>
      <c r="O263" t="s">
        <v>3976</v>
      </c>
      <c r="P263" t="s">
        <v>3977</v>
      </c>
      <c r="Q263" t="s">
        <v>3749</v>
      </c>
      <c r="R263" t="s">
        <v>2831</v>
      </c>
      <c r="U263">
        <v>63</v>
      </c>
      <c r="V263">
        <v>0</v>
      </c>
      <c r="W263">
        <v>65</v>
      </c>
      <c r="X263">
        <v>33</v>
      </c>
      <c r="Y263">
        <v>9.1999999999999993</v>
      </c>
    </row>
    <row r="264" spans="1:25" x14ac:dyDescent="0.25">
      <c r="A264" t="s">
        <v>3991</v>
      </c>
      <c r="B264">
        <v>869</v>
      </c>
      <c r="C264">
        <v>263</v>
      </c>
      <c r="D264" t="s">
        <v>23</v>
      </c>
      <c r="E264" t="s">
        <v>3557</v>
      </c>
      <c r="F264" t="s">
        <v>3978</v>
      </c>
      <c r="G264" t="s">
        <v>3992</v>
      </c>
      <c r="H264">
        <v>0</v>
      </c>
      <c r="I264">
        <v>103</v>
      </c>
      <c r="J264">
        <v>289</v>
      </c>
      <c r="K264" t="str">
        <f t="shared" si="4"/>
        <v>logg59157</v>
      </c>
      <c r="L264" t="s">
        <v>3859</v>
      </c>
      <c r="M264" t="s">
        <v>73</v>
      </c>
      <c r="N264" t="s">
        <v>1928</v>
      </c>
      <c r="O264" t="s">
        <v>3976</v>
      </c>
      <c r="P264" t="s">
        <v>3977</v>
      </c>
      <c r="Q264" t="s">
        <v>3749</v>
      </c>
      <c r="R264" t="s">
        <v>2830</v>
      </c>
      <c r="U264">
        <v>65</v>
      </c>
      <c r="V264">
        <v>0</v>
      </c>
      <c r="W264">
        <v>65</v>
      </c>
      <c r="X264">
        <v>5.9</v>
      </c>
      <c r="Y264">
        <v>15.7</v>
      </c>
    </row>
    <row r="265" spans="1:25" x14ac:dyDescent="0.25">
      <c r="A265" t="s">
        <v>3993</v>
      </c>
      <c r="B265">
        <v>870</v>
      </c>
      <c r="C265">
        <v>264</v>
      </c>
      <c r="D265" t="s">
        <v>23</v>
      </c>
      <c r="E265" t="s">
        <v>3557</v>
      </c>
      <c r="F265" t="s">
        <v>3978</v>
      </c>
      <c r="G265" t="s">
        <v>3994</v>
      </c>
      <c r="H265">
        <v>0</v>
      </c>
      <c r="I265">
        <v>350</v>
      </c>
      <c r="J265">
        <v>262</v>
      </c>
      <c r="K265" t="str">
        <f t="shared" si="4"/>
        <v>logg187143</v>
      </c>
      <c r="L265" t="s">
        <v>3859</v>
      </c>
      <c r="M265" t="s">
        <v>73</v>
      </c>
      <c r="N265" t="s">
        <v>1960</v>
      </c>
      <c r="O265" t="s">
        <v>3976</v>
      </c>
      <c r="P265" t="s">
        <v>3977</v>
      </c>
      <c r="Q265" t="s">
        <v>3749</v>
      </c>
      <c r="R265" t="s">
        <v>2829</v>
      </c>
      <c r="U265">
        <v>67</v>
      </c>
      <c r="V265">
        <v>0</v>
      </c>
      <c r="W265">
        <v>70</v>
      </c>
      <c r="X265">
        <v>18.7</v>
      </c>
      <c r="Y265">
        <v>14.3</v>
      </c>
    </row>
    <row r="266" spans="1:25" x14ac:dyDescent="0.25">
      <c r="A266" t="s">
        <v>3995</v>
      </c>
      <c r="B266">
        <v>871</v>
      </c>
      <c r="C266">
        <v>265</v>
      </c>
      <c r="D266" t="s">
        <v>23</v>
      </c>
      <c r="E266" t="s">
        <v>3557</v>
      </c>
      <c r="F266" t="s">
        <v>3978</v>
      </c>
      <c r="G266" t="s">
        <v>3996</v>
      </c>
      <c r="H266">
        <v>0</v>
      </c>
      <c r="I266">
        <v>350</v>
      </c>
      <c r="J266">
        <v>262</v>
      </c>
      <c r="K266" t="str">
        <f t="shared" si="4"/>
        <v>logg187143</v>
      </c>
      <c r="L266" t="s">
        <v>3859</v>
      </c>
      <c r="M266" t="s">
        <v>73</v>
      </c>
      <c r="N266" t="s">
        <v>1960</v>
      </c>
      <c r="O266" t="s">
        <v>3976</v>
      </c>
      <c r="P266" t="s">
        <v>3977</v>
      </c>
      <c r="Q266" t="s">
        <v>3749</v>
      </c>
      <c r="R266" t="s">
        <v>2829</v>
      </c>
      <c r="U266">
        <v>69</v>
      </c>
      <c r="V266">
        <v>0</v>
      </c>
      <c r="W266">
        <v>70</v>
      </c>
      <c r="X266">
        <v>18.7</v>
      </c>
      <c r="Y266">
        <v>14.3</v>
      </c>
    </row>
    <row r="267" spans="1:25" x14ac:dyDescent="0.25">
      <c r="A267" t="s">
        <v>3997</v>
      </c>
      <c r="B267">
        <v>872</v>
      </c>
      <c r="C267">
        <v>266</v>
      </c>
      <c r="D267" t="s">
        <v>23</v>
      </c>
      <c r="E267" t="s">
        <v>3557</v>
      </c>
      <c r="F267" t="s">
        <v>3978</v>
      </c>
      <c r="G267" t="s">
        <v>3998</v>
      </c>
      <c r="H267">
        <v>0</v>
      </c>
      <c r="I267">
        <v>63</v>
      </c>
      <c r="J267">
        <v>430</v>
      </c>
      <c r="K267" t="str">
        <f t="shared" si="4"/>
        <v>logg4231</v>
      </c>
      <c r="L267" t="s">
        <v>3859</v>
      </c>
      <c r="M267" t="s">
        <v>102</v>
      </c>
      <c r="N267" t="s">
        <v>2194</v>
      </c>
      <c r="O267" t="s">
        <v>3976</v>
      </c>
      <c r="P267" t="s">
        <v>3977</v>
      </c>
      <c r="Q267" t="s">
        <v>3749</v>
      </c>
      <c r="R267" t="s">
        <v>2834</v>
      </c>
      <c r="U267">
        <v>71</v>
      </c>
      <c r="V267">
        <v>0</v>
      </c>
      <c r="W267">
        <v>75</v>
      </c>
      <c r="X267">
        <v>4</v>
      </c>
      <c r="Y267">
        <v>23.1</v>
      </c>
    </row>
    <row r="268" spans="1:25" x14ac:dyDescent="0.25">
      <c r="A268" t="s">
        <v>3999</v>
      </c>
      <c r="B268">
        <v>873</v>
      </c>
      <c r="C268">
        <v>267</v>
      </c>
      <c r="D268" t="s">
        <v>23</v>
      </c>
      <c r="E268" t="s">
        <v>3557</v>
      </c>
      <c r="F268" t="s">
        <v>3978</v>
      </c>
      <c r="G268" t="s">
        <v>4000</v>
      </c>
      <c r="H268">
        <v>0</v>
      </c>
      <c r="I268">
        <v>530</v>
      </c>
      <c r="J268">
        <v>620</v>
      </c>
      <c r="K268" t="str">
        <f t="shared" si="4"/>
        <v>logg279327</v>
      </c>
      <c r="L268" t="s">
        <v>3859</v>
      </c>
      <c r="M268" t="s">
        <v>102</v>
      </c>
      <c r="N268" t="s">
        <v>2079</v>
      </c>
      <c r="O268" t="s">
        <v>3976</v>
      </c>
      <c r="P268" t="s">
        <v>3977</v>
      </c>
      <c r="Q268" t="s">
        <v>3749</v>
      </c>
      <c r="R268" t="s">
        <v>2833</v>
      </c>
      <c r="U268">
        <v>73</v>
      </c>
      <c r="V268">
        <v>0</v>
      </c>
      <c r="W268">
        <v>75</v>
      </c>
      <c r="X268">
        <v>27.9</v>
      </c>
      <c r="Y268">
        <v>32.700000000000003</v>
      </c>
    </row>
    <row r="269" spans="1:25" x14ac:dyDescent="0.25">
      <c r="A269" t="s">
        <v>4001</v>
      </c>
      <c r="B269">
        <v>874</v>
      </c>
      <c r="C269">
        <v>268</v>
      </c>
      <c r="D269" t="s">
        <v>23</v>
      </c>
      <c r="E269" t="s">
        <v>3557</v>
      </c>
      <c r="F269" t="s">
        <v>3978</v>
      </c>
      <c r="G269" t="s">
        <v>4002</v>
      </c>
      <c r="H269">
        <v>0</v>
      </c>
      <c r="I269">
        <v>63</v>
      </c>
      <c r="J269">
        <v>430</v>
      </c>
      <c r="K269" t="str">
        <f t="shared" si="4"/>
        <v>logg4231</v>
      </c>
      <c r="L269" t="s">
        <v>3859</v>
      </c>
      <c r="M269" t="s">
        <v>102</v>
      </c>
      <c r="N269" t="s">
        <v>2194</v>
      </c>
      <c r="O269" t="s">
        <v>3976</v>
      </c>
      <c r="P269" t="s">
        <v>3977</v>
      </c>
      <c r="Q269" t="s">
        <v>3749</v>
      </c>
      <c r="R269" t="s">
        <v>2834</v>
      </c>
      <c r="U269">
        <v>75</v>
      </c>
      <c r="V269">
        <v>0</v>
      </c>
      <c r="W269">
        <v>75</v>
      </c>
      <c r="X269">
        <v>4</v>
      </c>
      <c r="Y269">
        <v>23.1</v>
      </c>
    </row>
    <row r="270" spans="1:25" x14ac:dyDescent="0.25">
      <c r="A270" t="s">
        <v>4003</v>
      </c>
      <c r="B270">
        <v>875</v>
      </c>
      <c r="C270">
        <v>269</v>
      </c>
      <c r="D270" t="s">
        <v>23</v>
      </c>
      <c r="E270" t="s">
        <v>3557</v>
      </c>
      <c r="F270" t="s">
        <v>3978</v>
      </c>
      <c r="G270" t="s">
        <v>4004</v>
      </c>
      <c r="H270">
        <v>0</v>
      </c>
      <c r="I270">
        <v>349</v>
      </c>
      <c r="J270">
        <v>381</v>
      </c>
      <c r="K270" t="str">
        <f t="shared" si="4"/>
        <v>logg185205</v>
      </c>
      <c r="L270" t="s">
        <v>3859</v>
      </c>
      <c r="M270" t="s">
        <v>102</v>
      </c>
      <c r="N270" t="s">
        <v>2143</v>
      </c>
      <c r="O270" t="s">
        <v>3976</v>
      </c>
      <c r="P270" t="s">
        <v>3977</v>
      </c>
      <c r="Q270" t="s">
        <v>3749</v>
      </c>
      <c r="R270" t="s">
        <v>2830</v>
      </c>
      <c r="U270">
        <v>77</v>
      </c>
      <c r="V270">
        <v>0</v>
      </c>
      <c r="W270">
        <v>80</v>
      </c>
      <c r="X270">
        <v>18.5</v>
      </c>
      <c r="Y270">
        <v>20.5</v>
      </c>
    </row>
    <row r="271" spans="1:25" x14ac:dyDescent="0.25">
      <c r="A271" t="s">
        <v>4005</v>
      </c>
      <c r="B271">
        <v>876</v>
      </c>
      <c r="C271">
        <v>270</v>
      </c>
      <c r="D271" t="s">
        <v>23</v>
      </c>
      <c r="E271" t="s">
        <v>3557</v>
      </c>
      <c r="F271" t="s">
        <v>3978</v>
      </c>
      <c r="G271" t="s">
        <v>4006</v>
      </c>
      <c r="H271">
        <v>0</v>
      </c>
      <c r="I271">
        <v>714</v>
      </c>
      <c r="J271">
        <v>210</v>
      </c>
      <c r="K271" t="str">
        <f t="shared" si="4"/>
        <v>logg374116</v>
      </c>
      <c r="L271" t="s">
        <v>3859</v>
      </c>
      <c r="M271" t="s">
        <v>102</v>
      </c>
      <c r="N271" t="s">
        <v>2285</v>
      </c>
      <c r="O271" t="s">
        <v>3976</v>
      </c>
      <c r="P271" t="s">
        <v>3977</v>
      </c>
      <c r="Q271" t="s">
        <v>3749</v>
      </c>
      <c r="R271" t="s">
        <v>2831</v>
      </c>
      <c r="U271">
        <v>79</v>
      </c>
      <c r="V271">
        <v>0</v>
      </c>
      <c r="W271">
        <v>80</v>
      </c>
      <c r="X271">
        <v>37.4</v>
      </c>
      <c r="Y271">
        <v>11.6</v>
      </c>
    </row>
    <row r="272" spans="1:25" x14ac:dyDescent="0.25">
      <c r="A272" t="s">
        <v>4007</v>
      </c>
      <c r="B272">
        <v>877</v>
      </c>
      <c r="C272">
        <v>271</v>
      </c>
      <c r="D272" t="s">
        <v>23</v>
      </c>
      <c r="E272" t="s">
        <v>3557</v>
      </c>
      <c r="F272" t="s">
        <v>3978</v>
      </c>
      <c r="G272" t="s">
        <v>4008</v>
      </c>
      <c r="H272">
        <v>0</v>
      </c>
      <c r="I272">
        <v>349</v>
      </c>
      <c r="J272">
        <v>381</v>
      </c>
      <c r="K272" t="str">
        <f t="shared" si="4"/>
        <v>logg185205</v>
      </c>
      <c r="L272" t="s">
        <v>3859</v>
      </c>
      <c r="M272" t="s">
        <v>102</v>
      </c>
      <c r="N272" t="s">
        <v>2143</v>
      </c>
      <c r="O272" t="s">
        <v>3976</v>
      </c>
      <c r="P272" t="s">
        <v>3977</v>
      </c>
      <c r="Q272" t="s">
        <v>3749</v>
      </c>
      <c r="R272" t="s">
        <v>2830</v>
      </c>
      <c r="U272">
        <v>80</v>
      </c>
      <c r="V272">
        <v>0</v>
      </c>
      <c r="W272">
        <v>80</v>
      </c>
      <c r="X272">
        <v>18.5</v>
      </c>
      <c r="Y272">
        <v>20.5</v>
      </c>
    </row>
    <row r="273" spans="1:25" x14ac:dyDescent="0.25">
      <c r="A273" t="s">
        <v>4009</v>
      </c>
      <c r="B273">
        <v>878</v>
      </c>
      <c r="C273">
        <v>272</v>
      </c>
      <c r="D273" t="s">
        <v>23</v>
      </c>
      <c r="E273" t="s">
        <v>3557</v>
      </c>
      <c r="F273" t="s">
        <v>3978</v>
      </c>
      <c r="G273" t="s">
        <v>4010</v>
      </c>
      <c r="H273">
        <v>0</v>
      </c>
      <c r="I273">
        <v>714</v>
      </c>
      <c r="J273">
        <v>210</v>
      </c>
      <c r="K273" t="str">
        <f t="shared" si="4"/>
        <v>logg374116</v>
      </c>
      <c r="L273" t="s">
        <v>3859</v>
      </c>
      <c r="M273" t="s">
        <v>102</v>
      </c>
      <c r="N273" t="s">
        <v>2285</v>
      </c>
      <c r="O273" t="s">
        <v>3976</v>
      </c>
      <c r="P273" t="s">
        <v>3977</v>
      </c>
      <c r="Q273" t="s">
        <v>3749</v>
      </c>
      <c r="R273" t="s">
        <v>2831</v>
      </c>
      <c r="U273">
        <v>80</v>
      </c>
      <c r="V273">
        <v>1</v>
      </c>
      <c r="W273">
        <v>80</v>
      </c>
      <c r="X273">
        <v>37.4</v>
      </c>
      <c r="Y273">
        <v>11.6</v>
      </c>
    </row>
    <row r="274" spans="1:25" x14ac:dyDescent="0.25">
      <c r="A274" t="s">
        <v>4011</v>
      </c>
      <c r="B274">
        <v>879</v>
      </c>
      <c r="C274">
        <v>273</v>
      </c>
      <c r="D274" t="s">
        <v>23</v>
      </c>
      <c r="E274" t="s">
        <v>3557</v>
      </c>
      <c r="F274" t="s">
        <v>3978</v>
      </c>
      <c r="G274" t="s">
        <v>4012</v>
      </c>
      <c r="H274">
        <v>0</v>
      </c>
      <c r="I274">
        <v>580</v>
      </c>
      <c r="J274">
        <v>116</v>
      </c>
      <c r="K274" t="str">
        <f t="shared" si="4"/>
        <v>logg30668</v>
      </c>
      <c r="L274" t="s">
        <v>3859</v>
      </c>
      <c r="M274" t="s">
        <v>102</v>
      </c>
      <c r="N274" t="s">
        <v>1786</v>
      </c>
      <c r="O274" t="s">
        <v>3976</v>
      </c>
      <c r="P274" t="s">
        <v>3977</v>
      </c>
      <c r="Q274" t="s">
        <v>3749</v>
      </c>
      <c r="R274" t="s">
        <v>2829</v>
      </c>
      <c r="U274">
        <v>80</v>
      </c>
      <c r="V274">
        <v>1</v>
      </c>
      <c r="W274">
        <v>80</v>
      </c>
      <c r="X274">
        <v>30.6</v>
      </c>
      <c r="Y274">
        <v>6.8</v>
      </c>
    </row>
    <row r="275" spans="1:25" x14ac:dyDescent="0.25">
      <c r="A275" t="s">
        <v>4013</v>
      </c>
      <c r="B275">
        <v>880</v>
      </c>
      <c r="C275">
        <v>274</v>
      </c>
      <c r="D275" t="s">
        <v>23</v>
      </c>
      <c r="E275" t="s">
        <v>3557</v>
      </c>
      <c r="F275" t="s">
        <v>3978</v>
      </c>
      <c r="G275" t="s">
        <v>4014</v>
      </c>
      <c r="H275">
        <v>0</v>
      </c>
      <c r="I275">
        <v>268</v>
      </c>
      <c r="J275">
        <v>263</v>
      </c>
      <c r="K275" t="str">
        <f t="shared" si="4"/>
        <v>logg143145</v>
      </c>
      <c r="L275" t="s">
        <v>3859</v>
      </c>
      <c r="M275" t="s">
        <v>133</v>
      </c>
      <c r="N275" t="s">
        <v>2386</v>
      </c>
      <c r="O275" t="s">
        <v>3976</v>
      </c>
      <c r="P275" t="s">
        <v>3977</v>
      </c>
      <c r="Q275" t="s">
        <v>3749</v>
      </c>
      <c r="R275" t="s">
        <v>2830</v>
      </c>
      <c r="U275">
        <v>81</v>
      </c>
      <c r="V275">
        <v>0</v>
      </c>
      <c r="W275">
        <v>85</v>
      </c>
      <c r="X275">
        <v>14.3</v>
      </c>
      <c r="Y275">
        <v>14.5</v>
      </c>
    </row>
    <row r="276" spans="1:25" x14ac:dyDescent="0.25">
      <c r="A276" t="s">
        <v>4015</v>
      </c>
      <c r="B276">
        <v>881</v>
      </c>
      <c r="C276">
        <v>275</v>
      </c>
      <c r="D276" t="s">
        <v>23</v>
      </c>
      <c r="E276" t="s">
        <v>3557</v>
      </c>
      <c r="F276" t="s">
        <v>3978</v>
      </c>
      <c r="G276" t="s">
        <v>4016</v>
      </c>
      <c r="H276">
        <v>0</v>
      </c>
      <c r="I276">
        <v>666</v>
      </c>
      <c r="J276">
        <v>99</v>
      </c>
      <c r="K276" t="str">
        <f t="shared" si="4"/>
        <v>logg3558</v>
      </c>
      <c r="L276" t="s">
        <v>3859</v>
      </c>
      <c r="M276" t="s">
        <v>133</v>
      </c>
      <c r="N276" t="s">
        <v>2436</v>
      </c>
      <c r="O276" t="s">
        <v>3976</v>
      </c>
      <c r="P276" t="s">
        <v>3977</v>
      </c>
      <c r="Q276" t="s">
        <v>3749</v>
      </c>
      <c r="R276" t="s">
        <v>2831</v>
      </c>
      <c r="U276">
        <v>83</v>
      </c>
      <c r="V276">
        <v>0</v>
      </c>
      <c r="W276">
        <v>85</v>
      </c>
      <c r="X276">
        <v>35</v>
      </c>
      <c r="Y276">
        <v>5.8</v>
      </c>
    </row>
    <row r="277" spans="1:25" x14ac:dyDescent="0.25">
      <c r="A277" t="s">
        <v>4017</v>
      </c>
      <c r="B277">
        <v>882</v>
      </c>
      <c r="C277">
        <v>276</v>
      </c>
      <c r="D277" t="s">
        <v>23</v>
      </c>
      <c r="E277" t="s">
        <v>3557</v>
      </c>
      <c r="F277" t="s">
        <v>3978</v>
      </c>
      <c r="G277" t="s">
        <v>4018</v>
      </c>
      <c r="H277">
        <v>0</v>
      </c>
      <c r="I277">
        <v>268</v>
      </c>
      <c r="J277">
        <v>263</v>
      </c>
      <c r="K277" t="str">
        <f t="shared" si="4"/>
        <v>logg143145</v>
      </c>
      <c r="L277" t="s">
        <v>3859</v>
      </c>
      <c r="M277" t="s">
        <v>133</v>
      </c>
      <c r="N277" t="s">
        <v>2386</v>
      </c>
      <c r="O277" t="s">
        <v>3976</v>
      </c>
      <c r="P277" t="s">
        <v>3977</v>
      </c>
      <c r="Q277" t="s">
        <v>3749</v>
      </c>
      <c r="R277" t="s">
        <v>2830</v>
      </c>
      <c r="U277">
        <v>85</v>
      </c>
      <c r="V277">
        <v>0</v>
      </c>
      <c r="W277">
        <v>85</v>
      </c>
      <c r="X277">
        <v>14.3</v>
      </c>
      <c r="Y277">
        <v>14.5</v>
      </c>
    </row>
    <row r="278" spans="1:25" x14ac:dyDescent="0.25">
      <c r="A278" t="s">
        <v>4019</v>
      </c>
      <c r="B278">
        <v>883</v>
      </c>
      <c r="C278">
        <v>277</v>
      </c>
      <c r="D278" t="s">
        <v>23</v>
      </c>
      <c r="E278" t="s">
        <v>3557</v>
      </c>
      <c r="F278" t="s">
        <v>3978</v>
      </c>
      <c r="G278" t="s">
        <v>4020</v>
      </c>
      <c r="H278">
        <v>0</v>
      </c>
      <c r="I278">
        <v>469</v>
      </c>
      <c r="J278">
        <v>92</v>
      </c>
      <c r="K278" t="str">
        <f t="shared" si="4"/>
        <v>logg24858</v>
      </c>
      <c r="L278" t="s">
        <v>3859</v>
      </c>
      <c r="M278" t="s">
        <v>133</v>
      </c>
      <c r="N278" t="s">
        <v>2536</v>
      </c>
      <c r="O278" t="s">
        <v>3976</v>
      </c>
      <c r="P278" t="s">
        <v>3977</v>
      </c>
      <c r="Q278" t="s">
        <v>3749</v>
      </c>
      <c r="R278" t="s">
        <v>2829</v>
      </c>
      <c r="U278">
        <v>87</v>
      </c>
      <c r="V278">
        <v>0</v>
      </c>
      <c r="W278">
        <v>90</v>
      </c>
      <c r="X278">
        <v>24.8</v>
      </c>
      <c r="Y278">
        <v>5.8</v>
      </c>
    </row>
    <row r="279" spans="1:25" x14ac:dyDescent="0.25">
      <c r="A279" t="s">
        <v>4021</v>
      </c>
      <c r="B279">
        <v>884</v>
      </c>
      <c r="C279">
        <v>278</v>
      </c>
      <c r="D279" t="s">
        <v>23</v>
      </c>
      <c r="E279" t="s">
        <v>3557</v>
      </c>
      <c r="F279" t="s">
        <v>3978</v>
      </c>
      <c r="G279" t="s">
        <v>4022</v>
      </c>
      <c r="H279">
        <v>0</v>
      </c>
      <c r="I279">
        <v>527</v>
      </c>
      <c r="J279">
        <v>471</v>
      </c>
      <c r="K279" t="str">
        <f t="shared" si="4"/>
        <v>logg278251</v>
      </c>
      <c r="L279" t="s">
        <v>3859</v>
      </c>
      <c r="M279" t="s">
        <v>133</v>
      </c>
      <c r="N279" t="s">
        <v>3512</v>
      </c>
      <c r="O279" t="s">
        <v>3976</v>
      </c>
      <c r="P279" t="s">
        <v>3977</v>
      </c>
      <c r="Q279" t="s">
        <v>11083</v>
      </c>
      <c r="U279">
        <v>90</v>
      </c>
      <c r="V279">
        <v>0</v>
      </c>
      <c r="W279">
        <v>90</v>
      </c>
      <c r="X279">
        <v>27.8</v>
      </c>
      <c r="Y279">
        <v>25.1</v>
      </c>
    </row>
    <row r="280" spans="1:25" x14ac:dyDescent="0.25">
      <c r="A280" t="s">
        <v>4023</v>
      </c>
      <c r="B280">
        <v>885</v>
      </c>
      <c r="C280">
        <v>279</v>
      </c>
      <c r="D280" t="s">
        <v>23</v>
      </c>
      <c r="E280" t="s">
        <v>3557</v>
      </c>
      <c r="F280" t="s">
        <v>3978</v>
      </c>
      <c r="G280" t="s">
        <v>4024</v>
      </c>
      <c r="H280">
        <v>0</v>
      </c>
      <c r="I280">
        <v>469</v>
      </c>
      <c r="J280">
        <v>92</v>
      </c>
      <c r="K280" t="str">
        <f t="shared" si="4"/>
        <v>logg24858</v>
      </c>
      <c r="L280" t="s">
        <v>3859</v>
      </c>
      <c r="M280" t="s">
        <v>133</v>
      </c>
      <c r="N280" t="s">
        <v>2536</v>
      </c>
      <c r="O280" t="s">
        <v>3976</v>
      </c>
      <c r="P280" t="s">
        <v>3977</v>
      </c>
      <c r="Q280" t="s">
        <v>3749</v>
      </c>
      <c r="R280" t="s">
        <v>2829</v>
      </c>
      <c r="U280">
        <v>90</v>
      </c>
      <c r="V280">
        <v>0</v>
      </c>
      <c r="W280">
        <v>90</v>
      </c>
      <c r="X280">
        <v>24.8</v>
      </c>
      <c r="Y280">
        <v>5.8</v>
      </c>
    </row>
    <row r="281" spans="1:25" x14ac:dyDescent="0.25">
      <c r="A281" t="s">
        <v>4025</v>
      </c>
      <c r="B281">
        <v>886</v>
      </c>
      <c r="C281">
        <v>280</v>
      </c>
      <c r="D281" t="s">
        <v>23</v>
      </c>
      <c r="E281" t="s">
        <v>3557</v>
      </c>
      <c r="F281" t="s">
        <v>3978</v>
      </c>
      <c r="G281" t="s">
        <v>4026</v>
      </c>
      <c r="H281">
        <v>0</v>
      </c>
      <c r="I281">
        <v>703</v>
      </c>
      <c r="J281">
        <v>664</v>
      </c>
      <c r="K281" t="str">
        <f t="shared" si="4"/>
        <v>logg367348</v>
      </c>
      <c r="L281" t="s">
        <v>3859</v>
      </c>
      <c r="M281" t="s">
        <v>215</v>
      </c>
      <c r="N281" t="s">
        <v>2682</v>
      </c>
      <c r="O281" t="s">
        <v>3976</v>
      </c>
      <c r="P281" t="s">
        <v>3977</v>
      </c>
      <c r="Q281" t="s">
        <v>3749</v>
      </c>
      <c r="R281" t="s">
        <v>2830</v>
      </c>
      <c r="U281">
        <v>96</v>
      </c>
      <c r="V281">
        <v>0</v>
      </c>
      <c r="W281">
        <v>100</v>
      </c>
      <c r="X281">
        <v>36.700000000000003</v>
      </c>
      <c r="Y281">
        <v>34.799999999999997</v>
      </c>
    </row>
    <row r="282" spans="1:25" x14ac:dyDescent="0.25">
      <c r="A282" t="s">
        <v>4027</v>
      </c>
      <c r="B282">
        <v>887</v>
      </c>
      <c r="C282">
        <v>281</v>
      </c>
      <c r="D282" t="s">
        <v>23</v>
      </c>
      <c r="E282" t="s">
        <v>3557</v>
      </c>
      <c r="F282" t="s">
        <v>3978</v>
      </c>
      <c r="G282" t="s">
        <v>4028</v>
      </c>
      <c r="H282">
        <v>0</v>
      </c>
      <c r="I282">
        <v>605</v>
      </c>
      <c r="J282">
        <v>378</v>
      </c>
      <c r="K282" t="str">
        <f t="shared" si="4"/>
        <v>logg316204</v>
      </c>
      <c r="L282" t="s">
        <v>3859</v>
      </c>
      <c r="M282" t="s">
        <v>215</v>
      </c>
      <c r="N282" t="s">
        <v>2714</v>
      </c>
      <c r="O282" t="s">
        <v>3976</v>
      </c>
      <c r="P282" t="s">
        <v>3977</v>
      </c>
      <c r="Q282" t="s">
        <v>3749</v>
      </c>
      <c r="R282" t="s">
        <v>2832</v>
      </c>
      <c r="U282">
        <v>98</v>
      </c>
      <c r="V282">
        <v>0</v>
      </c>
      <c r="W282">
        <v>100</v>
      </c>
      <c r="X282">
        <v>31.6</v>
      </c>
      <c r="Y282">
        <v>20.399999999999999</v>
      </c>
    </row>
    <row r="283" spans="1:25" x14ac:dyDescent="0.25">
      <c r="A283" t="s">
        <v>4029</v>
      </c>
      <c r="B283">
        <v>888</v>
      </c>
      <c r="C283">
        <v>282</v>
      </c>
      <c r="D283" t="s">
        <v>23</v>
      </c>
      <c r="E283" t="s">
        <v>3557</v>
      </c>
      <c r="F283" t="s">
        <v>3978</v>
      </c>
      <c r="G283" t="s">
        <v>4030</v>
      </c>
      <c r="H283">
        <v>0</v>
      </c>
      <c r="I283">
        <v>703</v>
      </c>
      <c r="J283">
        <v>664</v>
      </c>
      <c r="K283" t="str">
        <f t="shared" si="4"/>
        <v>logg367348</v>
      </c>
      <c r="L283" t="s">
        <v>3859</v>
      </c>
      <c r="M283" t="s">
        <v>215</v>
      </c>
      <c r="N283" t="s">
        <v>2682</v>
      </c>
      <c r="O283" t="s">
        <v>3976</v>
      </c>
      <c r="P283" t="s">
        <v>4031</v>
      </c>
      <c r="Q283" t="s">
        <v>3749</v>
      </c>
      <c r="R283" t="s">
        <v>2830</v>
      </c>
      <c r="U283">
        <v>100</v>
      </c>
      <c r="V283">
        <v>0</v>
      </c>
      <c r="W283">
        <v>100</v>
      </c>
      <c r="X283">
        <v>36.700000000000003</v>
      </c>
      <c r="Y283">
        <v>34.799999999999997</v>
      </c>
    </row>
    <row r="284" spans="1:25" x14ac:dyDescent="0.25">
      <c r="A284" t="s">
        <v>4032</v>
      </c>
      <c r="B284">
        <v>889</v>
      </c>
      <c r="C284">
        <v>283</v>
      </c>
      <c r="D284" t="s">
        <v>23</v>
      </c>
      <c r="E284" t="s">
        <v>3557</v>
      </c>
      <c r="F284" t="s">
        <v>3978</v>
      </c>
      <c r="G284" t="s">
        <v>4033</v>
      </c>
      <c r="H284">
        <v>0</v>
      </c>
      <c r="I284">
        <v>605</v>
      </c>
      <c r="J284">
        <v>378</v>
      </c>
      <c r="K284" t="str">
        <f t="shared" si="4"/>
        <v>logg316204</v>
      </c>
      <c r="L284" t="s">
        <v>3859</v>
      </c>
      <c r="M284" t="s">
        <v>215</v>
      </c>
      <c r="N284" t="s">
        <v>2714</v>
      </c>
      <c r="O284" t="s">
        <v>3976</v>
      </c>
      <c r="P284" t="s">
        <v>4031</v>
      </c>
      <c r="Q284" t="s">
        <v>3749</v>
      </c>
      <c r="R284" t="s">
        <v>2832</v>
      </c>
      <c r="U284">
        <v>100</v>
      </c>
      <c r="V284">
        <v>1</v>
      </c>
      <c r="W284">
        <v>100</v>
      </c>
      <c r="X284">
        <v>31.6</v>
      </c>
      <c r="Y284">
        <v>20.399999999999999</v>
      </c>
    </row>
    <row r="285" spans="1:25" x14ac:dyDescent="0.25">
      <c r="A285" t="s">
        <v>4034</v>
      </c>
      <c r="B285">
        <v>890</v>
      </c>
      <c r="C285">
        <v>284</v>
      </c>
      <c r="D285" t="s">
        <v>23</v>
      </c>
      <c r="E285" t="s">
        <v>3557</v>
      </c>
      <c r="F285" t="s">
        <v>4036</v>
      </c>
      <c r="G285" t="s">
        <v>4035</v>
      </c>
      <c r="H285">
        <v>0</v>
      </c>
      <c r="I285">
        <v>175</v>
      </c>
      <c r="J285">
        <v>167</v>
      </c>
      <c r="K285" t="str">
        <f t="shared" si="4"/>
        <v>logg1097</v>
      </c>
      <c r="M285" t="s">
        <v>11</v>
      </c>
      <c r="N285" t="s">
        <v>1713</v>
      </c>
      <c r="Q285" t="s">
        <v>4037</v>
      </c>
      <c r="R285" t="s">
        <v>2833</v>
      </c>
      <c r="S285" t="s">
        <v>4038</v>
      </c>
      <c r="U285">
        <v>60</v>
      </c>
      <c r="V285">
        <v>1</v>
      </c>
      <c r="W285">
        <v>60</v>
      </c>
      <c r="X285">
        <v>10</v>
      </c>
      <c r="Y285">
        <v>9.6999999999999993</v>
      </c>
    </row>
    <row r="286" spans="1:25" x14ac:dyDescent="0.25">
      <c r="A286" t="s">
        <v>4039</v>
      </c>
      <c r="B286">
        <v>891</v>
      </c>
      <c r="C286">
        <v>285</v>
      </c>
      <c r="D286" t="s">
        <v>23</v>
      </c>
      <c r="E286" t="s">
        <v>3557</v>
      </c>
      <c r="F286" t="s">
        <v>4036</v>
      </c>
      <c r="G286" t="s">
        <v>4040</v>
      </c>
      <c r="H286">
        <v>0</v>
      </c>
      <c r="I286">
        <v>175</v>
      </c>
      <c r="J286">
        <v>167</v>
      </c>
      <c r="K286" t="str">
        <f t="shared" si="4"/>
        <v>logg1097</v>
      </c>
      <c r="M286" t="s">
        <v>11</v>
      </c>
      <c r="N286" t="s">
        <v>1713</v>
      </c>
      <c r="Q286" t="s">
        <v>4037</v>
      </c>
      <c r="R286" t="s">
        <v>2833</v>
      </c>
      <c r="S286" t="s">
        <v>4038</v>
      </c>
      <c r="U286">
        <v>60</v>
      </c>
      <c r="V286">
        <v>1</v>
      </c>
      <c r="W286">
        <v>60</v>
      </c>
      <c r="X286">
        <v>10</v>
      </c>
      <c r="Y286">
        <v>9.6999999999999993</v>
      </c>
    </row>
    <row r="287" spans="1:25" x14ac:dyDescent="0.25">
      <c r="A287" t="s">
        <v>4041</v>
      </c>
      <c r="B287">
        <v>892</v>
      </c>
      <c r="C287">
        <v>286</v>
      </c>
      <c r="D287" t="s">
        <v>23</v>
      </c>
      <c r="E287" t="s">
        <v>3557</v>
      </c>
      <c r="F287" t="s">
        <v>4036</v>
      </c>
      <c r="G287" t="s">
        <v>4042</v>
      </c>
      <c r="H287">
        <v>0</v>
      </c>
      <c r="I287">
        <v>178</v>
      </c>
      <c r="J287">
        <v>688</v>
      </c>
      <c r="K287" t="str">
        <f t="shared" si="4"/>
        <v>logg103381</v>
      </c>
      <c r="M287" t="s">
        <v>11</v>
      </c>
      <c r="N287" t="s">
        <v>1723</v>
      </c>
      <c r="Q287" t="s">
        <v>4037</v>
      </c>
      <c r="R287" t="s">
        <v>2834</v>
      </c>
      <c r="S287" t="s">
        <v>4038</v>
      </c>
      <c r="U287">
        <v>60</v>
      </c>
      <c r="V287">
        <v>3</v>
      </c>
      <c r="W287">
        <v>60</v>
      </c>
      <c r="X287">
        <v>10.3</v>
      </c>
      <c r="Y287">
        <v>38.1</v>
      </c>
    </row>
    <row r="288" spans="1:25" x14ac:dyDescent="0.25">
      <c r="A288" t="s">
        <v>4043</v>
      </c>
      <c r="B288">
        <v>893</v>
      </c>
      <c r="C288">
        <v>287</v>
      </c>
      <c r="D288" t="s">
        <v>23</v>
      </c>
      <c r="E288" t="s">
        <v>3557</v>
      </c>
      <c r="F288" t="s">
        <v>4036</v>
      </c>
      <c r="G288" t="s">
        <v>4044</v>
      </c>
      <c r="H288">
        <v>0</v>
      </c>
      <c r="I288">
        <v>129</v>
      </c>
      <c r="J288">
        <v>500</v>
      </c>
      <c r="K288" t="str">
        <f t="shared" si="4"/>
        <v>logg7628</v>
      </c>
      <c r="M288" t="s">
        <v>11</v>
      </c>
      <c r="N288" t="s">
        <v>1691</v>
      </c>
      <c r="Q288" t="s">
        <v>4037</v>
      </c>
      <c r="R288" t="s">
        <v>2829</v>
      </c>
      <c r="S288" t="s">
        <v>4038</v>
      </c>
      <c r="U288">
        <v>60</v>
      </c>
      <c r="V288">
        <v>3</v>
      </c>
      <c r="W288">
        <v>60</v>
      </c>
      <c r="X288">
        <v>7.6</v>
      </c>
      <c r="Y288">
        <v>28</v>
      </c>
    </row>
    <row r="289" spans="1:25" x14ac:dyDescent="0.25">
      <c r="A289" t="s">
        <v>4045</v>
      </c>
      <c r="B289">
        <v>894</v>
      </c>
      <c r="C289">
        <v>288</v>
      </c>
      <c r="D289" t="s">
        <v>23</v>
      </c>
      <c r="E289" t="s">
        <v>3557</v>
      </c>
      <c r="F289" t="s">
        <v>4036</v>
      </c>
      <c r="G289" t="s">
        <v>4046</v>
      </c>
      <c r="H289">
        <v>0</v>
      </c>
      <c r="I289">
        <v>396</v>
      </c>
      <c r="J289">
        <v>99</v>
      </c>
      <c r="K289" t="str">
        <f t="shared" si="4"/>
        <v>logg22263</v>
      </c>
      <c r="M289" t="s">
        <v>11</v>
      </c>
      <c r="N289" t="s">
        <v>1616</v>
      </c>
      <c r="Q289" t="s">
        <v>4037</v>
      </c>
      <c r="R289" t="s">
        <v>2829</v>
      </c>
      <c r="S289" t="s">
        <v>4047</v>
      </c>
      <c r="U289">
        <v>60</v>
      </c>
      <c r="V289">
        <v>1</v>
      </c>
      <c r="W289">
        <v>60</v>
      </c>
      <c r="X289">
        <v>22.2</v>
      </c>
      <c r="Y289">
        <v>6.3</v>
      </c>
    </row>
    <row r="290" spans="1:25" x14ac:dyDescent="0.25">
      <c r="A290" t="s">
        <v>4048</v>
      </c>
      <c r="B290">
        <v>895</v>
      </c>
      <c r="C290">
        <v>289</v>
      </c>
      <c r="D290" t="s">
        <v>23</v>
      </c>
      <c r="E290" t="s">
        <v>3557</v>
      </c>
      <c r="F290" t="s">
        <v>4036</v>
      </c>
      <c r="G290" t="s">
        <v>4049</v>
      </c>
      <c r="H290">
        <v>0</v>
      </c>
      <c r="I290">
        <v>409</v>
      </c>
      <c r="J290">
        <v>155</v>
      </c>
      <c r="K290" t="str">
        <f t="shared" si="4"/>
        <v>logg2391</v>
      </c>
      <c r="M290" t="s">
        <v>11</v>
      </c>
      <c r="N290" t="s">
        <v>1633</v>
      </c>
      <c r="Q290" t="s">
        <v>4037</v>
      </c>
      <c r="R290" t="s">
        <v>2830</v>
      </c>
      <c r="S290" t="s">
        <v>4047</v>
      </c>
      <c r="U290">
        <v>60</v>
      </c>
      <c r="V290">
        <v>1</v>
      </c>
      <c r="W290">
        <v>60</v>
      </c>
      <c r="X290">
        <v>23</v>
      </c>
      <c r="Y290">
        <v>9.1</v>
      </c>
    </row>
    <row r="291" spans="1:25" x14ac:dyDescent="0.25">
      <c r="A291" t="s">
        <v>4050</v>
      </c>
      <c r="B291">
        <v>896</v>
      </c>
      <c r="C291">
        <v>290</v>
      </c>
      <c r="D291" t="s">
        <v>23</v>
      </c>
      <c r="E291" t="s">
        <v>3557</v>
      </c>
      <c r="F291" t="s">
        <v>4036</v>
      </c>
      <c r="G291" t="s">
        <v>4051</v>
      </c>
      <c r="H291">
        <v>0</v>
      </c>
      <c r="I291">
        <v>218</v>
      </c>
      <c r="J291">
        <v>230</v>
      </c>
      <c r="K291" t="str">
        <f t="shared" si="4"/>
        <v>logg118127</v>
      </c>
      <c r="M291" t="s">
        <v>73</v>
      </c>
      <c r="N291" t="s">
        <v>1821</v>
      </c>
      <c r="Q291" t="s">
        <v>4037</v>
      </c>
      <c r="R291" t="s">
        <v>2832</v>
      </c>
      <c r="S291" t="s">
        <v>4052</v>
      </c>
      <c r="U291">
        <v>70</v>
      </c>
      <c r="V291">
        <v>1</v>
      </c>
      <c r="W291">
        <v>70</v>
      </c>
      <c r="X291">
        <v>11.8</v>
      </c>
      <c r="Y291">
        <v>12.7</v>
      </c>
    </row>
    <row r="292" spans="1:25" x14ac:dyDescent="0.25">
      <c r="A292" t="s">
        <v>4053</v>
      </c>
      <c r="B292">
        <v>897</v>
      </c>
      <c r="C292">
        <v>291</v>
      </c>
      <c r="D292" t="s">
        <v>23</v>
      </c>
      <c r="E292" t="s">
        <v>3557</v>
      </c>
      <c r="F292" t="s">
        <v>4036</v>
      </c>
      <c r="G292" t="s">
        <v>4054</v>
      </c>
      <c r="H292">
        <v>0</v>
      </c>
      <c r="I292">
        <v>273</v>
      </c>
      <c r="J292">
        <v>395</v>
      </c>
      <c r="K292" t="str">
        <f t="shared" si="4"/>
        <v>logg148212</v>
      </c>
      <c r="M292" t="s">
        <v>73</v>
      </c>
      <c r="N292" t="s">
        <v>1746</v>
      </c>
      <c r="Q292" t="s">
        <v>4037</v>
      </c>
      <c r="R292" t="s">
        <v>2831</v>
      </c>
      <c r="S292" t="s">
        <v>4052</v>
      </c>
      <c r="U292">
        <v>70</v>
      </c>
      <c r="V292">
        <v>2</v>
      </c>
      <c r="W292">
        <v>70</v>
      </c>
      <c r="X292">
        <v>14.8</v>
      </c>
      <c r="Y292">
        <v>21.2</v>
      </c>
    </row>
    <row r="293" spans="1:25" x14ac:dyDescent="0.25">
      <c r="A293" t="s">
        <v>4055</v>
      </c>
      <c r="B293">
        <v>898</v>
      </c>
      <c r="C293">
        <v>292</v>
      </c>
      <c r="D293" t="s">
        <v>23</v>
      </c>
      <c r="E293" t="s">
        <v>3557</v>
      </c>
      <c r="F293" t="s">
        <v>4036</v>
      </c>
      <c r="G293" t="s">
        <v>4056</v>
      </c>
      <c r="H293">
        <v>0</v>
      </c>
      <c r="I293">
        <v>273</v>
      </c>
      <c r="J293">
        <v>395</v>
      </c>
      <c r="K293" t="str">
        <f t="shared" si="4"/>
        <v>logg148212</v>
      </c>
      <c r="M293" t="s">
        <v>73</v>
      </c>
      <c r="N293" t="s">
        <v>1746</v>
      </c>
      <c r="Q293" t="s">
        <v>4037</v>
      </c>
      <c r="R293" t="s">
        <v>2831</v>
      </c>
      <c r="S293" t="s">
        <v>4052</v>
      </c>
      <c r="U293">
        <v>70</v>
      </c>
      <c r="V293">
        <v>2</v>
      </c>
      <c r="W293">
        <v>70</v>
      </c>
      <c r="X293">
        <v>14.8</v>
      </c>
      <c r="Y293">
        <v>21.2</v>
      </c>
    </row>
    <row r="294" spans="1:25" x14ac:dyDescent="0.25">
      <c r="A294" t="s">
        <v>4057</v>
      </c>
      <c r="B294">
        <v>899</v>
      </c>
      <c r="C294">
        <v>293</v>
      </c>
      <c r="D294" t="s">
        <v>23</v>
      </c>
      <c r="E294" t="s">
        <v>3557</v>
      </c>
      <c r="F294" t="s">
        <v>4036</v>
      </c>
      <c r="G294" t="s">
        <v>4058</v>
      </c>
      <c r="H294">
        <v>0</v>
      </c>
      <c r="I294">
        <v>636</v>
      </c>
      <c r="J294">
        <v>190</v>
      </c>
      <c r="K294" t="str">
        <f t="shared" si="4"/>
        <v>logg333106</v>
      </c>
      <c r="M294" t="s">
        <v>73</v>
      </c>
      <c r="N294" t="s">
        <v>1783</v>
      </c>
      <c r="Q294" t="s">
        <v>4037</v>
      </c>
      <c r="R294" t="s">
        <v>2831</v>
      </c>
      <c r="S294" t="s">
        <v>4052</v>
      </c>
      <c r="U294">
        <v>70</v>
      </c>
      <c r="V294">
        <v>3</v>
      </c>
      <c r="W294">
        <v>70</v>
      </c>
      <c r="X294">
        <v>33.299999999999997</v>
      </c>
      <c r="Y294">
        <v>10.6</v>
      </c>
    </row>
    <row r="295" spans="1:25" x14ac:dyDescent="0.25">
      <c r="A295" t="s">
        <v>4059</v>
      </c>
      <c r="B295">
        <v>900</v>
      </c>
      <c r="C295">
        <v>294</v>
      </c>
      <c r="D295" t="s">
        <v>23</v>
      </c>
      <c r="E295" t="s">
        <v>3557</v>
      </c>
      <c r="F295" t="s">
        <v>4036</v>
      </c>
      <c r="G295" t="s">
        <v>4060</v>
      </c>
      <c r="H295">
        <v>0</v>
      </c>
      <c r="I295">
        <v>465</v>
      </c>
      <c r="J295">
        <v>699</v>
      </c>
      <c r="K295" t="str">
        <f t="shared" si="4"/>
        <v>logg246369</v>
      </c>
      <c r="M295" t="s">
        <v>73</v>
      </c>
      <c r="N295" t="s">
        <v>2258</v>
      </c>
      <c r="Q295" t="s">
        <v>4037</v>
      </c>
      <c r="R295" t="s">
        <v>2830</v>
      </c>
      <c r="S295" t="s">
        <v>4061</v>
      </c>
      <c r="U295">
        <v>80</v>
      </c>
      <c r="V295">
        <v>1</v>
      </c>
      <c r="W295">
        <v>80</v>
      </c>
      <c r="X295">
        <v>24.6</v>
      </c>
      <c r="Y295">
        <v>36.9</v>
      </c>
    </row>
    <row r="296" spans="1:25" x14ac:dyDescent="0.25">
      <c r="A296" t="s">
        <v>4062</v>
      </c>
      <c r="B296">
        <v>901</v>
      </c>
      <c r="C296">
        <v>295</v>
      </c>
      <c r="D296" t="s">
        <v>23</v>
      </c>
      <c r="E296" t="s">
        <v>3557</v>
      </c>
      <c r="F296" t="s">
        <v>4036</v>
      </c>
      <c r="G296" t="s">
        <v>4063</v>
      </c>
      <c r="H296">
        <v>0</v>
      </c>
      <c r="I296">
        <v>465</v>
      </c>
      <c r="J296">
        <v>699</v>
      </c>
      <c r="K296" t="str">
        <f t="shared" si="4"/>
        <v>logg246369</v>
      </c>
      <c r="M296" t="s">
        <v>73</v>
      </c>
      <c r="N296" t="s">
        <v>2258</v>
      </c>
      <c r="Q296" t="s">
        <v>4037</v>
      </c>
      <c r="R296" t="s">
        <v>2830</v>
      </c>
      <c r="S296" t="s">
        <v>4061</v>
      </c>
      <c r="U296">
        <v>80</v>
      </c>
      <c r="V296">
        <v>1</v>
      </c>
      <c r="W296">
        <v>80</v>
      </c>
      <c r="X296">
        <v>24.6</v>
      </c>
      <c r="Y296">
        <v>36.9</v>
      </c>
    </row>
    <row r="297" spans="1:25" x14ac:dyDescent="0.25">
      <c r="A297" t="s">
        <v>4064</v>
      </c>
      <c r="B297">
        <v>902</v>
      </c>
      <c r="C297">
        <v>296</v>
      </c>
      <c r="D297" t="s">
        <v>23</v>
      </c>
      <c r="E297" t="s">
        <v>3557</v>
      </c>
      <c r="F297" t="s">
        <v>4036</v>
      </c>
      <c r="G297" t="s">
        <v>4065</v>
      </c>
      <c r="H297">
        <v>0</v>
      </c>
      <c r="I297">
        <v>695</v>
      </c>
      <c r="J297">
        <v>513</v>
      </c>
      <c r="K297" t="str">
        <f t="shared" si="4"/>
        <v>logg364274</v>
      </c>
      <c r="M297" t="s">
        <v>73</v>
      </c>
      <c r="N297" t="s">
        <v>2217</v>
      </c>
      <c r="Q297" t="s">
        <v>4037</v>
      </c>
      <c r="R297" t="s">
        <v>2833</v>
      </c>
      <c r="S297" t="s">
        <v>4061</v>
      </c>
      <c r="U297">
        <v>80</v>
      </c>
      <c r="V297">
        <v>2</v>
      </c>
      <c r="W297">
        <v>80</v>
      </c>
      <c r="X297">
        <v>36.4</v>
      </c>
      <c r="Y297">
        <v>27.4</v>
      </c>
    </row>
    <row r="298" spans="1:25" x14ac:dyDescent="0.25">
      <c r="A298" t="s">
        <v>4066</v>
      </c>
      <c r="B298">
        <v>903</v>
      </c>
      <c r="C298">
        <v>297</v>
      </c>
      <c r="D298" t="s">
        <v>23</v>
      </c>
      <c r="E298" t="s">
        <v>3557</v>
      </c>
      <c r="F298" t="s">
        <v>4036</v>
      </c>
      <c r="G298" t="s">
        <v>4067</v>
      </c>
      <c r="H298">
        <v>0</v>
      </c>
      <c r="I298">
        <v>296</v>
      </c>
      <c r="J298">
        <v>198</v>
      </c>
      <c r="K298" t="str">
        <f t="shared" si="4"/>
        <v>logg161109</v>
      </c>
      <c r="M298" t="s">
        <v>73</v>
      </c>
      <c r="N298" t="s">
        <v>2141</v>
      </c>
      <c r="Q298" t="s">
        <v>4037</v>
      </c>
      <c r="R298" t="s">
        <v>2832</v>
      </c>
      <c r="S298" t="s">
        <v>4061</v>
      </c>
      <c r="U298">
        <v>80</v>
      </c>
      <c r="V298">
        <v>3</v>
      </c>
      <c r="W298">
        <v>80</v>
      </c>
      <c r="X298">
        <v>16.100000000000001</v>
      </c>
      <c r="Y298">
        <v>10.9</v>
      </c>
    </row>
    <row r="299" spans="1:25" x14ac:dyDescent="0.25">
      <c r="A299" t="s">
        <v>4068</v>
      </c>
      <c r="B299">
        <v>904</v>
      </c>
      <c r="C299">
        <v>298</v>
      </c>
      <c r="D299" t="s">
        <v>23</v>
      </c>
      <c r="E299" t="s">
        <v>3557</v>
      </c>
      <c r="F299" t="s">
        <v>4036</v>
      </c>
      <c r="G299" t="s">
        <v>4069</v>
      </c>
      <c r="H299">
        <v>0</v>
      </c>
      <c r="I299">
        <v>88</v>
      </c>
      <c r="J299">
        <v>499</v>
      </c>
      <c r="K299" t="str">
        <f t="shared" si="4"/>
        <v>logg52265</v>
      </c>
      <c r="M299" t="s">
        <v>73</v>
      </c>
      <c r="N299" t="s">
        <v>2034</v>
      </c>
      <c r="Q299" t="s">
        <v>4037</v>
      </c>
      <c r="R299" t="s">
        <v>2829</v>
      </c>
      <c r="S299" t="s">
        <v>4061</v>
      </c>
      <c r="U299">
        <v>80</v>
      </c>
      <c r="V299">
        <v>3</v>
      </c>
      <c r="W299">
        <v>80</v>
      </c>
      <c r="X299">
        <v>5.2</v>
      </c>
      <c r="Y299">
        <v>26.5</v>
      </c>
    </row>
    <row r="300" spans="1:25" x14ac:dyDescent="0.25">
      <c r="A300" t="s">
        <v>4070</v>
      </c>
      <c r="B300">
        <v>905</v>
      </c>
      <c r="C300">
        <v>299</v>
      </c>
      <c r="D300" t="s">
        <v>23</v>
      </c>
      <c r="E300" t="s">
        <v>3557</v>
      </c>
      <c r="F300" t="s">
        <v>4036</v>
      </c>
      <c r="G300" t="s">
        <v>4071</v>
      </c>
      <c r="H300">
        <v>0</v>
      </c>
      <c r="I300">
        <v>549</v>
      </c>
      <c r="J300">
        <v>502</v>
      </c>
      <c r="K300" t="str">
        <f t="shared" si="4"/>
        <v>logg29268</v>
      </c>
      <c r="M300" t="s">
        <v>133</v>
      </c>
      <c r="N300" t="s">
        <v>2370</v>
      </c>
      <c r="Q300" t="s">
        <v>4037</v>
      </c>
      <c r="R300" t="s">
        <v>2829</v>
      </c>
      <c r="S300" t="s">
        <v>4072</v>
      </c>
      <c r="T300">
        <v>3600</v>
      </c>
      <c r="U300">
        <v>90</v>
      </c>
      <c r="V300">
        <v>2</v>
      </c>
      <c r="W300">
        <v>90</v>
      </c>
      <c r="X300">
        <v>29</v>
      </c>
      <c r="Y300">
        <v>26.8</v>
      </c>
    </row>
    <row r="301" spans="1:25" x14ac:dyDescent="0.25">
      <c r="A301" t="s">
        <v>4073</v>
      </c>
      <c r="B301">
        <v>906</v>
      </c>
      <c r="C301">
        <v>300</v>
      </c>
      <c r="D301" t="s">
        <v>23</v>
      </c>
      <c r="E301" t="s">
        <v>3557</v>
      </c>
      <c r="F301" t="s">
        <v>4036</v>
      </c>
      <c r="G301" t="s">
        <v>4074</v>
      </c>
      <c r="H301">
        <v>0</v>
      </c>
      <c r="I301">
        <v>532</v>
      </c>
      <c r="J301">
        <v>205</v>
      </c>
      <c r="K301" t="str">
        <f t="shared" si="4"/>
        <v>logg281113</v>
      </c>
      <c r="M301" t="s">
        <v>133</v>
      </c>
      <c r="N301" t="s">
        <v>2351</v>
      </c>
      <c r="Q301" t="s">
        <v>4037</v>
      </c>
      <c r="R301" t="s">
        <v>2831</v>
      </c>
      <c r="S301" t="s">
        <v>4072</v>
      </c>
      <c r="T301">
        <v>3600</v>
      </c>
      <c r="U301">
        <v>90</v>
      </c>
      <c r="V301">
        <v>2</v>
      </c>
      <c r="W301">
        <v>90</v>
      </c>
      <c r="X301">
        <v>28.1</v>
      </c>
      <c r="Y301">
        <v>11.3</v>
      </c>
    </row>
    <row r="302" spans="1:25" x14ac:dyDescent="0.25">
      <c r="A302" t="s">
        <v>4075</v>
      </c>
      <c r="B302">
        <v>907</v>
      </c>
      <c r="C302">
        <v>301</v>
      </c>
      <c r="D302" t="s">
        <v>23</v>
      </c>
      <c r="E302" t="s">
        <v>3557</v>
      </c>
      <c r="F302" t="s">
        <v>4036</v>
      </c>
      <c r="G302" t="s">
        <v>4076</v>
      </c>
      <c r="H302">
        <v>0</v>
      </c>
      <c r="I302">
        <v>532</v>
      </c>
      <c r="J302">
        <v>205</v>
      </c>
      <c r="K302" t="str">
        <f t="shared" si="4"/>
        <v>logg281113</v>
      </c>
      <c r="M302" t="s">
        <v>133</v>
      </c>
      <c r="N302" t="s">
        <v>2351</v>
      </c>
      <c r="Q302" t="s">
        <v>4037</v>
      </c>
      <c r="R302" t="s">
        <v>2831</v>
      </c>
      <c r="S302" t="s">
        <v>4072</v>
      </c>
      <c r="T302">
        <v>3625</v>
      </c>
      <c r="U302">
        <v>90</v>
      </c>
      <c r="V302">
        <v>2</v>
      </c>
      <c r="W302">
        <v>90</v>
      </c>
      <c r="X302">
        <v>28.1</v>
      </c>
      <c r="Y302">
        <v>11.3</v>
      </c>
    </row>
    <row r="303" spans="1:25" x14ac:dyDescent="0.25">
      <c r="A303" t="s">
        <v>4077</v>
      </c>
      <c r="B303">
        <v>908</v>
      </c>
      <c r="C303">
        <v>302</v>
      </c>
      <c r="D303" t="s">
        <v>23</v>
      </c>
      <c r="E303" t="s">
        <v>3557</v>
      </c>
      <c r="F303" t="s">
        <v>4036</v>
      </c>
      <c r="G303" t="s">
        <v>4078</v>
      </c>
      <c r="H303">
        <v>0</v>
      </c>
      <c r="I303">
        <v>355</v>
      </c>
      <c r="J303">
        <v>681</v>
      </c>
      <c r="K303" t="str">
        <f t="shared" si="4"/>
        <v>logg19359</v>
      </c>
      <c r="M303" t="s">
        <v>133</v>
      </c>
      <c r="N303" t="s">
        <v>2354</v>
      </c>
      <c r="Q303" t="s">
        <v>4037</v>
      </c>
      <c r="R303" t="s">
        <v>2830</v>
      </c>
      <c r="S303" t="s">
        <v>4072</v>
      </c>
      <c r="T303">
        <v>3850</v>
      </c>
      <c r="U303">
        <v>90</v>
      </c>
      <c r="V303">
        <v>3</v>
      </c>
      <c r="W303">
        <v>90</v>
      </c>
      <c r="X303">
        <v>19</v>
      </c>
      <c r="Y303">
        <v>35.9</v>
      </c>
    </row>
    <row r="304" spans="1:25" x14ac:dyDescent="0.25">
      <c r="A304" t="s">
        <v>4079</v>
      </c>
      <c r="B304">
        <v>909</v>
      </c>
      <c r="C304">
        <v>303</v>
      </c>
      <c r="D304" t="s">
        <v>23</v>
      </c>
      <c r="E304" t="s">
        <v>3557</v>
      </c>
      <c r="F304" t="s">
        <v>4036</v>
      </c>
      <c r="G304" t="s">
        <v>184</v>
      </c>
      <c r="H304">
        <v>0</v>
      </c>
      <c r="I304">
        <v>549</v>
      </c>
      <c r="J304">
        <v>502</v>
      </c>
      <c r="K304" t="str">
        <f t="shared" si="4"/>
        <v>logg29268</v>
      </c>
      <c r="L304" t="s">
        <v>3859</v>
      </c>
      <c r="M304" t="s">
        <v>133</v>
      </c>
      <c r="N304" t="s">
        <v>2370</v>
      </c>
      <c r="O304" t="s">
        <v>3886</v>
      </c>
      <c r="Q304" t="s">
        <v>4037</v>
      </c>
      <c r="R304" t="s">
        <v>2829</v>
      </c>
      <c r="S304" t="s">
        <v>4072</v>
      </c>
      <c r="T304">
        <v>4000</v>
      </c>
      <c r="U304">
        <v>90</v>
      </c>
      <c r="V304">
        <v>3</v>
      </c>
      <c r="W304">
        <v>90</v>
      </c>
      <c r="X304">
        <v>29</v>
      </c>
      <c r="Y304">
        <v>26.8</v>
      </c>
    </row>
    <row r="305" spans="1:25" x14ac:dyDescent="0.25">
      <c r="A305" t="s">
        <v>4080</v>
      </c>
      <c r="B305">
        <v>910</v>
      </c>
      <c r="C305">
        <v>304</v>
      </c>
      <c r="D305" t="s">
        <v>23</v>
      </c>
      <c r="E305" t="s">
        <v>3557</v>
      </c>
      <c r="F305" t="s">
        <v>4036</v>
      </c>
      <c r="G305" t="s">
        <v>209</v>
      </c>
      <c r="H305">
        <v>0</v>
      </c>
      <c r="I305">
        <v>549</v>
      </c>
      <c r="J305">
        <v>502</v>
      </c>
      <c r="K305" t="str">
        <f t="shared" si="4"/>
        <v>logg29268</v>
      </c>
      <c r="L305" t="s">
        <v>3859</v>
      </c>
      <c r="M305" t="s">
        <v>133</v>
      </c>
      <c r="N305" t="s">
        <v>2370</v>
      </c>
      <c r="O305" t="s">
        <v>3886</v>
      </c>
      <c r="Q305" t="s">
        <v>4037</v>
      </c>
      <c r="R305" t="s">
        <v>2829</v>
      </c>
      <c r="S305" t="s">
        <v>4072</v>
      </c>
      <c r="T305">
        <v>4000</v>
      </c>
      <c r="U305">
        <v>90</v>
      </c>
      <c r="V305">
        <v>3</v>
      </c>
      <c r="W305">
        <v>90</v>
      </c>
      <c r="X305">
        <v>29</v>
      </c>
      <c r="Y305">
        <v>26.8</v>
      </c>
    </row>
    <row r="306" spans="1:25" x14ac:dyDescent="0.25">
      <c r="A306" t="s">
        <v>4081</v>
      </c>
      <c r="B306">
        <v>911</v>
      </c>
      <c r="C306">
        <v>305</v>
      </c>
      <c r="D306" t="s">
        <v>23</v>
      </c>
      <c r="E306" t="s">
        <v>3557</v>
      </c>
      <c r="F306" t="s">
        <v>4036</v>
      </c>
      <c r="G306" t="s">
        <v>193</v>
      </c>
      <c r="H306">
        <v>0</v>
      </c>
      <c r="I306">
        <v>355</v>
      </c>
      <c r="J306">
        <v>681</v>
      </c>
      <c r="K306" t="str">
        <f t="shared" si="4"/>
        <v>logg19359</v>
      </c>
      <c r="L306" t="s">
        <v>3859</v>
      </c>
      <c r="M306" t="s">
        <v>133</v>
      </c>
      <c r="N306" t="s">
        <v>2354</v>
      </c>
      <c r="O306" t="s">
        <v>3886</v>
      </c>
      <c r="Q306" t="s">
        <v>4037</v>
      </c>
      <c r="R306" t="s">
        <v>2830</v>
      </c>
      <c r="S306" t="s">
        <v>4072</v>
      </c>
      <c r="T306">
        <v>4000</v>
      </c>
      <c r="U306">
        <v>90</v>
      </c>
      <c r="V306">
        <v>4</v>
      </c>
      <c r="W306">
        <v>90</v>
      </c>
      <c r="X306">
        <v>19</v>
      </c>
      <c r="Y306">
        <v>35.9</v>
      </c>
    </row>
    <row r="307" spans="1:25" x14ac:dyDescent="0.25">
      <c r="A307" t="s">
        <v>4082</v>
      </c>
      <c r="B307">
        <v>912</v>
      </c>
      <c r="C307">
        <v>306</v>
      </c>
      <c r="D307" t="s">
        <v>23</v>
      </c>
      <c r="E307" t="s">
        <v>3557</v>
      </c>
      <c r="F307" t="s">
        <v>4036</v>
      </c>
      <c r="G307" t="s">
        <v>213</v>
      </c>
      <c r="H307">
        <v>0</v>
      </c>
      <c r="I307">
        <v>355</v>
      </c>
      <c r="J307">
        <v>681</v>
      </c>
      <c r="K307" t="str">
        <f t="shared" si="4"/>
        <v>logg19359</v>
      </c>
      <c r="L307" t="s">
        <v>3859</v>
      </c>
      <c r="M307" t="s">
        <v>133</v>
      </c>
      <c r="N307" t="s">
        <v>2354</v>
      </c>
      <c r="O307" t="s">
        <v>3886</v>
      </c>
      <c r="Q307" t="s">
        <v>4037</v>
      </c>
      <c r="R307" t="s">
        <v>2830</v>
      </c>
      <c r="S307" t="s">
        <v>4072</v>
      </c>
      <c r="T307">
        <v>4000</v>
      </c>
      <c r="U307">
        <v>90</v>
      </c>
      <c r="V307">
        <v>4</v>
      </c>
      <c r="W307">
        <v>90</v>
      </c>
      <c r="X307">
        <v>19</v>
      </c>
      <c r="Y307">
        <v>35.9</v>
      </c>
    </row>
    <row r="308" spans="1:25" x14ac:dyDescent="0.25">
      <c r="A308" t="s">
        <v>4083</v>
      </c>
      <c r="B308">
        <v>913</v>
      </c>
      <c r="C308">
        <v>307</v>
      </c>
      <c r="D308" t="s">
        <v>23</v>
      </c>
      <c r="E308" t="s">
        <v>3557</v>
      </c>
      <c r="F308" t="s">
        <v>4036</v>
      </c>
      <c r="G308" t="s">
        <v>4084</v>
      </c>
      <c r="H308">
        <v>0</v>
      </c>
      <c r="I308">
        <v>626</v>
      </c>
      <c r="J308">
        <v>272</v>
      </c>
      <c r="K308" t="str">
        <f t="shared" si="4"/>
        <v>logg331147</v>
      </c>
      <c r="M308" t="s">
        <v>133</v>
      </c>
      <c r="N308" t="s">
        <v>2538</v>
      </c>
      <c r="Q308" t="s">
        <v>4037</v>
      </c>
      <c r="R308" t="s">
        <v>2832</v>
      </c>
      <c r="S308" t="s">
        <v>4085</v>
      </c>
      <c r="U308">
        <v>90</v>
      </c>
      <c r="V308">
        <v>0</v>
      </c>
      <c r="W308">
        <v>90</v>
      </c>
      <c r="X308">
        <v>33.1</v>
      </c>
      <c r="Y308">
        <v>14.7</v>
      </c>
    </row>
    <row r="309" spans="1:25" x14ac:dyDescent="0.25">
      <c r="A309" t="s">
        <v>4086</v>
      </c>
      <c r="B309">
        <v>914</v>
      </c>
      <c r="C309">
        <v>308</v>
      </c>
      <c r="D309" t="s">
        <v>23</v>
      </c>
      <c r="E309" t="s">
        <v>3557</v>
      </c>
      <c r="F309" t="s">
        <v>4036</v>
      </c>
      <c r="G309" t="s">
        <v>4087</v>
      </c>
      <c r="H309">
        <v>0</v>
      </c>
      <c r="I309">
        <v>626</v>
      </c>
      <c r="J309">
        <v>272</v>
      </c>
      <c r="K309" t="str">
        <f t="shared" si="4"/>
        <v>logg331147</v>
      </c>
      <c r="M309" t="s">
        <v>133</v>
      </c>
      <c r="N309" t="s">
        <v>2538</v>
      </c>
      <c r="Q309" t="s">
        <v>4037</v>
      </c>
      <c r="R309" t="s">
        <v>2832</v>
      </c>
      <c r="S309" t="s">
        <v>4085</v>
      </c>
      <c r="T309">
        <v>2990</v>
      </c>
      <c r="U309">
        <v>90</v>
      </c>
      <c r="V309">
        <v>1</v>
      </c>
      <c r="W309">
        <v>90</v>
      </c>
      <c r="X309">
        <v>33.1</v>
      </c>
      <c r="Y309">
        <v>14.7</v>
      </c>
    </row>
    <row r="310" spans="1:25" x14ac:dyDescent="0.25">
      <c r="A310" t="s">
        <v>4088</v>
      </c>
      <c r="B310">
        <v>915</v>
      </c>
      <c r="C310">
        <v>309</v>
      </c>
      <c r="D310" t="s">
        <v>23</v>
      </c>
      <c r="E310" t="s">
        <v>3557</v>
      </c>
      <c r="F310" t="s">
        <v>4036</v>
      </c>
      <c r="G310" t="s">
        <v>4089</v>
      </c>
      <c r="H310">
        <v>0</v>
      </c>
      <c r="I310">
        <v>177</v>
      </c>
      <c r="J310">
        <v>563</v>
      </c>
      <c r="K310" t="str">
        <f t="shared" si="4"/>
        <v>logg98298</v>
      </c>
      <c r="M310" t="s">
        <v>133</v>
      </c>
      <c r="N310" t="s">
        <v>3514</v>
      </c>
      <c r="Q310" t="s">
        <v>4037</v>
      </c>
      <c r="R310" t="s">
        <v>2830</v>
      </c>
      <c r="S310" t="s">
        <v>4085</v>
      </c>
      <c r="T310">
        <v>3600</v>
      </c>
      <c r="U310">
        <v>90</v>
      </c>
      <c r="V310">
        <v>2</v>
      </c>
      <c r="W310">
        <v>90</v>
      </c>
      <c r="X310">
        <v>9.8000000000000007</v>
      </c>
      <c r="Y310">
        <v>29.8</v>
      </c>
    </row>
    <row r="311" spans="1:25" x14ac:dyDescent="0.25">
      <c r="A311" t="s">
        <v>4090</v>
      </c>
      <c r="B311">
        <v>916</v>
      </c>
      <c r="C311">
        <v>310</v>
      </c>
      <c r="D311" t="s">
        <v>23</v>
      </c>
      <c r="E311" t="s">
        <v>3557</v>
      </c>
      <c r="F311" t="s">
        <v>4036</v>
      </c>
      <c r="G311" t="s">
        <v>175</v>
      </c>
      <c r="H311">
        <v>0</v>
      </c>
      <c r="I311">
        <v>177</v>
      </c>
      <c r="J311">
        <v>563</v>
      </c>
      <c r="K311" t="str">
        <f t="shared" si="4"/>
        <v>logg98298</v>
      </c>
      <c r="L311" t="s">
        <v>3859</v>
      </c>
      <c r="M311" t="s">
        <v>133</v>
      </c>
      <c r="N311" t="s">
        <v>3514</v>
      </c>
      <c r="O311" t="s">
        <v>3886</v>
      </c>
      <c r="Q311" t="s">
        <v>4037</v>
      </c>
      <c r="R311" t="s">
        <v>2830</v>
      </c>
      <c r="S311" t="s">
        <v>4085</v>
      </c>
      <c r="T311">
        <v>3850</v>
      </c>
      <c r="U311">
        <v>90</v>
      </c>
      <c r="V311">
        <v>3</v>
      </c>
      <c r="W311">
        <v>90</v>
      </c>
      <c r="X311">
        <v>9.8000000000000007</v>
      </c>
      <c r="Y311">
        <v>29.8</v>
      </c>
    </row>
    <row r="312" spans="1:25" x14ac:dyDescent="0.25">
      <c r="A312" t="s">
        <v>4091</v>
      </c>
      <c r="B312">
        <v>917</v>
      </c>
      <c r="C312">
        <v>311</v>
      </c>
      <c r="D312" t="s">
        <v>23</v>
      </c>
      <c r="E312" t="s">
        <v>3557</v>
      </c>
      <c r="F312" t="s">
        <v>4036</v>
      </c>
      <c r="G312" t="s">
        <v>205</v>
      </c>
      <c r="H312">
        <v>0</v>
      </c>
      <c r="I312">
        <v>177</v>
      </c>
      <c r="J312">
        <v>563</v>
      </c>
      <c r="K312" t="str">
        <f t="shared" si="4"/>
        <v>logg98298</v>
      </c>
      <c r="L312" t="s">
        <v>3859</v>
      </c>
      <c r="M312" t="s">
        <v>133</v>
      </c>
      <c r="N312" t="s">
        <v>3514</v>
      </c>
      <c r="O312" t="s">
        <v>3886</v>
      </c>
      <c r="Q312" t="s">
        <v>4037</v>
      </c>
      <c r="R312" t="s">
        <v>2830</v>
      </c>
      <c r="S312" t="s">
        <v>4085</v>
      </c>
      <c r="T312">
        <v>3850</v>
      </c>
      <c r="U312">
        <v>90</v>
      </c>
      <c r="V312">
        <v>3</v>
      </c>
      <c r="W312">
        <v>90</v>
      </c>
      <c r="X312">
        <v>9.8000000000000007</v>
      </c>
      <c r="Y312">
        <v>29.8</v>
      </c>
    </row>
    <row r="313" spans="1:25" x14ac:dyDescent="0.25">
      <c r="A313" t="s">
        <v>10605</v>
      </c>
      <c r="B313">
        <v>918</v>
      </c>
      <c r="C313">
        <v>312</v>
      </c>
      <c r="D313" t="s">
        <v>23</v>
      </c>
      <c r="E313" t="s">
        <v>3557</v>
      </c>
      <c r="F313" t="s">
        <v>4036</v>
      </c>
      <c r="G313" t="s">
        <v>10601</v>
      </c>
      <c r="H313">
        <v>0</v>
      </c>
      <c r="I313">
        <v>132</v>
      </c>
      <c r="J313">
        <v>622</v>
      </c>
      <c r="K313" t="str">
        <f t="shared" si="4"/>
        <v>logg7433</v>
      </c>
      <c r="M313" t="s">
        <v>215</v>
      </c>
      <c r="N313" s="1" t="s">
        <v>2631</v>
      </c>
      <c r="Q313" t="s">
        <v>4037</v>
      </c>
      <c r="R313" t="s">
        <v>2829</v>
      </c>
      <c r="S313" t="s">
        <v>10609</v>
      </c>
      <c r="T313">
        <v>4480</v>
      </c>
      <c r="U313">
        <v>100</v>
      </c>
      <c r="V313">
        <v>1</v>
      </c>
      <c r="W313">
        <v>100</v>
      </c>
      <c r="X313">
        <v>7.4</v>
      </c>
      <c r="Y313">
        <v>33</v>
      </c>
    </row>
    <row r="314" spans="1:25" x14ac:dyDescent="0.25">
      <c r="A314" t="s">
        <v>10606</v>
      </c>
      <c r="B314">
        <v>919</v>
      </c>
      <c r="C314">
        <v>313</v>
      </c>
      <c r="D314" t="s">
        <v>23</v>
      </c>
      <c r="E314" t="s">
        <v>3557</v>
      </c>
      <c r="F314" t="s">
        <v>4036</v>
      </c>
      <c r="G314" t="s">
        <v>10602</v>
      </c>
      <c r="H314">
        <v>0</v>
      </c>
      <c r="I314">
        <v>684</v>
      </c>
      <c r="J314">
        <v>417</v>
      </c>
      <c r="K314" t="str">
        <f t="shared" si="4"/>
        <v>logg3522</v>
      </c>
      <c r="M314" t="s">
        <v>215</v>
      </c>
      <c r="N314" s="1" t="s">
        <v>2666</v>
      </c>
      <c r="Q314" t="s">
        <v>4037</v>
      </c>
      <c r="R314" t="s">
        <v>2829</v>
      </c>
      <c r="S314" t="s">
        <v>10609</v>
      </c>
      <c r="T314">
        <v>4740</v>
      </c>
      <c r="U314">
        <v>100</v>
      </c>
      <c r="V314">
        <v>2</v>
      </c>
      <c r="W314">
        <v>100</v>
      </c>
      <c r="X314">
        <v>35</v>
      </c>
      <c r="Y314">
        <v>22</v>
      </c>
    </row>
    <row r="315" spans="1:25" x14ac:dyDescent="0.25">
      <c r="A315" t="s">
        <v>10607</v>
      </c>
      <c r="B315">
        <v>920</v>
      </c>
      <c r="C315">
        <v>314</v>
      </c>
      <c r="D315" t="s">
        <v>23</v>
      </c>
      <c r="E315" t="s">
        <v>3557</v>
      </c>
      <c r="F315" t="s">
        <v>4036</v>
      </c>
      <c r="G315" t="s">
        <v>10603</v>
      </c>
      <c r="H315">
        <v>0</v>
      </c>
      <c r="I315">
        <v>196</v>
      </c>
      <c r="J315">
        <v>586</v>
      </c>
      <c r="K315" t="str">
        <f t="shared" si="4"/>
        <v>logg108311</v>
      </c>
      <c r="M315" t="s">
        <v>215</v>
      </c>
      <c r="N315" s="1" t="s">
        <v>4274</v>
      </c>
      <c r="Q315" t="s">
        <v>4037</v>
      </c>
      <c r="R315" t="s">
        <v>2830</v>
      </c>
      <c r="S315" t="s">
        <v>10610</v>
      </c>
      <c r="T315">
        <v>4480</v>
      </c>
      <c r="U315">
        <v>100</v>
      </c>
      <c r="V315">
        <v>1</v>
      </c>
      <c r="W315">
        <v>100</v>
      </c>
      <c r="X315">
        <v>10.8</v>
      </c>
      <c r="Y315">
        <v>31.1</v>
      </c>
    </row>
    <row r="316" spans="1:25" x14ac:dyDescent="0.25">
      <c r="A316" t="s">
        <v>10608</v>
      </c>
      <c r="B316">
        <v>921</v>
      </c>
      <c r="C316">
        <v>315</v>
      </c>
      <c r="D316" t="s">
        <v>23</v>
      </c>
      <c r="E316" t="s">
        <v>3557</v>
      </c>
      <c r="F316" t="s">
        <v>4036</v>
      </c>
      <c r="G316" t="s">
        <v>10604</v>
      </c>
      <c r="H316">
        <v>0</v>
      </c>
      <c r="I316">
        <v>655</v>
      </c>
      <c r="J316">
        <v>379</v>
      </c>
      <c r="K316" t="str">
        <f t="shared" si="4"/>
        <v>logg3420</v>
      </c>
      <c r="M316" t="s">
        <v>215</v>
      </c>
      <c r="N316" s="1" t="s">
        <v>2732</v>
      </c>
      <c r="Q316" t="s">
        <v>4037</v>
      </c>
      <c r="R316" t="s">
        <v>2832</v>
      </c>
      <c r="S316" t="s">
        <v>10611</v>
      </c>
      <c r="T316">
        <v>4740</v>
      </c>
      <c r="U316">
        <v>100</v>
      </c>
      <c r="V316">
        <v>2</v>
      </c>
      <c r="W316">
        <v>100</v>
      </c>
      <c r="X316">
        <v>34</v>
      </c>
      <c r="Y316">
        <v>20</v>
      </c>
    </row>
    <row r="317" spans="1:25" x14ac:dyDescent="0.25">
      <c r="A317" t="s">
        <v>4092</v>
      </c>
      <c r="B317">
        <v>922</v>
      </c>
      <c r="C317">
        <v>1</v>
      </c>
      <c r="D317" t="s">
        <v>23</v>
      </c>
      <c r="E317" t="s">
        <v>4093</v>
      </c>
      <c r="F317" t="s">
        <v>3559</v>
      </c>
      <c r="G317" t="s">
        <v>3562</v>
      </c>
      <c r="H317">
        <v>1</v>
      </c>
      <c r="I317">
        <v>426</v>
      </c>
      <c r="J317">
        <v>345</v>
      </c>
      <c r="K317" t="str">
        <f t="shared" si="4"/>
        <v>harv226191</v>
      </c>
      <c r="M317" t="s">
        <v>1067</v>
      </c>
      <c r="N317" t="s">
        <v>1098</v>
      </c>
      <c r="Q317" t="s">
        <v>11083</v>
      </c>
      <c r="U317">
        <v>1</v>
      </c>
      <c r="V317">
        <v>0</v>
      </c>
      <c r="W317">
        <v>15</v>
      </c>
      <c r="X317">
        <v>22.6</v>
      </c>
      <c r="Y317">
        <v>19.100000000000001</v>
      </c>
    </row>
    <row r="318" spans="1:25" x14ac:dyDescent="0.25">
      <c r="A318" t="s">
        <v>4094</v>
      </c>
      <c r="B318">
        <v>923</v>
      </c>
      <c r="C318">
        <v>2</v>
      </c>
      <c r="D318" t="s">
        <v>23</v>
      </c>
      <c r="E318" t="s">
        <v>4093</v>
      </c>
      <c r="F318" t="s">
        <v>3559</v>
      </c>
      <c r="G318" t="s">
        <v>3562</v>
      </c>
      <c r="H318">
        <v>1</v>
      </c>
      <c r="I318">
        <v>301</v>
      </c>
      <c r="J318">
        <v>507</v>
      </c>
      <c r="K318" t="str">
        <f t="shared" si="4"/>
        <v>harv162271</v>
      </c>
      <c r="M318" t="s">
        <v>1067</v>
      </c>
      <c r="N318" t="s">
        <v>1443</v>
      </c>
      <c r="Q318" t="s">
        <v>11083</v>
      </c>
      <c r="U318">
        <v>1</v>
      </c>
      <c r="V318">
        <v>0</v>
      </c>
      <c r="W318">
        <v>20</v>
      </c>
      <c r="X318">
        <v>16.2</v>
      </c>
      <c r="Y318">
        <v>27.1</v>
      </c>
    </row>
    <row r="319" spans="1:25" x14ac:dyDescent="0.25">
      <c r="A319" t="s">
        <v>4095</v>
      </c>
      <c r="B319">
        <v>924</v>
      </c>
      <c r="C319">
        <v>3</v>
      </c>
      <c r="D319" t="s">
        <v>23</v>
      </c>
      <c r="E319" t="s">
        <v>4093</v>
      </c>
      <c r="F319" t="s">
        <v>3559</v>
      </c>
      <c r="G319" t="s">
        <v>3562</v>
      </c>
      <c r="H319">
        <v>1</v>
      </c>
      <c r="I319">
        <v>269</v>
      </c>
      <c r="J319">
        <v>384</v>
      </c>
      <c r="K319" t="str">
        <f t="shared" si="4"/>
        <v>harv147207</v>
      </c>
      <c r="M319" t="s">
        <v>1067</v>
      </c>
      <c r="N319" t="s">
        <v>1448</v>
      </c>
      <c r="Q319" t="s">
        <v>11083</v>
      </c>
      <c r="U319">
        <v>1</v>
      </c>
      <c r="V319">
        <v>0</v>
      </c>
      <c r="W319">
        <v>25</v>
      </c>
      <c r="X319">
        <v>14.7</v>
      </c>
      <c r="Y319">
        <v>20.7</v>
      </c>
    </row>
    <row r="320" spans="1:25" x14ac:dyDescent="0.25">
      <c r="A320" t="s">
        <v>4096</v>
      </c>
      <c r="B320">
        <v>925</v>
      </c>
      <c r="C320">
        <v>4</v>
      </c>
      <c r="D320" t="s">
        <v>23</v>
      </c>
      <c r="E320" t="s">
        <v>4093</v>
      </c>
      <c r="F320" t="s">
        <v>3559</v>
      </c>
      <c r="G320" t="s">
        <v>3565</v>
      </c>
      <c r="H320">
        <v>1</v>
      </c>
      <c r="I320">
        <v>603</v>
      </c>
      <c r="J320">
        <v>550</v>
      </c>
      <c r="K320" t="str">
        <f t="shared" si="4"/>
        <v>harv318291</v>
      </c>
      <c r="M320" t="s">
        <v>1067</v>
      </c>
      <c r="N320" t="s">
        <v>1163</v>
      </c>
      <c r="Q320" t="s">
        <v>11083</v>
      </c>
      <c r="U320">
        <v>1</v>
      </c>
      <c r="V320">
        <v>0</v>
      </c>
      <c r="W320">
        <v>20</v>
      </c>
      <c r="X320">
        <v>31.8</v>
      </c>
      <c r="Y320">
        <v>29.1</v>
      </c>
    </row>
    <row r="321" spans="1:25" x14ac:dyDescent="0.25">
      <c r="A321" t="s">
        <v>4097</v>
      </c>
      <c r="B321">
        <v>926</v>
      </c>
      <c r="C321">
        <v>5</v>
      </c>
      <c r="D321" t="s">
        <v>23</v>
      </c>
      <c r="E321" t="s">
        <v>4093</v>
      </c>
      <c r="F321" t="s">
        <v>3559</v>
      </c>
      <c r="G321" t="s">
        <v>3565</v>
      </c>
      <c r="H321">
        <v>1</v>
      </c>
      <c r="I321">
        <v>324</v>
      </c>
      <c r="J321">
        <v>543</v>
      </c>
      <c r="K321" t="str">
        <f t="shared" si="4"/>
        <v>harv174286</v>
      </c>
      <c r="M321" t="s">
        <v>1067</v>
      </c>
      <c r="N321" t="s">
        <v>1298</v>
      </c>
      <c r="Q321" t="s">
        <v>11083</v>
      </c>
      <c r="U321">
        <v>1</v>
      </c>
      <c r="V321">
        <v>0</v>
      </c>
      <c r="W321">
        <v>35</v>
      </c>
      <c r="X321">
        <v>17.399999999999999</v>
      </c>
      <c r="Y321">
        <v>28.6</v>
      </c>
    </row>
    <row r="322" spans="1:25" x14ac:dyDescent="0.25">
      <c r="A322" t="s">
        <v>4098</v>
      </c>
      <c r="B322">
        <v>927</v>
      </c>
      <c r="C322">
        <v>6</v>
      </c>
      <c r="D322" t="s">
        <v>23</v>
      </c>
      <c r="E322" t="s">
        <v>4093</v>
      </c>
      <c r="F322" t="s">
        <v>3559</v>
      </c>
      <c r="G322" t="s">
        <v>3565</v>
      </c>
      <c r="H322">
        <v>1</v>
      </c>
      <c r="I322">
        <v>402</v>
      </c>
      <c r="J322">
        <v>540</v>
      </c>
      <c r="K322" t="str">
        <f t="shared" ref="K322:K385" si="5">LEFT(A322,4)&amp;SUBSTITUTE(X322,".","")&amp;SUBSTITUTE(Y322,".","")</f>
        <v>harv214286</v>
      </c>
      <c r="M322" t="s">
        <v>1067</v>
      </c>
      <c r="N322" t="s">
        <v>1298</v>
      </c>
      <c r="Q322" t="s">
        <v>11083</v>
      </c>
      <c r="U322">
        <v>1</v>
      </c>
      <c r="V322">
        <v>0</v>
      </c>
      <c r="W322">
        <v>40</v>
      </c>
      <c r="X322">
        <v>21.4</v>
      </c>
      <c r="Y322">
        <v>28.6</v>
      </c>
    </row>
    <row r="323" spans="1:25" x14ac:dyDescent="0.25">
      <c r="A323" t="s">
        <v>4099</v>
      </c>
      <c r="B323">
        <v>928</v>
      </c>
      <c r="C323">
        <v>7</v>
      </c>
      <c r="D323" t="s">
        <v>23</v>
      </c>
      <c r="E323" t="s">
        <v>4093</v>
      </c>
      <c r="F323" t="s">
        <v>3559</v>
      </c>
      <c r="G323" t="s">
        <v>3574</v>
      </c>
      <c r="H323">
        <v>1</v>
      </c>
      <c r="I323">
        <v>347</v>
      </c>
      <c r="J323">
        <v>356</v>
      </c>
      <c r="K323" t="str">
        <f t="shared" si="5"/>
        <v>harv187193</v>
      </c>
      <c r="M323" t="s">
        <v>1067</v>
      </c>
      <c r="N323" t="s">
        <v>1235</v>
      </c>
      <c r="Q323" t="s">
        <v>11083</v>
      </c>
      <c r="U323">
        <v>1</v>
      </c>
      <c r="V323">
        <v>0</v>
      </c>
      <c r="W323">
        <v>15</v>
      </c>
      <c r="X323">
        <v>18.7</v>
      </c>
      <c r="Y323">
        <v>19.3</v>
      </c>
    </row>
    <row r="324" spans="1:25" x14ac:dyDescent="0.25">
      <c r="A324" t="s">
        <v>4100</v>
      </c>
      <c r="B324">
        <v>929</v>
      </c>
      <c r="C324">
        <v>8</v>
      </c>
      <c r="D324" t="s">
        <v>23</v>
      </c>
      <c r="E324" t="s">
        <v>4093</v>
      </c>
      <c r="F324" t="s">
        <v>3559</v>
      </c>
      <c r="G324" t="s">
        <v>3574</v>
      </c>
      <c r="H324">
        <v>1</v>
      </c>
      <c r="I324">
        <v>345</v>
      </c>
      <c r="J324">
        <v>531</v>
      </c>
      <c r="K324" t="str">
        <f t="shared" si="5"/>
        <v>harv185282</v>
      </c>
      <c r="M324" t="s">
        <v>1067</v>
      </c>
      <c r="N324" t="s">
        <v>1284</v>
      </c>
      <c r="Q324" t="s">
        <v>11083</v>
      </c>
      <c r="U324">
        <v>1</v>
      </c>
      <c r="V324">
        <v>0</v>
      </c>
      <c r="W324">
        <v>20</v>
      </c>
      <c r="X324">
        <v>18.5</v>
      </c>
      <c r="Y324">
        <v>28.2</v>
      </c>
    </row>
    <row r="325" spans="1:25" x14ac:dyDescent="0.25">
      <c r="A325" t="s">
        <v>4101</v>
      </c>
      <c r="B325">
        <v>930</v>
      </c>
      <c r="C325">
        <v>9</v>
      </c>
      <c r="D325" t="s">
        <v>23</v>
      </c>
      <c r="E325" t="s">
        <v>4093</v>
      </c>
      <c r="F325" t="s">
        <v>3559</v>
      </c>
      <c r="G325" t="s">
        <v>3581</v>
      </c>
      <c r="H325">
        <v>1</v>
      </c>
      <c r="I325">
        <v>501</v>
      </c>
      <c r="J325">
        <v>410</v>
      </c>
      <c r="K325" t="str">
        <f t="shared" si="5"/>
        <v>harv266222</v>
      </c>
      <c r="M325" t="s">
        <v>1067</v>
      </c>
      <c r="N325" t="s">
        <v>1118</v>
      </c>
      <c r="Q325" t="s">
        <v>11083</v>
      </c>
      <c r="U325">
        <v>1</v>
      </c>
      <c r="V325">
        <v>0</v>
      </c>
      <c r="W325">
        <v>15</v>
      </c>
      <c r="X325">
        <v>26.6</v>
      </c>
      <c r="Y325">
        <v>22.2</v>
      </c>
    </row>
    <row r="326" spans="1:25" x14ac:dyDescent="0.25">
      <c r="A326" t="s">
        <v>4102</v>
      </c>
      <c r="B326">
        <v>931</v>
      </c>
      <c r="C326">
        <v>10</v>
      </c>
      <c r="D326" t="s">
        <v>23</v>
      </c>
      <c r="E326" t="s">
        <v>4093</v>
      </c>
      <c r="F326" t="s">
        <v>3559</v>
      </c>
      <c r="G326" t="s">
        <v>3581</v>
      </c>
      <c r="H326">
        <v>1</v>
      </c>
      <c r="I326">
        <v>264</v>
      </c>
      <c r="J326">
        <v>464</v>
      </c>
      <c r="K326" t="str">
        <f t="shared" si="5"/>
        <v>harv143246</v>
      </c>
      <c r="M326" t="s">
        <v>1067</v>
      </c>
      <c r="N326" t="s">
        <v>1201</v>
      </c>
      <c r="Q326" t="s">
        <v>11083</v>
      </c>
      <c r="U326">
        <v>1</v>
      </c>
      <c r="V326">
        <v>0</v>
      </c>
      <c r="W326">
        <v>25</v>
      </c>
      <c r="X326">
        <v>14.3</v>
      </c>
      <c r="Y326">
        <v>24.6</v>
      </c>
    </row>
    <row r="327" spans="1:25" x14ac:dyDescent="0.25">
      <c r="A327" t="s">
        <v>4103</v>
      </c>
      <c r="B327">
        <v>932</v>
      </c>
      <c r="C327">
        <v>11</v>
      </c>
      <c r="D327" t="s">
        <v>23</v>
      </c>
      <c r="E327" t="s">
        <v>4093</v>
      </c>
      <c r="F327" t="s">
        <v>3559</v>
      </c>
      <c r="G327" t="s">
        <v>3581</v>
      </c>
      <c r="H327">
        <v>1</v>
      </c>
      <c r="I327">
        <v>653</v>
      </c>
      <c r="J327">
        <v>468</v>
      </c>
      <c r="K327" t="str">
        <f t="shared" si="5"/>
        <v>harv345247</v>
      </c>
      <c r="M327" t="s">
        <v>1067</v>
      </c>
      <c r="N327" t="s">
        <v>1195</v>
      </c>
      <c r="Q327" t="s">
        <v>11083</v>
      </c>
      <c r="U327">
        <v>1</v>
      </c>
      <c r="V327">
        <v>0</v>
      </c>
      <c r="W327">
        <v>45</v>
      </c>
      <c r="X327">
        <v>34.5</v>
      </c>
      <c r="Y327">
        <v>24.7</v>
      </c>
    </row>
    <row r="328" spans="1:25" x14ac:dyDescent="0.25">
      <c r="A328" t="s">
        <v>4104</v>
      </c>
      <c r="B328">
        <v>933</v>
      </c>
      <c r="C328">
        <v>12</v>
      </c>
      <c r="D328" t="s">
        <v>23</v>
      </c>
      <c r="E328" t="s">
        <v>4093</v>
      </c>
      <c r="F328" t="s">
        <v>3559</v>
      </c>
      <c r="G328" t="s">
        <v>3581</v>
      </c>
      <c r="H328">
        <v>1</v>
      </c>
      <c r="I328">
        <v>438</v>
      </c>
      <c r="J328">
        <v>489</v>
      </c>
      <c r="K328" t="str">
        <f t="shared" si="5"/>
        <v>harv233261</v>
      </c>
      <c r="M328" t="s">
        <v>1067</v>
      </c>
      <c r="N328" t="s">
        <v>1321</v>
      </c>
      <c r="Q328" t="s">
        <v>11083</v>
      </c>
      <c r="U328">
        <v>1</v>
      </c>
      <c r="V328">
        <v>0</v>
      </c>
      <c r="W328">
        <v>30</v>
      </c>
      <c r="X328">
        <v>23.3</v>
      </c>
      <c r="Y328">
        <v>26.1</v>
      </c>
    </row>
    <row r="329" spans="1:25" x14ac:dyDescent="0.25">
      <c r="A329" t="s">
        <v>4105</v>
      </c>
      <c r="B329">
        <v>934</v>
      </c>
      <c r="C329">
        <v>13</v>
      </c>
      <c r="D329" t="s">
        <v>23</v>
      </c>
      <c r="E329" t="s">
        <v>4093</v>
      </c>
      <c r="F329" t="s">
        <v>3559</v>
      </c>
      <c r="G329" t="s">
        <v>3588</v>
      </c>
      <c r="H329">
        <v>1</v>
      </c>
      <c r="I329">
        <v>473</v>
      </c>
      <c r="J329">
        <v>381</v>
      </c>
      <c r="K329" t="str">
        <f t="shared" si="5"/>
        <v>harv249204</v>
      </c>
      <c r="M329" t="s">
        <v>1067</v>
      </c>
      <c r="N329" t="s">
        <v>1416</v>
      </c>
      <c r="Q329" t="s">
        <v>11083</v>
      </c>
      <c r="U329">
        <v>1</v>
      </c>
      <c r="V329">
        <v>0</v>
      </c>
      <c r="W329">
        <v>15</v>
      </c>
      <c r="X329">
        <v>24.9</v>
      </c>
      <c r="Y329">
        <v>20.399999999999999</v>
      </c>
    </row>
    <row r="330" spans="1:25" x14ac:dyDescent="0.25">
      <c r="A330" t="s">
        <v>4106</v>
      </c>
      <c r="B330">
        <v>935</v>
      </c>
      <c r="C330">
        <v>14</v>
      </c>
      <c r="D330" t="s">
        <v>23</v>
      </c>
      <c r="E330" t="s">
        <v>4093</v>
      </c>
      <c r="F330" t="s">
        <v>3559</v>
      </c>
      <c r="G330" t="s">
        <v>3588</v>
      </c>
      <c r="H330">
        <v>1</v>
      </c>
      <c r="I330">
        <v>384</v>
      </c>
      <c r="J330">
        <v>149</v>
      </c>
      <c r="K330" t="str">
        <f t="shared" si="5"/>
        <v>harv20486</v>
      </c>
      <c r="M330" t="s">
        <v>1067</v>
      </c>
      <c r="N330" t="s">
        <v>1471</v>
      </c>
      <c r="Q330" t="s">
        <v>11083</v>
      </c>
      <c r="U330">
        <v>1</v>
      </c>
      <c r="V330">
        <v>0</v>
      </c>
      <c r="W330">
        <v>35</v>
      </c>
      <c r="X330">
        <v>20.399999999999999</v>
      </c>
      <c r="Y330">
        <v>8.6</v>
      </c>
    </row>
    <row r="331" spans="1:25" x14ac:dyDescent="0.25">
      <c r="A331" t="s">
        <v>4107</v>
      </c>
      <c r="B331">
        <v>936</v>
      </c>
      <c r="C331">
        <v>15</v>
      </c>
      <c r="D331" t="s">
        <v>23</v>
      </c>
      <c r="E331" t="s">
        <v>4093</v>
      </c>
      <c r="F331" t="s">
        <v>3559</v>
      </c>
      <c r="G331" t="s">
        <v>3588</v>
      </c>
      <c r="H331">
        <v>1</v>
      </c>
      <c r="I331">
        <v>253</v>
      </c>
      <c r="J331">
        <v>603</v>
      </c>
      <c r="K331" t="str">
        <f t="shared" si="5"/>
        <v>harv138317</v>
      </c>
      <c r="M331" t="s">
        <v>1067</v>
      </c>
      <c r="N331" t="s">
        <v>1454</v>
      </c>
      <c r="Q331" t="s">
        <v>11083</v>
      </c>
      <c r="U331">
        <v>1</v>
      </c>
      <c r="V331">
        <v>0</v>
      </c>
      <c r="W331">
        <v>50</v>
      </c>
      <c r="X331">
        <v>13.8</v>
      </c>
      <c r="Y331">
        <v>31.7</v>
      </c>
    </row>
    <row r="332" spans="1:25" x14ac:dyDescent="0.25">
      <c r="A332" t="s">
        <v>4108</v>
      </c>
      <c r="B332">
        <v>937</v>
      </c>
      <c r="C332">
        <v>16</v>
      </c>
      <c r="D332" t="s">
        <v>23</v>
      </c>
      <c r="E332" t="s">
        <v>4093</v>
      </c>
      <c r="F332" t="s">
        <v>3559</v>
      </c>
      <c r="G332" t="s">
        <v>3594</v>
      </c>
      <c r="H332">
        <v>1</v>
      </c>
      <c r="I332">
        <v>500</v>
      </c>
      <c r="J332">
        <v>565</v>
      </c>
      <c r="K332" t="str">
        <f t="shared" si="5"/>
        <v>harv26530</v>
      </c>
      <c r="M332" t="s">
        <v>1067</v>
      </c>
      <c r="N332" t="s">
        <v>1144</v>
      </c>
      <c r="Q332" t="s">
        <v>11083</v>
      </c>
      <c r="U332">
        <v>1</v>
      </c>
      <c r="V332">
        <v>0</v>
      </c>
      <c r="W332">
        <v>35</v>
      </c>
      <c r="X332">
        <v>26.5</v>
      </c>
      <c r="Y332">
        <v>30</v>
      </c>
    </row>
    <row r="333" spans="1:25" x14ac:dyDescent="0.25">
      <c r="A333" t="s">
        <v>4109</v>
      </c>
      <c r="B333">
        <v>938</v>
      </c>
      <c r="C333">
        <v>17</v>
      </c>
      <c r="D333" t="s">
        <v>23</v>
      </c>
      <c r="E333" t="s">
        <v>4093</v>
      </c>
      <c r="F333" t="s">
        <v>3559</v>
      </c>
      <c r="G333" t="s">
        <v>3594</v>
      </c>
      <c r="H333">
        <v>1</v>
      </c>
      <c r="I333">
        <v>394</v>
      </c>
      <c r="J333">
        <v>549</v>
      </c>
      <c r="K333" t="str">
        <f t="shared" si="5"/>
        <v>harv2129</v>
      </c>
      <c r="M333" t="s">
        <v>1067</v>
      </c>
      <c r="N333" t="s">
        <v>1153</v>
      </c>
      <c r="Q333" t="s">
        <v>11083</v>
      </c>
      <c r="U333">
        <v>1</v>
      </c>
      <c r="V333">
        <v>0</v>
      </c>
      <c r="W333">
        <v>40</v>
      </c>
      <c r="X333">
        <v>21</v>
      </c>
      <c r="Y333">
        <v>29</v>
      </c>
    </row>
    <row r="334" spans="1:25" x14ac:dyDescent="0.25">
      <c r="A334" t="s">
        <v>4110</v>
      </c>
      <c r="B334">
        <v>939</v>
      </c>
      <c r="C334">
        <v>18</v>
      </c>
      <c r="D334" t="s">
        <v>23</v>
      </c>
      <c r="E334" t="s">
        <v>4093</v>
      </c>
      <c r="F334" t="s">
        <v>3559</v>
      </c>
      <c r="G334" t="s">
        <v>3594</v>
      </c>
      <c r="H334">
        <v>1</v>
      </c>
      <c r="I334">
        <v>435</v>
      </c>
      <c r="J334">
        <v>439</v>
      </c>
      <c r="K334" t="str">
        <f t="shared" si="5"/>
        <v>harv233233</v>
      </c>
      <c r="M334" t="s">
        <v>1067</v>
      </c>
      <c r="N334" t="s">
        <v>1369</v>
      </c>
      <c r="Q334" t="s">
        <v>11083</v>
      </c>
      <c r="U334">
        <v>1</v>
      </c>
      <c r="V334">
        <v>0</v>
      </c>
      <c r="W334">
        <v>15</v>
      </c>
      <c r="X334">
        <v>23.3</v>
      </c>
      <c r="Y334">
        <v>23.3</v>
      </c>
    </row>
    <row r="335" spans="1:25" x14ac:dyDescent="0.25">
      <c r="A335" t="s">
        <v>4111</v>
      </c>
      <c r="B335">
        <v>940</v>
      </c>
      <c r="C335">
        <v>19</v>
      </c>
      <c r="D335" t="s">
        <v>23</v>
      </c>
      <c r="E335" t="s">
        <v>4093</v>
      </c>
      <c r="F335" t="s">
        <v>3559</v>
      </c>
      <c r="G335" t="s">
        <v>3594</v>
      </c>
      <c r="H335">
        <v>1</v>
      </c>
      <c r="I335">
        <v>460</v>
      </c>
      <c r="J335">
        <v>351</v>
      </c>
      <c r="K335" t="str">
        <f t="shared" si="5"/>
        <v>harv245188</v>
      </c>
      <c r="M335" t="s">
        <v>1067</v>
      </c>
      <c r="N335" t="s">
        <v>1381</v>
      </c>
      <c r="Q335" t="s">
        <v>11083</v>
      </c>
      <c r="U335">
        <v>1</v>
      </c>
      <c r="V335">
        <v>0</v>
      </c>
      <c r="W335">
        <v>15</v>
      </c>
      <c r="X335">
        <v>24.5</v>
      </c>
      <c r="Y335">
        <v>18.8</v>
      </c>
    </row>
    <row r="336" spans="1:25" x14ac:dyDescent="0.25">
      <c r="A336" t="s">
        <v>4112</v>
      </c>
      <c r="B336">
        <v>941</v>
      </c>
      <c r="C336">
        <v>20</v>
      </c>
      <c r="D336" t="s">
        <v>23</v>
      </c>
      <c r="E336" t="s">
        <v>4093</v>
      </c>
      <c r="F336" t="s">
        <v>3559</v>
      </c>
      <c r="G336" t="s">
        <v>4113</v>
      </c>
      <c r="H336">
        <v>0</v>
      </c>
      <c r="I336">
        <v>426</v>
      </c>
      <c r="J336">
        <v>345</v>
      </c>
      <c r="K336" t="str">
        <f t="shared" si="5"/>
        <v>harv226191</v>
      </c>
      <c r="L336" t="s">
        <v>3620</v>
      </c>
      <c r="M336" t="s">
        <v>1067</v>
      </c>
      <c r="N336" t="s">
        <v>1098</v>
      </c>
      <c r="Q336" t="s">
        <v>11083</v>
      </c>
      <c r="U336">
        <v>1</v>
      </c>
      <c r="V336">
        <v>0</v>
      </c>
      <c r="W336">
        <v>15</v>
      </c>
      <c r="X336">
        <v>22.6</v>
      </c>
      <c r="Y336">
        <v>19.100000000000001</v>
      </c>
    </row>
    <row r="337" spans="1:25" x14ac:dyDescent="0.25">
      <c r="A337" t="s">
        <v>4114</v>
      </c>
      <c r="B337">
        <v>942</v>
      </c>
      <c r="C337">
        <v>21</v>
      </c>
      <c r="D337" t="s">
        <v>23</v>
      </c>
      <c r="E337" t="s">
        <v>4093</v>
      </c>
      <c r="F337" t="s">
        <v>3559</v>
      </c>
      <c r="G337" t="s">
        <v>4115</v>
      </c>
      <c r="H337">
        <v>0</v>
      </c>
      <c r="I337">
        <v>603</v>
      </c>
      <c r="J337">
        <v>550</v>
      </c>
      <c r="K337" t="str">
        <f t="shared" si="5"/>
        <v>harv318291</v>
      </c>
      <c r="L337" t="s">
        <v>3620</v>
      </c>
      <c r="M337" t="s">
        <v>1067</v>
      </c>
      <c r="N337" t="s">
        <v>1163</v>
      </c>
      <c r="Q337" t="s">
        <v>11083</v>
      </c>
      <c r="U337">
        <v>1</v>
      </c>
      <c r="V337">
        <v>0</v>
      </c>
      <c r="W337">
        <v>20</v>
      </c>
      <c r="X337">
        <v>31.8</v>
      </c>
      <c r="Y337">
        <v>29.1</v>
      </c>
    </row>
    <row r="338" spans="1:25" x14ac:dyDescent="0.25">
      <c r="A338" t="s">
        <v>4116</v>
      </c>
      <c r="B338">
        <v>943</v>
      </c>
      <c r="C338">
        <v>22</v>
      </c>
      <c r="D338" t="s">
        <v>23</v>
      </c>
      <c r="E338" t="s">
        <v>4093</v>
      </c>
      <c r="F338" t="s">
        <v>3559</v>
      </c>
      <c r="G338" t="s">
        <v>4117</v>
      </c>
      <c r="H338">
        <v>0</v>
      </c>
      <c r="I338">
        <v>418</v>
      </c>
      <c r="J338">
        <v>442</v>
      </c>
      <c r="K338" t="str">
        <f t="shared" si="5"/>
        <v>harv223237</v>
      </c>
      <c r="L338" t="s">
        <v>3620</v>
      </c>
      <c r="M338" t="s">
        <v>1067</v>
      </c>
      <c r="N338" t="s">
        <v>1235</v>
      </c>
      <c r="Q338" t="s">
        <v>11083</v>
      </c>
      <c r="U338">
        <v>1</v>
      </c>
      <c r="V338">
        <v>0</v>
      </c>
      <c r="W338">
        <v>15</v>
      </c>
      <c r="X338">
        <v>22.3</v>
      </c>
      <c r="Y338">
        <v>23.7</v>
      </c>
    </row>
    <row r="339" spans="1:25" x14ac:dyDescent="0.25">
      <c r="A339" t="s">
        <v>4118</v>
      </c>
      <c r="B339">
        <v>944</v>
      </c>
      <c r="C339">
        <v>23</v>
      </c>
      <c r="D339" t="s">
        <v>23</v>
      </c>
      <c r="E339" t="s">
        <v>4093</v>
      </c>
      <c r="F339" t="s">
        <v>3559</v>
      </c>
      <c r="G339" t="s">
        <v>4119</v>
      </c>
      <c r="H339">
        <v>0</v>
      </c>
      <c r="I339">
        <v>501</v>
      </c>
      <c r="J339">
        <v>410</v>
      </c>
      <c r="K339" t="str">
        <f t="shared" si="5"/>
        <v>harv266222</v>
      </c>
      <c r="L339" t="s">
        <v>3620</v>
      </c>
      <c r="M339" t="s">
        <v>1067</v>
      </c>
      <c r="N339" t="s">
        <v>1118</v>
      </c>
      <c r="Q339" t="s">
        <v>11083</v>
      </c>
      <c r="U339">
        <v>1</v>
      </c>
      <c r="V339">
        <v>0</v>
      </c>
      <c r="W339">
        <v>15</v>
      </c>
      <c r="X339">
        <v>26.6</v>
      </c>
      <c r="Y339">
        <v>22.2</v>
      </c>
    </row>
    <row r="340" spans="1:25" x14ac:dyDescent="0.25">
      <c r="A340" t="s">
        <v>4120</v>
      </c>
      <c r="B340">
        <v>945</v>
      </c>
      <c r="C340">
        <v>24</v>
      </c>
      <c r="D340" t="s">
        <v>23</v>
      </c>
      <c r="E340" t="s">
        <v>4093</v>
      </c>
      <c r="F340" t="s">
        <v>3559</v>
      </c>
      <c r="G340" t="s">
        <v>4121</v>
      </c>
      <c r="H340">
        <v>0</v>
      </c>
      <c r="I340">
        <v>473</v>
      </c>
      <c r="J340">
        <v>381</v>
      </c>
      <c r="K340" t="str">
        <f t="shared" si="5"/>
        <v>harv249204</v>
      </c>
      <c r="L340" t="s">
        <v>3620</v>
      </c>
      <c r="M340" t="s">
        <v>1067</v>
      </c>
      <c r="N340" t="s">
        <v>1416</v>
      </c>
      <c r="Q340" t="s">
        <v>11083</v>
      </c>
      <c r="U340">
        <v>1</v>
      </c>
      <c r="V340">
        <v>0</v>
      </c>
      <c r="W340">
        <v>15</v>
      </c>
      <c r="X340">
        <v>24.9</v>
      </c>
      <c r="Y340">
        <v>20.399999999999999</v>
      </c>
    </row>
    <row r="341" spans="1:25" x14ac:dyDescent="0.25">
      <c r="A341" t="s">
        <v>4122</v>
      </c>
      <c r="B341">
        <v>946</v>
      </c>
      <c r="C341">
        <v>25</v>
      </c>
      <c r="D341" t="s">
        <v>23</v>
      </c>
      <c r="E341" t="s">
        <v>4093</v>
      </c>
      <c r="F341" t="s">
        <v>3559</v>
      </c>
      <c r="G341" t="s">
        <v>4123</v>
      </c>
      <c r="H341">
        <v>0</v>
      </c>
      <c r="I341">
        <v>460</v>
      </c>
      <c r="J341">
        <v>351</v>
      </c>
      <c r="K341" t="str">
        <f t="shared" si="5"/>
        <v>harv245188</v>
      </c>
      <c r="L341" t="s">
        <v>3620</v>
      </c>
      <c r="M341" t="s">
        <v>1067</v>
      </c>
      <c r="N341" t="s">
        <v>1381</v>
      </c>
      <c r="Q341" t="s">
        <v>11083</v>
      </c>
      <c r="U341">
        <v>1</v>
      </c>
      <c r="V341">
        <v>0</v>
      </c>
      <c r="W341">
        <v>15</v>
      </c>
      <c r="X341">
        <v>24.5</v>
      </c>
      <c r="Y341">
        <v>18.8</v>
      </c>
    </row>
    <row r="342" spans="1:25" x14ac:dyDescent="0.25">
      <c r="A342" t="s">
        <v>4124</v>
      </c>
      <c r="B342">
        <v>947</v>
      </c>
      <c r="C342">
        <v>26</v>
      </c>
      <c r="D342" t="s">
        <v>23</v>
      </c>
      <c r="E342" t="s">
        <v>4093</v>
      </c>
      <c r="F342" t="s">
        <v>3559</v>
      </c>
      <c r="G342" t="s">
        <v>4125</v>
      </c>
      <c r="H342">
        <v>0</v>
      </c>
      <c r="I342">
        <v>501</v>
      </c>
      <c r="J342">
        <v>410</v>
      </c>
      <c r="K342" t="str">
        <f t="shared" si="5"/>
        <v>harv266222</v>
      </c>
      <c r="M342" t="s">
        <v>1067</v>
      </c>
      <c r="N342" t="s">
        <v>1118</v>
      </c>
      <c r="Q342" t="s">
        <v>11083</v>
      </c>
      <c r="U342">
        <v>11</v>
      </c>
      <c r="V342">
        <v>0</v>
      </c>
      <c r="W342">
        <v>15</v>
      </c>
      <c r="X342">
        <v>26.6</v>
      </c>
      <c r="Y342">
        <v>22.2</v>
      </c>
    </row>
    <row r="343" spans="1:25" x14ac:dyDescent="0.25">
      <c r="A343" t="s">
        <v>4126</v>
      </c>
      <c r="B343">
        <v>948</v>
      </c>
      <c r="C343">
        <v>27</v>
      </c>
      <c r="D343" t="s">
        <v>23</v>
      </c>
      <c r="E343" t="s">
        <v>4093</v>
      </c>
      <c r="F343" t="s">
        <v>3559</v>
      </c>
      <c r="G343" t="s">
        <v>4127</v>
      </c>
      <c r="H343">
        <v>0</v>
      </c>
      <c r="I343">
        <v>418</v>
      </c>
      <c r="J343">
        <v>442</v>
      </c>
      <c r="K343" t="str">
        <f t="shared" si="5"/>
        <v>harv223237</v>
      </c>
      <c r="M343" t="s">
        <v>1067</v>
      </c>
      <c r="N343" t="s">
        <v>1235</v>
      </c>
      <c r="Q343" t="s">
        <v>11083</v>
      </c>
      <c r="U343">
        <v>11</v>
      </c>
      <c r="V343">
        <v>0</v>
      </c>
      <c r="W343">
        <v>15</v>
      </c>
      <c r="X343">
        <v>22.3</v>
      </c>
      <c r="Y343">
        <v>23.7</v>
      </c>
    </row>
    <row r="344" spans="1:25" x14ac:dyDescent="0.25">
      <c r="A344" t="s">
        <v>4128</v>
      </c>
      <c r="B344">
        <v>949</v>
      </c>
      <c r="C344">
        <v>28</v>
      </c>
      <c r="D344" t="s">
        <v>23</v>
      </c>
      <c r="E344" t="s">
        <v>4093</v>
      </c>
      <c r="F344" t="s">
        <v>3559</v>
      </c>
      <c r="G344" t="s">
        <v>4129</v>
      </c>
      <c r="H344">
        <v>0</v>
      </c>
      <c r="I344">
        <v>460</v>
      </c>
      <c r="J344">
        <v>351</v>
      </c>
      <c r="K344" t="str">
        <f t="shared" si="5"/>
        <v>harv245188</v>
      </c>
      <c r="M344" t="s">
        <v>1067</v>
      </c>
      <c r="N344" t="s">
        <v>1381</v>
      </c>
      <c r="Q344" t="s">
        <v>11083</v>
      </c>
      <c r="U344">
        <v>11</v>
      </c>
      <c r="V344">
        <v>0</v>
      </c>
      <c r="W344">
        <v>15</v>
      </c>
      <c r="X344">
        <v>24.5</v>
      </c>
      <c r="Y344">
        <v>18.8</v>
      </c>
    </row>
    <row r="345" spans="1:25" x14ac:dyDescent="0.25">
      <c r="A345" t="s">
        <v>4130</v>
      </c>
      <c r="B345">
        <v>950</v>
      </c>
      <c r="C345">
        <v>29</v>
      </c>
      <c r="D345" t="s">
        <v>23</v>
      </c>
      <c r="E345" t="s">
        <v>4093</v>
      </c>
      <c r="F345" t="s">
        <v>3559</v>
      </c>
      <c r="G345" t="s">
        <v>4131</v>
      </c>
      <c r="H345">
        <v>0</v>
      </c>
      <c r="I345">
        <v>426</v>
      </c>
      <c r="J345">
        <v>345</v>
      </c>
      <c r="K345" t="str">
        <f t="shared" si="5"/>
        <v>harv226191</v>
      </c>
      <c r="M345" t="s">
        <v>1067</v>
      </c>
      <c r="N345" t="s">
        <v>1098</v>
      </c>
      <c r="Q345" t="s">
        <v>11083</v>
      </c>
      <c r="U345">
        <v>11</v>
      </c>
      <c r="V345">
        <v>0</v>
      </c>
      <c r="W345">
        <v>15</v>
      </c>
      <c r="X345">
        <v>22.6</v>
      </c>
      <c r="Y345">
        <v>19.100000000000001</v>
      </c>
    </row>
    <row r="346" spans="1:25" x14ac:dyDescent="0.25">
      <c r="A346" t="s">
        <v>4132</v>
      </c>
      <c r="B346">
        <v>951</v>
      </c>
      <c r="C346">
        <v>30</v>
      </c>
      <c r="D346" t="s">
        <v>23</v>
      </c>
      <c r="E346" t="s">
        <v>4093</v>
      </c>
      <c r="F346" t="s">
        <v>3559</v>
      </c>
      <c r="G346" t="s">
        <v>4133</v>
      </c>
      <c r="H346">
        <v>0</v>
      </c>
      <c r="I346">
        <v>435</v>
      </c>
      <c r="J346">
        <v>439</v>
      </c>
      <c r="K346" t="str">
        <f t="shared" si="5"/>
        <v>harv233233</v>
      </c>
      <c r="M346" t="s">
        <v>1067</v>
      </c>
      <c r="N346" t="s">
        <v>1369</v>
      </c>
      <c r="Q346" t="s">
        <v>11083</v>
      </c>
      <c r="U346">
        <v>11</v>
      </c>
      <c r="V346">
        <v>0</v>
      </c>
      <c r="W346">
        <v>15</v>
      </c>
      <c r="X346">
        <v>23.3</v>
      </c>
      <c r="Y346">
        <v>23.3</v>
      </c>
    </row>
    <row r="347" spans="1:25" x14ac:dyDescent="0.25">
      <c r="A347" t="s">
        <v>4134</v>
      </c>
      <c r="B347">
        <v>952</v>
      </c>
      <c r="C347">
        <v>31</v>
      </c>
      <c r="D347" t="s">
        <v>23</v>
      </c>
      <c r="E347" t="s">
        <v>4093</v>
      </c>
      <c r="F347" t="s">
        <v>3559</v>
      </c>
      <c r="G347" t="s">
        <v>4135</v>
      </c>
      <c r="H347">
        <v>0</v>
      </c>
      <c r="I347">
        <v>347</v>
      </c>
      <c r="J347">
        <v>356</v>
      </c>
      <c r="K347" t="str">
        <f t="shared" si="5"/>
        <v>harv187193</v>
      </c>
      <c r="M347" t="s">
        <v>1067</v>
      </c>
      <c r="N347" t="s">
        <v>1235</v>
      </c>
      <c r="Q347" t="s">
        <v>11083</v>
      </c>
      <c r="U347">
        <v>11</v>
      </c>
      <c r="V347">
        <v>0</v>
      </c>
      <c r="W347">
        <v>15</v>
      </c>
      <c r="X347">
        <v>18.7</v>
      </c>
      <c r="Y347">
        <v>19.3</v>
      </c>
    </row>
    <row r="348" spans="1:25" x14ac:dyDescent="0.25">
      <c r="A348" t="s">
        <v>4136</v>
      </c>
      <c r="B348">
        <v>953</v>
      </c>
      <c r="C348">
        <v>32</v>
      </c>
      <c r="D348" t="s">
        <v>23</v>
      </c>
      <c r="E348" t="s">
        <v>4093</v>
      </c>
      <c r="F348" t="s">
        <v>3559</v>
      </c>
      <c r="G348" t="s">
        <v>4137</v>
      </c>
      <c r="H348">
        <v>0</v>
      </c>
      <c r="I348">
        <v>460</v>
      </c>
      <c r="J348">
        <v>351</v>
      </c>
      <c r="K348" t="str">
        <f t="shared" si="5"/>
        <v>harv245188</v>
      </c>
      <c r="M348" t="s">
        <v>1067</v>
      </c>
      <c r="N348" t="s">
        <v>1381</v>
      </c>
      <c r="Q348" t="s">
        <v>11083</v>
      </c>
      <c r="U348">
        <v>11</v>
      </c>
      <c r="V348">
        <v>0</v>
      </c>
      <c r="W348">
        <v>15</v>
      </c>
      <c r="X348">
        <v>24.5</v>
      </c>
      <c r="Y348">
        <v>18.8</v>
      </c>
    </row>
    <row r="349" spans="1:25" x14ac:dyDescent="0.25">
      <c r="A349" t="s">
        <v>4138</v>
      </c>
      <c r="B349">
        <v>954</v>
      </c>
      <c r="C349">
        <v>33</v>
      </c>
      <c r="D349" t="s">
        <v>23</v>
      </c>
      <c r="E349" t="s">
        <v>4093</v>
      </c>
      <c r="F349" t="s">
        <v>3559</v>
      </c>
      <c r="G349" t="s">
        <v>4139</v>
      </c>
      <c r="H349">
        <v>0</v>
      </c>
      <c r="I349">
        <v>473</v>
      </c>
      <c r="J349">
        <v>381</v>
      </c>
      <c r="K349" t="str">
        <f t="shared" si="5"/>
        <v>harv249204</v>
      </c>
      <c r="M349" t="s">
        <v>1067</v>
      </c>
      <c r="N349" t="s">
        <v>1416</v>
      </c>
      <c r="Q349" t="s">
        <v>11083</v>
      </c>
      <c r="U349">
        <v>11</v>
      </c>
      <c r="V349">
        <v>0</v>
      </c>
      <c r="W349">
        <v>15</v>
      </c>
      <c r="X349">
        <v>24.9</v>
      </c>
      <c r="Y349">
        <v>20.399999999999999</v>
      </c>
    </row>
    <row r="350" spans="1:25" x14ac:dyDescent="0.25">
      <c r="A350" t="s">
        <v>4140</v>
      </c>
      <c r="B350">
        <v>955</v>
      </c>
      <c r="C350">
        <v>34</v>
      </c>
      <c r="D350" t="s">
        <v>23</v>
      </c>
      <c r="E350" t="s">
        <v>4093</v>
      </c>
      <c r="F350" t="s">
        <v>3559</v>
      </c>
      <c r="G350" t="s">
        <v>4141</v>
      </c>
      <c r="H350">
        <v>0</v>
      </c>
      <c r="I350">
        <v>501</v>
      </c>
      <c r="J350">
        <v>410</v>
      </c>
      <c r="K350" t="str">
        <f t="shared" si="5"/>
        <v>harv266222</v>
      </c>
      <c r="L350" t="s">
        <v>3620</v>
      </c>
      <c r="M350" t="s">
        <v>1067</v>
      </c>
      <c r="N350" t="s">
        <v>1118</v>
      </c>
      <c r="Q350" t="s">
        <v>11083</v>
      </c>
      <c r="U350">
        <v>11</v>
      </c>
      <c r="V350">
        <v>0</v>
      </c>
      <c r="W350">
        <v>15</v>
      </c>
      <c r="X350">
        <v>26.6</v>
      </c>
      <c r="Y350">
        <v>22.2</v>
      </c>
    </row>
    <row r="351" spans="1:25" x14ac:dyDescent="0.25">
      <c r="A351" t="s">
        <v>4142</v>
      </c>
      <c r="B351">
        <v>956</v>
      </c>
      <c r="C351">
        <v>35</v>
      </c>
      <c r="D351" t="s">
        <v>23</v>
      </c>
      <c r="E351" t="s">
        <v>4093</v>
      </c>
      <c r="F351" t="s">
        <v>3559</v>
      </c>
      <c r="G351" t="s">
        <v>4143</v>
      </c>
      <c r="H351">
        <v>0</v>
      </c>
      <c r="I351">
        <v>435</v>
      </c>
      <c r="J351">
        <v>439</v>
      </c>
      <c r="K351" t="str">
        <f t="shared" si="5"/>
        <v>harv233233</v>
      </c>
      <c r="L351" t="s">
        <v>3620</v>
      </c>
      <c r="M351" t="s">
        <v>1067</v>
      </c>
      <c r="N351" t="s">
        <v>1369</v>
      </c>
      <c r="Q351" t="s">
        <v>11083</v>
      </c>
      <c r="U351">
        <v>11</v>
      </c>
      <c r="V351">
        <v>0</v>
      </c>
      <c r="W351">
        <v>15</v>
      </c>
      <c r="X351">
        <v>23.3</v>
      </c>
      <c r="Y351">
        <v>23.3</v>
      </c>
    </row>
    <row r="352" spans="1:25" x14ac:dyDescent="0.25">
      <c r="A352" t="s">
        <v>4144</v>
      </c>
      <c r="B352">
        <v>957</v>
      </c>
      <c r="C352">
        <v>36</v>
      </c>
      <c r="D352" t="s">
        <v>23</v>
      </c>
      <c r="E352" t="s">
        <v>4093</v>
      </c>
      <c r="F352" t="s">
        <v>3559</v>
      </c>
      <c r="G352" t="s">
        <v>4145</v>
      </c>
      <c r="H352">
        <v>0</v>
      </c>
      <c r="I352">
        <v>435</v>
      </c>
      <c r="J352">
        <v>439</v>
      </c>
      <c r="K352" t="str">
        <f t="shared" si="5"/>
        <v>harv233233</v>
      </c>
      <c r="M352" t="s">
        <v>1067</v>
      </c>
      <c r="N352" t="s">
        <v>1369</v>
      </c>
      <c r="Q352" t="s">
        <v>11083</v>
      </c>
      <c r="U352">
        <v>12</v>
      </c>
      <c r="V352">
        <v>0</v>
      </c>
      <c r="W352">
        <v>15</v>
      </c>
      <c r="X352">
        <v>23.3</v>
      </c>
      <c r="Y352">
        <v>23.3</v>
      </c>
    </row>
    <row r="353" spans="1:25" x14ac:dyDescent="0.25">
      <c r="A353" t="s">
        <v>4146</v>
      </c>
      <c r="B353">
        <v>958</v>
      </c>
      <c r="C353">
        <v>37</v>
      </c>
      <c r="D353" t="s">
        <v>23</v>
      </c>
      <c r="E353" t="s">
        <v>4093</v>
      </c>
      <c r="F353" t="s">
        <v>3559</v>
      </c>
      <c r="G353" t="s">
        <v>4147</v>
      </c>
      <c r="H353">
        <v>0</v>
      </c>
      <c r="I353">
        <v>347</v>
      </c>
      <c r="J353">
        <v>356</v>
      </c>
      <c r="K353" t="str">
        <f t="shared" si="5"/>
        <v>harv187193</v>
      </c>
      <c r="M353" t="s">
        <v>1067</v>
      </c>
      <c r="N353" t="s">
        <v>1235</v>
      </c>
      <c r="Q353" t="s">
        <v>11083</v>
      </c>
      <c r="U353">
        <v>12</v>
      </c>
      <c r="V353">
        <v>0</v>
      </c>
      <c r="W353">
        <v>15</v>
      </c>
      <c r="X353">
        <v>18.7</v>
      </c>
      <c r="Y353">
        <v>19.3</v>
      </c>
    </row>
    <row r="354" spans="1:25" x14ac:dyDescent="0.25">
      <c r="A354" t="s">
        <v>4148</v>
      </c>
      <c r="B354">
        <v>959</v>
      </c>
      <c r="C354">
        <v>38</v>
      </c>
      <c r="D354" t="s">
        <v>23</v>
      </c>
      <c r="E354" t="s">
        <v>4093</v>
      </c>
      <c r="F354" t="s">
        <v>3559</v>
      </c>
      <c r="G354" t="s">
        <v>4149</v>
      </c>
      <c r="H354">
        <v>0</v>
      </c>
      <c r="I354">
        <v>426</v>
      </c>
      <c r="J354">
        <v>345</v>
      </c>
      <c r="K354" t="str">
        <f t="shared" si="5"/>
        <v>harv226191</v>
      </c>
      <c r="M354" t="s">
        <v>1067</v>
      </c>
      <c r="N354" t="s">
        <v>1098</v>
      </c>
      <c r="Q354" t="s">
        <v>11083</v>
      </c>
      <c r="U354">
        <v>12</v>
      </c>
      <c r="V354">
        <v>0</v>
      </c>
      <c r="W354">
        <v>15</v>
      </c>
      <c r="X354">
        <v>22.6</v>
      </c>
      <c r="Y354">
        <v>19.100000000000001</v>
      </c>
    </row>
    <row r="355" spans="1:25" x14ac:dyDescent="0.25">
      <c r="A355" t="s">
        <v>4150</v>
      </c>
      <c r="B355">
        <v>960</v>
      </c>
      <c r="C355">
        <v>39</v>
      </c>
      <c r="D355" t="s">
        <v>23</v>
      </c>
      <c r="E355" t="s">
        <v>4093</v>
      </c>
      <c r="F355" t="s">
        <v>3559</v>
      </c>
      <c r="G355" t="s">
        <v>4151</v>
      </c>
      <c r="H355">
        <v>0</v>
      </c>
      <c r="I355">
        <v>418</v>
      </c>
      <c r="J355">
        <v>442</v>
      </c>
      <c r="K355" t="str">
        <f t="shared" si="5"/>
        <v>harv223237</v>
      </c>
      <c r="M355" t="s">
        <v>1067</v>
      </c>
      <c r="N355" t="s">
        <v>1235</v>
      </c>
      <c r="Q355" t="s">
        <v>11083</v>
      </c>
      <c r="U355">
        <v>12</v>
      </c>
      <c r="V355">
        <v>0</v>
      </c>
      <c r="W355">
        <v>15</v>
      </c>
      <c r="X355">
        <v>22.3</v>
      </c>
      <c r="Y355">
        <v>23.7</v>
      </c>
    </row>
    <row r="356" spans="1:25" x14ac:dyDescent="0.25">
      <c r="A356" t="s">
        <v>4152</v>
      </c>
      <c r="B356">
        <v>961</v>
      </c>
      <c r="C356">
        <v>40</v>
      </c>
      <c r="D356" t="s">
        <v>23</v>
      </c>
      <c r="E356" t="s">
        <v>4093</v>
      </c>
      <c r="F356" t="s">
        <v>3559</v>
      </c>
      <c r="G356" t="s">
        <v>4153</v>
      </c>
      <c r="H356">
        <v>0</v>
      </c>
      <c r="I356">
        <v>460</v>
      </c>
      <c r="J356">
        <v>351</v>
      </c>
      <c r="K356" t="str">
        <f t="shared" si="5"/>
        <v>harv245188</v>
      </c>
      <c r="M356" t="s">
        <v>1067</v>
      </c>
      <c r="N356" t="s">
        <v>1381</v>
      </c>
      <c r="Q356" t="s">
        <v>11083</v>
      </c>
      <c r="U356">
        <v>12</v>
      </c>
      <c r="V356">
        <v>0</v>
      </c>
      <c r="W356">
        <v>15</v>
      </c>
      <c r="X356">
        <v>24.5</v>
      </c>
      <c r="Y356">
        <v>18.8</v>
      </c>
    </row>
    <row r="357" spans="1:25" x14ac:dyDescent="0.25">
      <c r="A357" t="s">
        <v>4154</v>
      </c>
      <c r="B357">
        <v>962</v>
      </c>
      <c r="C357">
        <v>41</v>
      </c>
      <c r="D357" t="s">
        <v>23</v>
      </c>
      <c r="E357" t="s">
        <v>4093</v>
      </c>
      <c r="F357" t="s">
        <v>3559</v>
      </c>
      <c r="G357" t="s">
        <v>4155</v>
      </c>
      <c r="H357">
        <v>0</v>
      </c>
      <c r="I357">
        <v>435</v>
      </c>
      <c r="J357">
        <v>439</v>
      </c>
      <c r="K357" t="str">
        <f t="shared" si="5"/>
        <v>harv233233</v>
      </c>
      <c r="L357" t="s">
        <v>3620</v>
      </c>
      <c r="M357" t="s">
        <v>1067</v>
      </c>
      <c r="N357" t="s">
        <v>1369</v>
      </c>
      <c r="Q357" t="s">
        <v>11083</v>
      </c>
      <c r="U357">
        <v>12</v>
      </c>
      <c r="V357">
        <v>0</v>
      </c>
      <c r="W357">
        <v>15</v>
      </c>
      <c r="X357">
        <v>23.3</v>
      </c>
      <c r="Y357">
        <v>23.3</v>
      </c>
    </row>
    <row r="358" spans="1:25" x14ac:dyDescent="0.25">
      <c r="A358" t="s">
        <v>4156</v>
      </c>
      <c r="B358">
        <v>963</v>
      </c>
      <c r="C358">
        <v>42</v>
      </c>
      <c r="D358" t="s">
        <v>23</v>
      </c>
      <c r="E358" t="s">
        <v>4093</v>
      </c>
      <c r="F358" t="s">
        <v>3559</v>
      </c>
      <c r="G358" t="s">
        <v>4157</v>
      </c>
      <c r="H358">
        <v>0</v>
      </c>
      <c r="I358">
        <v>418</v>
      </c>
      <c r="J358">
        <v>442</v>
      </c>
      <c r="K358" t="str">
        <f t="shared" si="5"/>
        <v>harv223237</v>
      </c>
      <c r="L358" t="s">
        <v>3620</v>
      </c>
      <c r="M358" t="s">
        <v>1067</v>
      </c>
      <c r="N358" t="s">
        <v>1235</v>
      </c>
      <c r="Q358" t="s">
        <v>11083</v>
      </c>
      <c r="U358">
        <v>12</v>
      </c>
      <c r="V358">
        <v>0</v>
      </c>
      <c r="W358">
        <v>15</v>
      </c>
      <c r="X358">
        <v>22.3</v>
      </c>
      <c r="Y358">
        <v>23.7</v>
      </c>
    </row>
    <row r="359" spans="1:25" x14ac:dyDescent="0.25">
      <c r="A359" t="s">
        <v>4158</v>
      </c>
      <c r="B359">
        <v>964</v>
      </c>
      <c r="C359">
        <v>43</v>
      </c>
      <c r="D359" t="s">
        <v>23</v>
      </c>
      <c r="E359" t="s">
        <v>4093</v>
      </c>
      <c r="F359" t="s">
        <v>3559</v>
      </c>
      <c r="G359" t="s">
        <v>4159</v>
      </c>
      <c r="H359">
        <v>0</v>
      </c>
      <c r="I359">
        <v>460</v>
      </c>
      <c r="J359">
        <v>351</v>
      </c>
      <c r="K359" t="str">
        <f t="shared" si="5"/>
        <v>harv245188</v>
      </c>
      <c r="M359" t="s">
        <v>1067</v>
      </c>
      <c r="N359" t="s">
        <v>1381</v>
      </c>
      <c r="Q359" t="s">
        <v>11083</v>
      </c>
      <c r="U359">
        <v>13</v>
      </c>
      <c r="V359">
        <v>0</v>
      </c>
      <c r="W359">
        <v>15</v>
      </c>
      <c r="X359">
        <v>24.5</v>
      </c>
      <c r="Y359">
        <v>18.8</v>
      </c>
    </row>
    <row r="360" spans="1:25" x14ac:dyDescent="0.25">
      <c r="A360" t="s">
        <v>4160</v>
      </c>
      <c r="B360">
        <v>965</v>
      </c>
      <c r="C360">
        <v>44</v>
      </c>
      <c r="D360" t="s">
        <v>23</v>
      </c>
      <c r="E360" t="s">
        <v>4093</v>
      </c>
      <c r="F360" t="s">
        <v>3559</v>
      </c>
      <c r="G360" t="s">
        <v>4161</v>
      </c>
      <c r="H360">
        <v>0</v>
      </c>
      <c r="I360">
        <v>435</v>
      </c>
      <c r="J360">
        <v>439</v>
      </c>
      <c r="K360" t="str">
        <f t="shared" si="5"/>
        <v>harv233233</v>
      </c>
      <c r="M360" t="s">
        <v>1067</v>
      </c>
      <c r="N360" t="s">
        <v>1369</v>
      </c>
      <c r="Q360" t="s">
        <v>11083</v>
      </c>
      <c r="U360">
        <v>13</v>
      </c>
      <c r="V360">
        <v>0</v>
      </c>
      <c r="W360">
        <v>15</v>
      </c>
      <c r="X360">
        <v>23.3</v>
      </c>
      <c r="Y360">
        <v>23.3</v>
      </c>
    </row>
    <row r="361" spans="1:25" x14ac:dyDescent="0.25">
      <c r="A361" t="s">
        <v>4162</v>
      </c>
      <c r="B361">
        <v>966</v>
      </c>
      <c r="C361">
        <v>45</v>
      </c>
      <c r="D361" t="s">
        <v>23</v>
      </c>
      <c r="E361" t="s">
        <v>4093</v>
      </c>
      <c r="F361" t="s">
        <v>3559</v>
      </c>
      <c r="G361" t="s">
        <v>4163</v>
      </c>
      <c r="H361">
        <v>0</v>
      </c>
      <c r="I361">
        <v>426</v>
      </c>
      <c r="J361">
        <v>345</v>
      </c>
      <c r="K361" t="str">
        <f t="shared" si="5"/>
        <v>harv226191</v>
      </c>
      <c r="M361" t="s">
        <v>1067</v>
      </c>
      <c r="N361" t="s">
        <v>1098</v>
      </c>
      <c r="Q361" t="s">
        <v>11083</v>
      </c>
      <c r="U361">
        <v>13</v>
      </c>
      <c r="V361">
        <v>0</v>
      </c>
      <c r="W361">
        <v>15</v>
      </c>
      <c r="X361">
        <v>22.6</v>
      </c>
      <c r="Y361">
        <v>19.100000000000001</v>
      </c>
    </row>
    <row r="362" spans="1:25" x14ac:dyDescent="0.25">
      <c r="A362" t="s">
        <v>4164</v>
      </c>
      <c r="B362">
        <v>967</v>
      </c>
      <c r="C362">
        <v>46</v>
      </c>
      <c r="D362" t="s">
        <v>23</v>
      </c>
      <c r="E362" t="s">
        <v>4093</v>
      </c>
      <c r="F362" t="s">
        <v>3559</v>
      </c>
      <c r="G362" t="s">
        <v>4165</v>
      </c>
      <c r="H362">
        <v>0</v>
      </c>
      <c r="I362">
        <v>501</v>
      </c>
      <c r="J362">
        <v>410</v>
      </c>
      <c r="K362" t="str">
        <f t="shared" si="5"/>
        <v>harv266222</v>
      </c>
      <c r="M362" t="s">
        <v>1067</v>
      </c>
      <c r="N362" t="s">
        <v>1118</v>
      </c>
      <c r="Q362" t="s">
        <v>11083</v>
      </c>
      <c r="U362">
        <v>13</v>
      </c>
      <c r="V362">
        <v>0</v>
      </c>
      <c r="W362">
        <v>15</v>
      </c>
      <c r="X362">
        <v>26.6</v>
      </c>
      <c r="Y362">
        <v>22.2</v>
      </c>
    </row>
    <row r="363" spans="1:25" x14ac:dyDescent="0.25">
      <c r="A363" t="s">
        <v>4166</v>
      </c>
      <c r="B363">
        <v>968</v>
      </c>
      <c r="C363">
        <v>47</v>
      </c>
      <c r="D363" t="s">
        <v>23</v>
      </c>
      <c r="E363" t="s">
        <v>4093</v>
      </c>
      <c r="F363" t="s">
        <v>3559</v>
      </c>
      <c r="G363" t="s">
        <v>4167</v>
      </c>
      <c r="H363">
        <v>0</v>
      </c>
      <c r="I363">
        <v>347</v>
      </c>
      <c r="J363">
        <v>356</v>
      </c>
      <c r="K363" t="str">
        <f t="shared" si="5"/>
        <v>harv187193</v>
      </c>
      <c r="M363" t="s">
        <v>1067</v>
      </c>
      <c r="N363" t="s">
        <v>1235</v>
      </c>
      <c r="Q363" t="s">
        <v>11083</v>
      </c>
      <c r="U363">
        <v>13</v>
      </c>
      <c r="V363">
        <v>0</v>
      </c>
      <c r="W363">
        <v>15</v>
      </c>
      <c r="X363">
        <v>18.7</v>
      </c>
      <c r="Y363">
        <v>19.3</v>
      </c>
    </row>
    <row r="364" spans="1:25" x14ac:dyDescent="0.25">
      <c r="A364" t="s">
        <v>4168</v>
      </c>
      <c r="B364">
        <v>969</v>
      </c>
      <c r="C364">
        <v>48</v>
      </c>
      <c r="D364" t="s">
        <v>23</v>
      </c>
      <c r="E364" t="s">
        <v>4093</v>
      </c>
      <c r="F364" t="s">
        <v>3559</v>
      </c>
      <c r="G364" t="s">
        <v>4169</v>
      </c>
      <c r="H364">
        <v>0</v>
      </c>
      <c r="I364">
        <v>418</v>
      </c>
      <c r="J364">
        <v>442</v>
      </c>
      <c r="K364" t="str">
        <f t="shared" si="5"/>
        <v>harv223237</v>
      </c>
      <c r="M364" t="s">
        <v>1067</v>
      </c>
      <c r="N364" t="s">
        <v>1235</v>
      </c>
      <c r="Q364" t="s">
        <v>11083</v>
      </c>
      <c r="U364">
        <v>13</v>
      </c>
      <c r="V364">
        <v>0</v>
      </c>
      <c r="W364">
        <v>15</v>
      </c>
      <c r="X364">
        <v>22.3</v>
      </c>
      <c r="Y364">
        <v>23.7</v>
      </c>
    </row>
    <row r="365" spans="1:25" x14ac:dyDescent="0.25">
      <c r="A365" t="s">
        <v>4170</v>
      </c>
      <c r="B365">
        <v>970</v>
      </c>
      <c r="C365">
        <v>49</v>
      </c>
      <c r="D365" t="s">
        <v>23</v>
      </c>
      <c r="E365" t="s">
        <v>4093</v>
      </c>
      <c r="F365" t="s">
        <v>3559</v>
      </c>
      <c r="G365" t="s">
        <v>4171</v>
      </c>
      <c r="H365">
        <v>0</v>
      </c>
      <c r="I365">
        <v>460</v>
      </c>
      <c r="J365">
        <v>351</v>
      </c>
      <c r="K365" t="str">
        <f t="shared" si="5"/>
        <v>harv245188</v>
      </c>
      <c r="L365" t="s">
        <v>3620</v>
      </c>
      <c r="M365" t="s">
        <v>1067</v>
      </c>
      <c r="N365" t="s">
        <v>1381</v>
      </c>
      <c r="Q365" t="s">
        <v>11083</v>
      </c>
      <c r="U365">
        <v>13</v>
      </c>
      <c r="V365">
        <v>0</v>
      </c>
      <c r="W365">
        <v>15</v>
      </c>
      <c r="X365">
        <v>24.5</v>
      </c>
      <c r="Y365">
        <v>18.8</v>
      </c>
    </row>
    <row r="366" spans="1:25" x14ac:dyDescent="0.25">
      <c r="A366" t="s">
        <v>4172</v>
      </c>
      <c r="B366">
        <v>971</v>
      </c>
      <c r="C366">
        <v>50</v>
      </c>
      <c r="D366" t="s">
        <v>23</v>
      </c>
      <c r="E366" t="s">
        <v>4093</v>
      </c>
      <c r="F366" t="s">
        <v>3559</v>
      </c>
      <c r="G366" t="s">
        <v>4173</v>
      </c>
      <c r="H366">
        <v>0</v>
      </c>
      <c r="I366">
        <v>426</v>
      </c>
      <c r="J366">
        <v>345</v>
      </c>
      <c r="K366" t="str">
        <f t="shared" si="5"/>
        <v>harv226191</v>
      </c>
      <c r="L366" t="s">
        <v>3620</v>
      </c>
      <c r="M366" t="s">
        <v>1067</v>
      </c>
      <c r="N366" t="s">
        <v>1098</v>
      </c>
      <c r="Q366" t="s">
        <v>11083</v>
      </c>
      <c r="U366">
        <v>13</v>
      </c>
      <c r="V366">
        <v>0</v>
      </c>
      <c r="W366">
        <v>15</v>
      </c>
      <c r="X366">
        <v>22.6</v>
      </c>
      <c r="Y366">
        <v>19.100000000000001</v>
      </c>
    </row>
    <row r="367" spans="1:25" x14ac:dyDescent="0.25">
      <c r="A367" t="s">
        <v>4174</v>
      </c>
      <c r="B367">
        <v>972</v>
      </c>
      <c r="C367">
        <v>51</v>
      </c>
      <c r="D367" t="s">
        <v>23</v>
      </c>
      <c r="E367" t="s">
        <v>4093</v>
      </c>
      <c r="F367" t="s">
        <v>3559</v>
      </c>
      <c r="G367" t="s">
        <v>4175</v>
      </c>
      <c r="H367">
        <v>0</v>
      </c>
      <c r="I367">
        <v>501</v>
      </c>
      <c r="J367">
        <v>410</v>
      </c>
      <c r="K367" t="str">
        <f t="shared" si="5"/>
        <v>harv266222</v>
      </c>
      <c r="L367" t="s">
        <v>3620</v>
      </c>
      <c r="M367" t="s">
        <v>1067</v>
      </c>
      <c r="N367" t="s">
        <v>1118</v>
      </c>
      <c r="Q367" t="s">
        <v>11083</v>
      </c>
      <c r="U367">
        <v>13</v>
      </c>
      <c r="V367">
        <v>0</v>
      </c>
      <c r="W367">
        <v>15</v>
      </c>
      <c r="X367">
        <v>26.6</v>
      </c>
      <c r="Y367">
        <v>22.2</v>
      </c>
    </row>
    <row r="368" spans="1:25" x14ac:dyDescent="0.25">
      <c r="A368" t="s">
        <v>4176</v>
      </c>
      <c r="B368">
        <v>973</v>
      </c>
      <c r="C368">
        <v>52</v>
      </c>
      <c r="D368" t="s">
        <v>23</v>
      </c>
      <c r="E368" t="s">
        <v>4093</v>
      </c>
      <c r="F368" t="s">
        <v>3559</v>
      </c>
      <c r="G368" t="s">
        <v>4177</v>
      </c>
      <c r="H368">
        <v>0</v>
      </c>
      <c r="I368">
        <v>501</v>
      </c>
      <c r="J368">
        <v>410</v>
      </c>
      <c r="K368" t="str">
        <f t="shared" si="5"/>
        <v>harv266222</v>
      </c>
      <c r="M368" t="s">
        <v>1067</v>
      </c>
      <c r="N368" t="s">
        <v>1118</v>
      </c>
      <c r="Q368" t="s">
        <v>11083</v>
      </c>
      <c r="U368">
        <v>14</v>
      </c>
      <c r="V368">
        <v>0</v>
      </c>
      <c r="W368">
        <v>15</v>
      </c>
      <c r="X368">
        <v>26.6</v>
      </c>
      <c r="Y368">
        <v>22.2</v>
      </c>
    </row>
    <row r="369" spans="1:25" x14ac:dyDescent="0.25">
      <c r="A369" t="s">
        <v>4178</v>
      </c>
      <c r="B369">
        <v>974</v>
      </c>
      <c r="C369">
        <v>53</v>
      </c>
      <c r="D369" t="s">
        <v>23</v>
      </c>
      <c r="E369" t="s">
        <v>4093</v>
      </c>
      <c r="F369" t="s">
        <v>3559</v>
      </c>
      <c r="G369" t="s">
        <v>4179</v>
      </c>
      <c r="H369">
        <v>0</v>
      </c>
      <c r="I369">
        <v>473</v>
      </c>
      <c r="J369">
        <v>381</v>
      </c>
      <c r="K369" t="str">
        <f t="shared" si="5"/>
        <v>harv249204</v>
      </c>
      <c r="M369" t="s">
        <v>1067</v>
      </c>
      <c r="N369" t="s">
        <v>1416</v>
      </c>
      <c r="Q369" t="s">
        <v>11083</v>
      </c>
      <c r="U369">
        <v>14</v>
      </c>
      <c r="V369">
        <v>0</v>
      </c>
      <c r="W369">
        <v>15</v>
      </c>
      <c r="X369">
        <v>24.9</v>
      </c>
      <c r="Y369">
        <v>20.399999999999999</v>
      </c>
    </row>
    <row r="370" spans="1:25" x14ac:dyDescent="0.25">
      <c r="A370" t="s">
        <v>4180</v>
      </c>
      <c r="B370">
        <v>975</v>
      </c>
      <c r="C370">
        <v>54</v>
      </c>
      <c r="D370" t="s">
        <v>23</v>
      </c>
      <c r="E370" t="s">
        <v>4093</v>
      </c>
      <c r="F370" t="s">
        <v>3559</v>
      </c>
      <c r="G370" t="s">
        <v>4181</v>
      </c>
      <c r="H370">
        <v>0</v>
      </c>
      <c r="I370">
        <v>418</v>
      </c>
      <c r="J370">
        <v>442</v>
      </c>
      <c r="K370" t="str">
        <f t="shared" si="5"/>
        <v>harv223237</v>
      </c>
      <c r="M370" t="s">
        <v>1067</v>
      </c>
      <c r="N370" t="s">
        <v>1235</v>
      </c>
      <c r="Q370" t="s">
        <v>11083</v>
      </c>
      <c r="U370">
        <v>14</v>
      </c>
      <c r="V370">
        <v>0</v>
      </c>
      <c r="W370">
        <v>15</v>
      </c>
      <c r="X370">
        <v>22.3</v>
      </c>
      <c r="Y370">
        <v>23.7</v>
      </c>
    </row>
    <row r="371" spans="1:25" x14ac:dyDescent="0.25">
      <c r="A371" t="s">
        <v>4182</v>
      </c>
      <c r="B371">
        <v>976</v>
      </c>
      <c r="C371">
        <v>55</v>
      </c>
      <c r="D371" t="s">
        <v>23</v>
      </c>
      <c r="E371" t="s">
        <v>4093</v>
      </c>
      <c r="F371" t="s">
        <v>3559</v>
      </c>
      <c r="G371" t="s">
        <v>4183</v>
      </c>
      <c r="H371">
        <v>0</v>
      </c>
      <c r="I371">
        <v>473</v>
      </c>
      <c r="J371">
        <v>381</v>
      </c>
      <c r="K371" t="str">
        <f t="shared" si="5"/>
        <v>harv249204</v>
      </c>
      <c r="L371" t="s">
        <v>3620</v>
      </c>
      <c r="M371" t="s">
        <v>1067</v>
      </c>
      <c r="N371" t="s">
        <v>1416</v>
      </c>
      <c r="Q371" t="s">
        <v>11083</v>
      </c>
      <c r="U371">
        <v>14</v>
      </c>
      <c r="V371">
        <v>0</v>
      </c>
      <c r="W371">
        <v>15</v>
      </c>
      <c r="X371">
        <v>24.9</v>
      </c>
      <c r="Y371">
        <v>20.399999999999999</v>
      </c>
    </row>
    <row r="372" spans="1:25" x14ac:dyDescent="0.25">
      <c r="A372" t="s">
        <v>4184</v>
      </c>
      <c r="B372">
        <v>977</v>
      </c>
      <c r="C372">
        <v>56</v>
      </c>
      <c r="D372" t="s">
        <v>23</v>
      </c>
      <c r="E372" t="s">
        <v>4093</v>
      </c>
      <c r="F372" t="s">
        <v>3559</v>
      </c>
      <c r="G372" t="s">
        <v>4185</v>
      </c>
      <c r="H372">
        <v>0</v>
      </c>
      <c r="I372">
        <v>426</v>
      </c>
      <c r="J372">
        <v>345</v>
      </c>
      <c r="K372" t="str">
        <f t="shared" si="5"/>
        <v>harv226191</v>
      </c>
      <c r="M372" t="s">
        <v>1067</v>
      </c>
      <c r="N372" t="s">
        <v>1098</v>
      </c>
      <c r="Q372" t="s">
        <v>11083</v>
      </c>
      <c r="U372">
        <v>15</v>
      </c>
      <c r="V372">
        <v>0</v>
      </c>
      <c r="W372">
        <v>15</v>
      </c>
      <c r="X372">
        <v>22.6</v>
      </c>
      <c r="Y372">
        <v>19.100000000000001</v>
      </c>
    </row>
    <row r="373" spans="1:25" x14ac:dyDescent="0.25">
      <c r="A373" t="s">
        <v>4186</v>
      </c>
      <c r="B373">
        <v>978</v>
      </c>
      <c r="C373">
        <v>57</v>
      </c>
      <c r="D373" t="s">
        <v>23</v>
      </c>
      <c r="E373" t="s">
        <v>4093</v>
      </c>
      <c r="F373" t="s">
        <v>3559</v>
      </c>
      <c r="G373" t="s">
        <v>4187</v>
      </c>
      <c r="H373">
        <v>0</v>
      </c>
      <c r="I373">
        <v>473</v>
      </c>
      <c r="J373">
        <v>381</v>
      </c>
      <c r="K373" t="str">
        <f t="shared" si="5"/>
        <v>harv249204</v>
      </c>
      <c r="M373" t="s">
        <v>1067</v>
      </c>
      <c r="N373" t="s">
        <v>1416</v>
      </c>
      <c r="Q373" t="s">
        <v>11083</v>
      </c>
      <c r="U373">
        <v>15</v>
      </c>
      <c r="V373">
        <v>0</v>
      </c>
      <c r="W373">
        <v>15</v>
      </c>
      <c r="X373">
        <v>24.9</v>
      </c>
      <c r="Y373">
        <v>20.399999999999999</v>
      </c>
    </row>
    <row r="374" spans="1:25" x14ac:dyDescent="0.25">
      <c r="A374" t="s">
        <v>4188</v>
      </c>
      <c r="B374">
        <v>979</v>
      </c>
      <c r="C374">
        <v>58</v>
      </c>
      <c r="D374" t="s">
        <v>23</v>
      </c>
      <c r="E374" t="s">
        <v>4093</v>
      </c>
      <c r="F374" t="s">
        <v>3559</v>
      </c>
      <c r="G374" t="s">
        <v>4189</v>
      </c>
      <c r="H374">
        <v>0</v>
      </c>
      <c r="I374">
        <v>501</v>
      </c>
      <c r="J374">
        <v>410</v>
      </c>
      <c r="K374" t="str">
        <f t="shared" si="5"/>
        <v>harv266222</v>
      </c>
      <c r="M374" t="s">
        <v>1067</v>
      </c>
      <c r="N374" t="s">
        <v>1118</v>
      </c>
      <c r="Q374" t="s">
        <v>11083</v>
      </c>
      <c r="U374">
        <v>15</v>
      </c>
      <c r="V374">
        <v>0</v>
      </c>
      <c r="W374">
        <v>15</v>
      </c>
      <c r="X374">
        <v>26.6</v>
      </c>
      <c r="Y374">
        <v>22.2</v>
      </c>
    </row>
    <row r="375" spans="1:25" x14ac:dyDescent="0.25">
      <c r="A375" t="s">
        <v>4190</v>
      </c>
      <c r="B375">
        <v>980</v>
      </c>
      <c r="C375">
        <v>59</v>
      </c>
      <c r="D375" t="s">
        <v>23</v>
      </c>
      <c r="E375" t="s">
        <v>4093</v>
      </c>
      <c r="F375" t="s">
        <v>3559</v>
      </c>
      <c r="G375" t="s">
        <v>4191</v>
      </c>
      <c r="H375">
        <v>0</v>
      </c>
      <c r="I375">
        <v>347</v>
      </c>
      <c r="J375">
        <v>356</v>
      </c>
      <c r="K375" t="str">
        <f t="shared" si="5"/>
        <v>harv187193</v>
      </c>
      <c r="M375" t="s">
        <v>1067</v>
      </c>
      <c r="N375" t="s">
        <v>1235</v>
      </c>
      <c r="Q375" t="s">
        <v>11083</v>
      </c>
      <c r="U375">
        <v>15</v>
      </c>
      <c r="V375">
        <v>0</v>
      </c>
      <c r="W375">
        <v>15</v>
      </c>
      <c r="X375">
        <v>18.7</v>
      </c>
      <c r="Y375">
        <v>19.3</v>
      </c>
    </row>
    <row r="376" spans="1:25" x14ac:dyDescent="0.25">
      <c r="A376" t="s">
        <v>4192</v>
      </c>
      <c r="B376">
        <v>981</v>
      </c>
      <c r="C376">
        <v>60</v>
      </c>
      <c r="D376" t="s">
        <v>23</v>
      </c>
      <c r="E376" t="s">
        <v>4093</v>
      </c>
      <c r="F376" t="s">
        <v>3559</v>
      </c>
      <c r="G376" t="s">
        <v>4193</v>
      </c>
      <c r="H376">
        <v>0</v>
      </c>
      <c r="I376">
        <v>603</v>
      </c>
      <c r="J376">
        <v>550</v>
      </c>
      <c r="K376" t="str">
        <f t="shared" si="5"/>
        <v>harv318291</v>
      </c>
      <c r="M376" t="s">
        <v>1067</v>
      </c>
      <c r="N376" t="s">
        <v>1163</v>
      </c>
      <c r="Q376" t="s">
        <v>11083</v>
      </c>
      <c r="U376">
        <v>16</v>
      </c>
      <c r="V376">
        <v>0</v>
      </c>
      <c r="W376">
        <v>20</v>
      </c>
      <c r="X376">
        <v>31.8</v>
      </c>
      <c r="Y376">
        <v>29.1</v>
      </c>
    </row>
    <row r="377" spans="1:25" x14ac:dyDescent="0.25">
      <c r="A377" t="s">
        <v>4194</v>
      </c>
      <c r="B377">
        <v>982</v>
      </c>
      <c r="C377">
        <v>61</v>
      </c>
      <c r="D377" t="s">
        <v>23</v>
      </c>
      <c r="E377" t="s">
        <v>4093</v>
      </c>
      <c r="F377" t="s">
        <v>3559</v>
      </c>
      <c r="G377" t="s">
        <v>4195</v>
      </c>
      <c r="H377">
        <v>0</v>
      </c>
      <c r="I377">
        <v>345</v>
      </c>
      <c r="J377">
        <v>531</v>
      </c>
      <c r="K377" t="str">
        <f t="shared" si="5"/>
        <v>harv185282</v>
      </c>
      <c r="M377" t="s">
        <v>1067</v>
      </c>
      <c r="N377" t="s">
        <v>1284</v>
      </c>
      <c r="Q377" t="s">
        <v>11083</v>
      </c>
      <c r="U377">
        <v>16</v>
      </c>
      <c r="V377">
        <v>0</v>
      </c>
      <c r="W377">
        <v>20</v>
      </c>
      <c r="X377">
        <v>18.5</v>
      </c>
      <c r="Y377">
        <v>28.2</v>
      </c>
    </row>
    <row r="378" spans="1:25" x14ac:dyDescent="0.25">
      <c r="A378" t="s">
        <v>4196</v>
      </c>
      <c r="B378">
        <v>983</v>
      </c>
      <c r="C378">
        <v>62</v>
      </c>
      <c r="D378" t="s">
        <v>23</v>
      </c>
      <c r="E378" t="s">
        <v>4093</v>
      </c>
      <c r="F378" t="s">
        <v>3559</v>
      </c>
      <c r="G378" t="s">
        <v>4197</v>
      </c>
      <c r="H378">
        <v>0</v>
      </c>
      <c r="I378">
        <v>603</v>
      </c>
      <c r="J378">
        <v>550</v>
      </c>
      <c r="K378" t="str">
        <f t="shared" si="5"/>
        <v>harv318291</v>
      </c>
      <c r="L378" t="s">
        <v>3620</v>
      </c>
      <c r="M378" t="s">
        <v>1067</v>
      </c>
      <c r="N378" t="s">
        <v>1163</v>
      </c>
      <c r="Q378" t="s">
        <v>11083</v>
      </c>
      <c r="U378">
        <v>16</v>
      </c>
      <c r="V378">
        <v>0</v>
      </c>
      <c r="W378">
        <v>20</v>
      </c>
      <c r="X378">
        <v>31.8</v>
      </c>
      <c r="Y378">
        <v>29.1</v>
      </c>
    </row>
    <row r="379" spans="1:25" x14ac:dyDescent="0.25">
      <c r="A379" t="s">
        <v>4198</v>
      </c>
      <c r="B379">
        <v>984</v>
      </c>
      <c r="C379">
        <v>63</v>
      </c>
      <c r="D379" t="s">
        <v>23</v>
      </c>
      <c r="E379" t="s">
        <v>4093</v>
      </c>
      <c r="F379" t="s">
        <v>3559</v>
      </c>
      <c r="G379" t="s">
        <v>4199</v>
      </c>
      <c r="H379">
        <v>0</v>
      </c>
      <c r="I379">
        <v>603</v>
      </c>
      <c r="J379">
        <v>550</v>
      </c>
      <c r="K379" t="str">
        <f t="shared" si="5"/>
        <v>harv318291</v>
      </c>
      <c r="M379" t="s">
        <v>1067</v>
      </c>
      <c r="N379" t="s">
        <v>1163</v>
      </c>
      <c r="Q379" t="s">
        <v>11083</v>
      </c>
      <c r="U379">
        <v>17</v>
      </c>
      <c r="V379">
        <v>0</v>
      </c>
      <c r="W379">
        <v>20</v>
      </c>
      <c r="X379">
        <v>31.8</v>
      </c>
      <c r="Y379">
        <v>29.1</v>
      </c>
    </row>
    <row r="380" spans="1:25" x14ac:dyDescent="0.25">
      <c r="A380" t="s">
        <v>4200</v>
      </c>
      <c r="B380">
        <v>985</v>
      </c>
      <c r="C380">
        <v>64</v>
      </c>
      <c r="D380" t="s">
        <v>23</v>
      </c>
      <c r="E380" t="s">
        <v>4093</v>
      </c>
      <c r="F380" t="s">
        <v>3559</v>
      </c>
      <c r="G380" t="s">
        <v>4201</v>
      </c>
      <c r="H380">
        <v>0</v>
      </c>
      <c r="I380">
        <v>301</v>
      </c>
      <c r="J380">
        <v>507</v>
      </c>
      <c r="K380" t="str">
        <f t="shared" si="5"/>
        <v>harv162271</v>
      </c>
      <c r="M380" t="s">
        <v>1067</v>
      </c>
      <c r="N380" t="s">
        <v>1443</v>
      </c>
      <c r="Q380" t="s">
        <v>11083</v>
      </c>
      <c r="U380">
        <v>18</v>
      </c>
      <c r="V380">
        <v>0</v>
      </c>
      <c r="W380">
        <v>20</v>
      </c>
      <c r="X380">
        <v>16.2</v>
      </c>
      <c r="Y380">
        <v>27.1</v>
      </c>
    </row>
    <row r="381" spans="1:25" x14ac:dyDescent="0.25">
      <c r="A381" t="s">
        <v>4202</v>
      </c>
      <c r="B381">
        <v>986</v>
      </c>
      <c r="C381">
        <v>65</v>
      </c>
      <c r="D381" t="s">
        <v>23</v>
      </c>
      <c r="E381" t="s">
        <v>4093</v>
      </c>
      <c r="F381" t="s">
        <v>3559</v>
      </c>
      <c r="G381" t="s">
        <v>4203</v>
      </c>
      <c r="H381">
        <v>0</v>
      </c>
      <c r="I381">
        <v>345</v>
      </c>
      <c r="J381">
        <v>531</v>
      </c>
      <c r="K381" t="str">
        <f t="shared" si="5"/>
        <v>harv185282</v>
      </c>
      <c r="M381" t="s">
        <v>1067</v>
      </c>
      <c r="N381" t="s">
        <v>1284</v>
      </c>
      <c r="Q381" t="s">
        <v>11083</v>
      </c>
      <c r="U381">
        <v>18</v>
      </c>
      <c r="V381">
        <v>0</v>
      </c>
      <c r="W381">
        <v>20</v>
      </c>
      <c r="X381">
        <v>18.5</v>
      </c>
      <c r="Y381">
        <v>28.2</v>
      </c>
    </row>
    <row r="382" spans="1:25" x14ac:dyDescent="0.25">
      <c r="A382" t="s">
        <v>4204</v>
      </c>
      <c r="B382">
        <v>987</v>
      </c>
      <c r="C382">
        <v>66</v>
      </c>
      <c r="D382" t="s">
        <v>23</v>
      </c>
      <c r="E382" t="s">
        <v>4093</v>
      </c>
      <c r="F382" t="s">
        <v>3559</v>
      </c>
      <c r="G382" t="s">
        <v>4205</v>
      </c>
      <c r="H382">
        <v>0</v>
      </c>
      <c r="I382">
        <v>301</v>
      </c>
      <c r="J382">
        <v>507</v>
      </c>
      <c r="K382" t="str">
        <f t="shared" si="5"/>
        <v>harv162271</v>
      </c>
      <c r="L382" t="s">
        <v>3620</v>
      </c>
      <c r="M382" t="s">
        <v>1067</v>
      </c>
      <c r="N382" t="s">
        <v>1443</v>
      </c>
      <c r="Q382" t="s">
        <v>11083</v>
      </c>
      <c r="U382">
        <v>18</v>
      </c>
      <c r="V382">
        <v>0</v>
      </c>
      <c r="W382">
        <v>20</v>
      </c>
      <c r="X382">
        <v>16.2</v>
      </c>
      <c r="Y382">
        <v>27.1</v>
      </c>
    </row>
    <row r="383" spans="1:25" x14ac:dyDescent="0.25">
      <c r="A383" t="s">
        <v>4206</v>
      </c>
      <c r="B383">
        <v>988</v>
      </c>
      <c r="C383">
        <v>67</v>
      </c>
      <c r="D383" t="s">
        <v>23</v>
      </c>
      <c r="E383" t="s">
        <v>4093</v>
      </c>
      <c r="F383" t="s">
        <v>3559</v>
      </c>
      <c r="G383" t="s">
        <v>4207</v>
      </c>
      <c r="H383">
        <v>0</v>
      </c>
      <c r="I383">
        <v>345</v>
      </c>
      <c r="J383">
        <v>531</v>
      </c>
      <c r="K383" t="str">
        <f t="shared" si="5"/>
        <v>harv185282</v>
      </c>
      <c r="M383" t="s">
        <v>1067</v>
      </c>
      <c r="N383" t="s">
        <v>1284</v>
      </c>
      <c r="Q383" t="s">
        <v>11083</v>
      </c>
      <c r="U383">
        <v>19</v>
      </c>
      <c r="V383">
        <v>0</v>
      </c>
      <c r="W383">
        <v>20</v>
      </c>
      <c r="X383">
        <v>18.5</v>
      </c>
      <c r="Y383">
        <v>28.2</v>
      </c>
    </row>
    <row r="384" spans="1:25" x14ac:dyDescent="0.25">
      <c r="A384" t="s">
        <v>4208</v>
      </c>
      <c r="B384">
        <v>989</v>
      </c>
      <c r="C384">
        <v>68</v>
      </c>
      <c r="D384" t="s">
        <v>23</v>
      </c>
      <c r="E384" t="s">
        <v>4093</v>
      </c>
      <c r="F384" t="s">
        <v>3559</v>
      </c>
      <c r="G384" t="s">
        <v>4209</v>
      </c>
      <c r="H384">
        <v>0</v>
      </c>
      <c r="I384">
        <v>603</v>
      </c>
      <c r="J384">
        <v>550</v>
      </c>
      <c r="K384" t="str">
        <f t="shared" si="5"/>
        <v>harv318291</v>
      </c>
      <c r="M384" t="s">
        <v>1067</v>
      </c>
      <c r="N384" t="s">
        <v>1163</v>
      </c>
      <c r="Q384" t="s">
        <v>11083</v>
      </c>
      <c r="U384">
        <v>20</v>
      </c>
      <c r="V384">
        <v>0</v>
      </c>
      <c r="W384">
        <v>20</v>
      </c>
      <c r="X384">
        <v>31.8</v>
      </c>
      <c r="Y384">
        <v>29.1</v>
      </c>
    </row>
    <row r="385" spans="1:25" x14ac:dyDescent="0.25">
      <c r="A385" t="s">
        <v>4210</v>
      </c>
      <c r="B385">
        <v>990</v>
      </c>
      <c r="C385">
        <v>69</v>
      </c>
      <c r="D385" t="s">
        <v>23</v>
      </c>
      <c r="E385" t="s">
        <v>4093</v>
      </c>
      <c r="F385" t="s">
        <v>3559</v>
      </c>
      <c r="G385" t="s">
        <v>4211</v>
      </c>
      <c r="H385">
        <v>0</v>
      </c>
      <c r="I385">
        <v>345</v>
      </c>
      <c r="J385">
        <v>531</v>
      </c>
      <c r="K385" t="str">
        <f t="shared" si="5"/>
        <v>harv185282</v>
      </c>
      <c r="M385" t="s">
        <v>1067</v>
      </c>
      <c r="N385" t="s">
        <v>1284</v>
      </c>
      <c r="Q385" t="s">
        <v>11083</v>
      </c>
      <c r="U385">
        <v>20</v>
      </c>
      <c r="V385">
        <v>0</v>
      </c>
      <c r="W385">
        <v>20</v>
      </c>
      <c r="X385">
        <v>18.5</v>
      </c>
      <c r="Y385">
        <v>28.2</v>
      </c>
    </row>
    <row r="386" spans="1:25" x14ac:dyDescent="0.25">
      <c r="A386" t="s">
        <v>4212</v>
      </c>
      <c r="B386">
        <v>991</v>
      </c>
      <c r="C386">
        <v>70</v>
      </c>
      <c r="D386" t="s">
        <v>23</v>
      </c>
      <c r="E386" t="s">
        <v>4093</v>
      </c>
      <c r="F386" t="s">
        <v>3559</v>
      </c>
      <c r="G386" t="s">
        <v>4213</v>
      </c>
      <c r="H386">
        <v>0</v>
      </c>
      <c r="I386">
        <v>301</v>
      </c>
      <c r="J386">
        <v>507</v>
      </c>
      <c r="K386" t="str">
        <f t="shared" ref="K386:K449" si="6">LEFT(A386,4)&amp;SUBSTITUTE(X386,".","")&amp;SUBSTITUTE(Y386,".","")</f>
        <v>harv162271</v>
      </c>
      <c r="M386" t="s">
        <v>1067</v>
      </c>
      <c r="N386" t="s">
        <v>1443</v>
      </c>
      <c r="Q386" t="s">
        <v>11083</v>
      </c>
      <c r="U386">
        <v>20</v>
      </c>
      <c r="V386">
        <v>0</v>
      </c>
      <c r="W386">
        <v>20</v>
      </c>
      <c r="X386">
        <v>16.2</v>
      </c>
      <c r="Y386">
        <v>27.1</v>
      </c>
    </row>
    <row r="387" spans="1:25" x14ac:dyDescent="0.25">
      <c r="A387" t="s">
        <v>4214</v>
      </c>
      <c r="B387">
        <v>992</v>
      </c>
      <c r="C387">
        <v>71</v>
      </c>
      <c r="D387" t="s">
        <v>23</v>
      </c>
      <c r="E387" t="s">
        <v>4093</v>
      </c>
      <c r="F387" t="s">
        <v>3559</v>
      </c>
      <c r="G387" t="s">
        <v>4215</v>
      </c>
      <c r="H387">
        <v>0</v>
      </c>
      <c r="I387">
        <v>301</v>
      </c>
      <c r="J387">
        <v>507</v>
      </c>
      <c r="K387" t="str">
        <f t="shared" si="6"/>
        <v>harv162271</v>
      </c>
      <c r="M387" t="s">
        <v>1067</v>
      </c>
      <c r="N387" t="s">
        <v>1443</v>
      </c>
      <c r="Q387" t="s">
        <v>11083</v>
      </c>
      <c r="U387">
        <v>20</v>
      </c>
      <c r="V387">
        <v>0</v>
      </c>
      <c r="W387">
        <v>20</v>
      </c>
      <c r="X387">
        <v>16.2</v>
      </c>
      <c r="Y387">
        <v>27.1</v>
      </c>
    </row>
    <row r="388" spans="1:25" x14ac:dyDescent="0.25">
      <c r="A388" t="s">
        <v>4216</v>
      </c>
      <c r="B388">
        <v>993</v>
      </c>
      <c r="C388">
        <v>72</v>
      </c>
      <c r="D388" t="s">
        <v>23</v>
      </c>
      <c r="E388" t="s">
        <v>4093</v>
      </c>
      <c r="F388" t="s">
        <v>3559</v>
      </c>
      <c r="G388" t="s">
        <v>4217</v>
      </c>
      <c r="H388">
        <v>0</v>
      </c>
      <c r="I388">
        <v>264</v>
      </c>
      <c r="J388">
        <v>464</v>
      </c>
      <c r="K388" t="str">
        <f t="shared" si="6"/>
        <v>harv143246</v>
      </c>
      <c r="M388" t="s">
        <v>1067</v>
      </c>
      <c r="N388" t="s">
        <v>1201</v>
      </c>
      <c r="Q388" t="s">
        <v>11083</v>
      </c>
      <c r="U388">
        <v>21</v>
      </c>
      <c r="V388">
        <v>0</v>
      </c>
      <c r="W388">
        <v>25</v>
      </c>
      <c r="X388">
        <v>14.3</v>
      </c>
      <c r="Y388">
        <v>24.6</v>
      </c>
    </row>
    <row r="389" spans="1:25" x14ac:dyDescent="0.25">
      <c r="A389" t="s">
        <v>4218</v>
      </c>
      <c r="B389">
        <v>994</v>
      </c>
      <c r="C389">
        <v>73</v>
      </c>
      <c r="D389" t="s">
        <v>23</v>
      </c>
      <c r="E389" t="s">
        <v>4093</v>
      </c>
      <c r="F389" t="s">
        <v>3559</v>
      </c>
      <c r="G389" t="s">
        <v>4219</v>
      </c>
      <c r="H389">
        <v>0</v>
      </c>
      <c r="I389">
        <v>264</v>
      </c>
      <c r="J389">
        <v>464</v>
      </c>
      <c r="K389" t="str">
        <f t="shared" si="6"/>
        <v>harv143246</v>
      </c>
      <c r="L389" t="s">
        <v>3620</v>
      </c>
      <c r="M389" t="s">
        <v>1067</v>
      </c>
      <c r="N389" t="s">
        <v>1201</v>
      </c>
      <c r="Q389" t="s">
        <v>11083</v>
      </c>
      <c r="U389">
        <v>21</v>
      </c>
      <c r="V389">
        <v>0</v>
      </c>
      <c r="W389">
        <v>25</v>
      </c>
      <c r="X389">
        <v>14.3</v>
      </c>
      <c r="Y389">
        <v>24.6</v>
      </c>
    </row>
    <row r="390" spans="1:25" x14ac:dyDescent="0.25">
      <c r="A390" t="s">
        <v>4220</v>
      </c>
      <c r="B390">
        <v>995</v>
      </c>
      <c r="C390">
        <v>74</v>
      </c>
      <c r="D390" t="s">
        <v>23</v>
      </c>
      <c r="E390" t="s">
        <v>4093</v>
      </c>
      <c r="F390" t="s">
        <v>3559</v>
      </c>
      <c r="G390" t="s">
        <v>4221</v>
      </c>
      <c r="H390">
        <v>0</v>
      </c>
      <c r="I390">
        <v>264</v>
      </c>
      <c r="J390">
        <v>464</v>
      </c>
      <c r="K390" t="str">
        <f t="shared" si="6"/>
        <v>harv143246</v>
      </c>
      <c r="M390" t="s">
        <v>1067</v>
      </c>
      <c r="N390" t="s">
        <v>1201</v>
      </c>
      <c r="Q390" t="s">
        <v>11083</v>
      </c>
      <c r="U390">
        <v>22</v>
      </c>
      <c r="V390">
        <v>0</v>
      </c>
      <c r="W390">
        <v>25</v>
      </c>
      <c r="X390">
        <v>14.3</v>
      </c>
      <c r="Y390">
        <v>24.6</v>
      </c>
    </row>
    <row r="391" spans="1:25" x14ac:dyDescent="0.25">
      <c r="A391" t="s">
        <v>4222</v>
      </c>
      <c r="B391">
        <v>996</v>
      </c>
      <c r="C391">
        <v>75</v>
      </c>
      <c r="D391" t="s">
        <v>23</v>
      </c>
      <c r="E391" t="s">
        <v>4093</v>
      </c>
      <c r="F391" t="s">
        <v>3559</v>
      </c>
      <c r="G391" t="s">
        <v>4223</v>
      </c>
      <c r="H391">
        <v>0</v>
      </c>
      <c r="I391">
        <v>269</v>
      </c>
      <c r="J391">
        <v>384</v>
      </c>
      <c r="K391" t="str">
        <f t="shared" si="6"/>
        <v>harv147207</v>
      </c>
      <c r="M391" t="s">
        <v>1067</v>
      </c>
      <c r="N391" t="s">
        <v>1448</v>
      </c>
      <c r="Q391" t="s">
        <v>11083</v>
      </c>
      <c r="U391">
        <v>22</v>
      </c>
      <c r="V391">
        <v>0</v>
      </c>
      <c r="W391">
        <v>25</v>
      </c>
      <c r="X391">
        <v>14.7</v>
      </c>
      <c r="Y391">
        <v>20.7</v>
      </c>
    </row>
    <row r="392" spans="1:25" x14ac:dyDescent="0.25">
      <c r="A392" t="s">
        <v>4224</v>
      </c>
      <c r="B392">
        <v>997</v>
      </c>
      <c r="C392">
        <v>76</v>
      </c>
      <c r="D392" t="s">
        <v>23</v>
      </c>
      <c r="E392" t="s">
        <v>4093</v>
      </c>
      <c r="F392" t="s">
        <v>3559</v>
      </c>
      <c r="G392" t="s">
        <v>4225</v>
      </c>
      <c r="H392">
        <v>0</v>
      </c>
      <c r="I392">
        <v>269</v>
      </c>
      <c r="J392">
        <v>384</v>
      </c>
      <c r="K392" t="str">
        <f t="shared" si="6"/>
        <v>harv147207</v>
      </c>
      <c r="M392" t="s">
        <v>1067</v>
      </c>
      <c r="N392" t="s">
        <v>1448</v>
      </c>
      <c r="Q392" t="s">
        <v>11083</v>
      </c>
      <c r="U392">
        <v>23</v>
      </c>
      <c r="V392">
        <v>0</v>
      </c>
      <c r="W392">
        <v>25</v>
      </c>
      <c r="X392">
        <v>14.7</v>
      </c>
      <c r="Y392">
        <v>20.7</v>
      </c>
    </row>
    <row r="393" spans="1:25" x14ac:dyDescent="0.25">
      <c r="A393" t="s">
        <v>4226</v>
      </c>
      <c r="B393">
        <v>998</v>
      </c>
      <c r="C393">
        <v>77</v>
      </c>
      <c r="D393" t="s">
        <v>23</v>
      </c>
      <c r="E393" t="s">
        <v>4093</v>
      </c>
      <c r="F393" t="s">
        <v>3559</v>
      </c>
      <c r="G393" t="s">
        <v>4227</v>
      </c>
      <c r="H393">
        <v>0</v>
      </c>
      <c r="I393">
        <v>269</v>
      </c>
      <c r="J393">
        <v>384</v>
      </c>
      <c r="K393" t="str">
        <f t="shared" si="6"/>
        <v>harv147207</v>
      </c>
      <c r="L393" t="s">
        <v>3620</v>
      </c>
      <c r="M393" t="s">
        <v>1067</v>
      </c>
      <c r="N393" t="s">
        <v>1448</v>
      </c>
      <c r="Q393" t="s">
        <v>11083</v>
      </c>
      <c r="U393">
        <v>23</v>
      </c>
      <c r="V393">
        <v>0</v>
      </c>
      <c r="W393">
        <v>25</v>
      </c>
      <c r="X393">
        <v>14.7</v>
      </c>
      <c r="Y393">
        <v>20.7</v>
      </c>
    </row>
    <row r="394" spans="1:25" x14ac:dyDescent="0.25">
      <c r="A394" t="s">
        <v>4228</v>
      </c>
      <c r="B394">
        <v>999</v>
      </c>
      <c r="C394">
        <v>78</v>
      </c>
      <c r="D394" t="s">
        <v>23</v>
      </c>
      <c r="E394" t="s">
        <v>4093</v>
      </c>
      <c r="F394" t="s">
        <v>3559</v>
      </c>
      <c r="G394" t="s">
        <v>4229</v>
      </c>
      <c r="H394">
        <v>0</v>
      </c>
      <c r="I394">
        <v>269</v>
      </c>
      <c r="J394">
        <v>384</v>
      </c>
      <c r="K394" t="str">
        <f t="shared" si="6"/>
        <v>harv147207</v>
      </c>
      <c r="M394" t="s">
        <v>1067</v>
      </c>
      <c r="N394" t="s">
        <v>1448</v>
      </c>
      <c r="Q394" t="s">
        <v>11083</v>
      </c>
      <c r="U394">
        <v>24</v>
      </c>
      <c r="V394">
        <v>0</v>
      </c>
      <c r="W394">
        <v>25</v>
      </c>
      <c r="X394">
        <v>14.7</v>
      </c>
      <c r="Y394">
        <v>20.7</v>
      </c>
    </row>
    <row r="395" spans="1:25" x14ac:dyDescent="0.25">
      <c r="A395" t="s">
        <v>4230</v>
      </c>
      <c r="B395">
        <v>1000</v>
      </c>
      <c r="C395">
        <v>79</v>
      </c>
      <c r="D395" t="s">
        <v>23</v>
      </c>
      <c r="E395" t="s">
        <v>4093</v>
      </c>
      <c r="F395" t="s">
        <v>3559</v>
      </c>
      <c r="G395" t="s">
        <v>4231</v>
      </c>
      <c r="H395">
        <v>0</v>
      </c>
      <c r="I395">
        <v>264</v>
      </c>
      <c r="J395">
        <v>464</v>
      </c>
      <c r="K395" t="str">
        <f t="shared" si="6"/>
        <v>harv143246</v>
      </c>
      <c r="M395" t="s">
        <v>1067</v>
      </c>
      <c r="N395" t="s">
        <v>1201</v>
      </c>
      <c r="Q395" t="s">
        <v>11083</v>
      </c>
      <c r="U395">
        <v>24</v>
      </c>
      <c r="V395">
        <v>0</v>
      </c>
      <c r="W395">
        <v>25</v>
      </c>
      <c r="X395">
        <v>14.3</v>
      </c>
      <c r="Y395">
        <v>24.6</v>
      </c>
    </row>
    <row r="396" spans="1:25" x14ac:dyDescent="0.25">
      <c r="A396" t="s">
        <v>4232</v>
      </c>
      <c r="B396">
        <v>1001</v>
      </c>
      <c r="C396">
        <v>80</v>
      </c>
      <c r="D396" t="s">
        <v>23</v>
      </c>
      <c r="E396" t="s">
        <v>4093</v>
      </c>
      <c r="F396" t="s">
        <v>3559</v>
      </c>
      <c r="G396" t="s">
        <v>4233</v>
      </c>
      <c r="H396">
        <v>0</v>
      </c>
      <c r="I396">
        <v>269</v>
      </c>
      <c r="J396">
        <v>384</v>
      </c>
      <c r="K396" t="str">
        <f t="shared" si="6"/>
        <v>harv147207</v>
      </c>
      <c r="L396" t="s">
        <v>3620</v>
      </c>
      <c r="M396" t="s">
        <v>1067</v>
      </c>
      <c r="N396" t="s">
        <v>1448</v>
      </c>
      <c r="Q396" t="s">
        <v>11083</v>
      </c>
      <c r="U396">
        <v>24</v>
      </c>
      <c r="V396">
        <v>0</v>
      </c>
      <c r="W396">
        <v>25</v>
      </c>
      <c r="X396">
        <v>14.7</v>
      </c>
      <c r="Y396">
        <v>20.7</v>
      </c>
    </row>
    <row r="397" spans="1:25" x14ac:dyDescent="0.25">
      <c r="A397" t="s">
        <v>4234</v>
      </c>
      <c r="B397">
        <v>1002</v>
      </c>
      <c r="C397">
        <v>81</v>
      </c>
      <c r="D397" t="s">
        <v>23</v>
      </c>
      <c r="E397" t="s">
        <v>4093</v>
      </c>
      <c r="F397" t="s">
        <v>3559</v>
      </c>
      <c r="G397" t="s">
        <v>4235</v>
      </c>
      <c r="H397">
        <v>0</v>
      </c>
      <c r="I397">
        <v>264</v>
      </c>
      <c r="J397">
        <v>464</v>
      </c>
      <c r="K397" t="str">
        <f t="shared" si="6"/>
        <v>harv143246</v>
      </c>
      <c r="L397" t="s">
        <v>3620</v>
      </c>
      <c r="M397" t="s">
        <v>1067</v>
      </c>
      <c r="N397" t="s">
        <v>1201</v>
      </c>
      <c r="Q397" t="s">
        <v>11083</v>
      </c>
      <c r="U397">
        <v>24</v>
      </c>
      <c r="V397">
        <v>0</v>
      </c>
      <c r="W397">
        <v>25</v>
      </c>
      <c r="X397">
        <v>14.3</v>
      </c>
      <c r="Y397">
        <v>24.6</v>
      </c>
    </row>
    <row r="398" spans="1:25" x14ac:dyDescent="0.25">
      <c r="A398" t="s">
        <v>4236</v>
      </c>
      <c r="B398">
        <v>1003</v>
      </c>
      <c r="C398">
        <v>82</v>
      </c>
      <c r="D398" t="s">
        <v>23</v>
      </c>
      <c r="E398" t="s">
        <v>4093</v>
      </c>
      <c r="F398" t="s">
        <v>3559</v>
      </c>
      <c r="G398" t="s">
        <v>4237</v>
      </c>
      <c r="H398">
        <v>0</v>
      </c>
      <c r="I398">
        <v>264</v>
      </c>
      <c r="J398">
        <v>464</v>
      </c>
      <c r="K398" t="str">
        <f t="shared" si="6"/>
        <v>harv143246</v>
      </c>
      <c r="M398" t="s">
        <v>1067</v>
      </c>
      <c r="N398" t="s">
        <v>1201</v>
      </c>
      <c r="Q398" t="s">
        <v>11083</v>
      </c>
      <c r="U398">
        <v>25</v>
      </c>
      <c r="V398">
        <v>0</v>
      </c>
      <c r="W398">
        <v>25</v>
      </c>
      <c r="X398">
        <v>14.3</v>
      </c>
      <c r="Y398">
        <v>24.6</v>
      </c>
    </row>
    <row r="399" spans="1:25" x14ac:dyDescent="0.25">
      <c r="A399" t="s">
        <v>4238</v>
      </c>
      <c r="B399">
        <v>1004</v>
      </c>
      <c r="C399">
        <v>83</v>
      </c>
      <c r="D399" t="s">
        <v>23</v>
      </c>
      <c r="E399" t="s">
        <v>4093</v>
      </c>
      <c r="F399" t="s">
        <v>3559</v>
      </c>
      <c r="G399" t="s">
        <v>4239</v>
      </c>
      <c r="H399">
        <v>0</v>
      </c>
      <c r="I399">
        <v>269</v>
      </c>
      <c r="J399">
        <v>384</v>
      </c>
      <c r="K399" t="str">
        <f t="shared" si="6"/>
        <v>harv147207</v>
      </c>
      <c r="M399" t="s">
        <v>1067</v>
      </c>
      <c r="N399" t="s">
        <v>1448</v>
      </c>
      <c r="Q399" t="s">
        <v>11083</v>
      </c>
      <c r="U399">
        <v>25</v>
      </c>
      <c r="V399">
        <v>0</v>
      </c>
      <c r="W399">
        <v>25</v>
      </c>
      <c r="X399">
        <v>14.7</v>
      </c>
      <c r="Y399">
        <v>20.7</v>
      </c>
    </row>
    <row r="400" spans="1:25" x14ac:dyDescent="0.25">
      <c r="A400" t="s">
        <v>4240</v>
      </c>
      <c r="B400">
        <v>1005</v>
      </c>
      <c r="C400">
        <v>84</v>
      </c>
      <c r="D400" t="s">
        <v>23</v>
      </c>
      <c r="E400" t="s">
        <v>4093</v>
      </c>
      <c r="F400" t="s">
        <v>3559</v>
      </c>
      <c r="G400" t="s">
        <v>4241</v>
      </c>
      <c r="H400">
        <v>0</v>
      </c>
      <c r="I400">
        <v>269</v>
      </c>
      <c r="J400">
        <v>384</v>
      </c>
      <c r="K400" t="str">
        <f t="shared" si="6"/>
        <v>harv147207</v>
      </c>
      <c r="L400" t="s">
        <v>3620</v>
      </c>
      <c r="M400" t="s">
        <v>1067</v>
      </c>
      <c r="N400" t="s">
        <v>1448</v>
      </c>
      <c r="Q400" t="s">
        <v>11083</v>
      </c>
      <c r="U400">
        <v>25</v>
      </c>
      <c r="V400">
        <v>0</v>
      </c>
      <c r="W400">
        <v>25</v>
      </c>
      <c r="X400">
        <v>14.7</v>
      </c>
      <c r="Y400">
        <v>20.7</v>
      </c>
    </row>
    <row r="401" spans="1:25" x14ac:dyDescent="0.25">
      <c r="A401" t="s">
        <v>4242</v>
      </c>
      <c r="B401">
        <v>1006</v>
      </c>
      <c r="C401">
        <v>85</v>
      </c>
      <c r="D401" t="s">
        <v>23</v>
      </c>
      <c r="E401" t="s">
        <v>4093</v>
      </c>
      <c r="F401" t="s">
        <v>3559</v>
      </c>
      <c r="G401" t="s">
        <v>4243</v>
      </c>
      <c r="H401">
        <v>0</v>
      </c>
      <c r="I401">
        <v>438</v>
      </c>
      <c r="J401">
        <v>489</v>
      </c>
      <c r="K401" t="str">
        <f t="shared" si="6"/>
        <v>harv233261</v>
      </c>
      <c r="M401" t="s">
        <v>1067</v>
      </c>
      <c r="N401" t="s">
        <v>1321</v>
      </c>
      <c r="Q401" t="s">
        <v>11083</v>
      </c>
      <c r="U401">
        <v>26</v>
      </c>
      <c r="V401">
        <v>0</v>
      </c>
      <c r="W401">
        <v>30</v>
      </c>
      <c r="X401">
        <v>23.3</v>
      </c>
      <c r="Y401">
        <v>26.1</v>
      </c>
    </row>
    <row r="402" spans="1:25" x14ac:dyDescent="0.25">
      <c r="A402" t="s">
        <v>4244</v>
      </c>
      <c r="B402">
        <v>1007</v>
      </c>
      <c r="C402">
        <v>86</v>
      </c>
      <c r="D402" t="s">
        <v>23</v>
      </c>
      <c r="E402" t="s">
        <v>4093</v>
      </c>
      <c r="F402" t="s">
        <v>3559</v>
      </c>
      <c r="G402" t="s">
        <v>15</v>
      </c>
      <c r="H402">
        <v>1</v>
      </c>
      <c r="I402">
        <v>682</v>
      </c>
      <c r="J402">
        <v>345</v>
      </c>
      <c r="K402" t="str">
        <f t="shared" si="6"/>
        <v>harv375195</v>
      </c>
      <c r="M402" t="s">
        <v>11</v>
      </c>
      <c r="N402" t="s">
        <v>1662</v>
      </c>
      <c r="Q402" t="s">
        <v>11083</v>
      </c>
      <c r="U402">
        <v>26</v>
      </c>
      <c r="V402">
        <v>0</v>
      </c>
      <c r="W402">
        <v>55</v>
      </c>
      <c r="X402">
        <v>37.5</v>
      </c>
      <c r="Y402">
        <v>19.5</v>
      </c>
    </row>
    <row r="403" spans="1:25" x14ac:dyDescent="0.25">
      <c r="A403" t="s">
        <v>4245</v>
      </c>
      <c r="B403">
        <v>1008</v>
      </c>
      <c r="C403">
        <v>87</v>
      </c>
      <c r="D403" t="s">
        <v>23</v>
      </c>
      <c r="E403" t="s">
        <v>4093</v>
      </c>
      <c r="F403" t="s">
        <v>3559</v>
      </c>
      <c r="G403" t="s">
        <v>15</v>
      </c>
      <c r="H403">
        <v>1</v>
      </c>
      <c r="I403">
        <v>178</v>
      </c>
      <c r="J403">
        <v>593</v>
      </c>
      <c r="K403" t="str">
        <f t="shared" si="6"/>
        <v>harv103331</v>
      </c>
      <c r="M403" t="s">
        <v>11</v>
      </c>
      <c r="N403" t="s">
        <v>1672</v>
      </c>
      <c r="Q403" t="s">
        <v>11083</v>
      </c>
      <c r="U403">
        <v>26</v>
      </c>
      <c r="V403">
        <v>0</v>
      </c>
      <c r="W403">
        <v>60</v>
      </c>
      <c r="X403">
        <v>10.3</v>
      </c>
      <c r="Y403">
        <v>33.1</v>
      </c>
    </row>
    <row r="404" spans="1:25" x14ac:dyDescent="0.25">
      <c r="A404" t="s">
        <v>4246</v>
      </c>
      <c r="B404">
        <v>1009</v>
      </c>
      <c r="C404">
        <v>88</v>
      </c>
      <c r="D404" t="s">
        <v>23</v>
      </c>
      <c r="E404" t="s">
        <v>4093</v>
      </c>
      <c r="F404" t="s">
        <v>3559</v>
      </c>
      <c r="G404" t="s">
        <v>15</v>
      </c>
      <c r="H404">
        <v>1</v>
      </c>
      <c r="I404">
        <v>325</v>
      </c>
      <c r="J404">
        <v>155</v>
      </c>
      <c r="K404" t="str">
        <f t="shared" si="6"/>
        <v>harv17488</v>
      </c>
      <c r="M404" t="s">
        <v>73</v>
      </c>
      <c r="N404" t="s">
        <v>1736</v>
      </c>
      <c r="Q404" t="s">
        <v>11083</v>
      </c>
      <c r="U404">
        <v>26</v>
      </c>
      <c r="V404">
        <v>0</v>
      </c>
      <c r="W404">
        <v>60</v>
      </c>
      <c r="X404">
        <v>17.399999999999999</v>
      </c>
      <c r="Y404">
        <v>8.8000000000000007</v>
      </c>
    </row>
    <row r="405" spans="1:25" x14ac:dyDescent="0.25">
      <c r="A405" t="s">
        <v>4247</v>
      </c>
      <c r="B405">
        <v>1010</v>
      </c>
      <c r="C405">
        <v>89</v>
      </c>
      <c r="D405" t="s">
        <v>23</v>
      </c>
      <c r="E405" t="s">
        <v>4093</v>
      </c>
      <c r="F405" t="s">
        <v>3559</v>
      </c>
      <c r="G405" t="s">
        <v>15</v>
      </c>
      <c r="H405">
        <v>1</v>
      </c>
      <c r="I405">
        <v>219</v>
      </c>
      <c r="J405">
        <v>468</v>
      </c>
      <c r="K405" t="str">
        <f t="shared" si="6"/>
        <v>harv119251</v>
      </c>
      <c r="M405" t="s">
        <v>73</v>
      </c>
      <c r="N405" t="s">
        <v>1743</v>
      </c>
      <c r="Q405" t="s">
        <v>11083</v>
      </c>
      <c r="U405">
        <v>26</v>
      </c>
      <c r="V405">
        <v>0</v>
      </c>
      <c r="W405">
        <v>65</v>
      </c>
      <c r="X405">
        <v>11.9</v>
      </c>
      <c r="Y405">
        <v>25.1</v>
      </c>
    </row>
    <row r="406" spans="1:25" x14ac:dyDescent="0.25">
      <c r="A406" t="s">
        <v>4248</v>
      </c>
      <c r="B406">
        <v>1011</v>
      </c>
      <c r="C406">
        <v>90</v>
      </c>
      <c r="D406" t="s">
        <v>23</v>
      </c>
      <c r="E406" t="s">
        <v>4093</v>
      </c>
      <c r="F406" t="s">
        <v>3559</v>
      </c>
      <c r="G406" t="s">
        <v>15</v>
      </c>
      <c r="H406">
        <v>1</v>
      </c>
      <c r="I406">
        <v>615</v>
      </c>
      <c r="J406">
        <v>310</v>
      </c>
      <c r="K406" t="str">
        <f t="shared" si="6"/>
        <v>harv323168</v>
      </c>
      <c r="M406" t="s">
        <v>102</v>
      </c>
      <c r="N406" t="s">
        <v>2173</v>
      </c>
      <c r="Q406" t="s">
        <v>11083</v>
      </c>
      <c r="U406">
        <v>26</v>
      </c>
      <c r="V406">
        <v>0</v>
      </c>
      <c r="W406">
        <v>70</v>
      </c>
      <c r="X406">
        <v>32.299999999999997</v>
      </c>
      <c r="Y406">
        <v>16.8</v>
      </c>
    </row>
    <row r="407" spans="1:25" x14ac:dyDescent="0.25">
      <c r="A407" t="s">
        <v>4249</v>
      </c>
      <c r="B407">
        <v>1012</v>
      </c>
      <c r="C407">
        <v>91</v>
      </c>
      <c r="D407" t="s">
        <v>23</v>
      </c>
      <c r="E407" t="s">
        <v>4093</v>
      </c>
      <c r="F407" t="s">
        <v>3559</v>
      </c>
      <c r="G407" t="s">
        <v>15</v>
      </c>
      <c r="H407">
        <v>1</v>
      </c>
      <c r="I407">
        <v>243</v>
      </c>
      <c r="J407">
        <v>193</v>
      </c>
      <c r="K407" t="str">
        <f t="shared" si="6"/>
        <v>harv132108</v>
      </c>
      <c r="M407" t="s">
        <v>133</v>
      </c>
      <c r="N407" t="s">
        <v>2141</v>
      </c>
      <c r="Q407" t="s">
        <v>11083</v>
      </c>
      <c r="U407">
        <v>26</v>
      </c>
      <c r="V407">
        <v>0</v>
      </c>
      <c r="W407">
        <v>85</v>
      </c>
      <c r="X407">
        <v>13.2</v>
      </c>
      <c r="Y407">
        <v>10.8</v>
      </c>
    </row>
    <row r="408" spans="1:25" x14ac:dyDescent="0.25">
      <c r="A408" t="s">
        <v>4250</v>
      </c>
      <c r="B408">
        <v>1013</v>
      </c>
      <c r="C408">
        <v>92</v>
      </c>
      <c r="D408" t="s">
        <v>23</v>
      </c>
      <c r="E408" t="s">
        <v>4093</v>
      </c>
      <c r="F408" t="s">
        <v>3559</v>
      </c>
      <c r="G408" t="s">
        <v>15</v>
      </c>
      <c r="H408">
        <v>1</v>
      </c>
      <c r="I408">
        <v>407</v>
      </c>
      <c r="J408">
        <v>168</v>
      </c>
      <c r="K408" t="str">
        <f t="shared" si="6"/>
        <v>harv21896</v>
      </c>
      <c r="M408" t="s">
        <v>133</v>
      </c>
      <c r="N408" t="s">
        <v>2384</v>
      </c>
      <c r="Q408" t="s">
        <v>11083</v>
      </c>
      <c r="U408">
        <v>26</v>
      </c>
      <c r="V408">
        <v>0</v>
      </c>
      <c r="W408">
        <v>85</v>
      </c>
      <c r="X408">
        <v>21.8</v>
      </c>
      <c r="Y408">
        <v>9.6</v>
      </c>
    </row>
    <row r="409" spans="1:25" x14ac:dyDescent="0.25">
      <c r="A409" t="s">
        <v>4251</v>
      </c>
      <c r="B409">
        <v>1014</v>
      </c>
      <c r="C409">
        <v>93</v>
      </c>
      <c r="D409" t="s">
        <v>23</v>
      </c>
      <c r="E409" t="s">
        <v>4093</v>
      </c>
      <c r="F409" t="s">
        <v>3559</v>
      </c>
      <c r="G409" t="s">
        <v>15</v>
      </c>
      <c r="H409">
        <v>1</v>
      </c>
      <c r="I409">
        <v>315</v>
      </c>
      <c r="J409">
        <v>329</v>
      </c>
      <c r="K409" t="str">
        <f t="shared" si="6"/>
        <v>harv169179</v>
      </c>
      <c r="M409" t="s">
        <v>215</v>
      </c>
      <c r="N409" t="s">
        <v>2793</v>
      </c>
      <c r="Q409" t="s">
        <v>11083</v>
      </c>
      <c r="U409">
        <v>26</v>
      </c>
      <c r="V409">
        <v>0</v>
      </c>
      <c r="W409">
        <v>100</v>
      </c>
      <c r="X409">
        <v>16.899999999999999</v>
      </c>
      <c r="Y409">
        <v>17.899999999999999</v>
      </c>
    </row>
    <row r="410" spans="1:25" x14ac:dyDescent="0.25">
      <c r="A410" t="s">
        <v>4252</v>
      </c>
      <c r="B410">
        <v>1015</v>
      </c>
      <c r="C410">
        <v>94</v>
      </c>
      <c r="D410" t="s">
        <v>23</v>
      </c>
      <c r="E410" t="s">
        <v>4093</v>
      </c>
      <c r="F410" t="s">
        <v>3559</v>
      </c>
      <c r="G410" t="s">
        <v>15</v>
      </c>
      <c r="H410">
        <v>1</v>
      </c>
      <c r="I410">
        <v>511</v>
      </c>
      <c r="J410">
        <v>125</v>
      </c>
      <c r="K410" t="str">
        <f t="shared" si="6"/>
        <v>harv26873</v>
      </c>
      <c r="M410" t="s">
        <v>215</v>
      </c>
      <c r="N410" t="s">
        <v>2788</v>
      </c>
      <c r="Q410" t="s">
        <v>3669</v>
      </c>
      <c r="R410" t="s">
        <v>2821</v>
      </c>
      <c r="U410">
        <v>26</v>
      </c>
      <c r="V410">
        <v>0</v>
      </c>
      <c r="W410">
        <v>100</v>
      </c>
      <c r="X410">
        <v>26.8</v>
      </c>
      <c r="Y410">
        <v>7.3</v>
      </c>
    </row>
    <row r="411" spans="1:25" x14ac:dyDescent="0.25">
      <c r="A411" t="s">
        <v>4253</v>
      </c>
      <c r="B411">
        <v>1016</v>
      </c>
      <c r="C411">
        <v>95</v>
      </c>
      <c r="D411" t="s">
        <v>23</v>
      </c>
      <c r="E411" t="s">
        <v>4093</v>
      </c>
      <c r="F411" t="s">
        <v>3559</v>
      </c>
      <c r="G411" t="s">
        <v>37</v>
      </c>
      <c r="H411">
        <v>1</v>
      </c>
      <c r="I411">
        <v>321</v>
      </c>
      <c r="J411">
        <v>289</v>
      </c>
      <c r="K411" t="str">
        <f t="shared" si="6"/>
        <v>harv181166</v>
      </c>
      <c r="M411" t="s">
        <v>11</v>
      </c>
      <c r="N411" t="s">
        <v>1545</v>
      </c>
      <c r="Q411" t="s">
        <v>11083</v>
      </c>
      <c r="U411">
        <v>26</v>
      </c>
      <c r="V411">
        <v>0</v>
      </c>
      <c r="W411">
        <v>55</v>
      </c>
      <c r="X411">
        <v>18.100000000000001</v>
      </c>
      <c r="Y411">
        <v>16.600000000000001</v>
      </c>
    </row>
    <row r="412" spans="1:25" x14ac:dyDescent="0.25">
      <c r="A412" t="s">
        <v>4254</v>
      </c>
      <c r="B412">
        <v>1017</v>
      </c>
      <c r="C412">
        <v>96</v>
      </c>
      <c r="D412" t="s">
        <v>23</v>
      </c>
      <c r="E412" t="s">
        <v>4093</v>
      </c>
      <c r="F412" t="s">
        <v>3559</v>
      </c>
      <c r="G412" t="s">
        <v>37</v>
      </c>
      <c r="H412">
        <v>1</v>
      </c>
      <c r="I412">
        <v>200</v>
      </c>
      <c r="J412">
        <v>263</v>
      </c>
      <c r="K412" t="str">
        <f t="shared" si="6"/>
        <v>harv115152</v>
      </c>
      <c r="M412" t="s">
        <v>11</v>
      </c>
      <c r="N412" t="s">
        <v>1545</v>
      </c>
      <c r="Q412" t="s">
        <v>11083</v>
      </c>
      <c r="U412">
        <v>26</v>
      </c>
      <c r="V412">
        <v>0</v>
      </c>
      <c r="W412">
        <v>60</v>
      </c>
      <c r="X412">
        <v>11.5</v>
      </c>
      <c r="Y412">
        <v>15.2</v>
      </c>
    </row>
    <row r="413" spans="1:25" x14ac:dyDescent="0.25">
      <c r="A413" t="s">
        <v>4255</v>
      </c>
      <c r="B413">
        <v>1018</v>
      </c>
      <c r="C413">
        <v>97</v>
      </c>
      <c r="D413" t="s">
        <v>23</v>
      </c>
      <c r="E413" t="s">
        <v>4093</v>
      </c>
      <c r="F413" t="s">
        <v>3559</v>
      </c>
      <c r="G413" t="s">
        <v>37</v>
      </c>
      <c r="H413">
        <v>1</v>
      </c>
      <c r="I413">
        <v>594</v>
      </c>
      <c r="J413">
        <v>259</v>
      </c>
      <c r="K413" t="str">
        <f t="shared" si="6"/>
        <v>harv329148</v>
      </c>
      <c r="M413" t="s">
        <v>73</v>
      </c>
      <c r="N413" t="s">
        <v>1553</v>
      </c>
      <c r="Q413" t="s">
        <v>11083</v>
      </c>
      <c r="U413">
        <v>26</v>
      </c>
      <c r="V413">
        <v>0</v>
      </c>
      <c r="W413">
        <v>65</v>
      </c>
      <c r="X413">
        <v>32.9</v>
      </c>
      <c r="Y413">
        <v>14.8</v>
      </c>
    </row>
    <row r="414" spans="1:25" x14ac:dyDescent="0.25">
      <c r="A414" t="s">
        <v>4256</v>
      </c>
      <c r="B414">
        <v>1019</v>
      </c>
      <c r="C414">
        <v>98</v>
      </c>
      <c r="D414" t="s">
        <v>23</v>
      </c>
      <c r="E414" t="s">
        <v>4093</v>
      </c>
      <c r="F414" t="s">
        <v>3559</v>
      </c>
      <c r="G414" t="s">
        <v>37</v>
      </c>
      <c r="H414">
        <v>1</v>
      </c>
      <c r="I414">
        <v>306</v>
      </c>
      <c r="J414">
        <v>685</v>
      </c>
      <c r="K414" t="str">
        <f t="shared" si="6"/>
        <v>harv164362</v>
      </c>
      <c r="M414" t="s">
        <v>102</v>
      </c>
      <c r="N414" t="s">
        <v>2127</v>
      </c>
      <c r="Q414" t="s">
        <v>11083</v>
      </c>
      <c r="U414">
        <v>26</v>
      </c>
      <c r="V414">
        <v>0</v>
      </c>
      <c r="W414">
        <v>75</v>
      </c>
      <c r="X414">
        <v>16.399999999999999</v>
      </c>
      <c r="Y414">
        <v>36.200000000000003</v>
      </c>
    </row>
    <row r="415" spans="1:25" x14ac:dyDescent="0.25">
      <c r="A415" t="s">
        <v>4257</v>
      </c>
      <c r="B415">
        <v>1020</v>
      </c>
      <c r="C415">
        <v>99</v>
      </c>
      <c r="D415" t="s">
        <v>23</v>
      </c>
      <c r="E415" t="s">
        <v>4093</v>
      </c>
      <c r="F415" t="s">
        <v>3559</v>
      </c>
      <c r="G415" t="s">
        <v>37</v>
      </c>
      <c r="H415">
        <v>1</v>
      </c>
      <c r="I415">
        <v>249</v>
      </c>
      <c r="J415">
        <v>263</v>
      </c>
      <c r="K415" t="str">
        <f t="shared" si="6"/>
        <v>harv135143</v>
      </c>
      <c r="M415" t="s">
        <v>102</v>
      </c>
      <c r="N415" t="s">
        <v>2108</v>
      </c>
      <c r="Q415" t="s">
        <v>11083</v>
      </c>
      <c r="U415">
        <v>26</v>
      </c>
      <c r="V415">
        <v>0</v>
      </c>
      <c r="W415">
        <v>80</v>
      </c>
      <c r="X415">
        <v>13.5</v>
      </c>
      <c r="Y415">
        <v>14.3</v>
      </c>
    </row>
    <row r="416" spans="1:25" x14ac:dyDescent="0.25">
      <c r="A416" t="s">
        <v>4258</v>
      </c>
      <c r="B416">
        <v>1021</v>
      </c>
      <c r="C416">
        <v>100</v>
      </c>
      <c r="D416" t="s">
        <v>23</v>
      </c>
      <c r="E416" t="s">
        <v>4093</v>
      </c>
      <c r="F416" t="s">
        <v>3559</v>
      </c>
      <c r="G416" t="s">
        <v>37</v>
      </c>
      <c r="H416">
        <v>1</v>
      </c>
      <c r="I416">
        <v>345</v>
      </c>
      <c r="J416">
        <v>135</v>
      </c>
      <c r="K416" t="str">
        <f t="shared" si="6"/>
        <v>harv18677</v>
      </c>
      <c r="M416" t="s">
        <v>102</v>
      </c>
      <c r="N416" t="s">
        <v>2117</v>
      </c>
      <c r="Q416" t="s">
        <v>3669</v>
      </c>
      <c r="R416" t="s">
        <v>2825</v>
      </c>
      <c r="U416">
        <v>26</v>
      </c>
      <c r="V416">
        <v>0</v>
      </c>
      <c r="W416">
        <v>80</v>
      </c>
      <c r="X416">
        <v>18.600000000000001</v>
      </c>
      <c r="Y416">
        <v>7.7</v>
      </c>
    </row>
    <row r="417" spans="1:25" x14ac:dyDescent="0.25">
      <c r="A417" t="s">
        <v>4259</v>
      </c>
      <c r="B417">
        <v>1022</v>
      </c>
      <c r="C417">
        <v>101</v>
      </c>
      <c r="D417" t="s">
        <v>23</v>
      </c>
      <c r="E417" t="s">
        <v>4093</v>
      </c>
      <c r="F417" t="s">
        <v>3559</v>
      </c>
      <c r="G417" t="s">
        <v>37</v>
      </c>
      <c r="H417">
        <v>1</v>
      </c>
      <c r="I417">
        <v>647</v>
      </c>
      <c r="J417">
        <v>522</v>
      </c>
      <c r="K417" t="str">
        <f t="shared" si="6"/>
        <v>harv342278</v>
      </c>
      <c r="M417" t="s">
        <v>133</v>
      </c>
      <c r="N417" t="s">
        <v>2461</v>
      </c>
      <c r="Q417" t="s">
        <v>11083</v>
      </c>
      <c r="U417">
        <v>26</v>
      </c>
      <c r="V417">
        <v>0</v>
      </c>
      <c r="W417">
        <v>85</v>
      </c>
      <c r="X417">
        <v>34.200000000000003</v>
      </c>
      <c r="Y417">
        <v>27.8</v>
      </c>
    </row>
    <row r="418" spans="1:25" x14ac:dyDescent="0.25">
      <c r="A418" t="s">
        <v>4260</v>
      </c>
      <c r="B418">
        <v>1023</v>
      </c>
      <c r="C418">
        <v>102</v>
      </c>
      <c r="D418" t="s">
        <v>23</v>
      </c>
      <c r="E418" t="s">
        <v>4093</v>
      </c>
      <c r="F418" t="s">
        <v>3559</v>
      </c>
      <c r="G418" t="s">
        <v>37</v>
      </c>
      <c r="H418">
        <v>1</v>
      </c>
      <c r="I418">
        <v>208</v>
      </c>
      <c r="J418">
        <v>321</v>
      </c>
      <c r="K418" t="str">
        <f t="shared" si="6"/>
        <v>harv113174</v>
      </c>
      <c r="M418" t="s">
        <v>215</v>
      </c>
      <c r="N418" t="s">
        <v>2717</v>
      </c>
      <c r="Q418" t="s">
        <v>11083</v>
      </c>
      <c r="U418">
        <v>26</v>
      </c>
      <c r="V418">
        <v>0</v>
      </c>
      <c r="W418">
        <v>100</v>
      </c>
      <c r="X418">
        <v>11.3</v>
      </c>
      <c r="Y418">
        <v>17.399999999999999</v>
      </c>
    </row>
    <row r="419" spans="1:25" x14ac:dyDescent="0.25">
      <c r="A419" t="s">
        <v>4261</v>
      </c>
      <c r="B419">
        <v>1024</v>
      </c>
      <c r="C419">
        <v>103</v>
      </c>
      <c r="D419" t="s">
        <v>23</v>
      </c>
      <c r="E419" t="s">
        <v>4093</v>
      </c>
      <c r="F419" t="s">
        <v>3559</v>
      </c>
      <c r="G419" t="s">
        <v>24</v>
      </c>
      <c r="H419">
        <v>1</v>
      </c>
      <c r="I419">
        <v>455</v>
      </c>
      <c r="J419">
        <v>526</v>
      </c>
      <c r="K419" t="str">
        <f t="shared" si="6"/>
        <v>harv256293</v>
      </c>
      <c r="M419" t="s">
        <v>11</v>
      </c>
      <c r="N419" t="s">
        <v>1559</v>
      </c>
      <c r="Q419" t="s">
        <v>3669</v>
      </c>
      <c r="R419" t="s">
        <v>2805</v>
      </c>
      <c r="U419">
        <v>26</v>
      </c>
      <c r="V419">
        <v>0</v>
      </c>
      <c r="W419">
        <v>60</v>
      </c>
      <c r="X419">
        <v>25.6</v>
      </c>
      <c r="Y419">
        <v>29.3</v>
      </c>
    </row>
    <row r="420" spans="1:25" x14ac:dyDescent="0.25">
      <c r="A420" t="s">
        <v>4262</v>
      </c>
      <c r="B420">
        <v>1025</v>
      </c>
      <c r="C420">
        <v>104</v>
      </c>
      <c r="D420" t="s">
        <v>23</v>
      </c>
      <c r="E420" t="s">
        <v>4093</v>
      </c>
      <c r="F420" t="s">
        <v>3559</v>
      </c>
      <c r="G420" t="s">
        <v>24</v>
      </c>
      <c r="H420">
        <v>1</v>
      </c>
      <c r="I420">
        <v>245</v>
      </c>
      <c r="J420">
        <v>365</v>
      </c>
      <c r="K420" t="str">
        <f t="shared" si="6"/>
        <v>harv138207</v>
      </c>
      <c r="M420" t="s">
        <v>11</v>
      </c>
      <c r="N420" t="s">
        <v>1608</v>
      </c>
      <c r="Q420" t="s">
        <v>3669</v>
      </c>
      <c r="R420" t="s">
        <v>2825</v>
      </c>
      <c r="U420">
        <v>26</v>
      </c>
      <c r="V420">
        <v>0</v>
      </c>
      <c r="W420">
        <v>60</v>
      </c>
      <c r="X420">
        <v>13.8</v>
      </c>
      <c r="Y420">
        <v>20.7</v>
      </c>
    </row>
    <row r="421" spans="1:25" x14ac:dyDescent="0.25">
      <c r="A421" t="s">
        <v>4263</v>
      </c>
      <c r="B421">
        <v>1026</v>
      </c>
      <c r="C421">
        <v>105</v>
      </c>
      <c r="D421" t="s">
        <v>23</v>
      </c>
      <c r="E421" t="s">
        <v>4093</v>
      </c>
      <c r="F421" t="s">
        <v>3559</v>
      </c>
      <c r="G421" t="s">
        <v>24</v>
      </c>
      <c r="H421">
        <v>1</v>
      </c>
      <c r="I421">
        <v>226</v>
      </c>
      <c r="J421">
        <v>328</v>
      </c>
      <c r="K421" t="str">
        <f t="shared" si="6"/>
        <v>harv129186</v>
      </c>
      <c r="M421" t="s">
        <v>11</v>
      </c>
      <c r="N421" t="s">
        <v>1691</v>
      </c>
      <c r="Q421" t="s">
        <v>11083</v>
      </c>
      <c r="U421">
        <v>26</v>
      </c>
      <c r="V421">
        <v>0</v>
      </c>
      <c r="W421">
        <v>60</v>
      </c>
      <c r="X421">
        <v>12.9</v>
      </c>
      <c r="Y421">
        <v>18.600000000000001</v>
      </c>
    </row>
    <row r="422" spans="1:25" x14ac:dyDescent="0.25">
      <c r="A422" t="s">
        <v>4264</v>
      </c>
      <c r="B422">
        <v>1027</v>
      </c>
      <c r="C422">
        <v>106</v>
      </c>
      <c r="D422" t="s">
        <v>23</v>
      </c>
      <c r="E422" t="s">
        <v>4093</v>
      </c>
      <c r="F422" t="s">
        <v>3559</v>
      </c>
      <c r="G422" t="s">
        <v>24</v>
      </c>
      <c r="H422">
        <v>1</v>
      </c>
      <c r="I422">
        <v>269</v>
      </c>
      <c r="J422">
        <v>609</v>
      </c>
      <c r="K422" t="str">
        <f t="shared" si="6"/>
        <v>harv153337</v>
      </c>
      <c r="M422" t="s">
        <v>11</v>
      </c>
      <c r="N422" t="s">
        <v>1696</v>
      </c>
      <c r="Q422" t="s">
        <v>11083</v>
      </c>
      <c r="U422">
        <v>26</v>
      </c>
      <c r="V422">
        <v>0</v>
      </c>
      <c r="W422">
        <v>75</v>
      </c>
      <c r="X422">
        <v>15.3</v>
      </c>
      <c r="Y422">
        <v>33.700000000000003</v>
      </c>
    </row>
    <row r="423" spans="1:25" x14ac:dyDescent="0.25">
      <c r="A423" t="s">
        <v>4265</v>
      </c>
      <c r="B423">
        <v>1028</v>
      </c>
      <c r="C423">
        <v>107</v>
      </c>
      <c r="D423" t="s">
        <v>23</v>
      </c>
      <c r="E423" t="s">
        <v>4093</v>
      </c>
      <c r="F423" t="s">
        <v>3559</v>
      </c>
      <c r="G423" t="s">
        <v>24</v>
      </c>
      <c r="H423">
        <v>1</v>
      </c>
      <c r="I423">
        <v>609</v>
      </c>
      <c r="J423">
        <v>503</v>
      </c>
      <c r="K423" t="str">
        <f t="shared" si="6"/>
        <v>harv32266</v>
      </c>
      <c r="M423" t="s">
        <v>73</v>
      </c>
      <c r="N423" t="s">
        <v>1940</v>
      </c>
      <c r="Q423" t="s">
        <v>3669</v>
      </c>
      <c r="R423" t="s">
        <v>2821</v>
      </c>
      <c r="U423">
        <v>26</v>
      </c>
      <c r="V423">
        <v>0</v>
      </c>
      <c r="W423">
        <v>70</v>
      </c>
      <c r="X423">
        <v>32</v>
      </c>
      <c r="Y423">
        <v>26.6</v>
      </c>
    </row>
    <row r="424" spans="1:25" x14ac:dyDescent="0.25">
      <c r="A424" t="s">
        <v>4266</v>
      </c>
      <c r="B424">
        <v>1029</v>
      </c>
      <c r="C424">
        <v>108</v>
      </c>
      <c r="D424" t="s">
        <v>23</v>
      </c>
      <c r="E424" t="s">
        <v>4093</v>
      </c>
      <c r="F424" t="s">
        <v>3559</v>
      </c>
      <c r="G424" t="s">
        <v>24</v>
      </c>
      <c r="H424">
        <v>1</v>
      </c>
      <c r="I424">
        <v>421</v>
      </c>
      <c r="J424">
        <v>215</v>
      </c>
      <c r="K424" t="str">
        <f t="shared" si="6"/>
        <v>harv22312</v>
      </c>
      <c r="M424" t="s">
        <v>73</v>
      </c>
      <c r="N424" t="s">
        <v>1960</v>
      </c>
      <c r="Q424" t="s">
        <v>11083</v>
      </c>
      <c r="U424">
        <v>26</v>
      </c>
      <c r="V424">
        <v>0</v>
      </c>
      <c r="W424">
        <v>70</v>
      </c>
      <c r="X424">
        <v>22.3</v>
      </c>
      <c r="Y424">
        <v>12</v>
      </c>
    </row>
    <row r="425" spans="1:25" x14ac:dyDescent="0.25">
      <c r="A425" t="s">
        <v>4267</v>
      </c>
      <c r="B425">
        <v>1030</v>
      </c>
      <c r="C425">
        <v>109</v>
      </c>
      <c r="D425" t="s">
        <v>23</v>
      </c>
      <c r="E425" t="s">
        <v>4093</v>
      </c>
      <c r="F425" t="s">
        <v>3559</v>
      </c>
      <c r="G425" t="s">
        <v>24</v>
      </c>
      <c r="H425">
        <v>1</v>
      </c>
      <c r="I425">
        <v>297</v>
      </c>
      <c r="J425">
        <v>581</v>
      </c>
      <c r="K425" t="str">
        <f t="shared" si="6"/>
        <v>harv161308</v>
      </c>
      <c r="M425" t="s">
        <v>102</v>
      </c>
      <c r="N425" t="s">
        <v>1948</v>
      </c>
      <c r="Q425" t="s">
        <v>11083</v>
      </c>
      <c r="U425">
        <v>26</v>
      </c>
      <c r="V425">
        <v>0</v>
      </c>
      <c r="W425">
        <v>75</v>
      </c>
      <c r="X425">
        <v>16.100000000000001</v>
      </c>
      <c r="Y425">
        <v>30.8</v>
      </c>
    </row>
    <row r="426" spans="1:25" x14ac:dyDescent="0.25">
      <c r="A426" t="s">
        <v>4268</v>
      </c>
      <c r="B426">
        <v>1031</v>
      </c>
      <c r="C426">
        <v>110</v>
      </c>
      <c r="D426" t="s">
        <v>23</v>
      </c>
      <c r="E426" t="s">
        <v>4093</v>
      </c>
      <c r="F426" t="s">
        <v>3559</v>
      </c>
      <c r="G426" t="s">
        <v>24</v>
      </c>
      <c r="H426">
        <v>1</v>
      </c>
      <c r="I426">
        <v>274</v>
      </c>
      <c r="J426">
        <v>508</v>
      </c>
      <c r="K426" t="str">
        <f t="shared" si="6"/>
        <v>harv149271</v>
      </c>
      <c r="M426" t="s">
        <v>102</v>
      </c>
      <c r="N426" t="s">
        <v>2231</v>
      </c>
      <c r="Q426" t="s">
        <v>11083</v>
      </c>
      <c r="U426">
        <v>26</v>
      </c>
      <c r="V426">
        <v>0</v>
      </c>
      <c r="W426">
        <v>75</v>
      </c>
      <c r="X426">
        <v>14.9</v>
      </c>
      <c r="Y426">
        <v>27.1</v>
      </c>
    </row>
    <row r="427" spans="1:25" x14ac:dyDescent="0.25">
      <c r="A427" t="s">
        <v>4269</v>
      </c>
      <c r="B427">
        <v>1032</v>
      </c>
      <c r="C427">
        <v>111</v>
      </c>
      <c r="D427" t="s">
        <v>23</v>
      </c>
      <c r="E427" t="s">
        <v>4093</v>
      </c>
      <c r="F427" t="s">
        <v>3559</v>
      </c>
      <c r="G427" t="s">
        <v>24</v>
      </c>
      <c r="H427">
        <v>1</v>
      </c>
      <c r="I427">
        <v>422</v>
      </c>
      <c r="J427">
        <v>239</v>
      </c>
      <c r="K427" t="str">
        <f t="shared" si="6"/>
        <v>harv224131</v>
      </c>
      <c r="M427" t="s">
        <v>102</v>
      </c>
      <c r="N427" t="s">
        <v>2260</v>
      </c>
      <c r="Q427" t="s">
        <v>3669</v>
      </c>
      <c r="R427" t="s">
        <v>2810</v>
      </c>
      <c r="U427">
        <v>26</v>
      </c>
      <c r="V427">
        <v>0</v>
      </c>
      <c r="W427">
        <v>80</v>
      </c>
      <c r="X427">
        <v>22.4</v>
      </c>
      <c r="Y427">
        <v>13.1</v>
      </c>
    </row>
    <row r="428" spans="1:25" x14ac:dyDescent="0.25">
      <c r="A428" t="s">
        <v>4270</v>
      </c>
      <c r="B428">
        <v>1033</v>
      </c>
      <c r="C428">
        <v>112</v>
      </c>
      <c r="D428" t="s">
        <v>23</v>
      </c>
      <c r="E428" t="s">
        <v>4093</v>
      </c>
      <c r="F428" t="s">
        <v>3559</v>
      </c>
      <c r="G428" t="s">
        <v>24</v>
      </c>
      <c r="H428">
        <v>1</v>
      </c>
      <c r="I428">
        <v>505</v>
      </c>
      <c r="J428">
        <v>464</v>
      </c>
      <c r="K428" t="str">
        <f t="shared" si="6"/>
        <v>harv268246</v>
      </c>
      <c r="M428" t="s">
        <v>102</v>
      </c>
      <c r="N428" t="s">
        <v>2256</v>
      </c>
      <c r="Q428" t="s">
        <v>11083</v>
      </c>
      <c r="U428">
        <v>26</v>
      </c>
      <c r="V428">
        <v>0</v>
      </c>
      <c r="W428">
        <v>80</v>
      </c>
      <c r="X428">
        <v>26.8</v>
      </c>
      <c r="Y428">
        <v>24.6</v>
      </c>
    </row>
    <row r="429" spans="1:25" x14ac:dyDescent="0.25">
      <c r="A429" t="s">
        <v>4271</v>
      </c>
      <c r="B429">
        <v>1034</v>
      </c>
      <c r="C429">
        <v>113</v>
      </c>
      <c r="D429" t="s">
        <v>23</v>
      </c>
      <c r="E429" t="s">
        <v>4093</v>
      </c>
      <c r="F429" t="s">
        <v>3559</v>
      </c>
      <c r="G429" t="s">
        <v>24</v>
      </c>
      <c r="H429">
        <v>1</v>
      </c>
      <c r="I429">
        <v>530</v>
      </c>
      <c r="J429">
        <v>311</v>
      </c>
      <c r="K429" t="str">
        <f t="shared" si="6"/>
        <v>harv279169</v>
      </c>
      <c r="M429" t="s">
        <v>133</v>
      </c>
      <c r="N429" t="s">
        <v>2347</v>
      </c>
      <c r="Q429" t="s">
        <v>11083</v>
      </c>
      <c r="U429">
        <v>26</v>
      </c>
      <c r="V429">
        <v>0</v>
      </c>
      <c r="W429">
        <v>85</v>
      </c>
      <c r="X429">
        <v>27.9</v>
      </c>
      <c r="Y429">
        <v>16.899999999999999</v>
      </c>
    </row>
    <row r="430" spans="1:25" x14ac:dyDescent="0.25">
      <c r="A430" t="s">
        <v>4272</v>
      </c>
      <c r="B430">
        <v>1035</v>
      </c>
      <c r="C430">
        <v>114</v>
      </c>
      <c r="D430" t="s">
        <v>23</v>
      </c>
      <c r="E430" t="s">
        <v>4093</v>
      </c>
      <c r="F430" t="s">
        <v>3559</v>
      </c>
      <c r="G430" t="s">
        <v>24</v>
      </c>
      <c r="H430">
        <v>1</v>
      </c>
      <c r="I430">
        <v>190</v>
      </c>
      <c r="J430">
        <v>657</v>
      </c>
      <c r="K430" t="str">
        <f t="shared" si="6"/>
        <v>harv105347</v>
      </c>
      <c r="M430" t="s">
        <v>133</v>
      </c>
      <c r="N430" t="s">
        <v>2359</v>
      </c>
      <c r="Q430" t="s">
        <v>3669</v>
      </c>
      <c r="R430" t="s">
        <v>2815</v>
      </c>
      <c r="U430">
        <v>26</v>
      </c>
      <c r="V430">
        <v>0</v>
      </c>
      <c r="W430">
        <v>90</v>
      </c>
      <c r="X430">
        <v>10.5</v>
      </c>
      <c r="Y430">
        <v>34.700000000000003</v>
      </c>
    </row>
    <row r="431" spans="1:25" x14ac:dyDescent="0.25">
      <c r="A431" t="s">
        <v>4273</v>
      </c>
      <c r="B431">
        <v>1036</v>
      </c>
      <c r="C431">
        <v>115</v>
      </c>
      <c r="D431" t="s">
        <v>23</v>
      </c>
      <c r="E431" t="s">
        <v>4093</v>
      </c>
      <c r="F431" t="s">
        <v>3559</v>
      </c>
      <c r="G431" t="s">
        <v>24</v>
      </c>
      <c r="H431">
        <v>1</v>
      </c>
      <c r="I431">
        <v>593</v>
      </c>
      <c r="J431">
        <v>458</v>
      </c>
      <c r="K431" t="str">
        <f t="shared" si="6"/>
        <v>harv311246</v>
      </c>
      <c r="M431" t="s">
        <v>215</v>
      </c>
      <c r="N431" t="s">
        <v>4274</v>
      </c>
      <c r="Q431" t="s">
        <v>11083</v>
      </c>
      <c r="U431">
        <v>26</v>
      </c>
      <c r="V431">
        <v>0</v>
      </c>
      <c r="W431">
        <v>95</v>
      </c>
      <c r="X431">
        <v>31.1</v>
      </c>
      <c r="Y431">
        <v>24.6</v>
      </c>
    </row>
    <row r="432" spans="1:25" x14ac:dyDescent="0.25">
      <c r="A432" t="s">
        <v>4275</v>
      </c>
      <c r="B432">
        <v>1037</v>
      </c>
      <c r="C432">
        <v>116</v>
      </c>
      <c r="D432" t="s">
        <v>23</v>
      </c>
      <c r="E432" t="s">
        <v>4093</v>
      </c>
      <c r="F432" t="s">
        <v>3559</v>
      </c>
      <c r="G432" t="s">
        <v>24</v>
      </c>
      <c r="H432">
        <v>1</v>
      </c>
      <c r="I432">
        <v>431</v>
      </c>
      <c r="J432">
        <v>636</v>
      </c>
      <c r="K432" t="str">
        <f t="shared" si="6"/>
        <v>harv23337</v>
      </c>
      <c r="M432" t="s">
        <v>215</v>
      </c>
      <c r="N432" t="s">
        <v>4274</v>
      </c>
      <c r="Q432" t="s">
        <v>11083</v>
      </c>
      <c r="U432">
        <v>26</v>
      </c>
      <c r="V432">
        <v>0</v>
      </c>
      <c r="W432">
        <v>100</v>
      </c>
      <c r="X432">
        <v>23</v>
      </c>
      <c r="Y432">
        <v>33.700000000000003</v>
      </c>
    </row>
    <row r="433" spans="1:25" x14ac:dyDescent="0.25">
      <c r="A433" t="s">
        <v>4276</v>
      </c>
      <c r="B433">
        <v>1038</v>
      </c>
      <c r="C433">
        <v>117</v>
      </c>
      <c r="D433" t="s">
        <v>23</v>
      </c>
      <c r="E433" t="s">
        <v>4093</v>
      </c>
      <c r="F433" t="s">
        <v>3559</v>
      </c>
      <c r="G433" t="s">
        <v>24</v>
      </c>
      <c r="H433">
        <v>1</v>
      </c>
      <c r="I433">
        <v>299</v>
      </c>
      <c r="J433">
        <v>184</v>
      </c>
      <c r="K433" t="str">
        <f t="shared" si="6"/>
        <v>harv161105</v>
      </c>
      <c r="M433" t="s">
        <v>215</v>
      </c>
      <c r="N433" t="s">
        <v>3684</v>
      </c>
      <c r="Q433" t="s">
        <v>3669</v>
      </c>
      <c r="R433" t="s">
        <v>2810</v>
      </c>
      <c r="U433">
        <v>26</v>
      </c>
      <c r="V433">
        <v>0</v>
      </c>
      <c r="W433">
        <v>100</v>
      </c>
      <c r="X433">
        <v>16.100000000000001</v>
      </c>
      <c r="Y433">
        <v>10.5</v>
      </c>
    </row>
    <row r="434" spans="1:25" x14ac:dyDescent="0.25">
      <c r="A434" t="s">
        <v>4277</v>
      </c>
      <c r="B434">
        <v>1039</v>
      </c>
      <c r="C434">
        <v>118</v>
      </c>
      <c r="D434" t="s">
        <v>23</v>
      </c>
      <c r="E434" t="s">
        <v>4093</v>
      </c>
      <c r="F434" t="s">
        <v>3559</v>
      </c>
      <c r="G434" t="s">
        <v>28</v>
      </c>
      <c r="H434">
        <v>1</v>
      </c>
      <c r="I434">
        <v>310</v>
      </c>
      <c r="J434">
        <v>575</v>
      </c>
      <c r="K434" t="str">
        <f t="shared" si="6"/>
        <v>harv175319</v>
      </c>
      <c r="M434" t="s">
        <v>11</v>
      </c>
      <c r="N434" t="s">
        <v>1672</v>
      </c>
      <c r="Q434" t="s">
        <v>3669</v>
      </c>
      <c r="R434" t="s">
        <v>2815</v>
      </c>
      <c r="U434">
        <v>26</v>
      </c>
      <c r="V434">
        <v>0</v>
      </c>
      <c r="W434">
        <v>60</v>
      </c>
      <c r="X434">
        <v>17.5</v>
      </c>
      <c r="Y434">
        <v>31.9</v>
      </c>
    </row>
    <row r="435" spans="1:25" x14ac:dyDescent="0.25">
      <c r="A435" t="s">
        <v>4278</v>
      </c>
      <c r="B435">
        <v>1040</v>
      </c>
      <c r="C435">
        <v>119</v>
      </c>
      <c r="D435" t="s">
        <v>23</v>
      </c>
      <c r="E435" t="s">
        <v>4093</v>
      </c>
      <c r="F435" t="s">
        <v>3559</v>
      </c>
      <c r="G435" t="s">
        <v>28</v>
      </c>
      <c r="H435">
        <v>1</v>
      </c>
      <c r="I435">
        <v>112</v>
      </c>
      <c r="J435">
        <v>499</v>
      </c>
      <c r="K435" t="str">
        <f t="shared" si="6"/>
        <v>harv68277</v>
      </c>
      <c r="M435" t="s">
        <v>11</v>
      </c>
      <c r="N435" t="s">
        <v>755</v>
      </c>
      <c r="Q435" t="s">
        <v>3669</v>
      </c>
      <c r="R435" t="s">
        <v>2810</v>
      </c>
      <c r="U435">
        <v>26</v>
      </c>
      <c r="V435">
        <v>0</v>
      </c>
      <c r="W435">
        <v>60</v>
      </c>
      <c r="X435">
        <v>6.8</v>
      </c>
      <c r="Y435">
        <v>27.7</v>
      </c>
    </row>
    <row r="436" spans="1:25" x14ac:dyDescent="0.25">
      <c r="A436" t="s">
        <v>4279</v>
      </c>
      <c r="B436">
        <v>1041</v>
      </c>
      <c r="C436">
        <v>120</v>
      </c>
      <c r="D436" t="s">
        <v>23</v>
      </c>
      <c r="E436" t="s">
        <v>4093</v>
      </c>
      <c r="F436" t="s">
        <v>3559</v>
      </c>
      <c r="G436" t="s">
        <v>28</v>
      </c>
      <c r="H436">
        <v>1</v>
      </c>
      <c r="I436">
        <v>394</v>
      </c>
      <c r="J436">
        <v>398</v>
      </c>
      <c r="K436" t="str">
        <f t="shared" si="6"/>
        <v>harv221224</v>
      </c>
      <c r="M436" t="s">
        <v>11</v>
      </c>
      <c r="N436" t="s">
        <v>1728</v>
      </c>
      <c r="Q436" t="s">
        <v>11083</v>
      </c>
      <c r="U436">
        <v>26</v>
      </c>
      <c r="V436">
        <v>0</v>
      </c>
      <c r="W436">
        <v>55</v>
      </c>
      <c r="X436">
        <v>22.1</v>
      </c>
      <c r="Y436">
        <v>22.4</v>
      </c>
    </row>
    <row r="437" spans="1:25" x14ac:dyDescent="0.25">
      <c r="A437" t="s">
        <v>4280</v>
      </c>
      <c r="B437">
        <v>1042</v>
      </c>
      <c r="C437">
        <v>121</v>
      </c>
      <c r="D437" t="s">
        <v>23</v>
      </c>
      <c r="E437" t="s">
        <v>4093</v>
      </c>
      <c r="F437" t="s">
        <v>3559</v>
      </c>
      <c r="G437" t="s">
        <v>28</v>
      </c>
      <c r="H437">
        <v>1</v>
      </c>
      <c r="I437">
        <v>367</v>
      </c>
      <c r="J437">
        <v>535</v>
      </c>
      <c r="K437" t="str">
        <f t="shared" si="6"/>
        <v>harv205298</v>
      </c>
      <c r="M437" t="s">
        <v>11</v>
      </c>
      <c r="N437" t="s">
        <v>1711</v>
      </c>
      <c r="Q437" t="s">
        <v>11083</v>
      </c>
      <c r="U437">
        <v>26</v>
      </c>
      <c r="V437">
        <v>0</v>
      </c>
      <c r="W437">
        <v>60</v>
      </c>
      <c r="X437">
        <v>20.5</v>
      </c>
      <c r="Y437">
        <v>29.8</v>
      </c>
    </row>
    <row r="438" spans="1:25" x14ac:dyDescent="0.25">
      <c r="A438" t="s">
        <v>4281</v>
      </c>
      <c r="B438">
        <v>1043</v>
      </c>
      <c r="C438">
        <v>122</v>
      </c>
      <c r="D438" t="s">
        <v>23</v>
      </c>
      <c r="E438" t="s">
        <v>4093</v>
      </c>
      <c r="F438" t="s">
        <v>3559</v>
      </c>
      <c r="G438" t="s">
        <v>28</v>
      </c>
      <c r="H438">
        <v>1</v>
      </c>
      <c r="I438">
        <v>176</v>
      </c>
      <c r="J438">
        <v>666</v>
      </c>
      <c r="K438" t="str">
        <f t="shared" si="6"/>
        <v>harv103369</v>
      </c>
      <c r="M438" t="s">
        <v>11</v>
      </c>
      <c r="N438" t="s">
        <v>1723</v>
      </c>
      <c r="Q438" t="s">
        <v>3669</v>
      </c>
      <c r="R438" t="s">
        <v>2821</v>
      </c>
      <c r="U438">
        <v>26</v>
      </c>
      <c r="V438">
        <v>0</v>
      </c>
      <c r="W438">
        <v>60</v>
      </c>
      <c r="X438">
        <v>10.3</v>
      </c>
      <c r="Y438">
        <v>36.9</v>
      </c>
    </row>
    <row r="439" spans="1:25" x14ac:dyDescent="0.25">
      <c r="A439" t="s">
        <v>4282</v>
      </c>
      <c r="B439">
        <v>1044</v>
      </c>
      <c r="C439">
        <v>123</v>
      </c>
      <c r="D439" t="s">
        <v>23</v>
      </c>
      <c r="E439" t="s">
        <v>4093</v>
      </c>
      <c r="F439" t="s">
        <v>3559</v>
      </c>
      <c r="G439" t="s">
        <v>28</v>
      </c>
      <c r="H439">
        <v>1</v>
      </c>
      <c r="I439">
        <v>140</v>
      </c>
      <c r="J439">
        <v>227</v>
      </c>
      <c r="K439" t="str">
        <f t="shared" si="6"/>
        <v>harv82132</v>
      </c>
      <c r="M439" t="s">
        <v>73</v>
      </c>
      <c r="N439" t="s">
        <v>1713</v>
      </c>
      <c r="Q439" t="s">
        <v>11083</v>
      </c>
      <c r="U439">
        <v>26</v>
      </c>
      <c r="V439">
        <v>0</v>
      </c>
      <c r="W439">
        <v>65</v>
      </c>
      <c r="X439">
        <v>8.1999999999999993</v>
      </c>
      <c r="Y439">
        <v>13.2</v>
      </c>
    </row>
    <row r="440" spans="1:25" x14ac:dyDescent="0.25">
      <c r="A440" t="s">
        <v>4283</v>
      </c>
      <c r="B440">
        <v>1045</v>
      </c>
      <c r="C440">
        <v>124</v>
      </c>
      <c r="D440" t="s">
        <v>23</v>
      </c>
      <c r="E440" t="s">
        <v>4093</v>
      </c>
      <c r="F440" t="s">
        <v>3559</v>
      </c>
      <c r="G440" t="s">
        <v>28</v>
      </c>
      <c r="H440">
        <v>1</v>
      </c>
      <c r="I440">
        <v>296</v>
      </c>
      <c r="J440">
        <v>527</v>
      </c>
      <c r="K440" t="str">
        <f t="shared" si="6"/>
        <v>harv15828</v>
      </c>
      <c r="M440" t="s">
        <v>73</v>
      </c>
      <c r="N440" t="s">
        <v>2004</v>
      </c>
      <c r="Q440" t="s">
        <v>11083</v>
      </c>
      <c r="U440">
        <v>26</v>
      </c>
      <c r="V440">
        <v>0</v>
      </c>
      <c r="W440">
        <v>70</v>
      </c>
      <c r="X440">
        <v>15.8</v>
      </c>
      <c r="Y440">
        <v>28</v>
      </c>
    </row>
    <row r="441" spans="1:25" x14ac:dyDescent="0.25">
      <c r="A441" t="s">
        <v>4284</v>
      </c>
      <c r="B441">
        <v>1046</v>
      </c>
      <c r="C441">
        <v>125</v>
      </c>
      <c r="D441" t="s">
        <v>23</v>
      </c>
      <c r="E441" t="s">
        <v>4093</v>
      </c>
      <c r="F441" t="s">
        <v>3559</v>
      </c>
      <c r="G441" t="s">
        <v>28</v>
      </c>
      <c r="H441">
        <v>1</v>
      </c>
      <c r="I441">
        <v>548</v>
      </c>
      <c r="J441">
        <v>313</v>
      </c>
      <c r="K441" t="str">
        <f t="shared" si="6"/>
        <v>harv291169</v>
      </c>
      <c r="M441" t="s">
        <v>102</v>
      </c>
      <c r="N441" t="s">
        <v>1986</v>
      </c>
      <c r="Q441" t="s">
        <v>11083</v>
      </c>
      <c r="U441">
        <v>26</v>
      </c>
      <c r="V441">
        <v>0</v>
      </c>
      <c r="W441">
        <v>80</v>
      </c>
      <c r="X441">
        <v>29.1</v>
      </c>
      <c r="Y441">
        <v>16.899999999999999</v>
      </c>
    </row>
    <row r="442" spans="1:25" x14ac:dyDescent="0.25">
      <c r="A442" t="s">
        <v>4285</v>
      </c>
      <c r="B442">
        <v>1047</v>
      </c>
      <c r="C442">
        <v>126</v>
      </c>
      <c r="D442" t="s">
        <v>23</v>
      </c>
      <c r="E442" t="s">
        <v>4093</v>
      </c>
      <c r="F442" t="s">
        <v>3559</v>
      </c>
      <c r="G442" t="s">
        <v>28</v>
      </c>
      <c r="H442">
        <v>1</v>
      </c>
      <c r="I442">
        <v>254</v>
      </c>
      <c r="J442">
        <v>421</v>
      </c>
      <c r="K442" t="str">
        <f t="shared" si="6"/>
        <v>harv142228</v>
      </c>
      <c r="M442" t="s">
        <v>102</v>
      </c>
      <c r="N442" t="s">
        <v>2029</v>
      </c>
      <c r="Q442" t="s">
        <v>11083</v>
      </c>
      <c r="U442">
        <v>26</v>
      </c>
      <c r="V442">
        <v>0</v>
      </c>
      <c r="W442">
        <v>75</v>
      </c>
      <c r="X442">
        <v>14.2</v>
      </c>
      <c r="Y442">
        <v>22.8</v>
      </c>
    </row>
    <row r="443" spans="1:25" x14ac:dyDescent="0.25">
      <c r="A443" t="s">
        <v>4286</v>
      </c>
      <c r="B443">
        <v>1048</v>
      </c>
      <c r="C443">
        <v>127</v>
      </c>
      <c r="D443" t="s">
        <v>23</v>
      </c>
      <c r="E443" t="s">
        <v>4093</v>
      </c>
      <c r="F443" t="s">
        <v>3559</v>
      </c>
      <c r="G443" t="s">
        <v>28</v>
      </c>
      <c r="H443">
        <v>1</v>
      </c>
      <c r="I443">
        <v>595</v>
      </c>
      <c r="J443">
        <v>695</v>
      </c>
      <c r="K443" t="str">
        <f t="shared" si="6"/>
        <v>harv316365</v>
      </c>
      <c r="M443" t="s">
        <v>102</v>
      </c>
      <c r="N443" t="s">
        <v>2049</v>
      </c>
      <c r="Q443" t="s">
        <v>3669</v>
      </c>
      <c r="R443" t="s">
        <v>2819</v>
      </c>
      <c r="U443">
        <v>26</v>
      </c>
      <c r="V443">
        <v>0</v>
      </c>
      <c r="W443">
        <v>80</v>
      </c>
      <c r="X443">
        <v>31.6</v>
      </c>
      <c r="Y443">
        <v>36.5</v>
      </c>
    </row>
    <row r="444" spans="1:25" x14ac:dyDescent="0.25">
      <c r="A444" t="s">
        <v>4287</v>
      </c>
      <c r="B444">
        <v>1049</v>
      </c>
      <c r="C444">
        <v>128</v>
      </c>
      <c r="D444" t="s">
        <v>23</v>
      </c>
      <c r="E444" t="s">
        <v>4093</v>
      </c>
      <c r="F444" t="s">
        <v>3559</v>
      </c>
      <c r="G444" t="s">
        <v>28</v>
      </c>
      <c r="H444">
        <v>1</v>
      </c>
      <c r="I444">
        <v>483</v>
      </c>
      <c r="J444">
        <v>565</v>
      </c>
      <c r="K444" t="str">
        <f t="shared" si="6"/>
        <v>harv255298</v>
      </c>
      <c r="M444" t="s">
        <v>102</v>
      </c>
      <c r="N444" t="s">
        <v>2057</v>
      </c>
      <c r="Q444" t="s">
        <v>11083</v>
      </c>
      <c r="U444">
        <v>26</v>
      </c>
      <c r="V444">
        <v>0</v>
      </c>
      <c r="W444">
        <v>80</v>
      </c>
      <c r="X444">
        <v>25.5</v>
      </c>
      <c r="Y444">
        <v>29.8</v>
      </c>
    </row>
    <row r="445" spans="1:25" x14ac:dyDescent="0.25">
      <c r="A445" t="s">
        <v>4288</v>
      </c>
      <c r="B445">
        <v>1050</v>
      </c>
      <c r="C445">
        <v>129</v>
      </c>
      <c r="D445" t="s">
        <v>23</v>
      </c>
      <c r="E445" t="s">
        <v>4093</v>
      </c>
      <c r="F445" t="s">
        <v>3559</v>
      </c>
      <c r="G445" t="s">
        <v>28</v>
      </c>
      <c r="H445">
        <v>1</v>
      </c>
      <c r="I445">
        <v>374</v>
      </c>
      <c r="J445">
        <v>159</v>
      </c>
      <c r="K445" t="str">
        <f t="shared" si="6"/>
        <v>harv19891</v>
      </c>
      <c r="M445" t="s">
        <v>133</v>
      </c>
      <c r="N445" t="s">
        <v>2285</v>
      </c>
      <c r="Q445" t="s">
        <v>11083</v>
      </c>
      <c r="U445">
        <v>26</v>
      </c>
      <c r="V445">
        <v>0</v>
      </c>
      <c r="W445">
        <v>85</v>
      </c>
      <c r="X445">
        <v>19.8</v>
      </c>
      <c r="Y445">
        <v>9.1</v>
      </c>
    </row>
    <row r="446" spans="1:25" x14ac:dyDescent="0.25">
      <c r="A446" t="s">
        <v>4289</v>
      </c>
      <c r="B446">
        <v>1051</v>
      </c>
      <c r="C446">
        <v>130</v>
      </c>
      <c r="D446" t="s">
        <v>23</v>
      </c>
      <c r="E446" t="s">
        <v>4093</v>
      </c>
      <c r="F446" t="s">
        <v>3559</v>
      </c>
      <c r="G446" t="s">
        <v>28</v>
      </c>
      <c r="H446">
        <v>1</v>
      </c>
      <c r="I446">
        <v>481</v>
      </c>
      <c r="J446">
        <v>487</v>
      </c>
      <c r="K446" t="str">
        <f t="shared" si="6"/>
        <v>harv253261</v>
      </c>
      <c r="M446" t="s">
        <v>133</v>
      </c>
      <c r="N446" t="s">
        <v>2421</v>
      </c>
      <c r="Q446" t="s">
        <v>11083</v>
      </c>
      <c r="U446">
        <v>26</v>
      </c>
      <c r="V446">
        <v>0</v>
      </c>
      <c r="W446">
        <v>85</v>
      </c>
      <c r="X446">
        <v>25.3</v>
      </c>
      <c r="Y446">
        <v>26.1</v>
      </c>
    </row>
    <row r="447" spans="1:25" x14ac:dyDescent="0.25">
      <c r="A447" t="s">
        <v>4290</v>
      </c>
      <c r="B447">
        <v>1052</v>
      </c>
      <c r="C447">
        <v>131</v>
      </c>
      <c r="D447" t="s">
        <v>23</v>
      </c>
      <c r="E447" t="s">
        <v>4093</v>
      </c>
      <c r="F447" t="s">
        <v>3559</v>
      </c>
      <c r="G447" t="s">
        <v>28</v>
      </c>
      <c r="H447">
        <v>1</v>
      </c>
      <c r="I447">
        <v>535</v>
      </c>
      <c r="J447">
        <v>212</v>
      </c>
      <c r="K447" t="str">
        <f t="shared" si="6"/>
        <v>harv28119</v>
      </c>
      <c r="M447" t="s">
        <v>215</v>
      </c>
      <c r="N447" t="s">
        <v>2546</v>
      </c>
      <c r="Q447" t="s">
        <v>11083</v>
      </c>
      <c r="U447">
        <v>26</v>
      </c>
      <c r="V447">
        <v>0</v>
      </c>
      <c r="W447">
        <v>95</v>
      </c>
      <c r="X447">
        <v>28</v>
      </c>
      <c r="Y447">
        <v>11.9</v>
      </c>
    </row>
    <row r="448" spans="1:25" x14ac:dyDescent="0.25">
      <c r="A448" t="s">
        <v>4291</v>
      </c>
      <c r="B448">
        <v>1053</v>
      </c>
      <c r="C448">
        <v>132</v>
      </c>
      <c r="D448" t="s">
        <v>23</v>
      </c>
      <c r="E448" t="s">
        <v>4093</v>
      </c>
      <c r="F448" t="s">
        <v>3559</v>
      </c>
      <c r="G448" t="s">
        <v>28</v>
      </c>
      <c r="H448">
        <v>1</v>
      </c>
      <c r="I448">
        <v>351</v>
      </c>
      <c r="J448">
        <v>262</v>
      </c>
      <c r="K448" t="str">
        <f t="shared" si="6"/>
        <v>harv188143</v>
      </c>
      <c r="M448" t="s">
        <v>215</v>
      </c>
      <c r="N448" t="s">
        <v>2555</v>
      </c>
      <c r="Q448" t="s">
        <v>11083</v>
      </c>
      <c r="U448">
        <v>26</v>
      </c>
      <c r="V448">
        <v>0</v>
      </c>
      <c r="W448">
        <v>95</v>
      </c>
      <c r="X448">
        <v>18.8</v>
      </c>
      <c r="Y448">
        <v>14.3</v>
      </c>
    </row>
    <row r="449" spans="1:25" x14ac:dyDescent="0.25">
      <c r="A449" t="s">
        <v>4292</v>
      </c>
      <c r="B449">
        <v>1054</v>
      </c>
      <c r="C449">
        <v>133</v>
      </c>
      <c r="D449" t="s">
        <v>23</v>
      </c>
      <c r="E449" t="s">
        <v>4093</v>
      </c>
      <c r="F449" t="s">
        <v>3559</v>
      </c>
      <c r="G449" t="s">
        <v>28</v>
      </c>
      <c r="H449">
        <v>1</v>
      </c>
      <c r="I449">
        <v>131</v>
      </c>
      <c r="J449">
        <v>446</v>
      </c>
      <c r="K449" t="str">
        <f t="shared" si="6"/>
        <v>harv7524</v>
      </c>
      <c r="M449" t="s">
        <v>215</v>
      </c>
      <c r="N449" t="s">
        <v>2576</v>
      </c>
      <c r="Q449" t="s">
        <v>11083</v>
      </c>
      <c r="U449">
        <v>26</v>
      </c>
      <c r="V449">
        <v>0</v>
      </c>
      <c r="W449">
        <v>95</v>
      </c>
      <c r="X449">
        <v>7.5</v>
      </c>
      <c r="Y449">
        <v>24</v>
      </c>
    </row>
    <row r="450" spans="1:25" x14ac:dyDescent="0.25">
      <c r="A450" t="s">
        <v>4293</v>
      </c>
      <c r="B450">
        <v>1055</v>
      </c>
      <c r="C450">
        <v>134</v>
      </c>
      <c r="D450" t="s">
        <v>23</v>
      </c>
      <c r="E450" t="s">
        <v>4093</v>
      </c>
      <c r="F450" t="s">
        <v>3559</v>
      </c>
      <c r="G450" t="s">
        <v>19</v>
      </c>
      <c r="H450">
        <v>1</v>
      </c>
      <c r="I450">
        <v>401</v>
      </c>
      <c r="J450">
        <v>200</v>
      </c>
      <c r="K450" t="str">
        <f t="shared" ref="K450:K513" si="7">LEFT(A450,4)&amp;SUBSTITUTE(X450,".","")&amp;SUBSTITUTE(Y450,".","")</f>
        <v>harv225117</v>
      </c>
      <c r="M450" t="s">
        <v>11</v>
      </c>
      <c r="N450" t="s">
        <v>1600</v>
      </c>
      <c r="Q450" t="s">
        <v>11083</v>
      </c>
      <c r="U450">
        <v>26</v>
      </c>
      <c r="V450">
        <v>0</v>
      </c>
      <c r="W450">
        <v>60</v>
      </c>
      <c r="X450">
        <v>22.5</v>
      </c>
      <c r="Y450">
        <v>11.7</v>
      </c>
    </row>
    <row r="451" spans="1:25" x14ac:dyDescent="0.25">
      <c r="A451" t="s">
        <v>4294</v>
      </c>
      <c r="B451">
        <v>1056</v>
      </c>
      <c r="C451">
        <v>135</v>
      </c>
      <c r="D451" t="s">
        <v>23</v>
      </c>
      <c r="E451" t="s">
        <v>4093</v>
      </c>
      <c r="F451" t="s">
        <v>3559</v>
      </c>
      <c r="G451" t="s">
        <v>19</v>
      </c>
      <c r="H451">
        <v>1</v>
      </c>
      <c r="I451">
        <v>644</v>
      </c>
      <c r="J451">
        <v>669</v>
      </c>
      <c r="K451" t="str">
        <f t="shared" si="7"/>
        <v>harv358371</v>
      </c>
      <c r="M451" t="s">
        <v>73</v>
      </c>
      <c r="N451" t="s">
        <v>1606</v>
      </c>
      <c r="Q451" t="s">
        <v>11083</v>
      </c>
      <c r="U451">
        <v>26</v>
      </c>
      <c r="V451">
        <v>0</v>
      </c>
      <c r="W451">
        <v>75</v>
      </c>
      <c r="X451">
        <v>35.799999999999997</v>
      </c>
      <c r="Y451">
        <v>37.1</v>
      </c>
    </row>
    <row r="452" spans="1:25" x14ac:dyDescent="0.25">
      <c r="A452" t="s">
        <v>4295</v>
      </c>
      <c r="B452">
        <v>1057</v>
      </c>
      <c r="C452">
        <v>136</v>
      </c>
      <c r="D452" t="s">
        <v>23</v>
      </c>
      <c r="E452" t="s">
        <v>4093</v>
      </c>
      <c r="F452" t="s">
        <v>3559</v>
      </c>
      <c r="G452" t="s">
        <v>19</v>
      </c>
      <c r="H452">
        <v>1</v>
      </c>
      <c r="I452">
        <v>250</v>
      </c>
      <c r="J452">
        <v>103</v>
      </c>
      <c r="K452" t="str">
        <f t="shared" si="7"/>
        <v>harv13862</v>
      </c>
      <c r="M452" t="s">
        <v>73</v>
      </c>
      <c r="N452" t="s">
        <v>1772</v>
      </c>
      <c r="Q452" t="s">
        <v>11083</v>
      </c>
      <c r="U452">
        <v>26</v>
      </c>
      <c r="V452">
        <v>0</v>
      </c>
      <c r="W452">
        <v>60</v>
      </c>
      <c r="X452">
        <v>13.8</v>
      </c>
      <c r="Y452">
        <v>6.2</v>
      </c>
    </row>
    <row r="453" spans="1:25" x14ac:dyDescent="0.25">
      <c r="A453" t="s">
        <v>4296</v>
      </c>
      <c r="B453">
        <v>1058</v>
      </c>
      <c r="C453">
        <v>137</v>
      </c>
      <c r="D453" t="s">
        <v>23</v>
      </c>
      <c r="E453" t="s">
        <v>4093</v>
      </c>
      <c r="F453" t="s">
        <v>3559</v>
      </c>
      <c r="G453" t="s">
        <v>19</v>
      </c>
      <c r="H453">
        <v>1</v>
      </c>
      <c r="I453">
        <v>233</v>
      </c>
      <c r="J453">
        <v>217</v>
      </c>
      <c r="K453" t="str">
        <f t="shared" si="7"/>
        <v>harv127122</v>
      </c>
      <c r="M453" t="s">
        <v>73</v>
      </c>
      <c r="N453" t="s">
        <v>1772</v>
      </c>
      <c r="Q453" t="s">
        <v>11083</v>
      </c>
      <c r="U453">
        <v>26</v>
      </c>
      <c r="V453">
        <v>0</v>
      </c>
      <c r="W453">
        <v>65</v>
      </c>
      <c r="X453">
        <v>12.7</v>
      </c>
      <c r="Y453">
        <v>12.2</v>
      </c>
    </row>
    <row r="454" spans="1:25" x14ac:dyDescent="0.25">
      <c r="A454" t="s">
        <v>4297</v>
      </c>
      <c r="B454">
        <v>1059</v>
      </c>
      <c r="C454">
        <v>138</v>
      </c>
      <c r="D454" t="s">
        <v>23</v>
      </c>
      <c r="E454" t="s">
        <v>4093</v>
      </c>
      <c r="F454" t="s">
        <v>3559</v>
      </c>
      <c r="G454" t="s">
        <v>19</v>
      </c>
      <c r="H454">
        <v>1</v>
      </c>
      <c r="I454">
        <v>500</v>
      </c>
      <c r="J454">
        <v>591</v>
      </c>
      <c r="K454" t="str">
        <f t="shared" si="7"/>
        <v>harv265312</v>
      </c>
      <c r="M454" t="s">
        <v>73</v>
      </c>
      <c r="N454" t="s">
        <v>1811</v>
      </c>
      <c r="Q454" t="s">
        <v>11083</v>
      </c>
      <c r="U454">
        <v>26</v>
      </c>
      <c r="V454">
        <v>0</v>
      </c>
      <c r="W454">
        <v>70</v>
      </c>
      <c r="X454">
        <v>26.5</v>
      </c>
      <c r="Y454">
        <v>31.2</v>
      </c>
    </row>
    <row r="455" spans="1:25" x14ac:dyDescent="0.25">
      <c r="A455" t="s">
        <v>4298</v>
      </c>
      <c r="B455">
        <v>1060</v>
      </c>
      <c r="C455">
        <v>139</v>
      </c>
      <c r="D455" t="s">
        <v>23</v>
      </c>
      <c r="E455" t="s">
        <v>4093</v>
      </c>
      <c r="F455" t="s">
        <v>3559</v>
      </c>
      <c r="G455" t="s">
        <v>19</v>
      </c>
      <c r="H455">
        <v>1</v>
      </c>
      <c r="I455">
        <v>390</v>
      </c>
      <c r="J455">
        <v>444</v>
      </c>
      <c r="K455" t="str">
        <f t="shared" si="7"/>
        <v>harv207238</v>
      </c>
      <c r="M455" t="s">
        <v>133</v>
      </c>
      <c r="N455" t="s">
        <v>3512</v>
      </c>
      <c r="Q455" t="s">
        <v>11083</v>
      </c>
      <c r="U455">
        <v>26</v>
      </c>
      <c r="V455">
        <v>0</v>
      </c>
      <c r="W455">
        <v>90</v>
      </c>
      <c r="X455">
        <v>20.7</v>
      </c>
      <c r="Y455">
        <v>23.8</v>
      </c>
    </row>
    <row r="456" spans="1:25" x14ac:dyDescent="0.25">
      <c r="A456" t="s">
        <v>4299</v>
      </c>
      <c r="B456">
        <v>1061</v>
      </c>
      <c r="C456">
        <v>140</v>
      </c>
      <c r="D456" t="s">
        <v>23</v>
      </c>
      <c r="E456" t="s">
        <v>4093</v>
      </c>
      <c r="F456" t="s">
        <v>3559</v>
      </c>
      <c r="G456" t="s">
        <v>19</v>
      </c>
      <c r="H456">
        <v>1</v>
      </c>
      <c r="I456">
        <v>95</v>
      </c>
      <c r="J456">
        <v>527</v>
      </c>
      <c r="K456" t="str">
        <f t="shared" si="7"/>
        <v>harv5628</v>
      </c>
      <c r="M456" t="s">
        <v>215</v>
      </c>
      <c r="N456" t="s">
        <v>2639</v>
      </c>
      <c r="Q456" t="s">
        <v>11083</v>
      </c>
      <c r="U456">
        <v>26</v>
      </c>
      <c r="V456">
        <v>0</v>
      </c>
      <c r="W456">
        <v>95</v>
      </c>
      <c r="X456">
        <v>5.6</v>
      </c>
      <c r="Y456">
        <v>28</v>
      </c>
    </row>
    <row r="457" spans="1:25" x14ac:dyDescent="0.25">
      <c r="A457" t="s">
        <v>4300</v>
      </c>
      <c r="B457">
        <v>1062</v>
      </c>
      <c r="C457">
        <v>141</v>
      </c>
      <c r="D457" t="s">
        <v>23</v>
      </c>
      <c r="E457" t="s">
        <v>4093</v>
      </c>
      <c r="F457" t="s">
        <v>3559</v>
      </c>
      <c r="G457" t="s">
        <v>33</v>
      </c>
      <c r="H457">
        <v>1</v>
      </c>
      <c r="I457">
        <v>701</v>
      </c>
      <c r="J457">
        <v>321</v>
      </c>
      <c r="K457" t="str">
        <f t="shared" si="7"/>
        <v>harv367172</v>
      </c>
      <c r="M457" t="s">
        <v>73</v>
      </c>
      <c r="N457" t="s">
        <v>1901</v>
      </c>
      <c r="Q457" t="s">
        <v>11083</v>
      </c>
      <c r="U457">
        <v>26</v>
      </c>
      <c r="V457">
        <v>0</v>
      </c>
      <c r="W457">
        <v>60</v>
      </c>
      <c r="X457">
        <v>36.700000000000003</v>
      </c>
      <c r="Y457">
        <v>17.2</v>
      </c>
    </row>
    <row r="458" spans="1:25" x14ac:dyDescent="0.25">
      <c r="A458" t="s">
        <v>4301</v>
      </c>
      <c r="B458">
        <v>1063</v>
      </c>
      <c r="C458">
        <v>142</v>
      </c>
      <c r="D458" t="s">
        <v>23</v>
      </c>
      <c r="E458" t="s">
        <v>4093</v>
      </c>
      <c r="F458" t="s">
        <v>3559</v>
      </c>
      <c r="G458" t="s">
        <v>33</v>
      </c>
      <c r="H458">
        <v>1</v>
      </c>
      <c r="I458">
        <v>509</v>
      </c>
      <c r="J458">
        <v>402</v>
      </c>
      <c r="K458" t="str">
        <f t="shared" si="7"/>
        <v>harv271219</v>
      </c>
      <c r="M458" t="s">
        <v>73</v>
      </c>
      <c r="N458" t="s">
        <v>1891</v>
      </c>
      <c r="Q458" t="s">
        <v>11083</v>
      </c>
      <c r="U458">
        <v>26</v>
      </c>
      <c r="V458">
        <v>0</v>
      </c>
      <c r="W458">
        <v>65</v>
      </c>
      <c r="X458">
        <v>27.1</v>
      </c>
      <c r="Y458">
        <v>21.9</v>
      </c>
    </row>
    <row r="459" spans="1:25" x14ac:dyDescent="0.25">
      <c r="A459" t="s">
        <v>4302</v>
      </c>
      <c r="B459">
        <v>1064</v>
      </c>
      <c r="C459">
        <v>143</v>
      </c>
      <c r="D459" t="s">
        <v>23</v>
      </c>
      <c r="E459" t="s">
        <v>4093</v>
      </c>
      <c r="F459" t="s">
        <v>3559</v>
      </c>
      <c r="G459" t="s">
        <v>33</v>
      </c>
      <c r="H459">
        <v>1</v>
      </c>
      <c r="I459">
        <v>156</v>
      </c>
      <c r="J459">
        <v>115</v>
      </c>
      <c r="K459" t="str">
        <f t="shared" si="7"/>
        <v>harv97</v>
      </c>
      <c r="M459" t="s">
        <v>73</v>
      </c>
      <c r="N459" t="s">
        <v>1926</v>
      </c>
      <c r="Q459" t="s">
        <v>11083</v>
      </c>
      <c r="U459">
        <v>26</v>
      </c>
      <c r="V459">
        <v>0</v>
      </c>
      <c r="W459">
        <v>65</v>
      </c>
      <c r="X459">
        <v>9</v>
      </c>
      <c r="Y459">
        <v>7</v>
      </c>
    </row>
    <row r="460" spans="1:25" x14ac:dyDescent="0.25">
      <c r="A460" t="s">
        <v>4303</v>
      </c>
      <c r="B460">
        <v>1065</v>
      </c>
      <c r="C460">
        <v>144</v>
      </c>
      <c r="D460" t="s">
        <v>23</v>
      </c>
      <c r="E460" t="s">
        <v>4093</v>
      </c>
      <c r="F460" t="s">
        <v>3559</v>
      </c>
      <c r="G460" t="s">
        <v>33</v>
      </c>
      <c r="H460">
        <v>1</v>
      </c>
      <c r="I460">
        <v>235</v>
      </c>
      <c r="J460">
        <v>263</v>
      </c>
      <c r="K460" t="str">
        <f t="shared" si="7"/>
        <v>harv128143</v>
      </c>
      <c r="M460" t="s">
        <v>73</v>
      </c>
      <c r="N460" t="s">
        <v>1891</v>
      </c>
      <c r="Q460" t="s">
        <v>11083</v>
      </c>
      <c r="U460">
        <v>26</v>
      </c>
      <c r="V460">
        <v>0</v>
      </c>
      <c r="W460">
        <v>70</v>
      </c>
      <c r="X460">
        <v>12.8</v>
      </c>
      <c r="Y460">
        <v>14.3</v>
      </c>
    </row>
    <row r="461" spans="1:25" x14ac:dyDescent="0.25">
      <c r="A461" t="s">
        <v>4304</v>
      </c>
      <c r="B461">
        <v>1066</v>
      </c>
      <c r="C461">
        <v>145</v>
      </c>
      <c r="D461" t="s">
        <v>23</v>
      </c>
      <c r="E461" t="s">
        <v>4093</v>
      </c>
      <c r="F461" t="s">
        <v>3559</v>
      </c>
      <c r="G461" t="s">
        <v>33</v>
      </c>
      <c r="H461">
        <v>1</v>
      </c>
      <c r="I461">
        <v>570</v>
      </c>
      <c r="J461">
        <v>680</v>
      </c>
      <c r="K461" t="str">
        <f t="shared" si="7"/>
        <v>harv303366</v>
      </c>
      <c r="M461" t="s">
        <v>102</v>
      </c>
      <c r="N461" t="s">
        <v>2197</v>
      </c>
      <c r="Q461" t="s">
        <v>11083</v>
      </c>
      <c r="U461">
        <v>26</v>
      </c>
      <c r="V461">
        <v>0</v>
      </c>
      <c r="W461">
        <v>70</v>
      </c>
      <c r="X461">
        <v>30.3</v>
      </c>
      <c r="Y461">
        <v>36.6</v>
      </c>
    </row>
    <row r="462" spans="1:25" x14ac:dyDescent="0.25">
      <c r="A462" t="s">
        <v>4305</v>
      </c>
      <c r="B462">
        <v>1067</v>
      </c>
      <c r="C462">
        <v>146</v>
      </c>
      <c r="D462" t="s">
        <v>23</v>
      </c>
      <c r="E462" t="s">
        <v>4093</v>
      </c>
      <c r="F462" t="s">
        <v>3559</v>
      </c>
      <c r="G462" t="s">
        <v>33</v>
      </c>
      <c r="H462">
        <v>1</v>
      </c>
      <c r="I462">
        <v>231</v>
      </c>
      <c r="J462">
        <v>425</v>
      </c>
      <c r="K462" t="str">
        <f t="shared" si="7"/>
        <v>harv126228</v>
      </c>
      <c r="M462" t="s">
        <v>102</v>
      </c>
      <c r="N462" t="s">
        <v>2194</v>
      </c>
      <c r="Q462" t="s">
        <v>11083</v>
      </c>
      <c r="U462">
        <v>26</v>
      </c>
      <c r="V462">
        <v>0</v>
      </c>
      <c r="W462">
        <v>75</v>
      </c>
      <c r="X462">
        <v>12.6</v>
      </c>
      <c r="Y462">
        <v>22.8</v>
      </c>
    </row>
    <row r="463" spans="1:25" x14ac:dyDescent="0.25">
      <c r="A463" t="s">
        <v>4306</v>
      </c>
      <c r="B463">
        <v>1068</v>
      </c>
      <c r="C463">
        <v>147</v>
      </c>
      <c r="D463" t="s">
        <v>23</v>
      </c>
      <c r="E463" t="s">
        <v>4093</v>
      </c>
      <c r="F463" t="s">
        <v>3559</v>
      </c>
      <c r="G463" t="s">
        <v>33</v>
      </c>
      <c r="H463">
        <v>1</v>
      </c>
      <c r="I463">
        <v>309</v>
      </c>
      <c r="J463">
        <v>178</v>
      </c>
      <c r="K463" t="str">
        <f t="shared" si="7"/>
        <v>harv16810</v>
      </c>
      <c r="M463" t="s">
        <v>133</v>
      </c>
      <c r="N463" t="s">
        <v>2189</v>
      </c>
      <c r="Q463" t="s">
        <v>11083</v>
      </c>
      <c r="U463">
        <v>26</v>
      </c>
      <c r="V463">
        <v>0</v>
      </c>
      <c r="W463">
        <v>85</v>
      </c>
      <c r="X463">
        <v>16.8</v>
      </c>
      <c r="Y463">
        <v>10</v>
      </c>
    </row>
    <row r="464" spans="1:25" x14ac:dyDescent="0.25">
      <c r="A464" t="s">
        <v>4307</v>
      </c>
      <c r="B464">
        <v>1069</v>
      </c>
      <c r="C464">
        <v>148</v>
      </c>
      <c r="D464" t="s">
        <v>23</v>
      </c>
      <c r="E464" t="s">
        <v>4093</v>
      </c>
      <c r="F464" t="s">
        <v>3559</v>
      </c>
      <c r="G464" t="s">
        <v>33</v>
      </c>
      <c r="H464">
        <v>1</v>
      </c>
      <c r="I464">
        <v>264</v>
      </c>
      <c r="J464">
        <v>542</v>
      </c>
      <c r="K464" t="str">
        <f t="shared" si="7"/>
        <v>harv14129</v>
      </c>
      <c r="M464" t="s">
        <v>133</v>
      </c>
      <c r="N464" t="s">
        <v>2489</v>
      </c>
      <c r="Q464" t="s">
        <v>11083</v>
      </c>
      <c r="U464">
        <v>26</v>
      </c>
      <c r="V464">
        <v>0</v>
      </c>
      <c r="W464">
        <v>90</v>
      </c>
      <c r="X464">
        <v>14.1</v>
      </c>
      <c r="Y464">
        <v>29</v>
      </c>
    </row>
    <row r="465" spans="1:25" x14ac:dyDescent="0.25">
      <c r="A465" t="s">
        <v>4308</v>
      </c>
      <c r="B465">
        <v>1070</v>
      </c>
      <c r="C465">
        <v>149</v>
      </c>
      <c r="D465" t="s">
        <v>23</v>
      </c>
      <c r="E465" t="s">
        <v>4093</v>
      </c>
      <c r="F465" t="s">
        <v>3559</v>
      </c>
      <c r="G465" t="s">
        <v>33</v>
      </c>
      <c r="H465">
        <v>1</v>
      </c>
      <c r="I465">
        <v>359</v>
      </c>
      <c r="J465">
        <v>210</v>
      </c>
      <c r="K465" t="str">
        <f t="shared" si="7"/>
        <v>harv191117</v>
      </c>
      <c r="M465" t="s">
        <v>215</v>
      </c>
      <c r="N465" t="s">
        <v>2650</v>
      </c>
      <c r="Q465" t="s">
        <v>11083</v>
      </c>
      <c r="U465">
        <v>26</v>
      </c>
      <c r="V465">
        <v>0</v>
      </c>
      <c r="W465">
        <v>95</v>
      </c>
      <c r="X465">
        <v>19.100000000000001</v>
      </c>
      <c r="Y465">
        <v>11.7</v>
      </c>
    </row>
    <row r="466" spans="1:25" x14ac:dyDescent="0.25">
      <c r="A466" t="s">
        <v>4309</v>
      </c>
      <c r="B466">
        <v>1071</v>
      </c>
      <c r="C466">
        <v>150</v>
      </c>
      <c r="D466" t="s">
        <v>23</v>
      </c>
      <c r="E466" t="s">
        <v>4093</v>
      </c>
      <c r="F466" t="s">
        <v>3559</v>
      </c>
      <c r="G466" t="s">
        <v>33</v>
      </c>
      <c r="H466">
        <v>1</v>
      </c>
      <c r="I466">
        <v>651</v>
      </c>
      <c r="J466">
        <v>423</v>
      </c>
      <c r="K466" t="str">
        <f t="shared" si="7"/>
        <v>harv343227</v>
      </c>
      <c r="M466" t="s">
        <v>215</v>
      </c>
      <c r="N466" t="s">
        <v>2666</v>
      </c>
      <c r="Q466" t="s">
        <v>11083</v>
      </c>
      <c r="U466">
        <v>26</v>
      </c>
      <c r="V466">
        <v>0</v>
      </c>
      <c r="W466">
        <v>95</v>
      </c>
      <c r="X466">
        <v>34.299999999999997</v>
      </c>
      <c r="Y466">
        <v>22.7</v>
      </c>
    </row>
    <row r="467" spans="1:25" x14ac:dyDescent="0.25">
      <c r="A467" t="s">
        <v>4310</v>
      </c>
      <c r="B467">
        <v>1072</v>
      </c>
      <c r="C467">
        <v>151</v>
      </c>
      <c r="D467" t="s">
        <v>23</v>
      </c>
      <c r="E467" t="s">
        <v>4093</v>
      </c>
      <c r="F467" t="s">
        <v>3559</v>
      </c>
      <c r="G467" t="s">
        <v>33</v>
      </c>
      <c r="H467">
        <v>1</v>
      </c>
      <c r="I467">
        <v>525</v>
      </c>
      <c r="J467">
        <v>278</v>
      </c>
      <c r="K467" t="str">
        <f t="shared" si="7"/>
        <v>harv277154</v>
      </c>
      <c r="M467" t="s">
        <v>215</v>
      </c>
      <c r="N467" t="s">
        <v>2666</v>
      </c>
      <c r="Q467" t="s">
        <v>11083</v>
      </c>
      <c r="U467">
        <v>26</v>
      </c>
      <c r="V467">
        <v>0</v>
      </c>
      <c r="W467">
        <v>100</v>
      </c>
      <c r="X467">
        <v>27.7</v>
      </c>
      <c r="Y467">
        <v>15.4</v>
      </c>
    </row>
    <row r="468" spans="1:25" x14ac:dyDescent="0.25">
      <c r="A468" t="s">
        <v>4311</v>
      </c>
      <c r="B468">
        <v>1073</v>
      </c>
      <c r="C468">
        <v>152</v>
      </c>
      <c r="D468" t="s">
        <v>23</v>
      </c>
      <c r="E468" t="s">
        <v>4093</v>
      </c>
      <c r="F468" t="s">
        <v>3559</v>
      </c>
      <c r="G468" t="s">
        <v>33</v>
      </c>
      <c r="H468">
        <v>1</v>
      </c>
      <c r="I468">
        <v>544</v>
      </c>
      <c r="J468">
        <v>81</v>
      </c>
      <c r="K468" t="str">
        <f t="shared" si="7"/>
        <v>harv29151</v>
      </c>
      <c r="M468" t="s">
        <v>215</v>
      </c>
      <c r="N468" t="s">
        <v>2667</v>
      </c>
      <c r="Q468" t="s">
        <v>11083</v>
      </c>
      <c r="U468">
        <v>26</v>
      </c>
      <c r="V468">
        <v>0</v>
      </c>
      <c r="W468">
        <v>100</v>
      </c>
      <c r="X468">
        <v>29.1</v>
      </c>
      <c r="Y468">
        <v>5.0999999999999996</v>
      </c>
    </row>
    <row r="469" spans="1:25" x14ac:dyDescent="0.25">
      <c r="A469" t="s">
        <v>4312</v>
      </c>
      <c r="B469">
        <v>1074</v>
      </c>
      <c r="C469">
        <v>153</v>
      </c>
      <c r="D469" t="s">
        <v>23</v>
      </c>
      <c r="E469" t="s">
        <v>4093</v>
      </c>
      <c r="F469" t="s">
        <v>3559</v>
      </c>
      <c r="G469" t="s">
        <v>4313</v>
      </c>
      <c r="H469">
        <v>0</v>
      </c>
      <c r="I469">
        <v>438</v>
      </c>
      <c r="J469">
        <v>489</v>
      </c>
      <c r="K469" t="str">
        <f t="shared" si="7"/>
        <v>harv233261</v>
      </c>
      <c r="M469" t="s">
        <v>1067</v>
      </c>
      <c r="N469" t="s">
        <v>1321</v>
      </c>
      <c r="Q469" t="s">
        <v>11083</v>
      </c>
      <c r="U469">
        <v>27</v>
      </c>
      <c r="V469">
        <v>0</v>
      </c>
      <c r="W469">
        <v>30</v>
      </c>
      <c r="X469">
        <v>23.3</v>
      </c>
      <c r="Y469">
        <v>26.1</v>
      </c>
    </row>
    <row r="470" spans="1:25" x14ac:dyDescent="0.25">
      <c r="A470" t="s">
        <v>4314</v>
      </c>
      <c r="B470">
        <v>1075</v>
      </c>
      <c r="C470">
        <v>154</v>
      </c>
      <c r="D470" t="s">
        <v>23</v>
      </c>
      <c r="E470" t="s">
        <v>4093</v>
      </c>
      <c r="F470" t="s">
        <v>3559</v>
      </c>
      <c r="G470" t="s">
        <v>4315</v>
      </c>
      <c r="H470">
        <v>0</v>
      </c>
      <c r="I470">
        <v>438</v>
      </c>
      <c r="J470">
        <v>489</v>
      </c>
      <c r="K470" t="str">
        <f t="shared" si="7"/>
        <v>harv233261</v>
      </c>
      <c r="L470" t="s">
        <v>3620</v>
      </c>
      <c r="M470" t="s">
        <v>1067</v>
      </c>
      <c r="N470" t="s">
        <v>1321</v>
      </c>
      <c r="Q470" t="s">
        <v>11083</v>
      </c>
      <c r="U470">
        <v>27</v>
      </c>
      <c r="V470">
        <v>0</v>
      </c>
      <c r="W470">
        <v>30</v>
      </c>
      <c r="X470">
        <v>23.3</v>
      </c>
      <c r="Y470">
        <v>26.1</v>
      </c>
    </row>
    <row r="471" spans="1:25" x14ac:dyDescent="0.25">
      <c r="A471" t="s">
        <v>4316</v>
      </c>
      <c r="B471">
        <v>1076</v>
      </c>
      <c r="C471">
        <v>155</v>
      </c>
      <c r="D471" t="s">
        <v>23</v>
      </c>
      <c r="E471" t="s">
        <v>4093</v>
      </c>
      <c r="F471" t="s">
        <v>3559</v>
      </c>
      <c r="G471" t="s">
        <v>4317</v>
      </c>
      <c r="H471">
        <v>0</v>
      </c>
      <c r="I471">
        <v>438</v>
      </c>
      <c r="J471">
        <v>489</v>
      </c>
      <c r="K471" t="str">
        <f t="shared" si="7"/>
        <v>harv233261</v>
      </c>
      <c r="M471" t="s">
        <v>1067</v>
      </c>
      <c r="N471" t="s">
        <v>1321</v>
      </c>
      <c r="Q471" t="s">
        <v>11083</v>
      </c>
      <c r="U471">
        <v>28</v>
      </c>
      <c r="V471">
        <v>0</v>
      </c>
      <c r="W471">
        <v>30</v>
      </c>
      <c r="X471">
        <v>23.3</v>
      </c>
      <c r="Y471">
        <v>26.1</v>
      </c>
    </row>
    <row r="472" spans="1:25" x14ac:dyDescent="0.25">
      <c r="A472" t="s">
        <v>4318</v>
      </c>
      <c r="B472">
        <v>1077</v>
      </c>
      <c r="C472">
        <v>156</v>
      </c>
      <c r="D472" t="s">
        <v>23</v>
      </c>
      <c r="E472" t="s">
        <v>4093</v>
      </c>
      <c r="F472" t="s">
        <v>3559</v>
      </c>
      <c r="G472" t="s">
        <v>4319</v>
      </c>
      <c r="H472">
        <v>0</v>
      </c>
      <c r="I472">
        <v>438</v>
      </c>
      <c r="J472">
        <v>489</v>
      </c>
      <c r="K472" t="str">
        <f t="shared" si="7"/>
        <v>harv233261</v>
      </c>
      <c r="L472" t="s">
        <v>3620</v>
      </c>
      <c r="M472" t="s">
        <v>1067</v>
      </c>
      <c r="N472" t="s">
        <v>1321</v>
      </c>
      <c r="Q472" t="s">
        <v>11083</v>
      </c>
      <c r="U472">
        <v>28</v>
      </c>
      <c r="V472">
        <v>0</v>
      </c>
      <c r="W472">
        <v>30</v>
      </c>
      <c r="X472">
        <v>23.3</v>
      </c>
      <c r="Y472">
        <v>26.1</v>
      </c>
    </row>
    <row r="473" spans="1:25" x14ac:dyDescent="0.25">
      <c r="A473" t="s">
        <v>4320</v>
      </c>
      <c r="B473">
        <v>1078</v>
      </c>
      <c r="C473">
        <v>157</v>
      </c>
      <c r="D473" t="s">
        <v>23</v>
      </c>
      <c r="E473" t="s">
        <v>4093</v>
      </c>
      <c r="F473" t="s">
        <v>3559</v>
      </c>
      <c r="G473" t="s">
        <v>4321</v>
      </c>
      <c r="H473">
        <v>0</v>
      </c>
      <c r="I473">
        <v>438</v>
      </c>
      <c r="J473">
        <v>489</v>
      </c>
      <c r="K473" t="str">
        <f t="shared" si="7"/>
        <v>harv233261</v>
      </c>
      <c r="M473" t="s">
        <v>1067</v>
      </c>
      <c r="N473" t="s">
        <v>1321</v>
      </c>
      <c r="Q473" t="s">
        <v>11083</v>
      </c>
      <c r="U473">
        <v>30</v>
      </c>
      <c r="V473">
        <v>0</v>
      </c>
      <c r="W473">
        <v>30</v>
      </c>
      <c r="X473">
        <v>23.3</v>
      </c>
      <c r="Y473">
        <v>26.1</v>
      </c>
    </row>
    <row r="474" spans="1:25" x14ac:dyDescent="0.25">
      <c r="A474" t="s">
        <v>4322</v>
      </c>
      <c r="B474">
        <v>1079</v>
      </c>
      <c r="C474">
        <v>158</v>
      </c>
      <c r="D474" t="s">
        <v>23</v>
      </c>
      <c r="E474" t="s">
        <v>4093</v>
      </c>
      <c r="F474" t="s">
        <v>3559</v>
      </c>
      <c r="G474" t="s">
        <v>4323</v>
      </c>
      <c r="H474">
        <v>0</v>
      </c>
      <c r="I474">
        <v>324</v>
      </c>
      <c r="J474">
        <v>543</v>
      </c>
      <c r="K474" t="str">
        <f t="shared" si="7"/>
        <v>harv174286</v>
      </c>
      <c r="M474" t="s">
        <v>1067</v>
      </c>
      <c r="N474" t="s">
        <v>1298</v>
      </c>
      <c r="Q474" t="s">
        <v>11083</v>
      </c>
      <c r="U474">
        <v>31</v>
      </c>
      <c r="V474">
        <v>0</v>
      </c>
      <c r="W474">
        <v>35</v>
      </c>
      <c r="X474">
        <v>17.399999999999999</v>
      </c>
      <c r="Y474">
        <v>28.6</v>
      </c>
    </row>
    <row r="475" spans="1:25" x14ac:dyDescent="0.25">
      <c r="A475" t="s">
        <v>4324</v>
      </c>
      <c r="B475">
        <v>1080</v>
      </c>
      <c r="C475">
        <v>159</v>
      </c>
      <c r="D475" t="s">
        <v>23</v>
      </c>
      <c r="E475" t="s">
        <v>4093</v>
      </c>
      <c r="F475" t="s">
        <v>3559</v>
      </c>
      <c r="G475" t="s">
        <v>4325</v>
      </c>
      <c r="H475">
        <v>0</v>
      </c>
      <c r="I475">
        <v>384</v>
      </c>
      <c r="J475">
        <v>149</v>
      </c>
      <c r="K475" t="str">
        <f t="shared" si="7"/>
        <v>harv20486</v>
      </c>
      <c r="L475" t="s">
        <v>3620</v>
      </c>
      <c r="M475" t="s">
        <v>1067</v>
      </c>
      <c r="N475" t="s">
        <v>1471</v>
      </c>
      <c r="Q475" t="s">
        <v>11083</v>
      </c>
      <c r="U475">
        <v>31</v>
      </c>
      <c r="V475">
        <v>0</v>
      </c>
      <c r="W475">
        <v>35</v>
      </c>
      <c r="X475">
        <v>20.399999999999999</v>
      </c>
      <c r="Y475">
        <v>8.6</v>
      </c>
    </row>
    <row r="476" spans="1:25" x14ac:dyDescent="0.25">
      <c r="A476" t="s">
        <v>4326</v>
      </c>
      <c r="B476">
        <v>1081</v>
      </c>
      <c r="C476">
        <v>160</v>
      </c>
      <c r="D476" t="s">
        <v>23</v>
      </c>
      <c r="E476" t="s">
        <v>4093</v>
      </c>
      <c r="F476" t="s">
        <v>3559</v>
      </c>
      <c r="G476" t="s">
        <v>4327</v>
      </c>
      <c r="H476">
        <v>0</v>
      </c>
      <c r="I476">
        <v>324</v>
      </c>
      <c r="J476">
        <v>543</v>
      </c>
      <c r="K476" t="str">
        <f t="shared" si="7"/>
        <v>harv174286</v>
      </c>
      <c r="L476" t="s">
        <v>3620</v>
      </c>
      <c r="M476" t="s">
        <v>1067</v>
      </c>
      <c r="N476" t="s">
        <v>1298</v>
      </c>
      <c r="Q476" t="s">
        <v>11083</v>
      </c>
      <c r="U476">
        <v>31</v>
      </c>
      <c r="V476">
        <v>0</v>
      </c>
      <c r="W476">
        <v>35</v>
      </c>
      <c r="X476">
        <v>17.399999999999999</v>
      </c>
      <c r="Y476">
        <v>28.6</v>
      </c>
    </row>
    <row r="477" spans="1:25" x14ac:dyDescent="0.25">
      <c r="A477" t="s">
        <v>4328</v>
      </c>
      <c r="B477">
        <v>1082</v>
      </c>
      <c r="C477">
        <v>161</v>
      </c>
      <c r="D477" t="s">
        <v>23</v>
      </c>
      <c r="E477" t="s">
        <v>4093</v>
      </c>
      <c r="F477" t="s">
        <v>3559</v>
      </c>
      <c r="G477" t="s">
        <v>4329</v>
      </c>
      <c r="H477">
        <v>0</v>
      </c>
      <c r="I477">
        <v>384</v>
      </c>
      <c r="J477">
        <v>149</v>
      </c>
      <c r="K477" t="str">
        <f t="shared" si="7"/>
        <v>harv20486</v>
      </c>
      <c r="M477" t="s">
        <v>1067</v>
      </c>
      <c r="N477" t="s">
        <v>1471</v>
      </c>
      <c r="Q477" t="s">
        <v>11083</v>
      </c>
      <c r="U477">
        <v>32</v>
      </c>
      <c r="V477">
        <v>0</v>
      </c>
      <c r="W477">
        <v>35</v>
      </c>
      <c r="X477">
        <v>20.399999999999999</v>
      </c>
      <c r="Y477">
        <v>8.6</v>
      </c>
    </row>
    <row r="478" spans="1:25" x14ac:dyDescent="0.25">
      <c r="A478" t="s">
        <v>4330</v>
      </c>
      <c r="B478">
        <v>1083</v>
      </c>
      <c r="C478">
        <v>162</v>
      </c>
      <c r="D478" t="s">
        <v>23</v>
      </c>
      <c r="E478" t="s">
        <v>4093</v>
      </c>
      <c r="F478" t="s">
        <v>3559</v>
      </c>
      <c r="G478" t="s">
        <v>4331</v>
      </c>
      <c r="H478">
        <v>0</v>
      </c>
      <c r="I478">
        <v>500</v>
      </c>
      <c r="J478">
        <v>565</v>
      </c>
      <c r="K478" t="str">
        <f t="shared" si="7"/>
        <v>harv26530</v>
      </c>
      <c r="M478" t="s">
        <v>1067</v>
      </c>
      <c r="N478" t="s">
        <v>1144</v>
      </c>
      <c r="Q478" t="s">
        <v>11083</v>
      </c>
      <c r="U478">
        <v>32</v>
      </c>
      <c r="V478">
        <v>0</v>
      </c>
      <c r="W478">
        <v>35</v>
      </c>
      <c r="X478">
        <v>26.5</v>
      </c>
      <c r="Y478">
        <v>30</v>
      </c>
    </row>
    <row r="479" spans="1:25" x14ac:dyDescent="0.25">
      <c r="A479" t="s">
        <v>4332</v>
      </c>
      <c r="B479">
        <v>1084</v>
      </c>
      <c r="C479">
        <v>163</v>
      </c>
      <c r="D479" t="s">
        <v>23</v>
      </c>
      <c r="E479" t="s">
        <v>4093</v>
      </c>
      <c r="F479" t="s">
        <v>3559</v>
      </c>
      <c r="G479" t="s">
        <v>4333</v>
      </c>
      <c r="H479">
        <v>0</v>
      </c>
      <c r="I479">
        <v>500</v>
      </c>
      <c r="J479">
        <v>565</v>
      </c>
      <c r="K479" t="str">
        <f t="shared" si="7"/>
        <v>harv26530</v>
      </c>
      <c r="L479" t="s">
        <v>3620</v>
      </c>
      <c r="M479" t="s">
        <v>1067</v>
      </c>
      <c r="N479" t="s">
        <v>1144</v>
      </c>
      <c r="Q479" t="s">
        <v>11083</v>
      </c>
      <c r="U479">
        <v>32</v>
      </c>
      <c r="V479">
        <v>0</v>
      </c>
      <c r="W479">
        <v>35</v>
      </c>
      <c r="X479">
        <v>26.5</v>
      </c>
      <c r="Y479">
        <v>30</v>
      </c>
    </row>
    <row r="480" spans="1:25" x14ac:dyDescent="0.25">
      <c r="A480" t="s">
        <v>4334</v>
      </c>
      <c r="B480">
        <v>1085</v>
      </c>
      <c r="C480">
        <v>164</v>
      </c>
      <c r="D480" t="s">
        <v>23</v>
      </c>
      <c r="E480" t="s">
        <v>4093</v>
      </c>
      <c r="F480" t="s">
        <v>3559</v>
      </c>
      <c r="G480" t="s">
        <v>4335</v>
      </c>
      <c r="H480">
        <v>0</v>
      </c>
      <c r="I480">
        <v>324</v>
      </c>
      <c r="J480">
        <v>543</v>
      </c>
      <c r="K480" t="str">
        <f t="shared" si="7"/>
        <v>harv174286</v>
      </c>
      <c r="M480" t="s">
        <v>1067</v>
      </c>
      <c r="N480" t="s">
        <v>1298</v>
      </c>
      <c r="Q480" t="s">
        <v>11083</v>
      </c>
      <c r="U480">
        <v>33</v>
      </c>
      <c r="V480">
        <v>0</v>
      </c>
      <c r="W480">
        <v>35</v>
      </c>
      <c r="X480">
        <v>17.399999999999999</v>
      </c>
      <c r="Y480">
        <v>28.6</v>
      </c>
    </row>
    <row r="481" spans="1:25" x14ac:dyDescent="0.25">
      <c r="A481" t="s">
        <v>4336</v>
      </c>
      <c r="B481">
        <v>1086</v>
      </c>
      <c r="C481">
        <v>165</v>
      </c>
      <c r="D481" t="s">
        <v>23</v>
      </c>
      <c r="E481" t="s">
        <v>4093</v>
      </c>
      <c r="F481" t="s">
        <v>3559</v>
      </c>
      <c r="G481" t="s">
        <v>4337</v>
      </c>
      <c r="H481">
        <v>0</v>
      </c>
      <c r="I481">
        <v>384</v>
      </c>
      <c r="J481">
        <v>149</v>
      </c>
      <c r="K481" t="str">
        <f t="shared" si="7"/>
        <v>harv20486</v>
      </c>
      <c r="M481" t="s">
        <v>1067</v>
      </c>
      <c r="N481" t="s">
        <v>1471</v>
      </c>
      <c r="Q481" t="s">
        <v>11083</v>
      </c>
      <c r="U481">
        <v>33</v>
      </c>
      <c r="V481">
        <v>0</v>
      </c>
      <c r="W481">
        <v>35</v>
      </c>
      <c r="X481">
        <v>20.399999999999999</v>
      </c>
      <c r="Y481">
        <v>8.6</v>
      </c>
    </row>
    <row r="482" spans="1:25" x14ac:dyDescent="0.25">
      <c r="A482" t="s">
        <v>4338</v>
      </c>
      <c r="B482">
        <v>1087</v>
      </c>
      <c r="C482">
        <v>166</v>
      </c>
      <c r="D482" t="s">
        <v>23</v>
      </c>
      <c r="E482" t="s">
        <v>4093</v>
      </c>
      <c r="F482" t="s">
        <v>3559</v>
      </c>
      <c r="G482" t="s">
        <v>4339</v>
      </c>
      <c r="H482">
        <v>0</v>
      </c>
      <c r="I482">
        <v>500</v>
      </c>
      <c r="J482">
        <v>565</v>
      </c>
      <c r="K482" t="str">
        <f t="shared" si="7"/>
        <v>harv26530</v>
      </c>
      <c r="M482" t="s">
        <v>1067</v>
      </c>
      <c r="N482" t="s">
        <v>1144</v>
      </c>
      <c r="Q482" t="s">
        <v>11083</v>
      </c>
      <c r="U482">
        <v>33</v>
      </c>
      <c r="V482">
        <v>0</v>
      </c>
      <c r="W482">
        <v>35</v>
      </c>
      <c r="X482">
        <v>26.5</v>
      </c>
      <c r="Y482">
        <v>30</v>
      </c>
    </row>
    <row r="483" spans="1:25" x14ac:dyDescent="0.25">
      <c r="A483" t="s">
        <v>4340</v>
      </c>
      <c r="B483">
        <v>1088</v>
      </c>
      <c r="C483">
        <v>167</v>
      </c>
      <c r="D483" t="s">
        <v>23</v>
      </c>
      <c r="E483" t="s">
        <v>4093</v>
      </c>
      <c r="F483" t="s">
        <v>3559</v>
      </c>
      <c r="G483" t="s">
        <v>4341</v>
      </c>
      <c r="H483">
        <v>0</v>
      </c>
      <c r="I483">
        <v>500</v>
      </c>
      <c r="J483">
        <v>565</v>
      </c>
      <c r="K483" t="str">
        <f t="shared" si="7"/>
        <v>harv26530</v>
      </c>
      <c r="L483" t="s">
        <v>3620</v>
      </c>
      <c r="M483" t="s">
        <v>1067</v>
      </c>
      <c r="N483" t="s">
        <v>1144</v>
      </c>
      <c r="Q483" t="s">
        <v>11083</v>
      </c>
      <c r="U483">
        <v>33</v>
      </c>
      <c r="V483">
        <v>0</v>
      </c>
      <c r="W483">
        <v>35</v>
      </c>
      <c r="X483">
        <v>26.5</v>
      </c>
      <c r="Y483">
        <v>30</v>
      </c>
    </row>
    <row r="484" spans="1:25" x14ac:dyDescent="0.25">
      <c r="A484" t="s">
        <v>4342</v>
      </c>
      <c r="B484">
        <v>1089</v>
      </c>
      <c r="C484">
        <v>168</v>
      </c>
      <c r="D484" t="s">
        <v>23</v>
      </c>
      <c r="E484" t="s">
        <v>4093</v>
      </c>
      <c r="F484" t="s">
        <v>3559</v>
      </c>
      <c r="G484" t="s">
        <v>4343</v>
      </c>
      <c r="H484">
        <v>0</v>
      </c>
      <c r="I484">
        <v>500</v>
      </c>
      <c r="J484">
        <v>565</v>
      </c>
      <c r="K484" t="str">
        <f t="shared" si="7"/>
        <v>harv26530</v>
      </c>
      <c r="M484" t="s">
        <v>1067</v>
      </c>
      <c r="N484" t="s">
        <v>1144</v>
      </c>
      <c r="Q484" t="s">
        <v>11083</v>
      </c>
      <c r="U484">
        <v>34</v>
      </c>
      <c r="V484">
        <v>0</v>
      </c>
      <c r="W484">
        <v>35</v>
      </c>
      <c r="X484">
        <v>26.5</v>
      </c>
      <c r="Y484">
        <v>30</v>
      </c>
    </row>
    <row r="485" spans="1:25" x14ac:dyDescent="0.25">
      <c r="A485" t="s">
        <v>4344</v>
      </c>
      <c r="B485">
        <v>1090</v>
      </c>
      <c r="C485">
        <v>169</v>
      </c>
      <c r="D485" t="s">
        <v>23</v>
      </c>
      <c r="E485" t="s">
        <v>4093</v>
      </c>
      <c r="F485" t="s">
        <v>3559</v>
      </c>
      <c r="G485" t="s">
        <v>4345</v>
      </c>
      <c r="H485">
        <v>0</v>
      </c>
      <c r="I485">
        <v>384</v>
      </c>
      <c r="J485">
        <v>149</v>
      </c>
      <c r="K485" t="str">
        <f t="shared" si="7"/>
        <v>harv20486</v>
      </c>
      <c r="M485" t="s">
        <v>1067</v>
      </c>
      <c r="N485" t="s">
        <v>1471</v>
      </c>
      <c r="Q485" t="s">
        <v>11083</v>
      </c>
      <c r="U485">
        <v>34</v>
      </c>
      <c r="V485">
        <v>0</v>
      </c>
      <c r="W485">
        <v>35</v>
      </c>
      <c r="X485">
        <v>20.399999999999999</v>
      </c>
      <c r="Y485">
        <v>8.6</v>
      </c>
    </row>
    <row r="486" spans="1:25" x14ac:dyDescent="0.25">
      <c r="A486" t="s">
        <v>4346</v>
      </c>
      <c r="B486">
        <v>1091</v>
      </c>
      <c r="C486">
        <v>170</v>
      </c>
      <c r="D486" t="s">
        <v>23</v>
      </c>
      <c r="E486" t="s">
        <v>4093</v>
      </c>
      <c r="F486" t="s">
        <v>3559</v>
      </c>
      <c r="G486" t="s">
        <v>4347</v>
      </c>
      <c r="H486">
        <v>0</v>
      </c>
      <c r="I486">
        <v>324</v>
      </c>
      <c r="J486">
        <v>543</v>
      </c>
      <c r="K486" t="str">
        <f t="shared" si="7"/>
        <v>harv174286</v>
      </c>
      <c r="M486" t="s">
        <v>1067</v>
      </c>
      <c r="N486" t="s">
        <v>1298</v>
      </c>
      <c r="Q486" t="s">
        <v>11083</v>
      </c>
      <c r="U486">
        <v>34</v>
      </c>
      <c r="V486">
        <v>0</v>
      </c>
      <c r="W486">
        <v>35</v>
      </c>
      <c r="X486">
        <v>17.399999999999999</v>
      </c>
      <c r="Y486">
        <v>28.6</v>
      </c>
    </row>
    <row r="487" spans="1:25" x14ac:dyDescent="0.25">
      <c r="A487" t="s">
        <v>4348</v>
      </c>
      <c r="B487">
        <v>1092</v>
      </c>
      <c r="C487">
        <v>171</v>
      </c>
      <c r="D487" t="s">
        <v>23</v>
      </c>
      <c r="E487" t="s">
        <v>4093</v>
      </c>
      <c r="F487" t="s">
        <v>3559</v>
      </c>
      <c r="G487" t="s">
        <v>4349</v>
      </c>
      <c r="H487">
        <v>0</v>
      </c>
      <c r="I487">
        <v>500</v>
      </c>
      <c r="J487">
        <v>565</v>
      </c>
      <c r="K487" t="str">
        <f t="shared" si="7"/>
        <v>harv26530</v>
      </c>
      <c r="M487" t="s">
        <v>1067</v>
      </c>
      <c r="N487" t="s">
        <v>1144</v>
      </c>
      <c r="Q487" t="s">
        <v>11083</v>
      </c>
      <c r="U487">
        <v>35</v>
      </c>
      <c r="V487">
        <v>0</v>
      </c>
      <c r="W487">
        <v>35</v>
      </c>
      <c r="X487">
        <v>26.5</v>
      </c>
      <c r="Y487">
        <v>30</v>
      </c>
    </row>
    <row r="488" spans="1:25" x14ac:dyDescent="0.25">
      <c r="A488" t="s">
        <v>4350</v>
      </c>
      <c r="B488">
        <v>1093</v>
      </c>
      <c r="C488">
        <v>172</v>
      </c>
      <c r="D488" t="s">
        <v>23</v>
      </c>
      <c r="E488" t="s">
        <v>4093</v>
      </c>
      <c r="F488" t="s">
        <v>3559</v>
      </c>
      <c r="G488" t="s">
        <v>4351</v>
      </c>
      <c r="H488">
        <v>0</v>
      </c>
      <c r="I488">
        <v>384</v>
      </c>
      <c r="J488">
        <v>149</v>
      </c>
      <c r="K488" t="str">
        <f t="shared" si="7"/>
        <v>harv20486</v>
      </c>
      <c r="M488" t="s">
        <v>1067</v>
      </c>
      <c r="N488" t="s">
        <v>1471</v>
      </c>
      <c r="Q488" t="s">
        <v>11083</v>
      </c>
      <c r="U488">
        <v>35</v>
      </c>
      <c r="V488">
        <v>0</v>
      </c>
      <c r="W488">
        <v>35</v>
      </c>
      <c r="X488">
        <v>20.399999999999999</v>
      </c>
      <c r="Y488">
        <v>8.6</v>
      </c>
    </row>
    <row r="489" spans="1:25" x14ac:dyDescent="0.25">
      <c r="A489" t="s">
        <v>4352</v>
      </c>
      <c r="B489">
        <v>1094</v>
      </c>
      <c r="C489">
        <v>173</v>
      </c>
      <c r="D489" t="s">
        <v>23</v>
      </c>
      <c r="E489" t="s">
        <v>4093</v>
      </c>
      <c r="F489" t="s">
        <v>3559</v>
      </c>
      <c r="G489" t="s">
        <v>4353</v>
      </c>
      <c r="H489">
        <v>0</v>
      </c>
      <c r="I489">
        <v>402</v>
      </c>
      <c r="J489">
        <v>540</v>
      </c>
      <c r="K489" t="str">
        <f t="shared" si="7"/>
        <v>harv214286</v>
      </c>
      <c r="M489" t="s">
        <v>1067</v>
      </c>
      <c r="N489" t="s">
        <v>1298</v>
      </c>
      <c r="Q489" t="s">
        <v>11083</v>
      </c>
      <c r="U489">
        <v>36</v>
      </c>
      <c r="V489">
        <v>0</v>
      </c>
      <c r="W489">
        <v>40</v>
      </c>
      <c r="X489">
        <v>21.4</v>
      </c>
      <c r="Y489">
        <v>28.6</v>
      </c>
    </row>
    <row r="490" spans="1:25" x14ac:dyDescent="0.25">
      <c r="A490" t="s">
        <v>4354</v>
      </c>
      <c r="B490">
        <v>1095</v>
      </c>
      <c r="C490">
        <v>174</v>
      </c>
      <c r="D490" t="s">
        <v>23</v>
      </c>
      <c r="E490" t="s">
        <v>4093</v>
      </c>
      <c r="F490" t="s">
        <v>3559</v>
      </c>
      <c r="G490" t="s">
        <v>4355</v>
      </c>
      <c r="H490">
        <v>0</v>
      </c>
      <c r="I490">
        <v>402</v>
      </c>
      <c r="J490">
        <v>540</v>
      </c>
      <c r="K490" t="str">
        <f t="shared" si="7"/>
        <v>harv214286</v>
      </c>
      <c r="L490" t="s">
        <v>3620</v>
      </c>
      <c r="M490" t="s">
        <v>1067</v>
      </c>
      <c r="N490" t="s">
        <v>1298</v>
      </c>
      <c r="Q490" t="s">
        <v>11083</v>
      </c>
      <c r="U490">
        <v>36</v>
      </c>
      <c r="V490">
        <v>0</v>
      </c>
      <c r="W490">
        <v>40</v>
      </c>
      <c r="X490">
        <v>21.4</v>
      </c>
      <c r="Y490">
        <v>28.6</v>
      </c>
    </row>
    <row r="491" spans="1:25" x14ac:dyDescent="0.25">
      <c r="A491" t="s">
        <v>4356</v>
      </c>
      <c r="B491">
        <v>1096</v>
      </c>
      <c r="C491">
        <v>175</v>
      </c>
      <c r="D491" t="s">
        <v>23</v>
      </c>
      <c r="E491" t="s">
        <v>4093</v>
      </c>
      <c r="F491" t="s">
        <v>3559</v>
      </c>
      <c r="G491" t="s">
        <v>4357</v>
      </c>
      <c r="H491">
        <v>0</v>
      </c>
      <c r="I491">
        <v>394</v>
      </c>
      <c r="J491">
        <v>549</v>
      </c>
      <c r="K491" t="str">
        <f t="shared" si="7"/>
        <v>harv2129</v>
      </c>
      <c r="M491" t="s">
        <v>1067</v>
      </c>
      <c r="N491" t="s">
        <v>1153</v>
      </c>
      <c r="Q491" t="s">
        <v>11083</v>
      </c>
      <c r="U491">
        <v>37</v>
      </c>
      <c r="V491">
        <v>0</v>
      </c>
      <c r="W491">
        <v>40</v>
      </c>
      <c r="X491">
        <v>21</v>
      </c>
      <c r="Y491">
        <v>29</v>
      </c>
    </row>
    <row r="492" spans="1:25" x14ac:dyDescent="0.25">
      <c r="A492" t="s">
        <v>4358</v>
      </c>
      <c r="B492">
        <v>1097</v>
      </c>
      <c r="C492">
        <v>176</v>
      </c>
      <c r="D492" t="s">
        <v>23</v>
      </c>
      <c r="E492" t="s">
        <v>4093</v>
      </c>
      <c r="F492" t="s">
        <v>3559</v>
      </c>
      <c r="G492" t="s">
        <v>4359</v>
      </c>
      <c r="H492">
        <v>0</v>
      </c>
      <c r="I492">
        <v>394</v>
      </c>
      <c r="J492">
        <v>549</v>
      </c>
      <c r="K492" t="str">
        <f t="shared" si="7"/>
        <v>harv2129</v>
      </c>
      <c r="M492" t="s">
        <v>1067</v>
      </c>
      <c r="N492" t="s">
        <v>1153</v>
      </c>
      <c r="Q492" t="s">
        <v>11083</v>
      </c>
      <c r="U492">
        <v>38</v>
      </c>
      <c r="V492">
        <v>0</v>
      </c>
      <c r="W492">
        <v>40</v>
      </c>
      <c r="X492">
        <v>21</v>
      </c>
      <c r="Y492">
        <v>29</v>
      </c>
    </row>
    <row r="493" spans="1:25" x14ac:dyDescent="0.25">
      <c r="A493" t="s">
        <v>4360</v>
      </c>
      <c r="B493">
        <v>1098</v>
      </c>
      <c r="C493">
        <v>177</v>
      </c>
      <c r="D493" t="s">
        <v>23</v>
      </c>
      <c r="E493" t="s">
        <v>4093</v>
      </c>
      <c r="F493" t="s">
        <v>3559</v>
      </c>
      <c r="G493" t="s">
        <v>4361</v>
      </c>
      <c r="H493">
        <v>0</v>
      </c>
      <c r="I493">
        <v>394</v>
      </c>
      <c r="J493">
        <v>549</v>
      </c>
      <c r="K493" t="str">
        <f t="shared" si="7"/>
        <v>harv2129</v>
      </c>
      <c r="M493" t="s">
        <v>1067</v>
      </c>
      <c r="N493" t="s">
        <v>1153</v>
      </c>
      <c r="Q493" t="s">
        <v>11083</v>
      </c>
      <c r="U493">
        <v>39</v>
      </c>
      <c r="V493">
        <v>0</v>
      </c>
      <c r="W493">
        <v>40</v>
      </c>
      <c r="X493">
        <v>21</v>
      </c>
      <c r="Y493">
        <v>29</v>
      </c>
    </row>
    <row r="494" spans="1:25" x14ac:dyDescent="0.25">
      <c r="A494" t="s">
        <v>4362</v>
      </c>
      <c r="B494">
        <v>1099</v>
      </c>
      <c r="C494">
        <v>178</v>
      </c>
      <c r="D494" t="s">
        <v>23</v>
      </c>
      <c r="E494" t="s">
        <v>4093</v>
      </c>
      <c r="F494" t="s">
        <v>3559</v>
      </c>
      <c r="G494" t="s">
        <v>4363</v>
      </c>
      <c r="H494">
        <v>0</v>
      </c>
      <c r="I494">
        <v>402</v>
      </c>
      <c r="J494">
        <v>540</v>
      </c>
      <c r="K494" t="str">
        <f t="shared" si="7"/>
        <v>harv214286</v>
      </c>
      <c r="M494" t="s">
        <v>1067</v>
      </c>
      <c r="N494" t="s">
        <v>1298</v>
      </c>
      <c r="Q494" t="s">
        <v>11083</v>
      </c>
      <c r="U494">
        <v>39</v>
      </c>
      <c r="V494">
        <v>0</v>
      </c>
      <c r="W494">
        <v>40</v>
      </c>
      <c r="X494">
        <v>21.4</v>
      </c>
      <c r="Y494">
        <v>28.6</v>
      </c>
    </row>
    <row r="495" spans="1:25" x14ac:dyDescent="0.25">
      <c r="A495" t="s">
        <v>4364</v>
      </c>
      <c r="B495">
        <v>1100</v>
      </c>
      <c r="C495">
        <v>179</v>
      </c>
      <c r="D495" t="s">
        <v>23</v>
      </c>
      <c r="E495" t="s">
        <v>4093</v>
      </c>
      <c r="F495" t="s">
        <v>3559</v>
      </c>
      <c r="G495" t="s">
        <v>4365</v>
      </c>
      <c r="H495">
        <v>0</v>
      </c>
      <c r="I495">
        <v>653</v>
      </c>
      <c r="J495">
        <v>468</v>
      </c>
      <c r="K495" t="str">
        <f t="shared" si="7"/>
        <v>harv345247</v>
      </c>
      <c r="M495" t="s">
        <v>1067</v>
      </c>
      <c r="N495" t="s">
        <v>1195</v>
      </c>
      <c r="Q495" t="s">
        <v>11083</v>
      </c>
      <c r="U495">
        <v>41</v>
      </c>
      <c r="V495">
        <v>0</v>
      </c>
      <c r="W495">
        <v>45</v>
      </c>
      <c r="X495">
        <v>34.5</v>
      </c>
      <c r="Y495">
        <v>24.7</v>
      </c>
    </row>
    <row r="496" spans="1:25" x14ac:dyDescent="0.25">
      <c r="A496" t="s">
        <v>4366</v>
      </c>
      <c r="B496">
        <v>1101</v>
      </c>
      <c r="C496">
        <v>180</v>
      </c>
      <c r="D496" t="s">
        <v>23</v>
      </c>
      <c r="E496" t="s">
        <v>4093</v>
      </c>
      <c r="F496" t="s">
        <v>3559</v>
      </c>
      <c r="G496" t="s">
        <v>4367</v>
      </c>
      <c r="H496">
        <v>0</v>
      </c>
      <c r="I496">
        <v>653</v>
      </c>
      <c r="J496">
        <v>468</v>
      </c>
      <c r="K496" t="str">
        <f t="shared" si="7"/>
        <v>harv345247</v>
      </c>
      <c r="M496" t="s">
        <v>1067</v>
      </c>
      <c r="N496" t="s">
        <v>1195</v>
      </c>
      <c r="Q496" t="s">
        <v>11083</v>
      </c>
      <c r="U496">
        <v>42</v>
      </c>
      <c r="V496">
        <v>0</v>
      </c>
      <c r="W496">
        <v>45</v>
      </c>
      <c r="X496">
        <v>34.5</v>
      </c>
      <c r="Y496">
        <v>24.7</v>
      </c>
    </row>
    <row r="497" spans="1:25" x14ac:dyDescent="0.25">
      <c r="A497" t="s">
        <v>4368</v>
      </c>
      <c r="B497">
        <v>1102</v>
      </c>
      <c r="C497">
        <v>181</v>
      </c>
      <c r="D497" t="s">
        <v>23</v>
      </c>
      <c r="E497" t="s">
        <v>4093</v>
      </c>
      <c r="F497" t="s">
        <v>3559</v>
      </c>
      <c r="G497" t="s">
        <v>4369</v>
      </c>
      <c r="H497">
        <v>0</v>
      </c>
      <c r="I497">
        <v>653</v>
      </c>
      <c r="J497">
        <v>468</v>
      </c>
      <c r="K497" t="str">
        <f t="shared" si="7"/>
        <v>harv345247</v>
      </c>
      <c r="M497" t="s">
        <v>1067</v>
      </c>
      <c r="N497" t="s">
        <v>1195</v>
      </c>
      <c r="Q497" t="s">
        <v>11083</v>
      </c>
      <c r="U497">
        <v>43</v>
      </c>
      <c r="V497">
        <v>0</v>
      </c>
      <c r="W497">
        <v>45</v>
      </c>
      <c r="X497">
        <v>34.5</v>
      </c>
      <c r="Y497">
        <v>24.7</v>
      </c>
    </row>
    <row r="498" spans="1:25" x14ac:dyDescent="0.25">
      <c r="A498" t="s">
        <v>4370</v>
      </c>
      <c r="B498">
        <v>1103</v>
      </c>
      <c r="C498">
        <v>182</v>
      </c>
      <c r="D498" t="s">
        <v>23</v>
      </c>
      <c r="E498" t="s">
        <v>4093</v>
      </c>
      <c r="F498" t="s">
        <v>3559</v>
      </c>
      <c r="G498" t="s">
        <v>4371</v>
      </c>
      <c r="H498">
        <v>0</v>
      </c>
      <c r="I498">
        <v>653</v>
      </c>
      <c r="J498">
        <v>468</v>
      </c>
      <c r="K498" t="str">
        <f t="shared" si="7"/>
        <v>harv345247</v>
      </c>
      <c r="L498" t="s">
        <v>3620</v>
      </c>
      <c r="M498" t="s">
        <v>1067</v>
      </c>
      <c r="N498" t="s">
        <v>1195</v>
      </c>
      <c r="Q498" t="s">
        <v>11083</v>
      </c>
      <c r="U498">
        <v>43</v>
      </c>
      <c r="V498">
        <v>0</v>
      </c>
      <c r="W498">
        <v>45</v>
      </c>
      <c r="X498">
        <v>34.5</v>
      </c>
      <c r="Y498">
        <v>24.7</v>
      </c>
    </row>
    <row r="499" spans="1:25" x14ac:dyDescent="0.25">
      <c r="A499" t="s">
        <v>4372</v>
      </c>
      <c r="B499">
        <v>1104</v>
      </c>
      <c r="C499">
        <v>183</v>
      </c>
      <c r="D499" t="s">
        <v>23</v>
      </c>
      <c r="E499" t="s">
        <v>4093</v>
      </c>
      <c r="F499" t="s">
        <v>3559</v>
      </c>
      <c r="G499" t="s">
        <v>4373</v>
      </c>
      <c r="H499">
        <v>0</v>
      </c>
      <c r="I499">
        <v>653</v>
      </c>
      <c r="J499">
        <v>468</v>
      </c>
      <c r="K499" t="str">
        <f t="shared" si="7"/>
        <v>harv345247</v>
      </c>
      <c r="M499" t="s">
        <v>1067</v>
      </c>
      <c r="N499" t="s">
        <v>1195</v>
      </c>
      <c r="Q499" t="s">
        <v>11083</v>
      </c>
      <c r="U499">
        <v>45</v>
      </c>
      <c r="V499">
        <v>0</v>
      </c>
      <c r="W499">
        <v>45</v>
      </c>
      <c r="X499">
        <v>34.5</v>
      </c>
      <c r="Y499">
        <v>24.7</v>
      </c>
    </row>
    <row r="500" spans="1:25" x14ac:dyDescent="0.25">
      <c r="A500" t="s">
        <v>4374</v>
      </c>
      <c r="B500">
        <v>1105</v>
      </c>
      <c r="C500">
        <v>184</v>
      </c>
      <c r="D500" t="s">
        <v>23</v>
      </c>
      <c r="E500" t="s">
        <v>4093</v>
      </c>
      <c r="F500" t="s">
        <v>3559</v>
      </c>
      <c r="G500" t="s">
        <v>4375</v>
      </c>
      <c r="H500">
        <v>0</v>
      </c>
      <c r="I500">
        <v>253</v>
      </c>
      <c r="J500">
        <v>603</v>
      </c>
      <c r="K500" t="str">
        <f t="shared" si="7"/>
        <v>harv138317</v>
      </c>
      <c r="M500" t="s">
        <v>1067</v>
      </c>
      <c r="N500" t="s">
        <v>1454</v>
      </c>
      <c r="Q500" t="s">
        <v>11083</v>
      </c>
      <c r="U500">
        <v>48</v>
      </c>
      <c r="V500">
        <v>0</v>
      </c>
      <c r="W500">
        <v>50</v>
      </c>
      <c r="X500">
        <v>13.8</v>
      </c>
      <c r="Y500">
        <v>31.7</v>
      </c>
    </row>
    <row r="501" spans="1:25" x14ac:dyDescent="0.25">
      <c r="A501" t="s">
        <v>4376</v>
      </c>
      <c r="B501">
        <v>1106</v>
      </c>
      <c r="C501">
        <v>185</v>
      </c>
      <c r="D501" t="s">
        <v>23</v>
      </c>
      <c r="E501" t="s">
        <v>4093</v>
      </c>
      <c r="F501" t="s">
        <v>3559</v>
      </c>
      <c r="G501" t="s">
        <v>4377</v>
      </c>
      <c r="H501">
        <v>0</v>
      </c>
      <c r="I501">
        <v>253</v>
      </c>
      <c r="J501">
        <v>603</v>
      </c>
      <c r="K501" t="str">
        <f t="shared" si="7"/>
        <v>harv138317</v>
      </c>
      <c r="M501" t="s">
        <v>1067</v>
      </c>
      <c r="N501" t="s">
        <v>1454</v>
      </c>
      <c r="Q501" t="s">
        <v>11083</v>
      </c>
      <c r="U501">
        <v>49</v>
      </c>
      <c r="V501">
        <v>0</v>
      </c>
      <c r="W501">
        <v>50</v>
      </c>
      <c r="X501">
        <v>13.8</v>
      </c>
      <c r="Y501">
        <v>31.7</v>
      </c>
    </row>
    <row r="502" spans="1:25" x14ac:dyDescent="0.25">
      <c r="A502" t="s">
        <v>4378</v>
      </c>
      <c r="B502">
        <v>1107</v>
      </c>
      <c r="C502">
        <v>186</v>
      </c>
      <c r="D502" t="s">
        <v>23</v>
      </c>
      <c r="E502" t="s">
        <v>4093</v>
      </c>
      <c r="F502" t="s">
        <v>3559</v>
      </c>
      <c r="G502" t="s">
        <v>4379</v>
      </c>
      <c r="H502">
        <v>0</v>
      </c>
      <c r="I502">
        <v>253</v>
      </c>
      <c r="J502">
        <v>603</v>
      </c>
      <c r="K502" t="str">
        <f t="shared" si="7"/>
        <v>harv138317</v>
      </c>
      <c r="M502" t="s">
        <v>1067</v>
      </c>
      <c r="N502" t="s">
        <v>1454</v>
      </c>
      <c r="Q502" t="s">
        <v>11083</v>
      </c>
      <c r="U502">
        <v>50</v>
      </c>
      <c r="V502">
        <v>0</v>
      </c>
      <c r="W502">
        <v>50</v>
      </c>
      <c r="X502">
        <v>13.8</v>
      </c>
      <c r="Y502">
        <v>31.7</v>
      </c>
    </row>
    <row r="503" spans="1:25" x14ac:dyDescent="0.25">
      <c r="A503" t="s">
        <v>4380</v>
      </c>
      <c r="B503">
        <v>1108</v>
      </c>
      <c r="C503">
        <v>187</v>
      </c>
      <c r="D503" t="s">
        <v>23</v>
      </c>
      <c r="E503" t="s">
        <v>4093</v>
      </c>
      <c r="F503" t="s">
        <v>3559</v>
      </c>
      <c r="G503" t="s">
        <v>16</v>
      </c>
      <c r="H503">
        <v>1</v>
      </c>
      <c r="I503">
        <v>511</v>
      </c>
      <c r="J503">
        <v>125</v>
      </c>
      <c r="K503" t="str">
        <f t="shared" si="7"/>
        <v>harv26873</v>
      </c>
      <c r="M503" t="s">
        <v>215</v>
      </c>
      <c r="N503" t="s">
        <v>2788</v>
      </c>
      <c r="Q503" t="s">
        <v>3669</v>
      </c>
      <c r="R503" t="s">
        <v>2821</v>
      </c>
      <c r="U503">
        <v>50</v>
      </c>
      <c r="V503">
        <v>0</v>
      </c>
      <c r="W503">
        <v>100</v>
      </c>
      <c r="X503">
        <v>26.8</v>
      </c>
      <c r="Y503">
        <v>7.3</v>
      </c>
    </row>
    <row r="504" spans="1:25" x14ac:dyDescent="0.25">
      <c r="A504" t="s">
        <v>4381</v>
      </c>
      <c r="B504">
        <v>1109</v>
      </c>
      <c r="C504">
        <v>188</v>
      </c>
      <c r="D504" t="s">
        <v>23</v>
      </c>
      <c r="E504" t="s">
        <v>4093</v>
      </c>
      <c r="F504" t="s">
        <v>3559</v>
      </c>
      <c r="G504" t="s">
        <v>38</v>
      </c>
      <c r="H504">
        <v>1</v>
      </c>
      <c r="I504">
        <v>345</v>
      </c>
      <c r="J504">
        <v>135</v>
      </c>
      <c r="K504" t="str">
        <f t="shared" si="7"/>
        <v>harv18677</v>
      </c>
      <c r="M504" t="s">
        <v>102</v>
      </c>
      <c r="N504" t="s">
        <v>2117</v>
      </c>
      <c r="Q504" t="s">
        <v>3669</v>
      </c>
      <c r="R504" t="s">
        <v>2825</v>
      </c>
      <c r="U504">
        <v>50</v>
      </c>
      <c r="V504">
        <v>0</v>
      </c>
      <c r="W504">
        <v>80</v>
      </c>
      <c r="X504">
        <v>18.600000000000001</v>
      </c>
      <c r="Y504">
        <v>7.7</v>
      </c>
    </row>
    <row r="505" spans="1:25" x14ac:dyDescent="0.25">
      <c r="A505" t="s">
        <v>4382</v>
      </c>
      <c r="B505">
        <v>1110</v>
      </c>
      <c r="C505">
        <v>189</v>
      </c>
      <c r="D505" t="s">
        <v>23</v>
      </c>
      <c r="E505" t="s">
        <v>4093</v>
      </c>
      <c r="F505" t="s">
        <v>3559</v>
      </c>
      <c r="G505" t="s">
        <v>25</v>
      </c>
      <c r="H505">
        <v>1</v>
      </c>
      <c r="I505">
        <v>455</v>
      </c>
      <c r="J505">
        <v>526</v>
      </c>
      <c r="K505" t="str">
        <f t="shared" si="7"/>
        <v>harv256293</v>
      </c>
      <c r="M505" t="s">
        <v>11</v>
      </c>
      <c r="N505" t="s">
        <v>1559</v>
      </c>
      <c r="Q505" t="s">
        <v>3669</v>
      </c>
      <c r="R505" t="s">
        <v>2805</v>
      </c>
      <c r="U505">
        <v>50</v>
      </c>
      <c r="V505">
        <v>0</v>
      </c>
      <c r="W505">
        <v>60</v>
      </c>
      <c r="X505">
        <v>25.6</v>
      </c>
      <c r="Y505">
        <v>29.3</v>
      </c>
    </row>
    <row r="506" spans="1:25" x14ac:dyDescent="0.25">
      <c r="A506" t="s">
        <v>4383</v>
      </c>
      <c r="B506">
        <v>1111</v>
      </c>
      <c r="C506">
        <v>190</v>
      </c>
      <c r="D506" t="s">
        <v>23</v>
      </c>
      <c r="E506" t="s">
        <v>4093</v>
      </c>
      <c r="F506" t="s">
        <v>3559</v>
      </c>
      <c r="G506" t="s">
        <v>25</v>
      </c>
      <c r="H506">
        <v>1</v>
      </c>
      <c r="I506">
        <v>245</v>
      </c>
      <c r="J506">
        <v>365</v>
      </c>
      <c r="K506" t="str">
        <f t="shared" si="7"/>
        <v>harv138207</v>
      </c>
      <c r="M506" t="s">
        <v>11</v>
      </c>
      <c r="N506" t="s">
        <v>1608</v>
      </c>
      <c r="Q506" t="s">
        <v>3669</v>
      </c>
      <c r="R506" t="s">
        <v>2825</v>
      </c>
      <c r="U506">
        <v>50</v>
      </c>
      <c r="V506">
        <v>0</v>
      </c>
      <c r="W506">
        <v>60</v>
      </c>
      <c r="X506">
        <v>13.8</v>
      </c>
      <c r="Y506">
        <v>20.7</v>
      </c>
    </row>
    <row r="507" spans="1:25" x14ac:dyDescent="0.25">
      <c r="A507" t="s">
        <v>4384</v>
      </c>
      <c r="B507">
        <v>1112</v>
      </c>
      <c r="C507">
        <v>191</v>
      </c>
      <c r="D507" t="s">
        <v>23</v>
      </c>
      <c r="E507" t="s">
        <v>4093</v>
      </c>
      <c r="F507" t="s">
        <v>3559</v>
      </c>
      <c r="G507" t="s">
        <v>25</v>
      </c>
      <c r="H507">
        <v>1</v>
      </c>
      <c r="I507">
        <v>609</v>
      </c>
      <c r="J507">
        <v>503</v>
      </c>
      <c r="K507" t="str">
        <f t="shared" si="7"/>
        <v>harv32266</v>
      </c>
      <c r="M507" t="s">
        <v>73</v>
      </c>
      <c r="N507" t="s">
        <v>1940</v>
      </c>
      <c r="Q507" t="s">
        <v>3669</v>
      </c>
      <c r="R507" t="s">
        <v>2821</v>
      </c>
      <c r="U507">
        <v>50</v>
      </c>
      <c r="V507">
        <v>0</v>
      </c>
      <c r="W507">
        <v>70</v>
      </c>
      <c r="X507">
        <v>32</v>
      </c>
      <c r="Y507">
        <v>26.6</v>
      </c>
    </row>
    <row r="508" spans="1:25" x14ac:dyDescent="0.25">
      <c r="A508" t="s">
        <v>4385</v>
      </c>
      <c r="B508">
        <v>1113</v>
      </c>
      <c r="C508">
        <v>192</v>
      </c>
      <c r="D508" t="s">
        <v>23</v>
      </c>
      <c r="E508" t="s">
        <v>4093</v>
      </c>
      <c r="F508" t="s">
        <v>3559</v>
      </c>
      <c r="G508" t="s">
        <v>25</v>
      </c>
      <c r="H508">
        <v>1</v>
      </c>
      <c r="I508">
        <v>422</v>
      </c>
      <c r="J508">
        <v>239</v>
      </c>
      <c r="K508" t="str">
        <f t="shared" si="7"/>
        <v>harv224131</v>
      </c>
      <c r="M508" t="s">
        <v>102</v>
      </c>
      <c r="N508" t="s">
        <v>2260</v>
      </c>
      <c r="Q508" t="s">
        <v>3669</v>
      </c>
      <c r="R508" t="s">
        <v>2810</v>
      </c>
      <c r="U508">
        <v>50</v>
      </c>
      <c r="V508">
        <v>0</v>
      </c>
      <c r="W508">
        <v>80</v>
      </c>
      <c r="X508">
        <v>22.4</v>
      </c>
      <c r="Y508">
        <v>13.1</v>
      </c>
    </row>
    <row r="509" spans="1:25" x14ac:dyDescent="0.25">
      <c r="A509" t="s">
        <v>4386</v>
      </c>
      <c r="B509">
        <v>1114</v>
      </c>
      <c r="C509">
        <v>193</v>
      </c>
      <c r="D509" t="s">
        <v>23</v>
      </c>
      <c r="E509" t="s">
        <v>4093</v>
      </c>
      <c r="F509" t="s">
        <v>3559</v>
      </c>
      <c r="G509" t="s">
        <v>25</v>
      </c>
      <c r="H509">
        <v>1</v>
      </c>
      <c r="I509">
        <v>190</v>
      </c>
      <c r="J509">
        <v>657</v>
      </c>
      <c r="K509" t="str">
        <f t="shared" si="7"/>
        <v>harv105347</v>
      </c>
      <c r="M509" t="s">
        <v>133</v>
      </c>
      <c r="N509" t="s">
        <v>2359</v>
      </c>
      <c r="Q509" t="s">
        <v>3669</v>
      </c>
      <c r="R509" t="s">
        <v>2815</v>
      </c>
      <c r="U509">
        <v>50</v>
      </c>
      <c r="V509">
        <v>0</v>
      </c>
      <c r="W509">
        <v>80</v>
      </c>
      <c r="X509">
        <v>10.5</v>
      </c>
      <c r="Y509">
        <v>34.700000000000003</v>
      </c>
    </row>
    <row r="510" spans="1:25" x14ac:dyDescent="0.25">
      <c r="A510" t="s">
        <v>4387</v>
      </c>
      <c r="B510">
        <v>1115</v>
      </c>
      <c r="C510">
        <v>194</v>
      </c>
      <c r="D510" t="s">
        <v>23</v>
      </c>
      <c r="E510" t="s">
        <v>4093</v>
      </c>
      <c r="F510" t="s">
        <v>3559</v>
      </c>
      <c r="G510" t="s">
        <v>25</v>
      </c>
      <c r="H510">
        <v>1</v>
      </c>
      <c r="I510">
        <v>299</v>
      </c>
      <c r="J510">
        <v>184</v>
      </c>
      <c r="K510" t="str">
        <f t="shared" si="7"/>
        <v>harv161105</v>
      </c>
      <c r="M510" t="s">
        <v>215</v>
      </c>
      <c r="N510" t="s">
        <v>3684</v>
      </c>
      <c r="Q510" t="s">
        <v>3669</v>
      </c>
      <c r="R510" t="s">
        <v>2810</v>
      </c>
      <c r="U510">
        <v>50</v>
      </c>
      <c r="V510">
        <v>0</v>
      </c>
      <c r="W510">
        <v>100</v>
      </c>
      <c r="X510">
        <v>16.100000000000001</v>
      </c>
      <c r="Y510">
        <v>10.5</v>
      </c>
    </row>
    <row r="511" spans="1:25" x14ac:dyDescent="0.25">
      <c r="A511" t="s">
        <v>4388</v>
      </c>
      <c r="B511">
        <v>1116</v>
      </c>
      <c r="C511">
        <v>195</v>
      </c>
      <c r="D511" t="s">
        <v>23</v>
      </c>
      <c r="E511" t="s">
        <v>4093</v>
      </c>
      <c r="F511" t="s">
        <v>3559</v>
      </c>
      <c r="G511" t="s">
        <v>29</v>
      </c>
      <c r="H511">
        <v>1</v>
      </c>
      <c r="I511">
        <v>310</v>
      </c>
      <c r="J511">
        <v>575</v>
      </c>
      <c r="K511" t="str">
        <f t="shared" si="7"/>
        <v>harv175319</v>
      </c>
      <c r="M511" t="s">
        <v>11</v>
      </c>
      <c r="N511" t="s">
        <v>1672</v>
      </c>
      <c r="Q511" t="s">
        <v>3669</v>
      </c>
      <c r="R511" t="s">
        <v>2815</v>
      </c>
      <c r="U511">
        <v>50</v>
      </c>
      <c r="V511">
        <v>0</v>
      </c>
      <c r="W511">
        <v>60</v>
      </c>
      <c r="X511">
        <v>17.5</v>
      </c>
      <c r="Y511">
        <v>31.9</v>
      </c>
    </row>
    <row r="512" spans="1:25" x14ac:dyDescent="0.25">
      <c r="A512" t="s">
        <v>4389</v>
      </c>
      <c r="B512">
        <v>1117</v>
      </c>
      <c r="C512">
        <v>196</v>
      </c>
      <c r="D512" t="s">
        <v>23</v>
      </c>
      <c r="E512" t="s">
        <v>4093</v>
      </c>
      <c r="F512" t="s">
        <v>3559</v>
      </c>
      <c r="G512" t="s">
        <v>29</v>
      </c>
      <c r="H512">
        <v>1</v>
      </c>
      <c r="I512">
        <v>112</v>
      </c>
      <c r="J512">
        <v>499</v>
      </c>
      <c r="K512" t="str">
        <f t="shared" si="7"/>
        <v>harv68277</v>
      </c>
      <c r="M512" t="s">
        <v>11</v>
      </c>
      <c r="N512" t="s">
        <v>755</v>
      </c>
      <c r="Q512" t="s">
        <v>3669</v>
      </c>
      <c r="R512" t="s">
        <v>2810</v>
      </c>
      <c r="U512">
        <v>50</v>
      </c>
      <c r="V512">
        <v>0</v>
      </c>
      <c r="W512">
        <v>60</v>
      </c>
      <c r="X512">
        <v>6.8</v>
      </c>
      <c r="Y512">
        <v>27.7</v>
      </c>
    </row>
    <row r="513" spans="1:25" x14ac:dyDescent="0.25">
      <c r="A513" t="s">
        <v>4390</v>
      </c>
      <c r="B513">
        <v>1118</v>
      </c>
      <c r="C513">
        <v>197</v>
      </c>
      <c r="D513" t="s">
        <v>23</v>
      </c>
      <c r="E513" t="s">
        <v>4093</v>
      </c>
      <c r="F513" t="s">
        <v>3559</v>
      </c>
      <c r="G513" t="s">
        <v>29</v>
      </c>
      <c r="H513">
        <v>1</v>
      </c>
      <c r="I513">
        <v>176</v>
      </c>
      <c r="J513">
        <v>666</v>
      </c>
      <c r="K513" t="str">
        <f t="shared" si="7"/>
        <v>harv103369</v>
      </c>
      <c r="M513" t="s">
        <v>11</v>
      </c>
      <c r="N513" t="s">
        <v>1723</v>
      </c>
      <c r="Q513" t="s">
        <v>3669</v>
      </c>
      <c r="R513" t="s">
        <v>2821</v>
      </c>
      <c r="U513">
        <v>50</v>
      </c>
      <c r="V513">
        <v>0</v>
      </c>
      <c r="W513">
        <v>60</v>
      </c>
      <c r="X513">
        <v>10.3</v>
      </c>
      <c r="Y513">
        <v>36.9</v>
      </c>
    </row>
    <row r="514" spans="1:25" x14ac:dyDescent="0.25">
      <c r="A514" t="s">
        <v>4391</v>
      </c>
      <c r="B514">
        <v>1119</v>
      </c>
      <c r="C514">
        <v>198</v>
      </c>
      <c r="D514" t="s">
        <v>23</v>
      </c>
      <c r="E514" t="s">
        <v>4093</v>
      </c>
      <c r="F514" t="s">
        <v>3559</v>
      </c>
      <c r="G514" t="s">
        <v>29</v>
      </c>
      <c r="H514">
        <v>1</v>
      </c>
      <c r="I514">
        <v>486</v>
      </c>
      <c r="J514">
        <v>559</v>
      </c>
      <c r="K514" t="str">
        <f t="shared" ref="K514:K577" si="8">LEFT(A514,4)&amp;SUBSTITUTE(X514,".","")&amp;SUBSTITUTE(Y514,".","")</f>
        <v>harv257298</v>
      </c>
      <c r="M514" t="s">
        <v>73</v>
      </c>
      <c r="N514" t="s">
        <v>2004</v>
      </c>
      <c r="Q514" t="s">
        <v>3669</v>
      </c>
      <c r="R514" t="s">
        <v>2815</v>
      </c>
      <c r="U514">
        <v>50</v>
      </c>
      <c r="V514">
        <v>0</v>
      </c>
      <c r="W514">
        <v>70</v>
      </c>
      <c r="X514">
        <v>25.7</v>
      </c>
      <c r="Y514">
        <v>29.8</v>
      </c>
    </row>
    <row r="515" spans="1:25" x14ac:dyDescent="0.25">
      <c r="A515" t="s">
        <v>4392</v>
      </c>
      <c r="B515">
        <v>1120</v>
      </c>
      <c r="C515">
        <v>199</v>
      </c>
      <c r="D515" t="s">
        <v>23</v>
      </c>
      <c r="E515" t="s">
        <v>4093</v>
      </c>
      <c r="F515" t="s">
        <v>3559</v>
      </c>
      <c r="G515" t="s">
        <v>29</v>
      </c>
      <c r="H515">
        <v>1</v>
      </c>
      <c r="I515">
        <v>595</v>
      </c>
      <c r="J515">
        <v>695</v>
      </c>
      <c r="K515" t="str">
        <f t="shared" si="8"/>
        <v>harv316365</v>
      </c>
      <c r="M515" t="s">
        <v>102</v>
      </c>
      <c r="N515" t="s">
        <v>2049</v>
      </c>
      <c r="Q515" t="s">
        <v>3669</v>
      </c>
      <c r="R515" t="s">
        <v>2819</v>
      </c>
      <c r="U515">
        <v>50</v>
      </c>
      <c r="V515">
        <v>0</v>
      </c>
      <c r="W515">
        <v>80</v>
      </c>
      <c r="X515">
        <v>31.6</v>
      </c>
      <c r="Y515">
        <v>36.5</v>
      </c>
    </row>
    <row r="516" spans="1:25" x14ac:dyDescent="0.25">
      <c r="A516" t="s">
        <v>4393</v>
      </c>
      <c r="B516">
        <v>1121</v>
      </c>
      <c r="C516">
        <v>200</v>
      </c>
      <c r="D516" t="s">
        <v>23</v>
      </c>
      <c r="E516" t="s">
        <v>4093</v>
      </c>
      <c r="F516" t="s">
        <v>3559</v>
      </c>
      <c r="G516" t="s">
        <v>4394</v>
      </c>
      <c r="H516">
        <v>0</v>
      </c>
      <c r="I516">
        <v>328</v>
      </c>
      <c r="J516">
        <v>518</v>
      </c>
      <c r="K516" t="str">
        <f t="shared" si="8"/>
        <v>harv175275</v>
      </c>
      <c r="M516" t="s">
        <v>1067</v>
      </c>
      <c r="N516" t="s">
        <v>1153</v>
      </c>
      <c r="Q516" t="s">
        <v>3749</v>
      </c>
      <c r="R516" t="s">
        <v>2820</v>
      </c>
      <c r="U516">
        <v>50</v>
      </c>
      <c r="V516">
        <v>0</v>
      </c>
      <c r="W516">
        <v>50</v>
      </c>
      <c r="X516">
        <v>17.5</v>
      </c>
      <c r="Y516">
        <v>27.5</v>
      </c>
    </row>
    <row r="517" spans="1:25" x14ac:dyDescent="0.25">
      <c r="A517" t="s">
        <v>4395</v>
      </c>
      <c r="B517">
        <v>1122</v>
      </c>
      <c r="C517">
        <v>201</v>
      </c>
      <c r="D517" t="s">
        <v>23</v>
      </c>
      <c r="E517" t="s">
        <v>4093</v>
      </c>
      <c r="F517" t="s">
        <v>3559</v>
      </c>
      <c r="G517" t="s">
        <v>4396</v>
      </c>
      <c r="H517">
        <v>0</v>
      </c>
      <c r="I517">
        <v>521</v>
      </c>
      <c r="J517">
        <v>621</v>
      </c>
      <c r="K517" t="str">
        <f t="shared" si="8"/>
        <v>harv274327</v>
      </c>
      <c r="M517" t="s">
        <v>1067</v>
      </c>
      <c r="N517" t="s">
        <v>1144</v>
      </c>
      <c r="Q517" t="s">
        <v>3749</v>
      </c>
      <c r="R517" t="s">
        <v>2811</v>
      </c>
      <c r="U517">
        <v>50</v>
      </c>
      <c r="V517">
        <v>0</v>
      </c>
      <c r="W517">
        <v>50</v>
      </c>
      <c r="X517">
        <v>27.4</v>
      </c>
      <c r="Y517">
        <v>32.700000000000003</v>
      </c>
    </row>
    <row r="518" spans="1:25" x14ac:dyDescent="0.25">
      <c r="A518" t="s">
        <v>4397</v>
      </c>
      <c r="B518">
        <v>1123</v>
      </c>
      <c r="C518">
        <v>202</v>
      </c>
      <c r="D518" t="s">
        <v>23</v>
      </c>
      <c r="E518" t="s">
        <v>4093</v>
      </c>
      <c r="F518" t="s">
        <v>3559</v>
      </c>
      <c r="G518" t="s">
        <v>4398</v>
      </c>
      <c r="H518">
        <v>0</v>
      </c>
      <c r="I518">
        <v>224</v>
      </c>
      <c r="J518">
        <v>290</v>
      </c>
      <c r="K518" t="str">
        <f t="shared" si="8"/>
        <v>harv123158</v>
      </c>
      <c r="M518" t="s">
        <v>1067</v>
      </c>
      <c r="N518" t="s">
        <v>1448</v>
      </c>
      <c r="Q518" t="s">
        <v>3749</v>
      </c>
      <c r="R518" t="s">
        <v>2820</v>
      </c>
      <c r="U518">
        <v>50</v>
      </c>
      <c r="V518">
        <v>0</v>
      </c>
      <c r="W518">
        <v>50</v>
      </c>
      <c r="X518">
        <v>12.3</v>
      </c>
      <c r="Y518">
        <v>15.8</v>
      </c>
    </row>
    <row r="519" spans="1:25" x14ac:dyDescent="0.25">
      <c r="A519" t="s">
        <v>4399</v>
      </c>
      <c r="B519">
        <v>1124</v>
      </c>
      <c r="C519">
        <v>203</v>
      </c>
      <c r="D519" t="s">
        <v>23</v>
      </c>
      <c r="E519" t="s">
        <v>4093</v>
      </c>
      <c r="F519" t="s">
        <v>3559</v>
      </c>
      <c r="G519" t="s">
        <v>4400</v>
      </c>
      <c r="H519">
        <v>0</v>
      </c>
      <c r="I519">
        <v>412</v>
      </c>
      <c r="J519">
        <v>497</v>
      </c>
      <c r="K519" t="str">
        <f t="shared" si="8"/>
        <v>harv219264</v>
      </c>
      <c r="M519" t="s">
        <v>1067</v>
      </c>
      <c r="N519" t="s">
        <v>1284</v>
      </c>
      <c r="Q519" t="s">
        <v>3749</v>
      </c>
      <c r="R519" t="s">
        <v>2806</v>
      </c>
      <c r="U519">
        <v>50</v>
      </c>
      <c r="V519">
        <v>0</v>
      </c>
      <c r="W519">
        <v>50</v>
      </c>
      <c r="X519">
        <v>21.9</v>
      </c>
      <c r="Y519">
        <v>26.4</v>
      </c>
    </row>
    <row r="520" spans="1:25" x14ac:dyDescent="0.25">
      <c r="A520" t="s">
        <v>4401</v>
      </c>
      <c r="B520">
        <v>1125</v>
      </c>
      <c r="C520">
        <v>204</v>
      </c>
      <c r="D520" t="s">
        <v>23</v>
      </c>
      <c r="E520" t="s">
        <v>4093</v>
      </c>
      <c r="F520" t="s">
        <v>3559</v>
      </c>
      <c r="G520" t="s">
        <v>4402</v>
      </c>
      <c r="H520">
        <v>0</v>
      </c>
      <c r="I520">
        <v>328</v>
      </c>
      <c r="J520">
        <v>364</v>
      </c>
      <c r="K520" t="str">
        <f t="shared" si="8"/>
        <v>harv176193</v>
      </c>
      <c r="M520" t="s">
        <v>1067</v>
      </c>
      <c r="N520" t="s">
        <v>1294</v>
      </c>
      <c r="Q520" t="s">
        <v>3749</v>
      </c>
      <c r="R520" t="s">
        <v>2811</v>
      </c>
      <c r="U520">
        <v>50</v>
      </c>
      <c r="V520">
        <v>0</v>
      </c>
      <c r="W520">
        <v>50</v>
      </c>
      <c r="X520">
        <v>17.600000000000001</v>
      </c>
      <c r="Y520">
        <v>19.3</v>
      </c>
    </row>
    <row r="521" spans="1:25" x14ac:dyDescent="0.25">
      <c r="A521" t="s">
        <v>4403</v>
      </c>
      <c r="B521">
        <v>1126</v>
      </c>
      <c r="C521">
        <v>205</v>
      </c>
      <c r="D521" t="s">
        <v>23</v>
      </c>
      <c r="E521" t="s">
        <v>4093</v>
      </c>
      <c r="F521" t="s">
        <v>3559</v>
      </c>
      <c r="G521" t="s">
        <v>4404</v>
      </c>
      <c r="H521">
        <v>0</v>
      </c>
      <c r="I521">
        <v>251</v>
      </c>
      <c r="J521">
        <v>445</v>
      </c>
      <c r="K521" t="str">
        <f t="shared" si="8"/>
        <v>harv137238</v>
      </c>
      <c r="M521" t="s">
        <v>1067</v>
      </c>
      <c r="N521" t="s">
        <v>1272</v>
      </c>
      <c r="Q521" t="s">
        <v>3749</v>
      </c>
      <c r="R521" t="s">
        <v>2826</v>
      </c>
      <c r="U521">
        <v>50</v>
      </c>
      <c r="V521">
        <v>0</v>
      </c>
      <c r="W521">
        <v>50</v>
      </c>
      <c r="X521">
        <v>13.7</v>
      </c>
      <c r="Y521">
        <v>23.8</v>
      </c>
    </row>
    <row r="522" spans="1:25" x14ac:dyDescent="0.25">
      <c r="A522" t="s">
        <v>4405</v>
      </c>
      <c r="B522">
        <v>1127</v>
      </c>
      <c r="C522">
        <v>206</v>
      </c>
      <c r="D522" t="s">
        <v>23</v>
      </c>
      <c r="E522" t="s">
        <v>4093</v>
      </c>
      <c r="F522" t="s">
        <v>3559</v>
      </c>
      <c r="G522" t="s">
        <v>4406</v>
      </c>
      <c r="H522">
        <v>0</v>
      </c>
      <c r="I522">
        <v>251</v>
      </c>
      <c r="J522">
        <v>445</v>
      </c>
      <c r="K522" t="str">
        <f t="shared" si="8"/>
        <v>harv137238</v>
      </c>
      <c r="M522" t="s">
        <v>1067</v>
      </c>
      <c r="N522" t="s">
        <v>1272</v>
      </c>
      <c r="Q522" t="s">
        <v>3749</v>
      </c>
      <c r="R522" t="s">
        <v>2826</v>
      </c>
      <c r="U522">
        <v>50</v>
      </c>
      <c r="V522">
        <v>0</v>
      </c>
      <c r="W522">
        <v>50</v>
      </c>
      <c r="X522">
        <v>13.7</v>
      </c>
      <c r="Y522">
        <v>23.8</v>
      </c>
    </row>
    <row r="523" spans="1:25" x14ac:dyDescent="0.25">
      <c r="A523" t="s">
        <v>4407</v>
      </c>
      <c r="B523">
        <v>1128</v>
      </c>
      <c r="C523">
        <v>207</v>
      </c>
      <c r="D523" t="s">
        <v>23</v>
      </c>
      <c r="E523" t="s">
        <v>4093</v>
      </c>
      <c r="F523" t="s">
        <v>3559</v>
      </c>
      <c r="G523" t="s">
        <v>4408</v>
      </c>
      <c r="H523">
        <v>0</v>
      </c>
      <c r="I523">
        <v>328</v>
      </c>
      <c r="J523">
        <v>518</v>
      </c>
      <c r="K523" t="str">
        <f t="shared" si="8"/>
        <v>harv175275</v>
      </c>
      <c r="M523" t="s">
        <v>1067</v>
      </c>
      <c r="N523" t="s">
        <v>1153</v>
      </c>
      <c r="Q523" t="s">
        <v>3749</v>
      </c>
      <c r="R523" t="s">
        <v>2820</v>
      </c>
      <c r="U523">
        <v>50</v>
      </c>
      <c r="V523">
        <v>1</v>
      </c>
      <c r="W523">
        <v>50</v>
      </c>
      <c r="X523">
        <v>17.5</v>
      </c>
      <c r="Y523">
        <v>27.5</v>
      </c>
    </row>
    <row r="524" spans="1:25" x14ac:dyDescent="0.25">
      <c r="A524" t="s">
        <v>4409</v>
      </c>
      <c r="B524">
        <v>1129</v>
      </c>
      <c r="C524">
        <v>208</v>
      </c>
      <c r="D524" t="s">
        <v>23</v>
      </c>
      <c r="E524" t="s">
        <v>4093</v>
      </c>
      <c r="F524" t="s">
        <v>3559</v>
      </c>
      <c r="G524" t="s">
        <v>4410</v>
      </c>
      <c r="H524">
        <v>0</v>
      </c>
      <c r="I524">
        <v>521</v>
      </c>
      <c r="J524">
        <v>621</v>
      </c>
      <c r="K524" t="str">
        <f t="shared" si="8"/>
        <v>harv274327</v>
      </c>
      <c r="M524" t="s">
        <v>1067</v>
      </c>
      <c r="N524" t="s">
        <v>1144</v>
      </c>
      <c r="Q524" t="s">
        <v>3749</v>
      </c>
      <c r="R524" t="s">
        <v>2811</v>
      </c>
      <c r="U524">
        <v>50</v>
      </c>
      <c r="V524">
        <v>1</v>
      </c>
      <c r="W524">
        <v>50</v>
      </c>
      <c r="X524">
        <v>27.4</v>
      </c>
      <c r="Y524">
        <v>32.700000000000003</v>
      </c>
    </row>
    <row r="525" spans="1:25" x14ac:dyDescent="0.25">
      <c r="A525" t="s">
        <v>4411</v>
      </c>
      <c r="B525">
        <v>1130</v>
      </c>
      <c r="C525">
        <v>209</v>
      </c>
      <c r="D525" t="s">
        <v>23</v>
      </c>
      <c r="E525" t="s">
        <v>4093</v>
      </c>
      <c r="F525" t="s">
        <v>3559</v>
      </c>
      <c r="G525" t="s">
        <v>3768</v>
      </c>
      <c r="H525">
        <v>0</v>
      </c>
      <c r="I525">
        <v>617</v>
      </c>
      <c r="J525">
        <v>236</v>
      </c>
      <c r="K525" t="str">
        <f t="shared" si="8"/>
        <v>harv325129</v>
      </c>
      <c r="L525" t="s">
        <v>3620</v>
      </c>
      <c r="M525" t="s">
        <v>1067</v>
      </c>
      <c r="N525" t="s">
        <v>1129</v>
      </c>
      <c r="Q525" t="s">
        <v>3749</v>
      </c>
      <c r="R525" t="s">
        <v>2812</v>
      </c>
      <c r="U525">
        <v>50</v>
      </c>
      <c r="V525">
        <v>1</v>
      </c>
      <c r="W525">
        <v>50</v>
      </c>
      <c r="X525">
        <v>32.5</v>
      </c>
      <c r="Y525">
        <v>12.9</v>
      </c>
    </row>
    <row r="526" spans="1:25" x14ac:dyDescent="0.25">
      <c r="A526" t="s">
        <v>4412</v>
      </c>
      <c r="B526">
        <v>1131</v>
      </c>
      <c r="C526">
        <v>210</v>
      </c>
      <c r="D526" t="s">
        <v>23</v>
      </c>
      <c r="E526" t="s">
        <v>4093</v>
      </c>
      <c r="F526" t="s">
        <v>3559</v>
      </c>
      <c r="G526" t="s">
        <v>3768</v>
      </c>
      <c r="H526">
        <v>0</v>
      </c>
      <c r="I526">
        <v>521</v>
      </c>
      <c r="J526">
        <v>621</v>
      </c>
      <c r="K526" t="str">
        <f t="shared" si="8"/>
        <v>harv274327</v>
      </c>
      <c r="L526" t="s">
        <v>3620</v>
      </c>
      <c r="M526" t="s">
        <v>1067</v>
      </c>
      <c r="N526" t="s">
        <v>1144</v>
      </c>
      <c r="Q526" t="s">
        <v>3749</v>
      </c>
      <c r="R526" t="s">
        <v>2811</v>
      </c>
      <c r="U526">
        <v>50</v>
      </c>
      <c r="V526">
        <v>1</v>
      </c>
      <c r="W526">
        <v>50</v>
      </c>
      <c r="X526">
        <v>27.4</v>
      </c>
      <c r="Y526">
        <v>32.700000000000003</v>
      </c>
    </row>
    <row r="527" spans="1:25" x14ac:dyDescent="0.25">
      <c r="A527" t="s">
        <v>4413</v>
      </c>
      <c r="B527">
        <v>1132</v>
      </c>
      <c r="C527">
        <v>211</v>
      </c>
      <c r="D527" t="s">
        <v>23</v>
      </c>
      <c r="E527" t="s">
        <v>4093</v>
      </c>
      <c r="F527" t="s">
        <v>3559</v>
      </c>
      <c r="G527" t="s">
        <v>3768</v>
      </c>
      <c r="H527">
        <v>0</v>
      </c>
      <c r="I527">
        <v>328</v>
      </c>
      <c r="J527">
        <v>518</v>
      </c>
      <c r="K527" t="str">
        <f t="shared" si="8"/>
        <v>harv175275</v>
      </c>
      <c r="L527" t="s">
        <v>3620</v>
      </c>
      <c r="M527" t="s">
        <v>1067</v>
      </c>
      <c r="N527" t="s">
        <v>1153</v>
      </c>
      <c r="Q527" t="s">
        <v>3749</v>
      </c>
      <c r="R527" t="s">
        <v>2820</v>
      </c>
      <c r="U527">
        <v>50</v>
      </c>
      <c r="V527">
        <v>1</v>
      </c>
      <c r="W527">
        <v>50</v>
      </c>
      <c r="X527">
        <v>17.5</v>
      </c>
      <c r="Y527">
        <v>27.5</v>
      </c>
    </row>
    <row r="528" spans="1:25" x14ac:dyDescent="0.25">
      <c r="A528" t="s">
        <v>4414</v>
      </c>
      <c r="B528">
        <v>1133</v>
      </c>
      <c r="C528">
        <v>212</v>
      </c>
      <c r="D528" t="s">
        <v>23</v>
      </c>
      <c r="E528" t="s">
        <v>4093</v>
      </c>
      <c r="F528" t="s">
        <v>3559</v>
      </c>
      <c r="G528" t="s">
        <v>3768</v>
      </c>
      <c r="H528">
        <v>0</v>
      </c>
      <c r="I528">
        <v>650</v>
      </c>
      <c r="J528">
        <v>532</v>
      </c>
      <c r="K528" t="str">
        <f t="shared" si="8"/>
        <v>harv342283</v>
      </c>
      <c r="L528" t="s">
        <v>3620</v>
      </c>
      <c r="M528" t="s">
        <v>1067</v>
      </c>
      <c r="N528" t="s">
        <v>1163</v>
      </c>
      <c r="Q528" t="s">
        <v>3749</v>
      </c>
      <c r="R528" t="s">
        <v>2814</v>
      </c>
      <c r="U528">
        <v>50</v>
      </c>
      <c r="V528">
        <v>1</v>
      </c>
      <c r="W528">
        <v>50</v>
      </c>
      <c r="X528">
        <v>34.200000000000003</v>
      </c>
      <c r="Y528">
        <v>28.3</v>
      </c>
    </row>
    <row r="529" spans="1:25" x14ac:dyDescent="0.25">
      <c r="A529" t="s">
        <v>4415</v>
      </c>
      <c r="B529">
        <v>1134</v>
      </c>
      <c r="C529">
        <v>213</v>
      </c>
      <c r="D529" t="s">
        <v>23</v>
      </c>
      <c r="E529" t="s">
        <v>4093</v>
      </c>
      <c r="F529" t="s">
        <v>3559</v>
      </c>
      <c r="G529" t="s">
        <v>3768</v>
      </c>
      <c r="H529">
        <v>0</v>
      </c>
      <c r="I529">
        <v>297</v>
      </c>
      <c r="J529">
        <v>381</v>
      </c>
      <c r="K529" t="str">
        <f t="shared" si="8"/>
        <v>harv159205</v>
      </c>
      <c r="L529" t="s">
        <v>3620</v>
      </c>
      <c r="M529" t="s">
        <v>1067</v>
      </c>
      <c r="N529" t="s">
        <v>1255</v>
      </c>
      <c r="Q529" t="s">
        <v>3749</v>
      </c>
      <c r="R529" t="s">
        <v>2807</v>
      </c>
      <c r="U529">
        <v>50</v>
      </c>
      <c r="V529">
        <v>1</v>
      </c>
      <c r="W529">
        <v>50</v>
      </c>
      <c r="X529">
        <v>15.9</v>
      </c>
      <c r="Y529">
        <v>20.5</v>
      </c>
    </row>
    <row r="530" spans="1:25" x14ac:dyDescent="0.25">
      <c r="A530" t="s">
        <v>4416</v>
      </c>
      <c r="B530">
        <v>1135</v>
      </c>
      <c r="C530">
        <v>214</v>
      </c>
      <c r="D530" t="s">
        <v>23</v>
      </c>
      <c r="E530" t="s">
        <v>4093</v>
      </c>
      <c r="F530" t="s">
        <v>3559</v>
      </c>
      <c r="G530" t="s">
        <v>3768</v>
      </c>
      <c r="H530">
        <v>0</v>
      </c>
      <c r="I530">
        <v>251</v>
      </c>
      <c r="J530">
        <v>445</v>
      </c>
      <c r="K530" t="str">
        <f t="shared" si="8"/>
        <v>harv137238</v>
      </c>
      <c r="L530" t="s">
        <v>3620</v>
      </c>
      <c r="M530" t="s">
        <v>1067</v>
      </c>
      <c r="N530" t="s">
        <v>1272</v>
      </c>
      <c r="Q530" t="s">
        <v>3749</v>
      </c>
      <c r="R530" t="s">
        <v>2826</v>
      </c>
      <c r="U530">
        <v>50</v>
      </c>
      <c r="V530">
        <v>1</v>
      </c>
      <c r="W530">
        <v>50</v>
      </c>
      <c r="X530">
        <v>13.7</v>
      </c>
      <c r="Y530">
        <v>23.8</v>
      </c>
    </row>
    <row r="531" spans="1:25" x14ac:dyDescent="0.25">
      <c r="A531" t="s">
        <v>4417</v>
      </c>
      <c r="B531">
        <v>1136</v>
      </c>
      <c r="C531">
        <v>215</v>
      </c>
      <c r="D531" t="s">
        <v>23</v>
      </c>
      <c r="E531" t="s">
        <v>4093</v>
      </c>
      <c r="F531" t="s">
        <v>3559</v>
      </c>
      <c r="G531" t="s">
        <v>3768</v>
      </c>
      <c r="H531">
        <v>0</v>
      </c>
      <c r="I531">
        <v>412</v>
      </c>
      <c r="J531">
        <v>497</v>
      </c>
      <c r="K531" t="str">
        <f t="shared" si="8"/>
        <v>harv219264</v>
      </c>
      <c r="L531" t="s">
        <v>3620</v>
      </c>
      <c r="M531" t="s">
        <v>1067</v>
      </c>
      <c r="N531" t="s">
        <v>1284</v>
      </c>
      <c r="Q531" t="s">
        <v>3749</v>
      </c>
      <c r="R531" t="s">
        <v>2806</v>
      </c>
      <c r="U531">
        <v>50</v>
      </c>
      <c r="V531">
        <v>1</v>
      </c>
      <c r="W531">
        <v>50</v>
      </c>
      <c r="X531">
        <v>21.9</v>
      </c>
      <c r="Y531">
        <v>26.4</v>
      </c>
    </row>
    <row r="532" spans="1:25" x14ac:dyDescent="0.25">
      <c r="A532" t="s">
        <v>4418</v>
      </c>
      <c r="B532">
        <v>1137</v>
      </c>
      <c r="C532">
        <v>216</v>
      </c>
      <c r="D532" t="s">
        <v>23</v>
      </c>
      <c r="E532" t="s">
        <v>4093</v>
      </c>
      <c r="F532" t="s">
        <v>3559</v>
      </c>
      <c r="G532" t="s">
        <v>3768</v>
      </c>
      <c r="H532">
        <v>0</v>
      </c>
      <c r="I532">
        <v>328</v>
      </c>
      <c r="J532">
        <v>364</v>
      </c>
      <c r="K532" t="str">
        <f t="shared" si="8"/>
        <v>harv176193</v>
      </c>
      <c r="L532" t="s">
        <v>3620</v>
      </c>
      <c r="M532" t="s">
        <v>1067</v>
      </c>
      <c r="N532" t="s">
        <v>1294</v>
      </c>
      <c r="Q532" t="s">
        <v>3749</v>
      </c>
      <c r="R532" t="s">
        <v>2811</v>
      </c>
      <c r="U532">
        <v>50</v>
      </c>
      <c r="V532">
        <v>1</v>
      </c>
      <c r="W532">
        <v>50</v>
      </c>
      <c r="X532">
        <v>17.600000000000001</v>
      </c>
      <c r="Y532">
        <v>19.3</v>
      </c>
    </row>
    <row r="533" spans="1:25" x14ac:dyDescent="0.25">
      <c r="A533" t="s">
        <v>4419</v>
      </c>
      <c r="B533">
        <v>1138</v>
      </c>
      <c r="C533">
        <v>217</v>
      </c>
      <c r="D533" t="s">
        <v>23</v>
      </c>
      <c r="E533" t="s">
        <v>4093</v>
      </c>
      <c r="F533" t="s">
        <v>3559</v>
      </c>
      <c r="G533" t="s">
        <v>3768</v>
      </c>
      <c r="H533">
        <v>0</v>
      </c>
      <c r="I533">
        <v>224</v>
      </c>
      <c r="J533">
        <v>290</v>
      </c>
      <c r="K533" t="str">
        <f t="shared" si="8"/>
        <v>harv123158</v>
      </c>
      <c r="L533" t="s">
        <v>3620</v>
      </c>
      <c r="M533" t="s">
        <v>1067</v>
      </c>
      <c r="N533" t="s">
        <v>1448</v>
      </c>
      <c r="Q533" t="s">
        <v>3749</v>
      </c>
      <c r="R533" t="s">
        <v>2820</v>
      </c>
      <c r="U533">
        <v>50</v>
      </c>
      <c r="V533">
        <v>1</v>
      </c>
      <c r="W533">
        <v>50</v>
      </c>
      <c r="X533">
        <v>12.3</v>
      </c>
      <c r="Y533">
        <v>15.8</v>
      </c>
    </row>
    <row r="534" spans="1:25" x14ac:dyDescent="0.25">
      <c r="A534" t="s">
        <v>4420</v>
      </c>
      <c r="B534">
        <v>1139</v>
      </c>
      <c r="C534">
        <v>218</v>
      </c>
      <c r="D534" t="s">
        <v>23</v>
      </c>
      <c r="E534" t="s">
        <v>4093</v>
      </c>
      <c r="F534" t="s">
        <v>3559</v>
      </c>
      <c r="G534" t="s">
        <v>4421</v>
      </c>
      <c r="H534">
        <v>0</v>
      </c>
      <c r="I534">
        <v>617</v>
      </c>
      <c r="J534">
        <v>236</v>
      </c>
      <c r="K534" t="str">
        <f t="shared" si="8"/>
        <v>harv325129</v>
      </c>
      <c r="M534" t="s">
        <v>1067</v>
      </c>
      <c r="N534" t="s">
        <v>1129</v>
      </c>
      <c r="Q534" t="s">
        <v>3749</v>
      </c>
      <c r="R534" t="s">
        <v>2812</v>
      </c>
      <c r="U534">
        <v>50</v>
      </c>
      <c r="V534">
        <v>1</v>
      </c>
      <c r="W534">
        <v>50</v>
      </c>
      <c r="X534">
        <v>32.5</v>
      </c>
      <c r="Y534">
        <v>12.9</v>
      </c>
    </row>
    <row r="535" spans="1:25" x14ac:dyDescent="0.25">
      <c r="A535" t="s">
        <v>4422</v>
      </c>
      <c r="B535">
        <v>1140</v>
      </c>
      <c r="C535">
        <v>219</v>
      </c>
      <c r="D535" t="s">
        <v>23</v>
      </c>
      <c r="E535" t="s">
        <v>4093</v>
      </c>
      <c r="F535" t="s">
        <v>3559</v>
      </c>
      <c r="G535" t="s">
        <v>4421</v>
      </c>
      <c r="H535">
        <v>0</v>
      </c>
      <c r="I535">
        <v>650</v>
      </c>
      <c r="J535">
        <v>532</v>
      </c>
      <c r="K535" t="str">
        <f t="shared" si="8"/>
        <v>harv342283</v>
      </c>
      <c r="M535" t="s">
        <v>1067</v>
      </c>
      <c r="N535" t="s">
        <v>1163</v>
      </c>
      <c r="Q535" t="s">
        <v>3749</v>
      </c>
      <c r="R535" t="s">
        <v>2814</v>
      </c>
      <c r="U535">
        <v>50</v>
      </c>
      <c r="V535">
        <v>1</v>
      </c>
      <c r="W535">
        <v>50</v>
      </c>
      <c r="X535">
        <v>34.200000000000003</v>
      </c>
      <c r="Y535">
        <v>28.3</v>
      </c>
    </row>
    <row r="536" spans="1:25" x14ac:dyDescent="0.25">
      <c r="A536" t="s">
        <v>4423</v>
      </c>
      <c r="B536">
        <v>1141</v>
      </c>
      <c r="C536">
        <v>220</v>
      </c>
      <c r="D536" t="s">
        <v>23</v>
      </c>
      <c r="E536" t="s">
        <v>4093</v>
      </c>
      <c r="F536" t="s">
        <v>3559</v>
      </c>
      <c r="G536" t="s">
        <v>4421</v>
      </c>
      <c r="H536">
        <v>0</v>
      </c>
      <c r="I536">
        <v>297</v>
      </c>
      <c r="J536">
        <v>381</v>
      </c>
      <c r="K536" t="str">
        <f t="shared" si="8"/>
        <v>harv159205</v>
      </c>
      <c r="M536" t="s">
        <v>1067</v>
      </c>
      <c r="N536" t="s">
        <v>1255</v>
      </c>
      <c r="Q536" t="s">
        <v>3749</v>
      </c>
      <c r="R536" t="s">
        <v>2807</v>
      </c>
      <c r="U536">
        <v>50</v>
      </c>
      <c r="V536">
        <v>1</v>
      </c>
      <c r="W536">
        <v>50</v>
      </c>
      <c r="X536">
        <v>15.9</v>
      </c>
      <c r="Y536">
        <v>20.5</v>
      </c>
    </row>
    <row r="537" spans="1:25" x14ac:dyDescent="0.25">
      <c r="A537" t="s">
        <v>4424</v>
      </c>
      <c r="B537">
        <v>1142</v>
      </c>
      <c r="C537">
        <v>221</v>
      </c>
      <c r="D537" t="s">
        <v>23</v>
      </c>
      <c r="E537" t="s">
        <v>4093</v>
      </c>
      <c r="F537" t="s">
        <v>3559</v>
      </c>
      <c r="G537" t="s">
        <v>4421</v>
      </c>
      <c r="H537">
        <v>0</v>
      </c>
      <c r="I537">
        <v>251</v>
      </c>
      <c r="J537">
        <v>445</v>
      </c>
      <c r="K537" t="str">
        <f t="shared" si="8"/>
        <v>harv137238</v>
      </c>
      <c r="M537" t="s">
        <v>1067</v>
      </c>
      <c r="N537" t="s">
        <v>1272</v>
      </c>
      <c r="Q537" t="s">
        <v>3749</v>
      </c>
      <c r="R537" t="s">
        <v>2826</v>
      </c>
      <c r="U537">
        <v>50</v>
      </c>
      <c r="V537">
        <v>1</v>
      </c>
      <c r="W537">
        <v>50</v>
      </c>
      <c r="X537">
        <v>13.7</v>
      </c>
      <c r="Y537">
        <v>23.8</v>
      </c>
    </row>
    <row r="538" spans="1:25" x14ac:dyDescent="0.25">
      <c r="A538" t="s">
        <v>4425</v>
      </c>
      <c r="B538">
        <v>1143</v>
      </c>
      <c r="C538">
        <v>222</v>
      </c>
      <c r="D538" t="s">
        <v>23</v>
      </c>
      <c r="E538" t="s">
        <v>4093</v>
      </c>
      <c r="F538" t="s">
        <v>3559</v>
      </c>
      <c r="G538" t="s">
        <v>4421</v>
      </c>
      <c r="H538">
        <v>0</v>
      </c>
      <c r="I538">
        <v>412</v>
      </c>
      <c r="J538">
        <v>497</v>
      </c>
      <c r="K538" t="str">
        <f t="shared" si="8"/>
        <v>harv219264</v>
      </c>
      <c r="M538" t="s">
        <v>1067</v>
      </c>
      <c r="N538" t="s">
        <v>1284</v>
      </c>
      <c r="Q538" t="s">
        <v>3749</v>
      </c>
      <c r="R538" t="s">
        <v>2806</v>
      </c>
      <c r="U538">
        <v>50</v>
      </c>
      <c r="V538">
        <v>1</v>
      </c>
      <c r="W538">
        <v>50</v>
      </c>
      <c r="X538">
        <v>21.9</v>
      </c>
      <c r="Y538">
        <v>26.4</v>
      </c>
    </row>
    <row r="539" spans="1:25" x14ac:dyDescent="0.25">
      <c r="A539" t="s">
        <v>4426</v>
      </c>
      <c r="B539">
        <v>1144</v>
      </c>
      <c r="C539">
        <v>223</v>
      </c>
      <c r="D539" t="s">
        <v>23</v>
      </c>
      <c r="E539" t="s">
        <v>4093</v>
      </c>
      <c r="F539" t="s">
        <v>3559</v>
      </c>
      <c r="G539" t="s">
        <v>4421</v>
      </c>
      <c r="H539">
        <v>0</v>
      </c>
      <c r="I539">
        <v>328</v>
      </c>
      <c r="J539">
        <v>364</v>
      </c>
      <c r="K539" t="str">
        <f t="shared" si="8"/>
        <v>harv176193</v>
      </c>
      <c r="M539" t="s">
        <v>1067</v>
      </c>
      <c r="N539" t="s">
        <v>1294</v>
      </c>
      <c r="Q539" t="s">
        <v>3749</v>
      </c>
      <c r="R539" t="s">
        <v>2811</v>
      </c>
      <c r="U539">
        <v>50</v>
      </c>
      <c r="V539">
        <v>1</v>
      </c>
      <c r="W539">
        <v>50</v>
      </c>
      <c r="X539">
        <v>17.600000000000001</v>
      </c>
      <c r="Y539">
        <v>19.3</v>
      </c>
    </row>
    <row r="540" spans="1:25" x14ac:dyDescent="0.25">
      <c r="A540" t="s">
        <v>4427</v>
      </c>
      <c r="B540">
        <v>1145</v>
      </c>
      <c r="C540">
        <v>224</v>
      </c>
      <c r="D540" t="s">
        <v>23</v>
      </c>
      <c r="E540" t="s">
        <v>4093</v>
      </c>
      <c r="F540" t="s">
        <v>3559</v>
      </c>
      <c r="G540" t="s">
        <v>4421</v>
      </c>
      <c r="H540">
        <v>0</v>
      </c>
      <c r="I540">
        <v>224</v>
      </c>
      <c r="J540">
        <v>290</v>
      </c>
      <c r="K540" t="str">
        <f t="shared" si="8"/>
        <v>harv123158</v>
      </c>
      <c r="M540" t="s">
        <v>1067</v>
      </c>
      <c r="N540" t="s">
        <v>1448</v>
      </c>
      <c r="Q540" t="s">
        <v>3749</v>
      </c>
      <c r="R540" t="s">
        <v>2820</v>
      </c>
      <c r="U540">
        <v>50</v>
      </c>
      <c r="V540">
        <v>1</v>
      </c>
      <c r="W540">
        <v>50</v>
      </c>
      <c r="X540">
        <v>12.3</v>
      </c>
      <c r="Y540">
        <v>15.8</v>
      </c>
    </row>
    <row r="541" spans="1:25" x14ac:dyDescent="0.25">
      <c r="A541" t="s">
        <v>4428</v>
      </c>
      <c r="B541">
        <v>1146</v>
      </c>
      <c r="C541">
        <v>225</v>
      </c>
      <c r="D541" t="s">
        <v>23</v>
      </c>
      <c r="E541" t="s">
        <v>4093</v>
      </c>
      <c r="F541" t="s">
        <v>3559</v>
      </c>
      <c r="G541" t="s">
        <v>4429</v>
      </c>
      <c r="H541">
        <v>0</v>
      </c>
      <c r="I541">
        <v>650</v>
      </c>
      <c r="J541">
        <v>532</v>
      </c>
      <c r="K541" t="str">
        <f t="shared" si="8"/>
        <v>harv342283</v>
      </c>
      <c r="M541" t="s">
        <v>1067</v>
      </c>
      <c r="N541" t="s">
        <v>1163</v>
      </c>
      <c r="Q541" t="s">
        <v>3749</v>
      </c>
      <c r="R541" t="s">
        <v>2814</v>
      </c>
      <c r="U541">
        <v>50</v>
      </c>
      <c r="V541">
        <v>2</v>
      </c>
      <c r="W541">
        <v>50</v>
      </c>
      <c r="X541">
        <v>34.200000000000003</v>
      </c>
      <c r="Y541">
        <v>28.3</v>
      </c>
    </row>
    <row r="542" spans="1:25" x14ac:dyDescent="0.25">
      <c r="A542" t="s">
        <v>4430</v>
      </c>
      <c r="B542">
        <v>1147</v>
      </c>
      <c r="C542">
        <v>226</v>
      </c>
      <c r="D542" t="s">
        <v>23</v>
      </c>
      <c r="E542" t="s">
        <v>4093</v>
      </c>
      <c r="F542" t="s">
        <v>3559</v>
      </c>
      <c r="G542" t="s">
        <v>4431</v>
      </c>
      <c r="H542">
        <v>0</v>
      </c>
      <c r="I542">
        <v>617</v>
      </c>
      <c r="J542">
        <v>236</v>
      </c>
      <c r="K542" t="str">
        <f t="shared" si="8"/>
        <v>harv325129</v>
      </c>
      <c r="M542" t="s">
        <v>1067</v>
      </c>
      <c r="N542" t="s">
        <v>1129</v>
      </c>
      <c r="Q542" t="s">
        <v>3749</v>
      </c>
      <c r="R542" t="s">
        <v>2812</v>
      </c>
      <c r="U542">
        <v>50</v>
      </c>
      <c r="V542">
        <v>2</v>
      </c>
      <c r="W542">
        <v>50</v>
      </c>
      <c r="X542">
        <v>32.5</v>
      </c>
      <c r="Y542">
        <v>12.9</v>
      </c>
    </row>
    <row r="543" spans="1:25" x14ac:dyDescent="0.25">
      <c r="A543" t="s">
        <v>4432</v>
      </c>
      <c r="B543">
        <v>1148</v>
      </c>
      <c r="C543">
        <v>227</v>
      </c>
      <c r="D543" t="s">
        <v>23</v>
      </c>
      <c r="E543" t="s">
        <v>4093</v>
      </c>
      <c r="F543" t="s">
        <v>3559</v>
      </c>
      <c r="G543" t="s">
        <v>4433</v>
      </c>
      <c r="H543">
        <v>0</v>
      </c>
      <c r="I543">
        <v>650</v>
      </c>
      <c r="J543">
        <v>532</v>
      </c>
      <c r="K543" t="str">
        <f t="shared" si="8"/>
        <v>harv342283</v>
      </c>
      <c r="M543" t="s">
        <v>1067</v>
      </c>
      <c r="N543" t="s">
        <v>1163</v>
      </c>
      <c r="Q543" t="s">
        <v>3749</v>
      </c>
      <c r="R543" t="s">
        <v>2814</v>
      </c>
      <c r="U543">
        <v>50</v>
      </c>
      <c r="V543">
        <v>2</v>
      </c>
      <c r="W543">
        <v>50</v>
      </c>
      <c r="X543">
        <v>34.200000000000003</v>
      </c>
      <c r="Y543">
        <v>28.3</v>
      </c>
    </row>
    <row r="544" spans="1:25" x14ac:dyDescent="0.25">
      <c r="A544" t="s">
        <v>4434</v>
      </c>
      <c r="B544">
        <v>1149</v>
      </c>
      <c r="C544">
        <v>228</v>
      </c>
      <c r="D544" t="s">
        <v>23</v>
      </c>
      <c r="E544" t="s">
        <v>4093</v>
      </c>
      <c r="F544" t="s">
        <v>3559</v>
      </c>
      <c r="G544" t="s">
        <v>4435</v>
      </c>
      <c r="H544">
        <v>0</v>
      </c>
      <c r="I544">
        <v>297</v>
      </c>
      <c r="J544">
        <v>381</v>
      </c>
      <c r="K544" t="str">
        <f t="shared" si="8"/>
        <v>harv159205</v>
      </c>
      <c r="M544" t="s">
        <v>1067</v>
      </c>
      <c r="N544" t="s">
        <v>1255</v>
      </c>
      <c r="Q544" t="s">
        <v>3749</v>
      </c>
      <c r="R544" t="s">
        <v>2807</v>
      </c>
      <c r="U544">
        <v>50</v>
      </c>
      <c r="V544">
        <v>2</v>
      </c>
      <c r="W544">
        <v>50</v>
      </c>
      <c r="X544">
        <v>15.9</v>
      </c>
      <c r="Y544">
        <v>20.5</v>
      </c>
    </row>
    <row r="545" spans="1:25" x14ac:dyDescent="0.25">
      <c r="A545" t="s">
        <v>4436</v>
      </c>
      <c r="B545">
        <v>1150</v>
      </c>
      <c r="C545">
        <v>229</v>
      </c>
      <c r="D545" t="s">
        <v>23</v>
      </c>
      <c r="E545" t="s">
        <v>4093</v>
      </c>
      <c r="F545" t="s">
        <v>3559</v>
      </c>
      <c r="G545" t="s">
        <v>3793</v>
      </c>
      <c r="H545">
        <v>0</v>
      </c>
      <c r="I545">
        <v>617</v>
      </c>
      <c r="J545">
        <v>236</v>
      </c>
      <c r="K545" t="str">
        <f t="shared" si="8"/>
        <v>harv325129</v>
      </c>
      <c r="L545" t="s">
        <v>3620</v>
      </c>
      <c r="M545" t="s">
        <v>1067</v>
      </c>
      <c r="N545" t="s">
        <v>1129</v>
      </c>
      <c r="Q545" t="s">
        <v>3749</v>
      </c>
      <c r="R545" t="s">
        <v>2812</v>
      </c>
      <c r="U545">
        <v>50</v>
      </c>
      <c r="V545">
        <v>2</v>
      </c>
      <c r="W545">
        <v>50</v>
      </c>
      <c r="X545">
        <v>32.5</v>
      </c>
      <c r="Y545">
        <v>12.9</v>
      </c>
    </row>
    <row r="546" spans="1:25" x14ac:dyDescent="0.25">
      <c r="A546" t="s">
        <v>4437</v>
      </c>
      <c r="B546">
        <v>1151</v>
      </c>
      <c r="C546">
        <v>230</v>
      </c>
      <c r="D546" t="s">
        <v>23</v>
      </c>
      <c r="E546" t="s">
        <v>4093</v>
      </c>
      <c r="F546" t="s">
        <v>3559</v>
      </c>
      <c r="G546" t="s">
        <v>3793</v>
      </c>
      <c r="H546">
        <v>0</v>
      </c>
      <c r="I546">
        <v>521</v>
      </c>
      <c r="J546">
        <v>621</v>
      </c>
      <c r="K546" t="str">
        <f t="shared" si="8"/>
        <v>harv274327</v>
      </c>
      <c r="L546" t="s">
        <v>3620</v>
      </c>
      <c r="M546" t="s">
        <v>1067</v>
      </c>
      <c r="N546" t="s">
        <v>1144</v>
      </c>
      <c r="Q546" t="s">
        <v>3749</v>
      </c>
      <c r="R546" t="s">
        <v>2811</v>
      </c>
      <c r="U546">
        <v>50</v>
      </c>
      <c r="V546">
        <v>2</v>
      </c>
      <c r="W546">
        <v>50</v>
      </c>
      <c r="X546">
        <v>27.4</v>
      </c>
      <c r="Y546">
        <v>32.700000000000003</v>
      </c>
    </row>
    <row r="547" spans="1:25" x14ac:dyDescent="0.25">
      <c r="A547" t="s">
        <v>4438</v>
      </c>
      <c r="B547">
        <v>1152</v>
      </c>
      <c r="C547">
        <v>231</v>
      </c>
      <c r="D547" t="s">
        <v>23</v>
      </c>
      <c r="E547" t="s">
        <v>4093</v>
      </c>
      <c r="F547" t="s">
        <v>3559</v>
      </c>
      <c r="G547" t="s">
        <v>3793</v>
      </c>
      <c r="H547">
        <v>0</v>
      </c>
      <c r="I547">
        <v>328</v>
      </c>
      <c r="J547">
        <v>518</v>
      </c>
      <c r="K547" t="str">
        <f t="shared" si="8"/>
        <v>harv175275</v>
      </c>
      <c r="L547" t="s">
        <v>3620</v>
      </c>
      <c r="M547" t="s">
        <v>1067</v>
      </c>
      <c r="N547" t="s">
        <v>1153</v>
      </c>
      <c r="Q547" t="s">
        <v>3749</v>
      </c>
      <c r="R547" t="s">
        <v>2820</v>
      </c>
      <c r="U547">
        <v>50</v>
      </c>
      <c r="V547">
        <v>2</v>
      </c>
      <c r="W547">
        <v>50</v>
      </c>
      <c r="X547">
        <v>17.5</v>
      </c>
      <c r="Y547">
        <v>27.5</v>
      </c>
    </row>
    <row r="548" spans="1:25" x14ac:dyDescent="0.25">
      <c r="A548" t="s">
        <v>4439</v>
      </c>
      <c r="B548">
        <v>1153</v>
      </c>
      <c r="C548">
        <v>232</v>
      </c>
      <c r="D548" t="s">
        <v>23</v>
      </c>
      <c r="E548" t="s">
        <v>4093</v>
      </c>
      <c r="F548" t="s">
        <v>3559</v>
      </c>
      <c r="G548" t="s">
        <v>3793</v>
      </c>
      <c r="H548">
        <v>0</v>
      </c>
      <c r="I548">
        <v>650</v>
      </c>
      <c r="J548">
        <v>532</v>
      </c>
      <c r="K548" t="str">
        <f t="shared" si="8"/>
        <v>harv342283</v>
      </c>
      <c r="L548" t="s">
        <v>3620</v>
      </c>
      <c r="M548" t="s">
        <v>1067</v>
      </c>
      <c r="N548" t="s">
        <v>1163</v>
      </c>
      <c r="Q548" t="s">
        <v>3749</v>
      </c>
      <c r="R548" t="s">
        <v>2814</v>
      </c>
      <c r="U548">
        <v>50</v>
      </c>
      <c r="V548">
        <v>2</v>
      </c>
      <c r="W548">
        <v>50</v>
      </c>
      <c r="X548">
        <v>34.200000000000003</v>
      </c>
      <c r="Y548">
        <v>28.3</v>
      </c>
    </row>
    <row r="549" spans="1:25" x14ac:dyDescent="0.25">
      <c r="A549" t="s">
        <v>4440</v>
      </c>
      <c r="B549">
        <v>1154</v>
      </c>
      <c r="C549">
        <v>233</v>
      </c>
      <c r="D549" t="s">
        <v>23</v>
      </c>
      <c r="E549" t="s">
        <v>4093</v>
      </c>
      <c r="F549" t="s">
        <v>3559</v>
      </c>
      <c r="G549" t="s">
        <v>3793</v>
      </c>
      <c r="H549">
        <v>0</v>
      </c>
      <c r="I549">
        <v>297</v>
      </c>
      <c r="J549">
        <v>381</v>
      </c>
      <c r="K549" t="str">
        <f t="shared" si="8"/>
        <v>harv159205</v>
      </c>
      <c r="L549" t="s">
        <v>3620</v>
      </c>
      <c r="M549" t="s">
        <v>1067</v>
      </c>
      <c r="N549" t="s">
        <v>1255</v>
      </c>
      <c r="Q549" t="s">
        <v>3749</v>
      </c>
      <c r="R549" t="s">
        <v>2807</v>
      </c>
      <c r="U549">
        <v>50</v>
      </c>
      <c r="V549">
        <v>2</v>
      </c>
      <c r="W549">
        <v>50</v>
      </c>
      <c r="X549">
        <v>15.9</v>
      </c>
      <c r="Y549">
        <v>20.5</v>
      </c>
    </row>
    <row r="550" spans="1:25" x14ac:dyDescent="0.25">
      <c r="A550" t="s">
        <v>4441</v>
      </c>
      <c r="B550">
        <v>1155</v>
      </c>
      <c r="C550">
        <v>234</v>
      </c>
      <c r="D550" t="s">
        <v>23</v>
      </c>
      <c r="E550" t="s">
        <v>4093</v>
      </c>
      <c r="F550" t="s">
        <v>3559</v>
      </c>
      <c r="G550" t="s">
        <v>3793</v>
      </c>
      <c r="H550">
        <v>0</v>
      </c>
      <c r="I550">
        <v>251</v>
      </c>
      <c r="J550">
        <v>445</v>
      </c>
      <c r="K550" t="str">
        <f t="shared" si="8"/>
        <v>harv137238</v>
      </c>
      <c r="L550" t="s">
        <v>3620</v>
      </c>
      <c r="M550" t="s">
        <v>1067</v>
      </c>
      <c r="N550" t="s">
        <v>1272</v>
      </c>
      <c r="Q550" t="s">
        <v>3749</v>
      </c>
      <c r="R550" t="s">
        <v>2826</v>
      </c>
      <c r="U550">
        <v>50</v>
      </c>
      <c r="V550">
        <v>2</v>
      </c>
      <c r="W550">
        <v>50</v>
      </c>
      <c r="X550">
        <v>13.7</v>
      </c>
      <c r="Y550">
        <v>23.8</v>
      </c>
    </row>
    <row r="551" spans="1:25" x14ac:dyDescent="0.25">
      <c r="A551" t="s">
        <v>4442</v>
      </c>
      <c r="B551">
        <v>1156</v>
      </c>
      <c r="C551">
        <v>235</v>
      </c>
      <c r="D551" t="s">
        <v>23</v>
      </c>
      <c r="E551" t="s">
        <v>4093</v>
      </c>
      <c r="F551" t="s">
        <v>3559</v>
      </c>
      <c r="G551" t="s">
        <v>3793</v>
      </c>
      <c r="H551">
        <v>0</v>
      </c>
      <c r="I551">
        <v>412</v>
      </c>
      <c r="J551">
        <v>497</v>
      </c>
      <c r="K551" t="str">
        <f t="shared" si="8"/>
        <v>harv219264</v>
      </c>
      <c r="L551" t="s">
        <v>3620</v>
      </c>
      <c r="M551" t="s">
        <v>1067</v>
      </c>
      <c r="N551" t="s">
        <v>1284</v>
      </c>
      <c r="Q551" t="s">
        <v>3749</v>
      </c>
      <c r="R551" t="s">
        <v>2806</v>
      </c>
      <c r="U551">
        <v>50</v>
      </c>
      <c r="V551">
        <v>2</v>
      </c>
      <c r="W551">
        <v>50</v>
      </c>
      <c r="X551">
        <v>21.9</v>
      </c>
      <c r="Y551">
        <v>26.4</v>
      </c>
    </row>
    <row r="552" spans="1:25" x14ac:dyDescent="0.25">
      <c r="A552" t="s">
        <v>4443</v>
      </c>
      <c r="B552">
        <v>1157</v>
      </c>
      <c r="C552">
        <v>236</v>
      </c>
      <c r="D552" t="s">
        <v>23</v>
      </c>
      <c r="E552" t="s">
        <v>4093</v>
      </c>
      <c r="F552" t="s">
        <v>3559</v>
      </c>
      <c r="G552" t="s">
        <v>3793</v>
      </c>
      <c r="H552">
        <v>0</v>
      </c>
      <c r="I552">
        <v>328</v>
      </c>
      <c r="J552">
        <v>364</v>
      </c>
      <c r="K552" t="str">
        <f t="shared" si="8"/>
        <v>harv176193</v>
      </c>
      <c r="L552" t="s">
        <v>3620</v>
      </c>
      <c r="M552" t="s">
        <v>1067</v>
      </c>
      <c r="N552" t="s">
        <v>1294</v>
      </c>
      <c r="Q552" t="s">
        <v>3749</v>
      </c>
      <c r="R552" t="s">
        <v>2811</v>
      </c>
      <c r="U552">
        <v>50</v>
      </c>
      <c r="V552">
        <v>2</v>
      </c>
      <c r="W552">
        <v>50</v>
      </c>
      <c r="X552">
        <v>17.600000000000001</v>
      </c>
      <c r="Y552">
        <v>19.3</v>
      </c>
    </row>
    <row r="553" spans="1:25" x14ac:dyDescent="0.25">
      <c r="A553" t="s">
        <v>4444</v>
      </c>
      <c r="B553">
        <v>1158</v>
      </c>
      <c r="C553">
        <v>237</v>
      </c>
      <c r="D553" t="s">
        <v>23</v>
      </c>
      <c r="E553" t="s">
        <v>4093</v>
      </c>
      <c r="F553" t="s">
        <v>3559</v>
      </c>
      <c r="G553" t="s">
        <v>3793</v>
      </c>
      <c r="H553">
        <v>0</v>
      </c>
      <c r="I553">
        <v>224</v>
      </c>
      <c r="J553">
        <v>290</v>
      </c>
      <c r="K553" t="str">
        <f t="shared" si="8"/>
        <v>harv123158</v>
      </c>
      <c r="L553" t="s">
        <v>3620</v>
      </c>
      <c r="M553" t="s">
        <v>1067</v>
      </c>
      <c r="N553" t="s">
        <v>1448</v>
      </c>
      <c r="Q553" t="s">
        <v>3749</v>
      </c>
      <c r="R553" t="s">
        <v>2820</v>
      </c>
      <c r="U553">
        <v>50</v>
      </c>
      <c r="V553">
        <v>2</v>
      </c>
      <c r="W553">
        <v>50</v>
      </c>
      <c r="X553">
        <v>12.3</v>
      </c>
      <c r="Y553">
        <v>15.8</v>
      </c>
    </row>
    <row r="554" spans="1:25" x14ac:dyDescent="0.25">
      <c r="A554" t="s">
        <v>4445</v>
      </c>
      <c r="B554">
        <v>1159</v>
      </c>
      <c r="C554">
        <v>238</v>
      </c>
      <c r="D554" t="s">
        <v>23</v>
      </c>
      <c r="E554" t="s">
        <v>4093</v>
      </c>
      <c r="F554" t="s">
        <v>3559</v>
      </c>
      <c r="G554" t="s">
        <v>3793</v>
      </c>
      <c r="H554">
        <v>0</v>
      </c>
      <c r="I554">
        <v>475</v>
      </c>
      <c r="J554">
        <v>233</v>
      </c>
      <c r="K554" t="str">
        <f t="shared" si="8"/>
        <v>harv265133</v>
      </c>
      <c r="L554" t="s">
        <v>3620</v>
      </c>
      <c r="M554" t="s">
        <v>11</v>
      </c>
      <c r="N554" t="s">
        <v>1662</v>
      </c>
      <c r="Q554" t="s">
        <v>3749</v>
      </c>
      <c r="R554" t="s">
        <v>2830</v>
      </c>
      <c r="U554">
        <v>50</v>
      </c>
      <c r="V554">
        <v>2</v>
      </c>
      <c r="W554">
        <v>50</v>
      </c>
      <c r="X554">
        <v>26.5</v>
      </c>
      <c r="Y554">
        <v>13.3</v>
      </c>
    </row>
    <row r="555" spans="1:25" x14ac:dyDescent="0.25">
      <c r="A555" t="s">
        <v>4446</v>
      </c>
      <c r="B555">
        <v>1160</v>
      </c>
      <c r="C555">
        <v>239</v>
      </c>
      <c r="D555" t="s">
        <v>23</v>
      </c>
      <c r="E555" t="s">
        <v>4093</v>
      </c>
      <c r="F555" t="s">
        <v>3559</v>
      </c>
      <c r="G555" t="s">
        <v>4447</v>
      </c>
      <c r="H555">
        <v>0</v>
      </c>
      <c r="I555">
        <v>475</v>
      </c>
      <c r="J555">
        <v>233</v>
      </c>
      <c r="K555" t="str">
        <f t="shared" si="8"/>
        <v>harv265133</v>
      </c>
      <c r="M555" t="s">
        <v>11</v>
      </c>
      <c r="N555" t="s">
        <v>1662</v>
      </c>
      <c r="Q555" t="s">
        <v>3749</v>
      </c>
      <c r="R555" t="s">
        <v>2830</v>
      </c>
      <c r="U555">
        <v>50</v>
      </c>
      <c r="V555">
        <v>3</v>
      </c>
      <c r="W555">
        <v>50</v>
      </c>
      <c r="X555">
        <v>26.5</v>
      </c>
      <c r="Y555">
        <v>13.3</v>
      </c>
    </row>
    <row r="556" spans="1:25" x14ac:dyDescent="0.25">
      <c r="A556" t="s">
        <v>4448</v>
      </c>
      <c r="B556">
        <v>1161</v>
      </c>
      <c r="C556">
        <v>240</v>
      </c>
      <c r="D556" t="s">
        <v>23</v>
      </c>
      <c r="E556" t="s">
        <v>4093</v>
      </c>
      <c r="F556" t="s">
        <v>3559</v>
      </c>
      <c r="G556" t="s">
        <v>4449</v>
      </c>
      <c r="H556">
        <v>0</v>
      </c>
      <c r="I556">
        <v>475</v>
      </c>
      <c r="J556">
        <v>233</v>
      </c>
      <c r="K556" t="str">
        <f t="shared" si="8"/>
        <v>harv265133</v>
      </c>
      <c r="M556" t="s">
        <v>11</v>
      </c>
      <c r="N556" t="s">
        <v>1662</v>
      </c>
      <c r="Q556" t="s">
        <v>3749</v>
      </c>
      <c r="R556" t="s">
        <v>2830</v>
      </c>
      <c r="U556">
        <v>50</v>
      </c>
      <c r="V556">
        <v>3</v>
      </c>
      <c r="W556">
        <v>50</v>
      </c>
      <c r="X556">
        <v>26.5</v>
      </c>
      <c r="Y556">
        <v>13.3</v>
      </c>
    </row>
    <row r="557" spans="1:25" x14ac:dyDescent="0.25">
      <c r="A557" t="s">
        <v>4450</v>
      </c>
      <c r="B557">
        <v>1162</v>
      </c>
      <c r="C557">
        <v>241</v>
      </c>
      <c r="D557" t="s">
        <v>23</v>
      </c>
      <c r="E557" t="s">
        <v>4093</v>
      </c>
      <c r="F557" t="s">
        <v>3559</v>
      </c>
      <c r="G557" t="s">
        <v>4451</v>
      </c>
      <c r="H557">
        <v>0</v>
      </c>
      <c r="I557">
        <v>423</v>
      </c>
      <c r="J557">
        <v>571</v>
      </c>
      <c r="K557" t="str">
        <f t="shared" si="8"/>
        <v>harv226305</v>
      </c>
      <c r="M557" t="s">
        <v>1067</v>
      </c>
      <c r="N557" t="s">
        <v>1284</v>
      </c>
      <c r="Q557" t="s">
        <v>3749</v>
      </c>
      <c r="R557" t="s">
        <v>2822</v>
      </c>
      <c r="U557">
        <v>50</v>
      </c>
      <c r="V557">
        <v>3</v>
      </c>
      <c r="W557">
        <v>50</v>
      </c>
      <c r="X557">
        <v>22.6</v>
      </c>
      <c r="Y557">
        <v>30.5</v>
      </c>
    </row>
    <row r="558" spans="1:25" x14ac:dyDescent="0.25">
      <c r="A558" t="s">
        <v>4452</v>
      </c>
      <c r="B558">
        <v>1163</v>
      </c>
      <c r="C558">
        <v>242</v>
      </c>
      <c r="D558" t="s">
        <v>23</v>
      </c>
      <c r="E558" t="s">
        <v>4093</v>
      </c>
      <c r="F558" t="s">
        <v>3559</v>
      </c>
      <c r="G558" t="s">
        <v>4453</v>
      </c>
      <c r="H558">
        <v>0</v>
      </c>
      <c r="I558">
        <v>321</v>
      </c>
      <c r="J558">
        <v>289</v>
      </c>
      <c r="K558" t="str">
        <f t="shared" si="8"/>
        <v>harv181166</v>
      </c>
      <c r="M558" t="s">
        <v>11</v>
      </c>
      <c r="N558" t="s">
        <v>1545</v>
      </c>
      <c r="Q558" t="s">
        <v>11083</v>
      </c>
      <c r="U558">
        <v>51</v>
      </c>
      <c r="V558">
        <v>0</v>
      </c>
      <c r="W558">
        <v>55</v>
      </c>
      <c r="X558">
        <v>18.100000000000001</v>
      </c>
      <c r="Y558">
        <v>16.600000000000001</v>
      </c>
    </row>
    <row r="559" spans="1:25" x14ac:dyDescent="0.25">
      <c r="A559" t="s">
        <v>4454</v>
      </c>
      <c r="B559">
        <v>1164</v>
      </c>
      <c r="C559">
        <v>243</v>
      </c>
      <c r="D559" t="s">
        <v>23</v>
      </c>
      <c r="E559" t="s">
        <v>4093</v>
      </c>
      <c r="F559" t="s">
        <v>3559</v>
      </c>
      <c r="G559" t="s">
        <v>4455</v>
      </c>
      <c r="H559">
        <v>0</v>
      </c>
      <c r="I559">
        <v>561</v>
      </c>
      <c r="J559">
        <v>334</v>
      </c>
      <c r="K559" t="str">
        <f t="shared" si="8"/>
        <v>harv311189</v>
      </c>
      <c r="M559" t="s">
        <v>11</v>
      </c>
      <c r="N559" t="s">
        <v>1532</v>
      </c>
      <c r="Q559" t="s">
        <v>3749</v>
      </c>
      <c r="R559" t="s">
        <v>2834</v>
      </c>
      <c r="U559">
        <v>52</v>
      </c>
      <c r="V559">
        <v>0</v>
      </c>
      <c r="W559">
        <v>55</v>
      </c>
      <c r="X559">
        <v>31.1</v>
      </c>
      <c r="Y559">
        <v>18.899999999999999</v>
      </c>
    </row>
    <row r="560" spans="1:25" x14ac:dyDescent="0.25">
      <c r="A560" t="s">
        <v>4456</v>
      </c>
      <c r="B560">
        <v>1165</v>
      </c>
      <c r="C560">
        <v>244</v>
      </c>
      <c r="D560" t="s">
        <v>23</v>
      </c>
      <c r="E560" t="s">
        <v>4093</v>
      </c>
      <c r="F560" t="s">
        <v>3559</v>
      </c>
      <c r="G560" t="s">
        <v>4457</v>
      </c>
      <c r="H560">
        <v>0</v>
      </c>
      <c r="I560">
        <v>321</v>
      </c>
      <c r="J560">
        <v>289</v>
      </c>
      <c r="K560" t="str">
        <f t="shared" si="8"/>
        <v>harv181166</v>
      </c>
      <c r="M560" t="s">
        <v>11</v>
      </c>
      <c r="N560" t="s">
        <v>1545</v>
      </c>
      <c r="Q560" t="s">
        <v>11083</v>
      </c>
      <c r="U560">
        <v>52</v>
      </c>
      <c r="V560">
        <v>0</v>
      </c>
      <c r="W560">
        <v>55</v>
      </c>
      <c r="X560">
        <v>18.100000000000001</v>
      </c>
      <c r="Y560">
        <v>16.600000000000001</v>
      </c>
    </row>
    <row r="561" spans="1:25" x14ac:dyDescent="0.25">
      <c r="A561" t="s">
        <v>4458</v>
      </c>
      <c r="B561">
        <v>1166</v>
      </c>
      <c r="C561">
        <v>245</v>
      </c>
      <c r="D561" t="s">
        <v>23</v>
      </c>
      <c r="E561" t="s">
        <v>4093</v>
      </c>
      <c r="F561" t="s">
        <v>3559</v>
      </c>
      <c r="G561" t="s">
        <v>4459</v>
      </c>
      <c r="H561">
        <v>0</v>
      </c>
      <c r="I561">
        <v>561</v>
      </c>
      <c r="J561">
        <v>334</v>
      </c>
      <c r="K561" t="str">
        <f t="shared" si="8"/>
        <v>harv311189</v>
      </c>
      <c r="M561" t="s">
        <v>11</v>
      </c>
      <c r="N561" t="s">
        <v>1532</v>
      </c>
      <c r="Q561" t="s">
        <v>3749</v>
      </c>
      <c r="R561" t="s">
        <v>2834</v>
      </c>
      <c r="U561">
        <v>52</v>
      </c>
      <c r="V561">
        <v>0</v>
      </c>
      <c r="W561">
        <v>55</v>
      </c>
      <c r="X561">
        <v>31.1</v>
      </c>
      <c r="Y561">
        <v>18.899999999999999</v>
      </c>
    </row>
    <row r="562" spans="1:25" x14ac:dyDescent="0.25">
      <c r="A562" t="s">
        <v>4460</v>
      </c>
      <c r="B562">
        <v>1167</v>
      </c>
      <c r="C562">
        <v>246</v>
      </c>
      <c r="D562" t="s">
        <v>23</v>
      </c>
      <c r="E562" t="s">
        <v>4093</v>
      </c>
      <c r="F562" t="s">
        <v>3559</v>
      </c>
      <c r="G562" t="s">
        <v>4461</v>
      </c>
      <c r="H562">
        <v>0</v>
      </c>
      <c r="I562">
        <v>682</v>
      </c>
      <c r="J562">
        <v>345</v>
      </c>
      <c r="K562" t="str">
        <f t="shared" si="8"/>
        <v>harv375195</v>
      </c>
      <c r="L562" t="s">
        <v>3620</v>
      </c>
      <c r="M562" t="s">
        <v>11</v>
      </c>
      <c r="N562" t="s">
        <v>1662</v>
      </c>
      <c r="Q562" t="s">
        <v>11083</v>
      </c>
      <c r="U562">
        <v>53</v>
      </c>
      <c r="V562">
        <v>0</v>
      </c>
      <c r="W562">
        <v>55</v>
      </c>
      <c r="X562">
        <v>37.5</v>
      </c>
      <c r="Y562">
        <v>19.5</v>
      </c>
    </row>
    <row r="563" spans="1:25" x14ac:dyDescent="0.25">
      <c r="A563" t="s">
        <v>4462</v>
      </c>
      <c r="B563">
        <v>1168</v>
      </c>
      <c r="C563">
        <v>247</v>
      </c>
      <c r="D563" t="s">
        <v>23</v>
      </c>
      <c r="E563" t="s">
        <v>4093</v>
      </c>
      <c r="F563" t="s">
        <v>3559</v>
      </c>
      <c r="G563" t="s">
        <v>4463</v>
      </c>
      <c r="H563">
        <v>0</v>
      </c>
      <c r="I563">
        <v>682</v>
      </c>
      <c r="J563">
        <v>345</v>
      </c>
      <c r="K563" t="str">
        <f t="shared" si="8"/>
        <v>harv375195</v>
      </c>
      <c r="M563" t="s">
        <v>11</v>
      </c>
      <c r="N563" t="s">
        <v>1662</v>
      </c>
      <c r="Q563" t="s">
        <v>11083</v>
      </c>
      <c r="U563">
        <v>53</v>
      </c>
      <c r="V563">
        <v>0</v>
      </c>
      <c r="W563">
        <v>55</v>
      </c>
      <c r="X563">
        <v>37.5</v>
      </c>
      <c r="Y563">
        <v>19.5</v>
      </c>
    </row>
    <row r="564" spans="1:25" x14ac:dyDescent="0.25">
      <c r="A564" t="s">
        <v>4464</v>
      </c>
      <c r="B564">
        <v>1169</v>
      </c>
      <c r="C564">
        <v>248</v>
      </c>
      <c r="D564" t="s">
        <v>23</v>
      </c>
      <c r="E564" t="s">
        <v>4093</v>
      </c>
      <c r="F564" t="s">
        <v>3559</v>
      </c>
      <c r="G564" t="s">
        <v>4465</v>
      </c>
      <c r="H564">
        <v>0</v>
      </c>
      <c r="I564">
        <v>561</v>
      </c>
      <c r="J564">
        <v>334</v>
      </c>
      <c r="K564" t="str">
        <f t="shared" si="8"/>
        <v>harv311189</v>
      </c>
      <c r="M564" t="s">
        <v>11</v>
      </c>
      <c r="N564" t="s">
        <v>1532</v>
      </c>
      <c r="Q564" t="s">
        <v>3749</v>
      </c>
      <c r="R564" t="s">
        <v>2834</v>
      </c>
      <c r="U564">
        <v>53</v>
      </c>
      <c r="V564">
        <v>0</v>
      </c>
      <c r="W564">
        <v>55</v>
      </c>
      <c r="X564">
        <v>31.1</v>
      </c>
      <c r="Y564">
        <v>18.899999999999999</v>
      </c>
    </row>
    <row r="565" spans="1:25" x14ac:dyDescent="0.25">
      <c r="A565" t="s">
        <v>4466</v>
      </c>
      <c r="B565">
        <v>1170</v>
      </c>
      <c r="C565">
        <v>249</v>
      </c>
      <c r="D565" t="s">
        <v>23</v>
      </c>
      <c r="E565" t="s">
        <v>4093</v>
      </c>
      <c r="F565" t="s">
        <v>3559</v>
      </c>
      <c r="G565" t="s">
        <v>4467</v>
      </c>
      <c r="H565">
        <v>0</v>
      </c>
      <c r="I565">
        <v>561</v>
      </c>
      <c r="J565">
        <v>334</v>
      </c>
      <c r="K565" t="str">
        <f t="shared" si="8"/>
        <v>harv311189</v>
      </c>
      <c r="M565" t="s">
        <v>11</v>
      </c>
      <c r="N565" t="s">
        <v>1532</v>
      </c>
      <c r="Q565" t="s">
        <v>3749</v>
      </c>
      <c r="R565" t="s">
        <v>2834</v>
      </c>
      <c r="U565">
        <v>53</v>
      </c>
      <c r="V565">
        <v>0</v>
      </c>
      <c r="W565">
        <v>55</v>
      </c>
      <c r="X565">
        <v>31.1</v>
      </c>
      <c r="Y565">
        <v>18.899999999999999</v>
      </c>
    </row>
    <row r="566" spans="1:25" x14ac:dyDescent="0.25">
      <c r="A566" t="s">
        <v>4468</v>
      </c>
      <c r="B566">
        <v>1171</v>
      </c>
      <c r="C566">
        <v>250</v>
      </c>
      <c r="D566" t="s">
        <v>23</v>
      </c>
      <c r="E566" t="s">
        <v>4093</v>
      </c>
      <c r="F566" t="s">
        <v>3559</v>
      </c>
      <c r="G566" t="s">
        <v>4469</v>
      </c>
      <c r="H566">
        <v>0</v>
      </c>
      <c r="I566">
        <v>682</v>
      </c>
      <c r="J566">
        <v>345</v>
      </c>
      <c r="K566" t="str">
        <f t="shared" si="8"/>
        <v>harv375195</v>
      </c>
      <c r="M566" t="s">
        <v>11</v>
      </c>
      <c r="N566" t="s">
        <v>1662</v>
      </c>
      <c r="Q566" t="s">
        <v>11083</v>
      </c>
      <c r="U566">
        <v>54</v>
      </c>
      <c r="V566">
        <v>0</v>
      </c>
      <c r="W566">
        <v>55</v>
      </c>
      <c r="X566">
        <v>37.5</v>
      </c>
      <c r="Y566">
        <v>19.5</v>
      </c>
    </row>
    <row r="567" spans="1:25" x14ac:dyDescent="0.25">
      <c r="A567" t="s">
        <v>4470</v>
      </c>
      <c r="B567">
        <v>1172</v>
      </c>
      <c r="C567">
        <v>251</v>
      </c>
      <c r="D567" t="s">
        <v>23</v>
      </c>
      <c r="E567" t="s">
        <v>4093</v>
      </c>
      <c r="F567" t="s">
        <v>3559</v>
      </c>
      <c r="G567" t="s">
        <v>4471</v>
      </c>
      <c r="H567">
        <v>0</v>
      </c>
      <c r="I567">
        <v>394</v>
      </c>
      <c r="J567">
        <v>398</v>
      </c>
      <c r="K567" t="str">
        <f t="shared" si="8"/>
        <v>harv221224</v>
      </c>
      <c r="M567" t="s">
        <v>11</v>
      </c>
      <c r="N567" t="s">
        <v>1728</v>
      </c>
      <c r="Q567" t="s">
        <v>11083</v>
      </c>
      <c r="U567">
        <v>55</v>
      </c>
      <c r="V567">
        <v>0</v>
      </c>
      <c r="W567">
        <v>55</v>
      </c>
      <c r="X567">
        <v>22.1</v>
      </c>
      <c r="Y567">
        <v>22.4</v>
      </c>
    </row>
    <row r="568" spans="1:25" x14ac:dyDescent="0.25">
      <c r="A568" t="s">
        <v>4472</v>
      </c>
      <c r="B568">
        <v>1173</v>
      </c>
      <c r="C568">
        <v>252</v>
      </c>
      <c r="D568" t="s">
        <v>23</v>
      </c>
      <c r="E568" t="s">
        <v>4093</v>
      </c>
      <c r="F568" t="s">
        <v>3559</v>
      </c>
      <c r="G568" t="s">
        <v>4473</v>
      </c>
      <c r="H568">
        <v>0</v>
      </c>
      <c r="I568">
        <v>394</v>
      </c>
      <c r="J568">
        <v>398</v>
      </c>
      <c r="K568" t="str">
        <f t="shared" si="8"/>
        <v>harv221224</v>
      </c>
      <c r="L568" t="s">
        <v>3620</v>
      </c>
      <c r="M568" t="s">
        <v>11</v>
      </c>
      <c r="N568" t="s">
        <v>1728</v>
      </c>
      <c r="Q568" t="s">
        <v>11083</v>
      </c>
      <c r="U568">
        <v>55</v>
      </c>
      <c r="V568">
        <v>0</v>
      </c>
      <c r="W568">
        <v>55</v>
      </c>
      <c r="X568">
        <v>22.1</v>
      </c>
      <c r="Y568">
        <v>22.4</v>
      </c>
    </row>
    <row r="569" spans="1:25" x14ac:dyDescent="0.25">
      <c r="A569" t="s">
        <v>4474</v>
      </c>
      <c r="B569">
        <v>1174</v>
      </c>
      <c r="C569">
        <v>253</v>
      </c>
      <c r="D569" t="s">
        <v>23</v>
      </c>
      <c r="E569" t="s">
        <v>4093</v>
      </c>
      <c r="F569" t="s">
        <v>3559</v>
      </c>
      <c r="G569" t="s">
        <v>4475</v>
      </c>
      <c r="H569">
        <v>0</v>
      </c>
      <c r="I569">
        <v>561</v>
      </c>
      <c r="J569">
        <v>334</v>
      </c>
      <c r="K569" t="str">
        <f t="shared" si="8"/>
        <v>harv311189</v>
      </c>
      <c r="M569" t="s">
        <v>11</v>
      </c>
      <c r="N569" t="s">
        <v>1532</v>
      </c>
      <c r="Q569" t="s">
        <v>3749</v>
      </c>
      <c r="R569" t="s">
        <v>2834</v>
      </c>
      <c r="U569">
        <v>55</v>
      </c>
      <c r="V569">
        <v>0</v>
      </c>
      <c r="W569">
        <v>55</v>
      </c>
      <c r="X569">
        <v>31.1</v>
      </c>
      <c r="Y569">
        <v>18.899999999999999</v>
      </c>
    </row>
    <row r="570" spans="1:25" x14ac:dyDescent="0.25">
      <c r="A570" t="s">
        <v>4476</v>
      </c>
      <c r="B570">
        <v>1175</v>
      </c>
      <c r="C570">
        <v>254</v>
      </c>
      <c r="D570" t="s">
        <v>23</v>
      </c>
      <c r="E570" t="s">
        <v>4093</v>
      </c>
      <c r="F570" t="s">
        <v>3559</v>
      </c>
      <c r="G570" t="s">
        <v>4477</v>
      </c>
      <c r="H570">
        <v>0</v>
      </c>
      <c r="I570">
        <v>455</v>
      </c>
      <c r="J570">
        <v>526</v>
      </c>
      <c r="K570" t="str">
        <f t="shared" si="8"/>
        <v>harv256293</v>
      </c>
      <c r="M570" t="s">
        <v>11</v>
      </c>
      <c r="N570" t="s">
        <v>1559</v>
      </c>
      <c r="Q570" t="s">
        <v>3669</v>
      </c>
      <c r="R570" t="s">
        <v>2805</v>
      </c>
      <c r="U570">
        <v>56</v>
      </c>
      <c r="V570">
        <v>0</v>
      </c>
      <c r="W570">
        <v>60</v>
      </c>
      <c r="X570">
        <v>25.6</v>
      </c>
      <c r="Y570">
        <v>29.3</v>
      </c>
    </row>
    <row r="571" spans="1:25" x14ac:dyDescent="0.25">
      <c r="A571" t="s">
        <v>4478</v>
      </c>
      <c r="B571">
        <v>1176</v>
      </c>
      <c r="C571">
        <v>255</v>
      </c>
      <c r="D571" t="s">
        <v>23</v>
      </c>
      <c r="E571" t="s">
        <v>4093</v>
      </c>
      <c r="F571" t="s">
        <v>3559</v>
      </c>
      <c r="G571" t="s">
        <v>4477</v>
      </c>
      <c r="H571">
        <v>0</v>
      </c>
      <c r="I571">
        <v>245</v>
      </c>
      <c r="J571">
        <v>365</v>
      </c>
      <c r="K571" t="str">
        <f t="shared" si="8"/>
        <v>harv138207</v>
      </c>
      <c r="M571" t="s">
        <v>11</v>
      </c>
      <c r="N571" t="s">
        <v>1608</v>
      </c>
      <c r="Q571" t="s">
        <v>3669</v>
      </c>
      <c r="R571" t="s">
        <v>2825</v>
      </c>
      <c r="U571">
        <v>56</v>
      </c>
      <c r="V571">
        <v>0</v>
      </c>
      <c r="W571">
        <v>60</v>
      </c>
      <c r="X571">
        <v>13.8</v>
      </c>
      <c r="Y571">
        <v>20.7</v>
      </c>
    </row>
    <row r="572" spans="1:25" x14ac:dyDescent="0.25">
      <c r="A572" t="s">
        <v>4479</v>
      </c>
      <c r="B572">
        <v>1177</v>
      </c>
      <c r="C572">
        <v>256</v>
      </c>
      <c r="D572" t="s">
        <v>23</v>
      </c>
      <c r="E572" t="s">
        <v>4093</v>
      </c>
      <c r="F572" t="s">
        <v>3559</v>
      </c>
      <c r="G572" t="s">
        <v>22</v>
      </c>
      <c r="H572">
        <v>0</v>
      </c>
      <c r="I572">
        <v>455</v>
      </c>
      <c r="J572">
        <v>526</v>
      </c>
      <c r="K572" t="str">
        <f t="shared" si="8"/>
        <v>harv256293</v>
      </c>
      <c r="L572" t="s">
        <v>3859</v>
      </c>
      <c r="M572" t="s">
        <v>11</v>
      </c>
      <c r="N572" t="s">
        <v>1559</v>
      </c>
      <c r="O572" t="s">
        <v>3886</v>
      </c>
      <c r="Q572" t="s">
        <v>3669</v>
      </c>
      <c r="R572" t="s">
        <v>2805</v>
      </c>
      <c r="U572">
        <v>56</v>
      </c>
      <c r="V572">
        <v>0</v>
      </c>
      <c r="W572">
        <v>60</v>
      </c>
      <c r="X572">
        <v>25.6</v>
      </c>
      <c r="Y572">
        <v>29.3</v>
      </c>
    </row>
    <row r="573" spans="1:25" x14ac:dyDescent="0.25">
      <c r="A573" t="s">
        <v>4480</v>
      </c>
      <c r="B573">
        <v>1178</v>
      </c>
      <c r="C573">
        <v>257</v>
      </c>
      <c r="D573" t="s">
        <v>23</v>
      </c>
      <c r="E573" t="s">
        <v>4093</v>
      </c>
      <c r="F573" t="s">
        <v>3559</v>
      </c>
      <c r="G573" t="s">
        <v>22</v>
      </c>
      <c r="H573">
        <v>0</v>
      </c>
      <c r="I573">
        <v>245</v>
      </c>
      <c r="J573">
        <v>365</v>
      </c>
      <c r="K573" t="str">
        <f t="shared" si="8"/>
        <v>harv138207</v>
      </c>
      <c r="L573" t="s">
        <v>3859</v>
      </c>
      <c r="M573" t="s">
        <v>11</v>
      </c>
      <c r="N573" t="s">
        <v>1608</v>
      </c>
      <c r="O573" t="s">
        <v>3886</v>
      </c>
      <c r="Q573" t="s">
        <v>3669</v>
      </c>
      <c r="R573" t="s">
        <v>2825</v>
      </c>
      <c r="U573">
        <v>56</v>
      </c>
      <c r="V573">
        <v>0</v>
      </c>
      <c r="W573">
        <v>60</v>
      </c>
      <c r="X573">
        <v>13.8</v>
      </c>
      <c r="Y573">
        <v>20.7</v>
      </c>
    </row>
    <row r="574" spans="1:25" x14ac:dyDescent="0.25">
      <c r="A574" t="s">
        <v>4481</v>
      </c>
      <c r="B574">
        <v>1179</v>
      </c>
      <c r="C574">
        <v>258</v>
      </c>
      <c r="D574" t="s">
        <v>23</v>
      </c>
      <c r="E574" t="s">
        <v>4093</v>
      </c>
      <c r="F574" t="s">
        <v>3559</v>
      </c>
      <c r="G574" t="s">
        <v>27</v>
      </c>
      <c r="H574">
        <v>0</v>
      </c>
      <c r="I574">
        <v>310</v>
      </c>
      <c r="J574">
        <v>575</v>
      </c>
      <c r="K574" t="str">
        <f t="shared" si="8"/>
        <v>harv175319</v>
      </c>
      <c r="L574" t="s">
        <v>3859</v>
      </c>
      <c r="M574" t="s">
        <v>11</v>
      </c>
      <c r="N574" t="s">
        <v>1672</v>
      </c>
      <c r="O574" t="s">
        <v>3886</v>
      </c>
      <c r="Q574" t="s">
        <v>3669</v>
      </c>
      <c r="R574" t="s">
        <v>2815</v>
      </c>
      <c r="U574">
        <v>56</v>
      </c>
      <c r="V574">
        <v>0</v>
      </c>
      <c r="W574">
        <v>60</v>
      </c>
      <c r="X574">
        <v>17.5</v>
      </c>
      <c r="Y574">
        <v>31.9</v>
      </c>
    </row>
    <row r="575" spans="1:25" x14ac:dyDescent="0.25">
      <c r="A575" t="s">
        <v>4482</v>
      </c>
      <c r="B575">
        <v>1180</v>
      </c>
      <c r="C575">
        <v>259</v>
      </c>
      <c r="D575" t="s">
        <v>23</v>
      </c>
      <c r="E575" t="s">
        <v>4093</v>
      </c>
      <c r="F575" t="s">
        <v>3559</v>
      </c>
      <c r="G575" t="s">
        <v>27</v>
      </c>
      <c r="H575">
        <v>0</v>
      </c>
      <c r="I575">
        <v>112</v>
      </c>
      <c r="J575">
        <v>499</v>
      </c>
      <c r="K575" t="str">
        <f t="shared" si="8"/>
        <v>harv68277</v>
      </c>
      <c r="L575" t="s">
        <v>3859</v>
      </c>
      <c r="M575" t="s">
        <v>11</v>
      </c>
      <c r="N575" t="s">
        <v>755</v>
      </c>
      <c r="O575" t="s">
        <v>3886</v>
      </c>
      <c r="Q575" t="s">
        <v>3669</v>
      </c>
      <c r="R575" t="s">
        <v>2810</v>
      </c>
      <c r="U575">
        <v>56</v>
      </c>
      <c r="V575">
        <v>0</v>
      </c>
      <c r="W575">
        <v>60</v>
      </c>
      <c r="X575">
        <v>6.8</v>
      </c>
      <c r="Y575">
        <v>27.7</v>
      </c>
    </row>
    <row r="576" spans="1:25" x14ac:dyDescent="0.25">
      <c r="A576" t="s">
        <v>4483</v>
      </c>
      <c r="B576">
        <v>1181</v>
      </c>
      <c r="C576">
        <v>260</v>
      </c>
      <c r="D576" t="s">
        <v>23</v>
      </c>
      <c r="E576" t="s">
        <v>4093</v>
      </c>
      <c r="F576" t="s">
        <v>3559</v>
      </c>
      <c r="G576" t="s">
        <v>27</v>
      </c>
      <c r="H576">
        <v>0</v>
      </c>
      <c r="I576">
        <v>176</v>
      </c>
      <c r="J576">
        <v>666</v>
      </c>
      <c r="K576" t="str">
        <f t="shared" si="8"/>
        <v>harv103369</v>
      </c>
      <c r="L576" t="s">
        <v>3859</v>
      </c>
      <c r="M576" t="s">
        <v>11</v>
      </c>
      <c r="N576" t="s">
        <v>1723</v>
      </c>
      <c r="O576" t="s">
        <v>3886</v>
      </c>
      <c r="Q576" t="s">
        <v>3669</v>
      </c>
      <c r="R576" t="s">
        <v>2821</v>
      </c>
      <c r="U576">
        <v>56</v>
      </c>
      <c r="V576">
        <v>0</v>
      </c>
      <c r="W576">
        <v>60</v>
      </c>
      <c r="X576">
        <v>10.3</v>
      </c>
      <c r="Y576">
        <v>36.9</v>
      </c>
    </row>
    <row r="577" spans="1:25" x14ac:dyDescent="0.25">
      <c r="A577" t="s">
        <v>4484</v>
      </c>
      <c r="B577">
        <v>1182</v>
      </c>
      <c r="C577">
        <v>261</v>
      </c>
      <c r="D577" t="s">
        <v>23</v>
      </c>
      <c r="E577" t="s">
        <v>4093</v>
      </c>
      <c r="F577" t="s">
        <v>3559</v>
      </c>
      <c r="G577" t="s">
        <v>4485</v>
      </c>
      <c r="H577">
        <v>0</v>
      </c>
      <c r="I577">
        <v>178</v>
      </c>
      <c r="J577">
        <v>593</v>
      </c>
      <c r="K577" t="str">
        <f t="shared" si="8"/>
        <v>harv103331</v>
      </c>
      <c r="M577" t="s">
        <v>11</v>
      </c>
      <c r="N577" t="s">
        <v>1672</v>
      </c>
      <c r="Q577" t="s">
        <v>11083</v>
      </c>
      <c r="U577">
        <v>56</v>
      </c>
      <c r="V577">
        <v>0</v>
      </c>
      <c r="W577">
        <v>60</v>
      </c>
      <c r="X577">
        <v>10.3</v>
      </c>
      <c r="Y577">
        <v>33.1</v>
      </c>
    </row>
    <row r="578" spans="1:25" x14ac:dyDescent="0.25">
      <c r="A578" t="s">
        <v>4486</v>
      </c>
      <c r="B578">
        <v>1183</v>
      </c>
      <c r="C578">
        <v>262</v>
      </c>
      <c r="D578" t="s">
        <v>23</v>
      </c>
      <c r="E578" t="s">
        <v>4093</v>
      </c>
      <c r="F578" t="s">
        <v>3559</v>
      </c>
      <c r="G578" t="s">
        <v>4487</v>
      </c>
      <c r="H578">
        <v>0</v>
      </c>
      <c r="I578">
        <v>401</v>
      </c>
      <c r="J578">
        <v>200</v>
      </c>
      <c r="K578" t="str">
        <f t="shared" ref="K578:K641" si="9">LEFT(A578,4)&amp;SUBSTITUTE(X578,".","")&amp;SUBSTITUTE(Y578,".","")</f>
        <v>harv225117</v>
      </c>
      <c r="M578" t="s">
        <v>11</v>
      </c>
      <c r="N578" t="s">
        <v>1600</v>
      </c>
      <c r="Q578" t="s">
        <v>11083</v>
      </c>
      <c r="U578">
        <v>57</v>
      </c>
      <c r="V578">
        <v>0</v>
      </c>
      <c r="W578">
        <v>60</v>
      </c>
      <c r="X578">
        <v>22.5</v>
      </c>
      <c r="Y578">
        <v>11.7</v>
      </c>
    </row>
    <row r="579" spans="1:25" x14ac:dyDescent="0.25">
      <c r="A579" t="s">
        <v>4488</v>
      </c>
      <c r="B579">
        <v>1184</v>
      </c>
      <c r="C579">
        <v>263</v>
      </c>
      <c r="D579" t="s">
        <v>23</v>
      </c>
      <c r="E579" t="s">
        <v>4093</v>
      </c>
      <c r="F579" t="s">
        <v>3559</v>
      </c>
      <c r="G579" t="s">
        <v>4489</v>
      </c>
      <c r="H579">
        <v>0</v>
      </c>
      <c r="I579">
        <v>226</v>
      </c>
      <c r="J579">
        <v>328</v>
      </c>
      <c r="K579" t="str">
        <f t="shared" si="9"/>
        <v>harv129186</v>
      </c>
      <c r="M579" t="s">
        <v>11</v>
      </c>
      <c r="N579" t="s">
        <v>1691</v>
      </c>
      <c r="Q579" t="s">
        <v>11083</v>
      </c>
      <c r="U579">
        <v>57</v>
      </c>
      <c r="V579">
        <v>0</v>
      </c>
      <c r="W579">
        <v>60</v>
      </c>
      <c r="X579">
        <v>12.9</v>
      </c>
      <c r="Y579">
        <v>18.600000000000001</v>
      </c>
    </row>
    <row r="580" spans="1:25" x14ac:dyDescent="0.25">
      <c r="A580" t="s">
        <v>4490</v>
      </c>
      <c r="B580">
        <v>1185</v>
      </c>
      <c r="C580">
        <v>264</v>
      </c>
      <c r="D580" t="s">
        <v>23</v>
      </c>
      <c r="E580" t="s">
        <v>4093</v>
      </c>
      <c r="F580" t="s">
        <v>3559</v>
      </c>
      <c r="G580" t="s">
        <v>4491</v>
      </c>
      <c r="H580">
        <v>0</v>
      </c>
      <c r="I580">
        <v>226</v>
      </c>
      <c r="J580">
        <v>328</v>
      </c>
      <c r="K580" t="str">
        <f t="shared" si="9"/>
        <v>harv129186</v>
      </c>
      <c r="L580" t="s">
        <v>3859</v>
      </c>
      <c r="M580" t="s">
        <v>11</v>
      </c>
      <c r="N580" t="s">
        <v>1691</v>
      </c>
      <c r="O580" t="s">
        <v>3860</v>
      </c>
      <c r="P580" t="s">
        <v>4492</v>
      </c>
      <c r="Q580" t="s">
        <v>11083</v>
      </c>
      <c r="U580">
        <v>57</v>
      </c>
      <c r="V580">
        <v>0</v>
      </c>
      <c r="W580">
        <v>60</v>
      </c>
      <c r="X580">
        <v>12.9</v>
      </c>
      <c r="Y580">
        <v>18.600000000000001</v>
      </c>
    </row>
    <row r="581" spans="1:25" x14ac:dyDescent="0.25">
      <c r="A581" t="s">
        <v>4493</v>
      </c>
      <c r="B581">
        <v>1186</v>
      </c>
      <c r="C581">
        <v>265</v>
      </c>
      <c r="D581" t="s">
        <v>23</v>
      </c>
      <c r="E581" t="s">
        <v>4093</v>
      </c>
      <c r="F581" t="s">
        <v>3559</v>
      </c>
      <c r="G581" t="s">
        <v>4494</v>
      </c>
      <c r="H581">
        <v>0</v>
      </c>
      <c r="I581">
        <v>455</v>
      </c>
      <c r="J581">
        <v>526</v>
      </c>
      <c r="K581" t="str">
        <f t="shared" si="9"/>
        <v>harv256293</v>
      </c>
      <c r="M581" t="s">
        <v>11</v>
      </c>
      <c r="N581" t="s">
        <v>1559</v>
      </c>
      <c r="Q581" t="s">
        <v>3669</v>
      </c>
      <c r="R581" t="s">
        <v>2805</v>
      </c>
      <c r="U581">
        <v>58</v>
      </c>
      <c r="V581">
        <v>0</v>
      </c>
      <c r="W581">
        <v>60</v>
      </c>
      <c r="X581">
        <v>25.6</v>
      </c>
      <c r="Y581">
        <v>29.3</v>
      </c>
    </row>
    <row r="582" spans="1:25" x14ac:dyDescent="0.25">
      <c r="A582" t="s">
        <v>4495</v>
      </c>
      <c r="B582">
        <v>1187</v>
      </c>
      <c r="C582">
        <v>266</v>
      </c>
      <c r="D582" t="s">
        <v>23</v>
      </c>
      <c r="E582" t="s">
        <v>4093</v>
      </c>
      <c r="F582" t="s">
        <v>3559</v>
      </c>
      <c r="G582" t="s">
        <v>4494</v>
      </c>
      <c r="H582">
        <v>0</v>
      </c>
      <c r="I582">
        <v>245</v>
      </c>
      <c r="J582">
        <v>365</v>
      </c>
      <c r="K582" t="str">
        <f t="shared" si="9"/>
        <v>harv138207</v>
      </c>
      <c r="M582" t="s">
        <v>11</v>
      </c>
      <c r="N582" t="s">
        <v>1608</v>
      </c>
      <c r="Q582" t="s">
        <v>3669</v>
      </c>
      <c r="R582" t="s">
        <v>2825</v>
      </c>
      <c r="U582">
        <v>58</v>
      </c>
      <c r="V582">
        <v>0</v>
      </c>
      <c r="W582">
        <v>60</v>
      </c>
      <c r="X582">
        <v>13.8</v>
      </c>
      <c r="Y582">
        <v>20.7</v>
      </c>
    </row>
    <row r="583" spans="1:25" x14ac:dyDescent="0.25">
      <c r="A583" t="s">
        <v>4496</v>
      </c>
      <c r="B583">
        <v>1188</v>
      </c>
      <c r="C583">
        <v>267</v>
      </c>
      <c r="D583" t="s">
        <v>23</v>
      </c>
      <c r="E583" t="s">
        <v>4093</v>
      </c>
      <c r="F583" t="s">
        <v>3559</v>
      </c>
      <c r="G583" t="s">
        <v>45</v>
      </c>
      <c r="H583">
        <v>0</v>
      </c>
      <c r="I583">
        <v>455</v>
      </c>
      <c r="J583">
        <v>526</v>
      </c>
      <c r="K583" t="str">
        <f t="shared" si="9"/>
        <v>harv256293</v>
      </c>
      <c r="L583" t="s">
        <v>3859</v>
      </c>
      <c r="M583" t="s">
        <v>11</v>
      </c>
      <c r="N583" t="s">
        <v>1559</v>
      </c>
      <c r="O583" t="s">
        <v>3886</v>
      </c>
      <c r="Q583" t="s">
        <v>3669</v>
      </c>
      <c r="R583" t="s">
        <v>2805</v>
      </c>
      <c r="U583">
        <v>58</v>
      </c>
      <c r="V583">
        <v>0</v>
      </c>
      <c r="W583">
        <v>60</v>
      </c>
      <c r="X583">
        <v>25.6</v>
      </c>
      <c r="Y583">
        <v>29.3</v>
      </c>
    </row>
    <row r="584" spans="1:25" x14ac:dyDescent="0.25">
      <c r="A584" t="s">
        <v>4497</v>
      </c>
      <c r="B584">
        <v>1189</v>
      </c>
      <c r="C584">
        <v>268</v>
      </c>
      <c r="D584" t="s">
        <v>23</v>
      </c>
      <c r="E584" t="s">
        <v>4093</v>
      </c>
      <c r="F584" t="s">
        <v>3559</v>
      </c>
      <c r="G584" t="s">
        <v>45</v>
      </c>
      <c r="H584">
        <v>0</v>
      </c>
      <c r="I584">
        <v>245</v>
      </c>
      <c r="J584">
        <v>365</v>
      </c>
      <c r="K584" t="str">
        <f t="shared" si="9"/>
        <v>harv138207</v>
      </c>
      <c r="L584" t="s">
        <v>3859</v>
      </c>
      <c r="M584" t="s">
        <v>11</v>
      </c>
      <c r="N584" t="s">
        <v>1608</v>
      </c>
      <c r="O584" t="s">
        <v>3886</v>
      </c>
      <c r="Q584" t="s">
        <v>3669</v>
      </c>
      <c r="R584" t="s">
        <v>2825</v>
      </c>
      <c r="U584">
        <v>58</v>
      </c>
      <c r="V584">
        <v>0</v>
      </c>
      <c r="W584">
        <v>60</v>
      </c>
      <c r="X584">
        <v>13.8</v>
      </c>
      <c r="Y584">
        <v>20.7</v>
      </c>
    </row>
    <row r="585" spans="1:25" x14ac:dyDescent="0.25">
      <c r="A585" t="s">
        <v>4498</v>
      </c>
      <c r="B585">
        <v>1190</v>
      </c>
      <c r="C585">
        <v>269</v>
      </c>
      <c r="D585" t="s">
        <v>23</v>
      </c>
      <c r="E585" t="s">
        <v>4093</v>
      </c>
      <c r="F585" t="s">
        <v>3559</v>
      </c>
      <c r="G585" t="s">
        <v>4499</v>
      </c>
      <c r="H585">
        <v>0</v>
      </c>
      <c r="I585">
        <v>200</v>
      </c>
      <c r="J585">
        <v>263</v>
      </c>
      <c r="K585" t="str">
        <f t="shared" si="9"/>
        <v>harv115152</v>
      </c>
      <c r="L585" t="s">
        <v>3859</v>
      </c>
      <c r="M585" t="s">
        <v>11</v>
      </c>
      <c r="N585" t="s">
        <v>1545</v>
      </c>
      <c r="O585" t="s">
        <v>3860</v>
      </c>
      <c r="P585" t="s">
        <v>4492</v>
      </c>
      <c r="Q585" t="s">
        <v>11083</v>
      </c>
      <c r="U585">
        <v>58</v>
      </c>
      <c r="V585">
        <v>0</v>
      </c>
      <c r="W585">
        <v>60</v>
      </c>
      <c r="X585">
        <v>11.5</v>
      </c>
      <c r="Y585">
        <v>15.2</v>
      </c>
    </row>
    <row r="586" spans="1:25" x14ac:dyDescent="0.25">
      <c r="A586" t="s">
        <v>4500</v>
      </c>
      <c r="B586">
        <v>1191</v>
      </c>
      <c r="C586">
        <v>270</v>
      </c>
      <c r="D586" t="s">
        <v>23</v>
      </c>
      <c r="E586" t="s">
        <v>4093</v>
      </c>
      <c r="F586" t="s">
        <v>3559</v>
      </c>
      <c r="G586" t="s">
        <v>47</v>
      </c>
      <c r="H586">
        <v>0</v>
      </c>
      <c r="I586">
        <v>310</v>
      </c>
      <c r="J586">
        <v>575</v>
      </c>
      <c r="K586" t="str">
        <f t="shared" si="9"/>
        <v>harv175319</v>
      </c>
      <c r="L586" t="s">
        <v>3859</v>
      </c>
      <c r="M586" t="s">
        <v>11</v>
      </c>
      <c r="N586" t="s">
        <v>1672</v>
      </c>
      <c r="O586" t="s">
        <v>3886</v>
      </c>
      <c r="Q586" t="s">
        <v>3669</v>
      </c>
      <c r="R586" t="s">
        <v>2815</v>
      </c>
      <c r="U586">
        <v>58</v>
      </c>
      <c r="V586">
        <v>0</v>
      </c>
      <c r="W586">
        <v>60</v>
      </c>
      <c r="X586">
        <v>17.5</v>
      </c>
      <c r="Y586">
        <v>31.9</v>
      </c>
    </row>
    <row r="587" spans="1:25" x14ac:dyDescent="0.25">
      <c r="A587" t="s">
        <v>4501</v>
      </c>
      <c r="B587">
        <v>1192</v>
      </c>
      <c r="C587">
        <v>271</v>
      </c>
      <c r="D587" t="s">
        <v>23</v>
      </c>
      <c r="E587" t="s">
        <v>4093</v>
      </c>
      <c r="F587" t="s">
        <v>3559</v>
      </c>
      <c r="G587" t="s">
        <v>47</v>
      </c>
      <c r="H587">
        <v>0</v>
      </c>
      <c r="I587">
        <v>112</v>
      </c>
      <c r="J587">
        <v>499</v>
      </c>
      <c r="K587" t="str">
        <f t="shared" si="9"/>
        <v>harv68277</v>
      </c>
      <c r="L587" t="s">
        <v>3859</v>
      </c>
      <c r="M587" t="s">
        <v>11</v>
      </c>
      <c r="N587" t="s">
        <v>755</v>
      </c>
      <c r="O587" t="s">
        <v>3886</v>
      </c>
      <c r="Q587" t="s">
        <v>3669</v>
      </c>
      <c r="R587" t="s">
        <v>2810</v>
      </c>
      <c r="U587">
        <v>58</v>
      </c>
      <c r="V587">
        <v>0</v>
      </c>
      <c r="W587">
        <v>60</v>
      </c>
      <c r="X587">
        <v>6.8</v>
      </c>
      <c r="Y587">
        <v>27.7</v>
      </c>
    </row>
    <row r="588" spans="1:25" x14ac:dyDescent="0.25">
      <c r="A588" t="s">
        <v>4502</v>
      </c>
      <c r="B588">
        <v>1193</v>
      </c>
      <c r="C588">
        <v>272</v>
      </c>
      <c r="D588" t="s">
        <v>23</v>
      </c>
      <c r="E588" t="s">
        <v>4093</v>
      </c>
      <c r="F588" t="s">
        <v>3559</v>
      </c>
      <c r="G588" t="s">
        <v>47</v>
      </c>
      <c r="H588">
        <v>0</v>
      </c>
      <c r="I588">
        <v>176</v>
      </c>
      <c r="J588">
        <v>666</v>
      </c>
      <c r="K588" t="str">
        <f t="shared" si="9"/>
        <v>harv103369</v>
      </c>
      <c r="L588" t="s">
        <v>3859</v>
      </c>
      <c r="M588" t="s">
        <v>11</v>
      </c>
      <c r="N588" t="s">
        <v>1723</v>
      </c>
      <c r="O588" t="s">
        <v>3886</v>
      </c>
      <c r="Q588" t="s">
        <v>3669</v>
      </c>
      <c r="R588" t="s">
        <v>2821</v>
      </c>
      <c r="U588">
        <v>58</v>
      </c>
      <c r="V588">
        <v>0</v>
      </c>
      <c r="W588">
        <v>60</v>
      </c>
      <c r="X588">
        <v>10.3</v>
      </c>
      <c r="Y588">
        <v>36.9</v>
      </c>
    </row>
    <row r="589" spans="1:25" x14ac:dyDescent="0.25">
      <c r="A589" t="s">
        <v>4503</v>
      </c>
      <c r="B589">
        <v>1194</v>
      </c>
      <c r="C589">
        <v>273</v>
      </c>
      <c r="D589" t="s">
        <v>23</v>
      </c>
      <c r="E589" t="s">
        <v>4093</v>
      </c>
      <c r="F589" t="s">
        <v>3559</v>
      </c>
      <c r="G589" t="s">
        <v>4504</v>
      </c>
      <c r="H589">
        <v>0</v>
      </c>
      <c r="I589">
        <v>200</v>
      </c>
      <c r="J589">
        <v>263</v>
      </c>
      <c r="K589" t="str">
        <f t="shared" si="9"/>
        <v>harv115152</v>
      </c>
      <c r="M589" t="s">
        <v>11</v>
      </c>
      <c r="N589" t="s">
        <v>1545</v>
      </c>
      <c r="Q589" t="s">
        <v>11083</v>
      </c>
      <c r="U589">
        <v>58</v>
      </c>
      <c r="V589">
        <v>0</v>
      </c>
      <c r="W589">
        <v>60</v>
      </c>
      <c r="X589">
        <v>11.5</v>
      </c>
      <c r="Y589">
        <v>15.2</v>
      </c>
    </row>
    <row r="590" spans="1:25" x14ac:dyDescent="0.25">
      <c r="A590" t="s">
        <v>4505</v>
      </c>
      <c r="B590">
        <v>1195</v>
      </c>
      <c r="C590">
        <v>274</v>
      </c>
      <c r="D590" t="s">
        <v>23</v>
      </c>
      <c r="E590" t="s">
        <v>4093</v>
      </c>
      <c r="F590" t="s">
        <v>3559</v>
      </c>
      <c r="G590" t="s">
        <v>4506</v>
      </c>
      <c r="H590">
        <v>0</v>
      </c>
      <c r="I590">
        <v>367</v>
      </c>
      <c r="J590">
        <v>535</v>
      </c>
      <c r="K590" t="str">
        <f t="shared" si="9"/>
        <v>harv205298</v>
      </c>
      <c r="L590" t="s">
        <v>3859</v>
      </c>
      <c r="M590" t="s">
        <v>11</v>
      </c>
      <c r="N590" t="s">
        <v>1711</v>
      </c>
      <c r="O590" t="s">
        <v>3860</v>
      </c>
      <c r="P590" t="s">
        <v>4492</v>
      </c>
      <c r="Q590" t="s">
        <v>11083</v>
      </c>
      <c r="U590">
        <v>59</v>
      </c>
      <c r="V590">
        <v>0</v>
      </c>
      <c r="W590">
        <v>60</v>
      </c>
      <c r="X590">
        <v>20.5</v>
      </c>
      <c r="Y590">
        <v>29.8</v>
      </c>
    </row>
    <row r="591" spans="1:25" x14ac:dyDescent="0.25">
      <c r="A591" t="s">
        <v>4507</v>
      </c>
      <c r="B591">
        <v>1196</v>
      </c>
      <c r="C591">
        <v>275</v>
      </c>
      <c r="D591" t="s">
        <v>23</v>
      </c>
      <c r="E591" t="s">
        <v>4093</v>
      </c>
      <c r="F591" t="s">
        <v>3559</v>
      </c>
      <c r="G591" t="s">
        <v>4508</v>
      </c>
      <c r="H591">
        <v>0</v>
      </c>
      <c r="I591">
        <v>367</v>
      </c>
      <c r="J591">
        <v>535</v>
      </c>
      <c r="K591" t="str">
        <f t="shared" si="9"/>
        <v>harv205298</v>
      </c>
      <c r="M591" t="s">
        <v>11</v>
      </c>
      <c r="N591" t="s">
        <v>1711</v>
      </c>
      <c r="Q591" t="s">
        <v>11083</v>
      </c>
      <c r="U591">
        <v>59</v>
      </c>
      <c r="V591">
        <v>0</v>
      </c>
      <c r="W591">
        <v>60</v>
      </c>
      <c r="X591">
        <v>20.5</v>
      </c>
      <c r="Y591">
        <v>29.8</v>
      </c>
    </row>
    <row r="592" spans="1:25" x14ac:dyDescent="0.25">
      <c r="A592" t="s">
        <v>4509</v>
      </c>
      <c r="B592">
        <v>1197</v>
      </c>
      <c r="C592">
        <v>276</v>
      </c>
      <c r="D592" t="s">
        <v>23</v>
      </c>
      <c r="E592" t="s">
        <v>4093</v>
      </c>
      <c r="F592" t="s">
        <v>3559</v>
      </c>
      <c r="G592" t="s">
        <v>4510</v>
      </c>
      <c r="H592">
        <v>0</v>
      </c>
      <c r="I592">
        <v>200</v>
      </c>
      <c r="J592">
        <v>263</v>
      </c>
      <c r="K592" t="str">
        <f t="shared" si="9"/>
        <v>harv115152</v>
      </c>
      <c r="M592" t="s">
        <v>11</v>
      </c>
      <c r="N592" t="s">
        <v>1545</v>
      </c>
      <c r="Q592" t="s">
        <v>11083</v>
      </c>
      <c r="U592">
        <v>59</v>
      </c>
      <c r="V592">
        <v>0</v>
      </c>
      <c r="W592">
        <v>60</v>
      </c>
      <c r="X592">
        <v>11.5</v>
      </c>
      <c r="Y592">
        <v>15.2</v>
      </c>
    </row>
    <row r="593" spans="1:25" x14ac:dyDescent="0.25">
      <c r="A593" t="s">
        <v>4511</v>
      </c>
      <c r="B593">
        <v>1198</v>
      </c>
      <c r="C593">
        <v>277</v>
      </c>
      <c r="D593" t="s">
        <v>23</v>
      </c>
      <c r="E593" t="s">
        <v>4093</v>
      </c>
      <c r="F593" t="s">
        <v>3559</v>
      </c>
      <c r="G593" t="s">
        <v>4512</v>
      </c>
      <c r="H593">
        <v>0</v>
      </c>
      <c r="I593">
        <v>153</v>
      </c>
      <c r="J593">
        <v>179</v>
      </c>
      <c r="K593" t="str">
        <f t="shared" si="9"/>
        <v>harv87104</v>
      </c>
      <c r="M593" t="s">
        <v>11</v>
      </c>
      <c r="N593" t="s">
        <v>1545</v>
      </c>
      <c r="Q593" t="s">
        <v>3749</v>
      </c>
      <c r="R593" t="s">
        <v>2833</v>
      </c>
      <c r="U593">
        <v>60</v>
      </c>
      <c r="V593">
        <v>0</v>
      </c>
      <c r="W593">
        <v>60</v>
      </c>
      <c r="X593">
        <v>8.6999999999999993</v>
      </c>
      <c r="Y593">
        <v>10.4</v>
      </c>
    </row>
    <row r="594" spans="1:25" x14ac:dyDescent="0.25">
      <c r="A594" t="s">
        <v>4513</v>
      </c>
      <c r="B594">
        <v>1199</v>
      </c>
      <c r="C594">
        <v>278</v>
      </c>
      <c r="D594" t="s">
        <v>23</v>
      </c>
      <c r="E594" t="s">
        <v>4093</v>
      </c>
      <c r="F594" t="s">
        <v>3559</v>
      </c>
      <c r="G594" t="s">
        <v>4514</v>
      </c>
      <c r="H594">
        <v>0</v>
      </c>
      <c r="I594">
        <v>455</v>
      </c>
      <c r="J594">
        <v>526</v>
      </c>
      <c r="K594" t="str">
        <f t="shared" si="9"/>
        <v>harv256293</v>
      </c>
      <c r="M594" t="s">
        <v>11</v>
      </c>
      <c r="N594" t="s">
        <v>1559</v>
      </c>
      <c r="Q594" t="s">
        <v>3669</v>
      </c>
      <c r="R594" t="s">
        <v>2805</v>
      </c>
      <c r="U594">
        <v>60</v>
      </c>
      <c r="V594">
        <v>0</v>
      </c>
      <c r="W594">
        <v>60</v>
      </c>
      <c r="X594">
        <v>25.6</v>
      </c>
      <c r="Y594">
        <v>29.3</v>
      </c>
    </row>
    <row r="595" spans="1:25" x14ac:dyDescent="0.25">
      <c r="A595" t="s">
        <v>4515</v>
      </c>
      <c r="B595">
        <v>1200</v>
      </c>
      <c r="C595">
        <v>279</v>
      </c>
      <c r="D595" t="s">
        <v>23</v>
      </c>
      <c r="E595" t="s">
        <v>4093</v>
      </c>
      <c r="F595" t="s">
        <v>3559</v>
      </c>
      <c r="G595" t="s">
        <v>4514</v>
      </c>
      <c r="H595">
        <v>0</v>
      </c>
      <c r="I595">
        <v>245</v>
      </c>
      <c r="J595">
        <v>365</v>
      </c>
      <c r="K595" t="str">
        <f t="shared" si="9"/>
        <v>harv138207</v>
      </c>
      <c r="M595" t="s">
        <v>11</v>
      </c>
      <c r="N595" t="s">
        <v>1608</v>
      </c>
      <c r="Q595" t="s">
        <v>3669</v>
      </c>
      <c r="R595" t="s">
        <v>2825</v>
      </c>
      <c r="U595">
        <v>60</v>
      </c>
      <c r="V595">
        <v>0</v>
      </c>
      <c r="W595">
        <v>60</v>
      </c>
      <c r="X595">
        <v>13.8</v>
      </c>
      <c r="Y595">
        <v>20.7</v>
      </c>
    </row>
    <row r="596" spans="1:25" x14ac:dyDescent="0.25">
      <c r="A596" t="s">
        <v>4516</v>
      </c>
      <c r="B596">
        <v>1201</v>
      </c>
      <c r="C596">
        <v>280</v>
      </c>
      <c r="D596" t="s">
        <v>23</v>
      </c>
      <c r="E596" t="s">
        <v>4093</v>
      </c>
      <c r="F596" t="s">
        <v>3559</v>
      </c>
      <c r="G596" t="s">
        <v>58</v>
      </c>
      <c r="H596">
        <v>0</v>
      </c>
      <c r="I596">
        <v>455</v>
      </c>
      <c r="J596">
        <v>526</v>
      </c>
      <c r="K596" t="str">
        <f t="shared" si="9"/>
        <v>harv256293</v>
      </c>
      <c r="L596" t="s">
        <v>3859</v>
      </c>
      <c r="M596" t="s">
        <v>11</v>
      </c>
      <c r="N596" t="s">
        <v>1559</v>
      </c>
      <c r="O596" t="s">
        <v>3886</v>
      </c>
      <c r="Q596" t="s">
        <v>3669</v>
      </c>
      <c r="R596" t="s">
        <v>2805</v>
      </c>
      <c r="U596">
        <v>60</v>
      </c>
      <c r="V596">
        <v>0</v>
      </c>
      <c r="W596">
        <v>60</v>
      </c>
      <c r="X596">
        <v>25.6</v>
      </c>
      <c r="Y596">
        <v>29.3</v>
      </c>
    </row>
    <row r="597" spans="1:25" x14ac:dyDescent="0.25">
      <c r="A597" t="s">
        <v>4517</v>
      </c>
      <c r="B597">
        <v>1202</v>
      </c>
      <c r="C597">
        <v>281</v>
      </c>
      <c r="D597" t="s">
        <v>23</v>
      </c>
      <c r="E597" t="s">
        <v>4093</v>
      </c>
      <c r="F597" t="s">
        <v>3559</v>
      </c>
      <c r="G597" t="s">
        <v>58</v>
      </c>
      <c r="H597">
        <v>0</v>
      </c>
      <c r="I597">
        <v>245</v>
      </c>
      <c r="J597">
        <v>365</v>
      </c>
      <c r="K597" t="str">
        <f t="shared" si="9"/>
        <v>harv138207</v>
      </c>
      <c r="L597" t="s">
        <v>3859</v>
      </c>
      <c r="M597" t="s">
        <v>11</v>
      </c>
      <c r="N597" t="s">
        <v>1608</v>
      </c>
      <c r="O597" t="s">
        <v>3886</v>
      </c>
      <c r="Q597" t="s">
        <v>3669</v>
      </c>
      <c r="R597" t="s">
        <v>2825</v>
      </c>
      <c r="U597">
        <v>60</v>
      </c>
      <c r="V597">
        <v>0</v>
      </c>
      <c r="W597">
        <v>60</v>
      </c>
      <c r="X597">
        <v>13.8</v>
      </c>
      <c r="Y597">
        <v>20.7</v>
      </c>
    </row>
    <row r="598" spans="1:25" x14ac:dyDescent="0.25">
      <c r="A598" t="s">
        <v>4518</v>
      </c>
      <c r="B598">
        <v>1203</v>
      </c>
      <c r="C598">
        <v>282</v>
      </c>
      <c r="D598" t="s">
        <v>23</v>
      </c>
      <c r="E598" t="s">
        <v>4093</v>
      </c>
      <c r="F598" t="s">
        <v>3559</v>
      </c>
      <c r="G598" t="s">
        <v>4519</v>
      </c>
      <c r="H598">
        <v>0</v>
      </c>
      <c r="I598">
        <v>310</v>
      </c>
      <c r="J598">
        <v>575</v>
      </c>
      <c r="K598" t="str">
        <f t="shared" si="9"/>
        <v>harv175319</v>
      </c>
      <c r="M598" t="s">
        <v>11</v>
      </c>
      <c r="N598" t="s">
        <v>1672</v>
      </c>
      <c r="Q598" t="s">
        <v>3669</v>
      </c>
      <c r="R598" t="s">
        <v>2815</v>
      </c>
      <c r="U598">
        <v>60</v>
      </c>
      <c r="V598">
        <v>0</v>
      </c>
      <c r="W598">
        <v>60</v>
      </c>
      <c r="X598">
        <v>17.5</v>
      </c>
      <c r="Y598">
        <v>31.9</v>
      </c>
    </row>
    <row r="599" spans="1:25" x14ac:dyDescent="0.25">
      <c r="A599" t="s">
        <v>4520</v>
      </c>
      <c r="B599">
        <v>1204</v>
      </c>
      <c r="C599">
        <v>283</v>
      </c>
      <c r="D599" t="s">
        <v>23</v>
      </c>
      <c r="E599" t="s">
        <v>4093</v>
      </c>
      <c r="F599" t="s">
        <v>3559</v>
      </c>
      <c r="G599" t="s">
        <v>4519</v>
      </c>
      <c r="H599">
        <v>0</v>
      </c>
      <c r="I599">
        <v>112</v>
      </c>
      <c r="J599">
        <v>499</v>
      </c>
      <c r="K599" t="str">
        <f t="shared" si="9"/>
        <v>harv68277</v>
      </c>
      <c r="M599" t="s">
        <v>11</v>
      </c>
      <c r="N599" t="s">
        <v>755</v>
      </c>
      <c r="Q599" t="s">
        <v>3669</v>
      </c>
      <c r="R599" t="s">
        <v>2810</v>
      </c>
      <c r="U599">
        <v>60</v>
      </c>
      <c r="V599">
        <v>0</v>
      </c>
      <c r="W599">
        <v>60</v>
      </c>
      <c r="X599">
        <v>6.8</v>
      </c>
      <c r="Y599">
        <v>27.7</v>
      </c>
    </row>
    <row r="600" spans="1:25" x14ac:dyDescent="0.25">
      <c r="A600" t="s">
        <v>4521</v>
      </c>
      <c r="B600">
        <v>1205</v>
      </c>
      <c r="C600">
        <v>284</v>
      </c>
      <c r="D600" t="s">
        <v>23</v>
      </c>
      <c r="E600" t="s">
        <v>4093</v>
      </c>
      <c r="F600" t="s">
        <v>3559</v>
      </c>
      <c r="G600" t="s">
        <v>4519</v>
      </c>
      <c r="H600">
        <v>0</v>
      </c>
      <c r="I600">
        <v>176</v>
      </c>
      <c r="J600">
        <v>666</v>
      </c>
      <c r="K600" t="str">
        <f t="shared" si="9"/>
        <v>harv103369</v>
      </c>
      <c r="M600" t="s">
        <v>11</v>
      </c>
      <c r="N600" t="s">
        <v>1723</v>
      </c>
      <c r="Q600" t="s">
        <v>3669</v>
      </c>
      <c r="R600" t="s">
        <v>2821</v>
      </c>
      <c r="U600">
        <v>60</v>
      </c>
      <c r="V600">
        <v>0</v>
      </c>
      <c r="W600">
        <v>60</v>
      </c>
      <c r="X600">
        <v>10.3</v>
      </c>
      <c r="Y600">
        <v>36.9</v>
      </c>
    </row>
    <row r="601" spans="1:25" x14ac:dyDescent="0.25">
      <c r="A601" t="s">
        <v>4522</v>
      </c>
      <c r="B601">
        <v>1206</v>
      </c>
      <c r="C601">
        <v>285</v>
      </c>
      <c r="D601" t="s">
        <v>23</v>
      </c>
      <c r="E601" t="s">
        <v>4093</v>
      </c>
      <c r="F601" t="s">
        <v>3559</v>
      </c>
      <c r="G601" t="s">
        <v>61</v>
      </c>
      <c r="H601">
        <v>0</v>
      </c>
      <c r="I601">
        <v>310</v>
      </c>
      <c r="J601">
        <v>575</v>
      </c>
      <c r="K601" t="str">
        <f t="shared" si="9"/>
        <v>harv175319</v>
      </c>
      <c r="L601" t="s">
        <v>3859</v>
      </c>
      <c r="M601" t="s">
        <v>11</v>
      </c>
      <c r="N601" t="s">
        <v>1672</v>
      </c>
      <c r="O601" t="s">
        <v>3886</v>
      </c>
      <c r="Q601" t="s">
        <v>3669</v>
      </c>
      <c r="R601" t="s">
        <v>2815</v>
      </c>
      <c r="U601">
        <v>60</v>
      </c>
      <c r="V601">
        <v>0</v>
      </c>
      <c r="W601">
        <v>60</v>
      </c>
      <c r="X601">
        <v>17.5</v>
      </c>
      <c r="Y601">
        <v>31.9</v>
      </c>
    </row>
    <row r="602" spans="1:25" x14ac:dyDescent="0.25">
      <c r="A602" t="s">
        <v>4523</v>
      </c>
      <c r="B602">
        <v>1207</v>
      </c>
      <c r="C602">
        <v>286</v>
      </c>
      <c r="D602" t="s">
        <v>23</v>
      </c>
      <c r="E602" t="s">
        <v>4093</v>
      </c>
      <c r="F602" t="s">
        <v>3559</v>
      </c>
      <c r="G602" t="s">
        <v>61</v>
      </c>
      <c r="H602">
        <v>0</v>
      </c>
      <c r="I602">
        <v>112</v>
      </c>
      <c r="J602">
        <v>499</v>
      </c>
      <c r="K602" t="str">
        <f t="shared" si="9"/>
        <v>harv68277</v>
      </c>
      <c r="L602" t="s">
        <v>3859</v>
      </c>
      <c r="M602" t="s">
        <v>11</v>
      </c>
      <c r="N602" t="s">
        <v>755</v>
      </c>
      <c r="O602" t="s">
        <v>3886</v>
      </c>
      <c r="Q602" t="s">
        <v>3669</v>
      </c>
      <c r="R602" t="s">
        <v>2810</v>
      </c>
      <c r="U602">
        <v>60</v>
      </c>
      <c r="V602">
        <v>0</v>
      </c>
      <c r="W602">
        <v>60</v>
      </c>
      <c r="X602">
        <v>6.8</v>
      </c>
      <c r="Y602">
        <v>27.7</v>
      </c>
    </row>
    <row r="603" spans="1:25" x14ac:dyDescent="0.25">
      <c r="A603" t="s">
        <v>4524</v>
      </c>
      <c r="B603">
        <v>1208</v>
      </c>
      <c r="C603">
        <v>287</v>
      </c>
      <c r="D603" t="s">
        <v>23</v>
      </c>
      <c r="E603" t="s">
        <v>4093</v>
      </c>
      <c r="F603" t="s">
        <v>3559</v>
      </c>
      <c r="G603" t="s">
        <v>61</v>
      </c>
      <c r="H603">
        <v>0</v>
      </c>
      <c r="I603">
        <v>176</v>
      </c>
      <c r="J603">
        <v>666</v>
      </c>
      <c r="K603" t="str">
        <f t="shared" si="9"/>
        <v>harv103369</v>
      </c>
      <c r="L603" t="s">
        <v>3859</v>
      </c>
      <c r="M603" t="s">
        <v>11</v>
      </c>
      <c r="N603" t="s">
        <v>1723</v>
      </c>
      <c r="O603" t="s">
        <v>3886</v>
      </c>
      <c r="Q603" t="s">
        <v>3669</v>
      </c>
      <c r="R603" t="s">
        <v>2821</v>
      </c>
      <c r="U603">
        <v>60</v>
      </c>
      <c r="V603">
        <v>0</v>
      </c>
      <c r="W603">
        <v>60</v>
      </c>
      <c r="X603">
        <v>10.3</v>
      </c>
      <c r="Y603">
        <v>36.9</v>
      </c>
    </row>
    <row r="604" spans="1:25" x14ac:dyDescent="0.25">
      <c r="A604" t="s">
        <v>4525</v>
      </c>
      <c r="B604">
        <v>1209</v>
      </c>
      <c r="C604">
        <v>288</v>
      </c>
      <c r="D604" t="s">
        <v>23</v>
      </c>
      <c r="E604" t="s">
        <v>4093</v>
      </c>
      <c r="F604" t="s">
        <v>3559</v>
      </c>
      <c r="G604" t="s">
        <v>4526</v>
      </c>
      <c r="H604">
        <v>0</v>
      </c>
      <c r="I604">
        <v>226</v>
      </c>
      <c r="J604">
        <v>328</v>
      </c>
      <c r="K604" t="str">
        <f t="shared" si="9"/>
        <v>harv129186</v>
      </c>
      <c r="M604" t="s">
        <v>11</v>
      </c>
      <c r="N604" t="s">
        <v>1691</v>
      </c>
      <c r="Q604" t="s">
        <v>11083</v>
      </c>
      <c r="U604">
        <v>60</v>
      </c>
      <c r="V604">
        <v>0</v>
      </c>
      <c r="W604">
        <v>60</v>
      </c>
      <c r="X604">
        <v>12.9</v>
      </c>
      <c r="Y604">
        <v>18.600000000000001</v>
      </c>
    </row>
    <row r="605" spans="1:25" x14ac:dyDescent="0.25">
      <c r="A605" t="s">
        <v>4527</v>
      </c>
      <c r="B605">
        <v>1210</v>
      </c>
      <c r="C605">
        <v>289</v>
      </c>
      <c r="D605" t="s">
        <v>23</v>
      </c>
      <c r="E605" t="s">
        <v>4093</v>
      </c>
      <c r="F605" t="s">
        <v>3559</v>
      </c>
      <c r="G605" t="s">
        <v>4528</v>
      </c>
      <c r="H605">
        <v>0</v>
      </c>
      <c r="I605">
        <v>401</v>
      </c>
      <c r="J605">
        <v>200</v>
      </c>
      <c r="K605" t="str">
        <f t="shared" si="9"/>
        <v>harv225117</v>
      </c>
      <c r="M605" t="s">
        <v>11</v>
      </c>
      <c r="N605" t="s">
        <v>1600</v>
      </c>
      <c r="Q605" t="s">
        <v>11083</v>
      </c>
      <c r="U605">
        <v>60</v>
      </c>
      <c r="V605">
        <v>0</v>
      </c>
      <c r="W605">
        <v>60</v>
      </c>
      <c r="X605">
        <v>22.5</v>
      </c>
      <c r="Y605">
        <v>11.7</v>
      </c>
    </row>
    <row r="606" spans="1:25" x14ac:dyDescent="0.25">
      <c r="A606" t="s">
        <v>4529</v>
      </c>
      <c r="B606">
        <v>1211</v>
      </c>
      <c r="C606">
        <v>290</v>
      </c>
      <c r="D606" t="s">
        <v>23</v>
      </c>
      <c r="E606" t="s">
        <v>4093</v>
      </c>
      <c r="F606" t="s">
        <v>3559</v>
      </c>
      <c r="G606" t="s">
        <v>4528</v>
      </c>
      <c r="H606">
        <v>0</v>
      </c>
      <c r="I606">
        <v>178</v>
      </c>
      <c r="J606">
        <v>593</v>
      </c>
      <c r="K606" t="str">
        <f t="shared" si="9"/>
        <v>harv103331</v>
      </c>
      <c r="M606" t="s">
        <v>11</v>
      </c>
      <c r="N606" t="s">
        <v>1672</v>
      </c>
      <c r="Q606" t="s">
        <v>11083</v>
      </c>
      <c r="U606">
        <v>60</v>
      </c>
      <c r="V606">
        <v>0</v>
      </c>
      <c r="W606">
        <v>60</v>
      </c>
      <c r="X606">
        <v>10.3</v>
      </c>
      <c r="Y606">
        <v>33.1</v>
      </c>
    </row>
    <row r="607" spans="1:25" x14ac:dyDescent="0.25">
      <c r="A607" t="s">
        <v>4530</v>
      </c>
      <c r="B607">
        <v>1212</v>
      </c>
      <c r="C607">
        <v>291</v>
      </c>
      <c r="D607" t="s">
        <v>23</v>
      </c>
      <c r="E607" t="s">
        <v>4093</v>
      </c>
      <c r="F607" t="s">
        <v>3559</v>
      </c>
      <c r="G607" t="s">
        <v>4528</v>
      </c>
      <c r="H607">
        <v>0</v>
      </c>
      <c r="I607">
        <v>226</v>
      </c>
      <c r="J607">
        <v>328</v>
      </c>
      <c r="K607" t="str">
        <f t="shared" si="9"/>
        <v>harv129186</v>
      </c>
      <c r="M607" t="s">
        <v>11</v>
      </c>
      <c r="N607" t="s">
        <v>1691</v>
      </c>
      <c r="Q607" t="s">
        <v>11083</v>
      </c>
      <c r="U607">
        <v>60</v>
      </c>
      <c r="V607">
        <v>0</v>
      </c>
      <c r="W607">
        <v>60</v>
      </c>
      <c r="X607">
        <v>12.9</v>
      </c>
      <c r="Y607">
        <v>18.600000000000001</v>
      </c>
    </row>
    <row r="608" spans="1:25" x14ac:dyDescent="0.25">
      <c r="A608" t="s">
        <v>4531</v>
      </c>
      <c r="B608">
        <v>1213</v>
      </c>
      <c r="C608">
        <v>292</v>
      </c>
      <c r="D608" t="s">
        <v>23</v>
      </c>
      <c r="E608" t="s">
        <v>4093</v>
      </c>
      <c r="F608" t="s">
        <v>3559</v>
      </c>
      <c r="G608" t="s">
        <v>4528</v>
      </c>
      <c r="H608">
        <v>0</v>
      </c>
      <c r="I608">
        <v>367</v>
      </c>
      <c r="J608">
        <v>535</v>
      </c>
      <c r="K608" t="str">
        <f t="shared" si="9"/>
        <v>harv205298</v>
      </c>
      <c r="M608" t="s">
        <v>11</v>
      </c>
      <c r="N608" t="s">
        <v>1711</v>
      </c>
      <c r="Q608" t="s">
        <v>11083</v>
      </c>
      <c r="U608">
        <v>60</v>
      </c>
      <c r="V608">
        <v>0</v>
      </c>
      <c r="W608">
        <v>60</v>
      </c>
      <c r="X608">
        <v>20.5</v>
      </c>
      <c r="Y608">
        <v>29.8</v>
      </c>
    </row>
    <row r="609" spans="1:25" x14ac:dyDescent="0.25">
      <c r="A609" t="s">
        <v>4532</v>
      </c>
      <c r="B609">
        <v>1214</v>
      </c>
      <c r="C609">
        <v>293</v>
      </c>
      <c r="D609" t="s">
        <v>23</v>
      </c>
      <c r="E609" t="s">
        <v>4093</v>
      </c>
      <c r="F609" t="s">
        <v>3559</v>
      </c>
      <c r="G609" t="s">
        <v>4533</v>
      </c>
      <c r="H609">
        <v>0</v>
      </c>
      <c r="I609">
        <v>401</v>
      </c>
      <c r="J609">
        <v>200</v>
      </c>
      <c r="K609" t="str">
        <f t="shared" si="9"/>
        <v>harv225117</v>
      </c>
      <c r="L609" t="s">
        <v>3859</v>
      </c>
      <c r="M609" t="s">
        <v>11</v>
      </c>
      <c r="N609" t="s">
        <v>1600</v>
      </c>
      <c r="O609" t="s">
        <v>3860</v>
      </c>
      <c r="P609" t="s">
        <v>4492</v>
      </c>
      <c r="Q609" t="s">
        <v>11083</v>
      </c>
      <c r="U609">
        <v>60</v>
      </c>
      <c r="V609">
        <v>0</v>
      </c>
      <c r="W609">
        <v>60</v>
      </c>
      <c r="X609">
        <v>22.5</v>
      </c>
      <c r="Y609">
        <v>11.7</v>
      </c>
    </row>
    <row r="610" spans="1:25" x14ac:dyDescent="0.25">
      <c r="A610" t="s">
        <v>4534</v>
      </c>
      <c r="B610">
        <v>1215</v>
      </c>
      <c r="C610">
        <v>294</v>
      </c>
      <c r="D610" t="s">
        <v>23</v>
      </c>
      <c r="E610" t="s">
        <v>4093</v>
      </c>
      <c r="F610" t="s">
        <v>3559</v>
      </c>
      <c r="G610" t="s">
        <v>4535</v>
      </c>
      <c r="H610">
        <v>0</v>
      </c>
      <c r="I610">
        <v>325</v>
      </c>
      <c r="J610">
        <v>155</v>
      </c>
      <c r="K610" t="str">
        <f t="shared" si="9"/>
        <v>harv17488</v>
      </c>
      <c r="L610" t="s">
        <v>3859</v>
      </c>
      <c r="M610" t="s">
        <v>73</v>
      </c>
      <c r="N610" t="s">
        <v>1736</v>
      </c>
      <c r="O610" t="s">
        <v>3860</v>
      </c>
      <c r="P610" t="s">
        <v>4536</v>
      </c>
      <c r="Q610" t="s">
        <v>11083</v>
      </c>
      <c r="U610">
        <v>60</v>
      </c>
      <c r="V610">
        <v>0</v>
      </c>
      <c r="W610">
        <v>60</v>
      </c>
      <c r="X610">
        <v>17.399999999999999</v>
      </c>
      <c r="Y610">
        <v>8.8000000000000007</v>
      </c>
    </row>
    <row r="611" spans="1:25" x14ac:dyDescent="0.25">
      <c r="A611" t="s">
        <v>4537</v>
      </c>
      <c r="B611">
        <v>1216</v>
      </c>
      <c r="C611">
        <v>295</v>
      </c>
      <c r="D611" t="s">
        <v>23</v>
      </c>
      <c r="E611" t="s">
        <v>4093</v>
      </c>
      <c r="F611" t="s">
        <v>3559</v>
      </c>
      <c r="G611" t="s">
        <v>4538</v>
      </c>
      <c r="H611">
        <v>0</v>
      </c>
      <c r="I611">
        <v>701</v>
      </c>
      <c r="J611">
        <v>321</v>
      </c>
      <c r="K611" t="str">
        <f t="shared" si="9"/>
        <v>harv367172</v>
      </c>
      <c r="L611" t="s">
        <v>3859</v>
      </c>
      <c r="M611" t="s">
        <v>73</v>
      </c>
      <c r="N611" t="s">
        <v>1901</v>
      </c>
      <c r="O611" t="s">
        <v>3860</v>
      </c>
      <c r="P611" t="s">
        <v>4536</v>
      </c>
      <c r="Q611" t="s">
        <v>11083</v>
      </c>
      <c r="U611">
        <v>60</v>
      </c>
      <c r="V611">
        <v>0</v>
      </c>
      <c r="W611">
        <v>60</v>
      </c>
      <c r="X611">
        <v>36.700000000000003</v>
      </c>
      <c r="Y611">
        <v>17.2</v>
      </c>
    </row>
    <row r="612" spans="1:25" x14ac:dyDescent="0.25">
      <c r="A612" t="s">
        <v>4539</v>
      </c>
      <c r="B612">
        <v>1217</v>
      </c>
      <c r="C612">
        <v>296</v>
      </c>
      <c r="D612" t="s">
        <v>23</v>
      </c>
      <c r="E612" t="s">
        <v>4093</v>
      </c>
      <c r="F612" t="s">
        <v>3559</v>
      </c>
      <c r="G612" t="s">
        <v>4540</v>
      </c>
      <c r="H612">
        <v>0</v>
      </c>
      <c r="I612">
        <v>325</v>
      </c>
      <c r="J612">
        <v>155</v>
      </c>
      <c r="K612" t="str">
        <f t="shared" si="9"/>
        <v>harv17488</v>
      </c>
      <c r="L612" t="s">
        <v>3859</v>
      </c>
      <c r="M612" t="s">
        <v>73</v>
      </c>
      <c r="N612" t="s">
        <v>1736</v>
      </c>
      <c r="O612" t="s">
        <v>3860</v>
      </c>
      <c r="P612" t="s">
        <v>4536</v>
      </c>
      <c r="Q612" t="s">
        <v>11083</v>
      </c>
      <c r="U612">
        <v>60</v>
      </c>
      <c r="V612">
        <v>0</v>
      </c>
      <c r="W612">
        <v>60</v>
      </c>
      <c r="X612">
        <v>17.399999999999999</v>
      </c>
      <c r="Y612">
        <v>8.8000000000000007</v>
      </c>
    </row>
    <row r="613" spans="1:25" x14ac:dyDescent="0.25">
      <c r="A613" t="s">
        <v>4541</v>
      </c>
      <c r="B613">
        <v>1218</v>
      </c>
      <c r="C613">
        <v>297</v>
      </c>
      <c r="D613" t="s">
        <v>23</v>
      </c>
      <c r="E613" t="s">
        <v>4093</v>
      </c>
      <c r="F613" t="s">
        <v>3559</v>
      </c>
      <c r="G613" t="s">
        <v>71</v>
      </c>
      <c r="H613">
        <v>0</v>
      </c>
      <c r="I613">
        <v>455</v>
      </c>
      <c r="J613">
        <v>526</v>
      </c>
      <c r="K613" t="str">
        <f t="shared" si="9"/>
        <v>harv256293</v>
      </c>
      <c r="L613" t="s">
        <v>3859</v>
      </c>
      <c r="M613" t="s">
        <v>11</v>
      </c>
      <c r="N613" t="s">
        <v>1559</v>
      </c>
      <c r="O613" t="s">
        <v>3886</v>
      </c>
      <c r="Q613" t="s">
        <v>3669</v>
      </c>
      <c r="R613" t="s">
        <v>2805</v>
      </c>
      <c r="U613">
        <v>60</v>
      </c>
      <c r="V613">
        <v>1</v>
      </c>
      <c r="W613">
        <v>60</v>
      </c>
      <c r="X613">
        <v>25.6</v>
      </c>
      <c r="Y613">
        <v>29.3</v>
      </c>
    </row>
    <row r="614" spans="1:25" x14ac:dyDescent="0.25">
      <c r="A614" t="s">
        <v>4542</v>
      </c>
      <c r="B614">
        <v>1219</v>
      </c>
      <c r="C614">
        <v>298</v>
      </c>
      <c r="D614" t="s">
        <v>23</v>
      </c>
      <c r="E614" t="s">
        <v>4093</v>
      </c>
      <c r="F614" t="s">
        <v>3559</v>
      </c>
      <c r="G614" t="s">
        <v>71</v>
      </c>
      <c r="H614">
        <v>0</v>
      </c>
      <c r="I614">
        <v>245</v>
      </c>
      <c r="J614">
        <v>365</v>
      </c>
      <c r="K614" t="str">
        <f t="shared" si="9"/>
        <v>harv138207</v>
      </c>
      <c r="L614" t="s">
        <v>3859</v>
      </c>
      <c r="M614" t="s">
        <v>11</v>
      </c>
      <c r="N614" t="s">
        <v>1608</v>
      </c>
      <c r="O614" t="s">
        <v>3886</v>
      </c>
      <c r="Q614" t="s">
        <v>3669</v>
      </c>
      <c r="R614" t="s">
        <v>2825</v>
      </c>
      <c r="U614">
        <v>60</v>
      </c>
      <c r="V614">
        <v>1</v>
      </c>
      <c r="W614">
        <v>60</v>
      </c>
      <c r="X614">
        <v>13.8</v>
      </c>
      <c r="Y614">
        <v>20.7</v>
      </c>
    </row>
    <row r="615" spans="1:25" x14ac:dyDescent="0.25">
      <c r="A615" t="s">
        <v>4543</v>
      </c>
      <c r="B615">
        <v>1220</v>
      </c>
      <c r="C615">
        <v>299</v>
      </c>
      <c r="D615" t="s">
        <v>23</v>
      </c>
      <c r="E615" t="s">
        <v>4093</v>
      </c>
      <c r="F615" t="s">
        <v>3559</v>
      </c>
      <c r="G615" t="s">
        <v>71</v>
      </c>
      <c r="H615">
        <v>0</v>
      </c>
      <c r="I615">
        <v>178</v>
      </c>
      <c r="J615">
        <v>593</v>
      </c>
      <c r="K615" t="str">
        <f t="shared" si="9"/>
        <v>harv103331</v>
      </c>
      <c r="L615" t="s">
        <v>3859</v>
      </c>
      <c r="M615" t="s">
        <v>11</v>
      </c>
      <c r="N615" t="s">
        <v>1672</v>
      </c>
      <c r="O615" t="s">
        <v>3886</v>
      </c>
      <c r="Q615" t="s">
        <v>11083</v>
      </c>
      <c r="U615">
        <v>60</v>
      </c>
      <c r="V615">
        <v>1</v>
      </c>
      <c r="W615">
        <v>60</v>
      </c>
      <c r="X615">
        <v>10.3</v>
      </c>
      <c r="Y615">
        <v>33.1</v>
      </c>
    </row>
    <row r="616" spans="1:25" x14ac:dyDescent="0.25">
      <c r="A616" t="s">
        <v>4544</v>
      </c>
      <c r="B616">
        <v>1221</v>
      </c>
      <c r="C616">
        <v>300</v>
      </c>
      <c r="D616" t="s">
        <v>23</v>
      </c>
      <c r="E616" t="s">
        <v>4093</v>
      </c>
      <c r="F616" t="s">
        <v>3559</v>
      </c>
      <c r="G616" t="s">
        <v>71</v>
      </c>
      <c r="H616">
        <v>0</v>
      </c>
      <c r="I616">
        <v>112</v>
      </c>
      <c r="J616">
        <v>499</v>
      </c>
      <c r="K616" t="str">
        <f t="shared" si="9"/>
        <v>harv68277</v>
      </c>
      <c r="L616" t="s">
        <v>3859</v>
      </c>
      <c r="M616" t="s">
        <v>11</v>
      </c>
      <c r="N616" t="s">
        <v>755</v>
      </c>
      <c r="O616" t="s">
        <v>3886</v>
      </c>
      <c r="Q616" t="s">
        <v>3669</v>
      </c>
      <c r="R616" t="s">
        <v>2810</v>
      </c>
      <c r="U616">
        <v>60</v>
      </c>
      <c r="V616">
        <v>1</v>
      </c>
      <c r="W616">
        <v>60</v>
      </c>
      <c r="X616">
        <v>6.8</v>
      </c>
      <c r="Y616">
        <v>27.7</v>
      </c>
    </row>
    <row r="617" spans="1:25" x14ac:dyDescent="0.25">
      <c r="A617" t="s">
        <v>4545</v>
      </c>
      <c r="B617">
        <v>1222</v>
      </c>
      <c r="C617">
        <v>301</v>
      </c>
      <c r="D617" t="s">
        <v>23</v>
      </c>
      <c r="E617" t="s">
        <v>4093</v>
      </c>
      <c r="F617" t="s">
        <v>3559</v>
      </c>
      <c r="G617" t="s">
        <v>71</v>
      </c>
      <c r="H617">
        <v>0</v>
      </c>
      <c r="I617">
        <v>176</v>
      </c>
      <c r="J617">
        <v>666</v>
      </c>
      <c r="K617" t="str">
        <f t="shared" si="9"/>
        <v>harv103369</v>
      </c>
      <c r="L617" t="s">
        <v>3859</v>
      </c>
      <c r="M617" t="s">
        <v>11</v>
      </c>
      <c r="N617" t="s">
        <v>1723</v>
      </c>
      <c r="O617" t="s">
        <v>3886</v>
      </c>
      <c r="Q617" t="s">
        <v>3669</v>
      </c>
      <c r="R617" t="s">
        <v>2821</v>
      </c>
      <c r="U617">
        <v>60</v>
      </c>
      <c r="V617">
        <v>1</v>
      </c>
      <c r="W617">
        <v>60</v>
      </c>
      <c r="X617">
        <v>10.3</v>
      </c>
      <c r="Y617">
        <v>36.9</v>
      </c>
    </row>
    <row r="618" spans="1:25" x14ac:dyDescent="0.25">
      <c r="A618" t="s">
        <v>4546</v>
      </c>
      <c r="B618">
        <v>1223</v>
      </c>
      <c r="C618">
        <v>302</v>
      </c>
      <c r="D618" t="s">
        <v>23</v>
      </c>
      <c r="E618" t="s">
        <v>4093</v>
      </c>
      <c r="F618" t="s">
        <v>3559</v>
      </c>
      <c r="G618" t="s">
        <v>4547</v>
      </c>
      <c r="H618">
        <v>0</v>
      </c>
      <c r="I618">
        <v>200</v>
      </c>
      <c r="J618">
        <v>263</v>
      </c>
      <c r="K618" t="str">
        <f t="shared" si="9"/>
        <v>harv115152</v>
      </c>
      <c r="M618" t="s">
        <v>11</v>
      </c>
      <c r="N618" t="s">
        <v>1545</v>
      </c>
      <c r="Q618" t="s">
        <v>11083</v>
      </c>
      <c r="U618">
        <v>60</v>
      </c>
      <c r="V618">
        <v>1</v>
      </c>
      <c r="W618">
        <v>60</v>
      </c>
      <c r="X618">
        <v>11.5</v>
      </c>
      <c r="Y618">
        <v>15.2</v>
      </c>
    </row>
    <row r="619" spans="1:25" x14ac:dyDescent="0.25">
      <c r="A619" t="s">
        <v>4548</v>
      </c>
      <c r="B619">
        <v>1224</v>
      </c>
      <c r="C619">
        <v>303</v>
      </c>
      <c r="D619" t="s">
        <v>23</v>
      </c>
      <c r="E619" t="s">
        <v>4093</v>
      </c>
      <c r="F619" t="s">
        <v>3559</v>
      </c>
      <c r="G619" t="s">
        <v>4549</v>
      </c>
      <c r="H619">
        <v>0</v>
      </c>
      <c r="I619">
        <v>178</v>
      </c>
      <c r="J619">
        <v>593</v>
      </c>
      <c r="K619" t="str">
        <f t="shared" si="9"/>
        <v>harv103331</v>
      </c>
      <c r="L619" t="s">
        <v>3859</v>
      </c>
      <c r="M619" t="s">
        <v>11</v>
      </c>
      <c r="N619" t="s">
        <v>1672</v>
      </c>
      <c r="O619" t="s">
        <v>3860</v>
      </c>
      <c r="P619" t="s">
        <v>4492</v>
      </c>
      <c r="Q619" t="s">
        <v>11083</v>
      </c>
      <c r="U619">
        <v>60</v>
      </c>
      <c r="V619">
        <v>1</v>
      </c>
      <c r="W619">
        <v>60</v>
      </c>
      <c r="X619">
        <v>10.3</v>
      </c>
      <c r="Y619">
        <v>33.1</v>
      </c>
    </row>
    <row r="620" spans="1:25" x14ac:dyDescent="0.25">
      <c r="A620" t="s">
        <v>4550</v>
      </c>
      <c r="B620">
        <v>1225</v>
      </c>
      <c r="C620">
        <v>304</v>
      </c>
      <c r="D620" t="s">
        <v>23</v>
      </c>
      <c r="E620" t="s">
        <v>4093</v>
      </c>
      <c r="F620" t="s">
        <v>3559</v>
      </c>
      <c r="G620" t="s">
        <v>4551</v>
      </c>
      <c r="H620">
        <v>0</v>
      </c>
      <c r="I620">
        <v>250</v>
      </c>
      <c r="J620">
        <v>103</v>
      </c>
      <c r="K620" t="str">
        <f t="shared" si="9"/>
        <v>harv13862</v>
      </c>
      <c r="L620" t="s">
        <v>3859</v>
      </c>
      <c r="M620" t="s">
        <v>73</v>
      </c>
      <c r="N620" t="s">
        <v>1772</v>
      </c>
      <c r="O620" t="s">
        <v>3860</v>
      </c>
      <c r="P620" t="s">
        <v>4536</v>
      </c>
      <c r="Q620" t="s">
        <v>11083</v>
      </c>
      <c r="U620">
        <v>60</v>
      </c>
      <c r="V620">
        <v>1</v>
      </c>
      <c r="W620">
        <v>60</v>
      </c>
      <c r="X620">
        <v>13.8</v>
      </c>
      <c r="Y620">
        <v>6.2</v>
      </c>
    </row>
    <row r="621" spans="1:25" x14ac:dyDescent="0.25">
      <c r="A621" t="s">
        <v>4552</v>
      </c>
      <c r="B621">
        <v>1226</v>
      </c>
      <c r="C621">
        <v>305</v>
      </c>
      <c r="D621" t="s">
        <v>23</v>
      </c>
      <c r="E621" t="s">
        <v>4093</v>
      </c>
      <c r="F621" t="s">
        <v>3559</v>
      </c>
      <c r="G621" t="s">
        <v>4553</v>
      </c>
      <c r="H621">
        <v>0</v>
      </c>
      <c r="I621">
        <v>250</v>
      </c>
      <c r="J621">
        <v>103</v>
      </c>
      <c r="K621" t="str">
        <f t="shared" si="9"/>
        <v>harv13862</v>
      </c>
      <c r="L621" t="s">
        <v>3859</v>
      </c>
      <c r="M621" t="s">
        <v>73</v>
      </c>
      <c r="N621" t="s">
        <v>1772</v>
      </c>
      <c r="O621" t="s">
        <v>3860</v>
      </c>
      <c r="P621" t="s">
        <v>4536</v>
      </c>
      <c r="Q621" t="s">
        <v>11083</v>
      </c>
      <c r="U621">
        <v>60</v>
      </c>
      <c r="V621">
        <v>1</v>
      </c>
      <c r="W621">
        <v>60</v>
      </c>
      <c r="X621">
        <v>13.8</v>
      </c>
      <c r="Y621">
        <v>6.2</v>
      </c>
    </row>
    <row r="622" spans="1:25" x14ac:dyDescent="0.25">
      <c r="A622" t="s">
        <v>4554</v>
      </c>
      <c r="B622">
        <v>1227</v>
      </c>
      <c r="C622">
        <v>306</v>
      </c>
      <c r="D622" t="s">
        <v>23</v>
      </c>
      <c r="E622" t="s">
        <v>4093</v>
      </c>
      <c r="F622" t="s">
        <v>3559</v>
      </c>
      <c r="G622" t="s">
        <v>4555</v>
      </c>
      <c r="H622">
        <v>0</v>
      </c>
      <c r="I622">
        <v>325</v>
      </c>
      <c r="J622">
        <v>155</v>
      </c>
      <c r="K622" t="str">
        <f t="shared" si="9"/>
        <v>harv17488</v>
      </c>
      <c r="M622" t="s">
        <v>73</v>
      </c>
      <c r="N622" t="s">
        <v>1736</v>
      </c>
      <c r="Q622" t="s">
        <v>11083</v>
      </c>
      <c r="U622">
        <v>60</v>
      </c>
      <c r="V622">
        <v>2</v>
      </c>
      <c r="W622">
        <v>60</v>
      </c>
      <c r="X622">
        <v>17.399999999999999</v>
      </c>
      <c r="Y622">
        <v>8.8000000000000007</v>
      </c>
    </row>
    <row r="623" spans="1:25" x14ac:dyDescent="0.25">
      <c r="A623" t="s">
        <v>4556</v>
      </c>
      <c r="B623">
        <v>1228</v>
      </c>
      <c r="C623">
        <v>307</v>
      </c>
      <c r="D623" t="s">
        <v>23</v>
      </c>
      <c r="E623" t="s">
        <v>4093</v>
      </c>
      <c r="F623" t="s">
        <v>3559</v>
      </c>
      <c r="G623" t="s">
        <v>4557</v>
      </c>
      <c r="H623">
        <v>0</v>
      </c>
      <c r="I623">
        <v>325</v>
      </c>
      <c r="J623">
        <v>155</v>
      </c>
      <c r="K623" t="str">
        <f t="shared" si="9"/>
        <v>harv17488</v>
      </c>
      <c r="M623" t="s">
        <v>73</v>
      </c>
      <c r="N623" t="s">
        <v>1736</v>
      </c>
      <c r="Q623" t="s">
        <v>11083</v>
      </c>
      <c r="U623">
        <v>60</v>
      </c>
      <c r="V623">
        <v>2</v>
      </c>
      <c r="W623">
        <v>60</v>
      </c>
      <c r="X623">
        <v>17.399999999999999</v>
      </c>
      <c r="Y623">
        <v>8.8000000000000007</v>
      </c>
    </row>
    <row r="624" spans="1:25" x14ac:dyDescent="0.25">
      <c r="A624" t="s">
        <v>4558</v>
      </c>
      <c r="B624">
        <v>1229</v>
      </c>
      <c r="C624">
        <v>308</v>
      </c>
      <c r="D624" t="s">
        <v>23</v>
      </c>
      <c r="E624" t="s">
        <v>4093</v>
      </c>
      <c r="F624" t="s">
        <v>3559</v>
      </c>
      <c r="G624" t="s">
        <v>4559</v>
      </c>
      <c r="H624">
        <v>0</v>
      </c>
      <c r="I624">
        <v>233</v>
      </c>
      <c r="J624">
        <v>217</v>
      </c>
      <c r="K624" t="str">
        <f t="shared" si="9"/>
        <v>harv127122</v>
      </c>
      <c r="L624" t="s">
        <v>3859</v>
      </c>
      <c r="M624" t="s">
        <v>73</v>
      </c>
      <c r="N624" t="s">
        <v>1772</v>
      </c>
      <c r="O624" t="s">
        <v>3860</v>
      </c>
      <c r="P624" t="s">
        <v>4560</v>
      </c>
      <c r="Q624" t="s">
        <v>11083</v>
      </c>
      <c r="U624">
        <v>61</v>
      </c>
      <c r="V624">
        <v>0</v>
      </c>
      <c r="W624">
        <v>65</v>
      </c>
      <c r="X624">
        <v>12.7</v>
      </c>
      <c r="Y624">
        <v>12.2</v>
      </c>
    </row>
    <row r="625" spans="1:25" x14ac:dyDescent="0.25">
      <c r="A625" t="s">
        <v>4561</v>
      </c>
      <c r="B625">
        <v>1230</v>
      </c>
      <c r="C625">
        <v>309</v>
      </c>
      <c r="D625" t="s">
        <v>23</v>
      </c>
      <c r="E625" t="s">
        <v>4093</v>
      </c>
      <c r="F625" t="s">
        <v>3559</v>
      </c>
      <c r="G625" t="s">
        <v>4562</v>
      </c>
      <c r="H625">
        <v>0</v>
      </c>
      <c r="I625">
        <v>233</v>
      </c>
      <c r="J625">
        <v>217</v>
      </c>
      <c r="K625" t="str">
        <f t="shared" si="9"/>
        <v>harv127122</v>
      </c>
      <c r="M625" t="s">
        <v>73</v>
      </c>
      <c r="N625" t="s">
        <v>1772</v>
      </c>
      <c r="Q625" t="s">
        <v>11083</v>
      </c>
      <c r="U625">
        <v>62</v>
      </c>
      <c r="V625">
        <v>0</v>
      </c>
      <c r="W625">
        <v>65</v>
      </c>
      <c r="X625">
        <v>12.7</v>
      </c>
      <c r="Y625">
        <v>12.2</v>
      </c>
    </row>
    <row r="626" spans="1:25" x14ac:dyDescent="0.25">
      <c r="A626" t="s">
        <v>4563</v>
      </c>
      <c r="B626">
        <v>1231</v>
      </c>
      <c r="C626">
        <v>310</v>
      </c>
      <c r="D626" t="s">
        <v>23</v>
      </c>
      <c r="E626" t="s">
        <v>4093</v>
      </c>
      <c r="F626" t="s">
        <v>3559</v>
      </c>
      <c r="G626" t="s">
        <v>4564</v>
      </c>
      <c r="H626">
        <v>0</v>
      </c>
      <c r="I626">
        <v>233</v>
      </c>
      <c r="J626">
        <v>217</v>
      </c>
      <c r="K626" t="str">
        <f t="shared" si="9"/>
        <v>harv127122</v>
      </c>
      <c r="M626" t="s">
        <v>73</v>
      </c>
      <c r="N626" t="s">
        <v>1772</v>
      </c>
      <c r="Q626" t="s">
        <v>11083</v>
      </c>
      <c r="U626">
        <v>62</v>
      </c>
      <c r="V626">
        <v>0</v>
      </c>
      <c r="W626">
        <v>65</v>
      </c>
      <c r="X626">
        <v>12.7</v>
      </c>
      <c r="Y626">
        <v>12.2</v>
      </c>
    </row>
    <row r="627" spans="1:25" x14ac:dyDescent="0.25">
      <c r="A627" t="s">
        <v>4565</v>
      </c>
      <c r="B627">
        <v>1232</v>
      </c>
      <c r="C627">
        <v>311</v>
      </c>
      <c r="D627" t="s">
        <v>23</v>
      </c>
      <c r="E627" t="s">
        <v>4093</v>
      </c>
      <c r="F627" t="s">
        <v>3559</v>
      </c>
      <c r="G627" t="s">
        <v>4566</v>
      </c>
      <c r="H627">
        <v>0</v>
      </c>
      <c r="I627">
        <v>509</v>
      </c>
      <c r="J627">
        <v>402</v>
      </c>
      <c r="K627" t="str">
        <f t="shared" si="9"/>
        <v>harv271219</v>
      </c>
      <c r="M627" t="s">
        <v>73</v>
      </c>
      <c r="N627" t="s">
        <v>1891</v>
      </c>
      <c r="Q627" t="s">
        <v>11083</v>
      </c>
      <c r="U627">
        <v>62</v>
      </c>
      <c r="V627">
        <v>0</v>
      </c>
      <c r="W627">
        <v>65</v>
      </c>
      <c r="X627">
        <v>27.1</v>
      </c>
      <c r="Y627">
        <v>21.9</v>
      </c>
    </row>
    <row r="628" spans="1:25" x14ac:dyDescent="0.25">
      <c r="A628" t="s">
        <v>4567</v>
      </c>
      <c r="B628">
        <v>1233</v>
      </c>
      <c r="C628">
        <v>312</v>
      </c>
      <c r="D628" t="s">
        <v>23</v>
      </c>
      <c r="E628" t="s">
        <v>4093</v>
      </c>
      <c r="F628" t="s">
        <v>3559</v>
      </c>
      <c r="G628" t="s">
        <v>4568</v>
      </c>
      <c r="H628">
        <v>0</v>
      </c>
      <c r="I628">
        <v>219</v>
      </c>
      <c r="J628">
        <v>468</v>
      </c>
      <c r="K628" t="str">
        <f t="shared" si="9"/>
        <v>harv119251</v>
      </c>
      <c r="L628" t="s">
        <v>3859</v>
      </c>
      <c r="M628" t="s">
        <v>73</v>
      </c>
      <c r="N628" t="s">
        <v>1743</v>
      </c>
      <c r="O628" t="s">
        <v>3860</v>
      </c>
      <c r="P628" t="s">
        <v>4560</v>
      </c>
      <c r="Q628" t="s">
        <v>11083</v>
      </c>
      <c r="U628">
        <v>62</v>
      </c>
      <c r="V628">
        <v>0</v>
      </c>
      <c r="W628">
        <v>65</v>
      </c>
      <c r="X628">
        <v>11.9</v>
      </c>
      <c r="Y628">
        <v>25.1</v>
      </c>
    </row>
    <row r="629" spans="1:25" x14ac:dyDescent="0.25">
      <c r="A629" t="s">
        <v>4569</v>
      </c>
      <c r="B629">
        <v>1234</v>
      </c>
      <c r="C629">
        <v>313</v>
      </c>
      <c r="D629" t="s">
        <v>23</v>
      </c>
      <c r="E629" t="s">
        <v>4093</v>
      </c>
      <c r="F629" t="s">
        <v>3559</v>
      </c>
      <c r="G629" t="s">
        <v>4570</v>
      </c>
      <c r="H629">
        <v>0</v>
      </c>
      <c r="I629">
        <v>509</v>
      </c>
      <c r="J629">
        <v>402</v>
      </c>
      <c r="K629" t="str">
        <f t="shared" si="9"/>
        <v>harv271219</v>
      </c>
      <c r="M629" t="s">
        <v>73</v>
      </c>
      <c r="N629" t="s">
        <v>1891</v>
      </c>
      <c r="Q629" t="s">
        <v>11083</v>
      </c>
      <c r="U629">
        <v>63</v>
      </c>
      <c r="V629">
        <v>0</v>
      </c>
      <c r="W629">
        <v>65</v>
      </c>
      <c r="X629">
        <v>27.1</v>
      </c>
      <c r="Y629">
        <v>21.9</v>
      </c>
    </row>
    <row r="630" spans="1:25" x14ac:dyDescent="0.25">
      <c r="A630" t="s">
        <v>4571</v>
      </c>
      <c r="B630">
        <v>1235</v>
      </c>
      <c r="C630">
        <v>314</v>
      </c>
      <c r="D630" t="s">
        <v>23</v>
      </c>
      <c r="E630" t="s">
        <v>4093</v>
      </c>
      <c r="F630" t="s">
        <v>3559</v>
      </c>
      <c r="G630" t="s">
        <v>4572</v>
      </c>
      <c r="H630">
        <v>0</v>
      </c>
      <c r="I630">
        <v>219</v>
      </c>
      <c r="J630">
        <v>468</v>
      </c>
      <c r="K630" t="str">
        <f t="shared" si="9"/>
        <v>harv119251</v>
      </c>
      <c r="M630" t="s">
        <v>73</v>
      </c>
      <c r="N630" t="s">
        <v>1743</v>
      </c>
      <c r="Q630" t="s">
        <v>11083</v>
      </c>
      <c r="U630">
        <v>63</v>
      </c>
      <c r="V630">
        <v>0</v>
      </c>
      <c r="W630">
        <v>65</v>
      </c>
      <c r="X630">
        <v>11.9</v>
      </c>
      <c r="Y630">
        <v>25.1</v>
      </c>
    </row>
    <row r="631" spans="1:25" x14ac:dyDescent="0.25">
      <c r="A631" t="s">
        <v>4573</v>
      </c>
      <c r="B631">
        <v>1236</v>
      </c>
      <c r="C631">
        <v>315</v>
      </c>
      <c r="D631" t="s">
        <v>23</v>
      </c>
      <c r="E631" t="s">
        <v>4093</v>
      </c>
      <c r="F631" t="s">
        <v>3559</v>
      </c>
      <c r="G631" t="s">
        <v>4574</v>
      </c>
      <c r="H631">
        <v>0</v>
      </c>
      <c r="I631">
        <v>594</v>
      </c>
      <c r="J631">
        <v>259</v>
      </c>
      <c r="K631" t="str">
        <f t="shared" si="9"/>
        <v>harv329148</v>
      </c>
      <c r="L631" t="s">
        <v>3859</v>
      </c>
      <c r="M631" t="s">
        <v>73</v>
      </c>
      <c r="N631" t="s">
        <v>1553</v>
      </c>
      <c r="O631" t="s">
        <v>3860</v>
      </c>
      <c r="P631" t="s">
        <v>4560</v>
      </c>
      <c r="Q631" t="s">
        <v>11083</v>
      </c>
      <c r="U631">
        <v>63</v>
      </c>
      <c r="V631">
        <v>0</v>
      </c>
      <c r="W631">
        <v>65</v>
      </c>
      <c r="X631">
        <v>32.9</v>
      </c>
      <c r="Y631">
        <v>14.8</v>
      </c>
    </row>
    <row r="632" spans="1:25" x14ac:dyDescent="0.25">
      <c r="A632" t="s">
        <v>4575</v>
      </c>
      <c r="B632">
        <v>1237</v>
      </c>
      <c r="C632">
        <v>316</v>
      </c>
      <c r="D632" t="s">
        <v>23</v>
      </c>
      <c r="E632" t="s">
        <v>4093</v>
      </c>
      <c r="F632" t="s">
        <v>3559</v>
      </c>
      <c r="G632" t="s">
        <v>4576</v>
      </c>
      <c r="H632">
        <v>0</v>
      </c>
      <c r="I632">
        <v>233</v>
      </c>
      <c r="J632">
        <v>217</v>
      </c>
      <c r="K632" t="str">
        <f t="shared" si="9"/>
        <v>harv127122</v>
      </c>
      <c r="M632" t="s">
        <v>73</v>
      </c>
      <c r="N632" t="s">
        <v>1772</v>
      </c>
      <c r="Q632" t="s">
        <v>11083</v>
      </c>
      <c r="U632">
        <v>64</v>
      </c>
      <c r="V632">
        <v>0</v>
      </c>
      <c r="W632">
        <v>65</v>
      </c>
      <c r="X632">
        <v>12.7</v>
      </c>
      <c r="Y632">
        <v>12.2</v>
      </c>
    </row>
    <row r="633" spans="1:25" x14ac:dyDescent="0.25">
      <c r="A633" t="s">
        <v>4577</v>
      </c>
      <c r="B633">
        <v>1238</v>
      </c>
      <c r="C633">
        <v>317</v>
      </c>
      <c r="D633" t="s">
        <v>23</v>
      </c>
      <c r="E633" t="s">
        <v>4093</v>
      </c>
      <c r="F633" t="s">
        <v>3559</v>
      </c>
      <c r="G633" t="s">
        <v>4578</v>
      </c>
      <c r="H633">
        <v>0</v>
      </c>
      <c r="I633">
        <v>233</v>
      </c>
      <c r="J633">
        <v>217</v>
      </c>
      <c r="K633" t="str">
        <f t="shared" si="9"/>
        <v>harv127122</v>
      </c>
      <c r="M633" t="s">
        <v>73</v>
      </c>
      <c r="N633" t="s">
        <v>1772</v>
      </c>
      <c r="Q633" t="s">
        <v>11083</v>
      </c>
      <c r="U633">
        <v>64</v>
      </c>
      <c r="V633">
        <v>0</v>
      </c>
      <c r="W633">
        <v>65</v>
      </c>
      <c r="X633">
        <v>12.7</v>
      </c>
      <c r="Y633">
        <v>12.2</v>
      </c>
    </row>
    <row r="634" spans="1:25" x14ac:dyDescent="0.25">
      <c r="A634" t="s">
        <v>4579</v>
      </c>
      <c r="B634">
        <v>1239</v>
      </c>
      <c r="C634">
        <v>318</v>
      </c>
      <c r="D634" t="s">
        <v>23</v>
      </c>
      <c r="E634" t="s">
        <v>4093</v>
      </c>
      <c r="F634" t="s">
        <v>3559</v>
      </c>
      <c r="G634" t="s">
        <v>4580</v>
      </c>
      <c r="H634">
        <v>0</v>
      </c>
      <c r="I634">
        <v>156</v>
      </c>
      <c r="J634">
        <v>115</v>
      </c>
      <c r="K634" t="str">
        <f t="shared" si="9"/>
        <v>harv97</v>
      </c>
      <c r="M634" t="s">
        <v>73</v>
      </c>
      <c r="N634" t="s">
        <v>1926</v>
      </c>
      <c r="Q634" t="s">
        <v>11083</v>
      </c>
      <c r="U634">
        <v>64</v>
      </c>
      <c r="V634">
        <v>0</v>
      </c>
      <c r="W634">
        <v>65</v>
      </c>
      <c r="X634">
        <v>9</v>
      </c>
      <c r="Y634">
        <v>7</v>
      </c>
    </row>
    <row r="635" spans="1:25" x14ac:dyDescent="0.25">
      <c r="A635" t="s">
        <v>4581</v>
      </c>
      <c r="B635">
        <v>1240</v>
      </c>
      <c r="C635">
        <v>319</v>
      </c>
      <c r="D635" t="s">
        <v>23</v>
      </c>
      <c r="E635" t="s">
        <v>4093</v>
      </c>
      <c r="F635" t="s">
        <v>3559</v>
      </c>
      <c r="G635" t="s">
        <v>4582</v>
      </c>
      <c r="H635">
        <v>0</v>
      </c>
      <c r="I635">
        <v>509</v>
      </c>
      <c r="J635">
        <v>402</v>
      </c>
      <c r="K635" t="str">
        <f t="shared" si="9"/>
        <v>harv271219</v>
      </c>
      <c r="M635" t="s">
        <v>73</v>
      </c>
      <c r="N635" t="s">
        <v>1891</v>
      </c>
      <c r="Q635" t="s">
        <v>11083</v>
      </c>
      <c r="U635">
        <v>64</v>
      </c>
      <c r="V635">
        <v>0</v>
      </c>
      <c r="W635">
        <v>65</v>
      </c>
      <c r="X635">
        <v>27.1</v>
      </c>
      <c r="Y635">
        <v>21.9</v>
      </c>
    </row>
    <row r="636" spans="1:25" x14ac:dyDescent="0.25">
      <c r="A636" t="s">
        <v>4583</v>
      </c>
      <c r="B636">
        <v>1241</v>
      </c>
      <c r="C636">
        <v>320</v>
      </c>
      <c r="D636" t="s">
        <v>23</v>
      </c>
      <c r="E636" t="s">
        <v>4093</v>
      </c>
      <c r="F636" t="s">
        <v>3559</v>
      </c>
      <c r="G636" t="s">
        <v>4584</v>
      </c>
      <c r="H636">
        <v>0</v>
      </c>
      <c r="I636">
        <v>509</v>
      </c>
      <c r="J636">
        <v>402</v>
      </c>
      <c r="K636" t="str">
        <f t="shared" si="9"/>
        <v>harv271219</v>
      </c>
      <c r="L636" t="s">
        <v>3859</v>
      </c>
      <c r="M636" t="s">
        <v>73</v>
      </c>
      <c r="N636" t="s">
        <v>1891</v>
      </c>
      <c r="O636" t="s">
        <v>3860</v>
      </c>
      <c r="P636" t="s">
        <v>4560</v>
      </c>
      <c r="Q636" t="s">
        <v>11083</v>
      </c>
      <c r="U636">
        <v>64</v>
      </c>
      <c r="V636">
        <v>0</v>
      </c>
      <c r="W636">
        <v>65</v>
      </c>
      <c r="X636">
        <v>27.1</v>
      </c>
      <c r="Y636">
        <v>21.9</v>
      </c>
    </row>
    <row r="637" spans="1:25" x14ac:dyDescent="0.25">
      <c r="A637" t="s">
        <v>4585</v>
      </c>
      <c r="B637">
        <v>1242</v>
      </c>
      <c r="C637">
        <v>321</v>
      </c>
      <c r="D637" t="s">
        <v>23</v>
      </c>
      <c r="E637" t="s">
        <v>4093</v>
      </c>
      <c r="F637" t="s">
        <v>3559</v>
      </c>
      <c r="G637" t="s">
        <v>4586</v>
      </c>
      <c r="H637">
        <v>0</v>
      </c>
      <c r="I637">
        <v>219</v>
      </c>
      <c r="J637">
        <v>468</v>
      </c>
      <c r="K637" t="str">
        <f t="shared" si="9"/>
        <v>harv119251</v>
      </c>
      <c r="M637" t="s">
        <v>73</v>
      </c>
      <c r="N637" t="s">
        <v>1743</v>
      </c>
      <c r="Q637" t="s">
        <v>11083</v>
      </c>
      <c r="U637">
        <v>65</v>
      </c>
      <c r="V637">
        <v>0</v>
      </c>
      <c r="W637">
        <v>65</v>
      </c>
      <c r="X637">
        <v>11.9</v>
      </c>
      <c r="Y637">
        <v>25.1</v>
      </c>
    </row>
    <row r="638" spans="1:25" x14ac:dyDescent="0.25">
      <c r="A638" t="s">
        <v>4587</v>
      </c>
      <c r="B638">
        <v>1243</v>
      </c>
      <c r="C638">
        <v>322</v>
      </c>
      <c r="D638" t="s">
        <v>23</v>
      </c>
      <c r="E638" t="s">
        <v>4093</v>
      </c>
      <c r="F638" t="s">
        <v>3559</v>
      </c>
      <c r="G638" t="s">
        <v>4588</v>
      </c>
      <c r="H638">
        <v>0</v>
      </c>
      <c r="I638">
        <v>156</v>
      </c>
      <c r="J638">
        <v>115</v>
      </c>
      <c r="K638" t="str">
        <f t="shared" si="9"/>
        <v>harv97</v>
      </c>
      <c r="M638" t="s">
        <v>73</v>
      </c>
      <c r="N638" t="s">
        <v>1926</v>
      </c>
      <c r="Q638" t="s">
        <v>11083</v>
      </c>
      <c r="U638">
        <v>65</v>
      </c>
      <c r="V638">
        <v>0</v>
      </c>
      <c r="W638">
        <v>65</v>
      </c>
      <c r="X638">
        <v>9</v>
      </c>
      <c r="Y638">
        <v>7</v>
      </c>
    </row>
    <row r="639" spans="1:25" x14ac:dyDescent="0.25">
      <c r="A639" t="s">
        <v>4589</v>
      </c>
      <c r="B639">
        <v>1244</v>
      </c>
      <c r="C639">
        <v>323</v>
      </c>
      <c r="D639" t="s">
        <v>23</v>
      </c>
      <c r="E639" t="s">
        <v>4093</v>
      </c>
      <c r="F639" t="s">
        <v>3559</v>
      </c>
      <c r="G639" t="s">
        <v>4590</v>
      </c>
      <c r="H639">
        <v>0</v>
      </c>
      <c r="I639">
        <v>219</v>
      </c>
      <c r="J639">
        <v>468</v>
      </c>
      <c r="K639" t="str">
        <f t="shared" si="9"/>
        <v>harv119251</v>
      </c>
      <c r="M639" t="s">
        <v>73</v>
      </c>
      <c r="N639" t="s">
        <v>1743</v>
      </c>
      <c r="Q639" t="s">
        <v>11083</v>
      </c>
      <c r="U639">
        <v>65</v>
      </c>
      <c r="V639">
        <v>0</v>
      </c>
      <c r="W639">
        <v>65</v>
      </c>
      <c r="X639">
        <v>11.9</v>
      </c>
      <c r="Y639">
        <v>25.1</v>
      </c>
    </row>
    <row r="640" spans="1:25" x14ac:dyDescent="0.25">
      <c r="A640" t="s">
        <v>4591</v>
      </c>
      <c r="B640">
        <v>1245</v>
      </c>
      <c r="C640">
        <v>324</v>
      </c>
      <c r="D640" t="s">
        <v>23</v>
      </c>
      <c r="E640" t="s">
        <v>4093</v>
      </c>
      <c r="F640" t="s">
        <v>3559</v>
      </c>
      <c r="G640" t="s">
        <v>4592</v>
      </c>
      <c r="H640">
        <v>0</v>
      </c>
      <c r="I640">
        <v>140</v>
      </c>
      <c r="J640">
        <v>227</v>
      </c>
      <c r="K640" t="str">
        <f t="shared" si="9"/>
        <v>harv82132</v>
      </c>
      <c r="L640" t="s">
        <v>3859</v>
      </c>
      <c r="M640" t="s">
        <v>73</v>
      </c>
      <c r="N640" t="s">
        <v>1713</v>
      </c>
      <c r="O640" t="s">
        <v>3860</v>
      </c>
      <c r="P640" t="s">
        <v>4560</v>
      </c>
      <c r="Q640" t="s">
        <v>11083</v>
      </c>
      <c r="U640">
        <v>65</v>
      </c>
      <c r="V640">
        <v>0</v>
      </c>
      <c r="W640">
        <v>65</v>
      </c>
      <c r="X640">
        <v>8.1999999999999993</v>
      </c>
      <c r="Y640">
        <v>13.2</v>
      </c>
    </row>
    <row r="641" spans="1:25" x14ac:dyDescent="0.25">
      <c r="A641" t="s">
        <v>4593</v>
      </c>
      <c r="B641">
        <v>1246</v>
      </c>
      <c r="C641">
        <v>325</v>
      </c>
      <c r="D641" t="s">
        <v>23</v>
      </c>
      <c r="E641" t="s">
        <v>4093</v>
      </c>
      <c r="F641" t="s">
        <v>3559</v>
      </c>
      <c r="G641" t="s">
        <v>4594</v>
      </c>
      <c r="H641">
        <v>0</v>
      </c>
      <c r="I641">
        <v>421</v>
      </c>
      <c r="J641">
        <v>215</v>
      </c>
      <c r="K641" t="str">
        <f t="shared" si="9"/>
        <v>harv22312</v>
      </c>
      <c r="M641" t="s">
        <v>73</v>
      </c>
      <c r="N641" t="s">
        <v>1960</v>
      </c>
      <c r="Q641" t="s">
        <v>11083</v>
      </c>
      <c r="U641">
        <v>66</v>
      </c>
      <c r="V641">
        <v>0</v>
      </c>
      <c r="W641">
        <v>70</v>
      </c>
      <c r="X641">
        <v>22.3</v>
      </c>
      <c r="Y641">
        <v>12</v>
      </c>
    </row>
    <row r="642" spans="1:25" x14ac:dyDescent="0.25">
      <c r="A642" t="s">
        <v>4595</v>
      </c>
      <c r="B642">
        <v>1247</v>
      </c>
      <c r="C642">
        <v>326</v>
      </c>
      <c r="D642" t="s">
        <v>23</v>
      </c>
      <c r="E642" t="s">
        <v>4093</v>
      </c>
      <c r="F642" t="s">
        <v>3559</v>
      </c>
      <c r="G642" t="s">
        <v>4596</v>
      </c>
      <c r="H642">
        <v>0</v>
      </c>
      <c r="I642">
        <v>500</v>
      </c>
      <c r="J642">
        <v>591</v>
      </c>
      <c r="K642" t="str">
        <f t="shared" ref="K642:K705" si="10">LEFT(A642,4)&amp;SUBSTITUTE(X642,".","")&amp;SUBSTITUTE(Y642,".","")</f>
        <v>harv265312</v>
      </c>
      <c r="M642" t="s">
        <v>73</v>
      </c>
      <c r="N642" t="s">
        <v>1811</v>
      </c>
      <c r="Q642" t="s">
        <v>11083</v>
      </c>
      <c r="U642">
        <v>66</v>
      </c>
      <c r="V642">
        <v>0</v>
      </c>
      <c r="W642">
        <v>70</v>
      </c>
      <c r="X642">
        <v>26.5</v>
      </c>
      <c r="Y642">
        <v>31.2</v>
      </c>
    </row>
    <row r="643" spans="1:25" x14ac:dyDescent="0.25">
      <c r="A643" t="s">
        <v>4597</v>
      </c>
      <c r="B643">
        <v>1248</v>
      </c>
      <c r="C643">
        <v>327</v>
      </c>
      <c r="D643" t="s">
        <v>23</v>
      </c>
      <c r="E643" t="s">
        <v>4093</v>
      </c>
      <c r="F643" t="s">
        <v>3559</v>
      </c>
      <c r="G643" t="s">
        <v>4598</v>
      </c>
      <c r="H643">
        <v>0</v>
      </c>
      <c r="I643">
        <v>530</v>
      </c>
      <c r="J643">
        <v>134</v>
      </c>
      <c r="K643" t="str">
        <f t="shared" si="10"/>
        <v>harv2877</v>
      </c>
      <c r="M643" t="s">
        <v>73</v>
      </c>
      <c r="N643" t="s">
        <v>1955</v>
      </c>
      <c r="Q643" t="s">
        <v>3749</v>
      </c>
      <c r="R643" t="s">
        <v>2833</v>
      </c>
      <c r="U643">
        <v>66</v>
      </c>
      <c r="V643">
        <v>0</v>
      </c>
      <c r="W643">
        <v>70</v>
      </c>
      <c r="X643">
        <v>28</v>
      </c>
      <c r="Y643">
        <v>7.7</v>
      </c>
    </row>
    <row r="644" spans="1:25" x14ac:dyDescent="0.25">
      <c r="A644" t="s">
        <v>4599</v>
      </c>
      <c r="B644">
        <v>1249</v>
      </c>
      <c r="C644">
        <v>328</v>
      </c>
      <c r="D644" t="s">
        <v>23</v>
      </c>
      <c r="E644" t="s">
        <v>4093</v>
      </c>
      <c r="F644" t="s">
        <v>3559</v>
      </c>
      <c r="G644" t="s">
        <v>4600</v>
      </c>
      <c r="H644">
        <v>0</v>
      </c>
      <c r="I644">
        <v>296</v>
      </c>
      <c r="J644">
        <v>527</v>
      </c>
      <c r="K644" t="str">
        <f t="shared" si="10"/>
        <v>harv15828</v>
      </c>
      <c r="M644" t="s">
        <v>73</v>
      </c>
      <c r="N644" t="s">
        <v>2004</v>
      </c>
      <c r="Q644" t="s">
        <v>11083</v>
      </c>
      <c r="U644">
        <v>66</v>
      </c>
      <c r="V644">
        <v>0</v>
      </c>
      <c r="W644">
        <v>70</v>
      </c>
      <c r="X644">
        <v>15.8</v>
      </c>
      <c r="Y644">
        <v>28</v>
      </c>
    </row>
    <row r="645" spans="1:25" x14ac:dyDescent="0.25">
      <c r="A645" t="s">
        <v>4601</v>
      </c>
      <c r="B645">
        <v>1250</v>
      </c>
      <c r="C645">
        <v>329</v>
      </c>
      <c r="D645" t="s">
        <v>23</v>
      </c>
      <c r="E645" t="s">
        <v>4093</v>
      </c>
      <c r="F645" t="s">
        <v>3559</v>
      </c>
      <c r="G645" t="s">
        <v>4602</v>
      </c>
      <c r="H645">
        <v>0</v>
      </c>
      <c r="I645">
        <v>296</v>
      </c>
      <c r="J645">
        <v>527</v>
      </c>
      <c r="K645" t="str">
        <f t="shared" si="10"/>
        <v>harv15828</v>
      </c>
      <c r="M645" t="s">
        <v>73</v>
      </c>
      <c r="N645" t="s">
        <v>2004</v>
      </c>
      <c r="Q645" t="s">
        <v>11083</v>
      </c>
      <c r="U645">
        <v>66</v>
      </c>
      <c r="V645">
        <v>0</v>
      </c>
      <c r="W645">
        <v>70</v>
      </c>
      <c r="X645">
        <v>15.8</v>
      </c>
      <c r="Y645">
        <v>28</v>
      </c>
    </row>
    <row r="646" spans="1:25" x14ac:dyDescent="0.25">
      <c r="A646" t="s">
        <v>4603</v>
      </c>
      <c r="B646">
        <v>1251</v>
      </c>
      <c r="C646">
        <v>330</v>
      </c>
      <c r="D646" t="s">
        <v>23</v>
      </c>
      <c r="E646" t="s">
        <v>4093</v>
      </c>
      <c r="F646" t="s">
        <v>3559</v>
      </c>
      <c r="G646" t="s">
        <v>77</v>
      </c>
      <c r="H646">
        <v>0</v>
      </c>
      <c r="I646">
        <v>486</v>
      </c>
      <c r="J646">
        <v>559</v>
      </c>
      <c r="K646" t="str">
        <f t="shared" si="10"/>
        <v>harv257298</v>
      </c>
      <c r="L646" t="s">
        <v>3859</v>
      </c>
      <c r="M646" t="s">
        <v>73</v>
      </c>
      <c r="N646" t="s">
        <v>2004</v>
      </c>
      <c r="O646" t="s">
        <v>3886</v>
      </c>
      <c r="Q646" t="s">
        <v>3669</v>
      </c>
      <c r="R646" t="s">
        <v>2815</v>
      </c>
      <c r="U646">
        <v>66</v>
      </c>
      <c r="V646">
        <v>0</v>
      </c>
      <c r="W646">
        <v>70</v>
      </c>
      <c r="X646">
        <v>25.7</v>
      </c>
      <c r="Y646">
        <v>29.8</v>
      </c>
    </row>
    <row r="647" spans="1:25" x14ac:dyDescent="0.25">
      <c r="A647" t="s">
        <v>4604</v>
      </c>
      <c r="B647">
        <v>1252</v>
      </c>
      <c r="C647">
        <v>331</v>
      </c>
      <c r="D647" t="s">
        <v>23</v>
      </c>
      <c r="E647" t="s">
        <v>4093</v>
      </c>
      <c r="F647" t="s">
        <v>3559</v>
      </c>
      <c r="G647" t="s">
        <v>4605</v>
      </c>
      <c r="H647">
        <v>0</v>
      </c>
      <c r="I647">
        <v>609</v>
      </c>
      <c r="J647">
        <v>503</v>
      </c>
      <c r="K647" t="str">
        <f t="shared" si="10"/>
        <v>harv32266</v>
      </c>
      <c r="M647" t="s">
        <v>73</v>
      </c>
      <c r="N647" t="s">
        <v>1940</v>
      </c>
      <c r="Q647" t="s">
        <v>3669</v>
      </c>
      <c r="R647" t="s">
        <v>2821</v>
      </c>
      <c r="U647">
        <v>66</v>
      </c>
      <c r="V647">
        <v>0</v>
      </c>
      <c r="W647">
        <v>70</v>
      </c>
      <c r="X647">
        <v>32</v>
      </c>
      <c r="Y647">
        <v>26.6</v>
      </c>
    </row>
    <row r="648" spans="1:25" x14ac:dyDescent="0.25">
      <c r="A648" t="s">
        <v>4606</v>
      </c>
      <c r="B648">
        <v>1253</v>
      </c>
      <c r="C648">
        <v>332</v>
      </c>
      <c r="D648" t="s">
        <v>23</v>
      </c>
      <c r="E648" t="s">
        <v>4093</v>
      </c>
      <c r="F648" t="s">
        <v>3559</v>
      </c>
      <c r="G648" t="s">
        <v>84</v>
      </c>
      <c r="H648">
        <v>0</v>
      </c>
      <c r="I648">
        <v>609</v>
      </c>
      <c r="J648">
        <v>503</v>
      </c>
      <c r="K648" t="str">
        <f t="shared" si="10"/>
        <v>harv32266</v>
      </c>
      <c r="L648" t="s">
        <v>3859</v>
      </c>
      <c r="M648" t="s">
        <v>73</v>
      </c>
      <c r="N648" t="s">
        <v>1940</v>
      </c>
      <c r="O648" t="s">
        <v>3886</v>
      </c>
      <c r="Q648" t="s">
        <v>3669</v>
      </c>
      <c r="R648" t="s">
        <v>2821</v>
      </c>
      <c r="U648">
        <v>66</v>
      </c>
      <c r="V648">
        <v>0</v>
      </c>
      <c r="W648">
        <v>70</v>
      </c>
      <c r="X648">
        <v>32</v>
      </c>
      <c r="Y648">
        <v>26.6</v>
      </c>
    </row>
    <row r="649" spans="1:25" x14ac:dyDescent="0.25">
      <c r="A649" t="s">
        <v>4607</v>
      </c>
      <c r="B649">
        <v>1254</v>
      </c>
      <c r="C649">
        <v>333</v>
      </c>
      <c r="D649" t="s">
        <v>23</v>
      </c>
      <c r="E649" t="s">
        <v>4093</v>
      </c>
      <c r="F649" t="s">
        <v>3559</v>
      </c>
      <c r="G649" t="s">
        <v>4608</v>
      </c>
      <c r="H649">
        <v>0</v>
      </c>
      <c r="I649">
        <v>296</v>
      </c>
      <c r="J649">
        <v>527</v>
      </c>
      <c r="K649" t="str">
        <f t="shared" si="10"/>
        <v>harv15828</v>
      </c>
      <c r="L649" t="s">
        <v>3859</v>
      </c>
      <c r="M649" t="s">
        <v>73</v>
      </c>
      <c r="N649" t="s">
        <v>2004</v>
      </c>
      <c r="O649" t="s">
        <v>3860</v>
      </c>
      <c r="P649" t="s">
        <v>3861</v>
      </c>
      <c r="Q649" t="s">
        <v>11083</v>
      </c>
      <c r="U649">
        <v>66</v>
      </c>
      <c r="V649">
        <v>0</v>
      </c>
      <c r="W649">
        <v>70</v>
      </c>
      <c r="X649">
        <v>15.8</v>
      </c>
      <c r="Y649">
        <v>28</v>
      </c>
    </row>
    <row r="650" spans="1:25" x14ac:dyDescent="0.25">
      <c r="A650" t="s">
        <v>4609</v>
      </c>
      <c r="B650">
        <v>1255</v>
      </c>
      <c r="C650">
        <v>334</v>
      </c>
      <c r="D650" t="s">
        <v>23</v>
      </c>
      <c r="E650" t="s">
        <v>4093</v>
      </c>
      <c r="F650" t="s">
        <v>3559</v>
      </c>
      <c r="G650" t="s">
        <v>4610</v>
      </c>
      <c r="H650">
        <v>0</v>
      </c>
      <c r="I650">
        <v>235</v>
      </c>
      <c r="J650">
        <v>263</v>
      </c>
      <c r="K650" t="str">
        <f t="shared" si="10"/>
        <v>harv128143</v>
      </c>
      <c r="M650" t="s">
        <v>73</v>
      </c>
      <c r="N650" t="s">
        <v>1891</v>
      </c>
      <c r="Q650" t="s">
        <v>11083</v>
      </c>
      <c r="U650">
        <v>67</v>
      </c>
      <c r="V650">
        <v>0</v>
      </c>
      <c r="W650">
        <v>70</v>
      </c>
      <c r="X650">
        <v>12.8</v>
      </c>
      <c r="Y650">
        <v>14.3</v>
      </c>
    </row>
    <row r="651" spans="1:25" x14ac:dyDescent="0.25">
      <c r="A651" t="s">
        <v>4611</v>
      </c>
      <c r="B651">
        <v>1256</v>
      </c>
      <c r="C651">
        <v>335</v>
      </c>
      <c r="D651" t="s">
        <v>23</v>
      </c>
      <c r="E651" t="s">
        <v>4093</v>
      </c>
      <c r="F651" t="s">
        <v>3559</v>
      </c>
      <c r="G651" t="s">
        <v>4612</v>
      </c>
      <c r="H651">
        <v>0</v>
      </c>
      <c r="I651">
        <v>118</v>
      </c>
      <c r="J651">
        <v>157</v>
      </c>
      <c r="K651" t="str">
        <f t="shared" si="10"/>
        <v>harv689</v>
      </c>
      <c r="M651" t="s">
        <v>73</v>
      </c>
      <c r="N651" t="s">
        <v>1864</v>
      </c>
      <c r="Q651" t="s">
        <v>3749</v>
      </c>
      <c r="R651" t="s">
        <v>2831</v>
      </c>
      <c r="U651">
        <v>68</v>
      </c>
      <c r="V651">
        <v>0</v>
      </c>
      <c r="W651">
        <v>70</v>
      </c>
      <c r="X651">
        <v>6.8</v>
      </c>
      <c r="Y651">
        <v>9</v>
      </c>
    </row>
    <row r="652" spans="1:25" x14ac:dyDescent="0.25">
      <c r="A652" t="s">
        <v>4613</v>
      </c>
      <c r="B652">
        <v>1257</v>
      </c>
      <c r="C652">
        <v>336</v>
      </c>
      <c r="D652" t="s">
        <v>23</v>
      </c>
      <c r="E652" t="s">
        <v>4093</v>
      </c>
      <c r="F652" t="s">
        <v>3559</v>
      </c>
      <c r="G652" t="s">
        <v>4614</v>
      </c>
      <c r="H652">
        <v>0</v>
      </c>
      <c r="I652">
        <v>421</v>
      </c>
      <c r="J652">
        <v>215</v>
      </c>
      <c r="K652" t="str">
        <f t="shared" si="10"/>
        <v>harv22312</v>
      </c>
      <c r="M652" t="s">
        <v>73</v>
      </c>
      <c r="N652" t="s">
        <v>1960</v>
      </c>
      <c r="Q652" t="s">
        <v>11083</v>
      </c>
      <c r="U652">
        <v>68</v>
      </c>
      <c r="V652">
        <v>0</v>
      </c>
      <c r="W652">
        <v>70</v>
      </c>
      <c r="X652">
        <v>22.3</v>
      </c>
      <c r="Y652">
        <v>12</v>
      </c>
    </row>
    <row r="653" spans="1:25" x14ac:dyDescent="0.25">
      <c r="A653" t="s">
        <v>4615</v>
      </c>
      <c r="B653">
        <v>1258</v>
      </c>
      <c r="C653">
        <v>337</v>
      </c>
      <c r="D653" t="s">
        <v>23</v>
      </c>
      <c r="E653" t="s">
        <v>4093</v>
      </c>
      <c r="F653" t="s">
        <v>3559</v>
      </c>
      <c r="G653" t="s">
        <v>4616</v>
      </c>
      <c r="H653">
        <v>0</v>
      </c>
      <c r="I653">
        <v>500</v>
      </c>
      <c r="J653">
        <v>591</v>
      </c>
      <c r="K653" t="str">
        <f t="shared" si="10"/>
        <v>harv265312</v>
      </c>
      <c r="M653" t="s">
        <v>73</v>
      </c>
      <c r="N653" t="s">
        <v>1811</v>
      </c>
      <c r="Q653" t="s">
        <v>11083</v>
      </c>
      <c r="U653">
        <v>68</v>
      </c>
      <c r="V653">
        <v>0</v>
      </c>
      <c r="W653">
        <v>70</v>
      </c>
      <c r="X653">
        <v>26.5</v>
      </c>
      <c r="Y653">
        <v>31.2</v>
      </c>
    </row>
    <row r="654" spans="1:25" x14ac:dyDescent="0.25">
      <c r="A654" t="s">
        <v>4617</v>
      </c>
      <c r="B654">
        <v>1259</v>
      </c>
      <c r="C654">
        <v>338</v>
      </c>
      <c r="D654" t="s">
        <v>23</v>
      </c>
      <c r="E654" t="s">
        <v>4093</v>
      </c>
      <c r="F654" t="s">
        <v>3559</v>
      </c>
      <c r="G654" t="s">
        <v>4618</v>
      </c>
      <c r="H654">
        <v>0</v>
      </c>
      <c r="I654">
        <v>421</v>
      </c>
      <c r="J654">
        <v>215</v>
      </c>
      <c r="K654" t="str">
        <f t="shared" si="10"/>
        <v>harv22312</v>
      </c>
      <c r="M654" t="s">
        <v>73</v>
      </c>
      <c r="N654" t="s">
        <v>1960</v>
      </c>
      <c r="Q654" t="s">
        <v>11083</v>
      </c>
      <c r="U654">
        <v>68</v>
      </c>
      <c r="V654">
        <v>0</v>
      </c>
      <c r="W654">
        <v>70</v>
      </c>
      <c r="X654">
        <v>22.3</v>
      </c>
      <c r="Y654">
        <v>12</v>
      </c>
    </row>
    <row r="655" spans="1:25" x14ac:dyDescent="0.25">
      <c r="A655" t="s">
        <v>4619</v>
      </c>
      <c r="B655">
        <v>1260</v>
      </c>
      <c r="C655">
        <v>339</v>
      </c>
      <c r="D655" t="s">
        <v>23</v>
      </c>
      <c r="E655" t="s">
        <v>4093</v>
      </c>
      <c r="F655" t="s">
        <v>3559</v>
      </c>
      <c r="G655" t="s">
        <v>4620</v>
      </c>
      <c r="H655">
        <v>0</v>
      </c>
      <c r="I655">
        <v>296</v>
      </c>
      <c r="J655">
        <v>527</v>
      </c>
      <c r="K655" t="str">
        <f t="shared" si="10"/>
        <v>harv15828</v>
      </c>
      <c r="M655" t="s">
        <v>73</v>
      </c>
      <c r="N655" t="s">
        <v>2004</v>
      </c>
      <c r="Q655" t="s">
        <v>11083</v>
      </c>
      <c r="U655">
        <v>68</v>
      </c>
      <c r="V655">
        <v>0</v>
      </c>
      <c r="W655">
        <v>70</v>
      </c>
      <c r="X655">
        <v>15.8</v>
      </c>
      <c r="Y655">
        <v>28</v>
      </c>
    </row>
    <row r="656" spans="1:25" x14ac:dyDescent="0.25">
      <c r="A656" t="s">
        <v>4621</v>
      </c>
      <c r="B656">
        <v>1261</v>
      </c>
      <c r="C656">
        <v>340</v>
      </c>
      <c r="D656" t="s">
        <v>23</v>
      </c>
      <c r="E656" t="s">
        <v>4093</v>
      </c>
      <c r="F656" t="s">
        <v>3559</v>
      </c>
      <c r="G656" t="s">
        <v>4622</v>
      </c>
      <c r="H656">
        <v>0</v>
      </c>
      <c r="I656">
        <v>296</v>
      </c>
      <c r="J656">
        <v>527</v>
      </c>
      <c r="K656" t="str">
        <f t="shared" si="10"/>
        <v>harv15828</v>
      </c>
      <c r="M656" t="s">
        <v>73</v>
      </c>
      <c r="N656" t="s">
        <v>2004</v>
      </c>
      <c r="Q656" t="s">
        <v>11083</v>
      </c>
      <c r="U656">
        <v>68</v>
      </c>
      <c r="V656">
        <v>0</v>
      </c>
      <c r="W656">
        <v>70</v>
      </c>
      <c r="X656">
        <v>15.8</v>
      </c>
      <c r="Y656">
        <v>28</v>
      </c>
    </row>
    <row r="657" spans="1:25" x14ac:dyDescent="0.25">
      <c r="A657" t="s">
        <v>4623</v>
      </c>
      <c r="B657">
        <v>1262</v>
      </c>
      <c r="C657">
        <v>341</v>
      </c>
      <c r="D657" t="s">
        <v>23</v>
      </c>
      <c r="E657" t="s">
        <v>4093</v>
      </c>
      <c r="F657" t="s">
        <v>3559</v>
      </c>
      <c r="G657" t="s">
        <v>4624</v>
      </c>
      <c r="H657">
        <v>0</v>
      </c>
      <c r="I657">
        <v>421</v>
      </c>
      <c r="J657">
        <v>215</v>
      </c>
      <c r="K657" t="str">
        <f t="shared" si="10"/>
        <v>harv22312</v>
      </c>
      <c r="M657" t="s">
        <v>73</v>
      </c>
      <c r="N657" t="s">
        <v>1960</v>
      </c>
      <c r="Q657" t="s">
        <v>11083</v>
      </c>
      <c r="U657">
        <v>69</v>
      </c>
      <c r="V657">
        <v>0</v>
      </c>
      <c r="W657">
        <v>70</v>
      </c>
      <c r="X657">
        <v>22.3</v>
      </c>
      <c r="Y657">
        <v>12</v>
      </c>
    </row>
    <row r="658" spans="1:25" x14ac:dyDescent="0.25">
      <c r="A658" t="s">
        <v>4625</v>
      </c>
      <c r="B658">
        <v>1263</v>
      </c>
      <c r="C658">
        <v>342</v>
      </c>
      <c r="D658" t="s">
        <v>23</v>
      </c>
      <c r="E658" t="s">
        <v>4093</v>
      </c>
      <c r="F658" t="s">
        <v>3559</v>
      </c>
      <c r="G658" t="s">
        <v>4626</v>
      </c>
      <c r="H658">
        <v>0</v>
      </c>
      <c r="I658">
        <v>500</v>
      </c>
      <c r="J658">
        <v>591</v>
      </c>
      <c r="K658" t="str">
        <f t="shared" si="10"/>
        <v>harv265312</v>
      </c>
      <c r="M658" t="s">
        <v>73</v>
      </c>
      <c r="N658" t="s">
        <v>1811</v>
      </c>
      <c r="Q658" t="s">
        <v>11083</v>
      </c>
      <c r="U658">
        <v>70</v>
      </c>
      <c r="V658">
        <v>0</v>
      </c>
      <c r="W658">
        <v>70</v>
      </c>
      <c r="X658">
        <v>26.5</v>
      </c>
      <c r="Y658">
        <v>31.2</v>
      </c>
    </row>
    <row r="659" spans="1:25" x14ac:dyDescent="0.25">
      <c r="A659" t="s">
        <v>4627</v>
      </c>
      <c r="B659">
        <v>1264</v>
      </c>
      <c r="C659">
        <v>343</v>
      </c>
      <c r="D659" t="s">
        <v>23</v>
      </c>
      <c r="E659" t="s">
        <v>4093</v>
      </c>
      <c r="F659" t="s">
        <v>3559</v>
      </c>
      <c r="G659" t="s">
        <v>4628</v>
      </c>
      <c r="H659">
        <v>0</v>
      </c>
      <c r="I659">
        <v>615</v>
      </c>
      <c r="J659">
        <v>310</v>
      </c>
      <c r="K659" t="str">
        <f t="shared" si="10"/>
        <v>harv323168</v>
      </c>
      <c r="L659" t="s">
        <v>3859</v>
      </c>
      <c r="M659" t="s">
        <v>102</v>
      </c>
      <c r="N659" t="s">
        <v>2173</v>
      </c>
      <c r="O659" t="s">
        <v>3860</v>
      </c>
      <c r="P659" t="s">
        <v>3884</v>
      </c>
      <c r="Q659" t="s">
        <v>11083</v>
      </c>
      <c r="U659">
        <v>70</v>
      </c>
      <c r="V659">
        <v>0</v>
      </c>
      <c r="W659">
        <v>70</v>
      </c>
      <c r="X659">
        <v>32.299999999999997</v>
      </c>
      <c r="Y659">
        <v>16.8</v>
      </c>
    </row>
    <row r="660" spans="1:25" x14ac:dyDescent="0.25">
      <c r="A660" t="s">
        <v>4629</v>
      </c>
      <c r="B660">
        <v>1265</v>
      </c>
      <c r="C660">
        <v>344</v>
      </c>
      <c r="D660" t="s">
        <v>23</v>
      </c>
      <c r="E660" t="s">
        <v>4093</v>
      </c>
      <c r="F660" t="s">
        <v>3559</v>
      </c>
      <c r="G660" t="s">
        <v>4630</v>
      </c>
      <c r="H660">
        <v>0</v>
      </c>
      <c r="I660">
        <v>570</v>
      </c>
      <c r="J660">
        <v>680</v>
      </c>
      <c r="K660" t="str">
        <f t="shared" si="10"/>
        <v>harv303366</v>
      </c>
      <c r="L660" t="s">
        <v>3859</v>
      </c>
      <c r="M660" t="s">
        <v>102</v>
      </c>
      <c r="N660" t="s">
        <v>2197</v>
      </c>
      <c r="O660" t="s">
        <v>3860</v>
      </c>
      <c r="P660" t="s">
        <v>3884</v>
      </c>
      <c r="Q660" t="s">
        <v>11083</v>
      </c>
      <c r="U660">
        <v>70</v>
      </c>
      <c r="V660">
        <v>0</v>
      </c>
      <c r="W660">
        <v>70</v>
      </c>
      <c r="X660">
        <v>30.3</v>
      </c>
      <c r="Y660">
        <v>36.6</v>
      </c>
    </row>
    <row r="661" spans="1:25" x14ac:dyDescent="0.25">
      <c r="A661" t="s">
        <v>4631</v>
      </c>
      <c r="B661">
        <v>1266</v>
      </c>
      <c r="C661">
        <v>345</v>
      </c>
      <c r="D661" t="s">
        <v>23</v>
      </c>
      <c r="E661" t="s">
        <v>4093</v>
      </c>
      <c r="F661" t="s">
        <v>3559</v>
      </c>
      <c r="G661" t="s">
        <v>4632</v>
      </c>
      <c r="H661">
        <v>0</v>
      </c>
      <c r="I661">
        <v>615</v>
      </c>
      <c r="J661">
        <v>310</v>
      </c>
      <c r="K661" t="str">
        <f t="shared" si="10"/>
        <v>harv323168</v>
      </c>
      <c r="M661" t="s">
        <v>102</v>
      </c>
      <c r="N661" t="s">
        <v>2173</v>
      </c>
      <c r="Q661" t="s">
        <v>11083</v>
      </c>
      <c r="U661">
        <v>70</v>
      </c>
      <c r="V661">
        <v>0</v>
      </c>
      <c r="W661">
        <v>70</v>
      </c>
      <c r="X661">
        <v>32.299999999999997</v>
      </c>
      <c r="Y661">
        <v>16.8</v>
      </c>
    </row>
    <row r="662" spans="1:25" x14ac:dyDescent="0.25">
      <c r="A662" t="s">
        <v>4633</v>
      </c>
      <c r="B662">
        <v>1267</v>
      </c>
      <c r="C662">
        <v>346</v>
      </c>
      <c r="D662" t="s">
        <v>23</v>
      </c>
      <c r="E662" t="s">
        <v>4093</v>
      </c>
      <c r="F662" t="s">
        <v>3559</v>
      </c>
      <c r="G662" t="s">
        <v>4634</v>
      </c>
      <c r="H662">
        <v>0</v>
      </c>
      <c r="I662">
        <v>451</v>
      </c>
      <c r="J662">
        <v>299</v>
      </c>
      <c r="K662" t="str">
        <f t="shared" si="10"/>
        <v>harv24165</v>
      </c>
      <c r="M662" t="s">
        <v>73</v>
      </c>
      <c r="N662" t="s">
        <v>1783</v>
      </c>
      <c r="Q662" t="s">
        <v>3749</v>
      </c>
      <c r="R662" t="s">
        <v>2832</v>
      </c>
      <c r="U662">
        <v>70</v>
      </c>
      <c r="V662">
        <v>0</v>
      </c>
      <c r="W662">
        <v>70</v>
      </c>
      <c r="X662">
        <v>24</v>
      </c>
      <c r="Y662">
        <v>16.5</v>
      </c>
    </row>
    <row r="663" spans="1:25" x14ac:dyDescent="0.25">
      <c r="A663" t="s">
        <v>4635</v>
      </c>
      <c r="B663">
        <v>1268</v>
      </c>
      <c r="C663">
        <v>347</v>
      </c>
      <c r="D663" t="s">
        <v>23</v>
      </c>
      <c r="E663" t="s">
        <v>4093</v>
      </c>
      <c r="F663" t="s">
        <v>3559</v>
      </c>
      <c r="G663" t="s">
        <v>4636</v>
      </c>
      <c r="H663">
        <v>0</v>
      </c>
      <c r="I663">
        <v>615</v>
      </c>
      <c r="J663">
        <v>310</v>
      </c>
      <c r="K663" t="str">
        <f t="shared" si="10"/>
        <v>harv323168</v>
      </c>
      <c r="L663" t="s">
        <v>3859</v>
      </c>
      <c r="M663" t="s">
        <v>102</v>
      </c>
      <c r="N663" t="s">
        <v>2173</v>
      </c>
      <c r="O663" t="s">
        <v>3860</v>
      </c>
      <c r="P663" t="s">
        <v>3884</v>
      </c>
      <c r="Q663" t="s">
        <v>11083</v>
      </c>
      <c r="U663">
        <v>70</v>
      </c>
      <c r="V663">
        <v>1</v>
      </c>
      <c r="W663">
        <v>70</v>
      </c>
      <c r="X663">
        <v>32.299999999999997</v>
      </c>
      <c r="Y663">
        <v>16.8</v>
      </c>
    </row>
    <row r="664" spans="1:25" x14ac:dyDescent="0.25">
      <c r="A664" t="s">
        <v>4637</v>
      </c>
      <c r="B664">
        <v>1269</v>
      </c>
      <c r="C664">
        <v>348</v>
      </c>
      <c r="D664" t="s">
        <v>23</v>
      </c>
      <c r="E664" t="s">
        <v>4093</v>
      </c>
      <c r="F664" t="s">
        <v>3559</v>
      </c>
      <c r="G664" t="s">
        <v>100</v>
      </c>
      <c r="H664">
        <v>0</v>
      </c>
      <c r="I664">
        <v>609</v>
      </c>
      <c r="J664">
        <v>503</v>
      </c>
      <c r="K664" t="str">
        <f t="shared" si="10"/>
        <v>harv32266</v>
      </c>
      <c r="L664" t="s">
        <v>3859</v>
      </c>
      <c r="M664" t="s">
        <v>73</v>
      </c>
      <c r="N664" t="s">
        <v>1940</v>
      </c>
      <c r="O664" t="s">
        <v>3886</v>
      </c>
      <c r="Q664" t="s">
        <v>3669</v>
      </c>
      <c r="R664" t="s">
        <v>2821</v>
      </c>
      <c r="U664">
        <v>70</v>
      </c>
      <c r="V664">
        <v>1</v>
      </c>
      <c r="W664">
        <v>70</v>
      </c>
      <c r="X664">
        <v>32</v>
      </c>
      <c r="Y664">
        <v>26.6</v>
      </c>
    </row>
    <row r="665" spans="1:25" x14ac:dyDescent="0.25">
      <c r="A665" t="s">
        <v>4638</v>
      </c>
      <c r="B665">
        <v>1270</v>
      </c>
      <c r="C665">
        <v>349</v>
      </c>
      <c r="D665" t="s">
        <v>23</v>
      </c>
      <c r="E665" t="s">
        <v>4093</v>
      </c>
      <c r="F665" t="s">
        <v>3559</v>
      </c>
      <c r="G665" t="s">
        <v>100</v>
      </c>
      <c r="H665">
        <v>0</v>
      </c>
      <c r="I665">
        <v>486</v>
      </c>
      <c r="J665">
        <v>559</v>
      </c>
      <c r="K665" t="str">
        <f t="shared" si="10"/>
        <v>harv257298</v>
      </c>
      <c r="L665" t="s">
        <v>3859</v>
      </c>
      <c r="M665" t="s">
        <v>73</v>
      </c>
      <c r="N665" t="s">
        <v>2004</v>
      </c>
      <c r="O665" t="s">
        <v>3886</v>
      </c>
      <c r="Q665" t="s">
        <v>3669</v>
      </c>
      <c r="R665" t="s">
        <v>2815</v>
      </c>
      <c r="U665">
        <v>70</v>
      </c>
      <c r="V665">
        <v>2</v>
      </c>
      <c r="W665">
        <v>70</v>
      </c>
      <c r="X665">
        <v>25.7</v>
      </c>
      <c r="Y665">
        <v>29.8</v>
      </c>
    </row>
    <row r="666" spans="1:25" x14ac:dyDescent="0.25">
      <c r="A666" t="s">
        <v>4639</v>
      </c>
      <c r="B666">
        <v>1271</v>
      </c>
      <c r="C666">
        <v>350</v>
      </c>
      <c r="D666" t="s">
        <v>23</v>
      </c>
      <c r="E666" t="s">
        <v>4093</v>
      </c>
      <c r="F666" t="s">
        <v>3559</v>
      </c>
      <c r="G666" t="s">
        <v>4640</v>
      </c>
      <c r="H666">
        <v>0</v>
      </c>
      <c r="I666">
        <v>615</v>
      </c>
      <c r="J666">
        <v>310</v>
      </c>
      <c r="K666" t="str">
        <f t="shared" si="10"/>
        <v>harv323168</v>
      </c>
      <c r="M666" t="s">
        <v>102</v>
      </c>
      <c r="N666" t="s">
        <v>2173</v>
      </c>
      <c r="Q666" t="s">
        <v>11083</v>
      </c>
      <c r="U666">
        <v>70</v>
      </c>
      <c r="V666">
        <v>2</v>
      </c>
      <c r="W666">
        <v>70</v>
      </c>
      <c r="X666">
        <v>32.299999999999997</v>
      </c>
      <c r="Y666">
        <v>16.8</v>
      </c>
    </row>
    <row r="667" spans="1:25" x14ac:dyDescent="0.25">
      <c r="A667" t="s">
        <v>4641</v>
      </c>
      <c r="B667">
        <v>1272</v>
      </c>
      <c r="C667">
        <v>351</v>
      </c>
      <c r="D667" t="s">
        <v>23</v>
      </c>
      <c r="E667" t="s">
        <v>4093</v>
      </c>
      <c r="F667" t="s">
        <v>3559</v>
      </c>
      <c r="G667" t="s">
        <v>4642</v>
      </c>
      <c r="H667">
        <v>0</v>
      </c>
      <c r="I667">
        <v>254</v>
      </c>
      <c r="J667">
        <v>421</v>
      </c>
      <c r="K667" t="str">
        <f t="shared" si="10"/>
        <v>harv142228</v>
      </c>
      <c r="M667" t="s">
        <v>102</v>
      </c>
      <c r="N667" t="s">
        <v>2029</v>
      </c>
      <c r="Q667" t="s">
        <v>11083</v>
      </c>
      <c r="U667">
        <v>71</v>
      </c>
      <c r="V667">
        <v>0</v>
      </c>
      <c r="W667">
        <v>75</v>
      </c>
      <c r="X667">
        <v>14.2</v>
      </c>
      <c r="Y667">
        <v>22.8</v>
      </c>
    </row>
    <row r="668" spans="1:25" x14ac:dyDescent="0.25">
      <c r="A668" t="s">
        <v>4643</v>
      </c>
      <c r="B668">
        <v>1273</v>
      </c>
      <c r="C668">
        <v>352</v>
      </c>
      <c r="D668" t="s">
        <v>23</v>
      </c>
      <c r="E668" t="s">
        <v>4093</v>
      </c>
      <c r="F668" t="s">
        <v>3559</v>
      </c>
      <c r="G668" t="s">
        <v>4644</v>
      </c>
      <c r="H668">
        <v>0</v>
      </c>
      <c r="I668">
        <v>231</v>
      </c>
      <c r="J668">
        <v>425</v>
      </c>
      <c r="K668" t="str">
        <f t="shared" si="10"/>
        <v>harv126228</v>
      </c>
      <c r="M668" t="s">
        <v>102</v>
      </c>
      <c r="N668" t="s">
        <v>2194</v>
      </c>
      <c r="Q668" t="s">
        <v>11083</v>
      </c>
      <c r="U668">
        <v>71</v>
      </c>
      <c r="V668">
        <v>0</v>
      </c>
      <c r="W668">
        <v>75</v>
      </c>
      <c r="X668">
        <v>12.6</v>
      </c>
      <c r="Y668">
        <v>22.8</v>
      </c>
    </row>
    <row r="669" spans="1:25" x14ac:dyDescent="0.25">
      <c r="A669" t="s">
        <v>4645</v>
      </c>
      <c r="B669">
        <v>1274</v>
      </c>
      <c r="C669">
        <v>353</v>
      </c>
      <c r="D669" t="s">
        <v>23</v>
      </c>
      <c r="E669" t="s">
        <v>4093</v>
      </c>
      <c r="F669" t="s">
        <v>3559</v>
      </c>
      <c r="G669" t="s">
        <v>4646</v>
      </c>
      <c r="H669">
        <v>0</v>
      </c>
      <c r="I669">
        <v>231</v>
      </c>
      <c r="J669">
        <v>425</v>
      </c>
      <c r="K669" t="str">
        <f t="shared" si="10"/>
        <v>harv126228</v>
      </c>
      <c r="M669" t="s">
        <v>102</v>
      </c>
      <c r="N669" t="s">
        <v>2194</v>
      </c>
      <c r="Q669" t="s">
        <v>11083</v>
      </c>
      <c r="U669">
        <v>71</v>
      </c>
      <c r="V669">
        <v>0</v>
      </c>
      <c r="W669">
        <v>75</v>
      </c>
      <c r="X669">
        <v>12.6</v>
      </c>
      <c r="Y669">
        <v>22.8</v>
      </c>
    </row>
    <row r="670" spans="1:25" x14ac:dyDescent="0.25">
      <c r="A670" t="s">
        <v>4647</v>
      </c>
      <c r="B670">
        <v>1275</v>
      </c>
      <c r="C670">
        <v>354</v>
      </c>
      <c r="D670" t="s">
        <v>23</v>
      </c>
      <c r="E670" t="s">
        <v>4093</v>
      </c>
      <c r="F670" t="s">
        <v>3559</v>
      </c>
      <c r="G670" t="s">
        <v>4648</v>
      </c>
      <c r="H670">
        <v>0</v>
      </c>
      <c r="I670">
        <v>254</v>
      </c>
      <c r="J670">
        <v>421</v>
      </c>
      <c r="K670" t="str">
        <f t="shared" si="10"/>
        <v>harv142228</v>
      </c>
      <c r="M670" t="s">
        <v>102</v>
      </c>
      <c r="N670" t="s">
        <v>2029</v>
      </c>
      <c r="Q670" t="s">
        <v>11083</v>
      </c>
      <c r="U670">
        <v>71</v>
      </c>
      <c r="V670">
        <v>0</v>
      </c>
      <c r="W670">
        <v>75</v>
      </c>
      <c r="X670">
        <v>14.2</v>
      </c>
      <c r="Y670">
        <v>22.8</v>
      </c>
    </row>
    <row r="671" spans="1:25" x14ac:dyDescent="0.25">
      <c r="A671" t="s">
        <v>4649</v>
      </c>
      <c r="B671">
        <v>1276</v>
      </c>
      <c r="C671">
        <v>355</v>
      </c>
      <c r="D671" t="s">
        <v>23</v>
      </c>
      <c r="E671" t="s">
        <v>4093</v>
      </c>
      <c r="F671" t="s">
        <v>3559</v>
      </c>
      <c r="G671" t="s">
        <v>4650</v>
      </c>
      <c r="H671">
        <v>0</v>
      </c>
      <c r="I671">
        <v>269</v>
      </c>
      <c r="J671">
        <v>609</v>
      </c>
      <c r="K671" t="str">
        <f t="shared" si="10"/>
        <v>harv153337</v>
      </c>
      <c r="L671" t="s">
        <v>3859</v>
      </c>
      <c r="M671" t="s">
        <v>73</v>
      </c>
      <c r="N671" t="s">
        <v>1696</v>
      </c>
      <c r="O671" t="s">
        <v>3860</v>
      </c>
      <c r="P671" t="s">
        <v>3905</v>
      </c>
      <c r="Q671" t="s">
        <v>11083</v>
      </c>
      <c r="U671">
        <v>71</v>
      </c>
      <c r="V671">
        <v>0</v>
      </c>
      <c r="W671">
        <v>75</v>
      </c>
      <c r="X671">
        <v>15.3</v>
      </c>
      <c r="Y671">
        <v>33.700000000000003</v>
      </c>
    </row>
    <row r="672" spans="1:25" x14ac:dyDescent="0.25">
      <c r="A672" t="s">
        <v>4651</v>
      </c>
      <c r="B672">
        <v>1277</v>
      </c>
      <c r="C672">
        <v>356</v>
      </c>
      <c r="D672" t="s">
        <v>23</v>
      </c>
      <c r="E672" t="s">
        <v>4093</v>
      </c>
      <c r="F672" t="s">
        <v>3559</v>
      </c>
      <c r="G672" t="s">
        <v>4652</v>
      </c>
      <c r="H672">
        <v>0</v>
      </c>
      <c r="I672">
        <v>231</v>
      </c>
      <c r="J672">
        <v>425</v>
      </c>
      <c r="K672" t="str">
        <f t="shared" si="10"/>
        <v>harv126228</v>
      </c>
      <c r="M672" t="s">
        <v>102</v>
      </c>
      <c r="N672" t="s">
        <v>2194</v>
      </c>
      <c r="Q672" t="s">
        <v>11083</v>
      </c>
      <c r="U672">
        <v>72</v>
      </c>
      <c r="V672">
        <v>0</v>
      </c>
      <c r="W672">
        <v>75</v>
      </c>
      <c r="X672">
        <v>12.6</v>
      </c>
      <c r="Y672">
        <v>22.8</v>
      </c>
    </row>
    <row r="673" spans="1:25" x14ac:dyDescent="0.25">
      <c r="A673" t="s">
        <v>4653</v>
      </c>
      <c r="B673">
        <v>1278</v>
      </c>
      <c r="C673">
        <v>357</v>
      </c>
      <c r="D673" t="s">
        <v>23</v>
      </c>
      <c r="E673" t="s">
        <v>4093</v>
      </c>
      <c r="F673" t="s">
        <v>3559</v>
      </c>
      <c r="G673" t="s">
        <v>4654</v>
      </c>
      <c r="H673">
        <v>0</v>
      </c>
      <c r="I673">
        <v>469</v>
      </c>
      <c r="J673">
        <v>692</v>
      </c>
      <c r="K673" t="str">
        <f t="shared" si="10"/>
        <v>harv248368</v>
      </c>
      <c r="M673" t="s">
        <v>102</v>
      </c>
      <c r="N673" t="s">
        <v>2185</v>
      </c>
      <c r="Q673" t="s">
        <v>3749</v>
      </c>
      <c r="R673" t="s">
        <v>2829</v>
      </c>
      <c r="U673">
        <v>72</v>
      </c>
      <c r="V673">
        <v>0</v>
      </c>
      <c r="W673">
        <v>75</v>
      </c>
      <c r="X673">
        <v>24.8</v>
      </c>
      <c r="Y673">
        <v>36.799999999999997</v>
      </c>
    </row>
    <row r="674" spans="1:25" x14ac:dyDescent="0.25">
      <c r="A674" t="s">
        <v>4655</v>
      </c>
      <c r="B674">
        <v>1279</v>
      </c>
      <c r="C674">
        <v>358</v>
      </c>
      <c r="D674" t="s">
        <v>23</v>
      </c>
      <c r="E674" t="s">
        <v>4093</v>
      </c>
      <c r="F674" t="s">
        <v>3559</v>
      </c>
      <c r="G674" t="s">
        <v>4656</v>
      </c>
      <c r="H674">
        <v>0</v>
      </c>
      <c r="I674">
        <v>231</v>
      </c>
      <c r="J674">
        <v>425</v>
      </c>
      <c r="K674" t="str">
        <f t="shared" si="10"/>
        <v>harv126228</v>
      </c>
      <c r="M674" t="s">
        <v>102</v>
      </c>
      <c r="N674" t="s">
        <v>2194</v>
      </c>
      <c r="Q674" t="s">
        <v>11083</v>
      </c>
      <c r="U674">
        <v>72</v>
      </c>
      <c r="V674">
        <v>0</v>
      </c>
      <c r="W674">
        <v>75</v>
      </c>
      <c r="X674">
        <v>12.6</v>
      </c>
      <c r="Y674">
        <v>22.8</v>
      </c>
    </row>
    <row r="675" spans="1:25" x14ac:dyDescent="0.25">
      <c r="A675" t="s">
        <v>4657</v>
      </c>
      <c r="B675">
        <v>1280</v>
      </c>
      <c r="C675">
        <v>359</v>
      </c>
      <c r="D675" t="s">
        <v>23</v>
      </c>
      <c r="E675" t="s">
        <v>4093</v>
      </c>
      <c r="F675" t="s">
        <v>3559</v>
      </c>
      <c r="G675" t="s">
        <v>4658</v>
      </c>
      <c r="H675">
        <v>0</v>
      </c>
      <c r="I675">
        <v>644</v>
      </c>
      <c r="J675">
        <v>669</v>
      </c>
      <c r="K675" t="str">
        <f t="shared" si="10"/>
        <v>harv358371</v>
      </c>
      <c r="L675" t="s">
        <v>3859</v>
      </c>
      <c r="M675" t="s">
        <v>73</v>
      </c>
      <c r="N675" t="s">
        <v>1606</v>
      </c>
      <c r="O675" t="s">
        <v>3860</v>
      </c>
      <c r="P675" t="s">
        <v>3900</v>
      </c>
      <c r="Q675" t="s">
        <v>11083</v>
      </c>
      <c r="U675">
        <v>72</v>
      </c>
      <c r="V675">
        <v>0</v>
      </c>
      <c r="W675">
        <v>75</v>
      </c>
      <c r="X675">
        <v>35.799999999999997</v>
      </c>
      <c r="Y675">
        <v>37.1</v>
      </c>
    </row>
    <row r="676" spans="1:25" x14ac:dyDescent="0.25">
      <c r="A676" t="s">
        <v>4659</v>
      </c>
      <c r="B676">
        <v>1281</v>
      </c>
      <c r="C676">
        <v>360</v>
      </c>
      <c r="D676" t="s">
        <v>23</v>
      </c>
      <c r="E676" t="s">
        <v>4093</v>
      </c>
      <c r="F676" t="s">
        <v>3559</v>
      </c>
      <c r="G676" t="s">
        <v>4660</v>
      </c>
      <c r="H676">
        <v>0</v>
      </c>
      <c r="I676">
        <v>306</v>
      </c>
      <c r="J676">
        <v>685</v>
      </c>
      <c r="K676" t="str">
        <f t="shared" si="10"/>
        <v>harv164362</v>
      </c>
      <c r="M676" t="s">
        <v>102</v>
      </c>
      <c r="N676" t="s">
        <v>2127</v>
      </c>
      <c r="Q676" t="s">
        <v>11083</v>
      </c>
      <c r="U676">
        <v>73</v>
      </c>
      <c r="V676">
        <v>0</v>
      </c>
      <c r="W676">
        <v>75</v>
      </c>
      <c r="X676">
        <v>16.399999999999999</v>
      </c>
      <c r="Y676">
        <v>36.200000000000003</v>
      </c>
    </row>
    <row r="677" spans="1:25" x14ac:dyDescent="0.25">
      <c r="A677" t="s">
        <v>4661</v>
      </c>
      <c r="B677">
        <v>1282</v>
      </c>
      <c r="C677">
        <v>361</v>
      </c>
      <c r="D677" t="s">
        <v>23</v>
      </c>
      <c r="E677" t="s">
        <v>4093</v>
      </c>
      <c r="F677" t="s">
        <v>3559</v>
      </c>
      <c r="G677" t="s">
        <v>4662</v>
      </c>
      <c r="H677">
        <v>0</v>
      </c>
      <c r="I677">
        <v>644</v>
      </c>
      <c r="J677">
        <v>669</v>
      </c>
      <c r="K677" t="str">
        <f t="shared" si="10"/>
        <v>harv358371</v>
      </c>
      <c r="L677" t="s">
        <v>3859</v>
      </c>
      <c r="M677" t="s">
        <v>73</v>
      </c>
      <c r="N677" t="s">
        <v>1606</v>
      </c>
      <c r="O677" t="s">
        <v>3860</v>
      </c>
      <c r="P677" t="s">
        <v>3905</v>
      </c>
      <c r="Q677" t="s">
        <v>11083</v>
      </c>
      <c r="U677">
        <v>73</v>
      </c>
      <c r="V677">
        <v>0</v>
      </c>
      <c r="W677">
        <v>75</v>
      </c>
      <c r="X677">
        <v>35.799999999999997</v>
      </c>
      <c r="Y677">
        <v>37.1</v>
      </c>
    </row>
    <row r="678" spans="1:25" x14ac:dyDescent="0.25">
      <c r="A678" t="s">
        <v>4663</v>
      </c>
      <c r="B678">
        <v>1283</v>
      </c>
      <c r="C678">
        <v>362</v>
      </c>
      <c r="D678" t="s">
        <v>23</v>
      </c>
      <c r="E678" t="s">
        <v>4093</v>
      </c>
      <c r="F678" t="s">
        <v>3559</v>
      </c>
      <c r="G678" t="s">
        <v>4664</v>
      </c>
      <c r="H678">
        <v>0</v>
      </c>
      <c r="I678">
        <v>254</v>
      </c>
      <c r="J678">
        <v>421</v>
      </c>
      <c r="K678" t="str">
        <f t="shared" si="10"/>
        <v>harv142228</v>
      </c>
      <c r="M678" t="s">
        <v>102</v>
      </c>
      <c r="N678" t="s">
        <v>2029</v>
      </c>
      <c r="Q678" t="s">
        <v>11083</v>
      </c>
      <c r="U678">
        <v>73</v>
      </c>
      <c r="V678">
        <v>0</v>
      </c>
      <c r="W678">
        <v>75</v>
      </c>
      <c r="X678">
        <v>14.2</v>
      </c>
      <c r="Y678">
        <v>22.8</v>
      </c>
    </row>
    <row r="679" spans="1:25" x14ac:dyDescent="0.25">
      <c r="A679" t="s">
        <v>4665</v>
      </c>
      <c r="B679">
        <v>1284</v>
      </c>
      <c r="C679">
        <v>363</v>
      </c>
      <c r="D679" t="s">
        <v>23</v>
      </c>
      <c r="E679" t="s">
        <v>4093</v>
      </c>
      <c r="F679" t="s">
        <v>3559</v>
      </c>
      <c r="G679" t="s">
        <v>4666</v>
      </c>
      <c r="H679">
        <v>0</v>
      </c>
      <c r="I679">
        <v>491</v>
      </c>
      <c r="J679">
        <v>383</v>
      </c>
      <c r="K679" t="str">
        <f t="shared" si="10"/>
        <v>harv262206</v>
      </c>
      <c r="M679" t="s">
        <v>102</v>
      </c>
      <c r="N679" t="s">
        <v>2038</v>
      </c>
      <c r="Q679" t="s">
        <v>3749</v>
      </c>
      <c r="R679" t="s">
        <v>2834</v>
      </c>
      <c r="U679">
        <v>74</v>
      </c>
      <c r="V679">
        <v>0</v>
      </c>
      <c r="W679">
        <v>75</v>
      </c>
      <c r="X679">
        <v>26.2</v>
      </c>
      <c r="Y679">
        <v>20.6</v>
      </c>
    </row>
    <row r="680" spans="1:25" x14ac:dyDescent="0.25">
      <c r="A680" t="s">
        <v>4667</v>
      </c>
      <c r="B680">
        <v>1285</v>
      </c>
      <c r="C680">
        <v>364</v>
      </c>
      <c r="D680" t="s">
        <v>23</v>
      </c>
      <c r="E680" t="s">
        <v>4093</v>
      </c>
      <c r="F680" t="s">
        <v>3559</v>
      </c>
      <c r="G680" t="s">
        <v>4668</v>
      </c>
      <c r="H680">
        <v>0</v>
      </c>
      <c r="I680">
        <v>274</v>
      </c>
      <c r="J680">
        <v>508</v>
      </c>
      <c r="K680" t="str">
        <f t="shared" si="10"/>
        <v>harv149271</v>
      </c>
      <c r="M680" t="s">
        <v>102</v>
      </c>
      <c r="N680" t="s">
        <v>2231</v>
      </c>
      <c r="Q680" t="s">
        <v>11083</v>
      </c>
      <c r="U680">
        <v>74</v>
      </c>
      <c r="V680">
        <v>0</v>
      </c>
      <c r="W680">
        <v>75</v>
      </c>
      <c r="X680">
        <v>14.9</v>
      </c>
      <c r="Y680">
        <v>27.1</v>
      </c>
    </row>
    <row r="681" spans="1:25" x14ac:dyDescent="0.25">
      <c r="A681" t="s">
        <v>4669</v>
      </c>
      <c r="B681">
        <v>1286</v>
      </c>
      <c r="C681">
        <v>365</v>
      </c>
      <c r="D681" t="s">
        <v>23</v>
      </c>
      <c r="E681" t="s">
        <v>4093</v>
      </c>
      <c r="F681" t="s">
        <v>3559</v>
      </c>
      <c r="G681" t="s">
        <v>4670</v>
      </c>
      <c r="H681">
        <v>0</v>
      </c>
      <c r="I681">
        <v>274</v>
      </c>
      <c r="J681">
        <v>508</v>
      </c>
      <c r="K681" t="str">
        <f t="shared" si="10"/>
        <v>harv149271</v>
      </c>
      <c r="M681" t="s">
        <v>102</v>
      </c>
      <c r="N681" t="s">
        <v>2231</v>
      </c>
      <c r="Q681" t="s">
        <v>11083</v>
      </c>
      <c r="U681">
        <v>75</v>
      </c>
      <c r="V681">
        <v>0</v>
      </c>
      <c r="W681">
        <v>75</v>
      </c>
      <c r="X681">
        <v>14.9</v>
      </c>
      <c r="Y681">
        <v>27.1</v>
      </c>
    </row>
    <row r="682" spans="1:25" x14ac:dyDescent="0.25">
      <c r="A682" t="s">
        <v>4671</v>
      </c>
      <c r="B682">
        <v>1287</v>
      </c>
      <c r="C682">
        <v>366</v>
      </c>
      <c r="D682" t="s">
        <v>23</v>
      </c>
      <c r="E682" t="s">
        <v>4093</v>
      </c>
      <c r="F682" t="s">
        <v>3559</v>
      </c>
      <c r="G682" t="s">
        <v>4672</v>
      </c>
      <c r="H682">
        <v>0</v>
      </c>
      <c r="I682">
        <v>274</v>
      </c>
      <c r="J682">
        <v>508</v>
      </c>
      <c r="K682" t="str">
        <f t="shared" si="10"/>
        <v>harv149271</v>
      </c>
      <c r="M682" t="s">
        <v>102</v>
      </c>
      <c r="N682" t="s">
        <v>2231</v>
      </c>
      <c r="Q682" t="s">
        <v>11083</v>
      </c>
      <c r="U682">
        <v>75</v>
      </c>
      <c r="V682">
        <v>0</v>
      </c>
      <c r="W682">
        <v>75</v>
      </c>
      <c r="X682">
        <v>14.9</v>
      </c>
      <c r="Y682">
        <v>27.1</v>
      </c>
    </row>
    <row r="683" spans="1:25" x14ac:dyDescent="0.25">
      <c r="A683" t="s">
        <v>4673</v>
      </c>
      <c r="B683">
        <v>1288</v>
      </c>
      <c r="C683">
        <v>367</v>
      </c>
      <c r="D683" t="s">
        <v>23</v>
      </c>
      <c r="E683" t="s">
        <v>4093</v>
      </c>
      <c r="F683" t="s">
        <v>3559</v>
      </c>
      <c r="G683" t="s">
        <v>4674</v>
      </c>
      <c r="H683">
        <v>0</v>
      </c>
      <c r="I683">
        <v>297</v>
      </c>
      <c r="J683">
        <v>581</v>
      </c>
      <c r="K683" t="str">
        <f t="shared" si="10"/>
        <v>harv161308</v>
      </c>
      <c r="L683" t="s">
        <v>3859</v>
      </c>
      <c r="M683" t="s">
        <v>102</v>
      </c>
      <c r="N683" t="s">
        <v>1948</v>
      </c>
      <c r="O683" t="s">
        <v>3860</v>
      </c>
      <c r="P683" t="s">
        <v>3905</v>
      </c>
      <c r="Q683" t="s">
        <v>11083</v>
      </c>
      <c r="U683">
        <v>75</v>
      </c>
      <c r="V683">
        <v>0</v>
      </c>
      <c r="W683">
        <v>75</v>
      </c>
      <c r="X683">
        <v>16.100000000000001</v>
      </c>
      <c r="Y683">
        <v>30.8</v>
      </c>
    </row>
    <row r="684" spans="1:25" x14ac:dyDescent="0.25">
      <c r="A684" t="s">
        <v>4675</v>
      </c>
      <c r="B684">
        <v>1289</v>
      </c>
      <c r="C684">
        <v>368</v>
      </c>
      <c r="D684" t="s">
        <v>23</v>
      </c>
      <c r="E684" t="s">
        <v>4093</v>
      </c>
      <c r="F684" t="s">
        <v>3559</v>
      </c>
      <c r="G684" t="s">
        <v>4676</v>
      </c>
      <c r="H684">
        <v>0</v>
      </c>
      <c r="I684">
        <v>231</v>
      </c>
      <c r="J684">
        <v>425</v>
      </c>
      <c r="K684" t="str">
        <f t="shared" si="10"/>
        <v>harv126228</v>
      </c>
      <c r="M684" t="s">
        <v>102</v>
      </c>
      <c r="N684" t="s">
        <v>2194</v>
      </c>
      <c r="Q684" t="s">
        <v>11083</v>
      </c>
      <c r="U684">
        <v>75</v>
      </c>
      <c r="V684">
        <v>0</v>
      </c>
      <c r="W684">
        <v>75</v>
      </c>
      <c r="X684">
        <v>12.6</v>
      </c>
      <c r="Y684">
        <v>22.8</v>
      </c>
    </row>
    <row r="685" spans="1:25" x14ac:dyDescent="0.25">
      <c r="A685" t="s">
        <v>4677</v>
      </c>
      <c r="B685">
        <v>1290</v>
      </c>
      <c r="C685">
        <v>369</v>
      </c>
      <c r="D685" t="s">
        <v>23</v>
      </c>
      <c r="E685" t="s">
        <v>4093</v>
      </c>
      <c r="F685" t="s">
        <v>3559</v>
      </c>
      <c r="G685" t="s">
        <v>4678</v>
      </c>
      <c r="H685">
        <v>0</v>
      </c>
      <c r="I685">
        <v>361</v>
      </c>
      <c r="J685">
        <v>313</v>
      </c>
      <c r="K685" t="str">
        <f t="shared" si="10"/>
        <v>harv193169</v>
      </c>
      <c r="M685" t="s">
        <v>102</v>
      </c>
      <c r="N685" t="s">
        <v>2144</v>
      </c>
      <c r="Q685" t="s">
        <v>3749</v>
      </c>
      <c r="R685" t="s">
        <v>2833</v>
      </c>
      <c r="U685">
        <v>76</v>
      </c>
      <c r="V685">
        <v>0</v>
      </c>
      <c r="W685">
        <v>80</v>
      </c>
      <c r="X685">
        <v>19.3</v>
      </c>
      <c r="Y685">
        <v>16.899999999999999</v>
      </c>
    </row>
    <row r="686" spans="1:25" x14ac:dyDescent="0.25">
      <c r="A686" t="s">
        <v>4679</v>
      </c>
      <c r="B686">
        <v>1291</v>
      </c>
      <c r="C686">
        <v>370</v>
      </c>
      <c r="D686" t="s">
        <v>23</v>
      </c>
      <c r="E686" t="s">
        <v>4093</v>
      </c>
      <c r="F686" t="s">
        <v>3559</v>
      </c>
      <c r="G686" t="s">
        <v>106</v>
      </c>
      <c r="H686">
        <v>0</v>
      </c>
      <c r="I686">
        <v>345</v>
      </c>
      <c r="J686">
        <v>135</v>
      </c>
      <c r="K686" t="str">
        <f t="shared" si="10"/>
        <v>harv18677</v>
      </c>
      <c r="L686" t="s">
        <v>3859</v>
      </c>
      <c r="M686" t="s">
        <v>102</v>
      </c>
      <c r="N686" t="s">
        <v>2117</v>
      </c>
      <c r="O686" t="s">
        <v>3886</v>
      </c>
      <c r="Q686" t="s">
        <v>3669</v>
      </c>
      <c r="R686" t="s">
        <v>2825</v>
      </c>
      <c r="U686">
        <v>76</v>
      </c>
      <c r="V686">
        <v>0</v>
      </c>
      <c r="W686">
        <v>80</v>
      </c>
      <c r="X686">
        <v>18.600000000000001</v>
      </c>
      <c r="Y686">
        <v>7.7</v>
      </c>
    </row>
    <row r="687" spans="1:25" x14ac:dyDescent="0.25">
      <c r="A687" t="s">
        <v>4680</v>
      </c>
      <c r="B687">
        <v>1292</v>
      </c>
      <c r="C687">
        <v>371</v>
      </c>
      <c r="D687" t="s">
        <v>23</v>
      </c>
      <c r="E687" t="s">
        <v>4093</v>
      </c>
      <c r="F687" t="s">
        <v>3559</v>
      </c>
      <c r="G687" t="s">
        <v>4681</v>
      </c>
      <c r="H687">
        <v>0</v>
      </c>
      <c r="I687">
        <v>505</v>
      </c>
      <c r="J687">
        <v>464</v>
      </c>
      <c r="K687" t="str">
        <f t="shared" si="10"/>
        <v>harv268246</v>
      </c>
      <c r="M687" t="s">
        <v>102</v>
      </c>
      <c r="N687" t="s">
        <v>2256</v>
      </c>
      <c r="Q687" t="s">
        <v>11083</v>
      </c>
      <c r="U687">
        <v>76</v>
      </c>
      <c r="V687">
        <v>0</v>
      </c>
      <c r="W687">
        <v>80</v>
      </c>
      <c r="X687">
        <v>26.8</v>
      </c>
      <c r="Y687">
        <v>24.6</v>
      </c>
    </row>
    <row r="688" spans="1:25" x14ac:dyDescent="0.25">
      <c r="A688" t="s">
        <v>4682</v>
      </c>
      <c r="B688">
        <v>1293</v>
      </c>
      <c r="C688">
        <v>372</v>
      </c>
      <c r="D688" t="s">
        <v>23</v>
      </c>
      <c r="E688" t="s">
        <v>4093</v>
      </c>
      <c r="F688" t="s">
        <v>3559</v>
      </c>
      <c r="G688" t="s">
        <v>113</v>
      </c>
      <c r="H688">
        <v>0</v>
      </c>
      <c r="I688">
        <v>422</v>
      </c>
      <c r="J688">
        <v>239</v>
      </c>
      <c r="K688" t="str">
        <f t="shared" si="10"/>
        <v>harv224131</v>
      </c>
      <c r="L688" t="s">
        <v>3859</v>
      </c>
      <c r="M688" t="s">
        <v>102</v>
      </c>
      <c r="N688" t="s">
        <v>2260</v>
      </c>
      <c r="O688" t="s">
        <v>3886</v>
      </c>
      <c r="Q688" t="s">
        <v>3669</v>
      </c>
      <c r="R688" t="s">
        <v>2810</v>
      </c>
      <c r="U688">
        <v>76</v>
      </c>
      <c r="V688">
        <v>0</v>
      </c>
      <c r="W688">
        <v>80</v>
      </c>
      <c r="X688">
        <v>22.4</v>
      </c>
      <c r="Y688">
        <v>13.1</v>
      </c>
    </row>
    <row r="689" spans="1:25" x14ac:dyDescent="0.25">
      <c r="A689" t="s">
        <v>4683</v>
      </c>
      <c r="B689">
        <v>1294</v>
      </c>
      <c r="C689">
        <v>373</v>
      </c>
      <c r="D689" t="s">
        <v>23</v>
      </c>
      <c r="E689" t="s">
        <v>4093</v>
      </c>
      <c r="F689" t="s">
        <v>3559</v>
      </c>
      <c r="G689" t="s">
        <v>4684</v>
      </c>
      <c r="H689">
        <v>0</v>
      </c>
      <c r="I689">
        <v>505</v>
      </c>
      <c r="J689">
        <v>464</v>
      </c>
      <c r="K689" t="str">
        <f t="shared" si="10"/>
        <v>harv268246</v>
      </c>
      <c r="M689" t="s">
        <v>102</v>
      </c>
      <c r="N689" t="s">
        <v>2256</v>
      </c>
      <c r="Q689" t="s">
        <v>11083</v>
      </c>
      <c r="U689">
        <v>77</v>
      </c>
      <c r="V689">
        <v>0</v>
      </c>
      <c r="W689">
        <v>80</v>
      </c>
      <c r="X689">
        <v>26.8</v>
      </c>
      <c r="Y689">
        <v>24.6</v>
      </c>
    </row>
    <row r="690" spans="1:25" x14ac:dyDescent="0.25">
      <c r="A690" t="s">
        <v>4685</v>
      </c>
      <c r="B690">
        <v>1295</v>
      </c>
      <c r="C690">
        <v>374</v>
      </c>
      <c r="D690" t="s">
        <v>23</v>
      </c>
      <c r="E690" t="s">
        <v>4093</v>
      </c>
      <c r="F690" t="s">
        <v>3559</v>
      </c>
      <c r="G690" t="s">
        <v>4686</v>
      </c>
      <c r="H690">
        <v>0</v>
      </c>
      <c r="I690">
        <v>548</v>
      </c>
      <c r="J690">
        <v>313</v>
      </c>
      <c r="K690" t="str">
        <f t="shared" si="10"/>
        <v>harv291169</v>
      </c>
      <c r="L690" t="s">
        <v>3859</v>
      </c>
      <c r="M690" t="s">
        <v>102</v>
      </c>
      <c r="N690" t="s">
        <v>1986</v>
      </c>
      <c r="O690" t="s">
        <v>3860</v>
      </c>
      <c r="P690" t="s">
        <v>3900</v>
      </c>
      <c r="Q690" t="s">
        <v>11083</v>
      </c>
      <c r="U690">
        <v>77</v>
      </c>
      <c r="V690">
        <v>0</v>
      </c>
      <c r="W690">
        <v>80</v>
      </c>
      <c r="X690">
        <v>29.1</v>
      </c>
      <c r="Y690">
        <v>16.899999999999999</v>
      </c>
    </row>
    <row r="691" spans="1:25" x14ac:dyDescent="0.25">
      <c r="A691" t="s">
        <v>4687</v>
      </c>
      <c r="B691">
        <v>1296</v>
      </c>
      <c r="C691">
        <v>375</v>
      </c>
      <c r="D691" t="s">
        <v>23</v>
      </c>
      <c r="E691" t="s">
        <v>4093</v>
      </c>
      <c r="F691" t="s">
        <v>3559</v>
      </c>
      <c r="G691" t="s">
        <v>4688</v>
      </c>
      <c r="H691">
        <v>0</v>
      </c>
      <c r="I691">
        <v>663</v>
      </c>
      <c r="J691">
        <v>400</v>
      </c>
      <c r="K691" t="str">
        <f t="shared" si="10"/>
        <v>harv346215</v>
      </c>
      <c r="M691" t="s">
        <v>102</v>
      </c>
      <c r="N691" t="s">
        <v>2254</v>
      </c>
      <c r="Q691" t="s">
        <v>3749</v>
      </c>
      <c r="R691" t="s">
        <v>2829</v>
      </c>
      <c r="U691">
        <v>78</v>
      </c>
      <c r="V691">
        <v>0</v>
      </c>
      <c r="W691">
        <v>80</v>
      </c>
      <c r="X691">
        <v>34.6</v>
      </c>
      <c r="Y691">
        <v>21.5</v>
      </c>
    </row>
    <row r="692" spans="1:25" x14ac:dyDescent="0.25">
      <c r="A692" t="s">
        <v>4689</v>
      </c>
      <c r="B692">
        <v>1297</v>
      </c>
      <c r="C692">
        <v>376</v>
      </c>
      <c r="D692" t="s">
        <v>23</v>
      </c>
      <c r="E692" t="s">
        <v>4093</v>
      </c>
      <c r="F692" t="s">
        <v>3559</v>
      </c>
      <c r="G692" t="s">
        <v>4690</v>
      </c>
      <c r="H692">
        <v>0</v>
      </c>
      <c r="I692">
        <v>249</v>
      </c>
      <c r="J692">
        <v>263</v>
      </c>
      <c r="K692" t="str">
        <f t="shared" si="10"/>
        <v>harv135143</v>
      </c>
      <c r="M692" t="s">
        <v>102</v>
      </c>
      <c r="N692" t="s">
        <v>2108</v>
      </c>
      <c r="Q692" t="s">
        <v>11083</v>
      </c>
      <c r="U692">
        <v>78</v>
      </c>
      <c r="V692">
        <v>0</v>
      </c>
      <c r="W692">
        <v>80</v>
      </c>
      <c r="X692">
        <v>13.5</v>
      </c>
      <c r="Y692">
        <v>14.3</v>
      </c>
    </row>
    <row r="693" spans="1:25" x14ac:dyDescent="0.25">
      <c r="A693" t="s">
        <v>4691</v>
      </c>
      <c r="B693">
        <v>1298</v>
      </c>
      <c r="C693">
        <v>377</v>
      </c>
      <c r="D693" t="s">
        <v>23</v>
      </c>
      <c r="E693" t="s">
        <v>4093</v>
      </c>
      <c r="F693" t="s">
        <v>3559</v>
      </c>
      <c r="G693" t="s">
        <v>4692</v>
      </c>
      <c r="H693">
        <v>0</v>
      </c>
      <c r="I693">
        <v>249</v>
      </c>
      <c r="J693">
        <v>263</v>
      </c>
      <c r="K693" t="str">
        <f t="shared" si="10"/>
        <v>harv135143</v>
      </c>
      <c r="M693" t="s">
        <v>102</v>
      </c>
      <c r="N693" t="s">
        <v>2108</v>
      </c>
      <c r="Q693" t="s">
        <v>11083</v>
      </c>
      <c r="U693">
        <v>78</v>
      </c>
      <c r="V693">
        <v>0</v>
      </c>
      <c r="W693">
        <v>80</v>
      </c>
      <c r="X693">
        <v>13.5</v>
      </c>
      <c r="Y693">
        <v>14.3</v>
      </c>
    </row>
    <row r="694" spans="1:25" x14ac:dyDescent="0.25">
      <c r="A694" t="s">
        <v>4693</v>
      </c>
      <c r="B694">
        <v>1299</v>
      </c>
      <c r="C694">
        <v>378</v>
      </c>
      <c r="D694" t="s">
        <v>23</v>
      </c>
      <c r="E694" t="s">
        <v>4093</v>
      </c>
      <c r="F694" t="s">
        <v>3559</v>
      </c>
      <c r="G694" t="s">
        <v>4694</v>
      </c>
      <c r="H694">
        <v>0</v>
      </c>
      <c r="I694">
        <v>483</v>
      </c>
      <c r="J694">
        <v>565</v>
      </c>
      <c r="K694" t="str">
        <f t="shared" si="10"/>
        <v>harv255298</v>
      </c>
      <c r="M694" t="s">
        <v>102</v>
      </c>
      <c r="N694" t="s">
        <v>2057</v>
      </c>
      <c r="Q694" t="s">
        <v>11083</v>
      </c>
      <c r="U694">
        <v>78</v>
      </c>
      <c r="V694">
        <v>0</v>
      </c>
      <c r="W694">
        <v>80</v>
      </c>
      <c r="X694">
        <v>25.5</v>
      </c>
      <c r="Y694">
        <v>29.8</v>
      </c>
    </row>
    <row r="695" spans="1:25" x14ac:dyDescent="0.25">
      <c r="A695" t="s">
        <v>4695</v>
      </c>
      <c r="B695">
        <v>1300</v>
      </c>
      <c r="C695">
        <v>379</v>
      </c>
      <c r="D695" t="s">
        <v>23</v>
      </c>
      <c r="E695" t="s">
        <v>4093</v>
      </c>
      <c r="F695" t="s">
        <v>3559</v>
      </c>
      <c r="G695" t="s">
        <v>4696</v>
      </c>
      <c r="H695">
        <v>0</v>
      </c>
      <c r="I695">
        <v>505</v>
      </c>
      <c r="J695">
        <v>464</v>
      </c>
      <c r="K695" t="str">
        <f t="shared" si="10"/>
        <v>harv268246</v>
      </c>
      <c r="M695" t="s">
        <v>102</v>
      </c>
      <c r="N695" t="s">
        <v>2256</v>
      </c>
      <c r="Q695" t="s">
        <v>11083</v>
      </c>
      <c r="U695">
        <v>78</v>
      </c>
      <c r="V695">
        <v>0</v>
      </c>
      <c r="W695">
        <v>80</v>
      </c>
      <c r="X695">
        <v>26.8</v>
      </c>
      <c r="Y695">
        <v>24.6</v>
      </c>
    </row>
    <row r="696" spans="1:25" x14ac:dyDescent="0.25">
      <c r="A696" t="s">
        <v>4697</v>
      </c>
      <c r="B696">
        <v>1301</v>
      </c>
      <c r="C696">
        <v>380</v>
      </c>
      <c r="D696" t="s">
        <v>23</v>
      </c>
      <c r="E696" t="s">
        <v>4093</v>
      </c>
      <c r="F696" t="s">
        <v>3559</v>
      </c>
      <c r="G696" t="s">
        <v>4698</v>
      </c>
      <c r="H696">
        <v>0</v>
      </c>
      <c r="I696">
        <v>249</v>
      </c>
      <c r="J696">
        <v>263</v>
      </c>
      <c r="K696" t="str">
        <f t="shared" si="10"/>
        <v>harv135143</v>
      </c>
      <c r="M696" t="s">
        <v>102</v>
      </c>
      <c r="N696" t="s">
        <v>2108</v>
      </c>
      <c r="Q696" t="s">
        <v>11083</v>
      </c>
      <c r="U696">
        <v>79</v>
      </c>
      <c r="V696">
        <v>0</v>
      </c>
      <c r="W696">
        <v>80</v>
      </c>
      <c r="X696">
        <v>13.5</v>
      </c>
      <c r="Y696">
        <v>14.3</v>
      </c>
    </row>
    <row r="697" spans="1:25" x14ac:dyDescent="0.25">
      <c r="A697" t="s">
        <v>4699</v>
      </c>
      <c r="B697">
        <v>1302</v>
      </c>
      <c r="C697">
        <v>381</v>
      </c>
      <c r="D697" t="s">
        <v>23</v>
      </c>
      <c r="E697" t="s">
        <v>4093</v>
      </c>
      <c r="F697" t="s">
        <v>3559</v>
      </c>
      <c r="G697" t="s">
        <v>4700</v>
      </c>
      <c r="H697">
        <v>0</v>
      </c>
      <c r="I697">
        <v>483</v>
      </c>
      <c r="J697">
        <v>565</v>
      </c>
      <c r="K697" t="str">
        <f t="shared" si="10"/>
        <v>harv255298</v>
      </c>
      <c r="M697" t="s">
        <v>102</v>
      </c>
      <c r="N697" t="s">
        <v>2057</v>
      </c>
      <c r="Q697" t="s">
        <v>11083</v>
      </c>
      <c r="U697">
        <v>79</v>
      </c>
      <c r="V697">
        <v>0</v>
      </c>
      <c r="W697">
        <v>80</v>
      </c>
      <c r="X697">
        <v>25.5</v>
      </c>
      <c r="Y697">
        <v>29.8</v>
      </c>
    </row>
    <row r="698" spans="1:25" x14ac:dyDescent="0.25">
      <c r="A698" t="s">
        <v>4701</v>
      </c>
      <c r="B698">
        <v>1303</v>
      </c>
      <c r="C698">
        <v>382</v>
      </c>
      <c r="D698" t="s">
        <v>23</v>
      </c>
      <c r="E698" t="s">
        <v>4093</v>
      </c>
      <c r="F698" t="s">
        <v>3559</v>
      </c>
      <c r="G698" t="s">
        <v>4702</v>
      </c>
      <c r="H698">
        <v>0</v>
      </c>
      <c r="I698">
        <v>483</v>
      </c>
      <c r="J698">
        <v>565</v>
      </c>
      <c r="K698" t="str">
        <f t="shared" si="10"/>
        <v>harv255298</v>
      </c>
      <c r="M698" t="s">
        <v>102</v>
      </c>
      <c r="N698" t="s">
        <v>2057</v>
      </c>
      <c r="Q698" t="s">
        <v>11083</v>
      </c>
      <c r="U698">
        <v>79</v>
      </c>
      <c r="V698">
        <v>0</v>
      </c>
      <c r="W698">
        <v>80</v>
      </c>
      <c r="X698">
        <v>25.5</v>
      </c>
      <c r="Y698">
        <v>29.8</v>
      </c>
    </row>
    <row r="699" spans="1:25" x14ac:dyDescent="0.25">
      <c r="A699" t="s">
        <v>4703</v>
      </c>
      <c r="B699">
        <v>1304</v>
      </c>
      <c r="C699">
        <v>383</v>
      </c>
      <c r="D699" t="s">
        <v>23</v>
      </c>
      <c r="E699" t="s">
        <v>4093</v>
      </c>
      <c r="F699" t="s">
        <v>3559</v>
      </c>
      <c r="G699" t="s">
        <v>120</v>
      </c>
      <c r="H699">
        <v>0</v>
      </c>
      <c r="I699">
        <v>595</v>
      </c>
      <c r="J699">
        <v>695</v>
      </c>
      <c r="K699" t="str">
        <f t="shared" si="10"/>
        <v>harv316365</v>
      </c>
      <c r="L699" t="s">
        <v>3859</v>
      </c>
      <c r="M699" t="s">
        <v>102</v>
      </c>
      <c r="N699" t="s">
        <v>2049</v>
      </c>
      <c r="O699" t="s">
        <v>3886</v>
      </c>
      <c r="Q699" t="s">
        <v>3669</v>
      </c>
      <c r="R699" t="s">
        <v>2819</v>
      </c>
      <c r="U699">
        <v>80</v>
      </c>
      <c r="V699">
        <v>0</v>
      </c>
      <c r="W699">
        <v>80</v>
      </c>
      <c r="X699">
        <v>31.6</v>
      </c>
      <c r="Y699">
        <v>36.5</v>
      </c>
    </row>
    <row r="700" spans="1:25" x14ac:dyDescent="0.25">
      <c r="A700" t="s">
        <v>4704</v>
      </c>
      <c r="B700">
        <v>1305</v>
      </c>
      <c r="C700">
        <v>384</v>
      </c>
      <c r="D700" t="s">
        <v>23</v>
      </c>
      <c r="E700" t="s">
        <v>4093</v>
      </c>
      <c r="F700" t="s">
        <v>3559</v>
      </c>
      <c r="G700" t="s">
        <v>129</v>
      </c>
      <c r="H700">
        <v>0</v>
      </c>
      <c r="I700">
        <v>595</v>
      </c>
      <c r="J700">
        <v>695</v>
      </c>
      <c r="K700" t="str">
        <f t="shared" si="10"/>
        <v>harv316365</v>
      </c>
      <c r="L700" t="s">
        <v>3859</v>
      </c>
      <c r="M700" t="s">
        <v>102</v>
      </c>
      <c r="N700" t="s">
        <v>2049</v>
      </c>
      <c r="O700" t="s">
        <v>3886</v>
      </c>
      <c r="Q700" t="s">
        <v>3669</v>
      </c>
      <c r="R700" t="s">
        <v>2819</v>
      </c>
      <c r="U700">
        <v>80</v>
      </c>
      <c r="V700">
        <v>2</v>
      </c>
      <c r="W700">
        <v>80</v>
      </c>
      <c r="X700">
        <v>31.6</v>
      </c>
      <c r="Y700">
        <v>36.5</v>
      </c>
    </row>
    <row r="701" spans="1:25" x14ac:dyDescent="0.25">
      <c r="A701" t="s">
        <v>4705</v>
      </c>
      <c r="B701">
        <v>1306</v>
      </c>
      <c r="C701">
        <v>385</v>
      </c>
      <c r="D701" t="s">
        <v>23</v>
      </c>
      <c r="E701" t="s">
        <v>4093</v>
      </c>
      <c r="F701" t="s">
        <v>3559</v>
      </c>
      <c r="G701" t="s">
        <v>129</v>
      </c>
      <c r="H701">
        <v>0</v>
      </c>
      <c r="I701">
        <v>345</v>
      </c>
      <c r="J701">
        <v>135</v>
      </c>
      <c r="K701" t="str">
        <f t="shared" si="10"/>
        <v>harv18677</v>
      </c>
      <c r="L701" t="s">
        <v>3859</v>
      </c>
      <c r="M701" t="s">
        <v>102</v>
      </c>
      <c r="N701" t="s">
        <v>2117</v>
      </c>
      <c r="O701" t="s">
        <v>3886</v>
      </c>
      <c r="Q701" t="s">
        <v>3669</v>
      </c>
      <c r="R701" t="s">
        <v>2825</v>
      </c>
      <c r="U701">
        <v>80</v>
      </c>
      <c r="V701">
        <v>2</v>
      </c>
      <c r="W701">
        <v>80</v>
      </c>
      <c r="X701">
        <v>18.600000000000001</v>
      </c>
      <c r="Y701">
        <v>7.7</v>
      </c>
    </row>
    <row r="702" spans="1:25" x14ac:dyDescent="0.25">
      <c r="A702" t="s">
        <v>4706</v>
      </c>
      <c r="B702">
        <v>1307</v>
      </c>
      <c r="C702">
        <v>386</v>
      </c>
      <c r="D702" t="s">
        <v>23</v>
      </c>
      <c r="E702" t="s">
        <v>4093</v>
      </c>
      <c r="F702" t="s">
        <v>3559</v>
      </c>
      <c r="G702" t="s">
        <v>129</v>
      </c>
      <c r="H702">
        <v>0</v>
      </c>
      <c r="I702">
        <v>422</v>
      </c>
      <c r="J702">
        <v>239</v>
      </c>
      <c r="K702" t="str">
        <f t="shared" si="10"/>
        <v>harv224131</v>
      </c>
      <c r="L702" t="s">
        <v>3859</v>
      </c>
      <c r="M702" t="s">
        <v>102</v>
      </c>
      <c r="N702" t="s">
        <v>2260</v>
      </c>
      <c r="O702" t="s">
        <v>3886</v>
      </c>
      <c r="Q702" t="s">
        <v>3669</v>
      </c>
      <c r="R702" t="s">
        <v>2810</v>
      </c>
      <c r="U702">
        <v>80</v>
      </c>
      <c r="V702">
        <v>2</v>
      </c>
      <c r="W702">
        <v>80</v>
      </c>
      <c r="X702">
        <v>22.4</v>
      </c>
      <c r="Y702">
        <v>13.1</v>
      </c>
    </row>
    <row r="703" spans="1:25" x14ac:dyDescent="0.25">
      <c r="A703" t="s">
        <v>4707</v>
      </c>
      <c r="B703">
        <v>1308</v>
      </c>
      <c r="C703">
        <v>387</v>
      </c>
      <c r="D703" t="s">
        <v>23</v>
      </c>
      <c r="E703" t="s">
        <v>4093</v>
      </c>
      <c r="F703" t="s">
        <v>3559</v>
      </c>
      <c r="G703" t="s">
        <v>4708</v>
      </c>
      <c r="H703">
        <v>0</v>
      </c>
      <c r="I703">
        <v>530</v>
      </c>
      <c r="J703">
        <v>311</v>
      </c>
      <c r="K703" t="str">
        <f t="shared" si="10"/>
        <v>harv279169</v>
      </c>
      <c r="M703" t="s">
        <v>133</v>
      </c>
      <c r="N703" t="s">
        <v>2347</v>
      </c>
      <c r="Q703" t="s">
        <v>11083</v>
      </c>
      <c r="U703">
        <v>81</v>
      </c>
      <c r="V703">
        <v>0</v>
      </c>
      <c r="W703">
        <v>85</v>
      </c>
      <c r="X703">
        <v>27.9</v>
      </c>
      <c r="Y703">
        <v>16.899999999999999</v>
      </c>
    </row>
    <row r="704" spans="1:25" x14ac:dyDescent="0.25">
      <c r="A704" t="s">
        <v>4709</v>
      </c>
      <c r="B704">
        <v>1309</v>
      </c>
      <c r="C704">
        <v>388</v>
      </c>
      <c r="D704" t="s">
        <v>23</v>
      </c>
      <c r="E704" t="s">
        <v>4093</v>
      </c>
      <c r="F704" t="s">
        <v>3559</v>
      </c>
      <c r="G704" t="s">
        <v>4710</v>
      </c>
      <c r="H704">
        <v>0</v>
      </c>
      <c r="I704">
        <v>530</v>
      </c>
      <c r="J704">
        <v>311</v>
      </c>
      <c r="K704" t="str">
        <f t="shared" si="10"/>
        <v>harv279169</v>
      </c>
      <c r="M704" t="s">
        <v>133</v>
      </c>
      <c r="N704" t="s">
        <v>2347</v>
      </c>
      <c r="Q704" t="s">
        <v>11083</v>
      </c>
      <c r="U704">
        <v>81</v>
      </c>
      <c r="V704">
        <v>0</v>
      </c>
      <c r="W704">
        <v>85</v>
      </c>
      <c r="X704">
        <v>27.9</v>
      </c>
      <c r="Y704">
        <v>16.899999999999999</v>
      </c>
    </row>
    <row r="705" spans="1:25" x14ac:dyDescent="0.25">
      <c r="A705" t="s">
        <v>4711</v>
      </c>
      <c r="B705">
        <v>1310</v>
      </c>
      <c r="C705">
        <v>389</v>
      </c>
      <c r="D705" t="s">
        <v>23</v>
      </c>
      <c r="E705" t="s">
        <v>4093</v>
      </c>
      <c r="F705" t="s">
        <v>3559</v>
      </c>
      <c r="G705" t="s">
        <v>4712</v>
      </c>
      <c r="H705">
        <v>0</v>
      </c>
      <c r="I705">
        <v>530</v>
      </c>
      <c r="J705">
        <v>311</v>
      </c>
      <c r="K705" t="str">
        <f t="shared" si="10"/>
        <v>harv279169</v>
      </c>
      <c r="M705" t="s">
        <v>133</v>
      </c>
      <c r="N705" t="s">
        <v>2347</v>
      </c>
      <c r="Q705" t="s">
        <v>11083</v>
      </c>
      <c r="U705">
        <v>81</v>
      </c>
      <c r="V705">
        <v>0</v>
      </c>
      <c r="W705">
        <v>85</v>
      </c>
      <c r="X705">
        <v>27.9</v>
      </c>
      <c r="Y705">
        <v>16.899999999999999</v>
      </c>
    </row>
    <row r="706" spans="1:25" x14ac:dyDescent="0.25">
      <c r="A706" t="s">
        <v>4713</v>
      </c>
      <c r="B706">
        <v>1311</v>
      </c>
      <c r="C706">
        <v>390</v>
      </c>
      <c r="D706" t="s">
        <v>23</v>
      </c>
      <c r="E706" t="s">
        <v>4093</v>
      </c>
      <c r="F706" t="s">
        <v>3559</v>
      </c>
      <c r="G706" t="s">
        <v>4714</v>
      </c>
      <c r="H706">
        <v>0</v>
      </c>
      <c r="I706">
        <v>530</v>
      </c>
      <c r="J706">
        <v>311</v>
      </c>
      <c r="K706" t="str">
        <f t="shared" ref="K706:K769" si="11">LEFT(A706,4)&amp;SUBSTITUTE(X706,".","")&amp;SUBSTITUTE(Y706,".","")</f>
        <v>harv279169</v>
      </c>
      <c r="L706" t="s">
        <v>3859</v>
      </c>
      <c r="M706" t="s">
        <v>133</v>
      </c>
      <c r="N706" t="s">
        <v>2347</v>
      </c>
      <c r="O706" t="s">
        <v>3860</v>
      </c>
      <c r="P706" t="s">
        <v>3936</v>
      </c>
      <c r="Q706" t="s">
        <v>11083</v>
      </c>
      <c r="U706">
        <v>81</v>
      </c>
      <c r="V706">
        <v>0</v>
      </c>
      <c r="W706">
        <v>85</v>
      </c>
      <c r="X706">
        <v>27.9</v>
      </c>
      <c r="Y706">
        <v>16.899999999999999</v>
      </c>
    </row>
    <row r="707" spans="1:25" x14ac:dyDescent="0.25">
      <c r="A707" t="s">
        <v>4715</v>
      </c>
      <c r="B707">
        <v>1312</v>
      </c>
      <c r="C707">
        <v>391</v>
      </c>
      <c r="D707" t="s">
        <v>23</v>
      </c>
      <c r="E707" t="s">
        <v>4093</v>
      </c>
      <c r="F707" t="s">
        <v>3559</v>
      </c>
      <c r="G707" t="s">
        <v>4716</v>
      </c>
      <c r="H707">
        <v>0</v>
      </c>
      <c r="I707">
        <v>407</v>
      </c>
      <c r="J707">
        <v>168</v>
      </c>
      <c r="K707" t="str">
        <f t="shared" si="11"/>
        <v>harv21896</v>
      </c>
      <c r="L707" t="s">
        <v>3859</v>
      </c>
      <c r="M707" t="s">
        <v>133</v>
      </c>
      <c r="N707" t="s">
        <v>2384</v>
      </c>
      <c r="O707" t="s">
        <v>3860</v>
      </c>
      <c r="P707" t="s">
        <v>3936</v>
      </c>
      <c r="Q707" t="s">
        <v>11083</v>
      </c>
      <c r="U707">
        <v>81</v>
      </c>
      <c r="V707">
        <v>0</v>
      </c>
      <c r="W707">
        <v>85</v>
      </c>
      <c r="X707">
        <v>21.8</v>
      </c>
      <c r="Y707">
        <v>9.6</v>
      </c>
    </row>
    <row r="708" spans="1:25" x14ac:dyDescent="0.25">
      <c r="A708" t="s">
        <v>4717</v>
      </c>
      <c r="B708">
        <v>1313</v>
      </c>
      <c r="C708">
        <v>392</v>
      </c>
      <c r="D708" t="s">
        <v>23</v>
      </c>
      <c r="E708" t="s">
        <v>4093</v>
      </c>
      <c r="F708" t="s">
        <v>3559</v>
      </c>
      <c r="G708" t="s">
        <v>4718</v>
      </c>
      <c r="H708">
        <v>0</v>
      </c>
      <c r="I708">
        <v>309</v>
      </c>
      <c r="J708">
        <v>178</v>
      </c>
      <c r="K708" t="str">
        <f t="shared" si="11"/>
        <v>harv16810</v>
      </c>
      <c r="L708" t="s">
        <v>3859</v>
      </c>
      <c r="M708" t="s">
        <v>133</v>
      </c>
      <c r="N708" t="s">
        <v>2189</v>
      </c>
      <c r="O708" t="s">
        <v>3860</v>
      </c>
      <c r="P708" t="s">
        <v>4719</v>
      </c>
      <c r="Q708" t="s">
        <v>11083</v>
      </c>
      <c r="U708">
        <v>81</v>
      </c>
      <c r="V708">
        <v>0</v>
      </c>
      <c r="W708">
        <v>85</v>
      </c>
      <c r="X708">
        <v>16.8</v>
      </c>
      <c r="Y708">
        <v>10</v>
      </c>
    </row>
    <row r="709" spans="1:25" x14ac:dyDescent="0.25">
      <c r="A709" t="s">
        <v>4720</v>
      </c>
      <c r="B709">
        <v>1314</v>
      </c>
      <c r="C709">
        <v>393</v>
      </c>
      <c r="D709" t="s">
        <v>23</v>
      </c>
      <c r="E709" t="s">
        <v>4093</v>
      </c>
      <c r="F709" t="s">
        <v>3559</v>
      </c>
      <c r="G709" t="s">
        <v>4721</v>
      </c>
      <c r="H709">
        <v>0</v>
      </c>
      <c r="I709">
        <v>530</v>
      </c>
      <c r="J709">
        <v>311</v>
      </c>
      <c r="K709" t="str">
        <f t="shared" si="11"/>
        <v>harv279169</v>
      </c>
      <c r="L709" t="s">
        <v>3859</v>
      </c>
      <c r="M709" t="s">
        <v>133</v>
      </c>
      <c r="N709" t="s">
        <v>2347</v>
      </c>
      <c r="O709" t="s">
        <v>3860</v>
      </c>
      <c r="P709" t="s">
        <v>4722</v>
      </c>
      <c r="Q709" t="s">
        <v>11083</v>
      </c>
      <c r="U709">
        <v>81</v>
      </c>
      <c r="V709">
        <v>0</v>
      </c>
      <c r="W709">
        <v>85</v>
      </c>
      <c r="X709">
        <v>27.9</v>
      </c>
      <c r="Y709">
        <v>16.899999999999999</v>
      </c>
    </row>
    <row r="710" spans="1:25" x14ac:dyDescent="0.25">
      <c r="A710" t="s">
        <v>4723</v>
      </c>
      <c r="B710">
        <v>1315</v>
      </c>
      <c r="C710">
        <v>394</v>
      </c>
      <c r="D710" t="s">
        <v>23</v>
      </c>
      <c r="E710" t="s">
        <v>4093</v>
      </c>
      <c r="F710" t="s">
        <v>3559</v>
      </c>
      <c r="G710" t="s">
        <v>4724</v>
      </c>
      <c r="H710">
        <v>0</v>
      </c>
      <c r="I710">
        <v>407</v>
      </c>
      <c r="J710">
        <v>168</v>
      </c>
      <c r="K710" t="str">
        <f t="shared" si="11"/>
        <v>harv21896</v>
      </c>
      <c r="M710" t="s">
        <v>133</v>
      </c>
      <c r="N710" t="s">
        <v>2384</v>
      </c>
      <c r="Q710" t="s">
        <v>11083</v>
      </c>
      <c r="U710">
        <v>82</v>
      </c>
      <c r="V710">
        <v>0</v>
      </c>
      <c r="W710">
        <v>85</v>
      </c>
      <c r="X710">
        <v>21.8</v>
      </c>
      <c r="Y710">
        <v>9.6</v>
      </c>
    </row>
    <row r="711" spans="1:25" x14ac:dyDescent="0.25">
      <c r="A711" t="s">
        <v>4725</v>
      </c>
      <c r="B711">
        <v>1316</v>
      </c>
      <c r="C711">
        <v>395</v>
      </c>
      <c r="D711" t="s">
        <v>23</v>
      </c>
      <c r="E711" t="s">
        <v>4093</v>
      </c>
      <c r="F711" t="s">
        <v>3559</v>
      </c>
      <c r="G711" t="s">
        <v>4726</v>
      </c>
      <c r="H711">
        <v>0</v>
      </c>
      <c r="I711">
        <v>407</v>
      </c>
      <c r="J711">
        <v>168</v>
      </c>
      <c r="K711" t="str">
        <f t="shared" si="11"/>
        <v>harv21896</v>
      </c>
      <c r="M711" t="s">
        <v>133</v>
      </c>
      <c r="N711" t="s">
        <v>2384</v>
      </c>
      <c r="Q711" t="s">
        <v>11083</v>
      </c>
      <c r="U711">
        <v>82</v>
      </c>
      <c r="V711">
        <v>0</v>
      </c>
      <c r="W711">
        <v>85</v>
      </c>
      <c r="X711">
        <v>21.8</v>
      </c>
      <c r="Y711">
        <v>9.6</v>
      </c>
    </row>
    <row r="712" spans="1:25" x14ac:dyDescent="0.25">
      <c r="A712" t="s">
        <v>4727</v>
      </c>
      <c r="B712">
        <v>1317</v>
      </c>
      <c r="C712">
        <v>396</v>
      </c>
      <c r="D712" t="s">
        <v>23</v>
      </c>
      <c r="E712" t="s">
        <v>4093</v>
      </c>
      <c r="F712" t="s">
        <v>3559</v>
      </c>
      <c r="G712" t="s">
        <v>4728</v>
      </c>
      <c r="H712">
        <v>0</v>
      </c>
      <c r="I712">
        <v>243</v>
      </c>
      <c r="J712">
        <v>193</v>
      </c>
      <c r="K712" t="str">
        <f t="shared" si="11"/>
        <v>harv132108</v>
      </c>
      <c r="L712" t="s">
        <v>3859</v>
      </c>
      <c r="M712" t="s">
        <v>133</v>
      </c>
      <c r="N712" t="s">
        <v>2141</v>
      </c>
      <c r="O712" t="s">
        <v>3860</v>
      </c>
      <c r="P712" t="s">
        <v>4719</v>
      </c>
      <c r="Q712" t="s">
        <v>11083</v>
      </c>
      <c r="U712">
        <v>82</v>
      </c>
      <c r="V712">
        <v>0</v>
      </c>
      <c r="W712">
        <v>85</v>
      </c>
      <c r="X712">
        <v>13.2</v>
      </c>
      <c r="Y712">
        <v>10.8</v>
      </c>
    </row>
    <row r="713" spans="1:25" x14ac:dyDescent="0.25">
      <c r="A713" t="s">
        <v>4729</v>
      </c>
      <c r="B713">
        <v>1318</v>
      </c>
      <c r="C713">
        <v>397</v>
      </c>
      <c r="D713" t="s">
        <v>23</v>
      </c>
      <c r="E713" t="s">
        <v>4093</v>
      </c>
      <c r="F713" t="s">
        <v>3559</v>
      </c>
      <c r="G713" t="s">
        <v>4730</v>
      </c>
      <c r="H713">
        <v>0</v>
      </c>
      <c r="I713">
        <v>407</v>
      </c>
      <c r="J713">
        <v>168</v>
      </c>
      <c r="K713" t="str">
        <f t="shared" si="11"/>
        <v>harv21896</v>
      </c>
      <c r="L713" t="s">
        <v>3859</v>
      </c>
      <c r="M713" t="s">
        <v>133</v>
      </c>
      <c r="N713" t="s">
        <v>2384</v>
      </c>
      <c r="O713" t="s">
        <v>3860</v>
      </c>
      <c r="P713" t="s">
        <v>4722</v>
      </c>
      <c r="Q713" t="s">
        <v>11083</v>
      </c>
      <c r="U713">
        <v>82</v>
      </c>
      <c r="V713">
        <v>0</v>
      </c>
      <c r="W713">
        <v>85</v>
      </c>
      <c r="X713">
        <v>21.8</v>
      </c>
      <c r="Y713">
        <v>9.6</v>
      </c>
    </row>
    <row r="714" spans="1:25" x14ac:dyDescent="0.25">
      <c r="A714" t="s">
        <v>4731</v>
      </c>
      <c r="B714">
        <v>1319</v>
      </c>
      <c r="C714">
        <v>398</v>
      </c>
      <c r="D714" t="s">
        <v>23</v>
      </c>
      <c r="E714" t="s">
        <v>4093</v>
      </c>
      <c r="F714" t="s">
        <v>3559</v>
      </c>
      <c r="G714" t="s">
        <v>4732</v>
      </c>
      <c r="H714">
        <v>0</v>
      </c>
      <c r="I714">
        <v>481</v>
      </c>
      <c r="J714">
        <v>487</v>
      </c>
      <c r="K714" t="str">
        <f t="shared" si="11"/>
        <v>harv253261</v>
      </c>
      <c r="M714" t="s">
        <v>133</v>
      </c>
      <c r="N714" t="s">
        <v>2421</v>
      </c>
      <c r="Q714" t="s">
        <v>11083</v>
      </c>
      <c r="U714">
        <v>83</v>
      </c>
      <c r="V714">
        <v>0</v>
      </c>
      <c r="W714">
        <v>85</v>
      </c>
      <c r="X714">
        <v>25.3</v>
      </c>
      <c r="Y714">
        <v>26.1</v>
      </c>
    </row>
    <row r="715" spans="1:25" x14ac:dyDescent="0.25">
      <c r="A715" t="s">
        <v>4733</v>
      </c>
      <c r="B715">
        <v>1320</v>
      </c>
      <c r="C715">
        <v>399</v>
      </c>
      <c r="D715" t="s">
        <v>23</v>
      </c>
      <c r="E715" t="s">
        <v>4093</v>
      </c>
      <c r="F715" t="s">
        <v>3559</v>
      </c>
      <c r="G715" t="s">
        <v>4734</v>
      </c>
      <c r="H715">
        <v>0</v>
      </c>
      <c r="I715">
        <v>481</v>
      </c>
      <c r="J715">
        <v>487</v>
      </c>
      <c r="K715" t="str">
        <f t="shared" si="11"/>
        <v>harv253261</v>
      </c>
      <c r="M715" t="s">
        <v>133</v>
      </c>
      <c r="N715" t="s">
        <v>2421</v>
      </c>
      <c r="Q715" t="s">
        <v>11083</v>
      </c>
      <c r="U715">
        <v>83</v>
      </c>
      <c r="V715">
        <v>0</v>
      </c>
      <c r="W715">
        <v>85</v>
      </c>
      <c r="X715">
        <v>25.3</v>
      </c>
      <c r="Y715">
        <v>26.1</v>
      </c>
    </row>
    <row r="716" spans="1:25" x14ac:dyDescent="0.25">
      <c r="A716" t="s">
        <v>4735</v>
      </c>
      <c r="B716">
        <v>1321</v>
      </c>
      <c r="C716">
        <v>400</v>
      </c>
      <c r="D716" t="s">
        <v>23</v>
      </c>
      <c r="E716" t="s">
        <v>4093</v>
      </c>
      <c r="F716" t="s">
        <v>3559</v>
      </c>
      <c r="G716" t="s">
        <v>4736</v>
      </c>
      <c r="H716">
        <v>0</v>
      </c>
      <c r="I716">
        <v>243</v>
      </c>
      <c r="J716">
        <v>193</v>
      </c>
      <c r="K716" t="str">
        <f t="shared" si="11"/>
        <v>harv132108</v>
      </c>
      <c r="L716" t="s">
        <v>3859</v>
      </c>
      <c r="M716" t="s">
        <v>133</v>
      </c>
      <c r="N716" t="s">
        <v>2141</v>
      </c>
      <c r="O716" t="s">
        <v>3860</v>
      </c>
      <c r="P716" t="s">
        <v>4719</v>
      </c>
      <c r="Q716" t="s">
        <v>11083</v>
      </c>
      <c r="U716">
        <v>83</v>
      </c>
      <c r="V716">
        <v>0</v>
      </c>
      <c r="W716">
        <v>85</v>
      </c>
      <c r="X716">
        <v>13.2</v>
      </c>
      <c r="Y716">
        <v>10.8</v>
      </c>
    </row>
    <row r="717" spans="1:25" x14ac:dyDescent="0.25">
      <c r="A717" t="s">
        <v>4737</v>
      </c>
      <c r="B717">
        <v>1322</v>
      </c>
      <c r="C717">
        <v>401</v>
      </c>
      <c r="D717" t="s">
        <v>23</v>
      </c>
      <c r="E717" t="s">
        <v>4093</v>
      </c>
      <c r="F717" t="s">
        <v>3559</v>
      </c>
      <c r="G717" t="s">
        <v>4738</v>
      </c>
      <c r="H717">
        <v>0</v>
      </c>
      <c r="I717">
        <v>481</v>
      </c>
      <c r="J717">
        <v>487</v>
      </c>
      <c r="K717" t="str">
        <f t="shared" si="11"/>
        <v>harv253261</v>
      </c>
      <c r="L717" t="s">
        <v>3859</v>
      </c>
      <c r="M717" t="s">
        <v>133</v>
      </c>
      <c r="N717" t="s">
        <v>2421</v>
      </c>
      <c r="O717" t="s">
        <v>3860</v>
      </c>
      <c r="P717" t="s">
        <v>4722</v>
      </c>
      <c r="Q717" t="s">
        <v>11083</v>
      </c>
      <c r="U717">
        <v>83</v>
      </c>
      <c r="V717">
        <v>0</v>
      </c>
      <c r="W717">
        <v>85</v>
      </c>
      <c r="X717">
        <v>25.3</v>
      </c>
      <c r="Y717">
        <v>26.1</v>
      </c>
    </row>
    <row r="718" spans="1:25" x14ac:dyDescent="0.25">
      <c r="A718" t="s">
        <v>4739</v>
      </c>
      <c r="B718">
        <v>1323</v>
      </c>
      <c r="C718">
        <v>402</v>
      </c>
      <c r="D718" t="s">
        <v>23</v>
      </c>
      <c r="E718" t="s">
        <v>4093</v>
      </c>
      <c r="F718" t="s">
        <v>3559</v>
      </c>
      <c r="G718" t="s">
        <v>4740</v>
      </c>
      <c r="H718">
        <v>0</v>
      </c>
      <c r="I718">
        <v>481</v>
      </c>
      <c r="J718">
        <v>487</v>
      </c>
      <c r="K718" t="str">
        <f t="shared" si="11"/>
        <v>harv253261</v>
      </c>
      <c r="M718" t="s">
        <v>133</v>
      </c>
      <c r="N718" t="s">
        <v>2421</v>
      </c>
      <c r="Q718" t="s">
        <v>11083</v>
      </c>
      <c r="U718">
        <v>84</v>
      </c>
      <c r="V718">
        <v>0</v>
      </c>
      <c r="W718">
        <v>85</v>
      </c>
      <c r="X718">
        <v>25.3</v>
      </c>
      <c r="Y718">
        <v>26.1</v>
      </c>
    </row>
    <row r="719" spans="1:25" x14ac:dyDescent="0.25">
      <c r="A719" t="s">
        <v>4741</v>
      </c>
      <c r="B719">
        <v>1324</v>
      </c>
      <c r="C719">
        <v>403</v>
      </c>
      <c r="D719" t="s">
        <v>23</v>
      </c>
      <c r="E719" t="s">
        <v>4093</v>
      </c>
      <c r="F719" t="s">
        <v>3559</v>
      </c>
      <c r="G719" t="s">
        <v>4742</v>
      </c>
      <c r="H719">
        <v>0</v>
      </c>
      <c r="I719">
        <v>481</v>
      </c>
      <c r="J719">
        <v>487</v>
      </c>
      <c r="K719" t="str">
        <f t="shared" si="11"/>
        <v>harv253261</v>
      </c>
      <c r="M719" t="s">
        <v>133</v>
      </c>
      <c r="N719" t="s">
        <v>2421</v>
      </c>
      <c r="Q719" t="s">
        <v>11083</v>
      </c>
      <c r="U719">
        <v>84</v>
      </c>
      <c r="V719">
        <v>0</v>
      </c>
      <c r="W719">
        <v>85</v>
      </c>
      <c r="X719">
        <v>25.3</v>
      </c>
      <c r="Y719">
        <v>26.1</v>
      </c>
    </row>
    <row r="720" spans="1:25" x14ac:dyDescent="0.25">
      <c r="A720" t="s">
        <v>4743</v>
      </c>
      <c r="B720">
        <v>1325</v>
      </c>
      <c r="C720">
        <v>404</v>
      </c>
      <c r="D720" t="s">
        <v>23</v>
      </c>
      <c r="E720" t="s">
        <v>4093</v>
      </c>
      <c r="F720" t="s">
        <v>3559</v>
      </c>
      <c r="G720" t="s">
        <v>4744</v>
      </c>
      <c r="H720">
        <v>0</v>
      </c>
      <c r="I720">
        <v>309</v>
      </c>
      <c r="J720">
        <v>178</v>
      </c>
      <c r="K720" t="str">
        <f t="shared" si="11"/>
        <v>harv16810</v>
      </c>
      <c r="L720" t="s">
        <v>3859</v>
      </c>
      <c r="M720" t="s">
        <v>133</v>
      </c>
      <c r="N720" t="s">
        <v>2189</v>
      </c>
      <c r="O720" t="s">
        <v>3860</v>
      </c>
      <c r="P720" t="s">
        <v>4719</v>
      </c>
      <c r="Q720" t="s">
        <v>11083</v>
      </c>
      <c r="U720">
        <v>84</v>
      </c>
      <c r="V720">
        <v>0</v>
      </c>
      <c r="W720">
        <v>85</v>
      </c>
      <c r="X720">
        <v>16.8</v>
      </c>
      <c r="Y720">
        <v>10</v>
      </c>
    </row>
    <row r="721" spans="1:25" x14ac:dyDescent="0.25">
      <c r="A721" t="s">
        <v>4745</v>
      </c>
      <c r="B721">
        <v>1326</v>
      </c>
      <c r="C721">
        <v>405</v>
      </c>
      <c r="D721" t="s">
        <v>23</v>
      </c>
      <c r="E721" t="s">
        <v>4093</v>
      </c>
      <c r="F721" t="s">
        <v>3559</v>
      </c>
      <c r="G721" t="s">
        <v>4746</v>
      </c>
      <c r="H721">
        <v>0</v>
      </c>
      <c r="I721">
        <v>647</v>
      </c>
      <c r="J721">
        <v>522</v>
      </c>
      <c r="K721" t="str">
        <f t="shared" si="11"/>
        <v>harv342278</v>
      </c>
      <c r="M721" t="s">
        <v>133</v>
      </c>
      <c r="N721" t="s">
        <v>2461</v>
      </c>
      <c r="Q721" t="s">
        <v>11083</v>
      </c>
      <c r="U721">
        <v>85</v>
      </c>
      <c r="V721">
        <v>0</v>
      </c>
      <c r="W721">
        <v>85</v>
      </c>
      <c r="X721">
        <v>34.200000000000003</v>
      </c>
      <c r="Y721">
        <v>27.8</v>
      </c>
    </row>
    <row r="722" spans="1:25" x14ac:dyDescent="0.25">
      <c r="A722" t="s">
        <v>4747</v>
      </c>
      <c r="B722">
        <v>1327</v>
      </c>
      <c r="C722">
        <v>406</v>
      </c>
      <c r="D722" t="s">
        <v>23</v>
      </c>
      <c r="E722" t="s">
        <v>4093</v>
      </c>
      <c r="F722" t="s">
        <v>3559</v>
      </c>
      <c r="G722" t="s">
        <v>4748</v>
      </c>
      <c r="H722">
        <v>0</v>
      </c>
      <c r="I722">
        <v>374</v>
      </c>
      <c r="J722">
        <v>159</v>
      </c>
      <c r="K722" t="str">
        <f t="shared" si="11"/>
        <v>harv19891</v>
      </c>
      <c r="L722" t="s">
        <v>3859</v>
      </c>
      <c r="M722" t="s">
        <v>133</v>
      </c>
      <c r="N722" t="s">
        <v>2285</v>
      </c>
      <c r="O722" t="s">
        <v>3860</v>
      </c>
      <c r="P722" t="s">
        <v>4719</v>
      </c>
      <c r="Q722" t="s">
        <v>11083</v>
      </c>
      <c r="U722">
        <v>85</v>
      </c>
      <c r="V722">
        <v>0</v>
      </c>
      <c r="W722">
        <v>85</v>
      </c>
      <c r="X722">
        <v>19.8</v>
      </c>
      <c r="Y722">
        <v>9.1</v>
      </c>
    </row>
    <row r="723" spans="1:25" x14ac:dyDescent="0.25">
      <c r="A723" t="s">
        <v>4749</v>
      </c>
      <c r="B723">
        <v>1328</v>
      </c>
      <c r="C723">
        <v>407</v>
      </c>
      <c r="D723" t="s">
        <v>23</v>
      </c>
      <c r="E723" t="s">
        <v>4093</v>
      </c>
      <c r="F723" t="s">
        <v>3559</v>
      </c>
      <c r="G723" t="s">
        <v>4750</v>
      </c>
      <c r="H723">
        <v>0</v>
      </c>
      <c r="I723">
        <v>647</v>
      </c>
      <c r="J723">
        <v>522</v>
      </c>
      <c r="K723" t="str">
        <f t="shared" si="11"/>
        <v>harv342278</v>
      </c>
      <c r="L723" t="s">
        <v>3859</v>
      </c>
      <c r="M723" t="s">
        <v>133</v>
      </c>
      <c r="N723" t="s">
        <v>2461</v>
      </c>
      <c r="O723" t="s">
        <v>3860</v>
      </c>
      <c r="P723" t="s">
        <v>4722</v>
      </c>
      <c r="Q723" t="s">
        <v>11083</v>
      </c>
      <c r="U723">
        <v>85</v>
      </c>
      <c r="V723">
        <v>0</v>
      </c>
      <c r="W723">
        <v>85</v>
      </c>
      <c r="X723">
        <v>34.200000000000003</v>
      </c>
      <c r="Y723">
        <v>27.8</v>
      </c>
    </row>
    <row r="724" spans="1:25" x14ac:dyDescent="0.25">
      <c r="A724" t="s">
        <v>4751</v>
      </c>
      <c r="B724">
        <v>1329</v>
      </c>
      <c r="C724">
        <v>408</v>
      </c>
      <c r="D724" t="s">
        <v>23</v>
      </c>
      <c r="E724" t="s">
        <v>4093</v>
      </c>
      <c r="F724" t="s">
        <v>3559</v>
      </c>
      <c r="G724" t="s">
        <v>4752</v>
      </c>
      <c r="H724">
        <v>0</v>
      </c>
      <c r="I724">
        <v>390</v>
      </c>
      <c r="J724">
        <v>444</v>
      </c>
      <c r="K724" t="str">
        <f t="shared" si="11"/>
        <v>harv207238</v>
      </c>
      <c r="M724" t="s">
        <v>133</v>
      </c>
      <c r="N724" t="s">
        <v>3512</v>
      </c>
      <c r="Q724" t="s">
        <v>11083</v>
      </c>
      <c r="U724">
        <v>86</v>
      </c>
      <c r="V724">
        <v>0</v>
      </c>
      <c r="W724">
        <v>90</v>
      </c>
      <c r="X724">
        <v>20.7</v>
      </c>
      <c r="Y724">
        <v>23.8</v>
      </c>
    </row>
    <row r="725" spans="1:25" x14ac:dyDescent="0.25">
      <c r="A725" t="s">
        <v>4753</v>
      </c>
      <c r="B725">
        <v>1330</v>
      </c>
      <c r="C725">
        <v>409</v>
      </c>
      <c r="D725" t="s">
        <v>23</v>
      </c>
      <c r="E725" t="s">
        <v>4093</v>
      </c>
      <c r="F725" t="s">
        <v>3559</v>
      </c>
      <c r="G725" t="s">
        <v>137</v>
      </c>
      <c r="H725">
        <v>0</v>
      </c>
      <c r="I725">
        <v>190</v>
      </c>
      <c r="J725">
        <v>657</v>
      </c>
      <c r="K725" t="str">
        <f t="shared" si="11"/>
        <v>harv105347</v>
      </c>
      <c r="L725" t="s">
        <v>3859</v>
      </c>
      <c r="M725" t="s">
        <v>133</v>
      </c>
      <c r="N725" t="s">
        <v>2359</v>
      </c>
      <c r="O725" t="s">
        <v>3886</v>
      </c>
      <c r="Q725" t="s">
        <v>3669</v>
      </c>
      <c r="R725" t="s">
        <v>2815</v>
      </c>
      <c r="U725">
        <v>86</v>
      </c>
      <c r="V725">
        <v>0</v>
      </c>
      <c r="W725">
        <v>90</v>
      </c>
      <c r="X725">
        <v>10.5</v>
      </c>
      <c r="Y725">
        <v>34.700000000000003</v>
      </c>
    </row>
    <row r="726" spans="1:25" x14ac:dyDescent="0.25">
      <c r="A726" t="s">
        <v>4754</v>
      </c>
      <c r="B726">
        <v>1331</v>
      </c>
      <c r="C726">
        <v>410</v>
      </c>
      <c r="D726" t="s">
        <v>23</v>
      </c>
      <c r="E726" t="s">
        <v>4093</v>
      </c>
      <c r="F726" t="s">
        <v>3559</v>
      </c>
      <c r="G726" t="s">
        <v>4755</v>
      </c>
      <c r="H726">
        <v>0</v>
      </c>
      <c r="I726">
        <v>390</v>
      </c>
      <c r="J726">
        <v>444</v>
      </c>
      <c r="K726" t="str">
        <f t="shared" si="11"/>
        <v>harv207238</v>
      </c>
      <c r="M726" t="s">
        <v>133</v>
      </c>
      <c r="N726" t="s">
        <v>3512</v>
      </c>
      <c r="Q726" t="s">
        <v>11083</v>
      </c>
      <c r="U726">
        <v>87</v>
      </c>
      <c r="V726">
        <v>0</v>
      </c>
      <c r="W726">
        <v>90</v>
      </c>
      <c r="X726">
        <v>20.7</v>
      </c>
      <c r="Y726">
        <v>23.8</v>
      </c>
    </row>
    <row r="727" spans="1:25" x14ac:dyDescent="0.25">
      <c r="A727" t="s">
        <v>4756</v>
      </c>
      <c r="B727">
        <v>1332</v>
      </c>
      <c r="C727">
        <v>411</v>
      </c>
      <c r="D727" t="s">
        <v>23</v>
      </c>
      <c r="E727" t="s">
        <v>4093</v>
      </c>
      <c r="F727" t="s">
        <v>3559</v>
      </c>
      <c r="G727" t="s">
        <v>4757</v>
      </c>
      <c r="H727">
        <v>0</v>
      </c>
      <c r="I727">
        <v>390</v>
      </c>
      <c r="J727">
        <v>444</v>
      </c>
      <c r="K727" t="str">
        <f t="shared" si="11"/>
        <v>harv207238</v>
      </c>
      <c r="L727" t="s">
        <v>3859</v>
      </c>
      <c r="M727" t="s">
        <v>133</v>
      </c>
      <c r="N727" t="s">
        <v>3512</v>
      </c>
      <c r="O727" t="s">
        <v>3860</v>
      </c>
      <c r="P727" t="s">
        <v>4722</v>
      </c>
      <c r="Q727" t="s">
        <v>11083</v>
      </c>
      <c r="U727">
        <v>87</v>
      </c>
      <c r="V727">
        <v>0</v>
      </c>
      <c r="W727">
        <v>90</v>
      </c>
      <c r="X727">
        <v>20.7</v>
      </c>
      <c r="Y727">
        <v>23.8</v>
      </c>
    </row>
    <row r="728" spans="1:25" x14ac:dyDescent="0.25">
      <c r="A728" t="s">
        <v>4758</v>
      </c>
      <c r="B728">
        <v>1333</v>
      </c>
      <c r="C728">
        <v>412</v>
      </c>
      <c r="D728" t="s">
        <v>23</v>
      </c>
      <c r="E728" t="s">
        <v>4093</v>
      </c>
      <c r="F728" t="s">
        <v>3559</v>
      </c>
      <c r="G728" t="s">
        <v>4759</v>
      </c>
      <c r="H728">
        <v>0</v>
      </c>
      <c r="I728">
        <v>390</v>
      </c>
      <c r="J728">
        <v>444</v>
      </c>
      <c r="K728" t="str">
        <f t="shared" si="11"/>
        <v>harv207238</v>
      </c>
      <c r="M728" t="s">
        <v>133</v>
      </c>
      <c r="N728" t="s">
        <v>3512</v>
      </c>
      <c r="Q728" t="s">
        <v>11083</v>
      </c>
      <c r="U728">
        <v>88</v>
      </c>
      <c r="V728">
        <v>0</v>
      </c>
      <c r="W728">
        <v>90</v>
      </c>
      <c r="X728">
        <v>20.7</v>
      </c>
      <c r="Y728">
        <v>23.8</v>
      </c>
    </row>
    <row r="729" spans="1:25" x14ac:dyDescent="0.25">
      <c r="A729" t="s">
        <v>4760</v>
      </c>
      <c r="B729">
        <v>1334</v>
      </c>
      <c r="C729">
        <v>413</v>
      </c>
      <c r="D729" t="s">
        <v>23</v>
      </c>
      <c r="E729" t="s">
        <v>4093</v>
      </c>
      <c r="F729" t="s">
        <v>3559</v>
      </c>
      <c r="G729" t="s">
        <v>4761</v>
      </c>
      <c r="H729">
        <v>0</v>
      </c>
      <c r="I729">
        <v>264</v>
      </c>
      <c r="J729">
        <v>542</v>
      </c>
      <c r="K729" t="str">
        <f t="shared" si="11"/>
        <v>harv14129</v>
      </c>
      <c r="M729" t="s">
        <v>133</v>
      </c>
      <c r="N729" t="s">
        <v>2489</v>
      </c>
      <c r="Q729" t="s">
        <v>11083</v>
      </c>
      <c r="U729">
        <v>89</v>
      </c>
      <c r="V729">
        <v>0</v>
      </c>
      <c r="W729">
        <v>90</v>
      </c>
      <c r="X729">
        <v>14.1</v>
      </c>
      <c r="Y729">
        <v>29</v>
      </c>
    </row>
    <row r="730" spans="1:25" x14ac:dyDescent="0.25">
      <c r="A730" t="s">
        <v>4762</v>
      </c>
      <c r="B730">
        <v>1335</v>
      </c>
      <c r="C730">
        <v>414</v>
      </c>
      <c r="D730" t="s">
        <v>23</v>
      </c>
      <c r="E730" t="s">
        <v>4093</v>
      </c>
      <c r="F730" t="s">
        <v>3559</v>
      </c>
      <c r="G730" t="s">
        <v>4763</v>
      </c>
      <c r="H730">
        <v>0</v>
      </c>
      <c r="I730">
        <v>264</v>
      </c>
      <c r="J730">
        <v>542</v>
      </c>
      <c r="K730" t="str">
        <f t="shared" si="11"/>
        <v>harv14129</v>
      </c>
      <c r="M730" t="s">
        <v>133</v>
      </c>
      <c r="N730" t="s">
        <v>2489</v>
      </c>
      <c r="Q730" t="s">
        <v>11083</v>
      </c>
      <c r="U730">
        <v>90</v>
      </c>
      <c r="V730">
        <v>0</v>
      </c>
      <c r="W730">
        <v>90</v>
      </c>
      <c r="X730">
        <v>14.1</v>
      </c>
      <c r="Y730">
        <v>29</v>
      </c>
    </row>
    <row r="731" spans="1:25" x14ac:dyDescent="0.25">
      <c r="A731" t="s">
        <v>4764</v>
      </c>
      <c r="B731">
        <v>1336</v>
      </c>
      <c r="C731">
        <v>415</v>
      </c>
      <c r="D731" t="s">
        <v>23</v>
      </c>
      <c r="E731" t="s">
        <v>4093</v>
      </c>
      <c r="F731" t="s">
        <v>3559</v>
      </c>
      <c r="G731" t="s">
        <v>157</v>
      </c>
      <c r="H731">
        <v>0</v>
      </c>
      <c r="I731">
        <v>190</v>
      </c>
      <c r="J731">
        <v>657</v>
      </c>
      <c r="K731" t="str">
        <f t="shared" si="11"/>
        <v>harv105347</v>
      </c>
      <c r="L731" t="s">
        <v>3859</v>
      </c>
      <c r="M731" t="s">
        <v>133</v>
      </c>
      <c r="N731" t="s">
        <v>2359</v>
      </c>
      <c r="O731" t="s">
        <v>3886</v>
      </c>
      <c r="Q731" t="s">
        <v>3669</v>
      </c>
      <c r="R731" t="s">
        <v>2815</v>
      </c>
      <c r="U731">
        <v>90</v>
      </c>
      <c r="V731">
        <v>2</v>
      </c>
      <c r="W731">
        <v>90</v>
      </c>
      <c r="X731">
        <v>10.5</v>
      </c>
      <c r="Y731">
        <v>34.700000000000003</v>
      </c>
    </row>
    <row r="732" spans="1:25" x14ac:dyDescent="0.25">
      <c r="A732" t="s">
        <v>4765</v>
      </c>
      <c r="B732">
        <v>1337</v>
      </c>
      <c r="C732">
        <v>416</v>
      </c>
      <c r="D732" t="s">
        <v>23</v>
      </c>
      <c r="E732" t="s">
        <v>4093</v>
      </c>
      <c r="F732" t="s">
        <v>3559</v>
      </c>
      <c r="G732" t="s">
        <v>4766</v>
      </c>
      <c r="H732">
        <v>0</v>
      </c>
      <c r="I732">
        <v>359</v>
      </c>
      <c r="J732">
        <v>210</v>
      </c>
      <c r="K732" t="str">
        <f t="shared" si="11"/>
        <v>harv191117</v>
      </c>
      <c r="M732" t="s">
        <v>215</v>
      </c>
      <c r="N732" t="s">
        <v>2650</v>
      </c>
      <c r="Q732" t="s">
        <v>11083</v>
      </c>
      <c r="U732">
        <v>91</v>
      </c>
      <c r="V732">
        <v>0</v>
      </c>
      <c r="W732">
        <v>95</v>
      </c>
      <c r="X732">
        <v>19.100000000000001</v>
      </c>
      <c r="Y732">
        <v>11.7</v>
      </c>
    </row>
    <row r="733" spans="1:25" x14ac:dyDescent="0.25">
      <c r="A733" t="s">
        <v>4767</v>
      </c>
      <c r="B733">
        <v>1338</v>
      </c>
      <c r="C733">
        <v>417</v>
      </c>
      <c r="D733" t="s">
        <v>23</v>
      </c>
      <c r="E733" t="s">
        <v>4093</v>
      </c>
      <c r="F733" t="s">
        <v>3559</v>
      </c>
      <c r="G733" t="s">
        <v>4768</v>
      </c>
      <c r="H733">
        <v>0</v>
      </c>
      <c r="I733">
        <v>351</v>
      </c>
      <c r="J733">
        <v>262</v>
      </c>
      <c r="K733" t="str">
        <f t="shared" si="11"/>
        <v>harv188143</v>
      </c>
      <c r="M733" t="s">
        <v>215</v>
      </c>
      <c r="N733" t="s">
        <v>2555</v>
      </c>
      <c r="Q733" t="s">
        <v>11083</v>
      </c>
      <c r="U733">
        <v>91</v>
      </c>
      <c r="V733">
        <v>0</v>
      </c>
      <c r="W733">
        <v>95</v>
      </c>
      <c r="X733">
        <v>18.8</v>
      </c>
      <c r="Y733">
        <v>14.3</v>
      </c>
    </row>
    <row r="734" spans="1:25" x14ac:dyDescent="0.25">
      <c r="A734" t="s">
        <v>4769</v>
      </c>
      <c r="B734">
        <v>1339</v>
      </c>
      <c r="C734">
        <v>418</v>
      </c>
      <c r="D734" t="s">
        <v>23</v>
      </c>
      <c r="E734" t="s">
        <v>4093</v>
      </c>
      <c r="F734" t="s">
        <v>3559</v>
      </c>
      <c r="G734" t="s">
        <v>4770</v>
      </c>
      <c r="H734">
        <v>0</v>
      </c>
      <c r="I734">
        <v>351</v>
      </c>
      <c r="J734">
        <v>262</v>
      </c>
      <c r="K734" t="str">
        <f t="shared" si="11"/>
        <v>harv188143</v>
      </c>
      <c r="M734" t="s">
        <v>215</v>
      </c>
      <c r="N734" t="s">
        <v>2555</v>
      </c>
      <c r="Q734" t="s">
        <v>11083</v>
      </c>
      <c r="U734">
        <v>91</v>
      </c>
      <c r="V734">
        <v>0</v>
      </c>
      <c r="W734">
        <v>95</v>
      </c>
      <c r="X734">
        <v>18.8</v>
      </c>
      <c r="Y734">
        <v>14.3</v>
      </c>
    </row>
    <row r="735" spans="1:25" x14ac:dyDescent="0.25">
      <c r="A735" t="s">
        <v>4771</v>
      </c>
      <c r="B735">
        <v>1340</v>
      </c>
      <c r="C735">
        <v>419</v>
      </c>
      <c r="D735" t="s">
        <v>23</v>
      </c>
      <c r="E735" t="s">
        <v>4093</v>
      </c>
      <c r="F735" t="s">
        <v>3559</v>
      </c>
      <c r="G735" t="s">
        <v>4772</v>
      </c>
      <c r="H735">
        <v>0</v>
      </c>
      <c r="I735">
        <v>535</v>
      </c>
      <c r="J735">
        <v>212</v>
      </c>
      <c r="K735" t="str">
        <f t="shared" si="11"/>
        <v>harv28119</v>
      </c>
      <c r="M735" t="s">
        <v>215</v>
      </c>
      <c r="N735" t="s">
        <v>2546</v>
      </c>
      <c r="Q735" t="s">
        <v>11083</v>
      </c>
      <c r="U735">
        <v>92</v>
      </c>
      <c r="V735">
        <v>0</v>
      </c>
      <c r="W735">
        <v>95</v>
      </c>
      <c r="X735">
        <v>28</v>
      </c>
      <c r="Y735">
        <v>11.9</v>
      </c>
    </row>
    <row r="736" spans="1:25" x14ac:dyDescent="0.25">
      <c r="A736" t="s">
        <v>4773</v>
      </c>
      <c r="B736">
        <v>1341</v>
      </c>
      <c r="C736">
        <v>420</v>
      </c>
      <c r="D736" t="s">
        <v>23</v>
      </c>
      <c r="E736" t="s">
        <v>4093</v>
      </c>
      <c r="F736" t="s">
        <v>3559</v>
      </c>
      <c r="G736" t="s">
        <v>4774</v>
      </c>
      <c r="H736">
        <v>0</v>
      </c>
      <c r="I736">
        <v>593</v>
      </c>
      <c r="J736">
        <v>458</v>
      </c>
      <c r="K736" t="str">
        <f t="shared" si="11"/>
        <v>harv311246</v>
      </c>
      <c r="M736" t="s">
        <v>215</v>
      </c>
      <c r="N736" t="s">
        <v>4274</v>
      </c>
      <c r="Q736" t="s">
        <v>11083</v>
      </c>
      <c r="U736">
        <v>94</v>
      </c>
      <c r="V736">
        <v>0</v>
      </c>
      <c r="W736">
        <v>95</v>
      </c>
      <c r="X736">
        <v>31.1</v>
      </c>
      <c r="Y736">
        <v>24.6</v>
      </c>
    </row>
    <row r="737" spans="1:25" x14ac:dyDescent="0.25">
      <c r="A737" t="s">
        <v>4775</v>
      </c>
      <c r="B737">
        <v>1342</v>
      </c>
      <c r="C737">
        <v>421</v>
      </c>
      <c r="D737" t="s">
        <v>23</v>
      </c>
      <c r="E737" t="s">
        <v>4093</v>
      </c>
      <c r="F737" t="s">
        <v>3559</v>
      </c>
      <c r="G737" t="s">
        <v>4776</v>
      </c>
      <c r="H737">
        <v>0</v>
      </c>
      <c r="I737">
        <v>651</v>
      </c>
      <c r="J737">
        <v>423</v>
      </c>
      <c r="K737" t="str">
        <f t="shared" si="11"/>
        <v>harv343227</v>
      </c>
      <c r="M737" t="s">
        <v>215</v>
      </c>
      <c r="N737" t="s">
        <v>2666</v>
      </c>
      <c r="Q737" t="s">
        <v>11083</v>
      </c>
      <c r="U737">
        <v>94</v>
      </c>
      <c r="V737">
        <v>0</v>
      </c>
      <c r="W737">
        <v>95</v>
      </c>
      <c r="X737">
        <v>34.299999999999997</v>
      </c>
      <c r="Y737">
        <v>22.7</v>
      </c>
    </row>
    <row r="738" spans="1:25" x14ac:dyDescent="0.25">
      <c r="A738" t="s">
        <v>4777</v>
      </c>
      <c r="B738">
        <v>1343</v>
      </c>
      <c r="C738">
        <v>422</v>
      </c>
      <c r="D738" t="s">
        <v>23</v>
      </c>
      <c r="E738" t="s">
        <v>4093</v>
      </c>
      <c r="F738" t="s">
        <v>3559</v>
      </c>
      <c r="G738" t="s">
        <v>4778</v>
      </c>
      <c r="H738">
        <v>0</v>
      </c>
      <c r="I738">
        <v>131</v>
      </c>
      <c r="J738">
        <v>446</v>
      </c>
      <c r="K738" t="str">
        <f t="shared" si="11"/>
        <v>harv7524</v>
      </c>
      <c r="M738" t="s">
        <v>215</v>
      </c>
      <c r="N738" t="s">
        <v>2576</v>
      </c>
      <c r="Q738" t="s">
        <v>11083</v>
      </c>
      <c r="U738">
        <v>94</v>
      </c>
      <c r="V738">
        <v>0</v>
      </c>
      <c r="W738">
        <v>95</v>
      </c>
      <c r="X738">
        <v>7.5</v>
      </c>
      <c r="Y738">
        <v>24</v>
      </c>
    </row>
    <row r="739" spans="1:25" x14ac:dyDescent="0.25">
      <c r="A739" t="s">
        <v>4779</v>
      </c>
      <c r="B739">
        <v>1344</v>
      </c>
      <c r="C739">
        <v>423</v>
      </c>
      <c r="D739" t="s">
        <v>23</v>
      </c>
      <c r="E739" t="s">
        <v>4093</v>
      </c>
      <c r="F739" t="s">
        <v>3559</v>
      </c>
      <c r="G739" t="s">
        <v>4780</v>
      </c>
      <c r="H739">
        <v>0</v>
      </c>
      <c r="I739">
        <v>95</v>
      </c>
      <c r="J739">
        <v>527</v>
      </c>
      <c r="K739" t="str">
        <f t="shared" si="11"/>
        <v>harv5628</v>
      </c>
      <c r="M739" t="s">
        <v>215</v>
      </c>
      <c r="N739" t="s">
        <v>2639</v>
      </c>
      <c r="Q739" t="s">
        <v>11083</v>
      </c>
      <c r="U739">
        <v>94</v>
      </c>
      <c r="V739">
        <v>0</v>
      </c>
      <c r="W739">
        <v>95</v>
      </c>
      <c r="X739">
        <v>5.6</v>
      </c>
      <c r="Y739">
        <v>28</v>
      </c>
    </row>
    <row r="740" spans="1:25" x14ac:dyDescent="0.25">
      <c r="A740" t="s">
        <v>4781</v>
      </c>
      <c r="B740">
        <v>1345</v>
      </c>
      <c r="C740">
        <v>424</v>
      </c>
      <c r="D740" t="s">
        <v>23</v>
      </c>
      <c r="E740" t="s">
        <v>4093</v>
      </c>
      <c r="F740" t="s">
        <v>3559</v>
      </c>
      <c r="G740" t="s">
        <v>4782</v>
      </c>
      <c r="H740">
        <v>0</v>
      </c>
      <c r="I740">
        <v>525</v>
      </c>
      <c r="J740">
        <v>278</v>
      </c>
      <c r="K740" t="str">
        <f t="shared" si="11"/>
        <v>harv277154</v>
      </c>
      <c r="M740" t="s">
        <v>215</v>
      </c>
      <c r="N740" t="s">
        <v>2666</v>
      </c>
      <c r="Q740" t="s">
        <v>11083</v>
      </c>
      <c r="U740">
        <v>96</v>
      </c>
      <c r="V740">
        <v>0</v>
      </c>
      <c r="W740">
        <v>100</v>
      </c>
      <c r="X740">
        <v>27.7</v>
      </c>
      <c r="Y740">
        <v>15.4</v>
      </c>
    </row>
    <row r="741" spans="1:25" x14ac:dyDescent="0.25">
      <c r="A741" t="s">
        <v>4783</v>
      </c>
      <c r="B741">
        <v>1346</v>
      </c>
      <c r="C741">
        <v>425</v>
      </c>
      <c r="D741" t="s">
        <v>23</v>
      </c>
      <c r="E741" t="s">
        <v>4093</v>
      </c>
      <c r="F741" t="s">
        <v>3559</v>
      </c>
      <c r="G741" t="s">
        <v>4784</v>
      </c>
      <c r="H741">
        <v>0</v>
      </c>
      <c r="I741">
        <v>525</v>
      </c>
      <c r="J741">
        <v>278</v>
      </c>
      <c r="K741" t="str">
        <f t="shared" si="11"/>
        <v>harv277154</v>
      </c>
      <c r="M741" t="s">
        <v>215</v>
      </c>
      <c r="N741" t="s">
        <v>2666</v>
      </c>
      <c r="Q741" t="s">
        <v>11083</v>
      </c>
      <c r="U741">
        <v>96</v>
      </c>
      <c r="V741">
        <v>0</v>
      </c>
      <c r="W741">
        <v>100</v>
      </c>
      <c r="X741">
        <v>27.7</v>
      </c>
      <c r="Y741">
        <v>15.4</v>
      </c>
    </row>
    <row r="742" spans="1:25" x14ac:dyDescent="0.25">
      <c r="A742" t="s">
        <v>4785</v>
      </c>
      <c r="B742">
        <v>1347</v>
      </c>
      <c r="C742">
        <v>426</v>
      </c>
      <c r="D742" t="s">
        <v>23</v>
      </c>
      <c r="E742" t="s">
        <v>4093</v>
      </c>
      <c r="F742" t="s">
        <v>3559</v>
      </c>
      <c r="G742" t="s">
        <v>219</v>
      </c>
      <c r="H742">
        <v>0</v>
      </c>
      <c r="I742">
        <v>299</v>
      </c>
      <c r="J742">
        <v>184</v>
      </c>
      <c r="K742" t="str">
        <f t="shared" si="11"/>
        <v>harv161105</v>
      </c>
      <c r="L742" t="s">
        <v>3859</v>
      </c>
      <c r="M742" t="s">
        <v>215</v>
      </c>
      <c r="N742" t="s">
        <v>3684</v>
      </c>
      <c r="O742" t="s">
        <v>3886</v>
      </c>
      <c r="Q742" t="s">
        <v>3669</v>
      </c>
      <c r="R742" t="s">
        <v>2810</v>
      </c>
      <c r="U742">
        <v>96</v>
      </c>
      <c r="V742">
        <v>0</v>
      </c>
      <c r="W742">
        <v>100</v>
      </c>
      <c r="X742">
        <v>16.100000000000001</v>
      </c>
      <c r="Y742">
        <v>10.5</v>
      </c>
    </row>
    <row r="743" spans="1:25" x14ac:dyDescent="0.25">
      <c r="A743" t="s">
        <v>4786</v>
      </c>
      <c r="B743">
        <v>1348</v>
      </c>
      <c r="C743">
        <v>427</v>
      </c>
      <c r="D743" t="s">
        <v>23</v>
      </c>
      <c r="E743" t="s">
        <v>4093</v>
      </c>
      <c r="F743" t="s">
        <v>3559</v>
      </c>
      <c r="G743" t="s">
        <v>4787</v>
      </c>
      <c r="H743">
        <v>0</v>
      </c>
      <c r="I743">
        <v>431</v>
      </c>
      <c r="J743">
        <v>636</v>
      </c>
      <c r="K743" t="str">
        <f t="shared" si="11"/>
        <v>harv23337</v>
      </c>
      <c r="M743" t="s">
        <v>215</v>
      </c>
      <c r="N743" t="s">
        <v>4274</v>
      </c>
      <c r="Q743" t="s">
        <v>11083</v>
      </c>
      <c r="U743">
        <v>98</v>
      </c>
      <c r="V743">
        <v>0</v>
      </c>
      <c r="W743">
        <v>100</v>
      </c>
      <c r="X743">
        <v>23</v>
      </c>
      <c r="Y743">
        <v>33.700000000000003</v>
      </c>
    </row>
    <row r="744" spans="1:25" x14ac:dyDescent="0.25">
      <c r="A744" t="s">
        <v>4788</v>
      </c>
      <c r="B744">
        <v>1349</v>
      </c>
      <c r="C744">
        <v>428</v>
      </c>
      <c r="D744" t="s">
        <v>23</v>
      </c>
      <c r="E744" t="s">
        <v>4093</v>
      </c>
      <c r="F744" t="s">
        <v>3559</v>
      </c>
      <c r="G744" t="s">
        <v>4789</v>
      </c>
      <c r="H744">
        <v>0</v>
      </c>
      <c r="I744">
        <v>208</v>
      </c>
      <c r="J744">
        <v>321</v>
      </c>
      <c r="K744" t="str">
        <f t="shared" si="11"/>
        <v>harv113174</v>
      </c>
      <c r="M744" t="s">
        <v>215</v>
      </c>
      <c r="N744" t="s">
        <v>2717</v>
      </c>
      <c r="Q744" t="s">
        <v>11083</v>
      </c>
      <c r="U744">
        <v>98</v>
      </c>
      <c r="V744">
        <v>0</v>
      </c>
      <c r="W744">
        <v>100</v>
      </c>
      <c r="X744">
        <v>11.3</v>
      </c>
      <c r="Y744">
        <v>17.399999999999999</v>
      </c>
    </row>
    <row r="745" spans="1:25" x14ac:dyDescent="0.25">
      <c r="A745" t="s">
        <v>4790</v>
      </c>
      <c r="B745">
        <v>1350</v>
      </c>
      <c r="C745">
        <v>429</v>
      </c>
      <c r="D745" t="s">
        <v>23</v>
      </c>
      <c r="E745" t="s">
        <v>4093</v>
      </c>
      <c r="F745" t="s">
        <v>3559</v>
      </c>
      <c r="G745" t="s">
        <v>4791</v>
      </c>
      <c r="H745">
        <v>0</v>
      </c>
      <c r="I745">
        <v>208</v>
      </c>
      <c r="J745">
        <v>321</v>
      </c>
      <c r="K745" t="str">
        <f t="shared" si="11"/>
        <v>harv113174</v>
      </c>
      <c r="M745" t="s">
        <v>215</v>
      </c>
      <c r="N745" t="s">
        <v>2717</v>
      </c>
      <c r="Q745" t="s">
        <v>11083</v>
      </c>
      <c r="U745">
        <v>98</v>
      </c>
      <c r="V745">
        <v>0</v>
      </c>
      <c r="W745">
        <v>100</v>
      </c>
      <c r="X745">
        <v>11.3</v>
      </c>
      <c r="Y745">
        <v>17.399999999999999</v>
      </c>
    </row>
    <row r="746" spans="1:25" x14ac:dyDescent="0.25">
      <c r="A746" t="s">
        <v>4792</v>
      </c>
      <c r="B746">
        <v>1351</v>
      </c>
      <c r="C746">
        <v>430</v>
      </c>
      <c r="D746" t="s">
        <v>23</v>
      </c>
      <c r="E746" t="s">
        <v>4093</v>
      </c>
      <c r="F746" t="s">
        <v>3559</v>
      </c>
      <c r="G746" t="s">
        <v>4793</v>
      </c>
      <c r="H746">
        <v>0</v>
      </c>
      <c r="I746">
        <v>315</v>
      </c>
      <c r="J746">
        <v>329</v>
      </c>
      <c r="K746" t="str">
        <f t="shared" si="11"/>
        <v>harv169179</v>
      </c>
      <c r="M746" t="s">
        <v>215</v>
      </c>
      <c r="N746" t="s">
        <v>2793</v>
      </c>
      <c r="Q746" t="s">
        <v>11083</v>
      </c>
      <c r="U746">
        <v>98</v>
      </c>
      <c r="V746">
        <v>0</v>
      </c>
      <c r="W746">
        <v>100</v>
      </c>
      <c r="X746">
        <v>16.899999999999999</v>
      </c>
      <c r="Y746">
        <v>17.899999999999999</v>
      </c>
    </row>
    <row r="747" spans="1:25" x14ac:dyDescent="0.25">
      <c r="A747" t="s">
        <v>4794</v>
      </c>
      <c r="B747">
        <v>1352</v>
      </c>
      <c r="C747">
        <v>431</v>
      </c>
      <c r="D747" t="s">
        <v>23</v>
      </c>
      <c r="E747" t="s">
        <v>4093</v>
      </c>
      <c r="F747" t="s">
        <v>3559</v>
      </c>
      <c r="G747" t="s">
        <v>4795</v>
      </c>
      <c r="H747">
        <v>0</v>
      </c>
      <c r="I747">
        <v>315</v>
      </c>
      <c r="J747">
        <v>329</v>
      </c>
      <c r="K747" t="str">
        <f t="shared" si="11"/>
        <v>harv169179</v>
      </c>
      <c r="M747" t="s">
        <v>215</v>
      </c>
      <c r="N747" t="s">
        <v>2793</v>
      </c>
      <c r="Q747" t="s">
        <v>11083</v>
      </c>
      <c r="U747">
        <v>99</v>
      </c>
      <c r="V747">
        <v>0</v>
      </c>
      <c r="W747">
        <v>100</v>
      </c>
      <c r="X747">
        <v>16.899999999999999</v>
      </c>
      <c r="Y747">
        <v>17.899999999999999</v>
      </c>
    </row>
    <row r="748" spans="1:25" x14ac:dyDescent="0.25">
      <c r="A748" t="s">
        <v>4796</v>
      </c>
      <c r="B748">
        <v>1353</v>
      </c>
      <c r="C748">
        <v>432</v>
      </c>
      <c r="D748" t="s">
        <v>23</v>
      </c>
      <c r="E748" t="s">
        <v>4093</v>
      </c>
      <c r="F748" t="s">
        <v>3559</v>
      </c>
      <c r="G748" t="s">
        <v>4797</v>
      </c>
      <c r="H748">
        <v>0</v>
      </c>
      <c r="I748">
        <v>544</v>
      </c>
      <c r="J748">
        <v>81</v>
      </c>
      <c r="K748" t="str">
        <f t="shared" si="11"/>
        <v>harv29151</v>
      </c>
      <c r="M748" t="s">
        <v>215</v>
      </c>
      <c r="N748" t="s">
        <v>2667</v>
      </c>
      <c r="Q748" t="s">
        <v>11083</v>
      </c>
      <c r="U748">
        <v>99</v>
      </c>
      <c r="V748">
        <v>0</v>
      </c>
      <c r="W748">
        <v>100</v>
      </c>
      <c r="X748">
        <v>29.1</v>
      </c>
      <c r="Y748">
        <v>5.0999999999999996</v>
      </c>
    </row>
    <row r="749" spans="1:25" x14ac:dyDescent="0.25">
      <c r="A749" t="s">
        <v>4798</v>
      </c>
      <c r="B749">
        <v>1354</v>
      </c>
      <c r="C749">
        <v>433</v>
      </c>
      <c r="D749" t="s">
        <v>23</v>
      </c>
      <c r="E749" t="s">
        <v>4093</v>
      </c>
      <c r="F749" t="s">
        <v>3559</v>
      </c>
      <c r="G749" t="s">
        <v>4799</v>
      </c>
      <c r="H749">
        <v>0</v>
      </c>
      <c r="I749">
        <v>315</v>
      </c>
      <c r="J749">
        <v>329</v>
      </c>
      <c r="K749" t="str">
        <f t="shared" si="11"/>
        <v>harv169179</v>
      </c>
      <c r="M749" t="s">
        <v>215</v>
      </c>
      <c r="N749" t="s">
        <v>2793</v>
      </c>
      <c r="Q749" t="s">
        <v>11083</v>
      </c>
      <c r="U749">
        <v>100</v>
      </c>
      <c r="V749">
        <v>0</v>
      </c>
      <c r="W749">
        <v>100</v>
      </c>
      <c r="X749">
        <v>16.899999999999999</v>
      </c>
      <c r="Y749">
        <v>17.899999999999999</v>
      </c>
    </row>
    <row r="750" spans="1:25" x14ac:dyDescent="0.25">
      <c r="A750" t="s">
        <v>4800</v>
      </c>
      <c r="B750">
        <v>1355</v>
      </c>
      <c r="C750">
        <v>434</v>
      </c>
      <c r="D750" t="s">
        <v>23</v>
      </c>
      <c r="E750" t="s">
        <v>4093</v>
      </c>
      <c r="F750" t="s">
        <v>3559</v>
      </c>
      <c r="G750" t="s">
        <v>230</v>
      </c>
      <c r="H750">
        <v>0</v>
      </c>
      <c r="I750">
        <v>511</v>
      </c>
      <c r="J750">
        <v>125</v>
      </c>
      <c r="K750" t="str">
        <f t="shared" si="11"/>
        <v>harv26873</v>
      </c>
      <c r="L750" t="s">
        <v>3859</v>
      </c>
      <c r="M750" t="s">
        <v>215</v>
      </c>
      <c r="N750" t="s">
        <v>2788</v>
      </c>
      <c r="O750" t="s">
        <v>3886</v>
      </c>
      <c r="Q750" t="s">
        <v>3669</v>
      </c>
      <c r="R750" t="s">
        <v>2821</v>
      </c>
      <c r="U750">
        <v>100</v>
      </c>
      <c r="V750">
        <v>0</v>
      </c>
      <c r="W750">
        <v>100</v>
      </c>
      <c r="X750">
        <v>26.8</v>
      </c>
      <c r="Y750">
        <v>7.3</v>
      </c>
    </row>
    <row r="751" spans="1:25" x14ac:dyDescent="0.25">
      <c r="A751" t="s">
        <v>4801</v>
      </c>
      <c r="B751">
        <v>1356</v>
      </c>
      <c r="C751">
        <v>435</v>
      </c>
      <c r="D751" t="s">
        <v>23</v>
      </c>
      <c r="E751" t="s">
        <v>4093</v>
      </c>
      <c r="F751" t="s">
        <v>3978</v>
      </c>
      <c r="G751" t="s">
        <v>4802</v>
      </c>
      <c r="H751">
        <v>0</v>
      </c>
      <c r="I751">
        <v>475</v>
      </c>
      <c r="J751">
        <v>226</v>
      </c>
      <c r="K751" t="str">
        <f t="shared" si="11"/>
        <v>harv263131</v>
      </c>
      <c r="L751" t="s">
        <v>3859</v>
      </c>
      <c r="M751" t="s">
        <v>11</v>
      </c>
      <c r="N751" t="s">
        <v>1557</v>
      </c>
      <c r="O751" t="s">
        <v>3976</v>
      </c>
      <c r="P751" t="s">
        <v>3977</v>
      </c>
      <c r="Q751" t="s">
        <v>11083</v>
      </c>
      <c r="U751">
        <v>51</v>
      </c>
      <c r="V751">
        <v>0</v>
      </c>
      <c r="W751">
        <v>55</v>
      </c>
      <c r="X751">
        <v>26.3</v>
      </c>
      <c r="Y751">
        <v>13.1</v>
      </c>
    </row>
    <row r="752" spans="1:25" x14ac:dyDescent="0.25">
      <c r="A752" t="s">
        <v>4803</v>
      </c>
      <c r="B752">
        <v>1357</v>
      </c>
      <c r="C752">
        <v>436</v>
      </c>
      <c r="D752" t="s">
        <v>23</v>
      </c>
      <c r="E752" t="s">
        <v>4093</v>
      </c>
      <c r="F752" t="s">
        <v>3978</v>
      </c>
      <c r="G752" t="s">
        <v>4804</v>
      </c>
      <c r="H752">
        <v>0</v>
      </c>
      <c r="I752">
        <v>493</v>
      </c>
      <c r="J752">
        <v>230</v>
      </c>
      <c r="K752" t="str">
        <f t="shared" si="11"/>
        <v>harv261125</v>
      </c>
      <c r="L752" t="s">
        <v>3859</v>
      </c>
      <c r="M752" t="s">
        <v>73</v>
      </c>
      <c r="N752" t="s">
        <v>1760</v>
      </c>
      <c r="O752" t="s">
        <v>3976</v>
      </c>
      <c r="P752" t="s">
        <v>3977</v>
      </c>
      <c r="Q752" t="s">
        <v>11083</v>
      </c>
      <c r="U752">
        <v>61</v>
      </c>
      <c r="V752">
        <v>0</v>
      </c>
      <c r="W752">
        <v>65</v>
      </c>
      <c r="X752">
        <v>26.1</v>
      </c>
      <c r="Y752">
        <v>12.5</v>
      </c>
    </row>
    <row r="753" spans="1:25" x14ac:dyDescent="0.25">
      <c r="A753" t="s">
        <v>4805</v>
      </c>
      <c r="B753">
        <v>1358</v>
      </c>
      <c r="C753">
        <v>437</v>
      </c>
      <c r="D753" t="s">
        <v>23</v>
      </c>
      <c r="E753" t="s">
        <v>4093</v>
      </c>
      <c r="F753" t="s">
        <v>3978</v>
      </c>
      <c r="G753" t="s">
        <v>4806</v>
      </c>
      <c r="H753">
        <v>0</v>
      </c>
      <c r="I753">
        <v>417</v>
      </c>
      <c r="J753">
        <v>230</v>
      </c>
      <c r="K753" t="str">
        <f t="shared" si="11"/>
        <v>harv221128</v>
      </c>
      <c r="L753" t="s">
        <v>3859</v>
      </c>
      <c r="M753" t="s">
        <v>102</v>
      </c>
      <c r="N753" t="s">
        <v>2024</v>
      </c>
      <c r="O753" t="s">
        <v>3976</v>
      </c>
      <c r="P753" t="s">
        <v>3977</v>
      </c>
      <c r="Q753" t="s">
        <v>11083</v>
      </c>
      <c r="U753">
        <v>71</v>
      </c>
      <c r="V753">
        <v>0</v>
      </c>
      <c r="W753">
        <v>75</v>
      </c>
      <c r="X753">
        <v>22.1</v>
      </c>
      <c r="Y753">
        <v>12.8</v>
      </c>
    </row>
    <row r="754" spans="1:25" x14ac:dyDescent="0.25">
      <c r="A754" t="s">
        <v>4807</v>
      </c>
      <c r="B754">
        <v>1359</v>
      </c>
      <c r="C754">
        <v>438</v>
      </c>
      <c r="D754" t="s">
        <v>23</v>
      </c>
      <c r="E754" t="s">
        <v>4093</v>
      </c>
      <c r="F754" t="s">
        <v>3978</v>
      </c>
      <c r="G754" t="s">
        <v>4808</v>
      </c>
      <c r="H754">
        <v>0</v>
      </c>
      <c r="I754">
        <v>538</v>
      </c>
      <c r="J754">
        <v>546</v>
      </c>
      <c r="K754" t="str">
        <f t="shared" si="11"/>
        <v>harv284289</v>
      </c>
      <c r="L754" t="s">
        <v>3859</v>
      </c>
      <c r="M754" t="s">
        <v>102</v>
      </c>
      <c r="N754" t="s">
        <v>2179</v>
      </c>
      <c r="O754" t="s">
        <v>3976</v>
      </c>
      <c r="P754" t="s">
        <v>3977</v>
      </c>
      <c r="Q754" t="s">
        <v>11083</v>
      </c>
      <c r="U754">
        <v>80</v>
      </c>
      <c r="V754">
        <v>0</v>
      </c>
      <c r="W754">
        <v>80</v>
      </c>
      <c r="X754">
        <v>28.4</v>
      </c>
      <c r="Y754">
        <v>28.9</v>
      </c>
    </row>
    <row r="755" spans="1:25" x14ac:dyDescent="0.25">
      <c r="A755" t="s">
        <v>4809</v>
      </c>
      <c r="B755">
        <v>1360</v>
      </c>
      <c r="C755">
        <v>439</v>
      </c>
      <c r="D755" t="s">
        <v>23</v>
      </c>
      <c r="E755" t="s">
        <v>4093</v>
      </c>
      <c r="F755" t="s">
        <v>3978</v>
      </c>
      <c r="G755" t="s">
        <v>4810</v>
      </c>
      <c r="H755">
        <v>0</v>
      </c>
      <c r="I755">
        <v>448</v>
      </c>
      <c r="J755">
        <v>573</v>
      </c>
      <c r="K755" t="str">
        <f t="shared" si="11"/>
        <v>harv239305</v>
      </c>
      <c r="L755" t="s">
        <v>3859</v>
      </c>
      <c r="M755" t="s">
        <v>133</v>
      </c>
      <c r="N755" t="s">
        <v>2403</v>
      </c>
      <c r="O755" t="s">
        <v>3976</v>
      </c>
      <c r="P755" t="s">
        <v>3977</v>
      </c>
      <c r="Q755" t="s">
        <v>11083</v>
      </c>
      <c r="U755">
        <v>81</v>
      </c>
      <c r="V755">
        <v>0</v>
      </c>
      <c r="W755">
        <v>85</v>
      </c>
      <c r="X755">
        <v>23.9</v>
      </c>
      <c r="Y755">
        <v>30.5</v>
      </c>
    </row>
    <row r="756" spans="1:25" x14ac:dyDescent="0.25">
      <c r="A756" t="s">
        <v>4811</v>
      </c>
      <c r="B756">
        <v>1361</v>
      </c>
      <c r="C756">
        <v>440</v>
      </c>
      <c r="D756" t="s">
        <v>23</v>
      </c>
      <c r="E756" t="s">
        <v>4093</v>
      </c>
      <c r="F756" t="s">
        <v>3978</v>
      </c>
      <c r="G756" t="s">
        <v>4812</v>
      </c>
      <c r="H756">
        <v>0</v>
      </c>
      <c r="I756">
        <v>183</v>
      </c>
      <c r="J756">
        <v>417</v>
      </c>
      <c r="K756" t="str">
        <f t="shared" si="11"/>
        <v>harv99223</v>
      </c>
      <c r="L756" t="s">
        <v>3859</v>
      </c>
      <c r="M756" t="s">
        <v>133</v>
      </c>
      <c r="N756" t="s">
        <v>2357</v>
      </c>
      <c r="O756" t="s">
        <v>3976</v>
      </c>
      <c r="P756" t="s">
        <v>3977</v>
      </c>
      <c r="Q756" t="s">
        <v>3749</v>
      </c>
      <c r="R756" t="s">
        <v>2832</v>
      </c>
      <c r="U756">
        <v>89</v>
      </c>
      <c r="V756">
        <v>0</v>
      </c>
      <c r="W756">
        <v>90</v>
      </c>
      <c r="X756">
        <v>9.9</v>
      </c>
      <c r="Y756">
        <v>22.3</v>
      </c>
    </row>
    <row r="757" spans="1:25" x14ac:dyDescent="0.25">
      <c r="A757" t="s">
        <v>4813</v>
      </c>
      <c r="B757">
        <v>1362</v>
      </c>
      <c r="C757">
        <v>441</v>
      </c>
      <c r="D757" t="s">
        <v>23</v>
      </c>
      <c r="E757" t="s">
        <v>4093</v>
      </c>
      <c r="F757" t="s">
        <v>3978</v>
      </c>
      <c r="G757" t="s">
        <v>4814</v>
      </c>
      <c r="H757">
        <v>0</v>
      </c>
      <c r="I757">
        <v>183</v>
      </c>
      <c r="J757">
        <v>417</v>
      </c>
      <c r="K757" t="str">
        <f t="shared" si="11"/>
        <v>harv99223</v>
      </c>
      <c r="L757" t="s">
        <v>3859</v>
      </c>
      <c r="M757" t="s">
        <v>133</v>
      </c>
      <c r="N757" t="s">
        <v>2357</v>
      </c>
      <c r="O757" t="s">
        <v>3976</v>
      </c>
      <c r="P757" t="s">
        <v>3977</v>
      </c>
      <c r="Q757" t="s">
        <v>3749</v>
      </c>
      <c r="R757" t="s">
        <v>2832</v>
      </c>
      <c r="U757">
        <v>90</v>
      </c>
      <c r="V757">
        <v>1</v>
      </c>
      <c r="W757">
        <v>90</v>
      </c>
      <c r="X757">
        <v>9.9</v>
      </c>
      <c r="Y757">
        <v>22.3</v>
      </c>
    </row>
    <row r="758" spans="1:25" x14ac:dyDescent="0.25">
      <c r="A758" t="s">
        <v>4815</v>
      </c>
      <c r="B758">
        <v>1363</v>
      </c>
      <c r="C758">
        <v>442</v>
      </c>
      <c r="D758" t="s">
        <v>23</v>
      </c>
      <c r="E758" t="s">
        <v>4093</v>
      </c>
      <c r="F758" t="s">
        <v>3978</v>
      </c>
      <c r="G758" t="s">
        <v>4816</v>
      </c>
      <c r="H758">
        <v>0</v>
      </c>
      <c r="I758">
        <v>167</v>
      </c>
      <c r="J758">
        <v>627</v>
      </c>
      <c r="K758" t="str">
        <f t="shared" si="11"/>
        <v>harv94332</v>
      </c>
      <c r="L758" t="s">
        <v>3859</v>
      </c>
      <c r="M758" t="s">
        <v>133</v>
      </c>
      <c r="N758" t="s">
        <v>2483</v>
      </c>
      <c r="O758" t="s">
        <v>3976</v>
      </c>
      <c r="P758" t="s">
        <v>3977</v>
      </c>
      <c r="Q758" t="s">
        <v>3749</v>
      </c>
      <c r="R758" t="s">
        <v>2833</v>
      </c>
      <c r="U758">
        <v>90</v>
      </c>
      <c r="V758">
        <v>1</v>
      </c>
      <c r="W758">
        <v>90</v>
      </c>
      <c r="X758">
        <v>9.4</v>
      </c>
      <c r="Y758">
        <v>33.200000000000003</v>
      </c>
    </row>
    <row r="759" spans="1:25" x14ac:dyDescent="0.25">
      <c r="A759" t="s">
        <v>4817</v>
      </c>
      <c r="B759">
        <v>1364</v>
      </c>
      <c r="C759">
        <v>443</v>
      </c>
      <c r="D759" t="s">
        <v>23</v>
      </c>
      <c r="E759" t="s">
        <v>4093</v>
      </c>
      <c r="F759" t="s">
        <v>3978</v>
      </c>
      <c r="G759" t="s">
        <v>4818</v>
      </c>
      <c r="H759">
        <v>0</v>
      </c>
      <c r="I759">
        <v>503</v>
      </c>
      <c r="J759">
        <v>470</v>
      </c>
      <c r="K759" t="str">
        <f t="shared" si="11"/>
        <v>harv265251</v>
      </c>
      <c r="L759" t="s">
        <v>3859</v>
      </c>
      <c r="M759" t="s">
        <v>215</v>
      </c>
      <c r="N759" t="s">
        <v>2636</v>
      </c>
      <c r="O759" t="s">
        <v>3976</v>
      </c>
      <c r="P759" t="s">
        <v>3977</v>
      </c>
      <c r="Q759" t="s">
        <v>11083</v>
      </c>
      <c r="U759">
        <v>91</v>
      </c>
      <c r="V759">
        <v>0</v>
      </c>
      <c r="W759">
        <v>95</v>
      </c>
      <c r="X759">
        <v>26.5</v>
      </c>
      <c r="Y759">
        <v>25.1</v>
      </c>
    </row>
    <row r="760" spans="1:25" x14ac:dyDescent="0.25">
      <c r="A760" t="s">
        <v>4819</v>
      </c>
      <c r="B760">
        <v>1365</v>
      </c>
      <c r="C760">
        <v>444</v>
      </c>
      <c r="D760" t="s">
        <v>23</v>
      </c>
      <c r="E760" t="s">
        <v>4093</v>
      </c>
      <c r="F760" t="s">
        <v>3978</v>
      </c>
      <c r="G760" t="s">
        <v>4820</v>
      </c>
      <c r="H760">
        <v>0</v>
      </c>
      <c r="I760">
        <v>102</v>
      </c>
      <c r="J760">
        <v>443</v>
      </c>
      <c r="K760" t="str">
        <f t="shared" si="11"/>
        <v>harv58237</v>
      </c>
      <c r="L760" t="s">
        <v>3859</v>
      </c>
      <c r="M760" t="s">
        <v>215</v>
      </c>
      <c r="N760" t="s">
        <v>2576</v>
      </c>
      <c r="O760" t="s">
        <v>3976</v>
      </c>
      <c r="P760" t="s">
        <v>3977</v>
      </c>
      <c r="Q760" t="s">
        <v>3749</v>
      </c>
      <c r="R760" t="s">
        <v>2829</v>
      </c>
      <c r="U760">
        <v>93</v>
      </c>
      <c r="V760">
        <v>0</v>
      </c>
      <c r="W760">
        <v>95</v>
      </c>
      <c r="X760">
        <v>5.8</v>
      </c>
      <c r="Y760">
        <v>23.7</v>
      </c>
    </row>
    <row r="761" spans="1:25" x14ac:dyDescent="0.25">
      <c r="A761" t="s">
        <v>4821</v>
      </c>
      <c r="B761">
        <v>1366</v>
      </c>
      <c r="C761">
        <v>445</v>
      </c>
      <c r="D761" t="s">
        <v>23</v>
      </c>
      <c r="E761" t="s">
        <v>4093</v>
      </c>
      <c r="F761" t="s">
        <v>3978</v>
      </c>
      <c r="G761" t="s">
        <v>4822</v>
      </c>
      <c r="H761">
        <v>0</v>
      </c>
      <c r="I761">
        <v>312</v>
      </c>
      <c r="J761">
        <v>111</v>
      </c>
      <c r="K761" t="str">
        <f t="shared" si="11"/>
        <v>harv16567</v>
      </c>
      <c r="L761" t="s">
        <v>3859</v>
      </c>
      <c r="M761" t="s">
        <v>215</v>
      </c>
      <c r="N761" t="s">
        <v>2717</v>
      </c>
      <c r="O761" t="s">
        <v>3976</v>
      </c>
      <c r="P761" t="s">
        <v>4031</v>
      </c>
      <c r="Q761" t="s">
        <v>11083</v>
      </c>
      <c r="U761">
        <v>100</v>
      </c>
      <c r="V761">
        <v>0</v>
      </c>
      <c r="W761">
        <v>100</v>
      </c>
      <c r="X761">
        <v>16.5</v>
      </c>
      <c r="Y761">
        <v>6.7</v>
      </c>
    </row>
    <row r="762" spans="1:25" x14ac:dyDescent="0.25">
      <c r="A762" t="s">
        <v>4823</v>
      </c>
      <c r="B762">
        <v>1367</v>
      </c>
      <c r="C762">
        <v>446</v>
      </c>
      <c r="D762" t="s">
        <v>23</v>
      </c>
      <c r="E762" t="s">
        <v>4093</v>
      </c>
      <c r="F762" t="s">
        <v>3978</v>
      </c>
      <c r="G762" t="s">
        <v>4824</v>
      </c>
      <c r="H762">
        <v>0</v>
      </c>
      <c r="I762">
        <v>155</v>
      </c>
      <c r="J762">
        <v>133</v>
      </c>
      <c r="K762" t="str">
        <f t="shared" si="11"/>
        <v>harv8774</v>
      </c>
      <c r="L762" t="s">
        <v>3859</v>
      </c>
      <c r="M762" t="s">
        <v>215</v>
      </c>
      <c r="N762" t="s">
        <v>2797</v>
      </c>
      <c r="O762" t="s">
        <v>3976</v>
      </c>
      <c r="P762" t="s">
        <v>4031</v>
      </c>
      <c r="Q762" t="s">
        <v>3749</v>
      </c>
      <c r="R762" t="s">
        <v>2834</v>
      </c>
      <c r="U762">
        <v>100</v>
      </c>
      <c r="V762">
        <v>1</v>
      </c>
      <c r="W762">
        <v>100</v>
      </c>
      <c r="X762">
        <v>8.6999999999999993</v>
      </c>
      <c r="Y762">
        <v>7.4</v>
      </c>
    </row>
    <row r="763" spans="1:25" x14ac:dyDescent="0.25">
      <c r="A763" t="s">
        <v>4825</v>
      </c>
      <c r="B763">
        <v>1368</v>
      </c>
      <c r="C763">
        <v>447</v>
      </c>
      <c r="D763" t="s">
        <v>23</v>
      </c>
      <c r="E763" t="s">
        <v>4093</v>
      </c>
      <c r="F763" t="s">
        <v>4036</v>
      </c>
      <c r="G763" t="s">
        <v>4826</v>
      </c>
      <c r="H763">
        <v>0</v>
      </c>
      <c r="I763">
        <v>398</v>
      </c>
      <c r="J763">
        <v>382</v>
      </c>
      <c r="K763" t="str">
        <f t="shared" si="11"/>
        <v>harv223214</v>
      </c>
      <c r="M763" t="s">
        <v>11</v>
      </c>
      <c r="N763" t="s">
        <v>1545</v>
      </c>
      <c r="Q763" t="s">
        <v>4037</v>
      </c>
      <c r="R763" t="s">
        <v>2832</v>
      </c>
      <c r="S763" t="s">
        <v>4827</v>
      </c>
      <c r="U763">
        <v>60</v>
      </c>
      <c r="V763">
        <v>1</v>
      </c>
      <c r="W763">
        <v>60</v>
      </c>
      <c r="X763">
        <v>22.3</v>
      </c>
      <c r="Y763">
        <v>21.4</v>
      </c>
    </row>
    <row r="764" spans="1:25" x14ac:dyDescent="0.25">
      <c r="A764" t="s">
        <v>4828</v>
      </c>
      <c r="B764">
        <v>1369</v>
      </c>
      <c r="C764">
        <v>448</v>
      </c>
      <c r="D764" t="s">
        <v>23</v>
      </c>
      <c r="E764" t="s">
        <v>4093</v>
      </c>
      <c r="F764" t="s">
        <v>4036</v>
      </c>
      <c r="G764" t="s">
        <v>4829</v>
      </c>
      <c r="H764">
        <v>0</v>
      </c>
      <c r="I764">
        <v>398</v>
      </c>
      <c r="J764">
        <v>382</v>
      </c>
      <c r="K764" t="str">
        <f t="shared" si="11"/>
        <v>harv223214</v>
      </c>
      <c r="M764" t="s">
        <v>11</v>
      </c>
      <c r="N764" t="s">
        <v>1545</v>
      </c>
      <c r="Q764" t="s">
        <v>4037</v>
      </c>
      <c r="R764" t="s">
        <v>2832</v>
      </c>
      <c r="S764" t="s">
        <v>4827</v>
      </c>
      <c r="U764">
        <v>60</v>
      </c>
      <c r="V764">
        <v>1</v>
      </c>
      <c r="W764">
        <v>60</v>
      </c>
      <c r="X764">
        <v>22.3</v>
      </c>
      <c r="Y764">
        <v>21.4</v>
      </c>
    </row>
    <row r="765" spans="1:25" x14ac:dyDescent="0.25">
      <c r="A765" t="s">
        <v>4830</v>
      </c>
      <c r="B765">
        <v>1370</v>
      </c>
      <c r="C765">
        <v>449</v>
      </c>
      <c r="D765" t="s">
        <v>23</v>
      </c>
      <c r="E765" t="s">
        <v>4093</v>
      </c>
      <c r="F765" t="s">
        <v>4036</v>
      </c>
      <c r="G765" t="s">
        <v>4831</v>
      </c>
      <c r="H765">
        <v>0</v>
      </c>
      <c r="I765">
        <v>398</v>
      </c>
      <c r="J765">
        <v>382</v>
      </c>
      <c r="K765" t="str">
        <f t="shared" si="11"/>
        <v>harv223214</v>
      </c>
      <c r="M765" t="s">
        <v>11</v>
      </c>
      <c r="N765" t="s">
        <v>1545</v>
      </c>
      <c r="Q765" t="s">
        <v>4037</v>
      </c>
      <c r="R765" t="s">
        <v>2832</v>
      </c>
      <c r="S765" t="s">
        <v>4827</v>
      </c>
      <c r="U765">
        <v>60</v>
      </c>
      <c r="V765">
        <v>1</v>
      </c>
      <c r="W765">
        <v>60</v>
      </c>
      <c r="X765">
        <v>22.3</v>
      </c>
      <c r="Y765">
        <v>21.4</v>
      </c>
    </row>
    <row r="766" spans="1:25" x14ac:dyDescent="0.25">
      <c r="A766" t="s">
        <v>4832</v>
      </c>
      <c r="B766">
        <v>1371</v>
      </c>
      <c r="C766">
        <v>450</v>
      </c>
      <c r="D766" t="s">
        <v>23</v>
      </c>
      <c r="E766" t="s">
        <v>4093</v>
      </c>
      <c r="F766" t="s">
        <v>4036</v>
      </c>
      <c r="G766" t="s">
        <v>4833</v>
      </c>
      <c r="H766">
        <v>0</v>
      </c>
      <c r="I766">
        <v>698</v>
      </c>
      <c r="J766">
        <v>420</v>
      </c>
      <c r="K766" t="str">
        <f t="shared" si="11"/>
        <v>harv388237</v>
      </c>
      <c r="M766" t="s">
        <v>11</v>
      </c>
      <c r="N766" t="s">
        <v>1686</v>
      </c>
      <c r="Q766" t="s">
        <v>4037</v>
      </c>
      <c r="R766" t="s">
        <v>2834</v>
      </c>
      <c r="S766" t="s">
        <v>4038</v>
      </c>
      <c r="U766">
        <v>60</v>
      </c>
      <c r="V766">
        <v>1</v>
      </c>
      <c r="W766">
        <v>60</v>
      </c>
      <c r="X766">
        <v>38.799999999999997</v>
      </c>
      <c r="Y766">
        <v>23.7</v>
      </c>
    </row>
    <row r="767" spans="1:25" x14ac:dyDescent="0.25">
      <c r="A767" t="s">
        <v>4834</v>
      </c>
      <c r="B767">
        <v>1372</v>
      </c>
      <c r="C767">
        <v>451</v>
      </c>
      <c r="D767" t="s">
        <v>23</v>
      </c>
      <c r="E767" t="s">
        <v>4093</v>
      </c>
      <c r="F767" t="s">
        <v>4036</v>
      </c>
      <c r="G767" t="s">
        <v>4835</v>
      </c>
      <c r="H767">
        <v>0</v>
      </c>
      <c r="I767">
        <v>309</v>
      </c>
      <c r="J767">
        <v>664</v>
      </c>
      <c r="K767" t="str">
        <f t="shared" si="11"/>
        <v>harv176369</v>
      </c>
      <c r="M767" t="s">
        <v>11</v>
      </c>
      <c r="N767" t="s">
        <v>1723</v>
      </c>
      <c r="Q767" t="s">
        <v>4037</v>
      </c>
      <c r="R767" t="s">
        <v>2831</v>
      </c>
      <c r="S767" t="s">
        <v>4038</v>
      </c>
      <c r="U767">
        <v>60</v>
      </c>
      <c r="V767">
        <v>1</v>
      </c>
      <c r="W767">
        <v>60</v>
      </c>
      <c r="X767">
        <v>17.600000000000001</v>
      </c>
      <c r="Y767">
        <v>36.9</v>
      </c>
    </row>
    <row r="768" spans="1:25" x14ac:dyDescent="0.25">
      <c r="A768" t="s">
        <v>4836</v>
      </c>
      <c r="B768">
        <v>1373</v>
      </c>
      <c r="C768">
        <v>452</v>
      </c>
      <c r="D768" t="s">
        <v>23</v>
      </c>
      <c r="E768" t="s">
        <v>4093</v>
      </c>
      <c r="F768" t="s">
        <v>4036</v>
      </c>
      <c r="G768" t="s">
        <v>4837</v>
      </c>
      <c r="H768">
        <v>0</v>
      </c>
      <c r="I768">
        <v>631</v>
      </c>
      <c r="J768">
        <v>519</v>
      </c>
      <c r="K768" t="str">
        <f t="shared" si="11"/>
        <v>harv347289</v>
      </c>
      <c r="M768" t="s">
        <v>11</v>
      </c>
      <c r="N768" t="s">
        <v>1662</v>
      </c>
      <c r="Q768" t="s">
        <v>4037</v>
      </c>
      <c r="R768" t="s">
        <v>2832</v>
      </c>
      <c r="S768" t="s">
        <v>4038</v>
      </c>
      <c r="U768">
        <v>60</v>
      </c>
      <c r="V768">
        <v>3</v>
      </c>
      <c r="W768">
        <v>60</v>
      </c>
      <c r="X768">
        <v>34.700000000000003</v>
      </c>
      <c r="Y768">
        <v>28.9</v>
      </c>
    </row>
    <row r="769" spans="1:25" x14ac:dyDescent="0.25">
      <c r="A769" t="s">
        <v>4838</v>
      </c>
      <c r="B769">
        <v>1374</v>
      </c>
      <c r="C769">
        <v>453</v>
      </c>
      <c r="D769" t="s">
        <v>23</v>
      </c>
      <c r="E769" t="s">
        <v>4093</v>
      </c>
      <c r="F769" t="s">
        <v>4036</v>
      </c>
      <c r="G769" t="s">
        <v>4839</v>
      </c>
      <c r="H769">
        <v>0</v>
      </c>
      <c r="I769">
        <v>131</v>
      </c>
      <c r="J769">
        <v>542</v>
      </c>
      <c r="K769" t="str">
        <f t="shared" si="11"/>
        <v>harv79302</v>
      </c>
      <c r="M769" t="s">
        <v>11</v>
      </c>
      <c r="N769" t="s">
        <v>1645</v>
      </c>
      <c r="Q769" t="s">
        <v>4037</v>
      </c>
      <c r="R769" t="s">
        <v>2831</v>
      </c>
      <c r="S769" t="s">
        <v>4047</v>
      </c>
      <c r="U769">
        <v>60</v>
      </c>
      <c r="V769">
        <v>3</v>
      </c>
      <c r="W769">
        <v>60</v>
      </c>
      <c r="X769">
        <v>7.9</v>
      </c>
      <c r="Y769">
        <v>30.2</v>
      </c>
    </row>
    <row r="770" spans="1:25" x14ac:dyDescent="0.25">
      <c r="A770" t="s">
        <v>4840</v>
      </c>
      <c r="B770">
        <v>1375</v>
      </c>
      <c r="C770">
        <v>454</v>
      </c>
      <c r="D770" t="s">
        <v>23</v>
      </c>
      <c r="E770" t="s">
        <v>4093</v>
      </c>
      <c r="F770" t="s">
        <v>4036</v>
      </c>
      <c r="G770" t="s">
        <v>4841</v>
      </c>
      <c r="H770">
        <v>0</v>
      </c>
      <c r="I770">
        <v>466</v>
      </c>
      <c r="J770">
        <v>685</v>
      </c>
      <c r="K770" t="str">
        <f t="shared" ref="K770:K790" si="12">LEFT(A770,4)&amp;SUBSTITUTE(X770,".","")&amp;SUBSTITUTE(Y770,".","")</f>
        <v>harv24736</v>
      </c>
      <c r="M770" t="s">
        <v>73</v>
      </c>
      <c r="N770" t="s">
        <v>1811</v>
      </c>
      <c r="Q770" t="s">
        <v>4037</v>
      </c>
      <c r="R770" t="s">
        <v>2830</v>
      </c>
      <c r="S770" t="s">
        <v>4052</v>
      </c>
      <c r="U770">
        <v>70</v>
      </c>
      <c r="V770">
        <v>2</v>
      </c>
      <c r="W770">
        <v>70</v>
      </c>
      <c r="X770">
        <v>24.7</v>
      </c>
      <c r="Y770">
        <v>36</v>
      </c>
    </row>
    <row r="771" spans="1:25" x14ac:dyDescent="0.25">
      <c r="A771" t="s">
        <v>4842</v>
      </c>
      <c r="B771">
        <v>1376</v>
      </c>
      <c r="C771">
        <v>455</v>
      </c>
      <c r="D771" t="s">
        <v>23</v>
      </c>
      <c r="E771" t="s">
        <v>4093</v>
      </c>
      <c r="F771" t="s">
        <v>4036</v>
      </c>
      <c r="G771" t="s">
        <v>4843</v>
      </c>
      <c r="H771">
        <v>0</v>
      </c>
      <c r="I771">
        <v>368</v>
      </c>
      <c r="J771">
        <v>170</v>
      </c>
      <c r="K771" t="str">
        <f t="shared" si="12"/>
        <v>harv19697</v>
      </c>
      <c r="M771" t="s">
        <v>73</v>
      </c>
      <c r="N771" t="s">
        <v>1986</v>
      </c>
      <c r="Q771" t="s">
        <v>4037</v>
      </c>
      <c r="R771" t="s">
        <v>2829</v>
      </c>
      <c r="S771" t="s">
        <v>4844</v>
      </c>
      <c r="U771">
        <v>70</v>
      </c>
      <c r="V771">
        <v>1</v>
      </c>
      <c r="W771">
        <v>70</v>
      </c>
      <c r="X771">
        <v>19.600000000000001</v>
      </c>
      <c r="Y771">
        <v>9.6999999999999993</v>
      </c>
    </row>
    <row r="772" spans="1:25" x14ac:dyDescent="0.25">
      <c r="A772" t="s">
        <v>4845</v>
      </c>
      <c r="B772">
        <v>1377</v>
      </c>
      <c r="C772">
        <v>456</v>
      </c>
      <c r="D772" t="s">
        <v>23</v>
      </c>
      <c r="E772" t="s">
        <v>4093</v>
      </c>
      <c r="F772" t="s">
        <v>4036</v>
      </c>
      <c r="G772" t="s">
        <v>4846</v>
      </c>
      <c r="H772">
        <v>0</v>
      </c>
      <c r="I772">
        <v>368</v>
      </c>
      <c r="J772">
        <v>170</v>
      </c>
      <c r="K772" t="str">
        <f t="shared" si="12"/>
        <v>harv19697</v>
      </c>
      <c r="M772" t="s">
        <v>73</v>
      </c>
      <c r="N772" t="s">
        <v>1986</v>
      </c>
      <c r="Q772" t="s">
        <v>4037</v>
      </c>
      <c r="R772" t="s">
        <v>2829</v>
      </c>
      <c r="S772" t="s">
        <v>4844</v>
      </c>
      <c r="U772">
        <v>70</v>
      </c>
      <c r="V772">
        <v>1</v>
      </c>
      <c r="W772">
        <v>70</v>
      </c>
      <c r="X772">
        <v>19.600000000000001</v>
      </c>
      <c r="Y772">
        <v>9.6999999999999993</v>
      </c>
    </row>
    <row r="773" spans="1:25" x14ac:dyDescent="0.25">
      <c r="A773" t="s">
        <v>4847</v>
      </c>
      <c r="B773">
        <v>1378</v>
      </c>
      <c r="C773">
        <v>457</v>
      </c>
      <c r="D773" t="s">
        <v>23</v>
      </c>
      <c r="E773" t="s">
        <v>4093</v>
      </c>
      <c r="F773" t="s">
        <v>4036</v>
      </c>
      <c r="G773" t="s">
        <v>4848</v>
      </c>
      <c r="H773">
        <v>0</v>
      </c>
      <c r="I773">
        <v>537</v>
      </c>
      <c r="J773">
        <v>670</v>
      </c>
      <c r="K773" t="str">
        <f t="shared" si="12"/>
        <v>harv283353</v>
      </c>
      <c r="M773" t="s">
        <v>73</v>
      </c>
      <c r="N773" t="s">
        <v>1940</v>
      </c>
      <c r="Q773" t="s">
        <v>4037</v>
      </c>
      <c r="R773" t="s">
        <v>2830</v>
      </c>
      <c r="S773" t="s">
        <v>4844</v>
      </c>
      <c r="U773">
        <v>70</v>
      </c>
      <c r="V773">
        <v>3</v>
      </c>
      <c r="W773">
        <v>70</v>
      </c>
      <c r="X773">
        <v>28.3</v>
      </c>
      <c r="Y773">
        <v>35.299999999999997</v>
      </c>
    </row>
    <row r="774" spans="1:25" x14ac:dyDescent="0.25">
      <c r="A774" t="s">
        <v>4849</v>
      </c>
      <c r="B774">
        <v>1379</v>
      </c>
      <c r="C774">
        <v>458</v>
      </c>
      <c r="D774" t="s">
        <v>23</v>
      </c>
      <c r="E774" t="s">
        <v>4093</v>
      </c>
      <c r="F774" t="s">
        <v>4036</v>
      </c>
      <c r="G774" t="s">
        <v>4850</v>
      </c>
      <c r="H774">
        <v>0</v>
      </c>
      <c r="I774">
        <v>497</v>
      </c>
      <c r="J774">
        <v>178</v>
      </c>
      <c r="K774" t="str">
        <f t="shared" si="12"/>
        <v>harv264101</v>
      </c>
      <c r="M774" t="s">
        <v>102</v>
      </c>
      <c r="N774" t="s">
        <v>2014</v>
      </c>
      <c r="Q774" t="s">
        <v>4037</v>
      </c>
      <c r="R774" t="s">
        <v>2833</v>
      </c>
      <c r="S774" t="s">
        <v>4061</v>
      </c>
      <c r="U774">
        <v>80</v>
      </c>
      <c r="V774">
        <v>1</v>
      </c>
      <c r="W774">
        <v>80</v>
      </c>
      <c r="X774">
        <v>26.4</v>
      </c>
      <c r="Y774">
        <v>10.1</v>
      </c>
    </row>
    <row r="775" spans="1:25" x14ac:dyDescent="0.25">
      <c r="A775" t="s">
        <v>4851</v>
      </c>
      <c r="B775">
        <v>1380</v>
      </c>
      <c r="C775">
        <v>459</v>
      </c>
      <c r="D775" t="s">
        <v>23</v>
      </c>
      <c r="E775" t="s">
        <v>4093</v>
      </c>
      <c r="F775" t="s">
        <v>4036</v>
      </c>
      <c r="G775" t="s">
        <v>4852</v>
      </c>
      <c r="H775">
        <v>0</v>
      </c>
      <c r="I775">
        <v>613</v>
      </c>
      <c r="J775">
        <v>635</v>
      </c>
      <c r="K775" t="str">
        <f t="shared" si="12"/>
        <v>harv322335</v>
      </c>
      <c r="M775" t="s">
        <v>102</v>
      </c>
      <c r="N775" t="s">
        <v>2165</v>
      </c>
      <c r="Q775" t="s">
        <v>4037</v>
      </c>
      <c r="R775" t="s">
        <v>2831</v>
      </c>
      <c r="S775" t="s">
        <v>4061</v>
      </c>
      <c r="U775">
        <v>80</v>
      </c>
      <c r="V775">
        <v>2</v>
      </c>
      <c r="W775">
        <v>80</v>
      </c>
      <c r="X775">
        <v>32.200000000000003</v>
      </c>
      <c r="Y775">
        <v>33.5</v>
      </c>
    </row>
    <row r="776" spans="1:25" x14ac:dyDescent="0.25">
      <c r="A776" t="s">
        <v>4853</v>
      </c>
      <c r="B776">
        <v>1381</v>
      </c>
      <c r="C776">
        <v>460</v>
      </c>
      <c r="D776" t="s">
        <v>23</v>
      </c>
      <c r="E776" t="s">
        <v>4093</v>
      </c>
      <c r="F776" t="s">
        <v>4036</v>
      </c>
      <c r="G776" t="s">
        <v>4854</v>
      </c>
      <c r="H776">
        <v>0</v>
      </c>
      <c r="I776">
        <v>539</v>
      </c>
      <c r="J776">
        <v>393</v>
      </c>
      <c r="K776" t="str">
        <f t="shared" si="12"/>
        <v>harv284211</v>
      </c>
      <c r="M776" t="s">
        <v>102</v>
      </c>
      <c r="N776" t="s">
        <v>2106</v>
      </c>
      <c r="Q776" t="s">
        <v>4037</v>
      </c>
      <c r="R776" t="s">
        <v>2829</v>
      </c>
      <c r="S776" t="s">
        <v>4061</v>
      </c>
      <c r="U776">
        <v>80</v>
      </c>
      <c r="V776">
        <v>2</v>
      </c>
      <c r="W776">
        <v>80</v>
      </c>
      <c r="X776">
        <v>28.4</v>
      </c>
      <c r="Y776">
        <v>21.1</v>
      </c>
    </row>
    <row r="777" spans="1:25" x14ac:dyDescent="0.25">
      <c r="A777" t="s">
        <v>4855</v>
      </c>
      <c r="B777">
        <v>1382</v>
      </c>
      <c r="C777">
        <v>461</v>
      </c>
      <c r="D777" t="s">
        <v>23</v>
      </c>
      <c r="E777" t="s">
        <v>4093</v>
      </c>
      <c r="F777" t="s">
        <v>4036</v>
      </c>
      <c r="G777" t="s">
        <v>4856</v>
      </c>
      <c r="H777">
        <v>0</v>
      </c>
      <c r="I777">
        <v>539</v>
      </c>
      <c r="J777">
        <v>393</v>
      </c>
      <c r="K777" t="str">
        <f t="shared" si="12"/>
        <v>harv284211</v>
      </c>
      <c r="M777" t="s">
        <v>102</v>
      </c>
      <c r="N777" t="s">
        <v>2106</v>
      </c>
      <c r="Q777" t="s">
        <v>4037</v>
      </c>
      <c r="R777" t="s">
        <v>2829</v>
      </c>
      <c r="S777" t="s">
        <v>4061</v>
      </c>
      <c r="U777">
        <v>80</v>
      </c>
      <c r="V777">
        <v>2</v>
      </c>
      <c r="W777">
        <v>80</v>
      </c>
      <c r="X777">
        <v>28.4</v>
      </c>
      <c r="Y777">
        <v>21.1</v>
      </c>
    </row>
    <row r="778" spans="1:25" x14ac:dyDescent="0.25">
      <c r="A778" t="s">
        <v>4857</v>
      </c>
      <c r="B778">
        <v>1383</v>
      </c>
      <c r="C778">
        <v>462</v>
      </c>
      <c r="D778" t="s">
        <v>23</v>
      </c>
      <c r="E778" t="s">
        <v>4093</v>
      </c>
      <c r="F778" t="s">
        <v>4036</v>
      </c>
      <c r="G778" t="s">
        <v>4858</v>
      </c>
      <c r="H778">
        <v>0</v>
      </c>
      <c r="I778">
        <v>642</v>
      </c>
      <c r="J778">
        <v>244</v>
      </c>
      <c r="K778" t="str">
        <f t="shared" si="12"/>
        <v>harv337132</v>
      </c>
      <c r="M778" t="s">
        <v>102</v>
      </c>
      <c r="N778" t="s">
        <v>2276</v>
      </c>
      <c r="Q778" t="s">
        <v>4037</v>
      </c>
      <c r="R778" t="s">
        <v>2834</v>
      </c>
      <c r="S778" t="s">
        <v>4061</v>
      </c>
      <c r="U778">
        <v>80</v>
      </c>
      <c r="V778">
        <v>3</v>
      </c>
      <c r="W778">
        <v>80</v>
      </c>
      <c r="X778">
        <v>33.700000000000003</v>
      </c>
      <c r="Y778">
        <v>13.2</v>
      </c>
    </row>
    <row r="779" spans="1:25" x14ac:dyDescent="0.25">
      <c r="A779" t="s">
        <v>4859</v>
      </c>
      <c r="B779">
        <v>1384</v>
      </c>
      <c r="C779">
        <v>463</v>
      </c>
      <c r="D779" t="s">
        <v>23</v>
      </c>
      <c r="E779" t="s">
        <v>4093</v>
      </c>
      <c r="F779" t="s">
        <v>4036</v>
      </c>
      <c r="G779" t="s">
        <v>4084</v>
      </c>
      <c r="H779">
        <v>0</v>
      </c>
      <c r="I779">
        <v>476</v>
      </c>
      <c r="J779">
        <v>402</v>
      </c>
      <c r="K779" t="str">
        <f t="shared" si="12"/>
        <v>harv252216</v>
      </c>
      <c r="M779" t="s">
        <v>133</v>
      </c>
      <c r="N779" t="s">
        <v>2370</v>
      </c>
      <c r="Q779" t="s">
        <v>4037</v>
      </c>
      <c r="R779" t="s">
        <v>2833</v>
      </c>
      <c r="S779" t="s">
        <v>4072</v>
      </c>
      <c r="U779">
        <v>90</v>
      </c>
      <c r="V779">
        <v>0</v>
      </c>
      <c r="W779">
        <v>90</v>
      </c>
      <c r="X779">
        <v>25.2</v>
      </c>
      <c r="Y779">
        <v>21.6</v>
      </c>
    </row>
    <row r="780" spans="1:25" x14ac:dyDescent="0.25">
      <c r="A780" t="s">
        <v>4860</v>
      </c>
      <c r="B780">
        <v>1385</v>
      </c>
      <c r="C780">
        <v>464</v>
      </c>
      <c r="D780" t="s">
        <v>23</v>
      </c>
      <c r="E780" t="s">
        <v>4093</v>
      </c>
      <c r="F780" t="s">
        <v>4036</v>
      </c>
      <c r="G780" t="s">
        <v>4861</v>
      </c>
      <c r="H780">
        <v>0</v>
      </c>
      <c r="I780">
        <v>476</v>
      </c>
      <c r="J780">
        <v>402</v>
      </c>
      <c r="K780" t="str">
        <f t="shared" si="12"/>
        <v>harv252216</v>
      </c>
      <c r="M780" t="s">
        <v>133</v>
      </c>
      <c r="N780" t="s">
        <v>2370</v>
      </c>
      <c r="Q780" t="s">
        <v>4037</v>
      </c>
      <c r="R780" t="s">
        <v>2833</v>
      </c>
      <c r="S780" t="s">
        <v>4072</v>
      </c>
      <c r="T780">
        <v>2990</v>
      </c>
      <c r="U780">
        <v>90</v>
      </c>
      <c r="V780">
        <v>1</v>
      </c>
      <c r="W780">
        <v>90</v>
      </c>
      <c r="X780">
        <v>25.2</v>
      </c>
      <c r="Y780">
        <v>21.6</v>
      </c>
    </row>
    <row r="781" spans="1:25" x14ac:dyDescent="0.25">
      <c r="A781" t="s">
        <v>4862</v>
      </c>
      <c r="B781">
        <v>1386</v>
      </c>
      <c r="C781">
        <v>465</v>
      </c>
      <c r="D781" t="s">
        <v>23</v>
      </c>
      <c r="E781" t="s">
        <v>4093</v>
      </c>
      <c r="F781" t="s">
        <v>4036</v>
      </c>
      <c r="G781" t="s">
        <v>4863</v>
      </c>
      <c r="H781">
        <v>0</v>
      </c>
      <c r="I781">
        <v>476</v>
      </c>
      <c r="J781">
        <v>402</v>
      </c>
      <c r="K781" t="str">
        <f t="shared" si="12"/>
        <v>harv252216</v>
      </c>
      <c r="M781" t="s">
        <v>133</v>
      </c>
      <c r="N781" t="s">
        <v>2370</v>
      </c>
      <c r="Q781" t="s">
        <v>4037</v>
      </c>
      <c r="R781" t="s">
        <v>2833</v>
      </c>
      <c r="S781" t="s">
        <v>4072</v>
      </c>
      <c r="T781">
        <v>3230</v>
      </c>
      <c r="U781">
        <v>90</v>
      </c>
      <c r="V781">
        <v>1</v>
      </c>
      <c r="W781">
        <v>90</v>
      </c>
      <c r="X781">
        <v>25.2</v>
      </c>
      <c r="Y781">
        <v>21.6</v>
      </c>
    </row>
    <row r="782" spans="1:25" x14ac:dyDescent="0.25">
      <c r="A782" t="s">
        <v>4864</v>
      </c>
      <c r="B782">
        <v>1387</v>
      </c>
      <c r="C782">
        <v>466</v>
      </c>
      <c r="D782" t="s">
        <v>23</v>
      </c>
      <c r="E782" t="s">
        <v>4093</v>
      </c>
      <c r="F782" t="s">
        <v>4036</v>
      </c>
      <c r="G782" t="s">
        <v>4865</v>
      </c>
      <c r="H782">
        <v>0</v>
      </c>
      <c r="I782">
        <v>330</v>
      </c>
      <c r="J782">
        <v>223</v>
      </c>
      <c r="K782" t="str">
        <f t="shared" si="12"/>
        <v>harv177124</v>
      </c>
      <c r="M782" t="s">
        <v>133</v>
      </c>
      <c r="N782" t="s">
        <v>2429</v>
      </c>
      <c r="Q782" t="s">
        <v>4037</v>
      </c>
      <c r="R782" t="s">
        <v>2834</v>
      </c>
      <c r="S782" t="s">
        <v>4072</v>
      </c>
      <c r="T782">
        <v>3850</v>
      </c>
      <c r="U782">
        <v>90</v>
      </c>
      <c r="V782">
        <v>3</v>
      </c>
      <c r="W782">
        <v>90</v>
      </c>
      <c r="X782">
        <v>17.7</v>
      </c>
      <c r="Y782">
        <v>12.4</v>
      </c>
    </row>
    <row r="783" spans="1:25" x14ac:dyDescent="0.25">
      <c r="A783" t="s">
        <v>4866</v>
      </c>
      <c r="B783">
        <v>1388</v>
      </c>
      <c r="C783">
        <v>467</v>
      </c>
      <c r="D783" t="s">
        <v>23</v>
      </c>
      <c r="E783" t="s">
        <v>4093</v>
      </c>
      <c r="F783" t="s">
        <v>4036</v>
      </c>
      <c r="G783" t="s">
        <v>4084</v>
      </c>
      <c r="H783">
        <v>0</v>
      </c>
      <c r="I783">
        <v>533</v>
      </c>
      <c r="J783">
        <v>243</v>
      </c>
      <c r="K783" t="str">
        <f t="shared" si="12"/>
        <v>harv28132</v>
      </c>
      <c r="M783" t="s">
        <v>133</v>
      </c>
      <c r="N783" t="s">
        <v>2498</v>
      </c>
      <c r="Q783" t="s">
        <v>4037</v>
      </c>
      <c r="R783" t="s">
        <v>2834</v>
      </c>
      <c r="S783" t="s">
        <v>4867</v>
      </c>
      <c r="U783">
        <v>90</v>
      </c>
      <c r="V783">
        <v>0</v>
      </c>
      <c r="W783">
        <v>90</v>
      </c>
      <c r="X783">
        <v>28</v>
      </c>
      <c r="Y783">
        <v>13.2</v>
      </c>
    </row>
    <row r="784" spans="1:25" x14ac:dyDescent="0.25">
      <c r="A784" t="s">
        <v>4868</v>
      </c>
      <c r="B784">
        <v>1389</v>
      </c>
      <c r="C784">
        <v>468</v>
      </c>
      <c r="D784" t="s">
        <v>23</v>
      </c>
      <c r="E784" t="s">
        <v>4093</v>
      </c>
      <c r="F784" t="s">
        <v>4036</v>
      </c>
      <c r="G784" t="s">
        <v>4869</v>
      </c>
      <c r="H784">
        <v>0</v>
      </c>
      <c r="I784">
        <v>533</v>
      </c>
      <c r="J784">
        <v>243</v>
      </c>
      <c r="K784" t="str">
        <f t="shared" si="12"/>
        <v>harv28132</v>
      </c>
      <c r="M784" t="s">
        <v>133</v>
      </c>
      <c r="N784" t="s">
        <v>2498</v>
      </c>
      <c r="Q784" t="s">
        <v>4037</v>
      </c>
      <c r="R784" t="s">
        <v>2834</v>
      </c>
      <c r="S784" t="s">
        <v>4867</v>
      </c>
      <c r="T784">
        <v>2990</v>
      </c>
      <c r="U784">
        <v>90</v>
      </c>
      <c r="V784">
        <v>1</v>
      </c>
      <c r="W784">
        <v>90</v>
      </c>
      <c r="X784">
        <v>28</v>
      </c>
      <c r="Y784">
        <v>13.2</v>
      </c>
    </row>
    <row r="785" spans="1:25" x14ac:dyDescent="0.25">
      <c r="A785" t="s">
        <v>4870</v>
      </c>
      <c r="B785">
        <v>1390</v>
      </c>
      <c r="C785">
        <v>469</v>
      </c>
      <c r="D785" t="s">
        <v>23</v>
      </c>
      <c r="E785" t="s">
        <v>4093</v>
      </c>
      <c r="F785" t="s">
        <v>4036</v>
      </c>
      <c r="G785" t="s">
        <v>166</v>
      </c>
      <c r="H785">
        <v>0</v>
      </c>
      <c r="I785">
        <v>533</v>
      </c>
      <c r="J785">
        <v>243</v>
      </c>
      <c r="K785" t="str">
        <f t="shared" si="12"/>
        <v>harv28132</v>
      </c>
      <c r="L785" t="s">
        <v>3859</v>
      </c>
      <c r="M785" t="s">
        <v>133</v>
      </c>
      <c r="N785" t="s">
        <v>2498</v>
      </c>
      <c r="O785" t="s">
        <v>3886</v>
      </c>
      <c r="Q785" t="s">
        <v>4037</v>
      </c>
      <c r="R785" t="s">
        <v>2834</v>
      </c>
      <c r="S785" t="s">
        <v>4867</v>
      </c>
      <c r="T785">
        <v>3700</v>
      </c>
      <c r="U785">
        <v>90</v>
      </c>
      <c r="V785">
        <v>2</v>
      </c>
      <c r="W785">
        <v>90</v>
      </c>
      <c r="X785">
        <v>28</v>
      </c>
      <c r="Y785">
        <v>13.2</v>
      </c>
    </row>
    <row r="786" spans="1:25" x14ac:dyDescent="0.25">
      <c r="A786" t="s">
        <v>4871</v>
      </c>
      <c r="B786">
        <v>1391</v>
      </c>
      <c r="C786">
        <v>470</v>
      </c>
      <c r="D786" t="s">
        <v>23</v>
      </c>
      <c r="E786" t="s">
        <v>4093</v>
      </c>
      <c r="F786" t="s">
        <v>4036</v>
      </c>
      <c r="G786" t="s">
        <v>201</v>
      </c>
      <c r="H786">
        <v>0</v>
      </c>
      <c r="I786">
        <v>533</v>
      </c>
      <c r="J786">
        <v>243</v>
      </c>
      <c r="K786" t="str">
        <f t="shared" si="12"/>
        <v>harv28132</v>
      </c>
      <c r="L786" t="s">
        <v>3859</v>
      </c>
      <c r="M786" t="s">
        <v>133</v>
      </c>
      <c r="N786" t="s">
        <v>2498</v>
      </c>
      <c r="O786" t="s">
        <v>3886</v>
      </c>
      <c r="Q786" t="s">
        <v>4037</v>
      </c>
      <c r="R786" t="s">
        <v>2834</v>
      </c>
      <c r="S786" t="s">
        <v>4867</v>
      </c>
      <c r="T786">
        <v>3700</v>
      </c>
      <c r="U786">
        <v>90</v>
      </c>
      <c r="V786">
        <v>2</v>
      </c>
      <c r="W786">
        <v>90</v>
      </c>
      <c r="X786">
        <v>28</v>
      </c>
      <c r="Y786">
        <v>13.2</v>
      </c>
    </row>
    <row r="787" spans="1:25" x14ac:dyDescent="0.25">
      <c r="A787" t="s">
        <v>4872</v>
      </c>
      <c r="B787">
        <v>1392</v>
      </c>
      <c r="C787">
        <v>471</v>
      </c>
      <c r="D787" t="s">
        <v>23</v>
      </c>
      <c r="E787" t="s">
        <v>4093</v>
      </c>
      <c r="F787" t="s">
        <v>4036</v>
      </c>
      <c r="G787" t="s">
        <v>4873</v>
      </c>
      <c r="H787">
        <v>0</v>
      </c>
      <c r="I787">
        <v>488</v>
      </c>
      <c r="J787">
        <v>379</v>
      </c>
      <c r="K787" t="str">
        <f t="shared" si="12"/>
        <v>harv258203</v>
      </c>
      <c r="M787" t="s">
        <v>133</v>
      </c>
      <c r="N787" t="s">
        <v>2470</v>
      </c>
      <c r="Q787" t="s">
        <v>4037</v>
      </c>
      <c r="R787" t="s">
        <v>2829</v>
      </c>
      <c r="S787" t="s">
        <v>4867</v>
      </c>
      <c r="T787">
        <v>3850</v>
      </c>
      <c r="U787">
        <v>90</v>
      </c>
      <c r="V787">
        <v>3</v>
      </c>
      <c r="W787">
        <v>90</v>
      </c>
      <c r="X787">
        <v>25.8</v>
      </c>
      <c r="Y787">
        <v>20.3</v>
      </c>
    </row>
    <row r="788" spans="1:25" x14ac:dyDescent="0.25">
      <c r="A788" t="s">
        <v>10615</v>
      </c>
      <c r="B788">
        <v>1393</v>
      </c>
      <c r="C788">
        <v>472</v>
      </c>
      <c r="D788" t="s">
        <v>23</v>
      </c>
      <c r="E788" t="s">
        <v>4093</v>
      </c>
      <c r="F788" t="s">
        <v>4036</v>
      </c>
      <c r="G788" t="s">
        <v>10612</v>
      </c>
      <c r="H788">
        <v>0</v>
      </c>
      <c r="I788">
        <v>659</v>
      </c>
      <c r="J788">
        <v>292</v>
      </c>
      <c r="K788" t="str">
        <f t="shared" si="12"/>
        <v>harv3415</v>
      </c>
      <c r="M788" t="s">
        <v>215</v>
      </c>
      <c r="N788" s="1" t="s">
        <v>2714</v>
      </c>
      <c r="Q788" t="s">
        <v>4037</v>
      </c>
      <c r="R788" t="s">
        <v>2831</v>
      </c>
      <c r="S788" t="s">
        <v>10610</v>
      </c>
      <c r="T788">
        <v>4740</v>
      </c>
      <c r="U788">
        <v>100</v>
      </c>
      <c r="V788">
        <v>2</v>
      </c>
      <c r="W788">
        <v>100</v>
      </c>
      <c r="X788">
        <v>34</v>
      </c>
      <c r="Y788">
        <v>15</v>
      </c>
    </row>
    <row r="789" spans="1:25" x14ac:dyDescent="0.25">
      <c r="A789" t="s">
        <v>10616</v>
      </c>
      <c r="B789">
        <v>1394</v>
      </c>
      <c r="C789">
        <v>473</v>
      </c>
      <c r="D789" t="s">
        <v>23</v>
      </c>
      <c r="E789" t="s">
        <v>4093</v>
      </c>
      <c r="F789" t="s">
        <v>4036</v>
      </c>
      <c r="G789" t="s">
        <v>10613</v>
      </c>
      <c r="H789">
        <v>0</v>
      </c>
      <c r="I789">
        <v>538</v>
      </c>
      <c r="J789">
        <v>321</v>
      </c>
      <c r="K789" t="str">
        <f t="shared" si="12"/>
        <v>harv284174</v>
      </c>
      <c r="M789" t="s">
        <v>215</v>
      </c>
      <c r="N789" s="1" t="s">
        <v>2779</v>
      </c>
      <c r="Q789" t="s">
        <v>4037</v>
      </c>
      <c r="R789" t="s">
        <v>2831</v>
      </c>
      <c r="S789" t="s">
        <v>10611</v>
      </c>
      <c r="T789">
        <v>4480</v>
      </c>
      <c r="U789">
        <v>100</v>
      </c>
      <c r="V789">
        <v>1</v>
      </c>
      <c r="W789">
        <v>100</v>
      </c>
      <c r="X789">
        <v>28.4</v>
      </c>
      <c r="Y789">
        <v>17.399999999999999</v>
      </c>
    </row>
    <row r="790" spans="1:25" x14ac:dyDescent="0.25">
      <c r="A790" t="s">
        <v>10617</v>
      </c>
      <c r="B790">
        <v>1395</v>
      </c>
      <c r="C790">
        <v>474</v>
      </c>
      <c r="D790" t="s">
        <v>23</v>
      </c>
      <c r="E790" t="s">
        <v>4093</v>
      </c>
      <c r="F790" t="s">
        <v>4036</v>
      </c>
      <c r="G790" t="s">
        <v>10614</v>
      </c>
      <c r="H790">
        <v>0</v>
      </c>
      <c r="I790">
        <v>538</v>
      </c>
      <c r="J790">
        <v>321</v>
      </c>
      <c r="K790" t="str">
        <f t="shared" si="12"/>
        <v>harv284174</v>
      </c>
      <c r="M790" t="s">
        <v>215</v>
      </c>
      <c r="N790" s="1" t="s">
        <v>2779</v>
      </c>
      <c r="Q790" t="s">
        <v>4037</v>
      </c>
      <c r="R790" t="s">
        <v>2831</v>
      </c>
      <c r="S790" t="s">
        <v>10611</v>
      </c>
      <c r="T790">
        <v>4540</v>
      </c>
      <c r="U790">
        <v>100</v>
      </c>
      <c r="V790">
        <v>1</v>
      </c>
      <c r="W790">
        <v>100</v>
      </c>
      <c r="X790">
        <v>28.4</v>
      </c>
      <c r="Y790">
        <v>17.399999999999999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35A4-58EE-4310-B2A4-14102EC09A77}">
  <sheetPr>
    <tabColor theme="9"/>
  </sheetPr>
  <dimension ref="A1:Z2873"/>
  <sheetViews>
    <sheetView tabSelected="1" topLeftCell="L1" workbookViewId="0">
      <pane ySplit="1" topLeftCell="A2034" activePane="bottomLeft" state="frozen"/>
      <selection pane="bottomLeft" activeCell="Q2034" sqref="Q2034"/>
    </sheetView>
  </sheetViews>
  <sheetFormatPr defaultRowHeight="15" x14ac:dyDescent="0.25"/>
  <cols>
    <col min="1" max="1" width="9.140625" style="5" customWidth="1"/>
    <col min="2" max="3" width="6.7109375" style="5" customWidth="1"/>
    <col min="4" max="4" width="10.5703125" style="5" customWidth="1"/>
    <col min="5" max="5" width="27.5703125" style="5" customWidth="1"/>
    <col min="6" max="6" width="32.28515625" style="5" customWidth="1"/>
    <col min="7" max="7" width="28.85546875" style="5" customWidth="1"/>
    <col min="8" max="8" width="7.42578125" style="5" customWidth="1"/>
    <col min="9" max="9" width="7.5703125" style="5" customWidth="1"/>
    <col min="10" max="10" width="15.85546875" style="5" customWidth="1"/>
    <col min="11" max="11" width="36.85546875" style="5" customWidth="1"/>
    <col min="12" max="12" width="20.28515625" style="5" customWidth="1"/>
    <col min="13" max="13" width="20.140625" style="5" customWidth="1"/>
    <col min="14" max="15" width="17.85546875" style="5" customWidth="1"/>
    <col min="16" max="16" width="8.28515625" style="5" customWidth="1"/>
    <col min="17" max="17" width="17.85546875" style="5" customWidth="1"/>
    <col min="18" max="18" width="13.85546875" style="5" customWidth="1"/>
    <col min="19" max="20" width="14.140625" style="5" customWidth="1"/>
    <col min="21" max="21" width="15.28515625" style="5" customWidth="1"/>
    <col min="22" max="22" width="16.85546875" style="5" customWidth="1"/>
    <col min="23" max="16384" width="9.140625" style="5"/>
  </cols>
  <sheetData>
    <row r="1" spans="1:26" x14ac:dyDescent="0.25">
      <c r="A1" s="15" t="s">
        <v>0</v>
      </c>
      <c r="B1" s="15" t="s">
        <v>237</v>
      </c>
      <c r="C1" s="15" t="s">
        <v>3548</v>
      </c>
      <c r="D1" s="15" t="s">
        <v>3549</v>
      </c>
      <c r="E1" s="15" t="s">
        <v>2</v>
      </c>
      <c r="F1" s="15" t="s">
        <v>1063</v>
      </c>
      <c r="G1" s="15" t="s">
        <v>3</v>
      </c>
      <c r="H1" s="15" t="s">
        <v>243</v>
      </c>
      <c r="I1" s="15" t="s">
        <v>244</v>
      </c>
      <c r="J1" s="15" t="s">
        <v>4</v>
      </c>
      <c r="K1" s="15" t="s">
        <v>2842</v>
      </c>
      <c r="L1" s="15" t="s">
        <v>11219</v>
      </c>
      <c r="M1" s="15" t="s">
        <v>16409</v>
      </c>
      <c r="N1" s="15" t="s">
        <v>11220</v>
      </c>
      <c r="O1" s="15" t="s">
        <v>10666</v>
      </c>
      <c r="P1" s="15" t="s">
        <v>242</v>
      </c>
      <c r="Q1" s="15" t="s">
        <v>11235</v>
      </c>
      <c r="R1" s="15" t="s">
        <v>11236</v>
      </c>
      <c r="S1" s="15" t="s">
        <v>11237</v>
      </c>
      <c r="T1" s="15" t="s">
        <v>5</v>
      </c>
      <c r="U1" s="15" t="s">
        <v>5886</v>
      </c>
      <c r="V1" s="15" t="s">
        <v>5887</v>
      </c>
      <c r="W1" s="15" t="s">
        <v>11276</v>
      </c>
      <c r="X1" s="15" t="s">
        <v>11344</v>
      </c>
      <c r="Y1" s="15" t="s">
        <v>11345</v>
      </c>
      <c r="Z1" s="15" t="s">
        <v>14079</v>
      </c>
    </row>
    <row r="2" spans="1:26" x14ac:dyDescent="0.25">
      <c r="A2" s="15" t="s">
        <v>14080</v>
      </c>
      <c r="B2" s="15">
        <v>1</v>
      </c>
      <c r="C2" s="15" t="s">
        <v>11277</v>
      </c>
      <c r="D2" s="15" t="s">
        <v>11277</v>
      </c>
      <c r="E2" s="15" t="s">
        <v>1067</v>
      </c>
      <c r="F2" s="15" t="s">
        <v>1073</v>
      </c>
      <c r="G2" s="15" t="s">
        <v>11227</v>
      </c>
      <c r="H2" s="15">
        <v>7</v>
      </c>
      <c r="I2" s="15">
        <v>12</v>
      </c>
      <c r="J2" s="15">
        <v>3</v>
      </c>
      <c r="K2" s="15" t="str">
        <f t="shared" ref="K2:K65" si="0">LOWER(SUBSTITUTE(SUBSTITUTE(SUBSTITUTE(SUBSTITUTE(SUBSTITUTE(F2," ",""),"(",""),")",""),"'",""),"-",""))</f>
        <v>limsalominsalowerdecks</v>
      </c>
      <c r="L2" s="15" t="s">
        <v>11233</v>
      </c>
      <c r="M2" s="15">
        <v>1</v>
      </c>
      <c r="N2" s="15" t="s">
        <v>11222</v>
      </c>
      <c r="O2" s="15"/>
      <c r="P2" s="15"/>
      <c r="Q2" s="15"/>
      <c r="R2" s="15"/>
      <c r="S2" s="15"/>
      <c r="T2" s="15">
        <v>0</v>
      </c>
      <c r="U2" s="15"/>
      <c r="V2" s="15"/>
      <c r="W2" s="15"/>
      <c r="X2" s="15"/>
      <c r="Y2" s="15"/>
      <c r="Z2" s="15"/>
    </row>
    <row r="3" spans="1:26" x14ac:dyDescent="0.25">
      <c r="A3" s="15" t="s">
        <v>14081</v>
      </c>
      <c r="B3" s="15">
        <v>2</v>
      </c>
      <c r="C3" s="15" t="s">
        <v>11277</v>
      </c>
      <c r="D3" s="15" t="s">
        <v>11277</v>
      </c>
      <c r="E3" s="15" t="s">
        <v>1067</v>
      </c>
      <c r="F3" s="15" t="s">
        <v>1073</v>
      </c>
      <c r="G3" s="15" t="s">
        <v>11226</v>
      </c>
      <c r="H3" s="15">
        <v>7</v>
      </c>
      <c r="I3" s="15">
        <v>12</v>
      </c>
      <c r="J3" s="15">
        <v>3</v>
      </c>
      <c r="K3" s="15" t="str">
        <f t="shared" si="0"/>
        <v>limsalominsalowerdecks</v>
      </c>
      <c r="L3" s="15" t="s">
        <v>11233</v>
      </c>
      <c r="M3" s="15">
        <v>1</v>
      </c>
      <c r="N3" s="15" t="s">
        <v>11222</v>
      </c>
      <c r="O3" s="15"/>
      <c r="P3" s="15"/>
      <c r="Q3" s="15"/>
      <c r="R3" s="15"/>
      <c r="S3" s="15"/>
      <c r="T3" s="15">
        <v>0</v>
      </c>
      <c r="U3" s="15"/>
      <c r="V3" s="15"/>
      <c r="W3" s="15"/>
      <c r="X3" s="15"/>
      <c r="Y3" s="15"/>
      <c r="Z3" s="15"/>
    </row>
    <row r="4" spans="1:26" x14ac:dyDescent="0.25">
      <c r="A4" s="15" t="s">
        <v>14082</v>
      </c>
      <c r="B4" s="15">
        <v>3</v>
      </c>
      <c r="C4" s="15" t="s">
        <v>11277</v>
      </c>
      <c r="D4" s="15" t="s">
        <v>11277</v>
      </c>
      <c r="E4" s="15" t="s">
        <v>1067</v>
      </c>
      <c r="F4" s="15" t="s">
        <v>1073</v>
      </c>
      <c r="G4" s="15" t="s">
        <v>11228</v>
      </c>
      <c r="H4" s="15">
        <v>7</v>
      </c>
      <c r="I4" s="15">
        <v>12</v>
      </c>
      <c r="J4" s="15">
        <v>4</v>
      </c>
      <c r="K4" s="15" t="str">
        <f t="shared" si="0"/>
        <v>limsalominsalowerdecks</v>
      </c>
      <c r="L4" s="15" t="s">
        <v>11233</v>
      </c>
      <c r="M4" s="15">
        <v>1</v>
      </c>
      <c r="N4" s="15" t="s">
        <v>11222</v>
      </c>
      <c r="O4" s="15"/>
      <c r="P4" s="15"/>
      <c r="Q4" s="15"/>
      <c r="R4" s="15"/>
      <c r="S4" s="15"/>
      <c r="T4" s="15">
        <v>0</v>
      </c>
      <c r="U4" s="15"/>
      <c r="V4" s="15"/>
      <c r="W4" s="15"/>
      <c r="X4" s="15"/>
      <c r="Y4" s="15"/>
      <c r="Z4" s="15"/>
    </row>
    <row r="5" spans="1:26" x14ac:dyDescent="0.25">
      <c r="A5" s="15" t="s">
        <v>14083</v>
      </c>
      <c r="B5" s="15">
        <v>4</v>
      </c>
      <c r="C5" s="15" t="s">
        <v>11277</v>
      </c>
      <c r="D5" s="15" t="s">
        <v>11277</v>
      </c>
      <c r="E5" s="15" t="s">
        <v>1067</v>
      </c>
      <c r="F5" s="15" t="s">
        <v>1073</v>
      </c>
      <c r="G5" s="15" t="s">
        <v>11229</v>
      </c>
      <c r="H5" s="15">
        <v>7</v>
      </c>
      <c r="I5" s="15">
        <v>12</v>
      </c>
      <c r="J5" s="15">
        <v>4</v>
      </c>
      <c r="K5" s="15" t="str">
        <f t="shared" si="0"/>
        <v>limsalominsalowerdecks</v>
      </c>
      <c r="L5" s="15" t="s">
        <v>11233</v>
      </c>
      <c r="M5" s="15">
        <v>1</v>
      </c>
      <c r="N5" s="15" t="s">
        <v>11222</v>
      </c>
      <c r="O5" s="15"/>
      <c r="P5" s="15"/>
      <c r="Q5" s="15"/>
      <c r="R5" s="15"/>
      <c r="S5" s="15"/>
      <c r="T5" s="15">
        <v>0</v>
      </c>
      <c r="U5" s="15"/>
      <c r="V5" s="15"/>
      <c r="W5" s="15"/>
      <c r="X5" s="15"/>
      <c r="Y5" s="15"/>
      <c r="Z5" s="15"/>
    </row>
    <row r="6" spans="1:26" x14ac:dyDescent="0.25">
      <c r="A6" s="15" t="s">
        <v>14084</v>
      </c>
      <c r="B6" s="15">
        <v>5</v>
      </c>
      <c r="C6" s="15" t="s">
        <v>11277</v>
      </c>
      <c r="D6" s="15" t="s">
        <v>11277</v>
      </c>
      <c r="E6" s="15" t="s">
        <v>1067</v>
      </c>
      <c r="F6" s="15" t="s">
        <v>1073</v>
      </c>
      <c r="G6" s="15" t="s">
        <v>11230</v>
      </c>
      <c r="H6" s="15">
        <v>7</v>
      </c>
      <c r="I6" s="15">
        <v>12</v>
      </c>
      <c r="J6" s="15">
        <v>6</v>
      </c>
      <c r="K6" s="15" t="str">
        <f t="shared" si="0"/>
        <v>limsalominsalowerdecks</v>
      </c>
      <c r="L6" s="15" t="s">
        <v>11234</v>
      </c>
      <c r="M6" s="15">
        <v>1</v>
      </c>
      <c r="N6" s="15" t="s">
        <v>11222</v>
      </c>
      <c r="O6" s="15"/>
      <c r="P6" s="15"/>
      <c r="Q6" s="15"/>
      <c r="R6" s="15"/>
      <c r="S6" s="15"/>
      <c r="T6" s="15">
        <v>0</v>
      </c>
      <c r="U6" s="15"/>
      <c r="V6" s="15"/>
      <c r="W6" s="15"/>
      <c r="X6" s="15"/>
      <c r="Y6" s="15"/>
      <c r="Z6" s="15"/>
    </row>
    <row r="7" spans="1:26" x14ac:dyDescent="0.25">
      <c r="A7" s="15" t="s">
        <v>14085</v>
      </c>
      <c r="B7" s="15">
        <v>6</v>
      </c>
      <c r="C7" s="15" t="s">
        <v>11277</v>
      </c>
      <c r="D7" s="15" t="s">
        <v>11277</v>
      </c>
      <c r="E7" s="15" t="s">
        <v>1067</v>
      </c>
      <c r="F7" s="15" t="s">
        <v>1073</v>
      </c>
      <c r="G7" s="15" t="s">
        <v>11231</v>
      </c>
      <c r="H7" s="15">
        <v>7</v>
      </c>
      <c r="I7" s="15">
        <v>12</v>
      </c>
      <c r="J7" s="15">
        <v>7</v>
      </c>
      <c r="K7" s="15" t="str">
        <f t="shared" si="0"/>
        <v>limsalominsalowerdecks</v>
      </c>
      <c r="L7" s="15" t="s">
        <v>11234</v>
      </c>
      <c r="M7" s="15">
        <v>2</v>
      </c>
      <c r="N7" s="15" t="s">
        <v>11223</v>
      </c>
      <c r="O7" s="15"/>
      <c r="P7" s="15"/>
      <c r="Q7" s="15"/>
      <c r="R7" s="15"/>
      <c r="S7" s="15"/>
      <c r="T7" s="15">
        <v>0</v>
      </c>
      <c r="U7" s="15"/>
      <c r="V7" s="15"/>
      <c r="W7" s="15"/>
      <c r="X7" s="15"/>
      <c r="Y7" s="15"/>
      <c r="Z7" s="15"/>
    </row>
    <row r="8" spans="1:26" x14ac:dyDescent="0.25">
      <c r="A8" s="15" t="s">
        <v>14086</v>
      </c>
      <c r="B8" s="15">
        <v>7</v>
      </c>
      <c r="C8" s="15" t="s">
        <v>11277</v>
      </c>
      <c r="D8" s="15" t="s">
        <v>11277</v>
      </c>
      <c r="E8" s="15" t="s">
        <v>1067</v>
      </c>
      <c r="F8" s="15" t="s">
        <v>1073</v>
      </c>
      <c r="G8" s="15" t="s">
        <v>11232</v>
      </c>
      <c r="H8" s="15">
        <v>7</v>
      </c>
      <c r="I8" s="15">
        <v>12</v>
      </c>
      <c r="J8" s="15">
        <v>9</v>
      </c>
      <c r="K8" s="15" t="str">
        <f t="shared" si="0"/>
        <v>limsalominsalowerdecks</v>
      </c>
      <c r="L8" s="15" t="s">
        <v>11234</v>
      </c>
      <c r="M8" s="15">
        <v>2</v>
      </c>
      <c r="N8" s="15" t="s">
        <v>11223</v>
      </c>
      <c r="O8" s="15"/>
      <c r="P8" s="15"/>
      <c r="Q8" s="15"/>
      <c r="R8" s="15"/>
      <c r="S8" s="15"/>
      <c r="T8" s="15">
        <v>0</v>
      </c>
      <c r="U8" s="15"/>
      <c r="V8" s="15"/>
      <c r="W8" s="15"/>
      <c r="X8" s="15"/>
      <c r="Y8" s="15"/>
      <c r="Z8" s="15"/>
    </row>
    <row r="9" spans="1:26" x14ac:dyDescent="0.25">
      <c r="A9" s="15" t="s">
        <v>14087</v>
      </c>
      <c r="B9" s="15">
        <v>8</v>
      </c>
      <c r="C9" s="15" t="s">
        <v>11277</v>
      </c>
      <c r="D9" s="15" t="s">
        <v>11277</v>
      </c>
      <c r="E9" s="15" t="s">
        <v>1067</v>
      </c>
      <c r="F9" s="15" t="s">
        <v>1073</v>
      </c>
      <c r="G9" s="15" t="s">
        <v>11224</v>
      </c>
      <c r="H9" s="15">
        <v>7</v>
      </c>
      <c r="I9" s="15">
        <v>12</v>
      </c>
      <c r="J9" s="15">
        <v>21</v>
      </c>
      <c r="K9" s="15" t="str">
        <f t="shared" si="0"/>
        <v>limsalominsalowerdecks</v>
      </c>
      <c r="L9" s="15" t="s">
        <v>14088</v>
      </c>
      <c r="M9" s="15">
        <v>2</v>
      </c>
      <c r="N9" s="15" t="s">
        <v>11223</v>
      </c>
      <c r="O9" s="15"/>
      <c r="P9" s="15"/>
      <c r="Q9" s="15" t="s">
        <v>11227</v>
      </c>
      <c r="R9" s="15" t="s">
        <v>11231</v>
      </c>
      <c r="S9" s="15" t="s">
        <v>11230</v>
      </c>
      <c r="T9" s="15">
        <v>0</v>
      </c>
      <c r="U9" s="15"/>
      <c r="V9" s="15"/>
      <c r="W9" s="15"/>
      <c r="X9" s="15"/>
      <c r="Y9" s="15"/>
      <c r="Z9" s="15"/>
    </row>
    <row r="10" spans="1:26" x14ac:dyDescent="0.25">
      <c r="A10" s="15" t="s">
        <v>14089</v>
      </c>
      <c r="B10" s="15">
        <v>9</v>
      </c>
      <c r="C10" s="15" t="s">
        <v>11277</v>
      </c>
      <c r="D10" s="15" t="s">
        <v>11277</v>
      </c>
      <c r="E10" s="15" t="s">
        <v>1067</v>
      </c>
      <c r="F10" s="15" t="s">
        <v>1073</v>
      </c>
      <c r="G10" s="15" t="s">
        <v>11225</v>
      </c>
      <c r="H10" s="15">
        <v>7</v>
      </c>
      <c r="I10" s="15">
        <v>12</v>
      </c>
      <c r="J10" s="15">
        <v>50</v>
      </c>
      <c r="K10" s="15" t="str">
        <f t="shared" si="0"/>
        <v>limsalominsalowerdecks</v>
      </c>
      <c r="L10" s="15" t="s">
        <v>14088</v>
      </c>
      <c r="M10" s="15">
        <v>3</v>
      </c>
      <c r="N10" s="15" t="s">
        <v>11223</v>
      </c>
      <c r="O10" s="15" t="s">
        <v>14013</v>
      </c>
      <c r="P10" s="15"/>
      <c r="Q10" s="15" t="s">
        <v>11227</v>
      </c>
      <c r="R10" s="15" t="s">
        <v>11231</v>
      </c>
      <c r="S10" s="15"/>
      <c r="T10" s="15">
        <v>2</v>
      </c>
      <c r="U10" s="15"/>
      <c r="V10" s="15"/>
      <c r="W10" s="15"/>
      <c r="X10" s="15"/>
      <c r="Y10" s="15"/>
      <c r="Z10" s="15"/>
    </row>
    <row r="11" spans="1:26" x14ac:dyDescent="0.25">
      <c r="A11" s="15" t="s">
        <v>14090</v>
      </c>
      <c r="B11" s="15">
        <v>10</v>
      </c>
      <c r="C11" s="15" t="s">
        <v>11277</v>
      </c>
      <c r="D11" s="15" t="s">
        <v>11277</v>
      </c>
      <c r="E11" s="15" t="s">
        <v>1067</v>
      </c>
      <c r="F11" s="15" t="s">
        <v>1069</v>
      </c>
      <c r="G11" s="15" t="s">
        <v>11227</v>
      </c>
      <c r="H11" s="15">
        <v>10</v>
      </c>
      <c r="I11" s="15">
        <v>11</v>
      </c>
      <c r="J11" s="15">
        <v>3</v>
      </c>
      <c r="K11" s="15" t="str">
        <f t="shared" si="0"/>
        <v>limsalominsaupperdecks</v>
      </c>
      <c r="L11" s="15" t="s">
        <v>11233</v>
      </c>
      <c r="M11" s="15">
        <v>1</v>
      </c>
      <c r="N11" s="15" t="s">
        <v>11222</v>
      </c>
      <c r="O11" s="15"/>
      <c r="P11" s="15"/>
      <c r="Q11" s="15"/>
      <c r="R11" s="15"/>
      <c r="S11" s="15"/>
      <c r="T11" s="15">
        <v>0</v>
      </c>
      <c r="U11" s="15"/>
      <c r="V11" s="15"/>
      <c r="W11" s="15"/>
      <c r="X11" s="15"/>
      <c r="Y11" s="15"/>
      <c r="Z11" s="15"/>
    </row>
    <row r="12" spans="1:26" x14ac:dyDescent="0.25">
      <c r="A12" s="15" t="s">
        <v>14091</v>
      </c>
      <c r="B12" s="15">
        <v>11</v>
      </c>
      <c r="C12" s="15" t="s">
        <v>11277</v>
      </c>
      <c r="D12" s="15" t="s">
        <v>11277</v>
      </c>
      <c r="E12" s="15" t="s">
        <v>1067</v>
      </c>
      <c r="F12" s="15" t="s">
        <v>1069</v>
      </c>
      <c r="G12" s="15" t="s">
        <v>11226</v>
      </c>
      <c r="H12" s="15">
        <v>10</v>
      </c>
      <c r="I12" s="15">
        <v>11</v>
      </c>
      <c r="J12" s="15">
        <v>3</v>
      </c>
      <c r="K12" s="15" t="str">
        <f t="shared" si="0"/>
        <v>limsalominsaupperdecks</v>
      </c>
      <c r="L12" s="15" t="s">
        <v>11233</v>
      </c>
      <c r="M12" s="15">
        <v>1</v>
      </c>
      <c r="N12" s="15" t="s">
        <v>11222</v>
      </c>
      <c r="O12" s="15"/>
      <c r="P12" s="15"/>
      <c r="Q12" s="15"/>
      <c r="R12" s="15"/>
      <c r="S12" s="15"/>
      <c r="T12" s="15">
        <v>0</v>
      </c>
      <c r="U12" s="15"/>
      <c r="V12" s="15"/>
      <c r="W12" s="15"/>
      <c r="X12" s="15"/>
      <c r="Y12" s="15"/>
      <c r="Z12" s="15"/>
    </row>
    <row r="13" spans="1:26" x14ac:dyDescent="0.25">
      <c r="A13" s="15" t="s">
        <v>14092</v>
      </c>
      <c r="B13" s="15">
        <v>12</v>
      </c>
      <c r="C13" s="15" t="s">
        <v>11277</v>
      </c>
      <c r="D13" s="15" t="s">
        <v>11277</v>
      </c>
      <c r="E13" s="15" t="s">
        <v>1067</v>
      </c>
      <c r="F13" s="15" t="s">
        <v>1069</v>
      </c>
      <c r="G13" s="15" t="s">
        <v>11228</v>
      </c>
      <c r="H13" s="15">
        <v>10</v>
      </c>
      <c r="I13" s="15">
        <v>11</v>
      </c>
      <c r="J13" s="15">
        <v>4</v>
      </c>
      <c r="K13" s="15" t="str">
        <f t="shared" si="0"/>
        <v>limsalominsaupperdecks</v>
      </c>
      <c r="L13" s="15" t="s">
        <v>11233</v>
      </c>
      <c r="M13" s="15">
        <v>1</v>
      </c>
      <c r="N13" s="15" t="s">
        <v>11222</v>
      </c>
      <c r="O13" s="15"/>
      <c r="P13" s="15"/>
      <c r="Q13" s="15"/>
      <c r="R13" s="15"/>
      <c r="S13" s="15"/>
      <c r="T13" s="15">
        <v>0</v>
      </c>
      <c r="U13" s="15"/>
      <c r="V13" s="15"/>
      <c r="W13" s="15"/>
      <c r="X13" s="15"/>
      <c r="Y13" s="15"/>
      <c r="Z13" s="15"/>
    </row>
    <row r="14" spans="1:26" x14ac:dyDescent="0.25">
      <c r="A14" s="15" t="s">
        <v>14093</v>
      </c>
      <c r="B14" s="15">
        <v>13</v>
      </c>
      <c r="C14" s="15" t="s">
        <v>11277</v>
      </c>
      <c r="D14" s="15" t="s">
        <v>11277</v>
      </c>
      <c r="E14" s="15" t="s">
        <v>1067</v>
      </c>
      <c r="F14" s="15" t="s">
        <v>1069</v>
      </c>
      <c r="G14" s="15" t="s">
        <v>11229</v>
      </c>
      <c r="H14" s="15">
        <v>10</v>
      </c>
      <c r="I14" s="15">
        <v>11</v>
      </c>
      <c r="J14" s="15">
        <v>4</v>
      </c>
      <c r="K14" s="15" t="str">
        <f t="shared" si="0"/>
        <v>limsalominsaupperdecks</v>
      </c>
      <c r="L14" s="15" t="s">
        <v>11233</v>
      </c>
      <c r="M14" s="15">
        <v>1</v>
      </c>
      <c r="N14" s="15" t="s">
        <v>11222</v>
      </c>
      <c r="O14" s="15"/>
      <c r="P14" s="15"/>
      <c r="Q14" s="15"/>
      <c r="R14" s="15"/>
      <c r="S14" s="15"/>
      <c r="T14" s="15">
        <v>0</v>
      </c>
      <c r="U14" s="15"/>
      <c r="V14" s="15"/>
      <c r="W14" s="15"/>
      <c r="X14" s="15"/>
      <c r="Y14" s="15"/>
      <c r="Z14" s="15"/>
    </row>
    <row r="15" spans="1:26" x14ac:dyDescent="0.25">
      <c r="A15" s="15" t="s">
        <v>14094</v>
      </c>
      <c r="B15" s="15">
        <v>14</v>
      </c>
      <c r="C15" s="15" t="s">
        <v>11277</v>
      </c>
      <c r="D15" s="15" t="s">
        <v>11277</v>
      </c>
      <c r="E15" s="15" t="s">
        <v>1067</v>
      </c>
      <c r="F15" s="15" t="s">
        <v>1069</v>
      </c>
      <c r="G15" s="15" t="s">
        <v>11230</v>
      </c>
      <c r="H15" s="15">
        <v>10</v>
      </c>
      <c r="I15" s="15">
        <v>11</v>
      </c>
      <c r="J15" s="15">
        <v>6</v>
      </c>
      <c r="K15" s="15" t="str">
        <f t="shared" si="0"/>
        <v>limsalominsaupperdecks</v>
      </c>
      <c r="L15" s="15" t="s">
        <v>11234</v>
      </c>
      <c r="M15" s="15">
        <v>1</v>
      </c>
      <c r="N15" s="15" t="s">
        <v>11222</v>
      </c>
      <c r="O15" s="15"/>
      <c r="P15" s="15"/>
      <c r="Q15" s="15"/>
      <c r="R15" s="15"/>
      <c r="S15" s="15"/>
      <c r="T15" s="15">
        <v>0</v>
      </c>
      <c r="U15" s="15"/>
      <c r="V15" s="15"/>
      <c r="W15" s="15"/>
      <c r="X15" s="15"/>
      <c r="Y15" s="15"/>
      <c r="Z15" s="15"/>
    </row>
    <row r="16" spans="1:26" x14ac:dyDescent="0.25">
      <c r="A16" s="15" t="s">
        <v>14095</v>
      </c>
      <c r="B16" s="15">
        <v>15</v>
      </c>
      <c r="C16" s="15" t="s">
        <v>11277</v>
      </c>
      <c r="D16" s="15" t="s">
        <v>11277</v>
      </c>
      <c r="E16" s="15" t="s">
        <v>1067</v>
      </c>
      <c r="F16" s="15" t="s">
        <v>1069</v>
      </c>
      <c r="G16" s="15" t="s">
        <v>11231</v>
      </c>
      <c r="H16" s="15">
        <v>10</v>
      </c>
      <c r="I16" s="15">
        <v>11</v>
      </c>
      <c r="J16" s="15">
        <v>7</v>
      </c>
      <c r="K16" s="15" t="str">
        <f t="shared" si="0"/>
        <v>limsalominsaupperdecks</v>
      </c>
      <c r="L16" s="15" t="s">
        <v>11234</v>
      </c>
      <c r="M16" s="15">
        <v>2</v>
      </c>
      <c r="N16" s="15" t="s">
        <v>11223</v>
      </c>
      <c r="O16" s="15"/>
      <c r="P16" s="15"/>
      <c r="Q16" s="15"/>
      <c r="R16" s="15"/>
      <c r="S16" s="15"/>
      <c r="T16" s="15">
        <v>0</v>
      </c>
      <c r="U16" s="15"/>
      <c r="V16" s="15"/>
      <c r="W16" s="15"/>
      <c r="X16" s="15"/>
      <c r="Y16" s="15"/>
      <c r="Z16" s="15"/>
    </row>
    <row r="17" spans="1:26" x14ac:dyDescent="0.25">
      <c r="A17" s="15" t="s">
        <v>14096</v>
      </c>
      <c r="B17" s="15">
        <v>16</v>
      </c>
      <c r="C17" s="15" t="s">
        <v>11277</v>
      </c>
      <c r="D17" s="15" t="s">
        <v>11277</v>
      </c>
      <c r="E17" s="15" t="s">
        <v>1067</v>
      </c>
      <c r="F17" s="15" t="s">
        <v>1069</v>
      </c>
      <c r="G17" s="15" t="s">
        <v>11232</v>
      </c>
      <c r="H17" s="15">
        <v>10</v>
      </c>
      <c r="I17" s="15">
        <v>11</v>
      </c>
      <c r="J17" s="15">
        <v>9</v>
      </c>
      <c r="K17" s="15" t="str">
        <f t="shared" si="0"/>
        <v>limsalominsaupperdecks</v>
      </c>
      <c r="L17" s="15" t="s">
        <v>11234</v>
      </c>
      <c r="M17" s="15">
        <v>2</v>
      </c>
      <c r="N17" s="15" t="s">
        <v>11223</v>
      </c>
      <c r="O17" s="15"/>
      <c r="P17" s="15"/>
      <c r="Q17" s="15"/>
      <c r="R17" s="15"/>
      <c r="S17" s="15"/>
      <c r="T17" s="15">
        <v>0</v>
      </c>
      <c r="U17" s="15"/>
      <c r="V17" s="15"/>
      <c r="W17" s="15"/>
      <c r="X17" s="15"/>
      <c r="Y17" s="15"/>
      <c r="Z17" s="15"/>
    </row>
    <row r="18" spans="1:26" x14ac:dyDescent="0.25">
      <c r="A18" s="15" t="s">
        <v>14097</v>
      </c>
      <c r="B18" s="15">
        <v>17</v>
      </c>
      <c r="C18" s="15" t="s">
        <v>11277</v>
      </c>
      <c r="D18" s="15" t="s">
        <v>11277</v>
      </c>
      <c r="E18" s="15" t="s">
        <v>1067</v>
      </c>
      <c r="F18" s="15" t="s">
        <v>1069</v>
      </c>
      <c r="G18" s="15" t="s">
        <v>11224</v>
      </c>
      <c r="H18" s="15">
        <v>10</v>
      </c>
      <c r="I18" s="15">
        <v>11</v>
      </c>
      <c r="J18" s="15">
        <v>21</v>
      </c>
      <c r="K18" s="15" t="str">
        <f t="shared" si="0"/>
        <v>limsalominsaupperdecks</v>
      </c>
      <c r="L18" s="15" t="s">
        <v>14088</v>
      </c>
      <c r="M18" s="15">
        <v>2</v>
      </c>
      <c r="N18" s="15" t="s">
        <v>11223</v>
      </c>
      <c r="O18" s="15"/>
      <c r="P18" s="15"/>
      <c r="Q18" s="15" t="s">
        <v>11227</v>
      </c>
      <c r="R18" s="15" t="s">
        <v>11231</v>
      </c>
      <c r="S18" s="15" t="s">
        <v>11230</v>
      </c>
      <c r="T18" s="15">
        <v>0</v>
      </c>
      <c r="U18" s="15"/>
      <c r="V18" s="15"/>
      <c r="W18" s="15"/>
      <c r="X18" s="15"/>
      <c r="Y18" s="15"/>
      <c r="Z18" s="15"/>
    </row>
    <row r="19" spans="1:26" x14ac:dyDescent="0.25">
      <c r="A19" s="15" t="s">
        <v>14098</v>
      </c>
      <c r="B19" s="15">
        <v>18</v>
      </c>
      <c r="C19" s="15" t="s">
        <v>11277</v>
      </c>
      <c r="D19" s="15" t="s">
        <v>11277</v>
      </c>
      <c r="E19" s="15" t="s">
        <v>1067</v>
      </c>
      <c r="F19" s="15" t="s">
        <v>1069</v>
      </c>
      <c r="G19" s="15" t="s">
        <v>11238</v>
      </c>
      <c r="H19" s="15">
        <v>10</v>
      </c>
      <c r="I19" s="15">
        <v>11</v>
      </c>
      <c r="J19" s="15">
        <v>50</v>
      </c>
      <c r="K19" s="15" t="str">
        <f t="shared" si="0"/>
        <v>limsalominsaupperdecks</v>
      </c>
      <c r="L19" s="15" t="s">
        <v>11234</v>
      </c>
      <c r="M19" s="15">
        <v>3</v>
      </c>
      <c r="N19" s="15" t="s">
        <v>11222</v>
      </c>
      <c r="O19" s="15" t="s">
        <v>14010</v>
      </c>
      <c r="P19" s="15"/>
      <c r="Q19" s="15"/>
      <c r="R19" s="15"/>
      <c r="S19" s="15"/>
      <c r="T19" s="15">
        <v>2</v>
      </c>
      <c r="U19" s="15"/>
      <c r="V19" s="15"/>
      <c r="W19" s="15"/>
      <c r="X19" s="15"/>
      <c r="Y19" s="15"/>
      <c r="Z19" s="15"/>
    </row>
    <row r="20" spans="1:26" x14ac:dyDescent="0.25">
      <c r="A20" s="15" t="s">
        <v>14099</v>
      </c>
      <c r="B20" s="15">
        <v>19</v>
      </c>
      <c r="C20" s="15" t="s">
        <v>11277</v>
      </c>
      <c r="D20" s="15" t="s">
        <v>11277</v>
      </c>
      <c r="E20" s="15" t="s">
        <v>1067</v>
      </c>
      <c r="F20" s="15" t="s">
        <v>1089</v>
      </c>
      <c r="G20" s="15" t="s">
        <v>11227</v>
      </c>
      <c r="H20" s="15">
        <v>18</v>
      </c>
      <c r="I20" s="15">
        <v>22</v>
      </c>
      <c r="J20" s="15">
        <v>3</v>
      </c>
      <c r="K20" s="15" t="str">
        <f t="shared" si="0"/>
        <v>zephyrdrift</v>
      </c>
      <c r="L20" s="15" t="s">
        <v>11233</v>
      </c>
      <c r="M20" s="15">
        <v>1</v>
      </c>
      <c r="N20" s="15" t="s">
        <v>11222</v>
      </c>
      <c r="O20" s="15"/>
      <c r="P20" s="15"/>
      <c r="Q20" s="15"/>
      <c r="R20" s="15"/>
      <c r="S20" s="15"/>
      <c r="T20" s="15">
        <v>0</v>
      </c>
      <c r="U20" s="15"/>
      <c r="V20" s="15"/>
      <c r="W20" s="15"/>
      <c r="X20" s="15"/>
      <c r="Y20" s="15"/>
      <c r="Z20" s="15"/>
    </row>
    <row r="21" spans="1:26" x14ac:dyDescent="0.25">
      <c r="A21" s="15" t="s">
        <v>14100</v>
      </c>
      <c r="B21" s="15">
        <v>20</v>
      </c>
      <c r="C21" s="15" t="s">
        <v>11277</v>
      </c>
      <c r="D21" s="15" t="s">
        <v>11277</v>
      </c>
      <c r="E21" s="15" t="s">
        <v>1067</v>
      </c>
      <c r="F21" s="15" t="s">
        <v>1089</v>
      </c>
      <c r="G21" s="15" t="s">
        <v>11226</v>
      </c>
      <c r="H21" s="15">
        <v>18</v>
      </c>
      <c r="I21" s="15">
        <v>22</v>
      </c>
      <c r="J21" s="15">
        <v>3</v>
      </c>
      <c r="K21" s="15" t="str">
        <f t="shared" si="0"/>
        <v>zephyrdrift</v>
      </c>
      <c r="L21" s="15" t="s">
        <v>11233</v>
      </c>
      <c r="M21" s="15">
        <v>1</v>
      </c>
      <c r="N21" s="15" t="s">
        <v>11222</v>
      </c>
      <c r="O21" s="15"/>
      <c r="P21" s="15"/>
      <c r="Q21" s="15"/>
      <c r="R21" s="15"/>
      <c r="S21" s="15"/>
      <c r="T21" s="15">
        <v>0</v>
      </c>
      <c r="U21" s="15"/>
      <c r="V21" s="15"/>
      <c r="W21" s="15"/>
      <c r="X21" s="15"/>
      <c r="Y21" s="15"/>
      <c r="Z21" s="15"/>
    </row>
    <row r="22" spans="1:26" x14ac:dyDescent="0.25">
      <c r="A22" s="15" t="s">
        <v>14101</v>
      </c>
      <c r="B22" s="15">
        <v>21</v>
      </c>
      <c r="C22" s="15" t="s">
        <v>11277</v>
      </c>
      <c r="D22" s="15" t="s">
        <v>11277</v>
      </c>
      <c r="E22" s="15" t="s">
        <v>1067</v>
      </c>
      <c r="F22" s="15" t="s">
        <v>1089</v>
      </c>
      <c r="G22" s="15" t="s">
        <v>11229</v>
      </c>
      <c r="H22" s="15">
        <v>18</v>
      </c>
      <c r="I22" s="15">
        <v>22</v>
      </c>
      <c r="J22" s="15">
        <v>4</v>
      </c>
      <c r="K22" s="15" t="str">
        <f t="shared" si="0"/>
        <v>zephyrdrift</v>
      </c>
      <c r="L22" s="15" t="s">
        <v>11233</v>
      </c>
      <c r="M22" s="15">
        <v>1</v>
      </c>
      <c r="N22" s="15" t="s">
        <v>11222</v>
      </c>
      <c r="O22" s="15"/>
      <c r="P22" s="15"/>
      <c r="Q22" s="15"/>
      <c r="R22" s="15"/>
      <c r="S22" s="15"/>
      <c r="T22" s="15">
        <v>0</v>
      </c>
      <c r="U22" s="15"/>
      <c r="V22" s="15"/>
      <c r="W22" s="15"/>
      <c r="X22" s="15"/>
      <c r="Y22" s="15"/>
      <c r="Z22" s="15"/>
    </row>
    <row r="23" spans="1:26" x14ac:dyDescent="0.25">
      <c r="A23" s="15" t="s">
        <v>14102</v>
      </c>
      <c r="B23" s="15">
        <v>22</v>
      </c>
      <c r="C23" s="15" t="s">
        <v>11277</v>
      </c>
      <c r="D23" s="15" t="s">
        <v>11277</v>
      </c>
      <c r="E23" s="15" t="s">
        <v>1067</v>
      </c>
      <c r="F23" s="15" t="s">
        <v>1089</v>
      </c>
      <c r="G23" s="15" t="s">
        <v>11230</v>
      </c>
      <c r="H23" s="15">
        <v>18</v>
      </c>
      <c r="I23" s="15">
        <v>22</v>
      </c>
      <c r="J23" s="15">
        <v>6</v>
      </c>
      <c r="K23" s="15" t="str">
        <f t="shared" si="0"/>
        <v>zephyrdrift</v>
      </c>
      <c r="L23" s="15" t="s">
        <v>11234</v>
      </c>
      <c r="M23" s="15">
        <v>1</v>
      </c>
      <c r="N23" s="15" t="s">
        <v>11222</v>
      </c>
      <c r="O23" s="15"/>
      <c r="P23" s="15"/>
      <c r="Q23" s="15"/>
      <c r="R23" s="15"/>
      <c r="S23" s="15"/>
      <c r="T23" s="15">
        <v>0</v>
      </c>
      <c r="U23" s="15"/>
      <c r="V23" s="15"/>
      <c r="W23" s="15"/>
      <c r="X23" s="15"/>
      <c r="Y23" s="15"/>
      <c r="Z23" s="15"/>
    </row>
    <row r="24" spans="1:26" x14ac:dyDescent="0.25">
      <c r="A24" s="15" t="s">
        <v>14103</v>
      </c>
      <c r="B24" s="15">
        <v>23</v>
      </c>
      <c r="C24" s="15" t="s">
        <v>11277</v>
      </c>
      <c r="D24" s="15" t="s">
        <v>11277</v>
      </c>
      <c r="E24" s="15" t="s">
        <v>1067</v>
      </c>
      <c r="F24" s="15" t="s">
        <v>1089</v>
      </c>
      <c r="G24" s="15" t="s">
        <v>11243</v>
      </c>
      <c r="H24" s="15">
        <v>18</v>
      </c>
      <c r="I24" s="15">
        <v>22</v>
      </c>
      <c r="J24" s="15">
        <v>7</v>
      </c>
      <c r="K24" s="15" t="str">
        <f t="shared" si="0"/>
        <v>zephyrdrift</v>
      </c>
      <c r="L24" s="15" t="s">
        <v>11234</v>
      </c>
      <c r="M24" s="15">
        <v>1</v>
      </c>
      <c r="N24" s="15" t="s">
        <v>11222</v>
      </c>
      <c r="O24" s="15"/>
      <c r="P24" s="15"/>
      <c r="Q24" s="15"/>
      <c r="R24" s="15"/>
      <c r="S24" s="15"/>
      <c r="T24" s="15">
        <v>0</v>
      </c>
      <c r="U24" s="15"/>
      <c r="V24" s="15"/>
      <c r="W24" s="15"/>
      <c r="X24" s="15"/>
      <c r="Y24" s="15"/>
      <c r="Z24" s="15"/>
    </row>
    <row r="25" spans="1:26" x14ac:dyDescent="0.25">
      <c r="A25" s="15" t="s">
        <v>14104</v>
      </c>
      <c r="B25" s="15">
        <v>24</v>
      </c>
      <c r="C25" s="15" t="s">
        <v>11277</v>
      </c>
      <c r="D25" s="15" t="s">
        <v>11277</v>
      </c>
      <c r="E25" s="15" t="s">
        <v>1067</v>
      </c>
      <c r="F25" s="15" t="s">
        <v>1089</v>
      </c>
      <c r="G25" s="15" t="s">
        <v>11231</v>
      </c>
      <c r="H25" s="15">
        <v>18</v>
      </c>
      <c r="I25" s="15">
        <v>22</v>
      </c>
      <c r="J25" s="15">
        <v>7</v>
      </c>
      <c r="K25" s="15" t="str">
        <f t="shared" si="0"/>
        <v>zephyrdrift</v>
      </c>
      <c r="L25" s="15" t="s">
        <v>11234</v>
      </c>
      <c r="M25" s="15">
        <v>2</v>
      </c>
      <c r="N25" s="15" t="s">
        <v>11223</v>
      </c>
      <c r="O25" s="15"/>
      <c r="P25" s="15"/>
      <c r="Q25" s="15"/>
      <c r="R25" s="15"/>
      <c r="S25" s="15"/>
      <c r="T25" s="15">
        <v>0</v>
      </c>
      <c r="U25" s="15"/>
      <c r="V25" s="15"/>
      <c r="W25" s="15"/>
      <c r="X25" s="15"/>
      <c r="Y25" s="15"/>
      <c r="Z25" s="15"/>
    </row>
    <row r="26" spans="1:26" x14ac:dyDescent="0.25">
      <c r="A26" s="15" t="s">
        <v>14105</v>
      </c>
      <c r="B26" s="15">
        <v>25</v>
      </c>
      <c r="C26" s="15" t="s">
        <v>11277</v>
      </c>
      <c r="D26" s="15" t="s">
        <v>11277</v>
      </c>
      <c r="E26" s="15" t="s">
        <v>1067</v>
      </c>
      <c r="F26" s="15" t="s">
        <v>1089</v>
      </c>
      <c r="G26" s="15" t="s">
        <v>11232</v>
      </c>
      <c r="H26" s="15">
        <v>18</v>
      </c>
      <c r="I26" s="15">
        <v>22</v>
      </c>
      <c r="J26" s="15">
        <v>9</v>
      </c>
      <c r="K26" s="15" t="str">
        <f t="shared" si="0"/>
        <v>zephyrdrift</v>
      </c>
      <c r="L26" s="15" t="s">
        <v>11234</v>
      </c>
      <c r="M26" s="15">
        <v>2</v>
      </c>
      <c r="N26" s="15" t="s">
        <v>11223</v>
      </c>
      <c r="O26" s="15"/>
      <c r="P26" s="15"/>
      <c r="Q26" s="15"/>
      <c r="R26" s="15"/>
      <c r="S26" s="15"/>
      <c r="T26" s="15">
        <v>0</v>
      </c>
      <c r="U26" s="15"/>
      <c r="V26" s="15"/>
      <c r="W26" s="15"/>
      <c r="X26" s="15"/>
      <c r="Y26" s="15"/>
      <c r="Z26" s="15"/>
    </row>
    <row r="27" spans="1:26" x14ac:dyDescent="0.25">
      <c r="A27" s="15" t="s">
        <v>14106</v>
      </c>
      <c r="B27" s="15">
        <v>26</v>
      </c>
      <c r="C27" s="15" t="s">
        <v>11277</v>
      </c>
      <c r="D27" s="15" t="s">
        <v>11277</v>
      </c>
      <c r="E27" s="15" t="s">
        <v>1067</v>
      </c>
      <c r="F27" s="15" t="s">
        <v>1089</v>
      </c>
      <c r="G27" s="15" t="s">
        <v>11244</v>
      </c>
      <c r="H27" s="15">
        <v>18</v>
      </c>
      <c r="I27" s="15">
        <v>22</v>
      </c>
      <c r="J27" s="15">
        <v>19</v>
      </c>
      <c r="K27" s="15" t="str">
        <f t="shared" si="0"/>
        <v>zephyrdrift</v>
      </c>
      <c r="L27" s="15" t="s">
        <v>11245</v>
      </c>
      <c r="M27" s="15">
        <v>2</v>
      </c>
      <c r="N27" s="15" t="s">
        <v>11223</v>
      </c>
      <c r="O27" s="15"/>
      <c r="P27" s="15"/>
      <c r="Q27" s="15"/>
      <c r="R27" s="15"/>
      <c r="S27" s="15"/>
      <c r="T27" s="15">
        <v>0</v>
      </c>
      <c r="U27" s="15"/>
      <c r="V27" s="15"/>
      <c r="W27" s="15"/>
      <c r="X27" s="15"/>
      <c r="Y27" s="15"/>
      <c r="Z27" s="15"/>
    </row>
    <row r="28" spans="1:26" x14ac:dyDescent="0.25">
      <c r="A28" s="15" t="s">
        <v>14107</v>
      </c>
      <c r="B28" s="15">
        <v>27</v>
      </c>
      <c r="C28" s="15" t="s">
        <v>11277</v>
      </c>
      <c r="D28" s="15" t="s">
        <v>11277</v>
      </c>
      <c r="E28" s="15" t="s">
        <v>1067</v>
      </c>
      <c r="F28" s="15" t="s">
        <v>1089</v>
      </c>
      <c r="G28" s="15" t="s">
        <v>11224</v>
      </c>
      <c r="H28" s="15">
        <v>18</v>
      </c>
      <c r="I28" s="15">
        <v>22</v>
      </c>
      <c r="J28" s="15">
        <v>21</v>
      </c>
      <c r="K28" s="15" t="str">
        <f t="shared" si="0"/>
        <v>zephyrdrift</v>
      </c>
      <c r="L28" s="15" t="s">
        <v>14088</v>
      </c>
      <c r="M28" s="15">
        <v>2</v>
      </c>
      <c r="N28" s="15" t="s">
        <v>11223</v>
      </c>
      <c r="O28" s="15"/>
      <c r="P28" s="15"/>
      <c r="Q28" s="15" t="s">
        <v>11227</v>
      </c>
      <c r="R28" s="15" t="s">
        <v>11231</v>
      </c>
      <c r="S28" s="15" t="s">
        <v>11230</v>
      </c>
      <c r="T28" s="15">
        <v>0</v>
      </c>
      <c r="U28" s="15"/>
      <c r="V28" s="15"/>
      <c r="W28" s="15"/>
      <c r="X28" s="15"/>
      <c r="Y28" s="15"/>
      <c r="Z28" s="15"/>
    </row>
    <row r="29" spans="1:26" x14ac:dyDescent="0.25">
      <c r="A29" s="15" t="s">
        <v>14108</v>
      </c>
      <c r="B29" s="15">
        <v>28</v>
      </c>
      <c r="C29" s="15" t="s">
        <v>11277</v>
      </c>
      <c r="D29" s="15" t="s">
        <v>11277</v>
      </c>
      <c r="E29" s="15" t="s">
        <v>1067</v>
      </c>
      <c r="F29" s="15" t="s">
        <v>1089</v>
      </c>
      <c r="G29" s="15" t="s">
        <v>11246</v>
      </c>
      <c r="H29" s="15">
        <v>18</v>
      </c>
      <c r="I29" s="15">
        <v>22</v>
      </c>
      <c r="J29" s="15">
        <v>50</v>
      </c>
      <c r="K29" s="15" t="str">
        <f t="shared" si="0"/>
        <v>zephyrdrift</v>
      </c>
      <c r="L29" s="15" t="s">
        <v>11245</v>
      </c>
      <c r="M29" s="15">
        <v>3</v>
      </c>
      <c r="N29" s="15" t="s">
        <v>11222</v>
      </c>
      <c r="O29" s="15" t="s">
        <v>14010</v>
      </c>
      <c r="P29" s="15"/>
      <c r="Q29" s="15"/>
      <c r="R29" s="15"/>
      <c r="S29" s="15"/>
      <c r="T29" s="15">
        <v>2</v>
      </c>
      <c r="U29" s="15"/>
      <c r="V29" s="15"/>
      <c r="W29" s="15"/>
      <c r="X29" s="15"/>
      <c r="Y29" s="15"/>
      <c r="Z29" s="15"/>
    </row>
    <row r="30" spans="1:26" x14ac:dyDescent="0.25">
      <c r="A30" s="15" t="s">
        <v>14109</v>
      </c>
      <c r="B30" s="15">
        <v>29</v>
      </c>
      <c r="C30" s="15" t="s">
        <v>11277</v>
      </c>
      <c r="D30" s="15" t="s">
        <v>11277</v>
      </c>
      <c r="E30" s="15" t="s">
        <v>1067</v>
      </c>
      <c r="F30" s="15" t="s">
        <v>14110</v>
      </c>
      <c r="G30" s="15" t="s">
        <v>11247</v>
      </c>
      <c r="H30" s="15">
        <v>22</v>
      </c>
      <c r="I30" s="15">
        <v>22</v>
      </c>
      <c r="J30" s="15">
        <v>2</v>
      </c>
      <c r="K30" s="15" t="str">
        <f t="shared" si="0"/>
        <v>rogueriver</v>
      </c>
      <c r="L30" s="15" t="s">
        <v>11253</v>
      </c>
      <c r="M30" s="15">
        <v>1</v>
      </c>
      <c r="N30" s="15" t="s">
        <v>11222</v>
      </c>
      <c r="O30" s="15"/>
      <c r="P30" s="15"/>
      <c r="Q30" s="15"/>
      <c r="R30" s="15"/>
      <c r="S30" s="15"/>
      <c r="T30" s="15">
        <v>0</v>
      </c>
      <c r="U30" s="15"/>
      <c r="V30" s="15"/>
      <c r="W30" s="15"/>
      <c r="X30" s="15"/>
      <c r="Y30" s="15"/>
      <c r="Z30" s="15"/>
    </row>
    <row r="31" spans="1:26" x14ac:dyDescent="0.25">
      <c r="A31" s="15" t="s">
        <v>14111</v>
      </c>
      <c r="B31" s="15">
        <v>30</v>
      </c>
      <c r="C31" s="15" t="s">
        <v>11277</v>
      </c>
      <c r="D31" s="15" t="s">
        <v>11277</v>
      </c>
      <c r="E31" s="15" t="s">
        <v>1067</v>
      </c>
      <c r="F31" s="15" t="s">
        <v>14110</v>
      </c>
      <c r="G31" s="15" t="s">
        <v>11248</v>
      </c>
      <c r="H31" s="15">
        <v>22</v>
      </c>
      <c r="I31" s="15">
        <v>22</v>
      </c>
      <c r="J31" s="15">
        <v>3</v>
      </c>
      <c r="K31" s="15" t="str">
        <f t="shared" si="0"/>
        <v>rogueriver</v>
      </c>
      <c r="L31" s="15" t="s">
        <v>11253</v>
      </c>
      <c r="M31" s="15">
        <v>1</v>
      </c>
      <c r="N31" s="15" t="s">
        <v>11222</v>
      </c>
      <c r="O31" s="15"/>
      <c r="P31" s="15"/>
      <c r="Q31" s="15"/>
      <c r="R31" s="15"/>
      <c r="S31" s="15"/>
      <c r="T31" s="15">
        <v>0</v>
      </c>
      <c r="U31" s="15"/>
      <c r="V31" s="15"/>
      <c r="W31" s="15"/>
      <c r="X31" s="15"/>
      <c r="Y31" s="15"/>
      <c r="Z31" s="15"/>
    </row>
    <row r="32" spans="1:26" x14ac:dyDescent="0.25">
      <c r="A32" s="15" t="s">
        <v>14112</v>
      </c>
      <c r="B32" s="15">
        <v>31</v>
      </c>
      <c r="C32" s="15" t="s">
        <v>11277</v>
      </c>
      <c r="D32" s="15" t="s">
        <v>11277</v>
      </c>
      <c r="E32" s="15" t="s">
        <v>1067</v>
      </c>
      <c r="F32" s="15" t="s">
        <v>14110</v>
      </c>
      <c r="G32" s="15" t="s">
        <v>11249</v>
      </c>
      <c r="H32" s="15">
        <v>22</v>
      </c>
      <c r="I32" s="15">
        <v>22</v>
      </c>
      <c r="J32" s="15">
        <v>4</v>
      </c>
      <c r="K32" s="15" t="str">
        <f t="shared" si="0"/>
        <v>rogueriver</v>
      </c>
      <c r="L32" s="15" t="s">
        <v>11253</v>
      </c>
      <c r="M32" s="15">
        <v>1</v>
      </c>
      <c r="N32" s="15" t="s">
        <v>11222</v>
      </c>
      <c r="O32" s="15"/>
      <c r="P32" s="15"/>
      <c r="Q32" s="15"/>
      <c r="R32" s="15"/>
      <c r="S32" s="15"/>
      <c r="T32" s="15">
        <v>0</v>
      </c>
      <c r="U32" s="15"/>
      <c r="V32" s="15"/>
      <c r="W32" s="15"/>
      <c r="X32" s="15"/>
      <c r="Y32" s="15"/>
      <c r="Z32" s="15"/>
    </row>
    <row r="33" spans="1:26" x14ac:dyDescent="0.25">
      <c r="A33" s="15" t="s">
        <v>14113</v>
      </c>
      <c r="B33" s="15">
        <v>32</v>
      </c>
      <c r="C33" s="15" t="s">
        <v>11277</v>
      </c>
      <c r="D33" s="15" t="s">
        <v>11277</v>
      </c>
      <c r="E33" s="15" t="s">
        <v>1067</v>
      </c>
      <c r="F33" s="15" t="s">
        <v>14110</v>
      </c>
      <c r="G33" s="15" t="s">
        <v>11250</v>
      </c>
      <c r="H33" s="15">
        <v>22</v>
      </c>
      <c r="I33" s="15">
        <v>22</v>
      </c>
      <c r="J33" s="15">
        <v>5</v>
      </c>
      <c r="K33" s="15" t="str">
        <f t="shared" si="0"/>
        <v>rogueriver</v>
      </c>
      <c r="L33" s="15" t="s">
        <v>11257</v>
      </c>
      <c r="M33" s="15">
        <v>1</v>
      </c>
      <c r="N33" s="15" t="s">
        <v>11222</v>
      </c>
      <c r="O33" s="15"/>
      <c r="P33" s="15"/>
      <c r="Q33" s="15"/>
      <c r="R33" s="15"/>
      <c r="S33" s="15"/>
      <c r="T33" s="15">
        <v>0</v>
      </c>
      <c r="U33" s="15"/>
      <c r="V33" s="15"/>
      <c r="W33" s="15"/>
      <c r="X33" s="15"/>
      <c r="Y33" s="15"/>
      <c r="Z33" s="15"/>
    </row>
    <row r="34" spans="1:26" x14ac:dyDescent="0.25">
      <c r="A34" s="15" t="s">
        <v>14114</v>
      </c>
      <c r="B34" s="15">
        <v>33</v>
      </c>
      <c r="C34" s="15" t="s">
        <v>11277</v>
      </c>
      <c r="D34" s="15" t="s">
        <v>11277</v>
      </c>
      <c r="E34" s="15" t="s">
        <v>1067</v>
      </c>
      <c r="F34" s="15" t="s">
        <v>14110</v>
      </c>
      <c r="G34" s="15" t="s">
        <v>11251</v>
      </c>
      <c r="H34" s="15">
        <v>22</v>
      </c>
      <c r="I34" s="15">
        <v>22</v>
      </c>
      <c r="J34" s="15">
        <v>18</v>
      </c>
      <c r="K34" s="15" t="str">
        <f t="shared" si="0"/>
        <v>rogueriver</v>
      </c>
      <c r="L34" s="15" t="s">
        <v>11254</v>
      </c>
      <c r="M34" s="15">
        <v>2</v>
      </c>
      <c r="N34" s="15" t="s">
        <v>11223</v>
      </c>
      <c r="O34" s="15"/>
      <c r="P34" s="15"/>
      <c r="Q34" s="15"/>
      <c r="R34" s="15"/>
      <c r="S34" s="15"/>
      <c r="T34" s="15">
        <v>0</v>
      </c>
      <c r="U34" s="15"/>
      <c r="V34" s="15"/>
      <c r="W34" s="15"/>
      <c r="X34" s="15"/>
      <c r="Y34" s="15"/>
      <c r="Z34" s="15"/>
    </row>
    <row r="35" spans="1:26" x14ac:dyDescent="0.25">
      <c r="A35" s="15" t="s">
        <v>14115</v>
      </c>
      <c r="B35" s="15">
        <v>34</v>
      </c>
      <c r="C35" s="15" t="s">
        <v>11277</v>
      </c>
      <c r="D35" s="15" t="s">
        <v>11277</v>
      </c>
      <c r="E35" s="15" t="s">
        <v>1067</v>
      </c>
      <c r="F35" s="15" t="s">
        <v>14110</v>
      </c>
      <c r="G35" s="15" t="s">
        <v>11252</v>
      </c>
      <c r="H35" s="15">
        <v>22</v>
      </c>
      <c r="I35" s="15">
        <v>22</v>
      </c>
      <c r="J35" s="15">
        <v>50</v>
      </c>
      <c r="K35" s="15" t="str">
        <f t="shared" si="0"/>
        <v>rogueriver</v>
      </c>
      <c r="L35" s="15" t="s">
        <v>11253</v>
      </c>
      <c r="M35" s="15">
        <v>3</v>
      </c>
      <c r="N35" s="15" t="s">
        <v>11222</v>
      </c>
      <c r="O35" s="15" t="s">
        <v>14010</v>
      </c>
      <c r="P35" s="15"/>
      <c r="Q35" s="15"/>
      <c r="R35" s="15"/>
      <c r="S35" s="15"/>
      <c r="T35" s="15">
        <v>2</v>
      </c>
      <c r="U35" s="15"/>
      <c r="V35" s="15"/>
      <c r="W35" s="15"/>
      <c r="X35" s="15"/>
      <c r="Y35" s="15"/>
      <c r="Z35" s="15"/>
    </row>
    <row r="36" spans="1:26" x14ac:dyDescent="0.25">
      <c r="A36" s="15" t="s">
        <v>14116</v>
      </c>
      <c r="B36" s="15">
        <v>35</v>
      </c>
      <c r="C36" s="15" t="s">
        <v>11277</v>
      </c>
      <c r="D36" s="15" t="s">
        <v>11277</v>
      </c>
      <c r="E36" s="15" t="s">
        <v>1067</v>
      </c>
      <c r="F36" s="15" t="s">
        <v>14117</v>
      </c>
      <c r="G36" s="15" t="s">
        <v>11247</v>
      </c>
      <c r="H36" s="15">
        <v>20</v>
      </c>
      <c r="I36" s="15">
        <v>18</v>
      </c>
      <c r="J36" s="15">
        <v>2</v>
      </c>
      <c r="K36" s="15" t="str">
        <f t="shared" si="0"/>
        <v>westagelyssriver</v>
      </c>
      <c r="L36" s="15" t="s">
        <v>11253</v>
      </c>
      <c r="M36" s="15">
        <v>1</v>
      </c>
      <c r="N36" s="15" t="s">
        <v>11222</v>
      </c>
      <c r="O36" s="15"/>
      <c r="P36" s="15"/>
      <c r="Q36" s="15"/>
      <c r="R36" s="15"/>
      <c r="S36" s="15"/>
      <c r="T36" s="15">
        <v>0</v>
      </c>
      <c r="U36" s="15"/>
      <c r="V36" s="15"/>
      <c r="W36" s="15"/>
      <c r="X36" s="15"/>
      <c r="Y36" s="15"/>
      <c r="Z36" s="15"/>
    </row>
    <row r="37" spans="1:26" x14ac:dyDescent="0.25">
      <c r="A37" s="15" t="s">
        <v>14118</v>
      </c>
      <c r="B37" s="15">
        <v>36</v>
      </c>
      <c r="C37" s="15" t="s">
        <v>11277</v>
      </c>
      <c r="D37" s="15" t="s">
        <v>11277</v>
      </c>
      <c r="E37" s="15" t="s">
        <v>1067</v>
      </c>
      <c r="F37" s="15" t="s">
        <v>14117</v>
      </c>
      <c r="G37" s="15" t="s">
        <v>11248</v>
      </c>
      <c r="H37" s="15">
        <v>20</v>
      </c>
      <c r="I37" s="15">
        <v>18</v>
      </c>
      <c r="J37" s="15">
        <v>3</v>
      </c>
      <c r="K37" s="15" t="str">
        <f t="shared" si="0"/>
        <v>westagelyssriver</v>
      </c>
      <c r="L37" s="15" t="s">
        <v>11253</v>
      </c>
      <c r="M37" s="15">
        <v>1</v>
      </c>
      <c r="N37" s="15" t="s">
        <v>11222</v>
      </c>
      <c r="O37" s="15"/>
      <c r="P37" s="15"/>
      <c r="Q37" s="15"/>
      <c r="R37" s="15"/>
      <c r="S37" s="15"/>
      <c r="T37" s="15">
        <v>0</v>
      </c>
      <c r="U37" s="15"/>
      <c r="V37" s="15"/>
      <c r="W37" s="15"/>
      <c r="X37" s="15"/>
      <c r="Y37" s="15"/>
      <c r="Z37" s="15"/>
    </row>
    <row r="38" spans="1:26" x14ac:dyDescent="0.25">
      <c r="A38" s="15" t="s">
        <v>14119</v>
      </c>
      <c r="B38" s="15">
        <v>37</v>
      </c>
      <c r="C38" s="15" t="s">
        <v>11277</v>
      </c>
      <c r="D38" s="15" t="s">
        <v>11277</v>
      </c>
      <c r="E38" s="15" t="s">
        <v>1067</v>
      </c>
      <c r="F38" s="15" t="s">
        <v>14117</v>
      </c>
      <c r="G38" s="15" t="s">
        <v>11249</v>
      </c>
      <c r="H38" s="15">
        <v>20</v>
      </c>
      <c r="I38" s="15">
        <v>18</v>
      </c>
      <c r="J38" s="15">
        <v>4</v>
      </c>
      <c r="K38" s="15" t="str">
        <f t="shared" si="0"/>
        <v>westagelyssriver</v>
      </c>
      <c r="L38" s="15" t="s">
        <v>11253</v>
      </c>
      <c r="M38" s="15">
        <v>1</v>
      </c>
      <c r="N38" s="15" t="s">
        <v>11222</v>
      </c>
      <c r="O38" s="15"/>
      <c r="P38" s="15"/>
      <c r="Q38" s="15"/>
      <c r="R38" s="15"/>
      <c r="S38" s="15"/>
      <c r="T38" s="15">
        <v>0</v>
      </c>
      <c r="U38" s="15"/>
      <c r="V38" s="15"/>
      <c r="W38" s="15"/>
      <c r="X38" s="15"/>
      <c r="Y38" s="15"/>
      <c r="Z38" s="15"/>
    </row>
    <row r="39" spans="1:26" x14ac:dyDescent="0.25">
      <c r="A39" s="15" t="s">
        <v>14120</v>
      </c>
      <c r="B39" s="15">
        <v>38</v>
      </c>
      <c r="C39" s="15" t="s">
        <v>11277</v>
      </c>
      <c r="D39" s="15" t="s">
        <v>11277</v>
      </c>
      <c r="E39" s="15" t="s">
        <v>1067</v>
      </c>
      <c r="F39" s="15" t="s">
        <v>14117</v>
      </c>
      <c r="G39" s="15" t="s">
        <v>11250</v>
      </c>
      <c r="H39" s="15">
        <v>20</v>
      </c>
      <c r="I39" s="15">
        <v>18</v>
      </c>
      <c r="J39" s="15">
        <v>5</v>
      </c>
      <c r="K39" s="15" t="str">
        <f t="shared" si="0"/>
        <v>westagelyssriver</v>
      </c>
      <c r="L39" s="15" t="s">
        <v>11257</v>
      </c>
      <c r="M39" s="15">
        <v>1</v>
      </c>
      <c r="N39" s="15" t="s">
        <v>11222</v>
      </c>
      <c r="O39" s="15"/>
      <c r="P39" s="15"/>
      <c r="Q39" s="15"/>
      <c r="R39" s="15"/>
      <c r="S39" s="15"/>
      <c r="T39" s="15">
        <v>0</v>
      </c>
      <c r="U39" s="15"/>
      <c r="V39" s="15"/>
      <c r="W39" s="15"/>
      <c r="X39" s="15"/>
      <c r="Y39" s="15"/>
      <c r="Z39" s="15"/>
    </row>
    <row r="40" spans="1:26" x14ac:dyDescent="0.25">
      <c r="A40" s="15" t="s">
        <v>14121</v>
      </c>
      <c r="B40" s="15">
        <v>39</v>
      </c>
      <c r="C40" s="15" t="s">
        <v>11277</v>
      </c>
      <c r="D40" s="15" t="s">
        <v>11277</v>
      </c>
      <c r="E40" s="15" t="s">
        <v>1067</v>
      </c>
      <c r="F40" s="15" t="s">
        <v>14117</v>
      </c>
      <c r="G40" s="15" t="s">
        <v>11255</v>
      </c>
      <c r="H40" s="15">
        <v>20</v>
      </c>
      <c r="I40" s="15">
        <v>18</v>
      </c>
      <c r="J40" s="15">
        <v>8</v>
      </c>
      <c r="K40" s="15" t="str">
        <f t="shared" si="0"/>
        <v>westagelyssriver</v>
      </c>
      <c r="L40" s="15" t="s">
        <v>11257</v>
      </c>
      <c r="M40" s="15">
        <v>2</v>
      </c>
      <c r="N40" s="15" t="s">
        <v>11223</v>
      </c>
      <c r="O40" s="15"/>
      <c r="P40" s="15"/>
      <c r="Q40" s="15"/>
      <c r="R40" s="15"/>
      <c r="S40" s="15"/>
      <c r="T40" s="15">
        <v>0</v>
      </c>
      <c r="U40" s="15"/>
      <c r="V40" s="15"/>
      <c r="W40" s="15"/>
      <c r="X40" s="15"/>
      <c r="Y40" s="15"/>
      <c r="Z40" s="15"/>
    </row>
    <row r="41" spans="1:26" x14ac:dyDescent="0.25">
      <c r="A41" s="15" t="s">
        <v>14122</v>
      </c>
      <c r="B41" s="15">
        <v>40</v>
      </c>
      <c r="C41" s="15" t="s">
        <v>11277</v>
      </c>
      <c r="D41" s="15" t="s">
        <v>11277</v>
      </c>
      <c r="E41" s="15" t="s">
        <v>1067</v>
      </c>
      <c r="F41" s="15" t="s">
        <v>14117</v>
      </c>
      <c r="G41" s="15" t="s">
        <v>11251</v>
      </c>
      <c r="H41" s="15">
        <v>20</v>
      </c>
      <c r="I41" s="15">
        <v>18</v>
      </c>
      <c r="J41" s="15">
        <v>18</v>
      </c>
      <c r="K41" s="15" t="str">
        <f t="shared" si="0"/>
        <v>westagelyssriver</v>
      </c>
      <c r="L41" s="15" t="s">
        <v>11254</v>
      </c>
      <c r="M41" s="15">
        <v>2</v>
      </c>
      <c r="N41" s="15" t="s">
        <v>11223</v>
      </c>
      <c r="O41" s="15"/>
      <c r="P41" s="15"/>
      <c r="Q41" s="15"/>
      <c r="R41" s="15"/>
      <c r="S41" s="15"/>
      <c r="T41" s="15">
        <v>0</v>
      </c>
      <c r="U41" s="15"/>
      <c r="V41" s="15"/>
      <c r="W41" s="15"/>
      <c r="X41" s="15"/>
      <c r="Y41" s="15"/>
      <c r="Z41" s="15"/>
    </row>
    <row r="42" spans="1:26" x14ac:dyDescent="0.25">
      <c r="A42" s="15" t="s">
        <v>14123</v>
      </c>
      <c r="B42" s="15">
        <v>41</v>
      </c>
      <c r="C42" s="15" t="s">
        <v>11277</v>
      </c>
      <c r="D42" s="15" t="s">
        <v>11277</v>
      </c>
      <c r="E42" s="15" t="s">
        <v>1067</v>
      </c>
      <c r="F42" s="15" t="s">
        <v>14117</v>
      </c>
      <c r="G42" s="15" t="s">
        <v>11256</v>
      </c>
      <c r="H42" s="15">
        <v>20</v>
      </c>
      <c r="I42" s="15">
        <v>18</v>
      </c>
      <c r="J42" s="15">
        <v>50</v>
      </c>
      <c r="K42" s="15" t="str">
        <f t="shared" si="0"/>
        <v>westagelyssriver</v>
      </c>
      <c r="L42" s="15" t="s">
        <v>11257</v>
      </c>
      <c r="M42" s="15">
        <v>3</v>
      </c>
      <c r="N42" s="15" t="s">
        <v>11222</v>
      </c>
      <c r="O42" s="15"/>
      <c r="P42" s="15"/>
      <c r="Q42" s="15"/>
      <c r="R42" s="15"/>
      <c r="S42" s="15"/>
      <c r="T42" s="15">
        <v>2</v>
      </c>
      <c r="U42" s="15"/>
      <c r="V42" s="15"/>
      <c r="W42" s="15"/>
      <c r="X42" s="15"/>
      <c r="Y42" s="15"/>
      <c r="Z42" s="15"/>
    </row>
    <row r="43" spans="1:26" x14ac:dyDescent="0.25">
      <c r="A43" s="15" t="s">
        <v>14124</v>
      </c>
      <c r="B43" s="15">
        <v>42</v>
      </c>
      <c r="C43" s="15" t="s">
        <v>11277</v>
      </c>
      <c r="D43" s="15" t="s">
        <v>11277</v>
      </c>
      <c r="E43" s="15" t="s">
        <v>1067</v>
      </c>
      <c r="F43" s="15" t="s">
        <v>1098</v>
      </c>
      <c r="G43" s="15" t="s">
        <v>11227</v>
      </c>
      <c r="H43" s="15">
        <v>14</v>
      </c>
      <c r="I43" s="15">
        <v>15</v>
      </c>
      <c r="J43" s="15">
        <v>3</v>
      </c>
      <c r="K43" s="15" t="str">
        <f t="shared" si="0"/>
        <v>summerford</v>
      </c>
      <c r="L43" s="15" t="s">
        <v>11233</v>
      </c>
      <c r="M43" s="15">
        <v>1</v>
      </c>
      <c r="N43" s="15" t="s">
        <v>11222</v>
      </c>
      <c r="O43" s="15"/>
      <c r="P43" s="15"/>
      <c r="Q43" s="15"/>
      <c r="R43" s="15"/>
      <c r="S43" s="15"/>
      <c r="T43" s="15">
        <v>0</v>
      </c>
      <c r="U43" s="15"/>
      <c r="V43" s="15"/>
      <c r="W43" s="15"/>
      <c r="X43" s="15"/>
      <c r="Y43" s="15"/>
      <c r="Z43" s="15"/>
    </row>
    <row r="44" spans="1:26" x14ac:dyDescent="0.25">
      <c r="A44" s="15" t="s">
        <v>14125</v>
      </c>
      <c r="B44" s="15">
        <v>43</v>
      </c>
      <c r="C44" s="15" t="s">
        <v>11277</v>
      </c>
      <c r="D44" s="15" t="s">
        <v>11277</v>
      </c>
      <c r="E44" s="15" t="s">
        <v>1067</v>
      </c>
      <c r="F44" s="15" t="s">
        <v>1098</v>
      </c>
      <c r="G44" s="15" t="s">
        <v>11229</v>
      </c>
      <c r="H44" s="15">
        <v>14</v>
      </c>
      <c r="I44" s="15">
        <v>15</v>
      </c>
      <c r="J44" s="15">
        <v>4</v>
      </c>
      <c r="K44" s="15" t="str">
        <f t="shared" si="0"/>
        <v>summerford</v>
      </c>
      <c r="L44" s="15" t="s">
        <v>11233</v>
      </c>
      <c r="M44" s="15">
        <v>1</v>
      </c>
      <c r="N44" s="15" t="s">
        <v>11222</v>
      </c>
      <c r="O44" s="15"/>
      <c r="P44" s="15"/>
      <c r="Q44" s="15"/>
      <c r="R44" s="15"/>
      <c r="S44" s="15"/>
      <c r="T44" s="15">
        <v>0</v>
      </c>
      <c r="U44" s="15"/>
      <c r="V44" s="15"/>
      <c r="W44" s="15"/>
      <c r="X44" s="15"/>
      <c r="Y44" s="15"/>
      <c r="Z44" s="15"/>
    </row>
    <row r="45" spans="1:26" x14ac:dyDescent="0.25">
      <c r="A45" s="15" t="s">
        <v>14126</v>
      </c>
      <c r="B45" s="15">
        <v>44</v>
      </c>
      <c r="C45" s="15" t="s">
        <v>11277</v>
      </c>
      <c r="D45" s="15" t="s">
        <v>11277</v>
      </c>
      <c r="E45" s="15" t="s">
        <v>1067</v>
      </c>
      <c r="F45" s="15" t="s">
        <v>1098</v>
      </c>
      <c r="G45" s="15" t="s">
        <v>11258</v>
      </c>
      <c r="H45" s="15">
        <v>14</v>
      </c>
      <c r="I45" s="15">
        <v>15</v>
      </c>
      <c r="J45" s="15">
        <v>5</v>
      </c>
      <c r="K45" s="15" t="str">
        <f t="shared" si="0"/>
        <v>summerford</v>
      </c>
      <c r="L45" s="15" t="s">
        <v>11234</v>
      </c>
      <c r="M45" s="15">
        <v>1</v>
      </c>
      <c r="N45" s="15" t="s">
        <v>11222</v>
      </c>
      <c r="O45" s="15"/>
      <c r="P45" s="15"/>
      <c r="Q45" s="15"/>
      <c r="R45" s="15"/>
      <c r="S45" s="15"/>
      <c r="T45" s="15">
        <v>0</v>
      </c>
      <c r="U45" s="15"/>
      <c r="V45" s="15"/>
      <c r="W45" s="15"/>
      <c r="X45" s="15"/>
      <c r="Y45" s="15"/>
      <c r="Z45" s="15"/>
    </row>
    <row r="46" spans="1:26" x14ac:dyDescent="0.25">
      <c r="A46" s="15" t="s">
        <v>14127</v>
      </c>
      <c r="B46" s="15">
        <v>45</v>
      </c>
      <c r="C46" s="15" t="s">
        <v>11277</v>
      </c>
      <c r="D46" s="15" t="s">
        <v>11277</v>
      </c>
      <c r="E46" s="15" t="s">
        <v>1067</v>
      </c>
      <c r="F46" s="15" t="s">
        <v>1098</v>
      </c>
      <c r="G46" s="15" t="s">
        <v>11230</v>
      </c>
      <c r="H46" s="15">
        <v>14</v>
      </c>
      <c r="I46" s="15">
        <v>15</v>
      </c>
      <c r="J46" s="15">
        <v>6</v>
      </c>
      <c r="K46" s="15" t="str">
        <f t="shared" si="0"/>
        <v>summerford</v>
      </c>
      <c r="L46" s="15" t="s">
        <v>11234</v>
      </c>
      <c r="M46" s="15">
        <v>1</v>
      </c>
      <c r="N46" s="15" t="s">
        <v>11222</v>
      </c>
      <c r="O46" s="15"/>
      <c r="P46" s="15"/>
      <c r="Q46" s="15"/>
      <c r="R46" s="15"/>
      <c r="S46" s="15"/>
      <c r="T46" s="15">
        <v>0</v>
      </c>
      <c r="U46" s="15"/>
      <c r="V46" s="15"/>
      <c r="W46" s="15"/>
      <c r="X46" s="15"/>
      <c r="Y46" s="15"/>
      <c r="Z46" s="15"/>
    </row>
    <row r="47" spans="1:26" x14ac:dyDescent="0.25">
      <c r="A47" s="15" t="s">
        <v>14128</v>
      </c>
      <c r="B47" s="15">
        <v>46</v>
      </c>
      <c r="C47" s="15" t="s">
        <v>11277</v>
      </c>
      <c r="D47" s="15" t="s">
        <v>11277</v>
      </c>
      <c r="E47" s="15" t="s">
        <v>1067</v>
      </c>
      <c r="F47" s="15" t="s">
        <v>1098</v>
      </c>
      <c r="G47" s="15" t="s">
        <v>11259</v>
      </c>
      <c r="H47" s="15">
        <v>14</v>
      </c>
      <c r="I47" s="15">
        <v>15</v>
      </c>
      <c r="J47" s="15">
        <v>8</v>
      </c>
      <c r="K47" s="15" t="str">
        <f t="shared" si="0"/>
        <v>summerford</v>
      </c>
      <c r="L47" s="15" t="s">
        <v>11234</v>
      </c>
      <c r="M47" s="15">
        <v>1</v>
      </c>
      <c r="N47" s="15" t="s">
        <v>11222</v>
      </c>
      <c r="O47" s="15"/>
      <c r="P47" s="15"/>
      <c r="Q47" s="15"/>
      <c r="R47" s="15"/>
      <c r="S47" s="15"/>
      <c r="T47" s="15">
        <v>0</v>
      </c>
      <c r="U47" s="15"/>
      <c r="V47" s="15"/>
      <c r="W47" s="15"/>
      <c r="X47" s="15"/>
      <c r="Y47" s="15"/>
      <c r="Z47" s="15"/>
    </row>
    <row r="48" spans="1:26" x14ac:dyDescent="0.25">
      <c r="A48" s="15" t="s">
        <v>14129</v>
      </c>
      <c r="B48" s="15">
        <v>47</v>
      </c>
      <c r="C48" s="15" t="s">
        <v>11277</v>
      </c>
      <c r="D48" s="15" t="s">
        <v>11277</v>
      </c>
      <c r="E48" s="15" t="s">
        <v>1067</v>
      </c>
      <c r="F48" s="15" t="s">
        <v>1098</v>
      </c>
      <c r="G48" s="15" t="s">
        <v>11224</v>
      </c>
      <c r="H48" s="15">
        <v>14</v>
      </c>
      <c r="I48" s="15">
        <v>15</v>
      </c>
      <c r="J48" s="15">
        <v>21</v>
      </c>
      <c r="K48" s="15" t="str">
        <f t="shared" si="0"/>
        <v>summerford</v>
      </c>
      <c r="L48" s="15" t="s">
        <v>14088</v>
      </c>
      <c r="M48" s="15">
        <v>2</v>
      </c>
      <c r="N48" s="15" t="s">
        <v>11223</v>
      </c>
      <c r="O48" s="15"/>
      <c r="P48" s="15"/>
      <c r="Q48" s="15" t="s">
        <v>11227</v>
      </c>
      <c r="R48" s="15" t="s">
        <v>11231</v>
      </c>
      <c r="S48" s="15" t="s">
        <v>11230</v>
      </c>
      <c r="T48" s="15">
        <v>0</v>
      </c>
      <c r="U48" s="15"/>
      <c r="V48" s="15"/>
      <c r="W48" s="15"/>
      <c r="X48" s="15"/>
      <c r="Y48" s="15"/>
      <c r="Z48" s="15"/>
    </row>
    <row r="49" spans="1:26" x14ac:dyDescent="0.25">
      <c r="A49" s="15" t="s">
        <v>14130</v>
      </c>
      <c r="B49" s="15">
        <v>48</v>
      </c>
      <c r="C49" s="15" t="s">
        <v>11277</v>
      </c>
      <c r="D49" s="15" t="s">
        <v>11277</v>
      </c>
      <c r="E49" s="15" t="s">
        <v>1067</v>
      </c>
      <c r="F49" s="15" t="s">
        <v>1098</v>
      </c>
      <c r="G49" s="15" t="s">
        <v>11260</v>
      </c>
      <c r="H49" s="15">
        <v>14</v>
      </c>
      <c r="I49" s="15">
        <v>15</v>
      </c>
      <c r="J49" s="15">
        <v>25</v>
      </c>
      <c r="K49" s="15" t="str">
        <f t="shared" si="0"/>
        <v>summerford</v>
      </c>
      <c r="L49" s="15" t="s">
        <v>14088</v>
      </c>
      <c r="M49" s="15">
        <v>2</v>
      </c>
      <c r="N49" s="15" t="s">
        <v>11223</v>
      </c>
      <c r="O49" s="15"/>
      <c r="P49" s="15"/>
      <c r="Q49" s="15" t="s">
        <v>11231</v>
      </c>
      <c r="R49" s="15" t="s">
        <v>11227</v>
      </c>
      <c r="S49" s="15"/>
      <c r="T49" s="15">
        <v>0</v>
      </c>
      <c r="U49" s="15"/>
      <c r="V49" s="15"/>
      <c r="W49" s="15"/>
      <c r="X49" s="15"/>
      <c r="Y49" s="15"/>
      <c r="Z49" s="15"/>
    </row>
    <row r="50" spans="1:26" x14ac:dyDescent="0.25">
      <c r="A50" s="15" t="s">
        <v>14131</v>
      </c>
      <c r="B50" s="15">
        <v>49</v>
      </c>
      <c r="C50" s="15" t="s">
        <v>11277</v>
      </c>
      <c r="D50" s="15" t="s">
        <v>11277</v>
      </c>
      <c r="E50" s="15" t="s">
        <v>1067</v>
      </c>
      <c r="F50" s="15" t="s">
        <v>1098</v>
      </c>
      <c r="G50" s="15" t="s">
        <v>11261</v>
      </c>
      <c r="H50" s="15">
        <v>14</v>
      </c>
      <c r="I50" s="15">
        <v>15</v>
      </c>
      <c r="J50" s="15">
        <v>41</v>
      </c>
      <c r="K50" s="15" t="str">
        <f t="shared" si="0"/>
        <v>summerford</v>
      </c>
      <c r="L50" s="15" t="s">
        <v>14088</v>
      </c>
      <c r="M50" s="15">
        <v>2</v>
      </c>
      <c r="N50" s="15" t="s">
        <v>11223</v>
      </c>
      <c r="O50" s="15"/>
      <c r="P50" s="15"/>
      <c r="Q50" s="15" t="s">
        <v>11227</v>
      </c>
      <c r="R50" s="15" t="s">
        <v>11231</v>
      </c>
      <c r="S50" s="15" t="s">
        <v>11260</v>
      </c>
      <c r="T50" s="15">
        <v>0</v>
      </c>
      <c r="U50" s="15"/>
      <c r="V50" s="15"/>
      <c r="W50" s="15"/>
      <c r="X50" s="15"/>
      <c r="Y50" s="15"/>
      <c r="Z50" s="15"/>
    </row>
    <row r="51" spans="1:26" x14ac:dyDescent="0.25">
      <c r="A51" s="15" t="s">
        <v>14132</v>
      </c>
      <c r="B51" s="15">
        <v>50</v>
      </c>
      <c r="C51" s="15" t="s">
        <v>11277</v>
      </c>
      <c r="D51" s="15" t="s">
        <v>11277</v>
      </c>
      <c r="E51" s="15" t="s">
        <v>1067</v>
      </c>
      <c r="F51" s="15" t="s">
        <v>1098</v>
      </c>
      <c r="G51" s="15" t="s">
        <v>11263</v>
      </c>
      <c r="H51" s="15">
        <v>14</v>
      </c>
      <c r="I51" s="15">
        <v>15</v>
      </c>
      <c r="J51" s="15">
        <v>50</v>
      </c>
      <c r="K51" s="15" t="str">
        <f t="shared" si="0"/>
        <v>summerford</v>
      </c>
      <c r="L51" s="15" t="s">
        <v>14088</v>
      </c>
      <c r="M51" s="15">
        <v>3</v>
      </c>
      <c r="N51" s="15" t="s">
        <v>11223</v>
      </c>
      <c r="O51" s="15"/>
      <c r="P51" s="15"/>
      <c r="Q51" s="15" t="s">
        <v>11227</v>
      </c>
      <c r="R51" s="15" t="s">
        <v>11231</v>
      </c>
      <c r="S51" s="15" t="s">
        <v>11260</v>
      </c>
      <c r="T51" s="15">
        <v>2</v>
      </c>
      <c r="U51" s="15" t="s">
        <v>5893</v>
      </c>
      <c r="V51" s="15" t="s">
        <v>5892</v>
      </c>
      <c r="W51" s="15"/>
      <c r="X51" s="15"/>
      <c r="Y51" s="15"/>
      <c r="Z51" s="15"/>
    </row>
    <row r="52" spans="1:26" x14ac:dyDescent="0.25">
      <c r="A52" s="15" t="s">
        <v>14133</v>
      </c>
      <c r="B52" s="15">
        <v>51</v>
      </c>
      <c r="C52" s="15" t="s">
        <v>11277</v>
      </c>
      <c r="D52" s="15" t="s">
        <v>11277</v>
      </c>
      <c r="E52" s="15" t="s">
        <v>1067</v>
      </c>
      <c r="F52" s="15" t="s">
        <v>14134</v>
      </c>
      <c r="G52" s="15" t="s">
        <v>11248</v>
      </c>
      <c r="H52" s="15">
        <v>18</v>
      </c>
      <c r="I52" s="15">
        <v>14</v>
      </c>
      <c r="J52" s="15">
        <v>3</v>
      </c>
      <c r="K52" s="15" t="str">
        <f t="shared" si="0"/>
        <v>nymriver</v>
      </c>
      <c r="L52" s="15" t="s">
        <v>11253</v>
      </c>
      <c r="M52" s="15">
        <v>1</v>
      </c>
      <c r="N52" s="15" t="s">
        <v>11222</v>
      </c>
      <c r="O52" s="15"/>
      <c r="P52" s="15"/>
      <c r="Q52" s="15"/>
      <c r="R52" s="15"/>
      <c r="S52" s="15"/>
      <c r="T52" s="15">
        <v>0</v>
      </c>
      <c r="U52" s="15"/>
      <c r="V52" s="15"/>
      <c r="W52" s="15"/>
      <c r="X52" s="15"/>
      <c r="Y52" s="15"/>
      <c r="Z52" s="15"/>
    </row>
    <row r="53" spans="1:26" x14ac:dyDescent="0.25">
      <c r="A53" s="15" t="s">
        <v>14135</v>
      </c>
      <c r="B53" s="15">
        <v>52</v>
      </c>
      <c r="C53" s="15" t="s">
        <v>11277</v>
      </c>
      <c r="D53" s="15" t="s">
        <v>11277</v>
      </c>
      <c r="E53" s="15" t="s">
        <v>1067</v>
      </c>
      <c r="F53" s="15" t="s">
        <v>14134</v>
      </c>
      <c r="G53" s="15" t="s">
        <v>11249</v>
      </c>
      <c r="H53" s="15">
        <v>18</v>
      </c>
      <c r="I53" s="15">
        <v>14</v>
      </c>
      <c r="J53" s="15">
        <v>4</v>
      </c>
      <c r="K53" s="15" t="str">
        <f t="shared" si="0"/>
        <v>nymriver</v>
      </c>
      <c r="L53" s="15" t="s">
        <v>11253</v>
      </c>
      <c r="M53" s="15">
        <v>1</v>
      </c>
      <c r="N53" s="15" t="s">
        <v>11222</v>
      </c>
      <c r="O53" s="15"/>
      <c r="P53" s="15"/>
      <c r="Q53" s="15"/>
      <c r="R53" s="15"/>
      <c r="S53" s="15"/>
      <c r="T53" s="15">
        <v>0</v>
      </c>
      <c r="U53" s="15"/>
      <c r="V53" s="15"/>
      <c r="W53" s="15"/>
      <c r="X53" s="15"/>
      <c r="Y53" s="15"/>
      <c r="Z53" s="15"/>
    </row>
    <row r="54" spans="1:26" x14ac:dyDescent="0.25">
      <c r="A54" s="15" t="s">
        <v>14136</v>
      </c>
      <c r="B54" s="15">
        <v>53</v>
      </c>
      <c r="C54" s="15" t="s">
        <v>11277</v>
      </c>
      <c r="D54" s="15" t="s">
        <v>11277</v>
      </c>
      <c r="E54" s="15" t="s">
        <v>1067</v>
      </c>
      <c r="F54" s="15" t="s">
        <v>14134</v>
      </c>
      <c r="G54" s="15" t="s">
        <v>11250</v>
      </c>
      <c r="H54" s="15">
        <v>18</v>
      </c>
      <c r="I54" s="15">
        <v>14</v>
      </c>
      <c r="J54" s="15">
        <v>5</v>
      </c>
      <c r="K54" s="15" t="str">
        <f t="shared" si="0"/>
        <v>nymriver</v>
      </c>
      <c r="L54" s="15" t="s">
        <v>11257</v>
      </c>
      <c r="M54" s="15">
        <v>1</v>
      </c>
      <c r="N54" s="15" t="s">
        <v>11222</v>
      </c>
      <c r="O54" s="15"/>
      <c r="P54" s="15"/>
      <c r="Q54" s="15"/>
      <c r="R54" s="15"/>
      <c r="S54" s="15"/>
      <c r="T54" s="15">
        <v>0</v>
      </c>
      <c r="U54" s="15"/>
      <c r="V54" s="15"/>
      <c r="W54" s="15"/>
      <c r="X54" s="15"/>
      <c r="Y54" s="15"/>
      <c r="Z54" s="15"/>
    </row>
    <row r="55" spans="1:26" x14ac:dyDescent="0.25">
      <c r="A55" s="15" t="s">
        <v>14137</v>
      </c>
      <c r="B55" s="15">
        <v>54</v>
      </c>
      <c r="C55" s="15" t="s">
        <v>11277</v>
      </c>
      <c r="D55" s="15" t="s">
        <v>11277</v>
      </c>
      <c r="E55" s="15" t="s">
        <v>1067</v>
      </c>
      <c r="F55" s="15" t="s">
        <v>14134</v>
      </c>
      <c r="G55" s="15" t="s">
        <v>11264</v>
      </c>
      <c r="H55" s="15">
        <v>18</v>
      </c>
      <c r="I55" s="15">
        <v>14</v>
      </c>
      <c r="J55" s="15">
        <v>6</v>
      </c>
      <c r="K55" s="15" t="str">
        <f t="shared" si="0"/>
        <v>nymriver</v>
      </c>
      <c r="L55" s="15" t="s">
        <v>11257</v>
      </c>
      <c r="M55" s="15">
        <v>1</v>
      </c>
      <c r="N55" s="15" t="s">
        <v>11222</v>
      </c>
      <c r="O55" s="15"/>
      <c r="P55" s="15"/>
      <c r="Q55" s="15"/>
      <c r="R55" s="15"/>
      <c r="S55" s="15"/>
      <c r="T55" s="15">
        <v>0</v>
      </c>
      <c r="U55" s="15"/>
      <c r="V55" s="15"/>
      <c r="W55" s="15"/>
      <c r="X55" s="15"/>
      <c r="Y55" s="15"/>
      <c r="Z55" s="15"/>
    </row>
    <row r="56" spans="1:26" x14ac:dyDescent="0.25">
      <c r="A56" s="15" t="s">
        <v>14138</v>
      </c>
      <c r="B56" s="15">
        <v>55</v>
      </c>
      <c r="C56" s="15" t="s">
        <v>11277</v>
      </c>
      <c r="D56" s="15" t="s">
        <v>11277</v>
      </c>
      <c r="E56" s="15" t="s">
        <v>1067</v>
      </c>
      <c r="F56" s="15" t="s">
        <v>14134</v>
      </c>
      <c r="G56" s="15" t="s">
        <v>11255</v>
      </c>
      <c r="H56" s="15">
        <v>18</v>
      </c>
      <c r="I56" s="15">
        <v>14</v>
      </c>
      <c r="J56" s="15">
        <v>8</v>
      </c>
      <c r="K56" s="15" t="str">
        <f t="shared" si="0"/>
        <v>nymriver</v>
      </c>
      <c r="L56" s="15" t="s">
        <v>11257</v>
      </c>
      <c r="M56" s="15">
        <v>2</v>
      </c>
      <c r="N56" s="15" t="s">
        <v>11223</v>
      </c>
      <c r="O56" s="15"/>
      <c r="P56" s="15"/>
      <c r="Q56" s="15"/>
      <c r="R56" s="15"/>
      <c r="S56" s="15"/>
      <c r="T56" s="15">
        <v>0</v>
      </c>
      <c r="U56" s="15"/>
      <c r="V56" s="15"/>
      <c r="W56" s="15"/>
      <c r="X56" s="15"/>
      <c r="Y56" s="15"/>
      <c r="Z56" s="15"/>
    </row>
    <row r="57" spans="1:26" x14ac:dyDescent="0.25">
      <c r="A57" s="15" t="s">
        <v>14139</v>
      </c>
      <c r="B57" s="15">
        <v>56</v>
      </c>
      <c r="C57" s="15" t="s">
        <v>11277</v>
      </c>
      <c r="D57" s="15" t="s">
        <v>11277</v>
      </c>
      <c r="E57" s="15" t="s">
        <v>1067</v>
      </c>
      <c r="F57" s="15" t="s">
        <v>14134</v>
      </c>
      <c r="G57" s="15" t="s">
        <v>11265</v>
      </c>
      <c r="H57" s="15">
        <v>18</v>
      </c>
      <c r="I57" s="15">
        <v>14</v>
      </c>
      <c r="J57" s="15">
        <v>10</v>
      </c>
      <c r="K57" s="15" t="str">
        <f t="shared" si="0"/>
        <v>nymriver</v>
      </c>
      <c r="L57" s="15" t="s">
        <v>11266</v>
      </c>
      <c r="M57" s="15">
        <v>2</v>
      </c>
      <c r="N57" s="15" t="s">
        <v>11223</v>
      </c>
      <c r="O57" s="15"/>
      <c r="P57" s="15"/>
      <c r="Q57" s="15"/>
      <c r="R57" s="15"/>
      <c r="S57" s="15"/>
      <c r="T57" s="15">
        <v>0</v>
      </c>
      <c r="U57" s="15"/>
      <c r="V57" s="15"/>
      <c r="W57" s="15"/>
      <c r="X57" s="15"/>
      <c r="Y57" s="15"/>
      <c r="Z57" s="15"/>
    </row>
    <row r="58" spans="1:26" x14ac:dyDescent="0.25">
      <c r="A58" s="15" t="s">
        <v>14140</v>
      </c>
      <c r="B58" s="15">
        <v>57</v>
      </c>
      <c r="C58" s="15" t="s">
        <v>11277</v>
      </c>
      <c r="D58" s="15" t="s">
        <v>11277</v>
      </c>
      <c r="E58" s="15" t="s">
        <v>1067</v>
      </c>
      <c r="F58" s="15" t="s">
        <v>14134</v>
      </c>
      <c r="G58" s="15" t="s">
        <v>11251</v>
      </c>
      <c r="H58" s="15">
        <v>18</v>
      </c>
      <c r="I58" s="15">
        <v>14</v>
      </c>
      <c r="J58" s="15">
        <v>18</v>
      </c>
      <c r="K58" s="15" t="str">
        <f t="shared" si="0"/>
        <v>nymriver</v>
      </c>
      <c r="L58" s="15" t="s">
        <v>11254</v>
      </c>
      <c r="M58" s="15">
        <v>2</v>
      </c>
      <c r="N58" s="15" t="s">
        <v>11223</v>
      </c>
      <c r="O58" s="15"/>
      <c r="P58" s="15"/>
      <c r="Q58" s="15"/>
      <c r="R58" s="15"/>
      <c r="S58" s="15"/>
      <c r="T58" s="15">
        <v>0</v>
      </c>
      <c r="U58" s="15"/>
      <c r="V58" s="15"/>
      <c r="W58" s="15"/>
      <c r="X58" s="15"/>
      <c r="Y58" s="15"/>
      <c r="Z58" s="15"/>
    </row>
    <row r="59" spans="1:26" x14ac:dyDescent="0.25">
      <c r="A59" s="15" t="s">
        <v>14141</v>
      </c>
      <c r="B59" s="15">
        <v>58</v>
      </c>
      <c r="C59" s="15" t="s">
        <v>11277</v>
      </c>
      <c r="D59" s="15" t="s">
        <v>11277</v>
      </c>
      <c r="E59" s="15" t="s">
        <v>1067</v>
      </c>
      <c r="F59" s="15" t="s">
        <v>14134</v>
      </c>
      <c r="G59" s="15" t="s">
        <v>11267</v>
      </c>
      <c r="H59" s="15">
        <v>18</v>
      </c>
      <c r="I59" s="15">
        <v>14</v>
      </c>
      <c r="J59" s="15">
        <v>50</v>
      </c>
      <c r="K59" s="15" t="str">
        <f t="shared" si="0"/>
        <v>nymriver</v>
      </c>
      <c r="L59" s="15" t="s">
        <v>11268</v>
      </c>
      <c r="M59" s="15">
        <v>3</v>
      </c>
      <c r="N59" s="15" t="s">
        <v>11223</v>
      </c>
      <c r="O59" s="15" t="s">
        <v>2811</v>
      </c>
      <c r="P59" s="15"/>
      <c r="Q59" s="15"/>
      <c r="R59" s="15"/>
      <c r="S59" s="15"/>
      <c r="T59" s="15">
        <v>2</v>
      </c>
      <c r="U59" s="15"/>
      <c r="V59" s="15"/>
      <c r="W59" s="15"/>
      <c r="X59" s="15"/>
      <c r="Y59" s="15"/>
      <c r="Z59" s="15"/>
    </row>
    <row r="60" spans="1:26" x14ac:dyDescent="0.25">
      <c r="A60" s="15" t="s">
        <v>14142</v>
      </c>
      <c r="B60" s="15">
        <v>59</v>
      </c>
      <c r="C60" s="15" t="s">
        <v>11277</v>
      </c>
      <c r="D60" s="15" t="s">
        <v>11277</v>
      </c>
      <c r="E60" s="15" t="s">
        <v>1067</v>
      </c>
      <c r="F60" s="15" t="s">
        <v>1112</v>
      </c>
      <c r="G60" s="15" t="s">
        <v>11249</v>
      </c>
      <c r="H60" s="15">
        <v>20</v>
      </c>
      <c r="I60" s="15">
        <v>12</v>
      </c>
      <c r="J60" s="15">
        <v>4</v>
      </c>
      <c r="K60" s="15" t="str">
        <f t="shared" si="0"/>
        <v>woadwhispercanyon</v>
      </c>
      <c r="L60" s="15" t="s">
        <v>11253</v>
      </c>
      <c r="M60" s="15">
        <v>1</v>
      </c>
      <c r="N60" s="15" t="s">
        <v>11222</v>
      </c>
      <c r="O60" s="15"/>
      <c r="P60" s="15"/>
      <c r="Q60" s="15"/>
      <c r="R60" s="15"/>
      <c r="S60" s="15"/>
      <c r="T60" s="15">
        <v>0</v>
      </c>
      <c r="U60" s="15"/>
      <c r="V60" s="15"/>
      <c r="W60" s="15"/>
      <c r="X60" s="15"/>
      <c r="Y60" s="15"/>
      <c r="Z60" s="15"/>
    </row>
    <row r="61" spans="1:26" x14ac:dyDescent="0.25">
      <c r="A61" s="15" t="s">
        <v>14143</v>
      </c>
      <c r="B61" s="15">
        <v>60</v>
      </c>
      <c r="C61" s="15" t="s">
        <v>11277</v>
      </c>
      <c r="D61" s="15" t="s">
        <v>11277</v>
      </c>
      <c r="E61" s="15" t="s">
        <v>1067</v>
      </c>
      <c r="F61" s="15" t="s">
        <v>1112</v>
      </c>
      <c r="G61" s="15" t="s">
        <v>11264</v>
      </c>
      <c r="H61" s="15">
        <v>20</v>
      </c>
      <c r="I61" s="15">
        <v>12</v>
      </c>
      <c r="J61" s="15">
        <v>6</v>
      </c>
      <c r="K61" s="15" t="str">
        <f t="shared" si="0"/>
        <v>woadwhispercanyon</v>
      </c>
      <c r="L61" s="15" t="s">
        <v>11257</v>
      </c>
      <c r="M61" s="15">
        <v>1</v>
      </c>
      <c r="N61" s="15" t="s">
        <v>11222</v>
      </c>
      <c r="O61" s="15"/>
      <c r="P61" s="15"/>
      <c r="Q61" s="15"/>
      <c r="R61" s="15"/>
      <c r="S61" s="15"/>
      <c r="T61" s="15">
        <v>0</v>
      </c>
      <c r="U61" s="15"/>
      <c r="V61" s="15"/>
      <c r="W61" s="15"/>
      <c r="X61" s="15"/>
      <c r="Y61" s="15"/>
      <c r="Z61" s="15"/>
    </row>
    <row r="62" spans="1:26" x14ac:dyDescent="0.25">
      <c r="A62" s="15" t="s">
        <v>14144</v>
      </c>
      <c r="B62" s="15">
        <v>61</v>
      </c>
      <c r="C62" s="15" t="s">
        <v>11277</v>
      </c>
      <c r="D62" s="15" t="s">
        <v>11277</v>
      </c>
      <c r="E62" s="15" t="s">
        <v>1067</v>
      </c>
      <c r="F62" s="15" t="s">
        <v>1112</v>
      </c>
      <c r="G62" s="15" t="s">
        <v>11269</v>
      </c>
      <c r="H62" s="15">
        <v>20</v>
      </c>
      <c r="I62" s="15">
        <v>12</v>
      </c>
      <c r="J62" s="15">
        <v>15</v>
      </c>
      <c r="K62" s="15" t="str">
        <f t="shared" si="0"/>
        <v>woadwhispercanyon</v>
      </c>
      <c r="L62" s="15" t="s">
        <v>11266</v>
      </c>
      <c r="M62" s="15">
        <v>1</v>
      </c>
      <c r="N62" s="15" t="s">
        <v>11222</v>
      </c>
      <c r="O62" s="15"/>
      <c r="P62" s="15"/>
      <c r="Q62" s="15"/>
      <c r="R62" s="15"/>
      <c r="S62" s="15"/>
      <c r="T62" s="15">
        <v>0</v>
      </c>
      <c r="U62" s="15"/>
      <c r="V62" s="15"/>
      <c r="W62" s="15"/>
      <c r="X62" s="15"/>
      <c r="Y62" s="15"/>
      <c r="Z62" s="15"/>
    </row>
    <row r="63" spans="1:26" x14ac:dyDescent="0.25">
      <c r="A63" s="15" t="s">
        <v>14145</v>
      </c>
      <c r="B63" s="15">
        <v>62</v>
      </c>
      <c r="C63" s="15" t="s">
        <v>11277</v>
      </c>
      <c r="D63" s="15" t="s">
        <v>11277</v>
      </c>
      <c r="E63" s="15" t="s">
        <v>1067</v>
      </c>
      <c r="F63" s="15" t="s">
        <v>1112</v>
      </c>
      <c r="G63" s="15" t="s">
        <v>11251</v>
      </c>
      <c r="H63" s="15">
        <v>20</v>
      </c>
      <c r="I63" s="15">
        <v>12</v>
      </c>
      <c r="J63" s="15">
        <v>18</v>
      </c>
      <c r="K63" s="15" t="str">
        <f t="shared" si="0"/>
        <v>woadwhispercanyon</v>
      </c>
      <c r="L63" s="15" t="s">
        <v>11254</v>
      </c>
      <c r="M63" s="15">
        <v>2</v>
      </c>
      <c r="N63" s="15" t="s">
        <v>11223</v>
      </c>
      <c r="O63" s="15"/>
      <c r="P63" s="15"/>
      <c r="Q63" s="15"/>
      <c r="R63" s="15"/>
      <c r="S63" s="15"/>
      <c r="T63" s="15">
        <v>0</v>
      </c>
      <c r="U63" s="15"/>
      <c r="V63" s="15"/>
      <c r="W63" s="15"/>
      <c r="X63" s="15"/>
      <c r="Y63" s="15"/>
      <c r="Z63" s="15"/>
    </row>
    <row r="64" spans="1:26" x14ac:dyDescent="0.25">
      <c r="A64" s="15" t="s">
        <v>14146</v>
      </c>
      <c r="B64" s="15">
        <v>63</v>
      </c>
      <c r="C64" s="15" t="s">
        <v>11277</v>
      </c>
      <c r="D64" s="15" t="s">
        <v>11277</v>
      </c>
      <c r="E64" s="15" t="s">
        <v>1067</v>
      </c>
      <c r="F64" s="15" t="s">
        <v>1112</v>
      </c>
      <c r="G64" s="15" t="s">
        <v>11270</v>
      </c>
      <c r="H64" s="15">
        <v>20</v>
      </c>
      <c r="I64" s="15">
        <v>12</v>
      </c>
      <c r="J64" s="15">
        <v>20</v>
      </c>
      <c r="K64" s="15" t="str">
        <f t="shared" si="0"/>
        <v>woadwhispercanyon</v>
      </c>
      <c r="L64" s="15" t="s">
        <v>11271</v>
      </c>
      <c r="M64" s="15">
        <v>1</v>
      </c>
      <c r="N64" s="15" t="s">
        <v>11222</v>
      </c>
      <c r="O64" s="15"/>
      <c r="P64" s="15"/>
      <c r="Q64" s="15"/>
      <c r="R64" s="15"/>
      <c r="S64" s="15"/>
      <c r="T64" s="15">
        <v>0</v>
      </c>
      <c r="U64" s="15"/>
      <c r="V64" s="15"/>
      <c r="W64" s="15"/>
      <c r="X64" s="15"/>
      <c r="Y64" s="15"/>
      <c r="Z64" s="15"/>
    </row>
    <row r="65" spans="1:26" x14ac:dyDescent="0.25">
      <c r="A65" s="15" t="s">
        <v>14147</v>
      </c>
      <c r="B65" s="15">
        <v>64</v>
      </c>
      <c r="C65" s="15" t="s">
        <v>11277</v>
      </c>
      <c r="D65" s="15" t="s">
        <v>11277</v>
      </c>
      <c r="E65" s="15" t="s">
        <v>1067</v>
      </c>
      <c r="F65" s="15" t="s">
        <v>1112</v>
      </c>
      <c r="G65" s="15" t="s">
        <v>11272</v>
      </c>
      <c r="H65" s="15">
        <v>20</v>
      </c>
      <c r="I65" s="15">
        <v>12</v>
      </c>
      <c r="J65" s="15">
        <v>22</v>
      </c>
      <c r="K65" s="15" t="str">
        <f t="shared" si="0"/>
        <v>woadwhispercanyon</v>
      </c>
      <c r="L65" s="15" t="s">
        <v>14088</v>
      </c>
      <c r="M65" s="15">
        <v>1</v>
      </c>
      <c r="N65" s="15" t="s">
        <v>11222</v>
      </c>
      <c r="O65" s="15"/>
      <c r="P65" s="15"/>
      <c r="Q65" s="15" t="s">
        <v>11270</v>
      </c>
      <c r="R65" s="15"/>
      <c r="S65" s="15"/>
      <c r="T65" s="15">
        <v>0</v>
      </c>
      <c r="U65" s="15"/>
      <c r="V65" s="15"/>
      <c r="W65" s="15"/>
      <c r="X65" s="15"/>
      <c r="Y65" s="15"/>
      <c r="Z65" s="15"/>
    </row>
    <row r="66" spans="1:26" x14ac:dyDescent="0.25">
      <c r="A66" s="15" t="s">
        <v>14148</v>
      </c>
      <c r="B66" s="15">
        <v>65</v>
      </c>
      <c r="C66" s="15" t="s">
        <v>11277</v>
      </c>
      <c r="D66" s="15" t="s">
        <v>11277</v>
      </c>
      <c r="E66" s="15" t="s">
        <v>1067</v>
      </c>
      <c r="F66" s="15" t="s">
        <v>1112</v>
      </c>
      <c r="G66" s="15" t="s">
        <v>11273</v>
      </c>
      <c r="H66" s="15">
        <v>20</v>
      </c>
      <c r="I66" s="15">
        <v>12</v>
      </c>
      <c r="J66" s="15">
        <v>24</v>
      </c>
      <c r="K66" s="15" t="str">
        <f t="shared" ref="K66:K129" si="1">LOWER(SUBSTITUTE(SUBSTITUTE(SUBSTITUTE(SUBSTITUTE(SUBSTITUTE(F66," ",""),"(",""),")",""),"'",""),"-",""))</f>
        <v>woadwhispercanyon</v>
      </c>
      <c r="L66" s="15" t="s">
        <v>11274</v>
      </c>
      <c r="M66" s="15">
        <v>2</v>
      </c>
      <c r="N66" s="15" t="s">
        <v>11223</v>
      </c>
      <c r="O66" s="15"/>
      <c r="P66" s="15"/>
      <c r="Q66" s="15"/>
      <c r="R66" s="15"/>
      <c r="S66" s="15"/>
      <c r="T66" s="15">
        <v>0</v>
      </c>
      <c r="U66" s="15"/>
      <c r="V66" s="15"/>
      <c r="W66" s="15"/>
      <c r="X66" s="15"/>
      <c r="Y66" s="15"/>
      <c r="Z66" s="15"/>
    </row>
    <row r="67" spans="1:26" x14ac:dyDescent="0.25">
      <c r="A67" s="15" t="s">
        <v>14149</v>
      </c>
      <c r="B67" s="15">
        <v>66</v>
      </c>
      <c r="C67" s="15" t="s">
        <v>11277</v>
      </c>
      <c r="D67" s="15" t="s">
        <v>11277</v>
      </c>
      <c r="E67" s="15" t="s">
        <v>1067</v>
      </c>
      <c r="F67" s="15" t="s">
        <v>1112</v>
      </c>
      <c r="G67" s="15" t="s">
        <v>11275</v>
      </c>
      <c r="H67" s="15">
        <v>20</v>
      </c>
      <c r="I67" s="15">
        <v>12</v>
      </c>
      <c r="J67" s="15">
        <v>50</v>
      </c>
      <c r="K67" s="15" t="str">
        <f t="shared" si="1"/>
        <v>woadwhispercanyon</v>
      </c>
      <c r="L67" s="15" t="s">
        <v>11271</v>
      </c>
      <c r="M67" s="15">
        <v>3</v>
      </c>
      <c r="N67" s="15" t="s">
        <v>11222</v>
      </c>
      <c r="O67" s="15"/>
      <c r="P67" s="15"/>
      <c r="Q67" s="15"/>
      <c r="R67" s="15"/>
      <c r="S67" s="15"/>
      <c r="T67" s="15">
        <v>3</v>
      </c>
      <c r="U67" s="15" t="s">
        <v>5914</v>
      </c>
      <c r="V67" s="15" t="s">
        <v>14150</v>
      </c>
      <c r="W67" s="15" t="s">
        <v>14151</v>
      </c>
      <c r="X67" s="15"/>
      <c r="Y67" s="15"/>
      <c r="Z67" s="15"/>
    </row>
    <row r="68" spans="1:26" x14ac:dyDescent="0.25">
      <c r="A68" s="15" t="s">
        <v>14152</v>
      </c>
      <c r="B68" s="15">
        <v>67</v>
      </c>
      <c r="C68" s="15" t="s">
        <v>11277</v>
      </c>
      <c r="D68" s="15" t="s">
        <v>11277</v>
      </c>
      <c r="E68" s="15" t="s">
        <v>1067</v>
      </c>
      <c r="F68" s="15" t="s">
        <v>1127</v>
      </c>
      <c r="G68" s="15" t="s">
        <v>11247</v>
      </c>
      <c r="H68" s="15">
        <v>24</v>
      </c>
      <c r="I68" s="15">
        <v>23</v>
      </c>
      <c r="J68" s="15">
        <v>2</v>
      </c>
      <c r="K68" s="15" t="str">
        <f t="shared" si="1"/>
        <v>themourningwidow</v>
      </c>
      <c r="L68" s="15" t="s">
        <v>11253</v>
      </c>
      <c r="M68" s="15">
        <v>1</v>
      </c>
      <c r="N68" s="15" t="s">
        <v>11222</v>
      </c>
      <c r="O68" s="15"/>
      <c r="P68" s="15"/>
      <c r="Q68" s="15"/>
      <c r="R68" s="15"/>
      <c r="S68" s="15"/>
      <c r="T68" s="15">
        <v>0</v>
      </c>
      <c r="U68" s="15"/>
      <c r="V68" s="15"/>
      <c r="W68" s="15"/>
      <c r="X68" s="15"/>
      <c r="Y68" s="15"/>
      <c r="Z68" s="15"/>
    </row>
    <row r="69" spans="1:26" x14ac:dyDescent="0.25">
      <c r="A69" s="15" t="s">
        <v>14153</v>
      </c>
      <c r="B69" s="15">
        <v>68</v>
      </c>
      <c r="C69" s="15" t="s">
        <v>11277</v>
      </c>
      <c r="D69" s="15" t="s">
        <v>11277</v>
      </c>
      <c r="E69" s="15" t="s">
        <v>1067</v>
      </c>
      <c r="F69" s="15" t="s">
        <v>1127</v>
      </c>
      <c r="G69" s="15" t="s">
        <v>11248</v>
      </c>
      <c r="H69" s="15">
        <v>24</v>
      </c>
      <c r="I69" s="15">
        <v>23</v>
      </c>
      <c r="J69" s="15">
        <v>3</v>
      </c>
      <c r="K69" s="15" t="str">
        <f t="shared" si="1"/>
        <v>themourningwidow</v>
      </c>
      <c r="L69" s="15" t="s">
        <v>11253</v>
      </c>
      <c r="M69" s="15">
        <v>1</v>
      </c>
      <c r="N69" s="15" t="s">
        <v>11222</v>
      </c>
      <c r="O69" s="15"/>
      <c r="P69" s="15"/>
      <c r="Q69" s="15"/>
      <c r="R69" s="15"/>
      <c r="S69" s="15"/>
      <c r="T69" s="15">
        <v>0</v>
      </c>
      <c r="U69" s="15"/>
      <c r="V69" s="15"/>
      <c r="W69" s="15"/>
      <c r="X69" s="15"/>
      <c r="Y69" s="15"/>
      <c r="Z69" s="15"/>
    </row>
    <row r="70" spans="1:26" x14ac:dyDescent="0.25">
      <c r="A70" s="15" t="s">
        <v>14154</v>
      </c>
      <c r="B70" s="15">
        <v>69</v>
      </c>
      <c r="C70" s="15" t="s">
        <v>11277</v>
      </c>
      <c r="D70" s="15" t="s">
        <v>11277</v>
      </c>
      <c r="E70" s="15" t="s">
        <v>1067</v>
      </c>
      <c r="F70" s="15" t="s">
        <v>1127</v>
      </c>
      <c r="G70" s="15" t="s">
        <v>11249</v>
      </c>
      <c r="H70" s="15">
        <v>24</v>
      </c>
      <c r="I70" s="15">
        <v>23</v>
      </c>
      <c r="J70" s="15">
        <v>4</v>
      </c>
      <c r="K70" s="15" t="str">
        <f t="shared" si="1"/>
        <v>themourningwidow</v>
      </c>
      <c r="L70" s="15" t="s">
        <v>11253</v>
      </c>
      <c r="M70" s="15">
        <v>1</v>
      </c>
      <c r="N70" s="15" t="s">
        <v>11222</v>
      </c>
      <c r="O70" s="15"/>
      <c r="P70" s="15"/>
      <c r="Q70" s="15"/>
      <c r="R70" s="15"/>
      <c r="S70" s="15"/>
      <c r="T70" s="15">
        <v>0</v>
      </c>
      <c r="U70" s="15"/>
      <c r="V70" s="15"/>
      <c r="W70" s="15"/>
      <c r="X70" s="15"/>
      <c r="Y70" s="15"/>
      <c r="Z70" s="15"/>
    </row>
    <row r="71" spans="1:26" x14ac:dyDescent="0.25">
      <c r="A71" s="15" t="s">
        <v>14155</v>
      </c>
      <c r="B71" s="15">
        <v>70</v>
      </c>
      <c r="C71" s="15" t="s">
        <v>11277</v>
      </c>
      <c r="D71" s="15" t="s">
        <v>11277</v>
      </c>
      <c r="E71" s="15" t="s">
        <v>1067</v>
      </c>
      <c r="F71" s="15" t="s">
        <v>1127</v>
      </c>
      <c r="G71" s="15" t="s">
        <v>11250</v>
      </c>
      <c r="H71" s="15">
        <v>24</v>
      </c>
      <c r="I71" s="15">
        <v>23</v>
      </c>
      <c r="J71" s="15">
        <v>5</v>
      </c>
      <c r="K71" s="15" t="str">
        <f t="shared" si="1"/>
        <v>themourningwidow</v>
      </c>
      <c r="L71" s="15" t="s">
        <v>11257</v>
      </c>
      <c r="M71" s="15">
        <v>1</v>
      </c>
      <c r="N71" s="15" t="s">
        <v>11222</v>
      </c>
      <c r="O71" s="15"/>
      <c r="P71" s="15"/>
      <c r="Q71" s="15"/>
      <c r="R71" s="15"/>
      <c r="S71" s="15"/>
      <c r="T71" s="15">
        <v>0</v>
      </c>
      <c r="U71" s="15"/>
      <c r="V71" s="15"/>
      <c r="W71" s="15"/>
      <c r="X71" s="15"/>
      <c r="Y71" s="15"/>
      <c r="Z71" s="15"/>
    </row>
    <row r="72" spans="1:26" x14ac:dyDescent="0.25">
      <c r="A72" s="15" t="s">
        <v>14156</v>
      </c>
      <c r="B72" s="15">
        <v>71</v>
      </c>
      <c r="C72" s="15" t="s">
        <v>11277</v>
      </c>
      <c r="D72" s="15" t="s">
        <v>11277</v>
      </c>
      <c r="E72" s="15" t="s">
        <v>1067</v>
      </c>
      <c r="F72" s="15" t="s">
        <v>1127</v>
      </c>
      <c r="G72" s="15" t="s">
        <v>11264</v>
      </c>
      <c r="H72" s="15">
        <v>24</v>
      </c>
      <c r="I72" s="15">
        <v>23</v>
      </c>
      <c r="J72" s="15">
        <v>6</v>
      </c>
      <c r="K72" s="15" t="str">
        <f t="shared" si="1"/>
        <v>themourningwidow</v>
      </c>
      <c r="L72" s="15" t="s">
        <v>11257</v>
      </c>
      <c r="M72" s="15">
        <v>1</v>
      </c>
      <c r="N72" s="15" t="s">
        <v>11222</v>
      </c>
      <c r="O72" s="15"/>
      <c r="P72" s="15"/>
      <c r="Q72" s="15"/>
      <c r="R72" s="15"/>
      <c r="S72" s="15"/>
      <c r="T72" s="15">
        <v>0</v>
      </c>
      <c r="U72" s="15"/>
      <c r="V72" s="15"/>
      <c r="W72" s="15"/>
      <c r="X72" s="15"/>
      <c r="Y72" s="15"/>
      <c r="Z72" s="15"/>
    </row>
    <row r="73" spans="1:26" x14ac:dyDescent="0.25">
      <c r="A73" s="15" t="s">
        <v>14157</v>
      </c>
      <c r="B73" s="15">
        <v>72</v>
      </c>
      <c r="C73" s="15" t="s">
        <v>11277</v>
      </c>
      <c r="D73" s="15" t="s">
        <v>11277</v>
      </c>
      <c r="E73" s="15" t="s">
        <v>1067</v>
      </c>
      <c r="F73" s="15" t="s">
        <v>1127</v>
      </c>
      <c r="G73" s="15" t="s">
        <v>11255</v>
      </c>
      <c r="H73" s="15">
        <v>24</v>
      </c>
      <c r="I73" s="15">
        <v>23</v>
      </c>
      <c r="J73" s="15">
        <v>8</v>
      </c>
      <c r="K73" s="15" t="str">
        <f t="shared" si="1"/>
        <v>themourningwidow</v>
      </c>
      <c r="L73" s="15" t="s">
        <v>11257</v>
      </c>
      <c r="M73" s="15">
        <v>2</v>
      </c>
      <c r="N73" s="15" t="s">
        <v>11223</v>
      </c>
      <c r="O73" s="15"/>
      <c r="P73" s="15"/>
      <c r="Q73" s="15"/>
      <c r="R73" s="15"/>
      <c r="S73" s="15"/>
      <c r="T73" s="15">
        <v>0</v>
      </c>
      <c r="U73" s="15"/>
      <c r="V73" s="15"/>
      <c r="W73" s="15"/>
      <c r="X73" s="15"/>
      <c r="Y73" s="15"/>
      <c r="Z73" s="15"/>
    </row>
    <row r="74" spans="1:26" x14ac:dyDescent="0.25">
      <c r="A74" s="15" t="s">
        <v>14158</v>
      </c>
      <c r="B74" s="15">
        <v>73</v>
      </c>
      <c r="C74" s="15" t="s">
        <v>11277</v>
      </c>
      <c r="D74" s="15" t="s">
        <v>11277</v>
      </c>
      <c r="E74" s="15" t="s">
        <v>1067</v>
      </c>
      <c r="F74" s="15" t="s">
        <v>1127</v>
      </c>
      <c r="G74" s="15" t="s">
        <v>11265</v>
      </c>
      <c r="H74" s="15">
        <v>24</v>
      </c>
      <c r="I74" s="15">
        <v>23</v>
      </c>
      <c r="J74" s="15">
        <v>10</v>
      </c>
      <c r="K74" s="15" t="str">
        <f t="shared" si="1"/>
        <v>themourningwidow</v>
      </c>
      <c r="L74" s="15" t="s">
        <v>11266</v>
      </c>
      <c r="M74" s="15">
        <v>2</v>
      </c>
      <c r="N74" s="15" t="s">
        <v>11223</v>
      </c>
      <c r="O74" s="15"/>
      <c r="P74" s="15"/>
      <c r="Q74" s="15"/>
      <c r="R74" s="15"/>
      <c r="S74" s="15"/>
      <c r="T74" s="15">
        <v>0</v>
      </c>
      <c r="U74" s="15"/>
      <c r="V74" s="15"/>
      <c r="W74" s="15"/>
      <c r="X74" s="15"/>
      <c r="Y74" s="15"/>
      <c r="Z74" s="15"/>
    </row>
    <row r="75" spans="1:26" x14ac:dyDescent="0.25">
      <c r="A75" s="15" t="s">
        <v>14159</v>
      </c>
      <c r="B75" s="15">
        <v>74</v>
      </c>
      <c r="C75" s="15" t="s">
        <v>11277</v>
      </c>
      <c r="D75" s="15" t="s">
        <v>11277</v>
      </c>
      <c r="E75" s="15" t="s">
        <v>1067</v>
      </c>
      <c r="F75" s="15" t="s">
        <v>1127</v>
      </c>
      <c r="G75" s="15" t="s">
        <v>11278</v>
      </c>
      <c r="H75" s="15">
        <v>24</v>
      </c>
      <c r="I75" s="15">
        <v>23</v>
      </c>
      <c r="J75" s="15">
        <v>50</v>
      </c>
      <c r="K75" s="15" t="str">
        <f t="shared" si="1"/>
        <v>themourningwidow</v>
      </c>
      <c r="L75" s="15" t="s">
        <v>11253</v>
      </c>
      <c r="M75" s="15">
        <v>3</v>
      </c>
      <c r="N75" s="15" t="s">
        <v>11222</v>
      </c>
      <c r="O75" s="15"/>
      <c r="P75" s="15"/>
      <c r="Q75" s="15"/>
      <c r="R75" s="15"/>
      <c r="S75" s="15"/>
      <c r="T75" s="15">
        <v>2</v>
      </c>
      <c r="U75" s="15"/>
      <c r="V75" s="15"/>
      <c r="W75" s="15"/>
      <c r="X75" s="15"/>
      <c r="Y75" s="15"/>
      <c r="Z75" s="15"/>
    </row>
    <row r="76" spans="1:26" x14ac:dyDescent="0.25">
      <c r="A76" s="15" t="s">
        <v>14160</v>
      </c>
      <c r="B76" s="15">
        <v>75</v>
      </c>
      <c r="C76" s="15" t="s">
        <v>11277</v>
      </c>
      <c r="D76" s="15" t="s">
        <v>11277</v>
      </c>
      <c r="E76" s="15" t="s">
        <v>1067</v>
      </c>
      <c r="F76" s="15" t="s">
        <v>1118</v>
      </c>
      <c r="G76" s="15" t="s">
        <v>11227</v>
      </c>
      <c r="H76" s="15">
        <v>26</v>
      </c>
      <c r="I76" s="15">
        <v>26</v>
      </c>
      <c r="J76" s="15">
        <v>3</v>
      </c>
      <c r="K76" s="15" t="str">
        <f t="shared" si="1"/>
        <v>morabybay</v>
      </c>
      <c r="L76" s="15" t="s">
        <v>11233</v>
      </c>
      <c r="M76" s="15">
        <v>1</v>
      </c>
      <c r="N76" s="15" t="s">
        <v>11222</v>
      </c>
      <c r="O76" s="15"/>
      <c r="P76" s="15"/>
      <c r="Q76" s="15"/>
      <c r="R76" s="15"/>
      <c r="S76" s="15"/>
      <c r="T76" s="15">
        <v>0</v>
      </c>
      <c r="U76" s="15"/>
      <c r="V76" s="15"/>
      <c r="W76" s="15"/>
      <c r="X76" s="15"/>
      <c r="Y76" s="15"/>
      <c r="Z76" s="15"/>
    </row>
    <row r="77" spans="1:26" x14ac:dyDescent="0.25">
      <c r="A77" s="15" t="s">
        <v>14161</v>
      </c>
      <c r="B77" s="15">
        <v>76</v>
      </c>
      <c r="C77" s="15" t="s">
        <v>11277</v>
      </c>
      <c r="D77" s="15" t="s">
        <v>11277</v>
      </c>
      <c r="E77" s="15" t="s">
        <v>1067</v>
      </c>
      <c r="F77" s="15" t="s">
        <v>1118</v>
      </c>
      <c r="G77" s="15" t="s">
        <v>11228</v>
      </c>
      <c r="H77" s="15">
        <v>26</v>
      </c>
      <c r="I77" s="15">
        <v>26</v>
      </c>
      <c r="J77" s="15">
        <v>4</v>
      </c>
      <c r="K77" s="15" t="str">
        <f t="shared" si="1"/>
        <v>morabybay</v>
      </c>
      <c r="L77" s="15" t="s">
        <v>11233</v>
      </c>
      <c r="M77" s="15">
        <v>1</v>
      </c>
      <c r="N77" s="15" t="s">
        <v>11222</v>
      </c>
      <c r="O77" s="15"/>
      <c r="P77" s="15"/>
      <c r="Q77" s="15"/>
      <c r="R77" s="15"/>
      <c r="S77" s="15"/>
      <c r="T77" s="15">
        <v>0</v>
      </c>
      <c r="U77" s="15"/>
      <c r="V77" s="15"/>
      <c r="W77" s="15"/>
      <c r="X77" s="15"/>
      <c r="Y77" s="15"/>
      <c r="Z77" s="15"/>
    </row>
    <row r="78" spans="1:26" x14ac:dyDescent="0.25">
      <c r="A78" s="15" t="s">
        <v>14162</v>
      </c>
      <c r="B78" s="15">
        <v>77</v>
      </c>
      <c r="C78" s="15" t="s">
        <v>11277</v>
      </c>
      <c r="D78" s="15" t="s">
        <v>11277</v>
      </c>
      <c r="E78" s="15" t="s">
        <v>1067</v>
      </c>
      <c r="F78" s="15" t="s">
        <v>1118</v>
      </c>
      <c r="G78" s="15" t="s">
        <v>11230</v>
      </c>
      <c r="H78" s="15">
        <v>26</v>
      </c>
      <c r="I78" s="15">
        <v>26</v>
      </c>
      <c r="J78" s="15">
        <v>6</v>
      </c>
      <c r="K78" s="15" t="str">
        <f t="shared" si="1"/>
        <v>morabybay</v>
      </c>
      <c r="L78" s="15" t="s">
        <v>11234</v>
      </c>
      <c r="M78" s="15">
        <v>1</v>
      </c>
      <c r="N78" s="15" t="s">
        <v>11222</v>
      </c>
      <c r="O78" s="15"/>
      <c r="P78" s="15"/>
      <c r="Q78" s="15"/>
      <c r="R78" s="15"/>
      <c r="S78" s="15"/>
      <c r="T78" s="15">
        <v>0</v>
      </c>
      <c r="U78" s="15"/>
      <c r="V78" s="15"/>
      <c r="W78" s="15"/>
      <c r="X78" s="15"/>
      <c r="Y78" s="15"/>
      <c r="Z78" s="15"/>
    </row>
    <row r="79" spans="1:26" x14ac:dyDescent="0.25">
      <c r="A79" s="15" t="s">
        <v>14163</v>
      </c>
      <c r="B79" s="15">
        <v>78</v>
      </c>
      <c r="C79" s="15" t="s">
        <v>11277</v>
      </c>
      <c r="D79" s="15" t="s">
        <v>11277</v>
      </c>
      <c r="E79" s="15" t="s">
        <v>1067</v>
      </c>
      <c r="F79" s="15" t="s">
        <v>1118</v>
      </c>
      <c r="G79" s="15" t="s">
        <v>11243</v>
      </c>
      <c r="H79" s="15">
        <v>26</v>
      </c>
      <c r="I79" s="15">
        <v>26</v>
      </c>
      <c r="J79" s="15">
        <v>7</v>
      </c>
      <c r="K79" s="15" t="str">
        <f t="shared" si="1"/>
        <v>morabybay</v>
      </c>
      <c r="L79" s="15" t="s">
        <v>11234</v>
      </c>
      <c r="M79" s="15">
        <v>1</v>
      </c>
      <c r="N79" s="15" t="s">
        <v>11222</v>
      </c>
      <c r="O79" s="15"/>
      <c r="P79" s="15"/>
      <c r="Q79" s="15"/>
      <c r="R79" s="15"/>
      <c r="S79" s="15"/>
      <c r="T79" s="15">
        <v>0</v>
      </c>
      <c r="U79" s="15"/>
      <c r="V79" s="15"/>
      <c r="W79" s="15"/>
      <c r="X79" s="15"/>
      <c r="Y79" s="15"/>
      <c r="Z79" s="15"/>
    </row>
    <row r="80" spans="1:26" x14ac:dyDescent="0.25">
      <c r="A80" s="15" t="s">
        <v>14164</v>
      </c>
      <c r="B80" s="15">
        <v>79</v>
      </c>
      <c r="C80" s="15" t="s">
        <v>11277</v>
      </c>
      <c r="D80" s="15" t="s">
        <v>11277</v>
      </c>
      <c r="E80" s="15" t="s">
        <v>1067</v>
      </c>
      <c r="F80" s="15" t="s">
        <v>1118</v>
      </c>
      <c r="G80" s="15" t="s">
        <v>11259</v>
      </c>
      <c r="H80" s="15">
        <v>26</v>
      </c>
      <c r="I80" s="15">
        <v>26</v>
      </c>
      <c r="J80" s="15">
        <v>8</v>
      </c>
      <c r="K80" s="15" t="str">
        <f t="shared" si="1"/>
        <v>morabybay</v>
      </c>
      <c r="L80" s="15" t="s">
        <v>11234</v>
      </c>
      <c r="M80" s="15">
        <v>1</v>
      </c>
      <c r="N80" s="15" t="s">
        <v>11222</v>
      </c>
      <c r="O80" s="15"/>
      <c r="P80" s="15"/>
      <c r="Q80" s="15"/>
      <c r="R80" s="15"/>
      <c r="S80" s="15"/>
      <c r="T80" s="15">
        <v>0</v>
      </c>
      <c r="U80" s="15"/>
      <c r="V80" s="15"/>
      <c r="W80" s="15"/>
      <c r="X80" s="15"/>
      <c r="Y80" s="15"/>
      <c r="Z80" s="15"/>
    </row>
    <row r="81" spans="1:26" x14ac:dyDescent="0.25">
      <c r="A81" s="15" t="s">
        <v>14165</v>
      </c>
      <c r="B81" s="15">
        <v>80</v>
      </c>
      <c r="C81" s="15" t="s">
        <v>11277</v>
      </c>
      <c r="D81" s="15" t="s">
        <v>11277</v>
      </c>
      <c r="E81" s="15" t="s">
        <v>1067</v>
      </c>
      <c r="F81" s="15" t="s">
        <v>1118</v>
      </c>
      <c r="G81" s="15" t="s">
        <v>11279</v>
      </c>
      <c r="H81" s="15">
        <v>26</v>
      </c>
      <c r="I81" s="15">
        <v>26</v>
      </c>
      <c r="J81" s="15">
        <v>10</v>
      </c>
      <c r="K81" s="15" t="str">
        <f t="shared" si="1"/>
        <v>morabybay</v>
      </c>
      <c r="L81" s="15" t="s">
        <v>11280</v>
      </c>
      <c r="M81" s="15">
        <v>2</v>
      </c>
      <c r="N81" s="15" t="s">
        <v>11223</v>
      </c>
      <c r="O81" s="15"/>
      <c r="P81" s="15"/>
      <c r="Q81" s="15"/>
      <c r="R81" s="15"/>
      <c r="S81" s="15"/>
      <c r="T81" s="15">
        <v>0</v>
      </c>
      <c r="U81" s="15"/>
      <c r="V81" s="15"/>
      <c r="W81" s="15"/>
      <c r="X81" s="15"/>
      <c r="Y81" s="15"/>
      <c r="Z81" s="15"/>
    </row>
    <row r="82" spans="1:26" x14ac:dyDescent="0.25">
      <c r="A82" s="15" t="s">
        <v>14166</v>
      </c>
      <c r="B82" s="15">
        <v>81</v>
      </c>
      <c r="C82" s="15" t="s">
        <v>11277</v>
      </c>
      <c r="D82" s="15" t="s">
        <v>11277</v>
      </c>
      <c r="E82" s="15" t="s">
        <v>1067</v>
      </c>
      <c r="F82" s="15" t="s">
        <v>1118</v>
      </c>
      <c r="G82" s="15" t="s">
        <v>11281</v>
      </c>
      <c r="H82" s="15">
        <v>26</v>
      </c>
      <c r="I82" s="15">
        <v>26</v>
      </c>
      <c r="J82" s="15">
        <v>12</v>
      </c>
      <c r="K82" s="15" t="str">
        <f t="shared" si="1"/>
        <v>morabybay</v>
      </c>
      <c r="L82" s="15" t="s">
        <v>11280</v>
      </c>
      <c r="M82" s="15">
        <v>1</v>
      </c>
      <c r="N82" s="15" t="s">
        <v>11222</v>
      </c>
      <c r="O82" s="15"/>
      <c r="P82" s="15"/>
      <c r="Q82" s="15"/>
      <c r="R82" s="15"/>
      <c r="S82" s="15"/>
      <c r="T82" s="15">
        <v>0</v>
      </c>
      <c r="U82" s="15"/>
      <c r="V82" s="15"/>
      <c r="W82" s="15"/>
      <c r="X82" s="15"/>
      <c r="Y82" s="15"/>
      <c r="Z82" s="15"/>
    </row>
    <row r="83" spans="1:26" x14ac:dyDescent="0.25">
      <c r="A83" s="15" t="s">
        <v>14167</v>
      </c>
      <c r="B83" s="15">
        <v>82</v>
      </c>
      <c r="C83" s="15" t="s">
        <v>11277</v>
      </c>
      <c r="D83" s="15" t="s">
        <v>11277</v>
      </c>
      <c r="E83" s="15" t="s">
        <v>1067</v>
      </c>
      <c r="F83" s="15" t="s">
        <v>1118</v>
      </c>
      <c r="G83" s="15" t="s">
        <v>11224</v>
      </c>
      <c r="H83" s="15">
        <v>26</v>
      </c>
      <c r="I83" s="15">
        <v>26</v>
      </c>
      <c r="J83" s="15">
        <v>21</v>
      </c>
      <c r="K83" s="15" t="str">
        <f t="shared" si="1"/>
        <v>morabybay</v>
      </c>
      <c r="L83" s="15" t="s">
        <v>14088</v>
      </c>
      <c r="M83" s="15">
        <v>2</v>
      </c>
      <c r="N83" s="15" t="s">
        <v>11223</v>
      </c>
      <c r="O83" s="15"/>
      <c r="P83" s="15"/>
      <c r="Q83" s="15" t="s">
        <v>11227</v>
      </c>
      <c r="R83" s="15" t="s">
        <v>11231</v>
      </c>
      <c r="S83" s="15" t="s">
        <v>11230</v>
      </c>
      <c r="T83" s="15">
        <v>0</v>
      </c>
      <c r="U83" s="15"/>
      <c r="V83" s="15"/>
      <c r="W83" s="15"/>
      <c r="X83" s="15"/>
      <c r="Y83" s="15"/>
      <c r="Z83" s="15"/>
    </row>
    <row r="84" spans="1:26" x14ac:dyDescent="0.25">
      <c r="A84" s="15" t="s">
        <v>14168</v>
      </c>
      <c r="B84" s="15">
        <v>83</v>
      </c>
      <c r="C84" s="15" t="s">
        <v>11277</v>
      </c>
      <c r="D84" s="15" t="s">
        <v>11277</v>
      </c>
      <c r="E84" s="15" t="s">
        <v>1067</v>
      </c>
      <c r="F84" s="15" t="s">
        <v>1118</v>
      </c>
      <c r="G84" s="15" t="s">
        <v>11282</v>
      </c>
      <c r="H84" s="15">
        <v>26</v>
      </c>
      <c r="I84" s="15">
        <v>26</v>
      </c>
      <c r="J84" s="15">
        <v>50</v>
      </c>
      <c r="K84" s="15" t="str">
        <f t="shared" si="1"/>
        <v>morabybay</v>
      </c>
      <c r="L84" s="15" t="s">
        <v>11280</v>
      </c>
      <c r="M84" s="15">
        <v>3</v>
      </c>
      <c r="N84" s="15" t="s">
        <v>11223</v>
      </c>
      <c r="O84" s="15"/>
      <c r="P84" s="15"/>
      <c r="Q84" s="15"/>
      <c r="R84" s="15"/>
      <c r="S84" s="15"/>
      <c r="T84" s="15">
        <v>2</v>
      </c>
      <c r="U84" s="15"/>
      <c r="V84" s="15"/>
      <c r="W84" s="15"/>
      <c r="X84" s="15"/>
      <c r="Y84" s="15"/>
      <c r="Z84" s="15"/>
    </row>
    <row r="85" spans="1:26" x14ac:dyDescent="0.25">
      <c r="A85" s="15" t="s">
        <v>14169</v>
      </c>
      <c r="B85" s="15">
        <v>84</v>
      </c>
      <c r="C85" s="15" t="s">
        <v>11277</v>
      </c>
      <c r="D85" s="15" t="s">
        <v>11277</v>
      </c>
      <c r="E85" s="15" t="s">
        <v>1067</v>
      </c>
      <c r="F85" s="15" t="s">
        <v>1129</v>
      </c>
      <c r="G85" s="15" t="s">
        <v>11227</v>
      </c>
      <c r="H85" s="15">
        <v>35</v>
      </c>
      <c r="I85" s="15">
        <v>17</v>
      </c>
      <c r="J85" s="15">
        <v>3</v>
      </c>
      <c r="K85" s="15" t="str">
        <f t="shared" si="1"/>
        <v>cedarwood</v>
      </c>
      <c r="L85" s="15" t="s">
        <v>11233</v>
      </c>
      <c r="M85" s="15">
        <v>1</v>
      </c>
      <c r="N85" s="15" t="s">
        <v>11222</v>
      </c>
      <c r="O85" s="15"/>
      <c r="P85" s="15"/>
      <c r="Q85" s="15"/>
      <c r="R85" s="15"/>
      <c r="S85" s="15"/>
      <c r="T85" s="15">
        <v>0</v>
      </c>
      <c r="U85" s="15"/>
      <c r="V85" s="15"/>
      <c r="W85" s="15"/>
      <c r="X85" s="15"/>
      <c r="Y85" s="15"/>
      <c r="Z85" s="15"/>
    </row>
    <row r="86" spans="1:26" x14ac:dyDescent="0.25">
      <c r="A86" s="15" t="s">
        <v>14170</v>
      </c>
      <c r="B86" s="15">
        <v>85</v>
      </c>
      <c r="C86" s="15" t="s">
        <v>11277</v>
      </c>
      <c r="D86" s="15" t="s">
        <v>11277</v>
      </c>
      <c r="E86" s="15" t="s">
        <v>1067</v>
      </c>
      <c r="F86" s="15" t="s">
        <v>1129</v>
      </c>
      <c r="G86" s="15" t="s">
        <v>11230</v>
      </c>
      <c r="H86" s="15">
        <v>35</v>
      </c>
      <c r="I86" s="15">
        <v>17</v>
      </c>
      <c r="J86" s="15">
        <v>6</v>
      </c>
      <c r="K86" s="15" t="str">
        <f t="shared" si="1"/>
        <v>cedarwood</v>
      </c>
      <c r="L86" s="15" t="s">
        <v>11234</v>
      </c>
      <c r="M86" s="15">
        <v>1</v>
      </c>
      <c r="N86" s="15" t="s">
        <v>11222</v>
      </c>
      <c r="O86" s="15"/>
      <c r="P86" s="15"/>
      <c r="Q86" s="15"/>
      <c r="R86" s="15"/>
      <c r="S86" s="15"/>
      <c r="T86" s="15">
        <v>0</v>
      </c>
      <c r="U86" s="15"/>
      <c r="V86" s="15"/>
      <c r="W86" s="15"/>
      <c r="X86" s="15"/>
      <c r="Y86" s="15"/>
      <c r="Z86" s="15"/>
    </row>
    <row r="87" spans="1:26" x14ac:dyDescent="0.25">
      <c r="A87" s="15" t="s">
        <v>14171</v>
      </c>
      <c r="B87" s="15">
        <v>86</v>
      </c>
      <c r="C87" s="15" t="s">
        <v>11277</v>
      </c>
      <c r="D87" s="15" t="s">
        <v>11277</v>
      </c>
      <c r="E87" s="15" t="s">
        <v>1067</v>
      </c>
      <c r="F87" s="15" t="s">
        <v>1129</v>
      </c>
      <c r="G87" s="15" t="s">
        <v>11231</v>
      </c>
      <c r="H87" s="15">
        <v>35</v>
      </c>
      <c r="I87" s="15">
        <v>17</v>
      </c>
      <c r="J87" s="15">
        <v>7</v>
      </c>
      <c r="K87" s="15" t="str">
        <f t="shared" si="1"/>
        <v>cedarwood</v>
      </c>
      <c r="L87" s="15" t="s">
        <v>11234</v>
      </c>
      <c r="M87" s="15">
        <v>2</v>
      </c>
      <c r="N87" s="15" t="s">
        <v>11223</v>
      </c>
      <c r="O87" s="15"/>
      <c r="P87" s="15"/>
      <c r="Q87" s="15"/>
      <c r="R87" s="15"/>
      <c r="S87" s="15"/>
      <c r="T87" s="15">
        <v>0</v>
      </c>
      <c r="U87" s="15"/>
      <c r="V87" s="15"/>
      <c r="W87" s="15"/>
      <c r="X87" s="15"/>
      <c r="Y87" s="15"/>
      <c r="Z87" s="15"/>
    </row>
    <row r="88" spans="1:26" x14ac:dyDescent="0.25">
      <c r="A88" s="15" t="s">
        <v>14172</v>
      </c>
      <c r="B88" s="15">
        <v>87</v>
      </c>
      <c r="C88" s="15" t="s">
        <v>11277</v>
      </c>
      <c r="D88" s="15" t="s">
        <v>11277</v>
      </c>
      <c r="E88" s="15" t="s">
        <v>1067</v>
      </c>
      <c r="F88" s="15" t="s">
        <v>1129</v>
      </c>
      <c r="G88" s="15" t="s">
        <v>11279</v>
      </c>
      <c r="H88" s="15">
        <v>35</v>
      </c>
      <c r="I88" s="15">
        <v>17</v>
      </c>
      <c r="J88" s="15">
        <v>10</v>
      </c>
      <c r="K88" s="15" t="str">
        <f t="shared" si="1"/>
        <v>cedarwood</v>
      </c>
      <c r="L88" s="15" t="s">
        <v>11234</v>
      </c>
      <c r="M88" s="15">
        <v>2</v>
      </c>
      <c r="N88" s="15" t="s">
        <v>11223</v>
      </c>
      <c r="O88" s="15"/>
      <c r="P88" s="15"/>
      <c r="Q88" s="15"/>
      <c r="R88" s="15"/>
      <c r="S88" s="15"/>
      <c r="T88" s="15">
        <v>0</v>
      </c>
      <c r="U88" s="15"/>
      <c r="V88" s="15"/>
      <c r="W88" s="15"/>
      <c r="X88" s="15"/>
      <c r="Y88" s="15"/>
      <c r="Z88" s="15"/>
    </row>
    <row r="89" spans="1:26" x14ac:dyDescent="0.25">
      <c r="A89" s="15" t="s">
        <v>14173</v>
      </c>
      <c r="B89" s="15">
        <v>88</v>
      </c>
      <c r="C89" s="15" t="s">
        <v>11277</v>
      </c>
      <c r="D89" s="15" t="s">
        <v>11277</v>
      </c>
      <c r="E89" s="15" t="s">
        <v>1067</v>
      </c>
      <c r="F89" s="15" t="s">
        <v>1129</v>
      </c>
      <c r="G89" s="15" t="s">
        <v>11281</v>
      </c>
      <c r="H89" s="15">
        <v>35</v>
      </c>
      <c r="I89" s="15">
        <v>17</v>
      </c>
      <c r="J89" s="15">
        <v>12</v>
      </c>
      <c r="K89" s="15" t="str">
        <f t="shared" si="1"/>
        <v>cedarwood</v>
      </c>
      <c r="L89" s="15" t="s">
        <v>11280</v>
      </c>
      <c r="M89" s="15">
        <v>1</v>
      </c>
      <c r="N89" s="15" t="s">
        <v>11222</v>
      </c>
      <c r="O89" s="15"/>
      <c r="P89" s="15"/>
      <c r="Q89" s="15"/>
      <c r="R89" s="15"/>
      <c r="S89" s="15"/>
      <c r="T89" s="15">
        <v>0</v>
      </c>
      <c r="U89" s="15"/>
      <c r="V89" s="15"/>
      <c r="W89" s="15"/>
      <c r="X89" s="15"/>
      <c r="Y89" s="15"/>
      <c r="Z89" s="15"/>
    </row>
    <row r="90" spans="1:26" x14ac:dyDescent="0.25">
      <c r="A90" s="15" t="s">
        <v>14174</v>
      </c>
      <c r="B90" s="15">
        <v>89</v>
      </c>
      <c r="C90" s="15" t="s">
        <v>11277</v>
      </c>
      <c r="D90" s="15" t="s">
        <v>11277</v>
      </c>
      <c r="E90" s="15" t="s">
        <v>1067</v>
      </c>
      <c r="F90" s="15" t="s">
        <v>1129</v>
      </c>
      <c r="G90" s="15" t="s">
        <v>11283</v>
      </c>
      <c r="H90" s="15">
        <v>35</v>
      </c>
      <c r="I90" s="15">
        <v>17</v>
      </c>
      <c r="J90" s="15">
        <v>15</v>
      </c>
      <c r="K90" s="15" t="str">
        <f t="shared" si="1"/>
        <v>cedarwood</v>
      </c>
      <c r="L90" s="15" t="s">
        <v>11245</v>
      </c>
      <c r="M90" s="15">
        <v>2</v>
      </c>
      <c r="N90" s="15" t="s">
        <v>11223</v>
      </c>
      <c r="O90" s="15"/>
      <c r="P90" s="15"/>
      <c r="Q90" s="15"/>
      <c r="R90" s="15"/>
      <c r="S90" s="15"/>
      <c r="T90" s="15">
        <v>0</v>
      </c>
      <c r="U90" s="15"/>
      <c r="V90" s="15"/>
      <c r="W90" s="15"/>
      <c r="X90" s="15"/>
      <c r="Y90" s="15"/>
      <c r="Z90" s="15"/>
    </row>
    <row r="91" spans="1:26" x14ac:dyDescent="0.25">
      <c r="A91" s="15" t="s">
        <v>14175</v>
      </c>
      <c r="B91" s="15">
        <v>90</v>
      </c>
      <c r="C91" s="15" t="s">
        <v>11277</v>
      </c>
      <c r="D91" s="15" t="s">
        <v>11277</v>
      </c>
      <c r="E91" s="15" t="s">
        <v>1067</v>
      </c>
      <c r="F91" s="15" t="s">
        <v>1129</v>
      </c>
      <c r="G91" s="15" t="s">
        <v>11224</v>
      </c>
      <c r="H91" s="15">
        <v>35</v>
      </c>
      <c r="I91" s="15">
        <v>17</v>
      </c>
      <c r="J91" s="15">
        <v>21</v>
      </c>
      <c r="K91" s="15" t="str">
        <f t="shared" si="1"/>
        <v>cedarwood</v>
      </c>
      <c r="L91" s="15" t="s">
        <v>14088</v>
      </c>
      <c r="M91" s="15">
        <v>2</v>
      </c>
      <c r="N91" s="15" t="s">
        <v>11223</v>
      </c>
      <c r="O91" s="15"/>
      <c r="P91" s="15"/>
      <c r="Q91" s="15" t="s">
        <v>11227</v>
      </c>
      <c r="R91" s="15" t="s">
        <v>11231</v>
      </c>
      <c r="S91" s="15" t="s">
        <v>11230</v>
      </c>
      <c r="T91" s="15">
        <v>0</v>
      </c>
      <c r="U91" s="15"/>
      <c r="V91" s="15"/>
      <c r="W91" s="15"/>
      <c r="X91" s="15"/>
      <c r="Y91" s="15"/>
      <c r="Z91" s="15"/>
    </row>
    <row r="92" spans="1:26" x14ac:dyDescent="0.25">
      <c r="A92" s="15" t="s">
        <v>14176</v>
      </c>
      <c r="B92" s="15">
        <v>91</v>
      </c>
      <c r="C92" s="15" t="s">
        <v>11277</v>
      </c>
      <c r="D92" s="15" t="s">
        <v>11277</v>
      </c>
      <c r="E92" s="15" t="s">
        <v>1067</v>
      </c>
      <c r="F92" s="15" t="s">
        <v>1129</v>
      </c>
      <c r="G92" s="15" t="s">
        <v>11284</v>
      </c>
      <c r="H92" s="15">
        <v>35</v>
      </c>
      <c r="I92" s="15">
        <v>17</v>
      </c>
      <c r="J92" s="15">
        <v>33</v>
      </c>
      <c r="K92" s="15" t="str">
        <f t="shared" si="1"/>
        <v>cedarwood</v>
      </c>
      <c r="L92" s="15" t="s">
        <v>11285</v>
      </c>
      <c r="M92" s="15">
        <v>1</v>
      </c>
      <c r="N92" s="15" t="s">
        <v>11222</v>
      </c>
      <c r="O92" s="15"/>
      <c r="P92" s="15"/>
      <c r="Q92" s="15"/>
      <c r="R92" s="15"/>
      <c r="S92" s="15"/>
      <c r="T92" s="15">
        <v>0</v>
      </c>
      <c r="U92" s="15"/>
      <c r="V92" s="15"/>
      <c r="W92" s="15"/>
      <c r="X92" s="15"/>
      <c r="Y92" s="15"/>
      <c r="Z92" s="15"/>
    </row>
    <row r="93" spans="1:26" x14ac:dyDescent="0.25">
      <c r="A93" s="15" t="s">
        <v>14177</v>
      </c>
      <c r="B93" s="15">
        <v>92</v>
      </c>
      <c r="C93" s="15" t="s">
        <v>11277</v>
      </c>
      <c r="D93" s="15" t="s">
        <v>11277</v>
      </c>
      <c r="E93" s="15" t="s">
        <v>1067</v>
      </c>
      <c r="F93" s="15" t="s">
        <v>1129</v>
      </c>
      <c r="G93" s="15" t="s">
        <v>11286</v>
      </c>
      <c r="H93" s="15">
        <v>35</v>
      </c>
      <c r="I93" s="15">
        <v>17</v>
      </c>
      <c r="J93" s="15">
        <v>50</v>
      </c>
      <c r="K93" s="15" t="str">
        <f t="shared" si="1"/>
        <v>cedarwood</v>
      </c>
      <c r="L93" s="15" t="s">
        <v>11285</v>
      </c>
      <c r="M93" s="15">
        <v>3</v>
      </c>
      <c r="N93" s="15" t="s">
        <v>11222</v>
      </c>
      <c r="O93" s="15"/>
      <c r="P93" s="15"/>
      <c r="Q93" s="15"/>
      <c r="R93" s="15"/>
      <c r="S93" s="15"/>
      <c r="T93" s="15">
        <v>2</v>
      </c>
      <c r="U93" s="15" t="s">
        <v>5900</v>
      </c>
      <c r="V93" s="15"/>
      <c r="W93" s="15"/>
      <c r="X93" s="15"/>
      <c r="Y93" s="15"/>
      <c r="Z93" s="15"/>
    </row>
    <row r="94" spans="1:26" x14ac:dyDescent="0.25">
      <c r="A94" s="15" t="s">
        <v>14178</v>
      </c>
      <c r="B94" s="15">
        <v>93</v>
      </c>
      <c r="C94" s="15" t="s">
        <v>11277</v>
      </c>
      <c r="D94" s="15" t="s">
        <v>11277</v>
      </c>
      <c r="E94" s="15" t="s">
        <v>1067</v>
      </c>
      <c r="F94" s="15" t="s">
        <v>1141</v>
      </c>
      <c r="G94" s="15" t="s">
        <v>11243</v>
      </c>
      <c r="H94" s="15">
        <v>24</v>
      </c>
      <c r="I94" s="15">
        <v>39</v>
      </c>
      <c r="J94" s="15">
        <v>7</v>
      </c>
      <c r="K94" s="15" t="str">
        <f t="shared" si="1"/>
        <v>oschonstorch</v>
      </c>
      <c r="L94" s="15" t="s">
        <v>11234</v>
      </c>
      <c r="M94" s="15">
        <v>1</v>
      </c>
      <c r="N94" s="15" t="s">
        <v>11222</v>
      </c>
      <c r="O94" s="15"/>
      <c r="P94" s="15"/>
      <c r="Q94" s="15"/>
      <c r="R94" s="15"/>
      <c r="S94" s="15"/>
      <c r="T94" s="15">
        <v>0</v>
      </c>
      <c r="U94" s="15"/>
      <c r="V94" s="15"/>
      <c r="W94" s="15"/>
      <c r="X94" s="15"/>
      <c r="Y94" s="15"/>
      <c r="Z94" s="15"/>
    </row>
    <row r="95" spans="1:26" x14ac:dyDescent="0.25">
      <c r="A95" s="15" t="s">
        <v>14179</v>
      </c>
      <c r="B95" s="15">
        <v>94</v>
      </c>
      <c r="C95" s="15" t="s">
        <v>11277</v>
      </c>
      <c r="D95" s="15" t="s">
        <v>11277</v>
      </c>
      <c r="E95" s="15" t="s">
        <v>1067</v>
      </c>
      <c r="F95" s="15" t="s">
        <v>1141</v>
      </c>
      <c r="G95" s="15" t="s">
        <v>11259</v>
      </c>
      <c r="H95" s="15">
        <v>24</v>
      </c>
      <c r="I95" s="15">
        <v>39</v>
      </c>
      <c r="J95" s="15">
        <v>8</v>
      </c>
      <c r="K95" s="15" t="str">
        <f t="shared" si="1"/>
        <v>oschonstorch</v>
      </c>
      <c r="L95" s="15" t="s">
        <v>11234</v>
      </c>
      <c r="M95" s="15">
        <v>1</v>
      </c>
      <c r="N95" s="15" t="s">
        <v>11222</v>
      </c>
      <c r="O95" s="15"/>
      <c r="P95" s="15"/>
      <c r="Q95" s="15"/>
      <c r="R95" s="15"/>
      <c r="S95" s="15"/>
      <c r="T95" s="15">
        <v>0</v>
      </c>
      <c r="U95" s="15"/>
      <c r="V95" s="15"/>
      <c r="W95" s="15"/>
      <c r="X95" s="15"/>
      <c r="Y95" s="15"/>
      <c r="Z95" s="15"/>
    </row>
    <row r="96" spans="1:26" x14ac:dyDescent="0.25">
      <c r="A96" s="15" t="s">
        <v>14180</v>
      </c>
      <c r="B96" s="15">
        <v>95</v>
      </c>
      <c r="C96" s="15" t="s">
        <v>11277</v>
      </c>
      <c r="D96" s="15" t="s">
        <v>11277</v>
      </c>
      <c r="E96" s="15" t="s">
        <v>1067</v>
      </c>
      <c r="F96" s="15" t="s">
        <v>1141</v>
      </c>
      <c r="G96" s="15" t="s">
        <v>11279</v>
      </c>
      <c r="H96" s="15">
        <v>24</v>
      </c>
      <c r="I96" s="15">
        <v>39</v>
      </c>
      <c r="J96" s="15">
        <v>10</v>
      </c>
      <c r="K96" s="15" t="str">
        <f t="shared" si="1"/>
        <v>oschonstorch</v>
      </c>
      <c r="L96" s="15" t="s">
        <v>11234</v>
      </c>
      <c r="M96" s="15">
        <v>2</v>
      </c>
      <c r="N96" s="15" t="s">
        <v>11223</v>
      </c>
      <c r="O96" s="15"/>
      <c r="P96" s="15"/>
      <c r="Q96" s="15"/>
      <c r="R96" s="15"/>
      <c r="S96" s="15"/>
      <c r="T96" s="15">
        <v>0</v>
      </c>
      <c r="U96" s="15"/>
      <c r="V96" s="15"/>
      <c r="W96" s="15"/>
      <c r="X96" s="15"/>
      <c r="Y96" s="15"/>
      <c r="Z96" s="15"/>
    </row>
    <row r="97" spans="1:26" x14ac:dyDescent="0.25">
      <c r="A97" s="15" t="s">
        <v>14181</v>
      </c>
      <c r="B97" s="15">
        <v>96</v>
      </c>
      <c r="C97" s="15" t="s">
        <v>11277</v>
      </c>
      <c r="D97" s="15" t="s">
        <v>11277</v>
      </c>
      <c r="E97" s="15" t="s">
        <v>1067</v>
      </c>
      <c r="F97" s="15" t="s">
        <v>1141</v>
      </c>
      <c r="G97" s="15" t="s">
        <v>11281</v>
      </c>
      <c r="H97" s="15">
        <v>24</v>
      </c>
      <c r="I97" s="15">
        <v>39</v>
      </c>
      <c r="J97" s="15">
        <v>12</v>
      </c>
      <c r="K97" s="15" t="str">
        <f t="shared" si="1"/>
        <v>oschonstorch</v>
      </c>
      <c r="L97" s="15" t="s">
        <v>11234</v>
      </c>
      <c r="M97" s="15">
        <v>1</v>
      </c>
      <c r="N97" s="15" t="s">
        <v>11222</v>
      </c>
      <c r="O97" s="15"/>
      <c r="P97" s="15"/>
      <c r="Q97" s="15"/>
      <c r="R97" s="15"/>
      <c r="S97" s="15"/>
      <c r="T97" s="15">
        <v>0</v>
      </c>
      <c r="U97" s="15"/>
      <c r="V97" s="15"/>
      <c r="W97" s="15"/>
      <c r="X97" s="15"/>
      <c r="Y97" s="15"/>
      <c r="Z97" s="15"/>
    </row>
    <row r="98" spans="1:26" x14ac:dyDescent="0.25">
      <c r="A98" s="15" t="s">
        <v>14182</v>
      </c>
      <c r="B98" s="15">
        <v>97</v>
      </c>
      <c r="C98" s="15" t="s">
        <v>11277</v>
      </c>
      <c r="D98" s="15" t="s">
        <v>11277</v>
      </c>
      <c r="E98" s="15" t="s">
        <v>1067</v>
      </c>
      <c r="F98" s="15" t="s">
        <v>1141</v>
      </c>
      <c r="G98" s="15" t="s">
        <v>11283</v>
      </c>
      <c r="H98" s="15">
        <v>24</v>
      </c>
      <c r="I98" s="15">
        <v>39</v>
      </c>
      <c r="J98" s="15">
        <v>15</v>
      </c>
      <c r="K98" s="15" t="str">
        <f t="shared" si="1"/>
        <v>oschonstorch</v>
      </c>
      <c r="L98" s="15" t="s">
        <v>11245</v>
      </c>
      <c r="M98" s="15">
        <v>2</v>
      </c>
      <c r="N98" s="15" t="s">
        <v>11223</v>
      </c>
      <c r="O98" s="15"/>
      <c r="P98" s="15"/>
      <c r="Q98" s="15"/>
      <c r="R98" s="15"/>
      <c r="S98" s="15"/>
      <c r="T98" s="15">
        <v>0</v>
      </c>
      <c r="U98" s="15"/>
      <c r="V98" s="15"/>
      <c r="W98" s="15"/>
      <c r="X98" s="15"/>
      <c r="Y98" s="15"/>
      <c r="Z98" s="15"/>
    </row>
    <row r="99" spans="1:26" x14ac:dyDescent="0.25">
      <c r="A99" s="15" t="s">
        <v>14183</v>
      </c>
      <c r="B99" s="15">
        <v>98</v>
      </c>
      <c r="C99" s="15" t="s">
        <v>11277</v>
      </c>
      <c r="D99" s="15" t="s">
        <v>11277</v>
      </c>
      <c r="E99" s="15" t="s">
        <v>1067</v>
      </c>
      <c r="F99" s="15" t="s">
        <v>1141</v>
      </c>
      <c r="G99" s="15" t="s">
        <v>11287</v>
      </c>
      <c r="H99" s="15">
        <v>24</v>
      </c>
      <c r="I99" s="15">
        <v>39</v>
      </c>
      <c r="J99" s="15">
        <v>17</v>
      </c>
      <c r="K99" s="15" t="str">
        <f t="shared" si="1"/>
        <v>oschonstorch</v>
      </c>
      <c r="L99" s="15" t="s">
        <v>11245</v>
      </c>
      <c r="M99" s="15">
        <v>1</v>
      </c>
      <c r="N99" s="15" t="s">
        <v>11222</v>
      </c>
      <c r="O99" s="15"/>
      <c r="P99" s="15"/>
      <c r="Q99" s="15"/>
      <c r="R99" s="15"/>
      <c r="S99" s="15"/>
      <c r="T99" s="15">
        <v>0</v>
      </c>
      <c r="U99" s="15"/>
      <c r="V99" s="15"/>
      <c r="W99" s="15"/>
      <c r="X99" s="15"/>
      <c r="Y99" s="15"/>
      <c r="Z99" s="15"/>
    </row>
    <row r="100" spans="1:26" x14ac:dyDescent="0.25">
      <c r="A100" s="15" t="s">
        <v>14184</v>
      </c>
      <c r="B100" s="15">
        <v>99</v>
      </c>
      <c r="C100" s="15" t="s">
        <v>11277</v>
      </c>
      <c r="D100" s="15" t="s">
        <v>11277</v>
      </c>
      <c r="E100" s="15" t="s">
        <v>1067</v>
      </c>
      <c r="F100" s="15" t="s">
        <v>1141</v>
      </c>
      <c r="G100" s="15" t="s">
        <v>11288</v>
      </c>
      <c r="H100" s="15">
        <v>24</v>
      </c>
      <c r="I100" s="15">
        <v>39</v>
      </c>
      <c r="J100" s="15">
        <v>50</v>
      </c>
      <c r="K100" s="15" t="str">
        <f t="shared" si="1"/>
        <v>oschonstorch</v>
      </c>
      <c r="L100" s="15" t="s">
        <v>11289</v>
      </c>
      <c r="M100" s="15">
        <v>3</v>
      </c>
      <c r="N100" s="15" t="s">
        <v>11223</v>
      </c>
      <c r="O100" s="15" t="s">
        <v>14018</v>
      </c>
      <c r="P100" s="15"/>
      <c r="Q100" s="15"/>
      <c r="R100" s="15"/>
      <c r="S100" s="15"/>
      <c r="T100" s="15">
        <v>1</v>
      </c>
      <c r="U100" s="15"/>
      <c r="V100" s="15"/>
      <c r="W100" s="15"/>
      <c r="X100" s="15"/>
      <c r="Y100" s="15"/>
      <c r="Z100" s="15"/>
    </row>
    <row r="101" spans="1:26" x14ac:dyDescent="0.25">
      <c r="A101" s="15" t="s">
        <v>14185</v>
      </c>
      <c r="B101" s="15">
        <v>100</v>
      </c>
      <c r="C101" s="15" t="s">
        <v>11277</v>
      </c>
      <c r="D101" s="15" t="s">
        <v>11277</v>
      </c>
      <c r="E101" s="15" t="s">
        <v>1067</v>
      </c>
      <c r="F101" s="15" t="s">
        <v>1141</v>
      </c>
      <c r="G101" s="15" t="s">
        <v>11400</v>
      </c>
      <c r="H101" s="15">
        <v>24</v>
      </c>
      <c r="I101" s="15">
        <v>39</v>
      </c>
      <c r="J101" s="15">
        <v>50</v>
      </c>
      <c r="K101" s="15" t="str">
        <f t="shared" si="1"/>
        <v>oschonstorch</v>
      </c>
      <c r="L101" s="15" t="s">
        <v>11289</v>
      </c>
      <c r="M101" s="15">
        <v>3</v>
      </c>
      <c r="N101" s="15" t="s">
        <v>11223</v>
      </c>
      <c r="O101" s="15"/>
      <c r="P101" s="15"/>
      <c r="Q101" s="15"/>
      <c r="R101" s="15"/>
      <c r="S101" s="15"/>
      <c r="T101" s="15">
        <v>2</v>
      </c>
      <c r="U101" s="15"/>
      <c r="V101" s="15"/>
      <c r="W101" s="15"/>
      <c r="X101" s="15"/>
      <c r="Y101" s="15"/>
      <c r="Z101" s="15"/>
    </row>
    <row r="102" spans="1:26" x14ac:dyDescent="0.25">
      <c r="A102" s="15" t="s">
        <v>14186</v>
      </c>
      <c r="B102" s="15">
        <v>101</v>
      </c>
      <c r="C102" s="15" t="s">
        <v>11277</v>
      </c>
      <c r="D102" s="15" t="s">
        <v>11277</v>
      </c>
      <c r="E102" s="15" t="s">
        <v>1067</v>
      </c>
      <c r="F102" s="15" t="s">
        <v>1139</v>
      </c>
      <c r="G102" s="15" t="s">
        <v>11226</v>
      </c>
      <c r="H102" s="15">
        <v>20</v>
      </c>
      <c r="I102" s="15">
        <v>39</v>
      </c>
      <c r="J102" s="15">
        <v>3</v>
      </c>
      <c r="K102" s="15" t="str">
        <f t="shared" si="1"/>
        <v>candlekeepquay</v>
      </c>
      <c r="L102" s="15" t="s">
        <v>11233</v>
      </c>
      <c r="M102" s="15">
        <v>1</v>
      </c>
      <c r="N102" s="15" t="s">
        <v>11222</v>
      </c>
      <c r="O102" s="15"/>
      <c r="P102" s="15"/>
      <c r="Q102" s="15"/>
      <c r="R102" s="15"/>
      <c r="S102" s="15"/>
      <c r="T102" s="15">
        <v>0</v>
      </c>
      <c r="U102" s="15"/>
      <c r="V102" s="15"/>
      <c r="W102" s="15"/>
      <c r="X102" s="15"/>
      <c r="Y102" s="15"/>
      <c r="Z102" s="15"/>
    </row>
    <row r="103" spans="1:26" x14ac:dyDescent="0.25">
      <c r="A103" s="15" t="s">
        <v>14187</v>
      </c>
      <c r="B103" s="15">
        <v>102</v>
      </c>
      <c r="C103" s="15" t="s">
        <v>11277</v>
      </c>
      <c r="D103" s="15" t="s">
        <v>11277</v>
      </c>
      <c r="E103" s="15" t="s">
        <v>1067</v>
      </c>
      <c r="F103" s="15" t="s">
        <v>1139</v>
      </c>
      <c r="G103" s="15" t="s">
        <v>11259</v>
      </c>
      <c r="H103" s="15">
        <v>20</v>
      </c>
      <c r="I103" s="15">
        <v>39</v>
      </c>
      <c r="J103" s="15">
        <v>8</v>
      </c>
      <c r="K103" s="15" t="str">
        <f t="shared" si="1"/>
        <v>candlekeepquay</v>
      </c>
      <c r="L103" s="15" t="s">
        <v>11234</v>
      </c>
      <c r="M103" s="15">
        <v>1</v>
      </c>
      <c r="N103" s="15" t="s">
        <v>11222</v>
      </c>
      <c r="O103" s="15"/>
      <c r="P103" s="15"/>
      <c r="Q103" s="15"/>
      <c r="R103" s="15"/>
      <c r="S103" s="15"/>
      <c r="T103" s="15">
        <v>0</v>
      </c>
      <c r="U103" s="15"/>
      <c r="V103" s="15"/>
      <c r="W103" s="15"/>
      <c r="X103" s="15"/>
      <c r="Y103" s="15"/>
      <c r="Z103" s="15"/>
    </row>
    <row r="104" spans="1:26" x14ac:dyDescent="0.25">
      <c r="A104" s="15" t="s">
        <v>14188</v>
      </c>
      <c r="B104" s="15">
        <v>103</v>
      </c>
      <c r="C104" s="15" t="s">
        <v>11277</v>
      </c>
      <c r="D104" s="15" t="s">
        <v>11277</v>
      </c>
      <c r="E104" s="15" t="s">
        <v>1067</v>
      </c>
      <c r="F104" s="15" t="s">
        <v>1139</v>
      </c>
      <c r="G104" s="15" t="s">
        <v>11279</v>
      </c>
      <c r="H104" s="15">
        <v>20</v>
      </c>
      <c r="I104" s="15">
        <v>39</v>
      </c>
      <c r="J104" s="15">
        <v>10</v>
      </c>
      <c r="K104" s="15" t="str">
        <f t="shared" si="1"/>
        <v>candlekeepquay</v>
      </c>
      <c r="L104" s="15" t="s">
        <v>11234</v>
      </c>
      <c r="M104" s="15">
        <v>2</v>
      </c>
      <c r="N104" s="15" t="s">
        <v>11223</v>
      </c>
      <c r="O104" s="15"/>
      <c r="P104" s="15"/>
      <c r="Q104" s="15"/>
      <c r="R104" s="15"/>
      <c r="S104" s="15"/>
      <c r="T104" s="15">
        <v>0</v>
      </c>
      <c r="U104" s="15"/>
      <c r="V104" s="15"/>
      <c r="W104" s="15"/>
      <c r="X104" s="15"/>
      <c r="Y104" s="15"/>
      <c r="Z104" s="15"/>
    </row>
    <row r="105" spans="1:26" x14ac:dyDescent="0.25">
      <c r="A105" s="15" t="s">
        <v>14189</v>
      </c>
      <c r="B105" s="15">
        <v>104</v>
      </c>
      <c r="C105" s="15" t="s">
        <v>11277</v>
      </c>
      <c r="D105" s="15" t="s">
        <v>11277</v>
      </c>
      <c r="E105" s="15" t="s">
        <v>1067</v>
      </c>
      <c r="F105" s="15" t="s">
        <v>1139</v>
      </c>
      <c r="G105" s="15" t="s">
        <v>11281</v>
      </c>
      <c r="H105" s="15">
        <v>20</v>
      </c>
      <c r="I105" s="15">
        <v>39</v>
      </c>
      <c r="J105" s="15">
        <v>12</v>
      </c>
      <c r="K105" s="15" t="str">
        <f t="shared" si="1"/>
        <v>candlekeepquay</v>
      </c>
      <c r="L105" s="15" t="s">
        <v>11234</v>
      </c>
      <c r="M105" s="15">
        <v>1</v>
      </c>
      <c r="N105" s="15" t="s">
        <v>11222</v>
      </c>
      <c r="O105" s="15"/>
      <c r="P105" s="15"/>
      <c r="Q105" s="15"/>
      <c r="R105" s="15"/>
      <c r="S105" s="15"/>
      <c r="T105" s="15">
        <v>0</v>
      </c>
      <c r="U105" s="15"/>
      <c r="V105" s="15"/>
      <c r="W105" s="15"/>
      <c r="X105" s="15"/>
      <c r="Y105" s="15"/>
      <c r="Z105" s="15"/>
    </row>
    <row r="106" spans="1:26" x14ac:dyDescent="0.25">
      <c r="A106" s="15" t="s">
        <v>14190</v>
      </c>
      <c r="B106" s="15">
        <v>105</v>
      </c>
      <c r="C106" s="15" t="s">
        <v>11277</v>
      </c>
      <c r="D106" s="15" t="s">
        <v>11277</v>
      </c>
      <c r="E106" s="15" t="s">
        <v>1067</v>
      </c>
      <c r="F106" s="15" t="s">
        <v>1139</v>
      </c>
      <c r="G106" s="15" t="s">
        <v>11283</v>
      </c>
      <c r="H106" s="15">
        <v>20</v>
      </c>
      <c r="I106" s="15">
        <v>39</v>
      </c>
      <c r="J106" s="15">
        <v>15</v>
      </c>
      <c r="K106" s="15" t="str">
        <f t="shared" si="1"/>
        <v>candlekeepquay</v>
      </c>
      <c r="L106" s="15" t="s">
        <v>11245</v>
      </c>
      <c r="M106" s="15">
        <v>2</v>
      </c>
      <c r="N106" s="15" t="s">
        <v>11223</v>
      </c>
      <c r="O106" s="15"/>
      <c r="P106" s="15"/>
      <c r="Q106" s="15"/>
      <c r="R106" s="15"/>
      <c r="S106" s="15"/>
      <c r="T106" s="15">
        <v>0</v>
      </c>
      <c r="U106" s="15"/>
      <c r="V106" s="15"/>
      <c r="W106" s="15"/>
      <c r="X106" s="15"/>
      <c r="Y106" s="15"/>
      <c r="Z106" s="15"/>
    </row>
    <row r="107" spans="1:26" x14ac:dyDescent="0.25">
      <c r="A107" s="15" t="s">
        <v>14191</v>
      </c>
      <c r="B107" s="15">
        <v>106</v>
      </c>
      <c r="C107" s="15" t="s">
        <v>11277</v>
      </c>
      <c r="D107" s="15" t="s">
        <v>11277</v>
      </c>
      <c r="E107" s="15" t="s">
        <v>1067</v>
      </c>
      <c r="F107" s="15" t="s">
        <v>1139</v>
      </c>
      <c r="G107" s="15" t="s">
        <v>11287</v>
      </c>
      <c r="H107" s="15">
        <v>20</v>
      </c>
      <c r="I107" s="15">
        <v>39</v>
      </c>
      <c r="J107" s="15">
        <v>17</v>
      </c>
      <c r="K107" s="15" t="str">
        <f t="shared" si="1"/>
        <v>candlekeepquay</v>
      </c>
      <c r="L107" s="15" t="s">
        <v>11245</v>
      </c>
      <c r="M107" s="15">
        <v>1</v>
      </c>
      <c r="N107" s="15" t="s">
        <v>11222</v>
      </c>
      <c r="O107" s="15"/>
      <c r="P107" s="15"/>
      <c r="Q107" s="15"/>
      <c r="R107" s="15"/>
      <c r="S107" s="15"/>
      <c r="T107" s="15">
        <v>0</v>
      </c>
      <c r="U107" s="15"/>
      <c r="V107" s="15"/>
      <c r="W107" s="15"/>
      <c r="X107" s="15"/>
      <c r="Y107" s="15"/>
      <c r="Z107" s="15"/>
    </row>
    <row r="108" spans="1:26" x14ac:dyDescent="0.25">
      <c r="A108" s="15" t="s">
        <v>14192</v>
      </c>
      <c r="B108" s="15">
        <v>107</v>
      </c>
      <c r="C108" s="15" t="s">
        <v>11277</v>
      </c>
      <c r="D108" s="15" t="s">
        <v>11277</v>
      </c>
      <c r="E108" s="15" t="s">
        <v>1067</v>
      </c>
      <c r="F108" s="15" t="s">
        <v>1139</v>
      </c>
      <c r="G108" s="15" t="s">
        <v>11290</v>
      </c>
      <c r="H108" s="15">
        <v>20</v>
      </c>
      <c r="I108" s="15">
        <v>39</v>
      </c>
      <c r="J108" s="15">
        <v>50</v>
      </c>
      <c r="K108" s="15" t="str">
        <f t="shared" si="1"/>
        <v>candlekeepquay</v>
      </c>
      <c r="L108" s="15" t="s">
        <v>11291</v>
      </c>
      <c r="M108" s="15">
        <v>2</v>
      </c>
      <c r="N108" s="15" t="s">
        <v>11223</v>
      </c>
      <c r="O108" s="15"/>
      <c r="P108" s="15"/>
      <c r="Q108" s="15"/>
      <c r="R108" s="15"/>
      <c r="S108" s="15"/>
      <c r="T108" s="15">
        <v>1</v>
      </c>
      <c r="U108" s="15"/>
      <c r="V108" s="15"/>
      <c r="W108" s="15"/>
      <c r="X108" s="15"/>
      <c r="Y108" s="15"/>
      <c r="Z108" s="15"/>
    </row>
    <row r="109" spans="1:26" x14ac:dyDescent="0.25">
      <c r="A109" s="15" t="s">
        <v>14193</v>
      </c>
      <c r="B109" s="15">
        <v>108</v>
      </c>
      <c r="C109" s="15" t="s">
        <v>11277</v>
      </c>
      <c r="D109" s="15" t="s">
        <v>11277</v>
      </c>
      <c r="E109" s="15" t="s">
        <v>1067</v>
      </c>
      <c r="F109" s="15" t="s">
        <v>1139</v>
      </c>
      <c r="G109" s="15" t="s">
        <v>11292</v>
      </c>
      <c r="H109" s="15">
        <v>20</v>
      </c>
      <c r="I109" s="15">
        <v>39</v>
      </c>
      <c r="J109" s="15">
        <v>50</v>
      </c>
      <c r="K109" s="15" t="str">
        <f t="shared" si="1"/>
        <v>candlekeepquay</v>
      </c>
      <c r="L109" s="15" t="s">
        <v>11280</v>
      </c>
      <c r="M109" s="15">
        <v>3</v>
      </c>
      <c r="N109" s="15" t="s">
        <v>11223</v>
      </c>
      <c r="O109" s="15" t="s">
        <v>14036</v>
      </c>
      <c r="P109" s="15"/>
      <c r="Q109" s="15"/>
      <c r="R109" s="15"/>
      <c r="S109" s="15"/>
      <c r="T109" s="15">
        <v>2</v>
      </c>
      <c r="U109" s="15"/>
      <c r="V109" s="15"/>
      <c r="W109" s="15"/>
      <c r="X109" s="15"/>
      <c r="Y109" s="15"/>
      <c r="Z109" s="15"/>
    </row>
    <row r="110" spans="1:26" x14ac:dyDescent="0.25">
      <c r="A110" s="15" t="s">
        <v>14194</v>
      </c>
      <c r="B110" s="15">
        <v>109</v>
      </c>
      <c r="C110" s="15" t="s">
        <v>11277</v>
      </c>
      <c r="D110" s="15" t="s">
        <v>11277</v>
      </c>
      <c r="E110" s="15" t="s">
        <v>1067</v>
      </c>
      <c r="F110" s="15" t="s">
        <v>3376</v>
      </c>
      <c r="G110" s="15" t="s">
        <v>11230</v>
      </c>
      <c r="H110" s="15">
        <v>26</v>
      </c>
      <c r="I110" s="15">
        <v>34</v>
      </c>
      <c r="J110" s="15">
        <v>6</v>
      </c>
      <c r="K110" s="15" t="str">
        <f t="shared" si="1"/>
        <v>morabydrydocks</v>
      </c>
      <c r="L110" s="15" t="s">
        <v>11234</v>
      </c>
      <c r="M110" s="15">
        <v>1</v>
      </c>
      <c r="N110" s="15" t="s">
        <v>11222</v>
      </c>
      <c r="O110" s="15"/>
      <c r="P110" s="15"/>
      <c r="Q110" s="15"/>
      <c r="R110" s="15"/>
      <c r="S110" s="15"/>
      <c r="T110" s="15">
        <v>0</v>
      </c>
      <c r="U110" s="15"/>
      <c r="V110" s="15"/>
      <c r="W110" s="15"/>
      <c r="X110" s="15"/>
      <c r="Y110" s="15"/>
      <c r="Z110" s="15"/>
    </row>
    <row r="111" spans="1:26" x14ac:dyDescent="0.25">
      <c r="A111" s="15" t="s">
        <v>14195</v>
      </c>
      <c r="B111" s="15">
        <v>110</v>
      </c>
      <c r="C111" s="15" t="s">
        <v>11277</v>
      </c>
      <c r="D111" s="15" t="s">
        <v>11277</v>
      </c>
      <c r="E111" s="15" t="s">
        <v>1067</v>
      </c>
      <c r="F111" s="15" t="s">
        <v>3376</v>
      </c>
      <c r="G111" s="15" t="s">
        <v>11231</v>
      </c>
      <c r="H111" s="15">
        <v>26</v>
      </c>
      <c r="I111" s="15">
        <v>34</v>
      </c>
      <c r="J111" s="15">
        <v>7</v>
      </c>
      <c r="K111" s="15" t="str">
        <f t="shared" si="1"/>
        <v>morabydrydocks</v>
      </c>
      <c r="L111" s="15" t="s">
        <v>11234</v>
      </c>
      <c r="M111" s="15">
        <v>2</v>
      </c>
      <c r="N111" s="15" t="s">
        <v>11223</v>
      </c>
      <c r="O111" s="15"/>
      <c r="P111" s="15"/>
      <c r="Q111" s="15"/>
      <c r="R111" s="15"/>
      <c r="S111" s="15"/>
      <c r="T111" s="15">
        <v>0</v>
      </c>
      <c r="U111" s="15"/>
      <c r="V111" s="15"/>
      <c r="W111" s="15"/>
      <c r="X111" s="15"/>
      <c r="Y111" s="15"/>
      <c r="Z111" s="15"/>
    </row>
    <row r="112" spans="1:26" x14ac:dyDescent="0.25">
      <c r="A112" s="15" t="s">
        <v>14196</v>
      </c>
      <c r="B112" s="15">
        <v>111</v>
      </c>
      <c r="C112" s="15" t="s">
        <v>11277</v>
      </c>
      <c r="D112" s="15" t="s">
        <v>11277</v>
      </c>
      <c r="E112" s="15" t="s">
        <v>1067</v>
      </c>
      <c r="F112" s="15" t="s">
        <v>3376</v>
      </c>
      <c r="G112" s="15" t="s">
        <v>11279</v>
      </c>
      <c r="H112" s="15">
        <v>26</v>
      </c>
      <c r="I112" s="15">
        <v>34</v>
      </c>
      <c r="J112" s="15">
        <v>10</v>
      </c>
      <c r="K112" s="15" t="str">
        <f t="shared" si="1"/>
        <v>morabydrydocks</v>
      </c>
      <c r="L112" s="15" t="s">
        <v>11234</v>
      </c>
      <c r="M112" s="15">
        <v>2</v>
      </c>
      <c r="N112" s="15" t="s">
        <v>11223</v>
      </c>
      <c r="O112" s="15"/>
      <c r="P112" s="15"/>
      <c r="Q112" s="15"/>
      <c r="R112" s="15"/>
      <c r="S112" s="15"/>
      <c r="T112" s="15">
        <v>0</v>
      </c>
      <c r="U112" s="15"/>
      <c r="V112" s="15"/>
      <c r="W112" s="15"/>
      <c r="X112" s="15"/>
      <c r="Y112" s="15"/>
      <c r="Z112" s="15"/>
    </row>
    <row r="113" spans="1:26" x14ac:dyDescent="0.25">
      <c r="A113" s="15" t="s">
        <v>14197</v>
      </c>
      <c r="B113" s="15">
        <v>112</v>
      </c>
      <c r="C113" s="15" t="s">
        <v>11277</v>
      </c>
      <c r="D113" s="15" t="s">
        <v>11277</v>
      </c>
      <c r="E113" s="15" t="s">
        <v>1067</v>
      </c>
      <c r="F113" s="15" t="s">
        <v>3376</v>
      </c>
      <c r="G113" s="15" t="s">
        <v>11281</v>
      </c>
      <c r="H113" s="15">
        <v>26</v>
      </c>
      <c r="I113" s="15">
        <v>34</v>
      </c>
      <c r="J113" s="15">
        <v>12</v>
      </c>
      <c r="K113" s="15" t="str">
        <f t="shared" si="1"/>
        <v>morabydrydocks</v>
      </c>
      <c r="L113" s="15" t="s">
        <v>11280</v>
      </c>
      <c r="M113" s="15">
        <v>1</v>
      </c>
      <c r="N113" s="15" t="s">
        <v>11222</v>
      </c>
      <c r="O113" s="15"/>
      <c r="P113" s="15"/>
      <c r="Q113" s="15"/>
      <c r="R113" s="15"/>
      <c r="S113" s="15"/>
      <c r="T113" s="15">
        <v>0</v>
      </c>
      <c r="U113" s="15"/>
      <c r="V113" s="15"/>
      <c r="W113" s="15"/>
      <c r="X113" s="15"/>
      <c r="Y113" s="15"/>
      <c r="Z113" s="15"/>
    </row>
    <row r="114" spans="1:26" x14ac:dyDescent="0.25">
      <c r="A114" s="15" t="s">
        <v>14198</v>
      </c>
      <c r="B114" s="15">
        <v>113</v>
      </c>
      <c r="C114" s="15" t="s">
        <v>11277</v>
      </c>
      <c r="D114" s="15" t="s">
        <v>11277</v>
      </c>
      <c r="E114" s="15" t="s">
        <v>1067</v>
      </c>
      <c r="F114" s="15" t="s">
        <v>3376</v>
      </c>
      <c r="G114" s="15" t="s">
        <v>11283</v>
      </c>
      <c r="H114" s="15">
        <v>26</v>
      </c>
      <c r="I114" s="15">
        <v>34</v>
      </c>
      <c r="J114" s="15">
        <v>15</v>
      </c>
      <c r="K114" s="15" t="str">
        <f t="shared" si="1"/>
        <v>morabydrydocks</v>
      </c>
      <c r="L114" s="15" t="s">
        <v>11245</v>
      </c>
      <c r="M114" s="15">
        <v>2</v>
      </c>
      <c r="N114" s="15" t="s">
        <v>11223</v>
      </c>
      <c r="O114" s="15"/>
      <c r="P114" s="15"/>
      <c r="Q114" s="15"/>
      <c r="R114" s="15"/>
      <c r="S114" s="15"/>
      <c r="T114" s="15">
        <v>0</v>
      </c>
      <c r="U114" s="15"/>
      <c r="V114" s="15"/>
      <c r="W114" s="15"/>
      <c r="X114" s="15"/>
      <c r="Y114" s="15"/>
      <c r="Z114" s="15"/>
    </row>
    <row r="115" spans="1:26" x14ac:dyDescent="0.25">
      <c r="A115" s="15" t="s">
        <v>14199</v>
      </c>
      <c r="B115" s="15">
        <v>114</v>
      </c>
      <c r="C115" s="15" t="s">
        <v>11277</v>
      </c>
      <c r="D115" s="15" t="s">
        <v>11277</v>
      </c>
      <c r="E115" s="15" t="s">
        <v>1067</v>
      </c>
      <c r="F115" s="15" t="s">
        <v>3376</v>
      </c>
      <c r="G115" s="15" t="s">
        <v>11287</v>
      </c>
      <c r="H115" s="15">
        <v>26</v>
      </c>
      <c r="I115" s="15">
        <v>34</v>
      </c>
      <c r="J115" s="15">
        <v>17</v>
      </c>
      <c r="K115" s="15" t="str">
        <f t="shared" si="1"/>
        <v>morabydrydocks</v>
      </c>
      <c r="L115" s="15" t="s">
        <v>11245</v>
      </c>
      <c r="M115" s="15">
        <v>1</v>
      </c>
      <c r="N115" s="15" t="s">
        <v>11222</v>
      </c>
      <c r="O115" s="15"/>
      <c r="P115" s="15"/>
      <c r="Q115" s="15"/>
      <c r="R115" s="15"/>
      <c r="S115" s="15"/>
      <c r="T115" s="15">
        <v>0</v>
      </c>
      <c r="U115" s="15"/>
      <c r="V115" s="15"/>
      <c r="W115" s="15"/>
      <c r="X115" s="15"/>
      <c r="Y115" s="15"/>
      <c r="Z115" s="15"/>
    </row>
    <row r="116" spans="1:26" x14ac:dyDescent="0.25">
      <c r="A116" s="15" t="s">
        <v>14200</v>
      </c>
      <c r="B116" s="15">
        <v>115</v>
      </c>
      <c r="C116" s="15" t="s">
        <v>11277</v>
      </c>
      <c r="D116" s="15" t="s">
        <v>11277</v>
      </c>
      <c r="E116" s="15" t="s">
        <v>1067</v>
      </c>
      <c r="F116" s="15" t="s">
        <v>3376</v>
      </c>
      <c r="G116" s="15" t="s">
        <v>11293</v>
      </c>
      <c r="H116" s="15">
        <v>26</v>
      </c>
      <c r="I116" s="15">
        <v>34</v>
      </c>
      <c r="J116" s="15">
        <v>18</v>
      </c>
      <c r="K116" s="15" t="str">
        <f t="shared" si="1"/>
        <v>morabydrydocks</v>
      </c>
      <c r="L116" s="15" t="s">
        <v>11245</v>
      </c>
      <c r="M116" s="15">
        <v>2</v>
      </c>
      <c r="N116" s="15" t="s">
        <v>11223</v>
      </c>
      <c r="O116" s="15"/>
      <c r="P116" s="15"/>
      <c r="Q116" s="15"/>
      <c r="R116" s="15"/>
      <c r="S116" s="15"/>
      <c r="T116" s="15">
        <v>0</v>
      </c>
      <c r="U116" s="15"/>
      <c r="V116" s="15"/>
      <c r="W116" s="15"/>
      <c r="X116" s="15"/>
      <c r="Y116" s="15"/>
      <c r="Z116" s="15"/>
    </row>
    <row r="117" spans="1:26" x14ac:dyDescent="0.25">
      <c r="A117" s="15" t="s">
        <v>14201</v>
      </c>
      <c r="B117" s="15">
        <v>116</v>
      </c>
      <c r="C117" s="15" t="s">
        <v>11277</v>
      </c>
      <c r="D117" s="15" t="s">
        <v>11277</v>
      </c>
      <c r="E117" s="15" t="s">
        <v>1067</v>
      </c>
      <c r="F117" s="15" t="s">
        <v>3376</v>
      </c>
      <c r="G117" s="15" t="s">
        <v>11224</v>
      </c>
      <c r="H117" s="15">
        <v>26</v>
      </c>
      <c r="I117" s="15">
        <v>34</v>
      </c>
      <c r="J117" s="15">
        <v>21</v>
      </c>
      <c r="K117" s="15" t="str">
        <f t="shared" si="1"/>
        <v>morabydrydocks</v>
      </c>
      <c r="L117" s="15" t="s">
        <v>14088</v>
      </c>
      <c r="M117" s="15">
        <v>2</v>
      </c>
      <c r="N117" s="15" t="s">
        <v>11223</v>
      </c>
      <c r="O117" s="15"/>
      <c r="P117" s="15"/>
      <c r="Q117" s="15" t="s">
        <v>11227</v>
      </c>
      <c r="R117" s="15" t="s">
        <v>11231</v>
      </c>
      <c r="S117" s="15" t="s">
        <v>11230</v>
      </c>
      <c r="T117" s="15">
        <v>0</v>
      </c>
      <c r="U117" s="15"/>
      <c r="V117" s="15"/>
      <c r="W117" s="15"/>
      <c r="X117" s="15"/>
      <c r="Y117" s="15"/>
      <c r="Z117" s="15"/>
    </row>
    <row r="118" spans="1:26" x14ac:dyDescent="0.25">
      <c r="A118" s="15" t="s">
        <v>14202</v>
      </c>
      <c r="B118" s="15">
        <v>117</v>
      </c>
      <c r="C118" s="15" t="s">
        <v>11277</v>
      </c>
      <c r="D118" s="15" t="s">
        <v>11277</v>
      </c>
      <c r="E118" s="15" t="s">
        <v>1067</v>
      </c>
      <c r="F118" s="15" t="s">
        <v>3376</v>
      </c>
      <c r="G118" s="15" t="s">
        <v>11294</v>
      </c>
      <c r="H118" s="15">
        <v>26</v>
      </c>
      <c r="I118" s="15">
        <v>34</v>
      </c>
      <c r="J118" s="15">
        <v>50</v>
      </c>
      <c r="K118" s="15" t="str">
        <f t="shared" si="1"/>
        <v>morabydrydocks</v>
      </c>
      <c r="L118" s="15" t="s">
        <v>11280</v>
      </c>
      <c r="M118" s="15">
        <v>3</v>
      </c>
      <c r="N118" s="15" t="s">
        <v>11222</v>
      </c>
      <c r="O118" s="15" t="s">
        <v>14067</v>
      </c>
      <c r="P118" s="15"/>
      <c r="Q118" s="15"/>
      <c r="R118" s="15"/>
      <c r="S118" s="15"/>
      <c r="T118" s="15">
        <v>2</v>
      </c>
      <c r="U118" s="15"/>
      <c r="V118" s="15"/>
      <c r="W118" s="15"/>
      <c r="X118" s="15"/>
      <c r="Y118" s="15"/>
      <c r="Z118" s="15"/>
    </row>
    <row r="119" spans="1:26" x14ac:dyDescent="0.25">
      <c r="A119" s="15" t="s">
        <v>14203</v>
      </c>
      <c r="B119" s="15">
        <v>118</v>
      </c>
      <c r="C119" s="15" t="s">
        <v>11277</v>
      </c>
      <c r="D119" s="15" t="s">
        <v>11277</v>
      </c>
      <c r="E119" s="15" t="s">
        <v>1067</v>
      </c>
      <c r="F119" s="15" t="s">
        <v>1135</v>
      </c>
      <c r="G119" s="15" t="s">
        <v>11264</v>
      </c>
      <c r="H119" s="15">
        <v>21</v>
      </c>
      <c r="I119" s="15">
        <v>35</v>
      </c>
      <c r="J119" s="15">
        <v>6</v>
      </c>
      <c r="K119" s="15" t="str">
        <f t="shared" si="1"/>
        <v>emptyheart</v>
      </c>
      <c r="L119" s="15" t="s">
        <v>11257</v>
      </c>
      <c r="M119" s="15">
        <v>1</v>
      </c>
      <c r="N119" s="15" t="s">
        <v>11222</v>
      </c>
      <c r="O119" s="15"/>
      <c r="P119" s="15"/>
      <c r="Q119" s="15"/>
      <c r="R119" s="15"/>
      <c r="S119" s="15"/>
      <c r="T119" s="15">
        <v>0</v>
      </c>
      <c r="U119" s="15"/>
      <c r="V119" s="15"/>
      <c r="W119" s="15"/>
      <c r="X119" s="15"/>
      <c r="Y119" s="15"/>
      <c r="Z119" s="15"/>
    </row>
    <row r="120" spans="1:26" x14ac:dyDescent="0.25">
      <c r="A120" s="15" t="s">
        <v>14204</v>
      </c>
      <c r="B120" s="15">
        <v>119</v>
      </c>
      <c r="C120" s="15" t="s">
        <v>11277</v>
      </c>
      <c r="D120" s="15" t="s">
        <v>11277</v>
      </c>
      <c r="E120" s="15" t="s">
        <v>1067</v>
      </c>
      <c r="F120" s="15" t="s">
        <v>1135</v>
      </c>
      <c r="G120" s="15" t="s">
        <v>11303</v>
      </c>
      <c r="H120" s="15">
        <v>21</v>
      </c>
      <c r="I120" s="15">
        <v>35</v>
      </c>
      <c r="J120" s="15">
        <v>8</v>
      </c>
      <c r="K120" s="15" t="str">
        <f t="shared" si="1"/>
        <v>emptyheart</v>
      </c>
      <c r="L120" s="15" t="s">
        <v>11257</v>
      </c>
      <c r="M120" s="15">
        <v>1</v>
      </c>
      <c r="N120" s="15" t="s">
        <v>11222</v>
      </c>
      <c r="O120" s="15"/>
      <c r="P120" s="15"/>
      <c r="Q120" s="15"/>
      <c r="R120" s="15"/>
      <c r="S120" s="15"/>
      <c r="T120" s="15">
        <v>0</v>
      </c>
      <c r="U120" s="15"/>
      <c r="V120" s="15"/>
      <c r="W120" s="15"/>
      <c r="X120" s="15"/>
      <c r="Y120" s="15"/>
      <c r="Z120" s="15"/>
    </row>
    <row r="121" spans="1:26" x14ac:dyDescent="0.25">
      <c r="A121" s="15" t="s">
        <v>14205</v>
      </c>
      <c r="B121" s="15">
        <v>120</v>
      </c>
      <c r="C121" s="15" t="s">
        <v>11277</v>
      </c>
      <c r="D121" s="15" t="s">
        <v>11277</v>
      </c>
      <c r="E121" s="15" t="s">
        <v>1067</v>
      </c>
      <c r="F121" s="15" t="s">
        <v>1135</v>
      </c>
      <c r="G121" s="15" t="s">
        <v>11304</v>
      </c>
      <c r="H121" s="15">
        <v>21</v>
      </c>
      <c r="I121" s="15">
        <v>35</v>
      </c>
      <c r="J121" s="15">
        <v>17</v>
      </c>
      <c r="K121" s="15" t="str">
        <f t="shared" si="1"/>
        <v>emptyheart</v>
      </c>
      <c r="L121" s="15" t="s">
        <v>11254</v>
      </c>
      <c r="M121" s="15">
        <v>2</v>
      </c>
      <c r="N121" s="15" t="s">
        <v>11223</v>
      </c>
      <c r="O121" s="15"/>
      <c r="P121" s="15"/>
      <c r="Q121" s="15"/>
      <c r="R121" s="15"/>
      <c r="S121" s="15"/>
      <c r="T121" s="15">
        <v>0</v>
      </c>
      <c r="U121" s="15"/>
      <c r="V121" s="15"/>
      <c r="W121" s="15"/>
      <c r="X121" s="15"/>
      <c r="Y121" s="15"/>
      <c r="Z121" s="15"/>
    </row>
    <row r="122" spans="1:26" x14ac:dyDescent="0.25">
      <c r="A122" s="15" t="s">
        <v>14206</v>
      </c>
      <c r="B122" s="15">
        <v>121</v>
      </c>
      <c r="C122" s="15" t="s">
        <v>11277</v>
      </c>
      <c r="D122" s="15" t="s">
        <v>11277</v>
      </c>
      <c r="E122" s="15" t="s">
        <v>1067</v>
      </c>
      <c r="F122" s="15" t="s">
        <v>1135</v>
      </c>
      <c r="G122" s="15" t="s">
        <v>11305</v>
      </c>
      <c r="H122" s="15">
        <v>21</v>
      </c>
      <c r="I122" s="15">
        <v>35</v>
      </c>
      <c r="J122" s="15">
        <v>17</v>
      </c>
      <c r="K122" s="15" t="str">
        <f t="shared" si="1"/>
        <v>emptyheart</v>
      </c>
      <c r="L122" s="15" t="s">
        <v>11254</v>
      </c>
      <c r="M122" s="15">
        <v>1</v>
      </c>
      <c r="N122" s="15" t="s">
        <v>11222</v>
      </c>
      <c r="O122" s="15"/>
      <c r="P122" s="15"/>
      <c r="Q122" s="15"/>
      <c r="R122" s="15"/>
      <c r="S122" s="15"/>
      <c r="T122" s="15">
        <v>0</v>
      </c>
      <c r="U122" s="15"/>
      <c r="V122" s="15"/>
      <c r="W122" s="15"/>
      <c r="X122" s="15"/>
      <c r="Y122" s="15"/>
      <c r="Z122" s="15"/>
    </row>
    <row r="123" spans="1:26" x14ac:dyDescent="0.25">
      <c r="A123" s="15" t="s">
        <v>14207</v>
      </c>
      <c r="B123" s="15">
        <v>122</v>
      </c>
      <c r="C123" s="15" t="s">
        <v>11277</v>
      </c>
      <c r="D123" s="15" t="s">
        <v>11277</v>
      </c>
      <c r="E123" s="15" t="s">
        <v>1067</v>
      </c>
      <c r="F123" s="15" t="s">
        <v>1135</v>
      </c>
      <c r="G123" s="15" t="s">
        <v>11306</v>
      </c>
      <c r="H123" s="15">
        <v>21</v>
      </c>
      <c r="I123" s="15">
        <v>35</v>
      </c>
      <c r="J123" s="15">
        <v>19</v>
      </c>
      <c r="K123" s="15" t="str">
        <f t="shared" si="1"/>
        <v>emptyheart</v>
      </c>
      <c r="L123" s="15" t="s">
        <v>11274</v>
      </c>
      <c r="M123" s="15">
        <v>1</v>
      </c>
      <c r="N123" s="15" t="s">
        <v>11222</v>
      </c>
      <c r="O123" s="15"/>
      <c r="P123" s="15"/>
      <c r="Q123" s="15"/>
      <c r="R123" s="15"/>
      <c r="S123" s="15"/>
      <c r="T123" s="15">
        <v>0</v>
      </c>
      <c r="U123" s="15"/>
      <c r="V123" s="15"/>
      <c r="W123" s="15"/>
      <c r="X123" s="15"/>
      <c r="Y123" s="15"/>
      <c r="Z123" s="15"/>
    </row>
    <row r="124" spans="1:26" x14ac:dyDescent="0.25">
      <c r="A124" s="15" t="s">
        <v>14208</v>
      </c>
      <c r="B124" s="15">
        <v>123</v>
      </c>
      <c r="C124" s="15" t="s">
        <v>11277</v>
      </c>
      <c r="D124" s="15" t="s">
        <v>11277</v>
      </c>
      <c r="E124" s="15" t="s">
        <v>1067</v>
      </c>
      <c r="F124" s="15" t="s">
        <v>1135</v>
      </c>
      <c r="G124" s="15" t="s">
        <v>11270</v>
      </c>
      <c r="H124" s="15">
        <v>21</v>
      </c>
      <c r="I124" s="15">
        <v>35</v>
      </c>
      <c r="J124" s="15">
        <v>20</v>
      </c>
      <c r="K124" s="15" t="str">
        <f t="shared" si="1"/>
        <v>emptyheart</v>
      </c>
      <c r="L124" s="15" t="s">
        <v>11271</v>
      </c>
      <c r="M124" s="15">
        <v>1</v>
      </c>
      <c r="N124" s="15" t="s">
        <v>11222</v>
      </c>
      <c r="O124" s="15"/>
      <c r="P124" s="15"/>
      <c r="Q124" s="15"/>
      <c r="R124" s="15"/>
      <c r="S124" s="15"/>
      <c r="T124" s="15">
        <v>0</v>
      </c>
      <c r="U124" s="15"/>
      <c r="V124" s="15"/>
      <c r="W124" s="15"/>
      <c r="X124" s="15"/>
      <c r="Y124" s="15"/>
      <c r="Z124" s="15"/>
    </row>
    <row r="125" spans="1:26" x14ac:dyDescent="0.25">
      <c r="A125" s="15" t="s">
        <v>14209</v>
      </c>
      <c r="B125" s="15">
        <v>124</v>
      </c>
      <c r="C125" s="15" t="s">
        <v>11277</v>
      </c>
      <c r="D125" s="15" t="s">
        <v>11277</v>
      </c>
      <c r="E125" s="15" t="s">
        <v>1067</v>
      </c>
      <c r="F125" s="15" t="s">
        <v>1135</v>
      </c>
      <c r="G125" s="15" t="s">
        <v>11272</v>
      </c>
      <c r="H125" s="15">
        <v>21</v>
      </c>
      <c r="I125" s="15">
        <v>35</v>
      </c>
      <c r="J125" s="15">
        <v>22</v>
      </c>
      <c r="K125" s="15" t="str">
        <f t="shared" si="1"/>
        <v>emptyheart</v>
      </c>
      <c r="L125" s="15" t="s">
        <v>14088</v>
      </c>
      <c r="M125" s="15">
        <v>2</v>
      </c>
      <c r="N125" s="15" t="s">
        <v>11223</v>
      </c>
      <c r="O125" s="15"/>
      <c r="P125" s="15"/>
      <c r="Q125" s="15" t="s">
        <v>11270</v>
      </c>
      <c r="R125" s="15"/>
      <c r="S125" s="15"/>
      <c r="T125" s="15">
        <v>0</v>
      </c>
      <c r="U125" s="15"/>
      <c r="V125" s="15"/>
      <c r="W125" s="15"/>
      <c r="X125" s="15"/>
      <c r="Y125" s="15"/>
      <c r="Z125" s="15"/>
    </row>
    <row r="126" spans="1:26" x14ac:dyDescent="0.25">
      <c r="A126" s="15" t="s">
        <v>14210</v>
      </c>
      <c r="B126" s="15">
        <v>125</v>
      </c>
      <c r="C126" s="15" t="s">
        <v>11277</v>
      </c>
      <c r="D126" s="15" t="s">
        <v>11277</v>
      </c>
      <c r="E126" s="15" t="s">
        <v>1067</v>
      </c>
      <c r="F126" s="15" t="s">
        <v>1135</v>
      </c>
      <c r="G126" s="15" t="s">
        <v>11307</v>
      </c>
      <c r="H126" s="15">
        <v>21</v>
      </c>
      <c r="I126" s="15">
        <v>35</v>
      </c>
      <c r="J126" s="15">
        <v>32</v>
      </c>
      <c r="K126" s="15" t="str">
        <f t="shared" si="1"/>
        <v>emptyheart</v>
      </c>
      <c r="L126" s="15" t="s">
        <v>11308</v>
      </c>
      <c r="M126" s="15">
        <v>1</v>
      </c>
      <c r="N126" s="15" t="s">
        <v>11222</v>
      </c>
      <c r="O126" s="15"/>
      <c r="P126" s="15"/>
      <c r="Q126" s="15"/>
      <c r="R126" s="15"/>
      <c r="S126" s="15"/>
      <c r="T126" s="15">
        <v>0</v>
      </c>
      <c r="U126" s="15"/>
      <c r="V126" s="15"/>
      <c r="W126" s="15"/>
      <c r="X126" s="15"/>
      <c r="Y126" s="15"/>
      <c r="Z126" s="15"/>
    </row>
    <row r="127" spans="1:26" x14ac:dyDescent="0.25">
      <c r="A127" s="15" t="s">
        <v>14211</v>
      </c>
      <c r="B127" s="15">
        <v>126</v>
      </c>
      <c r="C127" s="15" t="s">
        <v>11277</v>
      </c>
      <c r="D127" s="15" t="s">
        <v>11277</v>
      </c>
      <c r="E127" s="15" t="s">
        <v>1067</v>
      </c>
      <c r="F127" s="15" t="s">
        <v>1135</v>
      </c>
      <c r="G127" s="15" t="s">
        <v>11309</v>
      </c>
      <c r="H127" s="15">
        <v>21</v>
      </c>
      <c r="I127" s="15">
        <v>35</v>
      </c>
      <c r="J127" s="15">
        <v>50</v>
      </c>
      <c r="K127" s="15" t="str">
        <f t="shared" si="1"/>
        <v>emptyheart</v>
      </c>
      <c r="L127" s="15" t="s">
        <v>11310</v>
      </c>
      <c r="M127" s="15">
        <v>3</v>
      </c>
      <c r="N127" s="15" t="s">
        <v>11223</v>
      </c>
      <c r="O127" s="15"/>
      <c r="P127" s="15"/>
      <c r="Q127" s="15"/>
      <c r="R127" s="15"/>
      <c r="S127" s="15"/>
      <c r="T127" s="15">
        <v>3</v>
      </c>
      <c r="U127" s="15" t="s">
        <v>5914</v>
      </c>
      <c r="V127" s="15" t="s">
        <v>14150</v>
      </c>
      <c r="W127" s="15" t="s">
        <v>14151</v>
      </c>
      <c r="X127" s="15"/>
      <c r="Y127" s="15"/>
      <c r="Z127" s="15"/>
    </row>
    <row r="128" spans="1:26" x14ac:dyDescent="0.25">
      <c r="A128" s="15" t="s">
        <v>14212</v>
      </c>
      <c r="B128" s="15">
        <v>127</v>
      </c>
      <c r="C128" s="15" t="s">
        <v>11277</v>
      </c>
      <c r="D128" s="15" t="s">
        <v>11277</v>
      </c>
      <c r="E128" s="15" t="s">
        <v>1067</v>
      </c>
      <c r="F128" s="15" t="s">
        <v>1137</v>
      </c>
      <c r="G128" s="15" t="s">
        <v>11243</v>
      </c>
      <c r="H128" s="15">
        <v>17</v>
      </c>
      <c r="I128" s="15">
        <v>36</v>
      </c>
      <c r="J128" s="15">
        <v>7</v>
      </c>
      <c r="K128" s="15" t="str">
        <f t="shared" si="1"/>
        <v>thesaltstrand</v>
      </c>
      <c r="L128" s="15" t="s">
        <v>11234</v>
      </c>
      <c r="M128" s="15">
        <v>1</v>
      </c>
      <c r="N128" s="15" t="s">
        <v>11222</v>
      </c>
      <c r="O128" s="15"/>
      <c r="P128" s="15"/>
      <c r="Q128" s="15"/>
      <c r="R128" s="15"/>
      <c r="S128" s="15"/>
      <c r="T128" s="15">
        <v>0</v>
      </c>
      <c r="U128" s="15"/>
      <c r="V128" s="15"/>
      <c r="W128" s="15"/>
      <c r="X128" s="15"/>
      <c r="Y128" s="15"/>
      <c r="Z128" s="15"/>
    </row>
    <row r="129" spans="1:26" x14ac:dyDescent="0.25">
      <c r="A129" s="15" t="s">
        <v>14213</v>
      </c>
      <c r="B129" s="15">
        <v>128</v>
      </c>
      <c r="C129" s="15" t="s">
        <v>11277</v>
      </c>
      <c r="D129" s="15" t="s">
        <v>11277</v>
      </c>
      <c r="E129" s="15" t="s">
        <v>1067</v>
      </c>
      <c r="F129" s="15" t="s">
        <v>1137</v>
      </c>
      <c r="G129" s="15" t="s">
        <v>11281</v>
      </c>
      <c r="H129" s="15">
        <v>17</v>
      </c>
      <c r="I129" s="15">
        <v>36</v>
      </c>
      <c r="J129" s="15">
        <v>12</v>
      </c>
      <c r="K129" s="15" t="str">
        <f t="shared" si="1"/>
        <v>thesaltstrand</v>
      </c>
      <c r="L129" s="15" t="s">
        <v>11234</v>
      </c>
      <c r="M129" s="15">
        <v>1</v>
      </c>
      <c r="N129" s="15" t="s">
        <v>11222</v>
      </c>
      <c r="O129" s="15"/>
      <c r="P129" s="15"/>
      <c r="Q129" s="15"/>
      <c r="R129" s="15"/>
      <c r="S129" s="15"/>
      <c r="T129" s="15">
        <v>0</v>
      </c>
      <c r="U129" s="15"/>
      <c r="V129" s="15"/>
      <c r="W129" s="15"/>
      <c r="X129" s="15"/>
      <c r="Y129" s="15"/>
      <c r="Z129" s="15"/>
    </row>
    <row r="130" spans="1:26" x14ac:dyDescent="0.25">
      <c r="A130" s="15" t="s">
        <v>14214</v>
      </c>
      <c r="B130" s="15">
        <v>129</v>
      </c>
      <c r="C130" s="15" t="s">
        <v>11277</v>
      </c>
      <c r="D130" s="15" t="s">
        <v>11277</v>
      </c>
      <c r="E130" s="15" t="s">
        <v>1067</v>
      </c>
      <c r="F130" s="15" t="s">
        <v>1137</v>
      </c>
      <c r="G130" s="15" t="s">
        <v>11311</v>
      </c>
      <c r="H130" s="15">
        <v>17</v>
      </c>
      <c r="I130" s="15">
        <v>36</v>
      </c>
      <c r="J130" s="15">
        <v>16</v>
      </c>
      <c r="K130" s="15" t="str">
        <f t="shared" ref="K130:K193" si="2">LOWER(SUBSTITUTE(SUBSTITUTE(SUBSTITUTE(SUBSTITUTE(SUBSTITUTE(F130," ",""),"(",""),")",""),"'",""),"-",""))</f>
        <v>thesaltstrand</v>
      </c>
      <c r="L130" s="15" t="s">
        <v>11245</v>
      </c>
      <c r="M130" s="15">
        <v>1</v>
      </c>
      <c r="N130" s="15" t="s">
        <v>11222</v>
      </c>
      <c r="O130" s="15"/>
      <c r="P130" s="15"/>
      <c r="Q130" s="15"/>
      <c r="R130" s="15"/>
      <c r="S130" s="15"/>
      <c r="T130" s="15">
        <v>0</v>
      </c>
      <c r="U130" s="15"/>
      <c r="V130" s="15"/>
      <c r="W130" s="15"/>
      <c r="X130" s="15"/>
      <c r="Y130" s="15"/>
      <c r="Z130" s="15"/>
    </row>
    <row r="131" spans="1:26" x14ac:dyDescent="0.25">
      <c r="A131" s="15" t="s">
        <v>14215</v>
      </c>
      <c r="B131" s="15">
        <v>130</v>
      </c>
      <c r="C131" s="15" t="s">
        <v>11277</v>
      </c>
      <c r="D131" s="15" t="s">
        <v>11277</v>
      </c>
      <c r="E131" s="15" t="s">
        <v>1067</v>
      </c>
      <c r="F131" s="15" t="s">
        <v>1137</v>
      </c>
      <c r="G131" s="15" t="s">
        <v>11312</v>
      </c>
      <c r="H131" s="15">
        <v>17</v>
      </c>
      <c r="I131" s="15">
        <v>36</v>
      </c>
      <c r="J131" s="15">
        <v>20</v>
      </c>
      <c r="K131" s="15" t="str">
        <f t="shared" si="2"/>
        <v>thesaltstrand</v>
      </c>
      <c r="L131" s="15" t="s">
        <v>11313</v>
      </c>
      <c r="M131" s="15">
        <v>1</v>
      </c>
      <c r="N131" s="15" t="s">
        <v>11222</v>
      </c>
      <c r="O131" s="15"/>
      <c r="P131" s="15"/>
      <c r="Q131" s="15"/>
      <c r="R131" s="15"/>
      <c r="S131" s="15"/>
      <c r="T131" s="15">
        <v>0</v>
      </c>
      <c r="U131" s="15"/>
      <c r="V131" s="15"/>
      <c r="W131" s="15"/>
      <c r="X131" s="15"/>
      <c r="Y131" s="15"/>
      <c r="Z131" s="15"/>
    </row>
    <row r="132" spans="1:26" x14ac:dyDescent="0.25">
      <c r="A132" s="15" t="s">
        <v>14216</v>
      </c>
      <c r="B132" s="15">
        <v>131</v>
      </c>
      <c r="C132" s="15" t="s">
        <v>11277</v>
      </c>
      <c r="D132" s="15" t="s">
        <v>11277</v>
      </c>
      <c r="E132" s="15" t="s">
        <v>1067</v>
      </c>
      <c r="F132" s="15" t="s">
        <v>1137</v>
      </c>
      <c r="G132" s="15" t="s">
        <v>11314</v>
      </c>
      <c r="H132" s="15">
        <v>17</v>
      </c>
      <c r="I132" s="15">
        <v>36</v>
      </c>
      <c r="J132" s="15">
        <v>22</v>
      </c>
      <c r="K132" s="15" t="str">
        <f t="shared" si="2"/>
        <v>thesaltstrand</v>
      </c>
      <c r="L132" s="15" t="s">
        <v>11315</v>
      </c>
      <c r="M132" s="15">
        <v>2</v>
      </c>
      <c r="N132" s="15" t="s">
        <v>11223</v>
      </c>
      <c r="O132" s="15"/>
      <c r="P132" s="15"/>
      <c r="Q132" s="15"/>
      <c r="R132" s="15"/>
      <c r="S132" s="15"/>
      <c r="T132" s="15">
        <v>0</v>
      </c>
      <c r="U132" s="15"/>
      <c r="V132" s="15"/>
      <c r="W132" s="15"/>
      <c r="X132" s="15"/>
      <c r="Y132" s="15"/>
      <c r="Z132" s="15"/>
    </row>
    <row r="133" spans="1:26" x14ac:dyDescent="0.25">
      <c r="A133" s="15" t="s">
        <v>14217</v>
      </c>
      <c r="B133" s="15">
        <v>132</v>
      </c>
      <c r="C133" s="15" t="s">
        <v>11277</v>
      </c>
      <c r="D133" s="15" t="s">
        <v>11277</v>
      </c>
      <c r="E133" s="15" t="s">
        <v>1067</v>
      </c>
      <c r="F133" s="15" t="s">
        <v>1137</v>
      </c>
      <c r="G133" s="15" t="s">
        <v>11316</v>
      </c>
      <c r="H133" s="15">
        <v>17</v>
      </c>
      <c r="I133" s="15">
        <v>36</v>
      </c>
      <c r="J133" s="15">
        <v>26</v>
      </c>
      <c r="K133" s="15" t="str">
        <f t="shared" si="2"/>
        <v>thesaltstrand</v>
      </c>
      <c r="L133" s="15" t="s">
        <v>11317</v>
      </c>
      <c r="M133" s="15">
        <v>1</v>
      </c>
      <c r="N133" s="15" t="s">
        <v>11222</v>
      </c>
      <c r="O133" s="15"/>
      <c r="P133" s="15"/>
      <c r="Q133" s="15"/>
      <c r="R133" s="15"/>
      <c r="S133" s="15"/>
      <c r="T133" s="15">
        <v>0</v>
      </c>
      <c r="U133" s="15"/>
      <c r="V133" s="15"/>
      <c r="W133" s="15"/>
      <c r="X133" s="15"/>
      <c r="Y133" s="15"/>
      <c r="Z133" s="15"/>
    </row>
    <row r="134" spans="1:26" x14ac:dyDescent="0.25">
      <c r="A134" s="15" t="s">
        <v>14218</v>
      </c>
      <c r="B134" s="15">
        <v>133</v>
      </c>
      <c r="C134" s="15" t="s">
        <v>11277</v>
      </c>
      <c r="D134" s="15" t="s">
        <v>11277</v>
      </c>
      <c r="E134" s="15" t="s">
        <v>1067</v>
      </c>
      <c r="F134" s="15" t="s">
        <v>1137</v>
      </c>
      <c r="G134" s="15" t="s">
        <v>11318</v>
      </c>
      <c r="H134" s="15">
        <v>17</v>
      </c>
      <c r="I134" s="15">
        <v>36</v>
      </c>
      <c r="J134" s="15">
        <v>28</v>
      </c>
      <c r="K134" s="15" t="str">
        <f t="shared" si="2"/>
        <v>thesaltstrand</v>
      </c>
      <c r="L134" s="15" t="s">
        <v>11317</v>
      </c>
      <c r="M134" s="15">
        <v>2</v>
      </c>
      <c r="N134" s="15" t="s">
        <v>11222</v>
      </c>
      <c r="O134" s="15"/>
      <c r="P134" s="15"/>
      <c r="Q134" s="15"/>
      <c r="R134" s="15"/>
      <c r="S134" s="15"/>
      <c r="T134" s="15">
        <v>0</v>
      </c>
      <c r="U134" s="15"/>
      <c r="V134" s="15"/>
      <c r="W134" s="15"/>
      <c r="X134" s="15"/>
      <c r="Y134" s="15"/>
      <c r="Z134" s="15"/>
    </row>
    <row r="135" spans="1:26" x14ac:dyDescent="0.25">
      <c r="A135" s="15" t="s">
        <v>14219</v>
      </c>
      <c r="B135" s="15">
        <v>134</v>
      </c>
      <c r="C135" s="15" t="s">
        <v>11277</v>
      </c>
      <c r="D135" s="15" t="s">
        <v>11277</v>
      </c>
      <c r="E135" s="15" t="s">
        <v>1067</v>
      </c>
      <c r="F135" s="15" t="s">
        <v>1137</v>
      </c>
      <c r="G135" s="15" t="s">
        <v>11319</v>
      </c>
      <c r="H135" s="15">
        <v>17</v>
      </c>
      <c r="I135" s="15">
        <v>36</v>
      </c>
      <c r="J135" s="15">
        <v>50</v>
      </c>
      <c r="K135" s="15" t="str">
        <f t="shared" si="2"/>
        <v>thesaltstrand</v>
      </c>
      <c r="L135" s="15" t="s">
        <v>11289</v>
      </c>
      <c r="M135" s="15">
        <v>3</v>
      </c>
      <c r="N135" s="15" t="s">
        <v>11223</v>
      </c>
      <c r="O135" s="15"/>
      <c r="P135" s="15"/>
      <c r="Q135" s="15"/>
      <c r="R135" s="15"/>
      <c r="S135" s="15"/>
      <c r="T135" s="15">
        <v>0</v>
      </c>
      <c r="U135" s="15"/>
      <c r="V135" s="15"/>
      <c r="W135" s="15"/>
      <c r="X135" s="15"/>
      <c r="Y135" s="15"/>
      <c r="Z135" s="15"/>
    </row>
    <row r="136" spans="1:26" x14ac:dyDescent="0.25">
      <c r="A136" s="15" t="s">
        <v>14220</v>
      </c>
      <c r="B136" s="15">
        <v>135</v>
      </c>
      <c r="C136" s="15" t="s">
        <v>11277</v>
      </c>
      <c r="D136" s="15" t="s">
        <v>11277</v>
      </c>
      <c r="E136" s="15" t="s">
        <v>1067</v>
      </c>
      <c r="F136" s="15" t="s">
        <v>1137</v>
      </c>
      <c r="G136" s="15" t="s">
        <v>11320</v>
      </c>
      <c r="H136" s="15">
        <v>17</v>
      </c>
      <c r="I136" s="15">
        <v>36</v>
      </c>
      <c r="J136" s="15">
        <v>50</v>
      </c>
      <c r="K136" s="15" t="str">
        <f t="shared" si="2"/>
        <v>thesaltstrand</v>
      </c>
      <c r="L136" s="15" t="s">
        <v>11245</v>
      </c>
      <c r="M136" s="15">
        <v>3</v>
      </c>
      <c r="N136" s="15" t="s">
        <v>11223</v>
      </c>
      <c r="O136" s="15" t="s">
        <v>11299</v>
      </c>
      <c r="P136" s="15"/>
      <c r="Q136" s="15"/>
      <c r="R136" s="15"/>
      <c r="S136" s="15"/>
      <c r="T136" s="15">
        <v>3</v>
      </c>
      <c r="U136" s="15" t="s">
        <v>5908</v>
      </c>
      <c r="V136" s="15" t="s">
        <v>5914</v>
      </c>
      <c r="W136" s="15" t="s">
        <v>14151</v>
      </c>
      <c r="X136" s="15"/>
      <c r="Y136" s="15"/>
      <c r="Z136" s="15"/>
    </row>
    <row r="137" spans="1:26" x14ac:dyDescent="0.25">
      <c r="A137" s="15" t="s">
        <v>14221</v>
      </c>
      <c r="B137" s="15">
        <v>136</v>
      </c>
      <c r="C137" s="15" t="s">
        <v>11277</v>
      </c>
      <c r="D137" s="15" t="s">
        <v>11277</v>
      </c>
      <c r="E137" s="15" t="s">
        <v>1067</v>
      </c>
      <c r="F137" s="15" t="s">
        <v>1130</v>
      </c>
      <c r="G137" s="15" t="s">
        <v>11321</v>
      </c>
      <c r="H137" s="15">
        <v>27</v>
      </c>
      <c r="I137" s="15">
        <v>15</v>
      </c>
      <c r="J137" s="15">
        <v>5</v>
      </c>
      <c r="K137" s="15" t="str">
        <f t="shared" si="2"/>
        <v>blindironmines</v>
      </c>
      <c r="L137" s="15" t="s">
        <v>11253</v>
      </c>
      <c r="M137" s="15">
        <v>1</v>
      </c>
      <c r="N137" s="15" t="s">
        <v>11222</v>
      </c>
      <c r="O137" s="15"/>
      <c r="P137" s="15"/>
      <c r="Q137" s="15"/>
      <c r="R137" s="15"/>
      <c r="S137" s="15"/>
      <c r="T137" s="15">
        <v>0</v>
      </c>
      <c r="U137" s="15"/>
      <c r="V137" s="15"/>
      <c r="W137" s="15"/>
      <c r="X137" s="15"/>
      <c r="Y137" s="15"/>
      <c r="Z137" s="15"/>
    </row>
    <row r="138" spans="1:26" x14ac:dyDescent="0.25">
      <c r="A138" s="15" t="s">
        <v>14222</v>
      </c>
      <c r="B138" s="15">
        <v>137</v>
      </c>
      <c r="C138" s="15" t="s">
        <v>11277</v>
      </c>
      <c r="D138" s="15" t="s">
        <v>11277</v>
      </c>
      <c r="E138" s="15" t="s">
        <v>1067</v>
      </c>
      <c r="F138" s="15" t="s">
        <v>1130</v>
      </c>
      <c r="G138" s="15" t="s">
        <v>11305</v>
      </c>
      <c r="H138" s="15">
        <v>27</v>
      </c>
      <c r="I138" s="15">
        <v>15</v>
      </c>
      <c r="J138" s="15">
        <v>17</v>
      </c>
      <c r="K138" s="15" t="str">
        <f t="shared" si="2"/>
        <v>blindironmines</v>
      </c>
      <c r="L138" s="15" t="s">
        <v>11254</v>
      </c>
      <c r="M138" s="15">
        <v>1</v>
      </c>
      <c r="N138" s="15" t="s">
        <v>11222</v>
      </c>
      <c r="O138" s="15"/>
      <c r="P138" s="15"/>
      <c r="Q138" s="15"/>
      <c r="R138" s="15"/>
      <c r="S138" s="15"/>
      <c r="T138" s="15">
        <v>0</v>
      </c>
      <c r="U138" s="15"/>
      <c r="V138" s="15"/>
      <c r="W138" s="15"/>
      <c r="X138" s="15"/>
      <c r="Y138" s="15"/>
      <c r="Z138" s="15"/>
    </row>
    <row r="139" spans="1:26" x14ac:dyDescent="0.25">
      <c r="A139" s="15" t="s">
        <v>14223</v>
      </c>
      <c r="B139" s="15">
        <v>138</v>
      </c>
      <c r="C139" s="15" t="s">
        <v>11277</v>
      </c>
      <c r="D139" s="15" t="s">
        <v>11277</v>
      </c>
      <c r="E139" s="15" t="s">
        <v>1067</v>
      </c>
      <c r="F139" s="15" t="s">
        <v>1130</v>
      </c>
      <c r="G139" s="15" t="s">
        <v>11322</v>
      </c>
      <c r="H139" s="15">
        <v>27</v>
      </c>
      <c r="I139" s="15">
        <v>15</v>
      </c>
      <c r="J139" s="15">
        <v>31</v>
      </c>
      <c r="K139" s="15" t="str">
        <f t="shared" si="2"/>
        <v>blindironmines</v>
      </c>
      <c r="L139" s="15" t="s">
        <v>11323</v>
      </c>
      <c r="M139" s="15">
        <v>1</v>
      </c>
      <c r="N139" s="15" t="s">
        <v>11222</v>
      </c>
      <c r="O139" s="15"/>
      <c r="P139" s="15"/>
      <c r="Q139" s="15"/>
      <c r="R139" s="15"/>
      <c r="S139" s="15"/>
      <c r="T139" s="15">
        <v>0</v>
      </c>
      <c r="U139" s="15"/>
      <c r="V139" s="15"/>
      <c r="W139" s="15"/>
      <c r="X139" s="15"/>
      <c r="Y139" s="15"/>
      <c r="Z139" s="15"/>
    </row>
    <row r="140" spans="1:26" x14ac:dyDescent="0.25">
      <c r="A140" s="15" t="s">
        <v>14224</v>
      </c>
      <c r="B140" s="15">
        <v>139</v>
      </c>
      <c r="C140" s="15" t="s">
        <v>11277</v>
      </c>
      <c r="D140" s="15" t="s">
        <v>11277</v>
      </c>
      <c r="E140" s="15" t="s">
        <v>1067</v>
      </c>
      <c r="F140" s="15" t="s">
        <v>1130</v>
      </c>
      <c r="G140" s="15" t="s">
        <v>11324</v>
      </c>
      <c r="H140" s="15">
        <v>27</v>
      </c>
      <c r="I140" s="15">
        <v>15</v>
      </c>
      <c r="J140" s="15">
        <v>31</v>
      </c>
      <c r="K140" s="15" t="str">
        <f t="shared" si="2"/>
        <v>blindironmines</v>
      </c>
      <c r="L140" s="15" t="s">
        <v>11308</v>
      </c>
      <c r="M140" s="15">
        <v>1</v>
      </c>
      <c r="N140" s="15" t="s">
        <v>11222</v>
      </c>
      <c r="O140" s="15"/>
      <c r="P140" s="15"/>
      <c r="Q140" s="15"/>
      <c r="R140" s="15"/>
      <c r="S140" s="15"/>
      <c r="T140" s="15">
        <v>0</v>
      </c>
      <c r="U140" s="15"/>
      <c r="V140" s="15"/>
      <c r="W140" s="15"/>
      <c r="X140" s="15"/>
      <c r="Y140" s="15"/>
      <c r="Z140" s="15"/>
    </row>
    <row r="141" spans="1:26" x14ac:dyDescent="0.25">
      <c r="A141" s="15" t="s">
        <v>14225</v>
      </c>
      <c r="B141" s="15">
        <v>140</v>
      </c>
      <c r="C141" s="15" t="s">
        <v>11277</v>
      </c>
      <c r="D141" s="15" t="s">
        <v>11277</v>
      </c>
      <c r="E141" s="15" t="s">
        <v>1067</v>
      </c>
      <c r="F141" s="15" t="s">
        <v>1130</v>
      </c>
      <c r="G141" s="15" t="s">
        <v>11325</v>
      </c>
      <c r="H141" s="15">
        <v>27</v>
      </c>
      <c r="I141" s="15">
        <v>15</v>
      </c>
      <c r="J141" s="15">
        <v>50</v>
      </c>
      <c r="K141" s="15" t="str">
        <f t="shared" si="2"/>
        <v>blindironmines</v>
      </c>
      <c r="L141" s="15" t="s">
        <v>11323</v>
      </c>
      <c r="M141" s="15">
        <v>3</v>
      </c>
      <c r="N141" s="15" t="s">
        <v>11222</v>
      </c>
      <c r="O141" s="15" t="s">
        <v>14043</v>
      </c>
      <c r="P141" s="15"/>
      <c r="Q141" s="15"/>
      <c r="R141" s="15"/>
      <c r="S141" s="15"/>
      <c r="T141" s="15">
        <v>3</v>
      </c>
      <c r="U141" s="15"/>
      <c r="V141" s="15"/>
      <c r="W141" s="15"/>
      <c r="X141" s="15"/>
      <c r="Y141" s="15"/>
      <c r="Z141" s="15"/>
    </row>
    <row r="142" spans="1:26" x14ac:dyDescent="0.25">
      <c r="A142" s="15" t="s">
        <v>14226</v>
      </c>
      <c r="B142" s="15">
        <v>141</v>
      </c>
      <c r="C142" s="15" t="s">
        <v>11277</v>
      </c>
      <c r="D142" s="15" t="s">
        <v>11277</v>
      </c>
      <c r="E142" s="15" t="s">
        <v>1067</v>
      </c>
      <c r="F142" s="15" t="s">
        <v>14227</v>
      </c>
      <c r="G142" s="15" t="s">
        <v>11227</v>
      </c>
      <c r="H142" s="15">
        <v>32</v>
      </c>
      <c r="I142" s="15">
        <v>34</v>
      </c>
      <c r="J142" s="15">
        <v>3</v>
      </c>
      <c r="K142" s="15" t="str">
        <f t="shared" si="2"/>
        <v>southbloodshore</v>
      </c>
      <c r="L142" s="15" t="s">
        <v>11233</v>
      </c>
      <c r="M142" s="15">
        <v>1</v>
      </c>
      <c r="N142" s="15" t="s">
        <v>11222</v>
      </c>
      <c r="O142" s="15"/>
      <c r="P142" s="15"/>
      <c r="Q142" s="15"/>
      <c r="R142" s="15"/>
      <c r="S142" s="15"/>
      <c r="T142" s="15">
        <v>0</v>
      </c>
      <c r="U142" s="15"/>
      <c r="V142" s="15"/>
      <c r="W142" s="15"/>
      <c r="X142" s="15"/>
      <c r="Y142" s="15"/>
      <c r="Z142" s="15"/>
    </row>
    <row r="143" spans="1:26" x14ac:dyDescent="0.25">
      <c r="A143" s="15" t="s">
        <v>14228</v>
      </c>
      <c r="B143" s="15">
        <v>142</v>
      </c>
      <c r="C143" s="15" t="s">
        <v>11277</v>
      </c>
      <c r="D143" s="15" t="s">
        <v>11277</v>
      </c>
      <c r="E143" s="15" t="s">
        <v>1067</v>
      </c>
      <c r="F143" s="15" t="s">
        <v>14227</v>
      </c>
      <c r="G143" s="15" t="s">
        <v>11232</v>
      </c>
      <c r="H143" s="15">
        <v>32</v>
      </c>
      <c r="I143" s="15">
        <v>34</v>
      </c>
      <c r="J143" s="15">
        <v>9</v>
      </c>
      <c r="K143" s="15" t="str">
        <f t="shared" si="2"/>
        <v>southbloodshore</v>
      </c>
      <c r="L143" s="15" t="s">
        <v>11234</v>
      </c>
      <c r="M143" s="15">
        <v>2</v>
      </c>
      <c r="N143" s="15" t="s">
        <v>11223</v>
      </c>
      <c r="O143" s="15"/>
      <c r="P143" s="15"/>
      <c r="Q143" s="15"/>
      <c r="R143" s="15"/>
      <c r="S143" s="15"/>
      <c r="T143" s="15">
        <v>0</v>
      </c>
      <c r="U143" s="15"/>
      <c r="V143" s="15"/>
      <c r="W143" s="15"/>
      <c r="X143" s="15"/>
      <c r="Y143" s="15"/>
      <c r="Z143" s="15"/>
    </row>
    <row r="144" spans="1:26" x14ac:dyDescent="0.25">
      <c r="A144" s="15" t="s">
        <v>14229</v>
      </c>
      <c r="B144" s="15">
        <v>143</v>
      </c>
      <c r="C144" s="15" t="s">
        <v>11277</v>
      </c>
      <c r="D144" s="15" t="s">
        <v>11277</v>
      </c>
      <c r="E144" s="15" t="s">
        <v>1067</v>
      </c>
      <c r="F144" s="15" t="s">
        <v>14227</v>
      </c>
      <c r="G144" s="15" t="s">
        <v>11224</v>
      </c>
      <c r="H144" s="15">
        <v>32</v>
      </c>
      <c r="I144" s="15">
        <v>34</v>
      </c>
      <c r="J144" s="15">
        <v>21</v>
      </c>
      <c r="K144" s="15" t="str">
        <f t="shared" si="2"/>
        <v>southbloodshore</v>
      </c>
      <c r="L144" s="15" t="s">
        <v>14088</v>
      </c>
      <c r="M144" s="15">
        <v>2</v>
      </c>
      <c r="N144" s="15" t="s">
        <v>11223</v>
      </c>
      <c r="O144" s="15"/>
      <c r="P144" s="15"/>
      <c r="Q144" s="15" t="s">
        <v>11227</v>
      </c>
      <c r="R144" s="15" t="s">
        <v>11231</v>
      </c>
      <c r="S144" s="15" t="s">
        <v>11230</v>
      </c>
      <c r="T144" s="15">
        <v>0</v>
      </c>
      <c r="U144" s="15"/>
      <c r="V144" s="15"/>
      <c r="W144" s="15"/>
      <c r="X144" s="15"/>
      <c r="Y144" s="15"/>
      <c r="Z144" s="15"/>
    </row>
    <row r="145" spans="1:26" x14ac:dyDescent="0.25">
      <c r="A145" s="15" t="s">
        <v>14230</v>
      </c>
      <c r="B145" s="15">
        <v>144</v>
      </c>
      <c r="C145" s="15" t="s">
        <v>11277</v>
      </c>
      <c r="D145" s="15" t="s">
        <v>11277</v>
      </c>
      <c r="E145" s="15" t="s">
        <v>1067</v>
      </c>
      <c r="F145" s="15" t="s">
        <v>14227</v>
      </c>
      <c r="G145" s="15" t="s">
        <v>11326</v>
      </c>
      <c r="H145" s="15">
        <v>32</v>
      </c>
      <c r="I145" s="15">
        <v>34</v>
      </c>
      <c r="J145" s="15">
        <v>25</v>
      </c>
      <c r="K145" s="15" t="str">
        <f t="shared" si="2"/>
        <v>southbloodshore</v>
      </c>
      <c r="L145" s="15" t="s">
        <v>11313</v>
      </c>
      <c r="M145" s="15">
        <v>1</v>
      </c>
      <c r="N145" s="15" t="s">
        <v>11222</v>
      </c>
      <c r="O145" s="15"/>
      <c r="P145" s="15"/>
      <c r="Q145" s="15"/>
      <c r="R145" s="15"/>
      <c r="S145" s="15"/>
      <c r="T145" s="15">
        <v>0</v>
      </c>
      <c r="U145" s="15"/>
      <c r="V145" s="15"/>
      <c r="W145" s="15"/>
      <c r="X145" s="15"/>
      <c r="Y145" s="15"/>
      <c r="Z145" s="15"/>
    </row>
    <row r="146" spans="1:26" x14ac:dyDescent="0.25">
      <c r="A146" s="15" t="s">
        <v>14231</v>
      </c>
      <c r="B146" s="15">
        <v>145</v>
      </c>
      <c r="C146" s="15" t="s">
        <v>11277</v>
      </c>
      <c r="D146" s="15" t="s">
        <v>11277</v>
      </c>
      <c r="E146" s="15" t="s">
        <v>1067</v>
      </c>
      <c r="F146" s="15" t="s">
        <v>14227</v>
      </c>
      <c r="G146" s="15" t="s">
        <v>11316</v>
      </c>
      <c r="H146" s="15">
        <v>32</v>
      </c>
      <c r="I146" s="15">
        <v>34</v>
      </c>
      <c r="J146" s="15">
        <v>26</v>
      </c>
      <c r="K146" s="15" t="str">
        <f t="shared" si="2"/>
        <v>southbloodshore</v>
      </c>
      <c r="L146" s="15" t="s">
        <v>11317</v>
      </c>
      <c r="M146" s="15">
        <v>1</v>
      </c>
      <c r="N146" s="15" t="s">
        <v>11222</v>
      </c>
      <c r="O146" s="15"/>
      <c r="P146" s="15"/>
      <c r="Q146" s="15"/>
      <c r="R146" s="15"/>
      <c r="S146" s="15"/>
      <c r="T146" s="15">
        <v>0</v>
      </c>
      <c r="U146" s="15"/>
      <c r="V146" s="15"/>
      <c r="W146" s="15"/>
      <c r="X146" s="15"/>
      <c r="Y146" s="15"/>
      <c r="Z146" s="15"/>
    </row>
    <row r="147" spans="1:26" x14ac:dyDescent="0.25">
      <c r="A147" s="15" t="s">
        <v>14232</v>
      </c>
      <c r="B147" s="15">
        <v>146</v>
      </c>
      <c r="C147" s="15" t="s">
        <v>11277</v>
      </c>
      <c r="D147" s="15" t="s">
        <v>11277</v>
      </c>
      <c r="E147" s="15" t="s">
        <v>1067</v>
      </c>
      <c r="F147" s="15" t="s">
        <v>14227</v>
      </c>
      <c r="G147" s="15" t="s">
        <v>11327</v>
      </c>
      <c r="H147" s="15">
        <v>32</v>
      </c>
      <c r="I147" s="15">
        <v>34</v>
      </c>
      <c r="J147" s="15">
        <v>27</v>
      </c>
      <c r="K147" s="15" t="str">
        <f t="shared" si="2"/>
        <v>southbloodshore</v>
      </c>
      <c r="L147" s="15" t="s">
        <v>11317</v>
      </c>
      <c r="M147" s="15">
        <v>2</v>
      </c>
      <c r="N147" s="15" t="s">
        <v>11223</v>
      </c>
      <c r="O147" s="15"/>
      <c r="P147" s="15"/>
      <c r="Q147" s="15"/>
      <c r="R147" s="15"/>
      <c r="S147" s="15"/>
      <c r="T147" s="15">
        <v>0</v>
      </c>
      <c r="U147" s="15"/>
      <c r="V147" s="15"/>
      <c r="W147" s="15"/>
      <c r="X147" s="15"/>
      <c r="Y147" s="15"/>
      <c r="Z147" s="15"/>
    </row>
    <row r="148" spans="1:26" x14ac:dyDescent="0.25">
      <c r="A148" s="15" t="s">
        <v>14233</v>
      </c>
      <c r="B148" s="15">
        <v>147</v>
      </c>
      <c r="C148" s="15" t="s">
        <v>11277</v>
      </c>
      <c r="D148" s="15" t="s">
        <v>11277</v>
      </c>
      <c r="E148" s="15" t="s">
        <v>1067</v>
      </c>
      <c r="F148" s="15" t="s">
        <v>14227</v>
      </c>
      <c r="G148" s="15" t="s">
        <v>11328</v>
      </c>
      <c r="H148" s="15">
        <v>32</v>
      </c>
      <c r="I148" s="15">
        <v>34</v>
      </c>
      <c r="J148" s="15">
        <v>34</v>
      </c>
      <c r="K148" s="15" t="str">
        <f t="shared" si="2"/>
        <v>southbloodshore</v>
      </c>
      <c r="L148" s="15" t="s">
        <v>11285</v>
      </c>
      <c r="M148" s="15">
        <v>1</v>
      </c>
      <c r="N148" s="15" t="s">
        <v>11222</v>
      </c>
      <c r="O148" s="15" t="s">
        <v>14049</v>
      </c>
      <c r="P148" s="15"/>
      <c r="Q148" s="15"/>
      <c r="R148" s="15"/>
      <c r="S148" s="15"/>
      <c r="T148" s="15">
        <v>0</v>
      </c>
      <c r="U148" s="15"/>
      <c r="V148" s="15"/>
      <c r="W148" s="15"/>
      <c r="X148" s="15"/>
      <c r="Y148" s="15"/>
      <c r="Z148" s="15"/>
    </row>
    <row r="149" spans="1:26" x14ac:dyDescent="0.25">
      <c r="A149" s="15" t="s">
        <v>14234</v>
      </c>
      <c r="B149" s="15">
        <v>148</v>
      </c>
      <c r="C149" s="15" t="s">
        <v>11277</v>
      </c>
      <c r="D149" s="15" t="s">
        <v>11277</v>
      </c>
      <c r="E149" s="15" t="s">
        <v>1067</v>
      </c>
      <c r="F149" s="15" t="s">
        <v>14227</v>
      </c>
      <c r="G149" s="15" t="s">
        <v>11261</v>
      </c>
      <c r="H149" s="15">
        <v>32</v>
      </c>
      <c r="I149" s="15">
        <v>34</v>
      </c>
      <c r="J149" s="15">
        <v>41</v>
      </c>
      <c r="K149" s="15" t="str">
        <f t="shared" si="2"/>
        <v>southbloodshore</v>
      </c>
      <c r="L149" s="15" t="s">
        <v>14088</v>
      </c>
      <c r="M149" s="15">
        <v>2</v>
      </c>
      <c r="N149" s="15" t="s">
        <v>11223</v>
      </c>
      <c r="O149" s="15"/>
      <c r="P149" s="15"/>
      <c r="Q149" s="15" t="s">
        <v>11227</v>
      </c>
      <c r="R149" s="15" t="s">
        <v>14235</v>
      </c>
      <c r="S149" s="15" t="s">
        <v>14236</v>
      </c>
      <c r="T149" s="15">
        <v>0</v>
      </c>
      <c r="U149" s="15"/>
      <c r="V149" s="15"/>
      <c r="W149" s="15"/>
      <c r="X149" s="15"/>
      <c r="Y149" s="15"/>
      <c r="Z149" s="15"/>
    </row>
    <row r="150" spans="1:26" x14ac:dyDescent="0.25">
      <c r="A150" s="15" t="s">
        <v>14237</v>
      </c>
      <c r="B150" s="15">
        <v>149</v>
      </c>
      <c r="C150" s="15" t="s">
        <v>11277</v>
      </c>
      <c r="D150" s="15" t="s">
        <v>11277</v>
      </c>
      <c r="E150" s="15" t="s">
        <v>1067</v>
      </c>
      <c r="F150" s="15" t="s">
        <v>14227</v>
      </c>
      <c r="G150" s="15" t="s">
        <v>11329</v>
      </c>
      <c r="H150" s="15">
        <v>32</v>
      </c>
      <c r="I150" s="15">
        <v>34</v>
      </c>
      <c r="J150" s="15">
        <v>50</v>
      </c>
      <c r="K150" s="15" t="str">
        <f t="shared" si="2"/>
        <v>southbloodshore</v>
      </c>
      <c r="L150" s="15" t="s">
        <v>11330</v>
      </c>
      <c r="M150" s="15">
        <v>3</v>
      </c>
      <c r="N150" s="15" t="s">
        <v>11223</v>
      </c>
      <c r="O150" s="15" t="s">
        <v>14074</v>
      </c>
      <c r="P150" s="15"/>
      <c r="Q150" s="15"/>
      <c r="R150" s="15"/>
      <c r="S150" s="15"/>
      <c r="T150" s="15">
        <v>3</v>
      </c>
      <c r="U150" s="15"/>
      <c r="V150" s="15"/>
      <c r="W150" s="15"/>
      <c r="X150" s="15"/>
      <c r="Y150" s="15"/>
      <c r="Z150" s="15"/>
    </row>
    <row r="151" spans="1:26" x14ac:dyDescent="0.25">
      <c r="A151" s="15" t="s">
        <v>14238</v>
      </c>
      <c r="B151" s="15">
        <v>150</v>
      </c>
      <c r="C151" s="15" t="s">
        <v>11277</v>
      </c>
      <c r="D151" s="15" t="s">
        <v>11277</v>
      </c>
      <c r="E151" s="15" t="s">
        <v>1067</v>
      </c>
      <c r="F151" s="15" t="s">
        <v>14227</v>
      </c>
      <c r="G151" s="15" t="s">
        <v>11331</v>
      </c>
      <c r="H151" s="15">
        <v>32</v>
      </c>
      <c r="I151" s="15">
        <v>34</v>
      </c>
      <c r="J151" s="15">
        <v>50</v>
      </c>
      <c r="K151" s="15" t="str">
        <f t="shared" si="2"/>
        <v>southbloodshore</v>
      </c>
      <c r="L151" s="15" t="s">
        <v>11317</v>
      </c>
      <c r="M151" s="15">
        <v>3</v>
      </c>
      <c r="N151" s="15" t="s">
        <v>11223</v>
      </c>
      <c r="O151" s="15" t="s">
        <v>14065</v>
      </c>
      <c r="P151" s="15"/>
      <c r="Q151" s="15"/>
      <c r="R151" s="15"/>
      <c r="S151" s="15"/>
      <c r="T151" s="15">
        <v>3</v>
      </c>
      <c r="U151" s="15"/>
      <c r="V151" s="15"/>
      <c r="W151" s="15"/>
      <c r="X151" s="15"/>
      <c r="Y151" s="15"/>
      <c r="Z151" s="15"/>
    </row>
    <row r="152" spans="1:26" x14ac:dyDescent="0.25">
      <c r="A152" s="15" t="s">
        <v>14239</v>
      </c>
      <c r="B152" s="15">
        <v>151</v>
      </c>
      <c r="C152" s="15" t="s">
        <v>11277</v>
      </c>
      <c r="D152" s="15" t="s">
        <v>11277</v>
      </c>
      <c r="E152" s="15" t="s">
        <v>1067</v>
      </c>
      <c r="F152" s="15" t="s">
        <v>3378</v>
      </c>
      <c r="G152" s="15" t="s">
        <v>11244</v>
      </c>
      <c r="H152" s="15">
        <v>32</v>
      </c>
      <c r="I152" s="15">
        <v>29</v>
      </c>
      <c r="J152" s="15">
        <v>19</v>
      </c>
      <c r="K152" s="15" t="str">
        <f t="shared" si="2"/>
        <v>costadelsol</v>
      </c>
      <c r="L152" s="15" t="s">
        <v>11245</v>
      </c>
      <c r="M152" s="15">
        <v>2</v>
      </c>
      <c r="N152" s="15" t="s">
        <v>11223</v>
      </c>
      <c r="O152" s="15"/>
      <c r="P152" s="15"/>
      <c r="Q152" s="15"/>
      <c r="R152" s="15"/>
      <c r="S152" s="15"/>
      <c r="T152" s="15">
        <v>0</v>
      </c>
      <c r="U152" s="15"/>
      <c r="V152" s="15"/>
      <c r="W152" s="15"/>
      <c r="X152" s="15"/>
      <c r="Y152" s="15"/>
      <c r="Z152" s="15"/>
    </row>
    <row r="153" spans="1:26" x14ac:dyDescent="0.25">
      <c r="A153" s="15" t="s">
        <v>14240</v>
      </c>
      <c r="B153" s="15">
        <v>152</v>
      </c>
      <c r="C153" s="15" t="s">
        <v>11277</v>
      </c>
      <c r="D153" s="15" t="s">
        <v>11277</v>
      </c>
      <c r="E153" s="15" t="s">
        <v>1067</v>
      </c>
      <c r="F153" s="15" t="s">
        <v>3378</v>
      </c>
      <c r="G153" s="15" t="s">
        <v>11314</v>
      </c>
      <c r="H153" s="15">
        <v>32</v>
      </c>
      <c r="I153" s="15">
        <v>29</v>
      </c>
      <c r="J153" s="15">
        <v>22</v>
      </c>
      <c r="K153" s="15" t="str">
        <f t="shared" si="2"/>
        <v>costadelsol</v>
      </c>
      <c r="L153" s="15" t="s">
        <v>11315</v>
      </c>
      <c r="M153" s="15">
        <v>2</v>
      </c>
      <c r="N153" s="15" t="s">
        <v>11223</v>
      </c>
      <c r="O153" s="15"/>
      <c r="P153" s="15"/>
      <c r="Q153" s="15"/>
      <c r="R153" s="15"/>
      <c r="S153" s="15"/>
      <c r="T153" s="15">
        <v>0</v>
      </c>
      <c r="U153" s="15"/>
      <c r="V153" s="15"/>
      <c r="W153" s="15"/>
      <c r="X153" s="15"/>
      <c r="Y153" s="15"/>
      <c r="Z153" s="15"/>
    </row>
    <row r="154" spans="1:26" x14ac:dyDescent="0.25">
      <c r="A154" s="15" t="s">
        <v>14241</v>
      </c>
      <c r="B154" s="15">
        <v>153</v>
      </c>
      <c r="C154" s="15" t="s">
        <v>11277</v>
      </c>
      <c r="D154" s="15" t="s">
        <v>11277</v>
      </c>
      <c r="E154" s="15" t="s">
        <v>1067</v>
      </c>
      <c r="F154" s="15" t="s">
        <v>3378</v>
      </c>
      <c r="G154" s="15" t="s">
        <v>11327</v>
      </c>
      <c r="H154" s="15">
        <v>32</v>
      </c>
      <c r="I154" s="15">
        <v>29</v>
      </c>
      <c r="J154" s="15">
        <v>27</v>
      </c>
      <c r="K154" s="15" t="str">
        <f t="shared" si="2"/>
        <v>costadelsol</v>
      </c>
      <c r="L154" s="15" t="s">
        <v>11317</v>
      </c>
      <c r="M154" s="15">
        <v>2</v>
      </c>
      <c r="N154" s="15" t="s">
        <v>11223</v>
      </c>
      <c r="O154" s="15"/>
      <c r="P154" s="15"/>
      <c r="Q154" s="15"/>
      <c r="R154" s="15"/>
      <c r="S154" s="15"/>
      <c r="T154" s="15">
        <v>0</v>
      </c>
      <c r="U154" s="15"/>
      <c r="V154" s="15"/>
      <c r="W154" s="15"/>
      <c r="X154" s="15"/>
      <c r="Y154" s="15"/>
      <c r="Z154" s="15"/>
    </row>
    <row r="155" spans="1:26" x14ac:dyDescent="0.25">
      <c r="A155" s="15" t="s">
        <v>14242</v>
      </c>
      <c r="B155" s="15">
        <v>154</v>
      </c>
      <c r="C155" s="15" t="s">
        <v>11277</v>
      </c>
      <c r="D155" s="15" t="s">
        <v>11277</v>
      </c>
      <c r="E155" s="15" t="s">
        <v>1067</v>
      </c>
      <c r="F155" s="15" t="s">
        <v>3378</v>
      </c>
      <c r="G155" s="15" t="s">
        <v>11401</v>
      </c>
      <c r="H155" s="15">
        <v>32</v>
      </c>
      <c r="I155" s="15">
        <v>29</v>
      </c>
      <c r="J155" s="15">
        <v>31</v>
      </c>
      <c r="K155" s="15" t="str">
        <f t="shared" si="2"/>
        <v>costadelsol</v>
      </c>
      <c r="L155" s="15" t="s">
        <v>11285</v>
      </c>
      <c r="M155" s="15">
        <v>2</v>
      </c>
      <c r="N155" s="15" t="s">
        <v>11223</v>
      </c>
      <c r="O155" s="15"/>
      <c r="P155" s="15"/>
      <c r="Q155" s="15"/>
      <c r="R155" s="15"/>
      <c r="S155" s="15"/>
      <c r="T155" s="15">
        <v>0</v>
      </c>
      <c r="U155" s="15"/>
      <c r="V155" s="15"/>
      <c r="W155" s="15"/>
      <c r="X155" s="15"/>
      <c r="Y155" s="15"/>
      <c r="Z155" s="15"/>
    </row>
    <row r="156" spans="1:26" x14ac:dyDescent="0.25">
      <c r="A156" s="15" t="s">
        <v>14243</v>
      </c>
      <c r="B156" s="15">
        <v>155</v>
      </c>
      <c r="C156" s="15" t="s">
        <v>11277</v>
      </c>
      <c r="D156" s="15" t="s">
        <v>11277</v>
      </c>
      <c r="E156" s="15" t="s">
        <v>1067</v>
      </c>
      <c r="F156" s="15" t="s">
        <v>3378</v>
      </c>
      <c r="G156" s="15" t="s">
        <v>11333</v>
      </c>
      <c r="H156" s="15">
        <v>32</v>
      </c>
      <c r="I156" s="15">
        <v>29</v>
      </c>
      <c r="J156" s="15">
        <v>32</v>
      </c>
      <c r="K156" s="15" t="str">
        <f t="shared" si="2"/>
        <v>costadelsol</v>
      </c>
      <c r="L156" s="15" t="s">
        <v>11334</v>
      </c>
      <c r="M156" s="15">
        <v>2</v>
      </c>
      <c r="N156" s="15" t="s">
        <v>11223</v>
      </c>
      <c r="O156" s="15"/>
      <c r="P156" s="15"/>
      <c r="Q156" s="15"/>
      <c r="R156" s="15"/>
      <c r="S156" s="15"/>
      <c r="T156" s="15">
        <v>0</v>
      </c>
      <c r="U156" s="15"/>
      <c r="V156" s="15"/>
      <c r="W156" s="15"/>
      <c r="X156" s="15"/>
      <c r="Y156" s="15"/>
      <c r="Z156" s="15"/>
    </row>
    <row r="157" spans="1:26" x14ac:dyDescent="0.25">
      <c r="A157" s="15" t="s">
        <v>14244</v>
      </c>
      <c r="B157" s="15">
        <v>156</v>
      </c>
      <c r="C157" s="15" t="s">
        <v>11277</v>
      </c>
      <c r="D157" s="15" t="s">
        <v>11277</v>
      </c>
      <c r="E157" s="15" t="s">
        <v>1067</v>
      </c>
      <c r="F157" s="15" t="s">
        <v>3378</v>
      </c>
      <c r="G157" s="15" t="s">
        <v>11328</v>
      </c>
      <c r="H157" s="15">
        <v>32</v>
      </c>
      <c r="I157" s="15">
        <v>29</v>
      </c>
      <c r="J157" s="15">
        <v>34</v>
      </c>
      <c r="K157" s="15" t="str">
        <f t="shared" si="2"/>
        <v>costadelsol</v>
      </c>
      <c r="L157" s="15" t="s">
        <v>11285</v>
      </c>
      <c r="M157" s="15">
        <v>1</v>
      </c>
      <c r="N157" s="15" t="s">
        <v>11222</v>
      </c>
      <c r="O157" s="15" t="s">
        <v>14049</v>
      </c>
      <c r="P157" s="15"/>
      <c r="Q157" s="15"/>
      <c r="R157" s="15"/>
      <c r="S157" s="15"/>
      <c r="T157" s="15">
        <v>0</v>
      </c>
      <c r="U157" s="15"/>
      <c r="V157" s="15"/>
      <c r="W157" s="15"/>
      <c r="X157" s="15"/>
      <c r="Y157" s="15"/>
      <c r="Z157" s="15"/>
    </row>
    <row r="158" spans="1:26" x14ac:dyDescent="0.25">
      <c r="A158" s="15" t="s">
        <v>14245</v>
      </c>
      <c r="B158" s="15">
        <v>157</v>
      </c>
      <c r="C158" s="15" t="s">
        <v>11277</v>
      </c>
      <c r="D158" s="15" t="s">
        <v>11277</v>
      </c>
      <c r="E158" s="15" t="s">
        <v>1067</v>
      </c>
      <c r="F158" s="15" t="s">
        <v>3378</v>
      </c>
      <c r="G158" s="15" t="s">
        <v>11398</v>
      </c>
      <c r="H158" s="15">
        <v>32</v>
      </c>
      <c r="I158" s="15">
        <v>29</v>
      </c>
      <c r="J158" s="15">
        <v>36</v>
      </c>
      <c r="K158" s="15" t="str">
        <f t="shared" si="2"/>
        <v>costadelsol</v>
      </c>
      <c r="L158" s="15" t="s">
        <v>11336</v>
      </c>
      <c r="M158" s="15">
        <v>2</v>
      </c>
      <c r="N158" s="15" t="s">
        <v>11223</v>
      </c>
      <c r="O158" s="15"/>
      <c r="P158" s="15"/>
      <c r="Q158" s="15"/>
      <c r="R158" s="15"/>
      <c r="S158" s="15"/>
      <c r="T158" s="15">
        <v>0</v>
      </c>
      <c r="U158" s="15"/>
      <c r="V158" s="15"/>
      <c r="W158" s="15"/>
      <c r="X158" s="15"/>
      <c r="Y158" s="15"/>
      <c r="Z158" s="15"/>
    </row>
    <row r="159" spans="1:26" x14ac:dyDescent="0.25">
      <c r="A159" s="15" t="s">
        <v>14246</v>
      </c>
      <c r="B159" s="15">
        <v>158</v>
      </c>
      <c r="C159" s="15" t="s">
        <v>11277</v>
      </c>
      <c r="D159" s="15" t="s">
        <v>11277</v>
      </c>
      <c r="E159" s="15" t="s">
        <v>1067</v>
      </c>
      <c r="F159" s="15" t="s">
        <v>3378</v>
      </c>
      <c r="G159" s="15" t="s">
        <v>11261</v>
      </c>
      <c r="H159" s="15">
        <v>32</v>
      </c>
      <c r="I159" s="15">
        <v>29</v>
      </c>
      <c r="J159" s="15">
        <v>41</v>
      </c>
      <c r="K159" s="15" t="str">
        <f t="shared" si="2"/>
        <v>costadelsol</v>
      </c>
      <c r="L159" s="15" t="s">
        <v>14088</v>
      </c>
      <c r="M159" s="15">
        <v>2</v>
      </c>
      <c r="N159" s="15" t="s">
        <v>11223</v>
      </c>
      <c r="O159" s="15"/>
      <c r="P159" s="15"/>
      <c r="Q159" s="15" t="s">
        <v>11328</v>
      </c>
      <c r="R159" s="15"/>
      <c r="S159" s="15"/>
      <c r="T159" s="15">
        <v>0</v>
      </c>
      <c r="U159" s="15"/>
      <c r="V159" s="15"/>
      <c r="W159" s="15"/>
      <c r="X159" s="15"/>
      <c r="Y159" s="15"/>
      <c r="Z159" s="15"/>
    </row>
    <row r="160" spans="1:26" x14ac:dyDescent="0.25">
      <c r="A160" s="15" t="s">
        <v>14247</v>
      </c>
      <c r="B160" s="15">
        <v>159</v>
      </c>
      <c r="C160" s="15" t="s">
        <v>11277</v>
      </c>
      <c r="D160" s="15" t="s">
        <v>11277</v>
      </c>
      <c r="E160" s="15" t="s">
        <v>1067</v>
      </c>
      <c r="F160" s="15" t="s">
        <v>3378</v>
      </c>
      <c r="G160" s="15" t="s">
        <v>11347</v>
      </c>
      <c r="H160" s="15">
        <v>32</v>
      </c>
      <c r="I160" s="15">
        <v>29</v>
      </c>
      <c r="J160" s="15">
        <v>50</v>
      </c>
      <c r="K160" s="15" t="str">
        <f t="shared" si="2"/>
        <v>costadelsol</v>
      </c>
      <c r="L160" s="15" t="s">
        <v>11291</v>
      </c>
      <c r="M160" s="15">
        <v>2</v>
      </c>
      <c r="N160" s="15" t="s">
        <v>11223</v>
      </c>
      <c r="O160" s="15"/>
      <c r="P160" s="15"/>
      <c r="Q160" s="15"/>
      <c r="R160" s="15"/>
      <c r="S160" s="15"/>
      <c r="T160" s="15">
        <v>1</v>
      </c>
      <c r="U160" s="15" t="s">
        <v>5901</v>
      </c>
      <c r="V160" s="15" t="s">
        <v>5900</v>
      </c>
      <c r="W160" s="15"/>
      <c r="X160" s="15"/>
      <c r="Y160" s="15"/>
      <c r="Z160" s="15"/>
    </row>
    <row r="161" spans="1:26" x14ac:dyDescent="0.25">
      <c r="A161" s="15" t="s">
        <v>14248</v>
      </c>
      <c r="B161" s="15">
        <v>160</v>
      </c>
      <c r="C161" s="15" t="s">
        <v>11277</v>
      </c>
      <c r="D161" s="15" t="s">
        <v>11277</v>
      </c>
      <c r="E161" s="15" t="s">
        <v>1067</v>
      </c>
      <c r="F161" s="15" t="s">
        <v>3378</v>
      </c>
      <c r="G161" s="15" t="s">
        <v>11402</v>
      </c>
      <c r="H161" s="15">
        <v>32</v>
      </c>
      <c r="I161" s="15">
        <v>29</v>
      </c>
      <c r="J161" s="15">
        <v>50</v>
      </c>
      <c r="K161" s="15" t="str">
        <f t="shared" si="2"/>
        <v>costadelsol</v>
      </c>
      <c r="L161" s="15" t="s">
        <v>14088</v>
      </c>
      <c r="M161" s="15">
        <v>3</v>
      </c>
      <c r="N161" s="15" t="s">
        <v>11223</v>
      </c>
      <c r="O161" s="15" t="s">
        <v>14056</v>
      </c>
      <c r="P161" s="15"/>
      <c r="Q161" s="15" t="s">
        <v>11328</v>
      </c>
      <c r="R161" s="15"/>
      <c r="S161" s="15"/>
      <c r="T161" s="15">
        <v>3</v>
      </c>
      <c r="U161" s="15" t="s">
        <v>5893</v>
      </c>
      <c r="V161" s="15" t="s">
        <v>5892</v>
      </c>
      <c r="W161" s="15"/>
      <c r="X161" s="15"/>
      <c r="Y161" s="15"/>
      <c r="Z161" s="15"/>
    </row>
    <row r="162" spans="1:26" x14ac:dyDescent="0.25">
      <c r="A162" s="15" t="s">
        <v>14249</v>
      </c>
      <c r="B162" s="15">
        <v>161</v>
      </c>
      <c r="C162" s="15" t="s">
        <v>11277</v>
      </c>
      <c r="D162" s="15" t="s">
        <v>11277</v>
      </c>
      <c r="E162" s="15" t="s">
        <v>1067</v>
      </c>
      <c r="F162" s="15" t="s">
        <v>14250</v>
      </c>
      <c r="G162" s="15" t="s">
        <v>11231</v>
      </c>
      <c r="H162" s="15">
        <v>32</v>
      </c>
      <c r="I162" s="15">
        <v>24</v>
      </c>
      <c r="J162" s="15">
        <v>7</v>
      </c>
      <c r="K162" s="15" t="str">
        <f t="shared" si="2"/>
        <v>northbloodshore</v>
      </c>
      <c r="L162" s="15" t="s">
        <v>11234</v>
      </c>
      <c r="M162" s="15">
        <v>2</v>
      </c>
      <c r="N162" s="15" t="s">
        <v>11223</v>
      </c>
      <c r="O162" s="15"/>
      <c r="P162" s="15"/>
      <c r="Q162" s="15"/>
      <c r="R162" s="15"/>
      <c r="S162" s="15"/>
      <c r="T162" s="15">
        <v>0</v>
      </c>
      <c r="U162" s="15"/>
      <c r="V162" s="15"/>
      <c r="W162" s="15"/>
      <c r="X162" s="15"/>
      <c r="Y162" s="15"/>
      <c r="Z162" s="15"/>
    </row>
    <row r="163" spans="1:26" x14ac:dyDescent="0.25">
      <c r="A163" s="15" t="s">
        <v>14251</v>
      </c>
      <c r="B163" s="15">
        <v>162</v>
      </c>
      <c r="C163" s="15" t="s">
        <v>11277</v>
      </c>
      <c r="D163" s="15" t="s">
        <v>11277</v>
      </c>
      <c r="E163" s="15" t="s">
        <v>1067</v>
      </c>
      <c r="F163" s="15" t="s">
        <v>14250</v>
      </c>
      <c r="G163" s="15" t="s">
        <v>11260</v>
      </c>
      <c r="H163" s="15">
        <v>32</v>
      </c>
      <c r="I163" s="15">
        <v>24</v>
      </c>
      <c r="J163" s="15">
        <v>25</v>
      </c>
      <c r="K163" s="15" t="str">
        <f t="shared" si="2"/>
        <v>northbloodshore</v>
      </c>
      <c r="L163" s="15" t="s">
        <v>14088</v>
      </c>
      <c r="M163" s="15">
        <v>2</v>
      </c>
      <c r="N163" s="15" t="s">
        <v>11223</v>
      </c>
      <c r="O163" s="15"/>
      <c r="P163" s="15"/>
      <c r="Q163" s="15" t="s">
        <v>11231</v>
      </c>
      <c r="R163" s="15"/>
      <c r="S163" s="15"/>
      <c r="T163" s="15">
        <v>0</v>
      </c>
      <c r="U163" s="15"/>
      <c r="V163" s="15"/>
      <c r="W163" s="15"/>
      <c r="X163" s="15"/>
      <c r="Y163" s="15"/>
      <c r="Z163" s="15"/>
    </row>
    <row r="164" spans="1:26" x14ac:dyDescent="0.25">
      <c r="A164" s="15" t="s">
        <v>14252</v>
      </c>
      <c r="B164" s="15">
        <v>163</v>
      </c>
      <c r="C164" s="15" t="s">
        <v>11277</v>
      </c>
      <c r="D164" s="15" t="s">
        <v>11277</v>
      </c>
      <c r="E164" s="15" t="s">
        <v>1067</v>
      </c>
      <c r="F164" s="15" t="s">
        <v>14250</v>
      </c>
      <c r="G164" s="15" t="s">
        <v>11318</v>
      </c>
      <c r="H164" s="15">
        <v>32</v>
      </c>
      <c r="I164" s="15">
        <v>24</v>
      </c>
      <c r="J164" s="15">
        <v>28</v>
      </c>
      <c r="K164" s="15" t="str">
        <f t="shared" si="2"/>
        <v>northbloodshore</v>
      </c>
      <c r="L164" s="15" t="s">
        <v>11317</v>
      </c>
      <c r="M164" s="15">
        <v>1</v>
      </c>
      <c r="N164" s="15" t="s">
        <v>11222</v>
      </c>
      <c r="O164" s="15"/>
      <c r="P164" s="15"/>
      <c r="Q164" s="15"/>
      <c r="R164" s="15"/>
      <c r="S164" s="15"/>
      <c r="T164" s="15">
        <v>0</v>
      </c>
      <c r="U164" s="15"/>
      <c r="V164" s="15"/>
      <c r="W164" s="15"/>
      <c r="X164" s="15"/>
      <c r="Y164" s="15"/>
      <c r="Z164" s="15"/>
    </row>
    <row r="165" spans="1:26" x14ac:dyDescent="0.25">
      <c r="A165" s="15" t="s">
        <v>14253</v>
      </c>
      <c r="B165" s="15">
        <v>164</v>
      </c>
      <c r="C165" s="15" t="s">
        <v>11277</v>
      </c>
      <c r="D165" s="15" t="s">
        <v>11277</v>
      </c>
      <c r="E165" s="15" t="s">
        <v>1067</v>
      </c>
      <c r="F165" s="15" t="s">
        <v>14250</v>
      </c>
      <c r="G165" s="15" t="s">
        <v>11332</v>
      </c>
      <c r="H165" s="15">
        <v>32</v>
      </c>
      <c r="I165" s="15">
        <v>24</v>
      </c>
      <c r="J165" s="15">
        <v>30</v>
      </c>
      <c r="K165" s="15" t="str">
        <f t="shared" si="2"/>
        <v>northbloodshore</v>
      </c>
      <c r="L165" s="15" t="s">
        <v>11285</v>
      </c>
      <c r="M165" s="15">
        <v>1</v>
      </c>
      <c r="N165" s="15" t="s">
        <v>11222</v>
      </c>
      <c r="O165" s="15"/>
      <c r="P165" s="15"/>
      <c r="Q165" s="15"/>
      <c r="R165" s="15"/>
      <c r="S165" s="15"/>
      <c r="T165" s="15">
        <v>0</v>
      </c>
      <c r="U165" s="15"/>
      <c r="V165" s="15"/>
      <c r="W165" s="15"/>
      <c r="X165" s="15"/>
      <c r="Y165" s="15"/>
      <c r="Z165" s="15"/>
    </row>
    <row r="166" spans="1:26" x14ac:dyDescent="0.25">
      <c r="A166" s="15" t="s">
        <v>14254</v>
      </c>
      <c r="B166" s="15">
        <v>165</v>
      </c>
      <c r="C166" s="15" t="s">
        <v>11277</v>
      </c>
      <c r="D166" s="15" t="s">
        <v>11277</v>
      </c>
      <c r="E166" s="15" t="s">
        <v>1067</v>
      </c>
      <c r="F166" s="15" t="s">
        <v>14250</v>
      </c>
      <c r="G166" s="15" t="s">
        <v>11333</v>
      </c>
      <c r="H166" s="15">
        <v>32</v>
      </c>
      <c r="I166" s="15">
        <v>24</v>
      </c>
      <c r="J166" s="15">
        <v>32</v>
      </c>
      <c r="K166" s="15" t="str">
        <f t="shared" si="2"/>
        <v>northbloodshore</v>
      </c>
      <c r="L166" s="15" t="s">
        <v>11334</v>
      </c>
      <c r="M166" s="15">
        <v>2</v>
      </c>
      <c r="N166" s="15" t="s">
        <v>11223</v>
      </c>
      <c r="O166" s="15"/>
      <c r="P166" s="15"/>
      <c r="Q166" s="15"/>
      <c r="R166" s="15"/>
      <c r="S166" s="15"/>
      <c r="T166" s="15">
        <v>0</v>
      </c>
      <c r="U166" s="15"/>
      <c r="V166" s="15"/>
      <c r="W166" s="15"/>
      <c r="X166" s="15"/>
      <c r="Y166" s="15"/>
      <c r="Z166" s="15"/>
    </row>
    <row r="167" spans="1:26" x14ac:dyDescent="0.25">
      <c r="A167" s="15" t="s">
        <v>14255</v>
      </c>
      <c r="B167" s="15">
        <v>166</v>
      </c>
      <c r="C167" s="15" t="s">
        <v>11277</v>
      </c>
      <c r="D167" s="15" t="s">
        <v>11277</v>
      </c>
      <c r="E167" s="15" t="s">
        <v>1067</v>
      </c>
      <c r="F167" s="15" t="s">
        <v>14250</v>
      </c>
      <c r="G167" s="15" t="s">
        <v>11335</v>
      </c>
      <c r="H167" s="15">
        <v>32</v>
      </c>
      <c r="I167" s="15">
        <v>24</v>
      </c>
      <c r="J167" s="15">
        <v>35</v>
      </c>
      <c r="K167" s="15" t="str">
        <f t="shared" si="2"/>
        <v>northbloodshore</v>
      </c>
      <c r="L167" s="15" t="s">
        <v>11336</v>
      </c>
      <c r="M167" s="15">
        <v>1</v>
      </c>
      <c r="N167" s="15" t="s">
        <v>11222</v>
      </c>
      <c r="O167" s="15"/>
      <c r="P167" s="15"/>
      <c r="Q167" s="15"/>
      <c r="R167" s="15"/>
      <c r="S167" s="15"/>
      <c r="T167" s="15">
        <v>0</v>
      </c>
      <c r="U167" s="15"/>
      <c r="V167" s="15"/>
      <c r="W167" s="15"/>
      <c r="X167" s="15"/>
      <c r="Y167" s="15"/>
      <c r="Z167" s="15"/>
    </row>
    <row r="168" spans="1:26" x14ac:dyDescent="0.25">
      <c r="A168" s="15" t="s">
        <v>14256</v>
      </c>
      <c r="B168" s="15">
        <v>167</v>
      </c>
      <c r="C168" s="15" t="s">
        <v>11277</v>
      </c>
      <c r="D168" s="15" t="s">
        <v>11277</v>
      </c>
      <c r="E168" s="15" t="s">
        <v>1067</v>
      </c>
      <c r="F168" s="15" t="s">
        <v>14250</v>
      </c>
      <c r="G168" s="15" t="s">
        <v>11337</v>
      </c>
      <c r="H168" s="15">
        <v>32</v>
      </c>
      <c r="I168" s="15">
        <v>24</v>
      </c>
      <c r="J168" s="15">
        <v>37</v>
      </c>
      <c r="K168" s="15" t="str">
        <f t="shared" si="2"/>
        <v>northbloodshore</v>
      </c>
      <c r="L168" s="15" t="s">
        <v>11268</v>
      </c>
      <c r="M168" s="15">
        <v>2</v>
      </c>
      <c r="N168" s="15" t="s">
        <v>11223</v>
      </c>
      <c r="O168" s="15"/>
      <c r="P168" s="15"/>
      <c r="Q168" s="15"/>
      <c r="R168" s="15"/>
      <c r="S168" s="15"/>
      <c r="T168" s="15">
        <v>0</v>
      </c>
      <c r="U168" s="15"/>
      <c r="V168" s="15"/>
      <c r="W168" s="15"/>
      <c r="X168" s="15"/>
      <c r="Y168" s="15"/>
      <c r="Z168" s="15"/>
    </row>
    <row r="169" spans="1:26" x14ac:dyDescent="0.25">
      <c r="A169" s="15" t="s">
        <v>14257</v>
      </c>
      <c r="B169" s="15">
        <v>168</v>
      </c>
      <c r="C169" s="15" t="s">
        <v>11277</v>
      </c>
      <c r="D169" s="15" t="s">
        <v>11277</v>
      </c>
      <c r="E169" s="15" t="s">
        <v>1067</v>
      </c>
      <c r="F169" s="15" t="s">
        <v>14250</v>
      </c>
      <c r="G169" s="15" t="s">
        <v>11338</v>
      </c>
      <c r="H169" s="15">
        <v>32</v>
      </c>
      <c r="I169" s="15">
        <v>24</v>
      </c>
      <c r="J169" s="15">
        <v>40</v>
      </c>
      <c r="K169" s="15" t="str">
        <f t="shared" si="2"/>
        <v>northbloodshore</v>
      </c>
      <c r="L169" s="15" t="s">
        <v>11339</v>
      </c>
      <c r="M169" s="15">
        <v>1</v>
      </c>
      <c r="N169" s="15" t="s">
        <v>11222</v>
      </c>
      <c r="O169" s="15"/>
      <c r="P169" s="15"/>
      <c r="Q169" s="15"/>
      <c r="R169" s="15"/>
      <c r="S169" s="15"/>
      <c r="T169" s="15">
        <v>0</v>
      </c>
      <c r="U169" s="15"/>
      <c r="V169" s="15"/>
      <c r="W169" s="15"/>
      <c r="X169" s="15"/>
      <c r="Y169" s="15"/>
      <c r="Z169" s="15"/>
    </row>
    <row r="170" spans="1:26" x14ac:dyDescent="0.25">
      <c r="A170" s="15" t="s">
        <v>14258</v>
      </c>
      <c r="B170" s="15">
        <v>169</v>
      </c>
      <c r="C170" s="15" t="s">
        <v>11277</v>
      </c>
      <c r="D170" s="15" t="s">
        <v>11277</v>
      </c>
      <c r="E170" s="15" t="s">
        <v>1067</v>
      </c>
      <c r="F170" s="15" t="s">
        <v>14250</v>
      </c>
      <c r="G170" s="15" t="s">
        <v>11340</v>
      </c>
      <c r="H170" s="15">
        <v>32</v>
      </c>
      <c r="I170" s="15">
        <v>24</v>
      </c>
      <c r="J170" s="15">
        <v>50</v>
      </c>
      <c r="K170" s="15" t="str">
        <f t="shared" si="2"/>
        <v>northbloodshore</v>
      </c>
      <c r="L170" s="15" t="s">
        <v>14088</v>
      </c>
      <c r="M170" s="15">
        <v>3</v>
      </c>
      <c r="N170" s="15" t="s">
        <v>11223</v>
      </c>
      <c r="O170" s="15"/>
      <c r="P170" s="15"/>
      <c r="Q170" s="15" t="s">
        <v>11260</v>
      </c>
      <c r="R170" s="15"/>
      <c r="S170" s="15"/>
      <c r="T170" s="15">
        <v>0</v>
      </c>
      <c r="U170" s="15"/>
      <c r="V170" s="15"/>
      <c r="W170" s="15"/>
      <c r="X170" s="15"/>
      <c r="Y170" s="15"/>
      <c r="Z170" s="15"/>
    </row>
    <row r="171" spans="1:26" x14ac:dyDescent="0.25">
      <c r="A171" s="15" t="s">
        <v>14259</v>
      </c>
      <c r="B171" s="15">
        <v>170</v>
      </c>
      <c r="C171" s="15" t="s">
        <v>11277</v>
      </c>
      <c r="D171" s="15" t="s">
        <v>11277</v>
      </c>
      <c r="E171" s="15" t="s">
        <v>1067</v>
      </c>
      <c r="F171" s="15" t="s">
        <v>14250</v>
      </c>
      <c r="G171" s="15" t="s">
        <v>11341</v>
      </c>
      <c r="H171" s="15">
        <v>32</v>
      </c>
      <c r="I171" s="15">
        <v>24</v>
      </c>
      <c r="J171" s="15">
        <v>50</v>
      </c>
      <c r="K171" s="15" t="str">
        <f t="shared" si="2"/>
        <v>northbloodshore</v>
      </c>
      <c r="L171" s="15" t="s">
        <v>11336</v>
      </c>
      <c r="M171" s="15">
        <v>3</v>
      </c>
      <c r="N171" s="15" t="s">
        <v>11223</v>
      </c>
      <c r="O171" s="15" t="s">
        <v>14011</v>
      </c>
      <c r="P171" s="15"/>
      <c r="Q171" s="15"/>
      <c r="R171" s="15"/>
      <c r="S171" s="15"/>
      <c r="T171" s="15">
        <v>3</v>
      </c>
      <c r="U171" s="15" t="s">
        <v>5893</v>
      </c>
      <c r="V171" s="15"/>
      <c r="W171" s="15"/>
      <c r="X171" s="15"/>
      <c r="Y171" s="15"/>
      <c r="Z171" s="15"/>
    </row>
    <row r="172" spans="1:26" x14ac:dyDescent="0.25">
      <c r="A172" s="15" t="s">
        <v>14260</v>
      </c>
      <c r="B172" s="15">
        <v>171</v>
      </c>
      <c r="C172" s="15" t="s">
        <v>11277</v>
      </c>
      <c r="D172" s="15" t="s">
        <v>11277</v>
      </c>
      <c r="E172" s="15" t="s">
        <v>1067</v>
      </c>
      <c r="F172" s="15" t="s">
        <v>14261</v>
      </c>
      <c r="G172" s="15" t="s">
        <v>11229</v>
      </c>
      <c r="H172" s="15">
        <v>39</v>
      </c>
      <c r="I172" s="15">
        <v>24</v>
      </c>
      <c r="J172" s="15">
        <v>4</v>
      </c>
      <c r="K172" s="15" t="str">
        <f t="shared" si="2"/>
        <v>rhotanoseaprivateerforecastle</v>
      </c>
      <c r="L172" s="15" t="s">
        <v>11233</v>
      </c>
      <c r="M172" s="15">
        <v>1</v>
      </c>
      <c r="N172" s="15" t="s">
        <v>11222</v>
      </c>
      <c r="O172" s="15"/>
      <c r="P172" s="15"/>
      <c r="Q172" s="15"/>
      <c r="R172" s="15"/>
      <c r="S172" s="15"/>
      <c r="T172" s="15">
        <v>0</v>
      </c>
      <c r="U172" s="15"/>
      <c r="V172" s="15"/>
      <c r="W172" s="15"/>
      <c r="X172" s="15"/>
      <c r="Y172" s="15"/>
      <c r="Z172" s="15"/>
    </row>
    <row r="173" spans="1:26" x14ac:dyDescent="0.25">
      <c r="A173" s="15" t="s">
        <v>14262</v>
      </c>
      <c r="B173" s="15">
        <v>172</v>
      </c>
      <c r="C173" s="15" t="s">
        <v>11277</v>
      </c>
      <c r="D173" s="15" t="s">
        <v>11277</v>
      </c>
      <c r="E173" s="15" t="s">
        <v>1067</v>
      </c>
      <c r="F173" s="15" t="s">
        <v>14261</v>
      </c>
      <c r="G173" s="15" t="s">
        <v>11231</v>
      </c>
      <c r="H173" s="15">
        <v>39</v>
      </c>
      <c r="I173" s="15">
        <v>24</v>
      </c>
      <c r="J173" s="15">
        <v>7</v>
      </c>
      <c r="K173" s="15" t="str">
        <f t="shared" si="2"/>
        <v>rhotanoseaprivateerforecastle</v>
      </c>
      <c r="L173" s="15" t="s">
        <v>11234</v>
      </c>
      <c r="M173" s="15">
        <v>2</v>
      </c>
      <c r="N173" s="15" t="s">
        <v>11223</v>
      </c>
      <c r="O173" s="15"/>
      <c r="P173" s="15"/>
      <c r="Q173" s="15"/>
      <c r="R173" s="15"/>
      <c r="S173" s="15"/>
      <c r="T173" s="15">
        <v>0</v>
      </c>
      <c r="U173" s="15"/>
      <c r="V173" s="15"/>
      <c r="W173" s="15"/>
      <c r="X173" s="15"/>
      <c r="Y173" s="15"/>
      <c r="Z173" s="15"/>
    </row>
    <row r="174" spans="1:26" x14ac:dyDescent="0.25">
      <c r="A174" s="15" t="s">
        <v>14263</v>
      </c>
      <c r="B174" s="15">
        <v>173</v>
      </c>
      <c r="C174" s="15" t="s">
        <v>11277</v>
      </c>
      <c r="D174" s="15" t="s">
        <v>11277</v>
      </c>
      <c r="E174" s="15" t="s">
        <v>1067</v>
      </c>
      <c r="F174" s="15" t="s">
        <v>14261</v>
      </c>
      <c r="G174" s="15" t="s">
        <v>11314</v>
      </c>
      <c r="H174" s="15">
        <v>39</v>
      </c>
      <c r="I174" s="15">
        <v>24</v>
      </c>
      <c r="J174" s="15">
        <v>22</v>
      </c>
      <c r="K174" s="15" t="str">
        <f t="shared" si="2"/>
        <v>rhotanoseaprivateerforecastle</v>
      </c>
      <c r="L174" s="15" t="s">
        <v>11315</v>
      </c>
      <c r="M174" s="15">
        <v>2</v>
      </c>
      <c r="N174" s="15" t="s">
        <v>11223</v>
      </c>
      <c r="O174" s="15"/>
      <c r="P174" s="15"/>
      <c r="Q174" s="15"/>
      <c r="R174" s="15"/>
      <c r="S174" s="15"/>
      <c r="T174" s="15">
        <v>0</v>
      </c>
      <c r="U174" s="15"/>
      <c r="V174" s="15"/>
      <c r="W174" s="15"/>
      <c r="X174" s="15"/>
      <c r="Y174" s="15"/>
      <c r="Z174" s="15"/>
    </row>
    <row r="175" spans="1:26" x14ac:dyDescent="0.25">
      <c r="A175" s="15" t="s">
        <v>14264</v>
      </c>
      <c r="B175" s="15">
        <v>174</v>
      </c>
      <c r="C175" s="15" t="s">
        <v>11277</v>
      </c>
      <c r="D175" s="15" t="s">
        <v>11277</v>
      </c>
      <c r="E175" s="15" t="s">
        <v>1067</v>
      </c>
      <c r="F175" s="15" t="s">
        <v>14261</v>
      </c>
      <c r="G175" s="15" t="s">
        <v>11337</v>
      </c>
      <c r="H175" s="15">
        <v>39</v>
      </c>
      <c r="I175" s="15">
        <v>24</v>
      </c>
      <c r="J175" s="15">
        <v>37</v>
      </c>
      <c r="K175" s="15" t="str">
        <f t="shared" si="2"/>
        <v>rhotanoseaprivateerforecastle</v>
      </c>
      <c r="L175" s="15" t="s">
        <v>11330</v>
      </c>
      <c r="M175" s="15">
        <v>2</v>
      </c>
      <c r="N175" s="15" t="s">
        <v>11223</v>
      </c>
      <c r="O175" s="15"/>
      <c r="P175" s="15"/>
      <c r="Q175" s="15"/>
      <c r="R175" s="15"/>
      <c r="S175" s="15"/>
      <c r="T175" s="15">
        <v>0</v>
      </c>
      <c r="U175" s="15"/>
      <c r="V175" s="15"/>
      <c r="W175" s="15"/>
      <c r="X175" s="15"/>
      <c r="Y175" s="15"/>
      <c r="Z175" s="15"/>
    </row>
    <row r="176" spans="1:26" x14ac:dyDescent="0.25">
      <c r="A176" s="15" t="s">
        <v>14265</v>
      </c>
      <c r="B176" s="15">
        <v>175</v>
      </c>
      <c r="C176" s="15" t="s">
        <v>11277</v>
      </c>
      <c r="D176" s="15" t="s">
        <v>11277</v>
      </c>
      <c r="E176" s="15" t="s">
        <v>1067</v>
      </c>
      <c r="F176" s="15" t="s">
        <v>14261</v>
      </c>
      <c r="G176" s="15" t="s">
        <v>11333</v>
      </c>
      <c r="H176" s="15">
        <v>39</v>
      </c>
      <c r="I176" s="15">
        <v>24</v>
      </c>
      <c r="J176" s="15">
        <v>32</v>
      </c>
      <c r="K176" s="15" t="str">
        <f t="shared" si="2"/>
        <v>rhotanoseaprivateerforecastle</v>
      </c>
      <c r="L176" s="15" t="s">
        <v>11334</v>
      </c>
      <c r="M176" s="15">
        <v>2</v>
      </c>
      <c r="N176" s="15" t="s">
        <v>11223</v>
      </c>
      <c r="O176" s="15"/>
      <c r="P176" s="15"/>
      <c r="Q176" s="15"/>
      <c r="R176" s="15"/>
      <c r="S176" s="15"/>
      <c r="T176" s="15">
        <v>0</v>
      </c>
      <c r="U176" s="15"/>
      <c r="V176" s="15"/>
      <c r="W176" s="15"/>
      <c r="X176" s="15"/>
      <c r="Y176" s="15"/>
      <c r="Z176" s="15"/>
    </row>
    <row r="177" spans="1:26" x14ac:dyDescent="0.25">
      <c r="A177" s="15" t="s">
        <v>14266</v>
      </c>
      <c r="B177" s="15">
        <v>176</v>
      </c>
      <c r="C177" s="15" t="s">
        <v>11277</v>
      </c>
      <c r="D177" s="15" t="s">
        <v>11277</v>
      </c>
      <c r="E177" s="15" t="s">
        <v>1067</v>
      </c>
      <c r="F177" s="15" t="s">
        <v>14261</v>
      </c>
      <c r="G177" s="15" t="s">
        <v>11338</v>
      </c>
      <c r="H177" s="15">
        <v>39</v>
      </c>
      <c r="I177" s="15">
        <v>24</v>
      </c>
      <c r="J177" s="15">
        <v>40</v>
      </c>
      <c r="K177" s="15" t="str">
        <f t="shared" si="2"/>
        <v>rhotanoseaprivateerforecastle</v>
      </c>
      <c r="L177" s="15" t="s">
        <v>11336</v>
      </c>
      <c r="M177" s="15">
        <v>1</v>
      </c>
      <c r="N177" s="15" t="s">
        <v>11222</v>
      </c>
      <c r="O177" s="15"/>
      <c r="P177" s="15"/>
      <c r="Q177" s="15"/>
      <c r="R177" s="15"/>
      <c r="S177" s="15"/>
      <c r="T177" s="15">
        <v>0</v>
      </c>
      <c r="U177" s="15"/>
      <c r="V177" s="15"/>
      <c r="W177" s="15"/>
      <c r="X177" s="15"/>
      <c r="Y177" s="15"/>
      <c r="Z177" s="15"/>
    </row>
    <row r="178" spans="1:26" x14ac:dyDescent="0.25">
      <c r="A178" s="15" t="s">
        <v>14267</v>
      </c>
      <c r="B178" s="15">
        <v>177</v>
      </c>
      <c r="C178" s="15" t="s">
        <v>11277</v>
      </c>
      <c r="D178" s="15" t="s">
        <v>11277</v>
      </c>
      <c r="E178" s="15" t="s">
        <v>1067</v>
      </c>
      <c r="F178" s="15" t="s">
        <v>14261</v>
      </c>
      <c r="G178" s="15" t="s">
        <v>11260</v>
      </c>
      <c r="H178" s="15">
        <v>39</v>
      </c>
      <c r="I178" s="15">
        <v>24</v>
      </c>
      <c r="J178" s="15">
        <v>25</v>
      </c>
      <c r="K178" s="15" t="str">
        <f t="shared" si="2"/>
        <v>rhotanoseaprivateerforecastle</v>
      </c>
      <c r="L178" s="15" t="s">
        <v>14088</v>
      </c>
      <c r="M178" s="15">
        <v>2</v>
      </c>
      <c r="N178" s="15" t="s">
        <v>11223</v>
      </c>
      <c r="O178" s="15"/>
      <c r="P178" s="15"/>
      <c r="Q178" s="15" t="s">
        <v>11231</v>
      </c>
      <c r="R178" s="15"/>
      <c r="S178" s="15"/>
      <c r="T178" s="15">
        <v>0</v>
      </c>
      <c r="U178" s="15"/>
      <c r="V178" s="15"/>
      <c r="W178" s="15"/>
      <c r="X178" s="15"/>
      <c r="Y178" s="15"/>
      <c r="Z178" s="15"/>
    </row>
    <row r="179" spans="1:26" x14ac:dyDescent="0.25">
      <c r="A179" s="15" t="s">
        <v>14268</v>
      </c>
      <c r="B179" s="15">
        <v>178</v>
      </c>
      <c r="C179" s="15" t="s">
        <v>11277</v>
      </c>
      <c r="D179" s="15" t="s">
        <v>11277</v>
      </c>
      <c r="E179" s="15" t="s">
        <v>1067</v>
      </c>
      <c r="F179" s="15" t="s">
        <v>14261</v>
      </c>
      <c r="G179" s="15" t="s">
        <v>11340</v>
      </c>
      <c r="H179" s="15">
        <v>39</v>
      </c>
      <c r="I179" s="15">
        <v>24</v>
      </c>
      <c r="J179" s="15">
        <v>50</v>
      </c>
      <c r="K179" s="15" t="str">
        <f t="shared" si="2"/>
        <v>rhotanoseaprivateerforecastle</v>
      </c>
      <c r="L179" s="15" t="s">
        <v>14088</v>
      </c>
      <c r="M179" s="15">
        <v>3</v>
      </c>
      <c r="N179" s="15" t="s">
        <v>11223</v>
      </c>
      <c r="O179" s="15"/>
      <c r="P179" s="15"/>
      <c r="Q179" s="15" t="s">
        <v>11260</v>
      </c>
      <c r="R179" s="15"/>
      <c r="S179" s="15"/>
      <c r="T179" s="15">
        <v>0</v>
      </c>
      <c r="U179" s="15"/>
      <c r="V179" s="15"/>
      <c r="W179" s="15"/>
      <c r="X179" s="15"/>
      <c r="Y179" s="15"/>
      <c r="Z179" s="15"/>
    </row>
    <row r="180" spans="1:26" x14ac:dyDescent="0.25">
      <c r="A180" s="15" t="s">
        <v>14269</v>
      </c>
      <c r="B180" s="15">
        <v>179</v>
      </c>
      <c r="C180" s="15" t="s">
        <v>11277</v>
      </c>
      <c r="D180" s="15" t="s">
        <v>11277</v>
      </c>
      <c r="E180" s="15" t="s">
        <v>1067</v>
      </c>
      <c r="F180" s="15" t="s">
        <v>14261</v>
      </c>
      <c r="G180" s="15" t="s">
        <v>11342</v>
      </c>
      <c r="H180" s="15">
        <v>39</v>
      </c>
      <c r="I180" s="15">
        <v>24</v>
      </c>
      <c r="J180" s="15">
        <v>50</v>
      </c>
      <c r="K180" s="15" t="str">
        <f t="shared" si="2"/>
        <v>rhotanoseaprivateerforecastle</v>
      </c>
      <c r="L180" s="15" t="s">
        <v>14088</v>
      </c>
      <c r="M180" s="15">
        <v>3</v>
      </c>
      <c r="N180" s="15" t="s">
        <v>11223</v>
      </c>
      <c r="O180" s="15"/>
      <c r="P180" s="15"/>
      <c r="Q180" s="15" t="s">
        <v>11260</v>
      </c>
      <c r="R180" s="15"/>
      <c r="S180" s="15"/>
      <c r="T180" s="15">
        <v>2</v>
      </c>
      <c r="U180" s="15"/>
      <c r="V180" s="15"/>
      <c r="W180" s="15"/>
      <c r="X180" s="15"/>
      <c r="Y180" s="15"/>
      <c r="Z180" s="15"/>
    </row>
    <row r="181" spans="1:26" x14ac:dyDescent="0.25">
      <c r="A181" s="15" t="s">
        <v>14270</v>
      </c>
      <c r="B181" s="15">
        <v>180</v>
      </c>
      <c r="C181" s="15" t="s">
        <v>11277</v>
      </c>
      <c r="D181" s="15" t="s">
        <v>11277</v>
      </c>
      <c r="E181" s="15" t="s">
        <v>1067</v>
      </c>
      <c r="F181" s="15" t="s">
        <v>14261</v>
      </c>
      <c r="G181" s="15" t="s">
        <v>11343</v>
      </c>
      <c r="H181" s="15">
        <v>39</v>
      </c>
      <c r="I181" s="15">
        <v>24</v>
      </c>
      <c r="J181" s="15">
        <v>50</v>
      </c>
      <c r="K181" s="15" t="str">
        <f t="shared" si="2"/>
        <v>rhotanoseaprivateerforecastle</v>
      </c>
      <c r="L181" s="15" t="s">
        <v>14088</v>
      </c>
      <c r="M181" s="15">
        <v>3</v>
      </c>
      <c r="N181" s="15" t="s">
        <v>11223</v>
      </c>
      <c r="O181" s="15"/>
      <c r="P181" s="15"/>
      <c r="Q181" s="15" t="s">
        <v>11260</v>
      </c>
      <c r="R181" s="15"/>
      <c r="S181" s="15"/>
      <c r="T181" s="15">
        <v>3</v>
      </c>
      <c r="U181" s="15" t="s">
        <v>5901</v>
      </c>
      <c r="V181" s="15" t="s">
        <v>5900</v>
      </c>
      <c r="W181" s="15"/>
      <c r="X181" s="15" t="s">
        <v>5893</v>
      </c>
      <c r="Y181" s="15"/>
      <c r="Z181" s="15"/>
    </row>
    <row r="182" spans="1:26" x14ac:dyDescent="0.25">
      <c r="A182" s="15" t="s">
        <v>14271</v>
      </c>
      <c r="B182" s="15">
        <v>181</v>
      </c>
      <c r="C182" s="15" t="s">
        <v>11277</v>
      </c>
      <c r="D182" s="15" t="s">
        <v>11277</v>
      </c>
      <c r="E182" s="15" t="s">
        <v>1067</v>
      </c>
      <c r="F182" s="15" t="s">
        <v>14272</v>
      </c>
      <c r="G182" s="15" t="s">
        <v>11227</v>
      </c>
      <c r="H182" s="15">
        <v>38</v>
      </c>
      <c r="I182" s="15">
        <v>24</v>
      </c>
      <c r="J182" s="15">
        <v>3</v>
      </c>
      <c r="K182" s="15" t="str">
        <f t="shared" si="2"/>
        <v>rhotanoseaprivateersterncastle</v>
      </c>
      <c r="L182" s="15" t="s">
        <v>11233</v>
      </c>
      <c r="M182" s="15">
        <v>1</v>
      </c>
      <c r="N182" s="15" t="s">
        <v>11222</v>
      </c>
      <c r="O182" s="15"/>
      <c r="P182" s="15"/>
      <c r="Q182" s="15"/>
      <c r="R182" s="15"/>
      <c r="S182" s="15"/>
      <c r="T182" s="15">
        <v>0</v>
      </c>
      <c r="U182" s="15"/>
      <c r="V182" s="15"/>
      <c r="W182" s="15"/>
      <c r="X182" s="15"/>
      <c r="Y182" s="15"/>
      <c r="Z182" s="15"/>
    </row>
    <row r="183" spans="1:26" x14ac:dyDescent="0.25">
      <c r="A183" s="15" t="s">
        <v>14273</v>
      </c>
      <c r="B183" s="15">
        <v>182</v>
      </c>
      <c r="C183" s="15" t="s">
        <v>11277</v>
      </c>
      <c r="D183" s="15" t="s">
        <v>11277</v>
      </c>
      <c r="E183" s="15" t="s">
        <v>1067</v>
      </c>
      <c r="F183" s="15" t="s">
        <v>14272</v>
      </c>
      <c r="G183" s="15" t="s">
        <v>11314</v>
      </c>
      <c r="H183" s="15">
        <v>38</v>
      </c>
      <c r="I183" s="15">
        <v>24</v>
      </c>
      <c r="J183" s="15">
        <v>22</v>
      </c>
      <c r="K183" s="15" t="str">
        <f t="shared" si="2"/>
        <v>rhotanoseaprivateersterncastle</v>
      </c>
      <c r="L183" s="15" t="s">
        <v>11315</v>
      </c>
      <c r="M183" s="15">
        <v>2</v>
      </c>
      <c r="N183" s="15" t="s">
        <v>11223</v>
      </c>
      <c r="O183" s="15"/>
      <c r="P183" s="15"/>
      <c r="Q183" s="15"/>
      <c r="R183" s="15"/>
      <c r="S183" s="15"/>
      <c r="T183" s="15">
        <v>0</v>
      </c>
      <c r="U183" s="15"/>
      <c r="V183" s="15"/>
      <c r="W183" s="15"/>
      <c r="X183" s="15"/>
      <c r="Y183" s="15"/>
      <c r="Z183" s="15"/>
    </row>
    <row r="184" spans="1:26" x14ac:dyDescent="0.25">
      <c r="A184" s="15" t="s">
        <v>14274</v>
      </c>
      <c r="B184" s="15">
        <v>183</v>
      </c>
      <c r="C184" s="15" t="s">
        <v>11277</v>
      </c>
      <c r="D184" s="15" t="s">
        <v>11277</v>
      </c>
      <c r="E184" s="15" t="s">
        <v>1067</v>
      </c>
      <c r="F184" s="15" t="s">
        <v>14272</v>
      </c>
      <c r="G184" s="15" t="s">
        <v>11284</v>
      </c>
      <c r="H184" s="15">
        <v>38</v>
      </c>
      <c r="I184" s="15">
        <v>24</v>
      </c>
      <c r="J184" s="15">
        <v>33</v>
      </c>
      <c r="K184" s="15" t="str">
        <f t="shared" si="2"/>
        <v>rhotanoseaprivateersterncastle</v>
      </c>
      <c r="L184" s="15" t="s">
        <v>11291</v>
      </c>
      <c r="M184" s="15">
        <v>1</v>
      </c>
      <c r="N184" s="15" t="s">
        <v>11222</v>
      </c>
      <c r="O184" s="15"/>
      <c r="P184" s="15"/>
      <c r="Q184" s="15"/>
      <c r="R184" s="15"/>
      <c r="S184" s="15"/>
      <c r="T184" s="15">
        <v>0</v>
      </c>
      <c r="U184" s="15"/>
      <c r="V184" s="15"/>
      <c r="W184" s="15"/>
      <c r="X184" s="15"/>
      <c r="Y184" s="15"/>
      <c r="Z184" s="15"/>
    </row>
    <row r="185" spans="1:26" x14ac:dyDescent="0.25">
      <c r="A185" s="15" t="s">
        <v>14275</v>
      </c>
      <c r="B185" s="15">
        <v>184</v>
      </c>
      <c r="C185" s="15" t="s">
        <v>11277</v>
      </c>
      <c r="D185" s="15" t="s">
        <v>11277</v>
      </c>
      <c r="E185" s="15" t="s">
        <v>1067</v>
      </c>
      <c r="F185" s="15" t="s">
        <v>14272</v>
      </c>
      <c r="G185" s="15" t="s">
        <v>11346</v>
      </c>
      <c r="H185" s="15">
        <v>38</v>
      </c>
      <c r="I185" s="15">
        <v>24</v>
      </c>
      <c r="J185" s="15">
        <v>50</v>
      </c>
      <c r="K185" s="15" t="str">
        <f t="shared" si="2"/>
        <v>rhotanoseaprivateersterncastle</v>
      </c>
      <c r="L185" s="15" t="s">
        <v>11291</v>
      </c>
      <c r="M185" s="15">
        <v>2</v>
      </c>
      <c r="N185" s="15" t="s">
        <v>11223</v>
      </c>
      <c r="O185" s="15" t="s">
        <v>14045</v>
      </c>
      <c r="P185" s="15"/>
      <c r="Q185" s="15"/>
      <c r="R185" s="15"/>
      <c r="S185" s="15"/>
      <c r="T185" s="15">
        <v>0</v>
      </c>
      <c r="U185" s="15"/>
      <c r="V185" s="15"/>
      <c r="W185" s="15"/>
      <c r="X185" s="15"/>
      <c r="Y185" s="15"/>
      <c r="Z185" s="15"/>
    </row>
    <row r="186" spans="1:26" x14ac:dyDescent="0.25">
      <c r="A186" s="15" t="s">
        <v>14276</v>
      </c>
      <c r="B186" s="15">
        <v>185</v>
      </c>
      <c r="C186" s="15" t="s">
        <v>11277</v>
      </c>
      <c r="D186" s="15" t="s">
        <v>11277</v>
      </c>
      <c r="E186" s="15" t="s">
        <v>1067</v>
      </c>
      <c r="F186" s="15" t="s">
        <v>14272</v>
      </c>
      <c r="G186" s="15" t="s">
        <v>11262</v>
      </c>
      <c r="H186" s="15">
        <v>38</v>
      </c>
      <c r="I186" s="15">
        <v>24</v>
      </c>
      <c r="J186" s="15">
        <v>43</v>
      </c>
      <c r="K186" s="15" t="str">
        <f t="shared" si="2"/>
        <v>rhotanoseaprivateersterncastle</v>
      </c>
      <c r="L186" s="15" t="s">
        <v>14088</v>
      </c>
      <c r="M186" s="15">
        <v>2</v>
      </c>
      <c r="N186" s="15" t="s">
        <v>11223</v>
      </c>
      <c r="O186" s="15"/>
      <c r="P186" s="15"/>
      <c r="Q186" s="15" t="s">
        <v>11227</v>
      </c>
      <c r="R186" s="15"/>
      <c r="S186" s="15"/>
      <c r="T186" s="15">
        <v>0</v>
      </c>
      <c r="U186" s="15"/>
      <c r="V186" s="15"/>
      <c r="W186" s="15"/>
      <c r="X186" s="15"/>
      <c r="Y186" s="15"/>
      <c r="Z186" s="15"/>
    </row>
    <row r="187" spans="1:26" x14ac:dyDescent="0.25">
      <c r="A187" s="15" t="s">
        <v>14277</v>
      </c>
      <c r="B187" s="15">
        <v>186</v>
      </c>
      <c r="C187" s="15" t="s">
        <v>11277</v>
      </c>
      <c r="D187" s="15" t="s">
        <v>11277</v>
      </c>
      <c r="E187" s="15" t="s">
        <v>1067</v>
      </c>
      <c r="F187" s="15" t="s">
        <v>14272</v>
      </c>
      <c r="G187" s="15" t="s">
        <v>11347</v>
      </c>
      <c r="H187" s="15">
        <v>38</v>
      </c>
      <c r="I187" s="15">
        <v>24</v>
      </c>
      <c r="J187" s="15">
        <v>50</v>
      </c>
      <c r="K187" s="15" t="str">
        <f t="shared" si="2"/>
        <v>rhotanoseaprivateersterncastle</v>
      </c>
      <c r="L187" s="15" t="s">
        <v>11291</v>
      </c>
      <c r="M187" s="15">
        <v>2</v>
      </c>
      <c r="N187" s="15" t="s">
        <v>11223</v>
      </c>
      <c r="O187" s="15"/>
      <c r="P187" s="15"/>
      <c r="Q187" s="15"/>
      <c r="R187" s="15"/>
      <c r="S187" s="15"/>
      <c r="T187" s="15">
        <v>1</v>
      </c>
      <c r="U187" s="15" t="s">
        <v>5901</v>
      </c>
      <c r="V187" s="15" t="s">
        <v>5900</v>
      </c>
      <c r="W187" s="15"/>
      <c r="X187" s="15"/>
      <c r="Y187" s="15"/>
      <c r="Z187" s="15"/>
    </row>
    <row r="188" spans="1:26" x14ac:dyDescent="0.25">
      <c r="A188" s="15" t="s">
        <v>14278</v>
      </c>
      <c r="B188" s="15">
        <v>187</v>
      </c>
      <c r="C188" s="15" t="s">
        <v>11277</v>
      </c>
      <c r="D188" s="15" t="s">
        <v>11277</v>
      </c>
      <c r="E188" s="15" t="s">
        <v>1067</v>
      </c>
      <c r="F188" s="15" t="s">
        <v>14272</v>
      </c>
      <c r="G188" s="15" t="s">
        <v>11290</v>
      </c>
      <c r="H188" s="15">
        <v>38</v>
      </c>
      <c r="I188" s="15">
        <v>24</v>
      </c>
      <c r="J188" s="15">
        <v>50</v>
      </c>
      <c r="K188" s="15" t="str">
        <f t="shared" si="2"/>
        <v>rhotanoseaprivateersterncastle</v>
      </c>
      <c r="L188" s="15" t="s">
        <v>11291</v>
      </c>
      <c r="M188" s="15">
        <v>2</v>
      </c>
      <c r="N188" s="15" t="s">
        <v>11223</v>
      </c>
      <c r="O188" s="15"/>
      <c r="P188" s="15"/>
      <c r="Q188" s="15"/>
      <c r="R188" s="15"/>
      <c r="S188" s="15"/>
      <c r="T188" s="15">
        <v>1</v>
      </c>
      <c r="U188" s="15"/>
      <c r="V188" s="15"/>
      <c r="W188" s="15"/>
      <c r="X188" s="15"/>
      <c r="Y188" s="15"/>
      <c r="Z188" s="15"/>
    </row>
    <row r="189" spans="1:26" x14ac:dyDescent="0.25">
      <c r="A189" s="15" t="s">
        <v>14279</v>
      </c>
      <c r="B189" s="15">
        <v>188</v>
      </c>
      <c r="C189" s="15" t="s">
        <v>11277</v>
      </c>
      <c r="D189" s="15" t="s">
        <v>11277</v>
      </c>
      <c r="E189" s="15" t="s">
        <v>1067</v>
      </c>
      <c r="F189" s="15" t="s">
        <v>14272</v>
      </c>
      <c r="G189" s="15" t="s">
        <v>11348</v>
      </c>
      <c r="H189" s="15">
        <v>38</v>
      </c>
      <c r="I189" s="15">
        <v>24</v>
      </c>
      <c r="J189" s="15">
        <v>50</v>
      </c>
      <c r="K189" s="15" t="str">
        <f t="shared" si="2"/>
        <v>rhotanoseaprivateersterncastle</v>
      </c>
      <c r="L189" s="15" t="s">
        <v>14088</v>
      </c>
      <c r="M189" s="15">
        <v>3</v>
      </c>
      <c r="N189" s="15" t="s">
        <v>11223</v>
      </c>
      <c r="O189" s="15"/>
      <c r="P189" s="15"/>
      <c r="Q189" s="15" t="s">
        <v>11348</v>
      </c>
      <c r="R189" s="15"/>
      <c r="S189" s="15"/>
      <c r="T189" s="15">
        <v>2</v>
      </c>
      <c r="U189" s="15"/>
      <c r="V189" s="15"/>
      <c r="W189" s="15"/>
      <c r="X189" s="15"/>
      <c r="Y189" s="15"/>
      <c r="Z189" s="15"/>
    </row>
    <row r="190" spans="1:26" x14ac:dyDescent="0.25">
      <c r="A190" s="15" t="s">
        <v>14280</v>
      </c>
      <c r="B190" s="15">
        <v>189</v>
      </c>
      <c r="C190" s="15" t="s">
        <v>11277</v>
      </c>
      <c r="D190" s="15" t="s">
        <v>11277</v>
      </c>
      <c r="E190" s="15" t="s">
        <v>1067</v>
      </c>
      <c r="F190" s="15" t="s">
        <v>14272</v>
      </c>
      <c r="G190" s="15" t="s">
        <v>11349</v>
      </c>
      <c r="H190" s="15">
        <v>38</v>
      </c>
      <c r="I190" s="15">
        <v>24</v>
      </c>
      <c r="J190" s="15">
        <v>50</v>
      </c>
      <c r="K190" s="15" t="str">
        <f t="shared" si="2"/>
        <v>rhotanoseaprivateersterncastle</v>
      </c>
      <c r="L190" s="15" t="s">
        <v>14088</v>
      </c>
      <c r="M190" s="15">
        <v>3</v>
      </c>
      <c r="N190" s="15" t="s">
        <v>11223</v>
      </c>
      <c r="O190" s="15"/>
      <c r="P190" s="15"/>
      <c r="Q190" s="15" t="s">
        <v>11262</v>
      </c>
      <c r="R190" s="15"/>
      <c r="S190" s="15"/>
      <c r="T190" s="15">
        <v>1</v>
      </c>
      <c r="U190" s="15"/>
      <c r="V190" s="15"/>
      <c r="W190" s="15"/>
      <c r="X190" s="15"/>
      <c r="Y190" s="15"/>
      <c r="Z190" s="15"/>
    </row>
    <row r="191" spans="1:26" x14ac:dyDescent="0.25">
      <c r="A191" s="15" t="s">
        <v>14281</v>
      </c>
      <c r="B191" s="15">
        <v>190</v>
      </c>
      <c r="C191" s="15" t="s">
        <v>11277</v>
      </c>
      <c r="D191" s="15" t="s">
        <v>11277</v>
      </c>
      <c r="E191" s="15" t="s">
        <v>1067</v>
      </c>
      <c r="F191" s="15" t="s">
        <v>14272</v>
      </c>
      <c r="G191" s="15" t="s">
        <v>11350</v>
      </c>
      <c r="H191" s="15">
        <v>38</v>
      </c>
      <c r="I191" s="15">
        <v>24</v>
      </c>
      <c r="J191" s="15">
        <v>50</v>
      </c>
      <c r="K191" s="15" t="str">
        <f t="shared" si="2"/>
        <v>rhotanoseaprivateersterncastle</v>
      </c>
      <c r="L191" s="15" t="s">
        <v>11291</v>
      </c>
      <c r="M191" s="15">
        <v>3</v>
      </c>
      <c r="N191" s="15" t="s">
        <v>11223</v>
      </c>
      <c r="O191" s="15"/>
      <c r="P191" s="15" t="s">
        <v>14282</v>
      </c>
      <c r="Q191" s="15"/>
      <c r="R191" s="15"/>
      <c r="S191" s="15"/>
      <c r="T191" s="15">
        <v>3</v>
      </c>
      <c r="U191" s="15" t="s">
        <v>5901</v>
      </c>
      <c r="V191" s="15" t="s">
        <v>5900</v>
      </c>
      <c r="W191" s="15"/>
      <c r="X191" s="15"/>
      <c r="Y191" s="15"/>
      <c r="Z191" s="15"/>
    </row>
    <row r="192" spans="1:26" x14ac:dyDescent="0.25">
      <c r="A192" s="15" t="s">
        <v>14283</v>
      </c>
      <c r="B192" s="15">
        <v>191</v>
      </c>
      <c r="C192" s="15" t="s">
        <v>11277</v>
      </c>
      <c r="D192" s="15" t="s">
        <v>11277</v>
      </c>
      <c r="E192" s="15" t="s">
        <v>1067</v>
      </c>
      <c r="F192" s="15" t="s">
        <v>14284</v>
      </c>
      <c r="G192" s="15" t="s">
        <v>11270</v>
      </c>
      <c r="H192" s="15">
        <v>20</v>
      </c>
      <c r="I192" s="15">
        <v>25</v>
      </c>
      <c r="J192" s="15">
        <v>20</v>
      </c>
      <c r="K192" s="15" t="str">
        <f t="shared" si="2"/>
        <v>eastagelyssriver</v>
      </c>
      <c r="L192" s="15" t="s">
        <v>11271</v>
      </c>
      <c r="M192" s="15">
        <v>1</v>
      </c>
      <c r="N192" s="15" t="s">
        <v>11222</v>
      </c>
      <c r="O192" s="15"/>
      <c r="P192" s="15"/>
      <c r="Q192" s="15"/>
      <c r="R192" s="15"/>
      <c r="S192" s="15"/>
      <c r="T192" s="15">
        <v>0</v>
      </c>
      <c r="U192" s="15"/>
      <c r="V192" s="15"/>
      <c r="W192" s="15"/>
      <c r="X192" s="15"/>
      <c r="Y192" s="15"/>
      <c r="Z192" s="15"/>
    </row>
    <row r="193" spans="1:26" x14ac:dyDescent="0.25">
      <c r="A193" s="15" t="s">
        <v>14285</v>
      </c>
      <c r="B193" s="15">
        <v>192</v>
      </c>
      <c r="C193" s="15" t="s">
        <v>11277</v>
      </c>
      <c r="D193" s="15" t="s">
        <v>11277</v>
      </c>
      <c r="E193" s="15" t="s">
        <v>1067</v>
      </c>
      <c r="F193" s="15" t="s">
        <v>14284</v>
      </c>
      <c r="G193" s="15" t="s">
        <v>11357</v>
      </c>
      <c r="H193" s="15">
        <v>20</v>
      </c>
      <c r="I193" s="15">
        <v>25</v>
      </c>
      <c r="J193" s="15">
        <v>29</v>
      </c>
      <c r="K193" s="15" t="str">
        <f t="shared" si="2"/>
        <v>eastagelyssriver</v>
      </c>
      <c r="L193" s="15" t="s">
        <v>14088</v>
      </c>
      <c r="M193" s="15">
        <v>1</v>
      </c>
      <c r="N193" s="15" t="s">
        <v>11222</v>
      </c>
      <c r="O193" s="15"/>
      <c r="P193" s="15"/>
      <c r="Q193" s="15" t="s">
        <v>11270</v>
      </c>
      <c r="R193" s="15"/>
      <c r="S193" s="15"/>
      <c r="T193" s="15">
        <v>0</v>
      </c>
      <c r="U193" s="15"/>
      <c r="V193" s="15"/>
      <c r="W193" s="15"/>
      <c r="X193" s="15"/>
      <c r="Y193" s="15"/>
      <c r="Z193" s="15"/>
    </row>
    <row r="194" spans="1:26" x14ac:dyDescent="0.25">
      <c r="A194" s="15" t="s">
        <v>14286</v>
      </c>
      <c r="B194" s="15">
        <v>193</v>
      </c>
      <c r="C194" s="15" t="s">
        <v>11277</v>
      </c>
      <c r="D194" s="15" t="s">
        <v>11277</v>
      </c>
      <c r="E194" s="15" t="s">
        <v>1067</v>
      </c>
      <c r="F194" s="15" t="s">
        <v>14284</v>
      </c>
      <c r="G194" s="15" t="s">
        <v>11358</v>
      </c>
      <c r="H194" s="15">
        <v>20</v>
      </c>
      <c r="I194" s="15">
        <v>25</v>
      </c>
      <c r="J194" s="15">
        <v>33</v>
      </c>
      <c r="K194" s="15" t="str">
        <f t="shared" ref="K194:K257" si="3">LOWER(SUBSTITUTE(SUBSTITUTE(SUBSTITUTE(SUBSTITUTE(SUBSTITUTE(F194," ",""),"(",""),")",""),"'",""),"-",""))</f>
        <v>eastagelyssriver</v>
      </c>
      <c r="L194" s="15" t="s">
        <v>14088</v>
      </c>
      <c r="M194" s="15">
        <v>1</v>
      </c>
      <c r="N194" s="15" t="s">
        <v>11222</v>
      </c>
      <c r="O194" s="15"/>
      <c r="P194" s="15"/>
      <c r="Q194" s="15" t="s">
        <v>11270</v>
      </c>
      <c r="R194" s="15"/>
      <c r="S194" s="15"/>
      <c r="T194" s="15">
        <v>0</v>
      </c>
      <c r="U194" s="15"/>
      <c r="V194" s="15"/>
      <c r="W194" s="15"/>
      <c r="X194" s="15"/>
      <c r="Y194" s="15"/>
      <c r="Z194" s="15"/>
    </row>
    <row r="195" spans="1:26" x14ac:dyDescent="0.25">
      <c r="A195" s="15" t="s">
        <v>14287</v>
      </c>
      <c r="B195" s="15">
        <v>194</v>
      </c>
      <c r="C195" s="15" t="s">
        <v>11277</v>
      </c>
      <c r="D195" s="15" t="s">
        <v>11277</v>
      </c>
      <c r="E195" s="15" t="s">
        <v>1067</v>
      </c>
      <c r="F195" s="15" t="s">
        <v>14284</v>
      </c>
      <c r="G195" s="15" t="s">
        <v>11352</v>
      </c>
      <c r="H195" s="15">
        <v>20</v>
      </c>
      <c r="I195" s="15">
        <v>25</v>
      </c>
      <c r="J195" s="15">
        <v>34</v>
      </c>
      <c r="K195" s="15" t="str">
        <f t="shared" si="3"/>
        <v>eastagelyssriver</v>
      </c>
      <c r="L195" s="15" t="s">
        <v>11323</v>
      </c>
      <c r="M195" s="15">
        <v>1</v>
      </c>
      <c r="N195" s="15" t="s">
        <v>11222</v>
      </c>
      <c r="O195" s="15"/>
      <c r="P195" s="15"/>
      <c r="Q195" s="15"/>
      <c r="R195" s="15"/>
      <c r="S195" s="15"/>
      <c r="T195" s="15">
        <v>0</v>
      </c>
      <c r="U195" s="15"/>
      <c r="V195" s="15"/>
      <c r="W195" s="15"/>
      <c r="X195" s="15"/>
      <c r="Y195" s="15"/>
      <c r="Z195" s="15"/>
    </row>
    <row r="196" spans="1:26" x14ac:dyDescent="0.25">
      <c r="A196" s="15" t="s">
        <v>14288</v>
      </c>
      <c r="B196" s="15">
        <v>195</v>
      </c>
      <c r="C196" s="15" t="s">
        <v>11277</v>
      </c>
      <c r="D196" s="15" t="s">
        <v>11277</v>
      </c>
      <c r="E196" s="15" t="s">
        <v>1067</v>
      </c>
      <c r="F196" s="15" t="s">
        <v>14284</v>
      </c>
      <c r="G196" s="15" t="s">
        <v>11354</v>
      </c>
      <c r="H196" s="15">
        <v>20</v>
      </c>
      <c r="I196" s="15">
        <v>25</v>
      </c>
      <c r="J196" s="15">
        <v>40</v>
      </c>
      <c r="K196" s="15" t="str">
        <f t="shared" si="3"/>
        <v>eastagelyssriver</v>
      </c>
      <c r="L196" s="15" t="s">
        <v>11355</v>
      </c>
      <c r="M196" s="15">
        <v>2</v>
      </c>
      <c r="N196" s="15" t="s">
        <v>11223</v>
      </c>
      <c r="O196" s="15"/>
      <c r="P196" s="15"/>
      <c r="Q196" s="15"/>
      <c r="R196" s="15"/>
      <c r="S196" s="15"/>
      <c r="T196" s="15">
        <v>0</v>
      </c>
      <c r="U196" s="15"/>
      <c r="V196" s="15"/>
      <c r="W196" s="15"/>
      <c r="X196" s="15"/>
      <c r="Y196" s="15"/>
      <c r="Z196" s="15"/>
    </row>
    <row r="197" spans="1:26" x14ac:dyDescent="0.25">
      <c r="A197" s="15" t="s">
        <v>14289</v>
      </c>
      <c r="B197" s="15">
        <v>196</v>
      </c>
      <c r="C197" s="15" t="s">
        <v>11277</v>
      </c>
      <c r="D197" s="15" t="s">
        <v>11277</v>
      </c>
      <c r="E197" s="15" t="s">
        <v>1067</v>
      </c>
      <c r="F197" s="15" t="s">
        <v>14284</v>
      </c>
      <c r="G197" s="15" t="s">
        <v>11359</v>
      </c>
      <c r="H197" s="15">
        <v>20</v>
      </c>
      <c r="I197" s="15">
        <v>25</v>
      </c>
      <c r="J197" s="15">
        <v>42</v>
      </c>
      <c r="K197" s="15" t="str">
        <f t="shared" si="3"/>
        <v>eastagelyssriver</v>
      </c>
      <c r="L197" s="15" t="s">
        <v>11360</v>
      </c>
      <c r="M197" s="15">
        <v>2</v>
      </c>
      <c r="N197" s="15" t="s">
        <v>11223</v>
      </c>
      <c r="O197" s="15"/>
      <c r="P197" s="15"/>
      <c r="Q197" s="15"/>
      <c r="R197" s="15"/>
      <c r="S197" s="15"/>
      <c r="T197" s="15">
        <v>0</v>
      </c>
      <c r="U197" s="15"/>
      <c r="V197" s="15"/>
      <c r="W197" s="15"/>
      <c r="X197" s="15"/>
      <c r="Y197" s="15"/>
      <c r="Z197" s="15"/>
    </row>
    <row r="198" spans="1:26" x14ac:dyDescent="0.25">
      <c r="A198" s="15" t="s">
        <v>14290</v>
      </c>
      <c r="B198" s="15">
        <v>197</v>
      </c>
      <c r="C198" s="15" t="s">
        <v>11277</v>
      </c>
      <c r="D198" s="15" t="s">
        <v>11277</v>
      </c>
      <c r="E198" s="15" t="s">
        <v>1067</v>
      </c>
      <c r="F198" s="15" t="s">
        <v>14284</v>
      </c>
      <c r="G198" s="15" t="s">
        <v>11361</v>
      </c>
      <c r="H198" s="15">
        <v>20</v>
      </c>
      <c r="I198" s="15">
        <v>25</v>
      </c>
      <c r="J198" s="15">
        <v>45</v>
      </c>
      <c r="K198" s="15" t="str">
        <f t="shared" si="3"/>
        <v>eastagelyssriver</v>
      </c>
      <c r="L198" s="15" t="s">
        <v>11356</v>
      </c>
      <c r="M198" s="15">
        <v>1</v>
      </c>
      <c r="N198" s="15" t="s">
        <v>11222</v>
      </c>
      <c r="O198" s="15"/>
      <c r="P198" s="15"/>
      <c r="Q198" s="15"/>
      <c r="R198" s="15"/>
      <c r="S198" s="15"/>
      <c r="T198" s="15">
        <v>0</v>
      </c>
      <c r="U198" s="15" t="s">
        <v>5893</v>
      </c>
      <c r="V198" s="15"/>
      <c r="W198" s="15"/>
      <c r="X198" s="15"/>
      <c r="Y198" s="15"/>
      <c r="Z198" s="15"/>
    </row>
    <row r="199" spans="1:26" x14ac:dyDescent="0.25">
      <c r="A199" s="15" t="s">
        <v>14291</v>
      </c>
      <c r="B199" s="15">
        <v>198</v>
      </c>
      <c r="C199" s="15" t="s">
        <v>11277</v>
      </c>
      <c r="D199" s="15" t="s">
        <v>11277</v>
      </c>
      <c r="E199" s="15" t="s">
        <v>1067</v>
      </c>
      <c r="F199" s="15" t="s">
        <v>14284</v>
      </c>
      <c r="G199" s="15" t="s">
        <v>11362</v>
      </c>
      <c r="H199" s="15">
        <v>20</v>
      </c>
      <c r="I199" s="15">
        <v>25</v>
      </c>
      <c r="J199" s="15">
        <v>46</v>
      </c>
      <c r="K199" s="15" t="str">
        <f t="shared" si="3"/>
        <v>eastagelyssriver</v>
      </c>
      <c r="L199" s="15" t="s">
        <v>11363</v>
      </c>
      <c r="M199" s="15">
        <v>2</v>
      </c>
      <c r="N199" s="15" t="s">
        <v>11223</v>
      </c>
      <c r="O199" s="15"/>
      <c r="P199" s="15"/>
      <c r="Q199" s="15"/>
      <c r="R199" s="15"/>
      <c r="S199" s="15"/>
      <c r="T199" s="15">
        <v>0</v>
      </c>
      <c r="U199" s="15"/>
      <c r="V199" s="15"/>
      <c r="W199" s="15"/>
      <c r="X199" s="15"/>
      <c r="Y199" s="15"/>
      <c r="Z199" s="15"/>
    </row>
    <row r="200" spans="1:26" x14ac:dyDescent="0.25">
      <c r="A200" s="15" t="s">
        <v>14292</v>
      </c>
      <c r="B200" s="15">
        <v>199</v>
      </c>
      <c r="C200" s="15" t="s">
        <v>11277</v>
      </c>
      <c r="D200" s="15" t="s">
        <v>11277</v>
      </c>
      <c r="E200" s="15" t="s">
        <v>1067</v>
      </c>
      <c r="F200" s="15" t="s">
        <v>14284</v>
      </c>
      <c r="G200" s="15" t="s">
        <v>11364</v>
      </c>
      <c r="H200" s="15">
        <v>20</v>
      </c>
      <c r="I200" s="15">
        <v>25</v>
      </c>
      <c r="J200" s="15">
        <v>50</v>
      </c>
      <c r="K200" s="15" t="str">
        <f t="shared" si="3"/>
        <v>eastagelyssriver</v>
      </c>
      <c r="L200" s="15" t="s">
        <v>11356</v>
      </c>
      <c r="M200" s="15">
        <v>3</v>
      </c>
      <c r="N200" s="15" t="s">
        <v>11223</v>
      </c>
      <c r="O200" s="15"/>
      <c r="P200" s="15"/>
      <c r="Q200" s="15"/>
      <c r="R200" s="15"/>
      <c r="S200" s="15"/>
      <c r="T200" s="15">
        <v>3</v>
      </c>
      <c r="U200" s="15" t="s">
        <v>5893</v>
      </c>
      <c r="V200" s="15" t="s">
        <v>5892</v>
      </c>
      <c r="W200" s="15"/>
      <c r="X200" s="15"/>
      <c r="Y200" s="15"/>
      <c r="Z200" s="15"/>
    </row>
    <row r="201" spans="1:26" x14ac:dyDescent="0.25">
      <c r="A201" s="15" t="s">
        <v>14293</v>
      </c>
      <c r="B201" s="15">
        <v>200</v>
      </c>
      <c r="C201" s="15" t="s">
        <v>11277</v>
      </c>
      <c r="D201" s="15" t="s">
        <v>11277</v>
      </c>
      <c r="E201" s="15" t="s">
        <v>1067</v>
      </c>
      <c r="F201" s="15" t="s">
        <v>1153</v>
      </c>
      <c r="G201" s="15" t="s">
        <v>11270</v>
      </c>
      <c r="H201" s="15">
        <v>20</v>
      </c>
      <c r="I201" s="15">
        <v>30</v>
      </c>
      <c r="J201" s="15">
        <v>20</v>
      </c>
      <c r="K201" s="15" t="str">
        <f t="shared" si="3"/>
        <v>raincatchergully</v>
      </c>
      <c r="L201" s="15" t="s">
        <v>11271</v>
      </c>
      <c r="M201" s="15">
        <v>1</v>
      </c>
      <c r="N201" s="15" t="s">
        <v>11222</v>
      </c>
      <c r="O201" s="15"/>
      <c r="P201" s="15"/>
      <c r="Q201" s="15"/>
      <c r="R201" s="15"/>
      <c r="S201" s="15"/>
      <c r="T201" s="15">
        <v>0</v>
      </c>
      <c r="U201" s="15"/>
      <c r="V201" s="15"/>
      <c r="W201" s="15"/>
      <c r="X201" s="15"/>
      <c r="Y201" s="15"/>
      <c r="Z201" s="15"/>
    </row>
    <row r="202" spans="1:26" x14ac:dyDescent="0.25">
      <c r="A202" s="15" t="s">
        <v>14294</v>
      </c>
      <c r="B202" s="15">
        <v>201</v>
      </c>
      <c r="C202" s="15" t="s">
        <v>11277</v>
      </c>
      <c r="D202" s="15" t="s">
        <v>11277</v>
      </c>
      <c r="E202" s="15" t="s">
        <v>1067</v>
      </c>
      <c r="F202" s="15" t="s">
        <v>1153</v>
      </c>
      <c r="G202" s="15" t="s">
        <v>11357</v>
      </c>
      <c r="H202" s="15">
        <v>20</v>
      </c>
      <c r="I202" s="15">
        <v>30</v>
      </c>
      <c r="J202" s="15">
        <v>29</v>
      </c>
      <c r="K202" s="15" t="str">
        <f t="shared" si="3"/>
        <v>raincatchergully</v>
      </c>
      <c r="L202" s="15" t="s">
        <v>14088</v>
      </c>
      <c r="M202" s="15">
        <v>1</v>
      </c>
      <c r="N202" s="15" t="s">
        <v>11222</v>
      </c>
      <c r="O202" s="15"/>
      <c r="P202" s="15"/>
      <c r="Q202" s="15" t="s">
        <v>11270</v>
      </c>
      <c r="R202" s="15"/>
      <c r="S202" s="15"/>
      <c r="T202" s="15">
        <v>0</v>
      </c>
      <c r="U202" s="15"/>
      <c r="V202" s="15"/>
      <c r="W202" s="15"/>
      <c r="X202" s="15"/>
      <c r="Y202" s="15"/>
      <c r="Z202" s="15"/>
    </row>
    <row r="203" spans="1:26" x14ac:dyDescent="0.25">
      <c r="A203" s="15" t="s">
        <v>14295</v>
      </c>
      <c r="B203" s="15">
        <v>202</v>
      </c>
      <c r="C203" s="15" t="s">
        <v>11277</v>
      </c>
      <c r="D203" s="15" t="s">
        <v>11277</v>
      </c>
      <c r="E203" s="15" t="s">
        <v>1067</v>
      </c>
      <c r="F203" s="15" t="s">
        <v>1153</v>
      </c>
      <c r="G203" s="15" t="s">
        <v>11352</v>
      </c>
      <c r="H203" s="15">
        <v>20</v>
      </c>
      <c r="I203" s="15">
        <v>30</v>
      </c>
      <c r="J203" s="15">
        <v>34</v>
      </c>
      <c r="K203" s="15" t="str">
        <f t="shared" si="3"/>
        <v>raincatchergully</v>
      </c>
      <c r="L203" s="15" t="s">
        <v>11323</v>
      </c>
      <c r="M203" s="15">
        <v>1</v>
      </c>
      <c r="N203" s="15" t="s">
        <v>11222</v>
      </c>
      <c r="O203" s="15"/>
      <c r="P203" s="15"/>
      <c r="Q203" s="15"/>
      <c r="R203" s="15"/>
      <c r="S203" s="15"/>
      <c r="T203" s="15">
        <v>0</v>
      </c>
      <c r="U203" s="15"/>
      <c r="V203" s="15"/>
      <c r="W203" s="15"/>
      <c r="X203" s="15"/>
      <c r="Y203" s="15"/>
      <c r="Z203" s="15"/>
    </row>
    <row r="204" spans="1:26" x14ac:dyDescent="0.25">
      <c r="A204" s="15" t="s">
        <v>14296</v>
      </c>
      <c r="B204" s="15">
        <v>203</v>
      </c>
      <c r="C204" s="15" t="s">
        <v>11277</v>
      </c>
      <c r="D204" s="15" t="s">
        <v>11277</v>
      </c>
      <c r="E204" s="15" t="s">
        <v>1067</v>
      </c>
      <c r="F204" s="15" t="s">
        <v>1153</v>
      </c>
      <c r="G204" s="15" t="s">
        <v>11365</v>
      </c>
      <c r="H204" s="15">
        <v>20</v>
      </c>
      <c r="I204" s="15">
        <v>30</v>
      </c>
      <c r="J204" s="15">
        <v>37</v>
      </c>
      <c r="K204" s="15" t="str">
        <f t="shared" si="3"/>
        <v>raincatchergully</v>
      </c>
      <c r="L204" s="15" t="s">
        <v>11268</v>
      </c>
      <c r="M204" s="15">
        <v>2</v>
      </c>
      <c r="N204" s="15" t="s">
        <v>11223</v>
      </c>
      <c r="O204" s="15"/>
      <c r="P204" s="15"/>
      <c r="Q204" s="15"/>
      <c r="R204" s="15"/>
      <c r="S204" s="15"/>
      <c r="T204" s="15">
        <v>0</v>
      </c>
      <c r="U204" s="15"/>
      <c r="V204" s="15"/>
      <c r="W204" s="15"/>
      <c r="X204" s="15"/>
      <c r="Y204" s="15"/>
      <c r="Z204" s="15"/>
    </row>
    <row r="205" spans="1:26" x14ac:dyDescent="0.25">
      <c r="A205" s="15" t="s">
        <v>14297</v>
      </c>
      <c r="B205" s="15">
        <v>204</v>
      </c>
      <c r="C205" s="15" t="s">
        <v>11277</v>
      </c>
      <c r="D205" s="15" t="s">
        <v>11277</v>
      </c>
      <c r="E205" s="15" t="s">
        <v>1067</v>
      </c>
      <c r="F205" s="15" t="s">
        <v>1153</v>
      </c>
      <c r="G205" s="15" t="s">
        <v>11354</v>
      </c>
      <c r="H205" s="15">
        <v>20</v>
      </c>
      <c r="I205" s="15">
        <v>30</v>
      </c>
      <c r="J205" s="15">
        <v>40</v>
      </c>
      <c r="K205" s="15" t="str">
        <f t="shared" si="3"/>
        <v>raincatchergully</v>
      </c>
      <c r="L205" s="15" t="s">
        <v>11355</v>
      </c>
      <c r="M205" s="15">
        <v>2</v>
      </c>
      <c r="N205" s="15" t="s">
        <v>11223</v>
      </c>
      <c r="O205" s="15"/>
      <c r="P205" s="15"/>
      <c r="Q205" s="15"/>
      <c r="R205" s="15"/>
      <c r="S205" s="15"/>
      <c r="T205" s="15">
        <v>0</v>
      </c>
      <c r="U205" s="15"/>
      <c r="V205" s="15"/>
      <c r="W205" s="15"/>
      <c r="X205" s="15"/>
      <c r="Y205" s="15"/>
      <c r="Z205" s="15"/>
    </row>
    <row r="206" spans="1:26" x14ac:dyDescent="0.25">
      <c r="A206" s="15" t="s">
        <v>14298</v>
      </c>
      <c r="B206" s="15">
        <v>205</v>
      </c>
      <c r="C206" s="15" t="s">
        <v>11277</v>
      </c>
      <c r="D206" s="15" t="s">
        <v>11277</v>
      </c>
      <c r="E206" s="15" t="s">
        <v>1067</v>
      </c>
      <c r="F206" s="15" t="s">
        <v>1153</v>
      </c>
      <c r="G206" s="15" t="s">
        <v>11359</v>
      </c>
      <c r="H206" s="15">
        <v>20</v>
      </c>
      <c r="I206" s="15">
        <v>30</v>
      </c>
      <c r="J206" s="15">
        <v>42</v>
      </c>
      <c r="K206" s="15" t="str">
        <f t="shared" si="3"/>
        <v>raincatchergully</v>
      </c>
      <c r="L206" s="15" t="s">
        <v>11360</v>
      </c>
      <c r="M206" s="15">
        <v>2</v>
      </c>
      <c r="N206" s="15" t="s">
        <v>11223</v>
      </c>
      <c r="O206" s="15"/>
      <c r="P206" s="15"/>
      <c r="Q206" s="15"/>
      <c r="R206" s="15"/>
      <c r="S206" s="15"/>
      <c r="T206" s="15">
        <v>0</v>
      </c>
      <c r="U206" s="15"/>
      <c r="V206" s="15"/>
      <c r="W206" s="15"/>
      <c r="X206" s="15"/>
      <c r="Y206" s="15"/>
      <c r="Z206" s="15"/>
    </row>
    <row r="207" spans="1:26" x14ac:dyDescent="0.25">
      <c r="A207" s="15" t="s">
        <v>14299</v>
      </c>
      <c r="B207" s="15">
        <v>206</v>
      </c>
      <c r="C207" s="15" t="s">
        <v>11277</v>
      </c>
      <c r="D207" s="15" t="s">
        <v>11277</v>
      </c>
      <c r="E207" s="15" t="s">
        <v>1067</v>
      </c>
      <c r="F207" s="15" t="s">
        <v>1153</v>
      </c>
      <c r="G207" s="15" t="s">
        <v>11366</v>
      </c>
      <c r="H207" s="15">
        <v>20</v>
      </c>
      <c r="I207" s="15">
        <v>30</v>
      </c>
      <c r="J207" s="15">
        <v>42</v>
      </c>
      <c r="K207" s="15" t="str">
        <f t="shared" si="3"/>
        <v>raincatchergully</v>
      </c>
      <c r="L207" s="15" t="s">
        <v>11367</v>
      </c>
      <c r="M207" s="15">
        <v>2</v>
      </c>
      <c r="N207" s="15" t="s">
        <v>11223</v>
      </c>
      <c r="O207" s="15"/>
      <c r="P207" s="15"/>
      <c r="Q207" s="15"/>
      <c r="R207" s="15"/>
      <c r="S207" s="15"/>
      <c r="T207" s="15">
        <v>0</v>
      </c>
      <c r="U207" s="15" t="s">
        <v>5901</v>
      </c>
      <c r="V207" s="15" t="s">
        <v>5900</v>
      </c>
      <c r="W207" s="15"/>
      <c r="X207" s="15"/>
      <c r="Y207" s="15"/>
      <c r="Z207" s="15"/>
    </row>
    <row r="208" spans="1:26" x14ac:dyDescent="0.25">
      <c r="A208" s="15" t="s">
        <v>14300</v>
      </c>
      <c r="B208" s="15">
        <v>207</v>
      </c>
      <c r="C208" s="15" t="s">
        <v>11277</v>
      </c>
      <c r="D208" s="15" t="s">
        <v>11277</v>
      </c>
      <c r="E208" s="15" t="s">
        <v>1067</v>
      </c>
      <c r="F208" s="15" t="s">
        <v>1153</v>
      </c>
      <c r="G208" s="15" t="s">
        <v>11361</v>
      </c>
      <c r="H208" s="15">
        <v>20</v>
      </c>
      <c r="I208" s="15">
        <v>30</v>
      </c>
      <c r="J208" s="15">
        <v>45</v>
      </c>
      <c r="K208" s="15" t="str">
        <f t="shared" si="3"/>
        <v>raincatchergully</v>
      </c>
      <c r="L208" s="15" t="s">
        <v>11356</v>
      </c>
      <c r="M208" s="15">
        <v>1</v>
      </c>
      <c r="N208" s="15" t="s">
        <v>11222</v>
      </c>
      <c r="O208" s="15"/>
      <c r="P208" s="15"/>
      <c r="Q208" s="15"/>
      <c r="R208" s="15"/>
      <c r="S208" s="15"/>
      <c r="T208" s="15">
        <v>0</v>
      </c>
      <c r="U208" s="15" t="s">
        <v>5893</v>
      </c>
      <c r="V208" s="15"/>
      <c r="W208" s="15"/>
      <c r="X208" s="15"/>
      <c r="Y208" s="15"/>
      <c r="Z208" s="15"/>
    </row>
    <row r="209" spans="1:26" x14ac:dyDescent="0.25">
      <c r="A209" s="15" t="s">
        <v>14301</v>
      </c>
      <c r="B209" s="15">
        <v>208</v>
      </c>
      <c r="C209" s="15" t="s">
        <v>11277</v>
      </c>
      <c r="D209" s="15" t="s">
        <v>11277</v>
      </c>
      <c r="E209" s="15" t="s">
        <v>1067</v>
      </c>
      <c r="F209" s="15" t="s">
        <v>1153</v>
      </c>
      <c r="G209" s="15" t="s">
        <v>11362</v>
      </c>
      <c r="H209" s="15">
        <v>20</v>
      </c>
      <c r="I209" s="15">
        <v>30</v>
      </c>
      <c r="J209" s="15">
        <v>46</v>
      </c>
      <c r="K209" s="15" t="str">
        <f t="shared" si="3"/>
        <v>raincatchergully</v>
      </c>
      <c r="L209" s="15" t="s">
        <v>11363</v>
      </c>
      <c r="M209" s="15">
        <v>2</v>
      </c>
      <c r="N209" s="15" t="s">
        <v>11223</v>
      </c>
      <c r="O209" s="15"/>
      <c r="P209" s="15"/>
      <c r="Q209" s="15"/>
      <c r="R209" s="15"/>
      <c r="S209" s="15"/>
      <c r="T209" s="15">
        <v>0</v>
      </c>
      <c r="U209" s="15"/>
      <c r="V209" s="15"/>
      <c r="W209" s="15"/>
      <c r="X209" s="15"/>
      <c r="Y209" s="15"/>
      <c r="Z209" s="15"/>
    </row>
    <row r="210" spans="1:26" x14ac:dyDescent="0.25">
      <c r="A210" s="15" t="s">
        <v>14302</v>
      </c>
      <c r="B210" s="15">
        <v>209</v>
      </c>
      <c r="C210" s="15" t="s">
        <v>11277</v>
      </c>
      <c r="D210" s="15" t="s">
        <v>11277</v>
      </c>
      <c r="E210" s="15" t="s">
        <v>1067</v>
      </c>
      <c r="F210" s="15" t="s">
        <v>1153</v>
      </c>
      <c r="G210" s="15" t="s">
        <v>11368</v>
      </c>
      <c r="H210" s="15">
        <v>20</v>
      </c>
      <c r="I210" s="15">
        <v>30</v>
      </c>
      <c r="J210" s="15">
        <v>50</v>
      </c>
      <c r="K210" s="15" t="str">
        <f t="shared" si="3"/>
        <v>raincatchergully</v>
      </c>
      <c r="L210" s="15" t="s">
        <v>11355</v>
      </c>
      <c r="M210" s="15">
        <v>3</v>
      </c>
      <c r="N210" s="15" t="s">
        <v>11223</v>
      </c>
      <c r="O210" s="15"/>
      <c r="P210" s="15"/>
      <c r="Q210" s="15"/>
      <c r="R210" s="15"/>
      <c r="S210" s="15"/>
      <c r="T210" s="15">
        <v>3</v>
      </c>
      <c r="U210" s="15" t="s">
        <v>5914</v>
      </c>
      <c r="V210" s="15"/>
      <c r="W210" s="15"/>
      <c r="X210" s="15"/>
      <c r="Y210" s="15"/>
      <c r="Z210" s="15"/>
    </row>
    <row r="211" spans="1:26" x14ac:dyDescent="0.25">
      <c r="A211" s="15" t="s">
        <v>14303</v>
      </c>
      <c r="B211" s="15">
        <v>210</v>
      </c>
      <c r="C211" s="15" t="s">
        <v>11277</v>
      </c>
      <c r="D211" s="15" t="s">
        <v>11277</v>
      </c>
      <c r="E211" s="15" t="s">
        <v>1067</v>
      </c>
      <c r="F211" s="15" t="s">
        <v>14304</v>
      </c>
      <c r="G211" s="15" t="s">
        <v>11270</v>
      </c>
      <c r="H211" s="15">
        <v>17</v>
      </c>
      <c r="I211" s="15">
        <v>32</v>
      </c>
      <c r="J211" s="15">
        <v>20</v>
      </c>
      <c r="K211" s="15" t="str">
        <f t="shared" si="3"/>
        <v>thejuggernaut</v>
      </c>
      <c r="L211" s="15" t="s">
        <v>11271</v>
      </c>
      <c r="M211" s="15">
        <v>1</v>
      </c>
      <c r="N211" s="15" t="s">
        <v>11222</v>
      </c>
      <c r="O211" s="15"/>
      <c r="P211" s="15"/>
      <c r="Q211" s="15"/>
      <c r="R211" s="15"/>
      <c r="S211" s="15"/>
      <c r="T211" s="15">
        <v>0</v>
      </c>
      <c r="U211" s="15"/>
      <c r="V211" s="15"/>
      <c r="W211" s="15"/>
      <c r="X211" s="15"/>
      <c r="Y211" s="15"/>
      <c r="Z211" s="15"/>
    </row>
    <row r="212" spans="1:26" x14ac:dyDescent="0.25">
      <c r="A212" s="15" t="s">
        <v>14305</v>
      </c>
      <c r="B212" s="15">
        <v>211</v>
      </c>
      <c r="C212" s="15" t="s">
        <v>11277</v>
      </c>
      <c r="D212" s="15" t="s">
        <v>11277</v>
      </c>
      <c r="E212" s="15" t="s">
        <v>1067</v>
      </c>
      <c r="F212" s="15" t="s">
        <v>14304</v>
      </c>
      <c r="G212" s="15" t="s">
        <v>11369</v>
      </c>
      <c r="H212" s="15">
        <v>17</v>
      </c>
      <c r="I212" s="15">
        <v>32</v>
      </c>
      <c r="J212" s="15">
        <v>21</v>
      </c>
      <c r="K212" s="15" t="str">
        <f t="shared" si="3"/>
        <v>thejuggernaut</v>
      </c>
      <c r="L212" s="15" t="s">
        <v>11271</v>
      </c>
      <c r="M212" s="15">
        <v>1</v>
      </c>
      <c r="N212" s="15" t="s">
        <v>11222</v>
      </c>
      <c r="O212" s="15"/>
      <c r="P212" s="15"/>
      <c r="Q212" s="15"/>
      <c r="R212" s="15"/>
      <c r="S212" s="15"/>
      <c r="T212" s="15">
        <v>0</v>
      </c>
      <c r="U212" s="15"/>
      <c r="V212" s="15"/>
      <c r="W212" s="15"/>
      <c r="X212" s="15"/>
      <c r="Y212" s="15"/>
      <c r="Z212" s="15"/>
    </row>
    <row r="213" spans="1:26" x14ac:dyDescent="0.25">
      <c r="A213" s="15" t="s">
        <v>14306</v>
      </c>
      <c r="B213" s="15">
        <v>212</v>
      </c>
      <c r="C213" s="15" t="s">
        <v>11277</v>
      </c>
      <c r="D213" s="15" t="s">
        <v>11277</v>
      </c>
      <c r="E213" s="15" t="s">
        <v>1067</v>
      </c>
      <c r="F213" s="15" t="s">
        <v>14304</v>
      </c>
      <c r="G213" s="15" t="s">
        <v>11357</v>
      </c>
      <c r="H213" s="15">
        <v>17</v>
      </c>
      <c r="I213" s="15">
        <v>32</v>
      </c>
      <c r="J213" s="15">
        <v>29</v>
      </c>
      <c r="K213" s="15" t="str">
        <f t="shared" si="3"/>
        <v>thejuggernaut</v>
      </c>
      <c r="L213" s="15" t="s">
        <v>14088</v>
      </c>
      <c r="M213" s="15">
        <v>1</v>
      </c>
      <c r="N213" s="15" t="s">
        <v>11222</v>
      </c>
      <c r="O213" s="15"/>
      <c r="P213" s="15"/>
      <c r="Q213" s="15" t="s">
        <v>11370</v>
      </c>
      <c r="R213" s="15" t="s">
        <v>11270</v>
      </c>
      <c r="S213" s="15"/>
      <c r="T213" s="15">
        <v>0</v>
      </c>
      <c r="U213" s="15"/>
      <c r="V213" s="15"/>
      <c r="W213" s="15"/>
      <c r="X213" s="15"/>
      <c r="Y213" s="15"/>
      <c r="Z213" s="15"/>
    </row>
    <row r="214" spans="1:26" x14ac:dyDescent="0.25">
      <c r="A214" s="15" t="s">
        <v>14307</v>
      </c>
      <c r="B214" s="15">
        <v>213</v>
      </c>
      <c r="C214" s="15" t="s">
        <v>11277</v>
      </c>
      <c r="D214" s="15" t="s">
        <v>11277</v>
      </c>
      <c r="E214" s="15" t="s">
        <v>1067</v>
      </c>
      <c r="F214" s="15" t="s">
        <v>14304</v>
      </c>
      <c r="G214" s="15" t="s">
        <v>11307</v>
      </c>
      <c r="H214" s="15">
        <v>17</v>
      </c>
      <c r="I214" s="15">
        <v>32</v>
      </c>
      <c r="J214" s="15">
        <v>32</v>
      </c>
      <c r="K214" s="15" t="str">
        <f t="shared" si="3"/>
        <v>thejuggernaut</v>
      </c>
      <c r="L214" s="15" t="s">
        <v>11308</v>
      </c>
      <c r="M214" s="15">
        <v>1</v>
      </c>
      <c r="N214" s="15" t="s">
        <v>11222</v>
      </c>
      <c r="O214" s="15"/>
      <c r="P214" s="15"/>
      <c r="Q214" s="15"/>
      <c r="R214" s="15"/>
      <c r="S214" s="15"/>
      <c r="T214" s="15">
        <v>0</v>
      </c>
      <c r="U214" s="15"/>
      <c r="V214" s="15"/>
      <c r="W214" s="15"/>
      <c r="X214" s="15"/>
      <c r="Y214" s="15"/>
      <c r="Z214" s="15"/>
    </row>
    <row r="215" spans="1:26" x14ac:dyDescent="0.25">
      <c r="A215" s="15" t="s">
        <v>14308</v>
      </c>
      <c r="B215" s="15">
        <v>214</v>
      </c>
      <c r="C215" s="15" t="s">
        <v>11277</v>
      </c>
      <c r="D215" s="15" t="s">
        <v>11277</v>
      </c>
      <c r="E215" s="15" t="s">
        <v>1067</v>
      </c>
      <c r="F215" s="15" t="s">
        <v>14304</v>
      </c>
      <c r="G215" s="15" t="s">
        <v>11370</v>
      </c>
      <c r="H215" s="15">
        <v>17</v>
      </c>
      <c r="I215" s="15">
        <v>32</v>
      </c>
      <c r="J215" s="15">
        <v>36</v>
      </c>
      <c r="K215" s="15" t="str">
        <f t="shared" si="3"/>
        <v>thejuggernaut</v>
      </c>
      <c r="L215" s="15" t="s">
        <v>11355</v>
      </c>
      <c r="M215" s="15">
        <v>1</v>
      </c>
      <c r="N215" s="15" t="s">
        <v>11222</v>
      </c>
      <c r="O215" s="15"/>
      <c r="P215" s="15"/>
      <c r="Q215" s="15"/>
      <c r="R215" s="15"/>
      <c r="S215" s="15"/>
      <c r="T215" s="15">
        <v>0</v>
      </c>
      <c r="U215" s="15"/>
      <c r="V215" s="15"/>
      <c r="W215" s="15"/>
      <c r="X215" s="15"/>
      <c r="Y215" s="15"/>
      <c r="Z215" s="15"/>
    </row>
    <row r="216" spans="1:26" x14ac:dyDescent="0.25">
      <c r="A216" s="15" t="s">
        <v>14309</v>
      </c>
      <c r="B216" s="15">
        <v>215</v>
      </c>
      <c r="C216" s="15" t="s">
        <v>11277</v>
      </c>
      <c r="D216" s="15" t="s">
        <v>11277</v>
      </c>
      <c r="E216" s="15" t="s">
        <v>1067</v>
      </c>
      <c r="F216" s="15" t="s">
        <v>14304</v>
      </c>
      <c r="G216" s="15" t="s">
        <v>11371</v>
      </c>
      <c r="H216" s="15">
        <v>17</v>
      </c>
      <c r="I216" s="15">
        <v>32</v>
      </c>
      <c r="J216" s="15">
        <v>44</v>
      </c>
      <c r="K216" s="15" t="str">
        <f t="shared" si="3"/>
        <v>thejuggernaut</v>
      </c>
      <c r="L216" s="15" t="s">
        <v>11360</v>
      </c>
      <c r="M216" s="15">
        <v>1</v>
      </c>
      <c r="N216" s="15" t="s">
        <v>11222</v>
      </c>
      <c r="O216" s="15"/>
      <c r="P216" s="15"/>
      <c r="Q216" s="15"/>
      <c r="R216" s="15"/>
      <c r="S216" s="15"/>
      <c r="T216" s="15">
        <v>0</v>
      </c>
      <c r="U216" s="15"/>
      <c r="V216" s="15"/>
      <c r="W216" s="15"/>
      <c r="X216" s="15"/>
      <c r="Y216" s="15"/>
      <c r="Z216" s="15"/>
    </row>
    <row r="217" spans="1:26" x14ac:dyDescent="0.25">
      <c r="A217" s="15" t="s">
        <v>14310</v>
      </c>
      <c r="B217" s="15">
        <v>216</v>
      </c>
      <c r="C217" s="15" t="s">
        <v>11277</v>
      </c>
      <c r="D217" s="15" t="s">
        <v>11277</v>
      </c>
      <c r="E217" s="15" t="s">
        <v>1067</v>
      </c>
      <c r="F217" s="15" t="s">
        <v>14304</v>
      </c>
      <c r="G217" s="15" t="s">
        <v>11372</v>
      </c>
      <c r="H217" s="15">
        <v>17</v>
      </c>
      <c r="I217" s="15">
        <v>32</v>
      </c>
      <c r="J217" s="15">
        <v>50</v>
      </c>
      <c r="K217" s="15" t="str">
        <f t="shared" si="3"/>
        <v>thejuggernaut</v>
      </c>
      <c r="L217" s="15" t="s">
        <v>14088</v>
      </c>
      <c r="M217" s="15">
        <v>2</v>
      </c>
      <c r="N217" s="15" t="s">
        <v>11223</v>
      </c>
      <c r="O217" s="15"/>
      <c r="P217" s="15"/>
      <c r="Q217" s="15" t="s">
        <v>11370</v>
      </c>
      <c r="R217" s="15"/>
      <c r="S217" s="15"/>
      <c r="T217" s="15">
        <v>0</v>
      </c>
      <c r="U217" s="15"/>
      <c r="V217" s="15"/>
      <c r="W217" s="15"/>
      <c r="X217" s="15"/>
      <c r="Y217" s="15"/>
      <c r="Z217" s="15"/>
    </row>
    <row r="218" spans="1:26" x14ac:dyDescent="0.25">
      <c r="A218" s="15" t="s">
        <v>14311</v>
      </c>
      <c r="B218" s="15">
        <v>217</v>
      </c>
      <c r="C218" s="15" t="s">
        <v>11277</v>
      </c>
      <c r="D218" s="15" t="s">
        <v>11277</v>
      </c>
      <c r="E218" s="15" t="s">
        <v>1067</v>
      </c>
      <c r="F218" s="15" t="s">
        <v>14304</v>
      </c>
      <c r="G218" s="15" t="s">
        <v>11373</v>
      </c>
      <c r="H218" s="15">
        <v>17</v>
      </c>
      <c r="I218" s="15">
        <v>32</v>
      </c>
      <c r="J218" s="15">
        <v>50</v>
      </c>
      <c r="K218" s="15" t="str">
        <f t="shared" si="3"/>
        <v>thejuggernaut</v>
      </c>
      <c r="L218" s="15" t="s">
        <v>14088</v>
      </c>
      <c r="M218" s="15">
        <v>3</v>
      </c>
      <c r="N218" s="15" t="s">
        <v>11222</v>
      </c>
      <c r="O218" s="15" t="s">
        <v>14012</v>
      </c>
      <c r="P218" s="15"/>
      <c r="Q218" s="15" t="s">
        <v>11270</v>
      </c>
      <c r="R218" s="15"/>
      <c r="S218" s="15"/>
      <c r="T218" s="15">
        <v>3</v>
      </c>
      <c r="U218" s="15" t="s">
        <v>5893</v>
      </c>
      <c r="V218" s="15" t="s">
        <v>5892</v>
      </c>
      <c r="W218" s="15"/>
      <c r="X218" s="15"/>
      <c r="Y218" s="15"/>
      <c r="Z218" s="15"/>
    </row>
    <row r="219" spans="1:26" x14ac:dyDescent="0.25">
      <c r="A219" s="15" t="s">
        <v>14312</v>
      </c>
      <c r="B219" s="15">
        <v>218</v>
      </c>
      <c r="C219" s="15" t="s">
        <v>11277</v>
      </c>
      <c r="D219" s="15" t="s">
        <v>11277</v>
      </c>
      <c r="E219" s="15" t="s">
        <v>1067</v>
      </c>
      <c r="F219" s="15" t="s">
        <v>1156</v>
      </c>
      <c r="G219" s="15" t="s">
        <v>11352</v>
      </c>
      <c r="H219" s="15">
        <v>15</v>
      </c>
      <c r="I219" s="15">
        <v>27</v>
      </c>
      <c r="J219" s="15">
        <v>34</v>
      </c>
      <c r="K219" s="15" t="str">
        <f t="shared" si="3"/>
        <v>redmantisfalls</v>
      </c>
      <c r="L219" s="15" t="s">
        <v>11355</v>
      </c>
      <c r="M219" s="15">
        <v>1</v>
      </c>
      <c r="N219" s="15" t="s">
        <v>11222</v>
      </c>
      <c r="O219" s="15"/>
      <c r="P219" s="15"/>
      <c r="Q219" s="15"/>
      <c r="R219" s="15"/>
      <c r="S219" s="15"/>
      <c r="T219" s="15">
        <v>0</v>
      </c>
      <c r="U219" s="15"/>
      <c r="V219" s="15"/>
      <c r="W219" s="15"/>
      <c r="X219" s="15"/>
      <c r="Y219" s="15"/>
      <c r="Z219" s="15"/>
    </row>
    <row r="220" spans="1:26" x14ac:dyDescent="0.25">
      <c r="A220" s="15" t="s">
        <v>14313</v>
      </c>
      <c r="B220" s="15">
        <v>219</v>
      </c>
      <c r="C220" s="15" t="s">
        <v>11277</v>
      </c>
      <c r="D220" s="15" t="s">
        <v>11277</v>
      </c>
      <c r="E220" s="15" t="s">
        <v>1067</v>
      </c>
      <c r="F220" s="15" t="s">
        <v>1156</v>
      </c>
      <c r="G220" s="15" t="s">
        <v>11370</v>
      </c>
      <c r="H220" s="15">
        <v>15</v>
      </c>
      <c r="I220" s="15">
        <v>27</v>
      </c>
      <c r="J220" s="15">
        <v>36</v>
      </c>
      <c r="K220" s="15" t="str">
        <f t="shared" si="3"/>
        <v>redmantisfalls</v>
      </c>
      <c r="L220" s="15" t="s">
        <v>11355</v>
      </c>
      <c r="M220" s="15">
        <v>1</v>
      </c>
      <c r="N220" s="15" t="s">
        <v>11222</v>
      </c>
      <c r="O220" s="15"/>
      <c r="P220" s="15"/>
      <c r="Q220" s="15"/>
      <c r="R220" s="15"/>
      <c r="S220" s="15"/>
      <c r="T220" s="15">
        <v>0</v>
      </c>
      <c r="U220" s="15"/>
      <c r="V220" s="15"/>
      <c r="W220" s="15"/>
      <c r="X220" s="15"/>
      <c r="Y220" s="15"/>
      <c r="Z220" s="15"/>
    </row>
    <row r="221" spans="1:26" x14ac:dyDescent="0.25">
      <c r="A221" s="15" t="s">
        <v>14314</v>
      </c>
      <c r="B221" s="15">
        <v>220</v>
      </c>
      <c r="C221" s="15" t="s">
        <v>11277</v>
      </c>
      <c r="D221" s="15" t="s">
        <v>11277</v>
      </c>
      <c r="E221" s="15" t="s">
        <v>1067</v>
      </c>
      <c r="F221" s="15" t="s">
        <v>1156</v>
      </c>
      <c r="G221" s="15" t="s">
        <v>11374</v>
      </c>
      <c r="H221" s="15">
        <v>15</v>
      </c>
      <c r="I221" s="15">
        <v>27</v>
      </c>
      <c r="J221" s="15">
        <v>36</v>
      </c>
      <c r="K221" s="15" t="str">
        <f t="shared" si="3"/>
        <v>redmantisfalls</v>
      </c>
      <c r="L221" s="15" t="s">
        <v>11355</v>
      </c>
      <c r="M221" s="15">
        <v>1</v>
      </c>
      <c r="N221" s="15" t="s">
        <v>11222</v>
      </c>
      <c r="O221" s="15"/>
      <c r="P221" s="15"/>
      <c r="Q221" s="15"/>
      <c r="R221" s="15"/>
      <c r="S221" s="15"/>
      <c r="T221" s="15">
        <v>0</v>
      </c>
      <c r="U221" s="15"/>
      <c r="V221" s="15"/>
      <c r="W221" s="15"/>
      <c r="X221" s="15"/>
      <c r="Y221" s="15"/>
      <c r="Z221" s="15"/>
    </row>
    <row r="222" spans="1:26" x14ac:dyDescent="0.25">
      <c r="A222" s="15" t="s">
        <v>14315</v>
      </c>
      <c r="B222" s="15">
        <v>221</v>
      </c>
      <c r="C222" s="15" t="s">
        <v>11277</v>
      </c>
      <c r="D222" s="15" t="s">
        <v>11277</v>
      </c>
      <c r="E222" s="15" t="s">
        <v>1067</v>
      </c>
      <c r="F222" s="15" t="s">
        <v>1156</v>
      </c>
      <c r="G222" s="15" t="s">
        <v>11354</v>
      </c>
      <c r="H222" s="15">
        <v>15</v>
      </c>
      <c r="I222" s="15">
        <v>27</v>
      </c>
      <c r="J222" s="15">
        <v>40</v>
      </c>
      <c r="K222" s="15" t="str">
        <f t="shared" si="3"/>
        <v>redmantisfalls</v>
      </c>
      <c r="L222" s="15" t="s">
        <v>11355</v>
      </c>
      <c r="M222" s="15">
        <v>2</v>
      </c>
      <c r="N222" s="15" t="s">
        <v>11223</v>
      </c>
      <c r="O222" s="15"/>
      <c r="P222" s="15"/>
      <c r="Q222" s="15"/>
      <c r="R222" s="15"/>
      <c r="S222" s="15"/>
      <c r="T222" s="15">
        <v>0</v>
      </c>
      <c r="U222" s="15"/>
      <c r="V222" s="15"/>
      <c r="W222" s="15"/>
      <c r="X222" s="15"/>
      <c r="Y222" s="15"/>
      <c r="Z222" s="15"/>
    </row>
    <row r="223" spans="1:26" x14ac:dyDescent="0.25">
      <c r="A223" s="15" t="s">
        <v>14316</v>
      </c>
      <c r="B223" s="15">
        <v>222</v>
      </c>
      <c r="C223" s="15" t="s">
        <v>11277</v>
      </c>
      <c r="D223" s="15" t="s">
        <v>11277</v>
      </c>
      <c r="E223" s="15" t="s">
        <v>1067</v>
      </c>
      <c r="F223" s="15" t="s">
        <v>1156</v>
      </c>
      <c r="G223" s="15" t="s">
        <v>11375</v>
      </c>
      <c r="H223" s="15">
        <v>15</v>
      </c>
      <c r="I223" s="15">
        <v>27</v>
      </c>
      <c r="J223" s="15">
        <v>43</v>
      </c>
      <c r="K223" s="15" t="str">
        <f t="shared" si="3"/>
        <v>redmantisfalls</v>
      </c>
      <c r="L223" s="15" t="s">
        <v>11376</v>
      </c>
      <c r="M223" s="15">
        <v>2</v>
      </c>
      <c r="N223" s="15" t="s">
        <v>11223</v>
      </c>
      <c r="O223" s="15"/>
      <c r="P223" s="15"/>
      <c r="Q223" s="15"/>
      <c r="R223" s="15"/>
      <c r="S223" s="15"/>
      <c r="T223" s="15">
        <v>0</v>
      </c>
      <c r="U223" s="15"/>
      <c r="V223" s="15"/>
      <c r="W223" s="15"/>
      <c r="X223" s="15"/>
      <c r="Y223" s="15"/>
      <c r="Z223" s="15"/>
    </row>
    <row r="224" spans="1:26" x14ac:dyDescent="0.25">
      <c r="A224" s="15" t="s">
        <v>14317</v>
      </c>
      <c r="B224" s="15">
        <v>223</v>
      </c>
      <c r="C224" s="15" t="s">
        <v>11277</v>
      </c>
      <c r="D224" s="15" t="s">
        <v>11277</v>
      </c>
      <c r="E224" s="15" t="s">
        <v>1067</v>
      </c>
      <c r="F224" s="15" t="s">
        <v>1156</v>
      </c>
      <c r="G224" s="15" t="s">
        <v>11362</v>
      </c>
      <c r="H224" s="15">
        <v>15</v>
      </c>
      <c r="I224" s="15">
        <v>27</v>
      </c>
      <c r="J224" s="15">
        <v>46</v>
      </c>
      <c r="K224" s="15" t="str">
        <f t="shared" si="3"/>
        <v>redmantisfalls</v>
      </c>
      <c r="L224" s="15" t="s">
        <v>11356</v>
      </c>
      <c r="M224" s="15">
        <v>2</v>
      </c>
      <c r="N224" s="15" t="s">
        <v>11223</v>
      </c>
      <c r="O224" s="15"/>
      <c r="P224" s="15"/>
      <c r="Q224" s="15"/>
      <c r="R224" s="15"/>
      <c r="S224" s="15"/>
      <c r="T224" s="15">
        <v>0</v>
      </c>
      <c r="U224" s="15"/>
      <c r="V224" s="15"/>
      <c r="W224" s="15"/>
      <c r="X224" s="15"/>
      <c r="Y224" s="15"/>
      <c r="Z224" s="15"/>
    </row>
    <row r="225" spans="1:26" x14ac:dyDescent="0.25">
      <c r="A225" s="15" t="s">
        <v>14318</v>
      </c>
      <c r="B225" s="15">
        <v>224</v>
      </c>
      <c r="C225" s="15" t="s">
        <v>11277</v>
      </c>
      <c r="D225" s="15" t="s">
        <v>11277</v>
      </c>
      <c r="E225" s="15" t="s">
        <v>1067</v>
      </c>
      <c r="F225" s="15" t="s">
        <v>1156</v>
      </c>
      <c r="G225" s="15" t="s">
        <v>11377</v>
      </c>
      <c r="H225" s="15">
        <v>15</v>
      </c>
      <c r="I225" s="15">
        <v>27</v>
      </c>
      <c r="J225" s="15">
        <v>50</v>
      </c>
      <c r="K225" s="15" t="str">
        <f t="shared" si="3"/>
        <v>redmantisfalls</v>
      </c>
      <c r="L225" s="15" t="s">
        <v>14088</v>
      </c>
      <c r="M225" s="15">
        <v>1</v>
      </c>
      <c r="N225" s="15" t="s">
        <v>11222</v>
      </c>
      <c r="O225" s="15"/>
      <c r="P225" s="15"/>
      <c r="Q225" s="15" t="s">
        <v>11370</v>
      </c>
      <c r="R225" s="15"/>
      <c r="S225" s="15"/>
      <c r="T225" s="15">
        <v>0</v>
      </c>
      <c r="U225" s="15"/>
      <c r="V225" s="15"/>
      <c r="W225" s="15"/>
      <c r="X225" s="15"/>
      <c r="Y225" s="15"/>
      <c r="Z225" s="15"/>
    </row>
    <row r="226" spans="1:26" x14ac:dyDescent="0.25">
      <c r="A226" s="15" t="s">
        <v>14319</v>
      </c>
      <c r="B226" s="15">
        <v>225</v>
      </c>
      <c r="C226" s="15" t="s">
        <v>11277</v>
      </c>
      <c r="D226" s="15" t="s">
        <v>11277</v>
      </c>
      <c r="E226" s="15" t="s">
        <v>1067</v>
      </c>
      <c r="F226" s="15" t="s">
        <v>1156</v>
      </c>
      <c r="G226" s="15" t="s">
        <v>11378</v>
      </c>
      <c r="H226" s="15">
        <v>15</v>
      </c>
      <c r="I226" s="15">
        <v>27</v>
      </c>
      <c r="J226" s="15">
        <v>50</v>
      </c>
      <c r="K226" s="15" t="str">
        <f t="shared" si="3"/>
        <v>redmantisfalls</v>
      </c>
      <c r="L226" s="15" t="s">
        <v>14088</v>
      </c>
      <c r="M226" s="15">
        <v>2</v>
      </c>
      <c r="N226" s="15" t="s">
        <v>11223</v>
      </c>
      <c r="O226" s="15"/>
      <c r="P226" s="15"/>
      <c r="Q226" s="15" t="s">
        <v>11377</v>
      </c>
      <c r="R226" s="15"/>
      <c r="S226" s="15"/>
      <c r="T226" s="15">
        <v>1</v>
      </c>
      <c r="U226" s="15"/>
      <c r="V226" s="15"/>
      <c r="W226" s="15"/>
      <c r="X226" s="15"/>
      <c r="Y226" s="15"/>
      <c r="Z226" s="15"/>
    </row>
    <row r="227" spans="1:26" x14ac:dyDescent="0.25">
      <c r="A227" s="15" t="s">
        <v>14320</v>
      </c>
      <c r="B227" s="15">
        <v>226</v>
      </c>
      <c r="C227" s="15" t="s">
        <v>11277</v>
      </c>
      <c r="D227" s="15" t="s">
        <v>11277</v>
      </c>
      <c r="E227" s="15" t="s">
        <v>1067</v>
      </c>
      <c r="F227" s="15" t="s">
        <v>1156</v>
      </c>
      <c r="G227" s="15" t="s">
        <v>11379</v>
      </c>
      <c r="H227" s="15">
        <v>15</v>
      </c>
      <c r="I227" s="15">
        <v>27</v>
      </c>
      <c r="J227" s="15">
        <v>50</v>
      </c>
      <c r="K227" s="15" t="str">
        <f t="shared" si="3"/>
        <v>redmantisfalls</v>
      </c>
      <c r="L227" s="15" t="s">
        <v>14088</v>
      </c>
      <c r="M227" s="15">
        <v>3</v>
      </c>
      <c r="N227" s="15" t="s">
        <v>11223</v>
      </c>
      <c r="O227" s="15"/>
      <c r="P227" s="15" t="s">
        <v>14321</v>
      </c>
      <c r="Q227" s="15" t="s">
        <v>11370</v>
      </c>
      <c r="R227" s="15"/>
      <c r="S227" s="15"/>
      <c r="T227" s="15">
        <v>3</v>
      </c>
      <c r="U227" s="15"/>
      <c r="V227" s="15"/>
      <c r="W227" s="15"/>
      <c r="X227" s="15"/>
      <c r="Y227" s="15"/>
      <c r="Z227" s="15"/>
    </row>
    <row r="228" spans="1:26" x14ac:dyDescent="0.25">
      <c r="A228" s="15" t="s">
        <v>14322</v>
      </c>
      <c r="B228" s="15">
        <v>227</v>
      </c>
      <c r="C228" s="15" t="s">
        <v>11277</v>
      </c>
      <c r="D228" s="15" t="s">
        <v>11277</v>
      </c>
      <c r="E228" s="15" t="s">
        <v>1067</v>
      </c>
      <c r="F228" s="15" t="s">
        <v>1156</v>
      </c>
      <c r="G228" s="15" t="s">
        <v>11403</v>
      </c>
      <c r="H228" s="15">
        <v>15</v>
      </c>
      <c r="I228" s="15">
        <v>27</v>
      </c>
      <c r="J228" s="15">
        <v>41</v>
      </c>
      <c r="K228" s="15" t="str">
        <f t="shared" si="3"/>
        <v>redmantisfalls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25">
      <c r="A229" s="15" t="s">
        <v>14323</v>
      </c>
      <c r="B229" s="15">
        <v>228</v>
      </c>
      <c r="C229" s="15" t="s">
        <v>11277</v>
      </c>
      <c r="D229" s="15" t="s">
        <v>11277</v>
      </c>
      <c r="E229" s="15" t="s">
        <v>1067</v>
      </c>
      <c r="F229" s="15" t="s">
        <v>14324</v>
      </c>
      <c r="G229" s="15" t="s">
        <v>11227</v>
      </c>
      <c r="H229" s="15">
        <v>36</v>
      </c>
      <c r="I229" s="15">
        <v>26</v>
      </c>
      <c r="J229" s="15">
        <v>3</v>
      </c>
      <c r="K229" s="15" t="str">
        <f t="shared" si="3"/>
        <v>northisleofendlesssummer</v>
      </c>
      <c r="L229" s="15" t="s">
        <v>11233</v>
      </c>
      <c r="M229" s="15">
        <v>1</v>
      </c>
      <c r="N229" s="15" t="s">
        <v>11222</v>
      </c>
      <c r="O229" s="15"/>
      <c r="P229" s="15"/>
      <c r="Q229" s="15"/>
      <c r="R229" s="15"/>
      <c r="S229" s="15"/>
      <c r="T229" s="15">
        <v>0</v>
      </c>
      <c r="U229" s="15"/>
      <c r="V229" s="15"/>
      <c r="W229" s="15"/>
      <c r="X229" s="15"/>
      <c r="Y229" s="15"/>
      <c r="Z229" s="15"/>
    </row>
    <row r="230" spans="1:26" x14ac:dyDescent="0.25">
      <c r="A230" s="15" t="s">
        <v>14325</v>
      </c>
      <c r="B230" s="15">
        <v>229</v>
      </c>
      <c r="C230" s="15" t="s">
        <v>11277</v>
      </c>
      <c r="D230" s="15" t="s">
        <v>11277</v>
      </c>
      <c r="E230" s="15" t="s">
        <v>1067</v>
      </c>
      <c r="F230" s="15" t="s">
        <v>14324</v>
      </c>
      <c r="G230" s="15" t="s">
        <v>11314</v>
      </c>
      <c r="H230" s="15">
        <v>36</v>
      </c>
      <c r="I230" s="15">
        <v>26</v>
      </c>
      <c r="J230" s="15">
        <v>22</v>
      </c>
      <c r="K230" s="15" t="str">
        <f t="shared" si="3"/>
        <v>northisleofendlesssummer</v>
      </c>
      <c r="L230" s="15" t="s">
        <v>11315</v>
      </c>
      <c r="M230" s="15">
        <v>2</v>
      </c>
      <c r="N230" s="15" t="s">
        <v>11223</v>
      </c>
      <c r="O230" s="15"/>
      <c r="P230" s="15"/>
      <c r="Q230" s="15"/>
      <c r="R230" s="15"/>
      <c r="S230" s="15"/>
      <c r="T230" s="15">
        <v>0</v>
      </c>
      <c r="U230" s="15"/>
      <c r="V230" s="15"/>
      <c r="W230" s="15"/>
      <c r="X230" s="15"/>
      <c r="Y230" s="15"/>
      <c r="Z230" s="15"/>
    </row>
    <row r="231" spans="1:26" x14ac:dyDescent="0.25">
      <c r="A231" s="15" t="s">
        <v>14326</v>
      </c>
      <c r="B231" s="15">
        <v>230</v>
      </c>
      <c r="C231" s="15" t="s">
        <v>11277</v>
      </c>
      <c r="D231" s="15" t="s">
        <v>11277</v>
      </c>
      <c r="E231" s="15" t="s">
        <v>1067</v>
      </c>
      <c r="F231" s="15" t="s">
        <v>14324</v>
      </c>
      <c r="G231" s="15" t="s">
        <v>11284</v>
      </c>
      <c r="H231" s="15">
        <v>36</v>
      </c>
      <c r="I231" s="15">
        <v>26</v>
      </c>
      <c r="J231" s="15">
        <v>33</v>
      </c>
      <c r="K231" s="15" t="str">
        <f t="shared" si="3"/>
        <v>northisleofendlesssummer</v>
      </c>
      <c r="L231" s="15" t="s">
        <v>11285</v>
      </c>
      <c r="M231" s="15">
        <v>1</v>
      </c>
      <c r="N231" s="15" t="s">
        <v>11222</v>
      </c>
      <c r="O231" s="15"/>
      <c r="P231" s="15"/>
      <c r="Q231" s="15"/>
      <c r="R231" s="15"/>
      <c r="S231" s="15"/>
      <c r="T231" s="15">
        <v>0</v>
      </c>
      <c r="U231" s="15"/>
      <c r="V231" s="15"/>
      <c r="W231" s="15"/>
      <c r="X231" s="15"/>
      <c r="Y231" s="15"/>
      <c r="Z231" s="15"/>
    </row>
    <row r="232" spans="1:26" x14ac:dyDescent="0.25">
      <c r="A232" s="15" t="s">
        <v>14327</v>
      </c>
      <c r="B232" s="15">
        <v>231</v>
      </c>
      <c r="C232" s="15" t="s">
        <v>11277</v>
      </c>
      <c r="D232" s="15" t="s">
        <v>11277</v>
      </c>
      <c r="E232" s="15" t="s">
        <v>1067</v>
      </c>
      <c r="F232" s="15" t="s">
        <v>14324</v>
      </c>
      <c r="G232" s="15" t="s">
        <v>11262</v>
      </c>
      <c r="H232" s="15">
        <v>36</v>
      </c>
      <c r="I232" s="15">
        <v>26</v>
      </c>
      <c r="J232" s="15">
        <v>43</v>
      </c>
      <c r="K232" s="15" t="str">
        <f t="shared" si="3"/>
        <v>northisleofendlesssummer</v>
      </c>
      <c r="L232" s="15" t="s">
        <v>14088</v>
      </c>
      <c r="M232" s="15">
        <v>2</v>
      </c>
      <c r="N232" s="15" t="s">
        <v>11223</v>
      </c>
      <c r="O232" s="15"/>
      <c r="P232" s="15"/>
      <c r="Q232" s="15" t="s">
        <v>11227</v>
      </c>
      <c r="R232" s="15"/>
      <c r="S232" s="15"/>
      <c r="T232" s="15">
        <v>0</v>
      </c>
      <c r="U232" s="15"/>
      <c r="V232" s="15"/>
      <c r="W232" s="15"/>
      <c r="X232" s="15"/>
      <c r="Y232" s="15"/>
      <c r="Z232" s="15"/>
    </row>
    <row r="233" spans="1:26" x14ac:dyDescent="0.25">
      <c r="A233" s="15" t="s">
        <v>14328</v>
      </c>
      <c r="B233" s="15">
        <v>232</v>
      </c>
      <c r="C233" s="15" t="s">
        <v>11277</v>
      </c>
      <c r="D233" s="15" t="s">
        <v>11277</v>
      </c>
      <c r="E233" s="15" t="s">
        <v>1067</v>
      </c>
      <c r="F233" s="15" t="s">
        <v>14324</v>
      </c>
      <c r="G233" s="15" t="s">
        <v>11347</v>
      </c>
      <c r="H233" s="15">
        <v>36</v>
      </c>
      <c r="I233" s="15">
        <v>26</v>
      </c>
      <c r="J233" s="15">
        <v>50</v>
      </c>
      <c r="K233" s="15" t="str">
        <f t="shared" si="3"/>
        <v>northisleofendlesssummer</v>
      </c>
      <c r="L233" s="15" t="s">
        <v>11291</v>
      </c>
      <c r="M233" s="15">
        <v>2</v>
      </c>
      <c r="N233" s="15" t="s">
        <v>11223</v>
      </c>
      <c r="O233" s="15"/>
      <c r="P233" s="15"/>
      <c r="Q233" s="15"/>
      <c r="R233" s="15"/>
      <c r="S233" s="15"/>
      <c r="T233" s="15">
        <v>1</v>
      </c>
      <c r="U233" s="15" t="s">
        <v>5901</v>
      </c>
      <c r="V233" s="15" t="s">
        <v>5900</v>
      </c>
      <c r="W233" s="15"/>
      <c r="X233" s="15"/>
      <c r="Y233" s="15"/>
      <c r="Z233" s="15"/>
    </row>
    <row r="234" spans="1:26" x14ac:dyDescent="0.25">
      <c r="A234" s="15" t="s">
        <v>14329</v>
      </c>
      <c r="B234" s="15">
        <v>233</v>
      </c>
      <c r="C234" s="15" t="s">
        <v>11277</v>
      </c>
      <c r="D234" s="15" t="s">
        <v>11277</v>
      </c>
      <c r="E234" s="15" t="s">
        <v>1067</v>
      </c>
      <c r="F234" s="15" t="s">
        <v>14324</v>
      </c>
      <c r="G234" s="15" t="s">
        <v>11290</v>
      </c>
      <c r="H234" s="15">
        <v>36</v>
      </c>
      <c r="I234" s="15">
        <v>26</v>
      </c>
      <c r="J234" s="15">
        <v>50</v>
      </c>
      <c r="K234" s="15" t="str">
        <f t="shared" si="3"/>
        <v>northisleofendlesssummer</v>
      </c>
      <c r="L234" s="15" t="s">
        <v>11291</v>
      </c>
      <c r="M234" s="15">
        <v>2</v>
      </c>
      <c r="N234" s="15" t="s">
        <v>11223</v>
      </c>
      <c r="O234" s="15"/>
      <c r="P234" s="15"/>
      <c r="Q234" s="15"/>
      <c r="R234" s="15"/>
      <c r="S234" s="15"/>
      <c r="T234" s="15">
        <v>1</v>
      </c>
      <c r="U234" s="15"/>
      <c r="V234" s="15"/>
      <c r="W234" s="15"/>
      <c r="X234" s="15"/>
      <c r="Y234" s="15"/>
      <c r="Z234" s="15"/>
    </row>
    <row r="235" spans="1:26" x14ac:dyDescent="0.25">
      <c r="A235" s="15" t="s">
        <v>14330</v>
      </c>
      <c r="B235" s="15">
        <v>234</v>
      </c>
      <c r="C235" s="15" t="s">
        <v>11277</v>
      </c>
      <c r="D235" s="15" t="s">
        <v>11277</v>
      </c>
      <c r="E235" s="15" t="s">
        <v>1067</v>
      </c>
      <c r="F235" s="15" t="s">
        <v>14324</v>
      </c>
      <c r="G235" s="15" t="s">
        <v>11348</v>
      </c>
      <c r="H235" s="15">
        <v>36</v>
      </c>
      <c r="I235" s="15">
        <v>26</v>
      </c>
      <c r="J235" s="15">
        <v>50</v>
      </c>
      <c r="K235" s="15" t="str">
        <f t="shared" si="3"/>
        <v>northisleofendlesssummer</v>
      </c>
      <c r="L235" s="15" t="s">
        <v>14088</v>
      </c>
      <c r="M235" s="15">
        <v>3</v>
      </c>
      <c r="N235" s="15" t="s">
        <v>11223</v>
      </c>
      <c r="O235" s="15"/>
      <c r="P235" s="15"/>
      <c r="Q235" s="15" t="s">
        <v>11348</v>
      </c>
      <c r="R235" s="15"/>
      <c r="S235" s="15"/>
      <c r="T235" s="15">
        <v>2</v>
      </c>
      <c r="U235" s="15"/>
      <c r="V235" s="15"/>
      <c r="W235" s="15"/>
      <c r="X235" s="15"/>
      <c r="Y235" s="15"/>
      <c r="Z235" s="15"/>
    </row>
    <row r="236" spans="1:26" x14ac:dyDescent="0.25">
      <c r="A236" s="15" t="s">
        <v>14331</v>
      </c>
      <c r="B236" s="15">
        <v>235</v>
      </c>
      <c r="C236" s="15" t="s">
        <v>11277</v>
      </c>
      <c r="D236" s="15" t="s">
        <v>11277</v>
      </c>
      <c r="E236" s="15" t="s">
        <v>1067</v>
      </c>
      <c r="F236" s="15" t="s">
        <v>14324</v>
      </c>
      <c r="G236" s="15" t="s">
        <v>11349</v>
      </c>
      <c r="H236" s="15">
        <v>36</v>
      </c>
      <c r="I236" s="15">
        <v>26</v>
      </c>
      <c r="J236" s="15">
        <v>50</v>
      </c>
      <c r="K236" s="15" t="str">
        <f t="shared" si="3"/>
        <v>northisleofendlesssummer</v>
      </c>
      <c r="L236" s="15" t="s">
        <v>14088</v>
      </c>
      <c r="M236" s="15">
        <v>3</v>
      </c>
      <c r="N236" s="15" t="s">
        <v>11223</v>
      </c>
      <c r="O236" s="15"/>
      <c r="P236" s="15"/>
      <c r="Q236" s="15" t="s">
        <v>11262</v>
      </c>
      <c r="R236" s="15"/>
      <c r="S236" s="15"/>
      <c r="T236" s="15">
        <v>1</v>
      </c>
      <c r="U236" s="15"/>
      <c r="V236" s="15"/>
      <c r="W236" s="15"/>
      <c r="X236" s="15"/>
      <c r="Y236" s="15"/>
      <c r="Z236" s="15"/>
    </row>
    <row r="237" spans="1:26" x14ac:dyDescent="0.25">
      <c r="A237" s="15" t="s">
        <v>14332</v>
      </c>
      <c r="B237" s="15">
        <v>236</v>
      </c>
      <c r="C237" s="15" t="s">
        <v>11277</v>
      </c>
      <c r="D237" s="15" t="s">
        <v>11277</v>
      </c>
      <c r="E237" s="15" t="s">
        <v>1067</v>
      </c>
      <c r="F237" s="15" t="s">
        <v>14324</v>
      </c>
      <c r="G237" s="15" t="s">
        <v>11380</v>
      </c>
      <c r="H237" s="15">
        <v>36</v>
      </c>
      <c r="I237" s="15">
        <v>26</v>
      </c>
      <c r="J237" s="15">
        <v>50</v>
      </c>
      <c r="K237" s="15" t="str">
        <f t="shared" si="3"/>
        <v>northisleofendlesssummer</v>
      </c>
      <c r="L237" s="15" t="s">
        <v>14088</v>
      </c>
      <c r="M237" s="15">
        <v>3</v>
      </c>
      <c r="N237" s="15" t="s">
        <v>11223</v>
      </c>
      <c r="O237" s="15" t="s">
        <v>14006</v>
      </c>
      <c r="P237" s="15"/>
      <c r="Q237" s="15" t="s">
        <v>11262</v>
      </c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x14ac:dyDescent="0.25">
      <c r="A238" s="15" t="s">
        <v>14333</v>
      </c>
      <c r="B238" s="15">
        <v>237</v>
      </c>
      <c r="C238" s="15" t="s">
        <v>11277</v>
      </c>
      <c r="D238" s="15" t="s">
        <v>11277</v>
      </c>
      <c r="E238" s="15" t="s">
        <v>1067</v>
      </c>
      <c r="F238" s="15" t="s">
        <v>14324</v>
      </c>
      <c r="G238" s="15" t="s">
        <v>11390</v>
      </c>
      <c r="H238" s="15">
        <v>36</v>
      </c>
      <c r="I238" s="15">
        <v>26</v>
      </c>
      <c r="J238" s="15">
        <v>50</v>
      </c>
      <c r="K238" s="15" t="str">
        <f t="shared" si="3"/>
        <v>northisleofendlesssummer</v>
      </c>
      <c r="L238" s="15" t="s">
        <v>14088</v>
      </c>
      <c r="M238" s="15">
        <v>2</v>
      </c>
      <c r="N238" s="15" t="s">
        <v>11223</v>
      </c>
      <c r="O238" s="15"/>
      <c r="P238" s="15"/>
      <c r="Q238" s="15" t="s">
        <v>11262</v>
      </c>
      <c r="R238" s="15"/>
      <c r="S238" s="15"/>
      <c r="T238" s="15">
        <v>0</v>
      </c>
      <c r="U238" s="15" t="s">
        <v>5901</v>
      </c>
      <c r="V238" s="15" t="s">
        <v>5900</v>
      </c>
      <c r="W238" s="15"/>
      <c r="X238" s="15"/>
      <c r="Y238" s="15"/>
      <c r="Z238" s="15"/>
    </row>
    <row r="239" spans="1:26" x14ac:dyDescent="0.25">
      <c r="A239" s="15" t="s">
        <v>14334</v>
      </c>
      <c r="B239" s="15">
        <v>238</v>
      </c>
      <c r="C239" s="15" t="s">
        <v>11277</v>
      </c>
      <c r="D239" s="15" t="s">
        <v>11277</v>
      </c>
      <c r="E239" s="15" t="s">
        <v>1067</v>
      </c>
      <c r="F239" s="15" t="s">
        <v>3382</v>
      </c>
      <c r="G239" s="15" t="s">
        <v>11226</v>
      </c>
      <c r="H239" s="15">
        <v>34</v>
      </c>
      <c r="I239" s="15">
        <v>32</v>
      </c>
      <c r="J239" s="15">
        <v>3</v>
      </c>
      <c r="K239" s="15" t="str">
        <f t="shared" si="3"/>
        <v>swiftperch</v>
      </c>
      <c r="L239" s="15" t="s">
        <v>11233</v>
      </c>
      <c r="M239" s="15">
        <v>1</v>
      </c>
      <c r="N239" s="15" t="s">
        <v>11222</v>
      </c>
      <c r="O239" s="15"/>
      <c r="P239" s="15"/>
      <c r="Q239" s="15"/>
      <c r="R239" s="15"/>
      <c r="S239" s="15"/>
      <c r="T239" s="15">
        <v>0</v>
      </c>
      <c r="U239" s="15"/>
      <c r="V239" s="15"/>
      <c r="W239" s="15"/>
      <c r="X239" s="15"/>
      <c r="Y239" s="15"/>
      <c r="Z239" s="15"/>
    </row>
    <row r="240" spans="1:26" x14ac:dyDescent="0.25">
      <c r="A240" s="15" t="s">
        <v>14335</v>
      </c>
      <c r="B240" s="15">
        <v>239</v>
      </c>
      <c r="C240" s="15" t="s">
        <v>11277</v>
      </c>
      <c r="D240" s="15" t="s">
        <v>11277</v>
      </c>
      <c r="E240" s="15" t="s">
        <v>1067</v>
      </c>
      <c r="F240" s="15" t="s">
        <v>3382</v>
      </c>
      <c r="G240" s="15" t="s">
        <v>11258</v>
      </c>
      <c r="H240" s="15">
        <v>34</v>
      </c>
      <c r="I240" s="15">
        <v>32</v>
      </c>
      <c r="J240" s="15">
        <v>5</v>
      </c>
      <c r="K240" s="15" t="str">
        <f t="shared" si="3"/>
        <v>swiftperch</v>
      </c>
      <c r="L240" s="15" t="s">
        <v>11234</v>
      </c>
      <c r="M240" s="15">
        <v>1</v>
      </c>
      <c r="N240" s="15" t="s">
        <v>11222</v>
      </c>
      <c r="O240" s="15"/>
      <c r="P240" s="15"/>
      <c r="Q240" s="15"/>
      <c r="R240" s="15"/>
      <c r="S240" s="15"/>
      <c r="T240" s="15">
        <v>0</v>
      </c>
      <c r="U240" s="15"/>
      <c r="V240" s="15"/>
      <c r="W240" s="15"/>
      <c r="X240" s="15"/>
      <c r="Y240" s="15"/>
      <c r="Z240" s="15"/>
    </row>
    <row r="241" spans="1:26" x14ac:dyDescent="0.25">
      <c r="A241" s="15" t="s">
        <v>14336</v>
      </c>
      <c r="B241" s="15">
        <v>240</v>
      </c>
      <c r="C241" s="15" t="s">
        <v>11277</v>
      </c>
      <c r="D241" s="15" t="s">
        <v>11277</v>
      </c>
      <c r="E241" s="15" t="s">
        <v>1067</v>
      </c>
      <c r="F241" s="15" t="s">
        <v>3382</v>
      </c>
      <c r="G241" s="15" t="s">
        <v>11231</v>
      </c>
      <c r="H241" s="15">
        <v>34</v>
      </c>
      <c r="I241" s="15">
        <v>32</v>
      </c>
      <c r="J241" s="15">
        <v>7</v>
      </c>
      <c r="K241" s="15" t="str">
        <f t="shared" si="3"/>
        <v>swiftperch</v>
      </c>
      <c r="L241" s="15" t="s">
        <v>11234</v>
      </c>
      <c r="M241" s="15">
        <v>2</v>
      </c>
      <c r="N241" s="15" t="s">
        <v>11223</v>
      </c>
      <c r="O241" s="15"/>
      <c r="P241" s="15"/>
      <c r="Q241" s="15"/>
      <c r="R241" s="15"/>
      <c r="S241" s="15"/>
      <c r="T241" s="15">
        <v>0</v>
      </c>
      <c r="U241" s="15"/>
      <c r="V241" s="15"/>
      <c r="W241" s="15"/>
      <c r="X241" s="15"/>
      <c r="Y241" s="15"/>
      <c r="Z241" s="15"/>
    </row>
    <row r="242" spans="1:26" x14ac:dyDescent="0.25">
      <c r="A242" s="15" t="s">
        <v>14337</v>
      </c>
      <c r="B242" s="15">
        <v>241</v>
      </c>
      <c r="C242" s="15" t="s">
        <v>11277</v>
      </c>
      <c r="D242" s="15" t="s">
        <v>11277</v>
      </c>
      <c r="E242" s="15" t="s">
        <v>1067</v>
      </c>
      <c r="F242" s="15" t="s">
        <v>3382</v>
      </c>
      <c r="G242" s="15" t="s">
        <v>11279</v>
      </c>
      <c r="H242" s="15">
        <v>34</v>
      </c>
      <c r="I242" s="15">
        <v>32</v>
      </c>
      <c r="J242" s="15">
        <v>10</v>
      </c>
      <c r="K242" s="15" t="str">
        <f t="shared" si="3"/>
        <v>swiftperch</v>
      </c>
      <c r="L242" s="15" t="s">
        <v>11234</v>
      </c>
      <c r="M242" s="15">
        <v>2</v>
      </c>
      <c r="N242" s="15" t="s">
        <v>11223</v>
      </c>
      <c r="O242" s="15"/>
      <c r="P242" s="15"/>
      <c r="Q242" s="15"/>
      <c r="R242" s="15"/>
      <c r="S242" s="15"/>
      <c r="T242" s="15">
        <v>0</v>
      </c>
      <c r="U242" s="15"/>
      <c r="V242" s="15"/>
      <c r="W242" s="15"/>
      <c r="X242" s="15"/>
      <c r="Y242" s="15"/>
      <c r="Z242" s="15"/>
    </row>
    <row r="243" spans="1:26" x14ac:dyDescent="0.25">
      <c r="A243" s="15" t="s">
        <v>14338</v>
      </c>
      <c r="B243" s="15">
        <v>242</v>
      </c>
      <c r="C243" s="15" t="s">
        <v>11277</v>
      </c>
      <c r="D243" s="15" t="s">
        <v>11277</v>
      </c>
      <c r="E243" s="15" t="s">
        <v>1067</v>
      </c>
      <c r="F243" s="15" t="s">
        <v>3382</v>
      </c>
      <c r="G243" s="15" t="s">
        <v>11281</v>
      </c>
      <c r="H243" s="15">
        <v>34</v>
      </c>
      <c r="I243" s="15">
        <v>32</v>
      </c>
      <c r="J243" s="15">
        <v>12</v>
      </c>
      <c r="K243" s="15" t="str">
        <f t="shared" si="3"/>
        <v>swiftperch</v>
      </c>
      <c r="L243" s="15" t="s">
        <v>11234</v>
      </c>
      <c r="M243" s="15">
        <v>1</v>
      </c>
      <c r="N243" s="15" t="s">
        <v>11222</v>
      </c>
      <c r="O243" s="15"/>
      <c r="P243" s="15"/>
      <c r="Q243" s="15"/>
      <c r="R243" s="15"/>
      <c r="S243" s="15"/>
      <c r="T243" s="15">
        <v>0</v>
      </c>
      <c r="U243" s="15"/>
      <c r="V243" s="15"/>
      <c r="W243" s="15"/>
      <c r="X243" s="15"/>
      <c r="Y243" s="15"/>
      <c r="Z243" s="15"/>
    </row>
    <row r="244" spans="1:26" x14ac:dyDescent="0.25">
      <c r="A244" s="15" t="s">
        <v>14339</v>
      </c>
      <c r="B244" s="15">
        <v>243</v>
      </c>
      <c r="C244" s="15" t="s">
        <v>11277</v>
      </c>
      <c r="D244" s="15" t="s">
        <v>11277</v>
      </c>
      <c r="E244" s="15" t="s">
        <v>1067</v>
      </c>
      <c r="F244" s="15" t="s">
        <v>3382</v>
      </c>
      <c r="G244" s="15" t="s">
        <v>11283</v>
      </c>
      <c r="H244" s="15">
        <v>34</v>
      </c>
      <c r="I244" s="15">
        <v>32</v>
      </c>
      <c r="J244" s="15">
        <v>15</v>
      </c>
      <c r="K244" s="15" t="str">
        <f t="shared" si="3"/>
        <v>swiftperch</v>
      </c>
      <c r="L244" s="15" t="s">
        <v>11245</v>
      </c>
      <c r="M244" s="15">
        <v>2</v>
      </c>
      <c r="N244" s="15" t="s">
        <v>11223</v>
      </c>
      <c r="O244" s="15"/>
      <c r="P244" s="15"/>
      <c r="Q244" s="15"/>
      <c r="R244" s="15"/>
      <c r="S244" s="15"/>
      <c r="T244" s="15">
        <v>0</v>
      </c>
      <c r="U244" s="15"/>
      <c r="V244" s="15"/>
      <c r="W244" s="15"/>
      <c r="X244" s="15"/>
      <c r="Y244" s="15"/>
      <c r="Z244" s="15"/>
    </row>
    <row r="245" spans="1:26" x14ac:dyDescent="0.25">
      <c r="A245" s="15" t="s">
        <v>14340</v>
      </c>
      <c r="B245" s="15">
        <v>244</v>
      </c>
      <c r="C245" s="15" t="s">
        <v>11277</v>
      </c>
      <c r="D245" s="15" t="s">
        <v>11277</v>
      </c>
      <c r="E245" s="15" t="s">
        <v>1067</v>
      </c>
      <c r="F245" s="15" t="s">
        <v>3382</v>
      </c>
      <c r="G245" s="15" t="s">
        <v>11287</v>
      </c>
      <c r="H245" s="15">
        <v>34</v>
      </c>
      <c r="I245" s="15">
        <v>32</v>
      </c>
      <c r="J245" s="15">
        <v>17</v>
      </c>
      <c r="K245" s="15" t="str">
        <f t="shared" si="3"/>
        <v>swiftperch</v>
      </c>
      <c r="L245" s="15" t="s">
        <v>11245</v>
      </c>
      <c r="M245" s="15">
        <v>1</v>
      </c>
      <c r="N245" s="15" t="s">
        <v>11222</v>
      </c>
      <c r="O245" s="15"/>
      <c r="P245" s="15"/>
      <c r="Q245" s="15"/>
      <c r="R245" s="15"/>
      <c r="S245" s="15"/>
      <c r="T245" s="15">
        <v>0</v>
      </c>
      <c r="U245" s="15"/>
      <c r="V245" s="15"/>
      <c r="W245" s="15"/>
      <c r="X245" s="15"/>
      <c r="Y245" s="15"/>
      <c r="Z245" s="15"/>
    </row>
    <row r="246" spans="1:26" x14ac:dyDescent="0.25">
      <c r="A246" s="15" t="s">
        <v>14341</v>
      </c>
      <c r="B246" s="15">
        <v>245</v>
      </c>
      <c r="C246" s="15" t="s">
        <v>11277</v>
      </c>
      <c r="D246" s="15" t="s">
        <v>11277</v>
      </c>
      <c r="E246" s="15" t="s">
        <v>1067</v>
      </c>
      <c r="F246" s="15" t="s">
        <v>3382</v>
      </c>
      <c r="G246" s="15" t="s">
        <v>11224</v>
      </c>
      <c r="H246" s="15">
        <v>34</v>
      </c>
      <c r="I246" s="15">
        <v>32</v>
      </c>
      <c r="J246" s="15">
        <v>21</v>
      </c>
      <c r="K246" s="15" t="str">
        <f t="shared" si="3"/>
        <v>swiftperch</v>
      </c>
      <c r="L246" s="15" t="s">
        <v>14088</v>
      </c>
      <c r="M246" s="15">
        <v>2</v>
      </c>
      <c r="N246" s="15" t="s">
        <v>11223</v>
      </c>
      <c r="O246" s="15"/>
      <c r="P246" s="15"/>
      <c r="Q246" s="15" t="s">
        <v>11227</v>
      </c>
      <c r="R246" s="15" t="s">
        <v>11231</v>
      </c>
      <c r="S246" s="15" t="s">
        <v>11230</v>
      </c>
      <c r="T246" s="15">
        <v>0</v>
      </c>
      <c r="U246" s="15"/>
      <c r="V246" s="15"/>
      <c r="W246" s="15"/>
      <c r="X246" s="15"/>
      <c r="Y246" s="15"/>
      <c r="Z246" s="15"/>
    </row>
    <row r="247" spans="1:26" x14ac:dyDescent="0.25">
      <c r="A247" s="15" t="s">
        <v>14342</v>
      </c>
      <c r="B247" s="15">
        <v>246</v>
      </c>
      <c r="C247" s="15" t="s">
        <v>11277</v>
      </c>
      <c r="D247" s="15" t="s">
        <v>11277</v>
      </c>
      <c r="E247" s="15" t="s">
        <v>1067</v>
      </c>
      <c r="F247" s="15" t="s">
        <v>3382</v>
      </c>
      <c r="G247" s="15" t="s">
        <v>11391</v>
      </c>
      <c r="H247" s="15">
        <v>34</v>
      </c>
      <c r="I247" s="15">
        <v>32</v>
      </c>
      <c r="J247" s="15">
        <v>50</v>
      </c>
      <c r="K247" s="15" t="str">
        <f t="shared" si="3"/>
        <v>swiftperch</v>
      </c>
      <c r="L247" s="15" t="s">
        <v>11291</v>
      </c>
      <c r="M247" s="15">
        <v>3</v>
      </c>
      <c r="N247" s="15" t="s">
        <v>11223</v>
      </c>
      <c r="O247" s="15"/>
      <c r="P247" s="15"/>
      <c r="Q247" s="15"/>
      <c r="R247" s="15"/>
      <c r="S247" s="15"/>
      <c r="T247" s="15">
        <v>1</v>
      </c>
      <c r="U247" s="15"/>
      <c r="V247" s="15"/>
      <c r="W247" s="15"/>
      <c r="X247" s="15"/>
      <c r="Y247" s="15"/>
      <c r="Z247" s="15"/>
    </row>
    <row r="248" spans="1:26" x14ac:dyDescent="0.25">
      <c r="A248" s="15" t="s">
        <v>14343</v>
      </c>
      <c r="B248" s="15">
        <v>247</v>
      </c>
      <c r="C248" s="15" t="s">
        <v>11277</v>
      </c>
      <c r="D248" s="15" t="s">
        <v>11277</v>
      </c>
      <c r="E248" s="15" t="s">
        <v>1067</v>
      </c>
      <c r="F248" s="15" t="s">
        <v>3382</v>
      </c>
      <c r="G248" s="15" t="s">
        <v>11392</v>
      </c>
      <c r="H248" s="15">
        <v>34</v>
      </c>
      <c r="I248" s="15">
        <v>32</v>
      </c>
      <c r="J248" s="15">
        <v>50</v>
      </c>
      <c r="K248" s="15" t="str">
        <f t="shared" si="3"/>
        <v>swiftperch</v>
      </c>
      <c r="L248" s="15" t="s">
        <v>11291</v>
      </c>
      <c r="M248" s="15">
        <v>3</v>
      </c>
      <c r="N248" s="15" t="s">
        <v>11222</v>
      </c>
      <c r="O248" s="15" t="s">
        <v>14058</v>
      </c>
      <c r="P248" s="15"/>
      <c r="Q248" s="15"/>
      <c r="R248" s="15"/>
      <c r="S248" s="15"/>
      <c r="T248" s="15">
        <v>2</v>
      </c>
      <c r="U248" s="15"/>
      <c r="V248" s="15"/>
      <c r="W248" s="15"/>
      <c r="X248" s="15"/>
      <c r="Y248" s="15"/>
      <c r="Z248" s="15"/>
    </row>
    <row r="249" spans="1:26" x14ac:dyDescent="0.25">
      <c r="A249" s="15" t="s">
        <v>14344</v>
      </c>
      <c r="B249" s="15">
        <v>248</v>
      </c>
      <c r="C249" s="15" t="s">
        <v>11277</v>
      </c>
      <c r="D249" s="15" t="s">
        <v>11277</v>
      </c>
      <c r="E249" s="15" t="s">
        <v>1067</v>
      </c>
      <c r="F249" s="15" t="s">
        <v>1168</v>
      </c>
      <c r="G249" s="15" t="s">
        <v>11227</v>
      </c>
      <c r="H249" s="15">
        <v>25</v>
      </c>
      <c r="I249" s="15">
        <v>27</v>
      </c>
      <c r="J249" s="15">
        <v>3</v>
      </c>
      <c r="K249" s="15" t="str">
        <f t="shared" si="3"/>
        <v>skullvalley</v>
      </c>
      <c r="L249" s="15" t="s">
        <v>11233</v>
      </c>
      <c r="M249" s="15">
        <v>1</v>
      </c>
      <c r="N249" s="15" t="s">
        <v>11222</v>
      </c>
      <c r="O249" s="15"/>
      <c r="P249" s="15"/>
      <c r="Q249" s="15"/>
      <c r="R249" s="15"/>
      <c r="S249" s="15"/>
      <c r="T249" s="15">
        <v>0</v>
      </c>
      <c r="U249" s="15"/>
      <c r="V249" s="15"/>
      <c r="W249" s="15"/>
      <c r="X249" s="15"/>
      <c r="Y249" s="15"/>
      <c r="Z249" s="15"/>
    </row>
    <row r="250" spans="1:26" x14ac:dyDescent="0.25">
      <c r="A250" s="15" t="s">
        <v>14345</v>
      </c>
      <c r="B250" s="15">
        <v>249</v>
      </c>
      <c r="C250" s="15" t="s">
        <v>11277</v>
      </c>
      <c r="D250" s="15" t="s">
        <v>11277</v>
      </c>
      <c r="E250" s="15" t="s">
        <v>1067</v>
      </c>
      <c r="F250" s="15" t="s">
        <v>1168</v>
      </c>
      <c r="G250" s="15" t="s">
        <v>11283</v>
      </c>
      <c r="H250" s="15">
        <v>25</v>
      </c>
      <c r="I250" s="15">
        <v>27</v>
      </c>
      <c r="J250" s="15">
        <v>15</v>
      </c>
      <c r="K250" s="15" t="str">
        <f t="shared" si="3"/>
        <v>skullvalley</v>
      </c>
      <c r="L250" s="15" t="s">
        <v>11245</v>
      </c>
      <c r="M250" s="15">
        <v>2</v>
      </c>
      <c r="N250" s="15" t="s">
        <v>11223</v>
      </c>
      <c r="O250" s="15"/>
      <c r="P250" s="15"/>
      <c r="Q250" s="15"/>
      <c r="R250" s="15"/>
      <c r="S250" s="15"/>
      <c r="T250" s="15">
        <v>0</v>
      </c>
      <c r="U250" s="15"/>
      <c r="V250" s="15"/>
      <c r="W250" s="15"/>
      <c r="X250" s="15"/>
      <c r="Y250" s="15"/>
      <c r="Z250" s="15"/>
    </row>
    <row r="251" spans="1:26" x14ac:dyDescent="0.25">
      <c r="A251" s="15" t="s">
        <v>14346</v>
      </c>
      <c r="B251" s="15">
        <v>250</v>
      </c>
      <c r="C251" s="15" t="s">
        <v>11277</v>
      </c>
      <c r="D251" s="15" t="s">
        <v>11277</v>
      </c>
      <c r="E251" s="15" t="s">
        <v>1067</v>
      </c>
      <c r="F251" s="15" t="s">
        <v>1168</v>
      </c>
      <c r="G251" s="15" t="s">
        <v>11287</v>
      </c>
      <c r="H251" s="15">
        <v>25</v>
      </c>
      <c r="I251" s="15">
        <v>27</v>
      </c>
      <c r="J251" s="15">
        <v>17</v>
      </c>
      <c r="K251" s="15" t="str">
        <f t="shared" si="3"/>
        <v>skullvalley</v>
      </c>
      <c r="L251" s="15" t="s">
        <v>11245</v>
      </c>
      <c r="M251" s="15">
        <v>1</v>
      </c>
      <c r="N251" s="15" t="s">
        <v>11222</v>
      </c>
      <c r="O251" s="15"/>
      <c r="P251" s="15"/>
      <c r="Q251" s="15"/>
      <c r="R251" s="15"/>
      <c r="S251" s="15"/>
      <c r="T251" s="15">
        <v>0</v>
      </c>
      <c r="U251" s="15"/>
      <c r="V251" s="15"/>
      <c r="W251" s="15"/>
      <c r="X251" s="15"/>
      <c r="Y251" s="15"/>
      <c r="Z251" s="15"/>
    </row>
    <row r="252" spans="1:26" x14ac:dyDescent="0.25">
      <c r="A252" s="15" t="s">
        <v>14347</v>
      </c>
      <c r="B252" s="15">
        <v>251</v>
      </c>
      <c r="C252" s="15" t="s">
        <v>11277</v>
      </c>
      <c r="D252" s="15" t="s">
        <v>11277</v>
      </c>
      <c r="E252" s="15" t="s">
        <v>1067</v>
      </c>
      <c r="F252" s="15" t="s">
        <v>1168</v>
      </c>
      <c r="G252" s="15" t="s">
        <v>11312</v>
      </c>
      <c r="H252" s="15">
        <v>25</v>
      </c>
      <c r="I252" s="15">
        <v>27</v>
      </c>
      <c r="J252" s="15">
        <v>20</v>
      </c>
      <c r="K252" s="15" t="str">
        <f t="shared" si="3"/>
        <v>skullvalley</v>
      </c>
      <c r="L252" s="15" t="s">
        <v>11245</v>
      </c>
      <c r="M252" s="15">
        <v>1</v>
      </c>
      <c r="N252" s="15" t="s">
        <v>11222</v>
      </c>
      <c r="O252" s="15"/>
      <c r="P252" s="15"/>
      <c r="Q252" s="15"/>
      <c r="R252" s="15"/>
      <c r="S252" s="15"/>
      <c r="T252" s="15">
        <v>0</v>
      </c>
      <c r="U252" s="15"/>
      <c r="V252" s="15"/>
      <c r="W252" s="15"/>
      <c r="X252" s="15"/>
      <c r="Y252" s="15"/>
      <c r="Z252" s="15"/>
    </row>
    <row r="253" spans="1:26" x14ac:dyDescent="0.25">
      <c r="A253" s="15" t="s">
        <v>14348</v>
      </c>
      <c r="B253" s="15">
        <v>252</v>
      </c>
      <c r="C253" s="15" t="s">
        <v>11277</v>
      </c>
      <c r="D253" s="15" t="s">
        <v>11277</v>
      </c>
      <c r="E253" s="15" t="s">
        <v>1067</v>
      </c>
      <c r="F253" s="15" t="s">
        <v>1168</v>
      </c>
      <c r="G253" s="15" t="s">
        <v>11224</v>
      </c>
      <c r="H253" s="15">
        <v>25</v>
      </c>
      <c r="I253" s="15">
        <v>27</v>
      </c>
      <c r="J253" s="15">
        <v>21</v>
      </c>
      <c r="K253" s="15" t="str">
        <f t="shared" si="3"/>
        <v>skullvalley</v>
      </c>
      <c r="L253" s="15" t="s">
        <v>14088</v>
      </c>
      <c r="M253" s="15">
        <v>2</v>
      </c>
      <c r="N253" s="15" t="s">
        <v>11223</v>
      </c>
      <c r="O253" s="15"/>
      <c r="P253" s="15"/>
      <c r="Q253" s="15" t="s">
        <v>11227</v>
      </c>
      <c r="R253" s="15" t="s">
        <v>11231</v>
      </c>
      <c r="S253" s="15" t="s">
        <v>11230</v>
      </c>
      <c r="T253" s="15">
        <v>0</v>
      </c>
      <c r="U253" s="15"/>
      <c r="V253" s="15"/>
      <c r="W253" s="15"/>
      <c r="X253" s="15"/>
      <c r="Y253" s="15"/>
      <c r="Z253" s="15"/>
    </row>
    <row r="254" spans="1:26" x14ac:dyDescent="0.25">
      <c r="A254" s="15" t="s">
        <v>14349</v>
      </c>
      <c r="B254" s="15">
        <v>253</v>
      </c>
      <c r="C254" s="15" t="s">
        <v>11277</v>
      </c>
      <c r="D254" s="15" t="s">
        <v>11277</v>
      </c>
      <c r="E254" s="15" t="s">
        <v>1067</v>
      </c>
      <c r="F254" s="15" t="s">
        <v>1168</v>
      </c>
      <c r="G254" s="15" t="s">
        <v>11262</v>
      </c>
      <c r="H254" s="15">
        <v>25</v>
      </c>
      <c r="I254" s="15">
        <v>27</v>
      </c>
      <c r="J254" s="15">
        <v>43</v>
      </c>
      <c r="K254" s="15" t="str">
        <f t="shared" si="3"/>
        <v>skullvalley</v>
      </c>
      <c r="L254" s="15" t="s">
        <v>14088</v>
      </c>
      <c r="M254" s="15">
        <v>2</v>
      </c>
      <c r="N254" s="15" t="s">
        <v>11223</v>
      </c>
      <c r="O254" s="15"/>
      <c r="P254" s="15"/>
      <c r="Q254" s="15" t="s">
        <v>11227</v>
      </c>
      <c r="R254" s="15"/>
      <c r="S254" s="15"/>
      <c r="T254" s="15">
        <v>0</v>
      </c>
      <c r="U254" s="15"/>
      <c r="V254" s="15"/>
      <c r="W254" s="15"/>
      <c r="X254" s="15"/>
      <c r="Y254" s="15"/>
      <c r="Z254" s="15"/>
    </row>
    <row r="255" spans="1:26" x14ac:dyDescent="0.25">
      <c r="A255" s="15" t="s">
        <v>14350</v>
      </c>
      <c r="B255" s="15">
        <v>254</v>
      </c>
      <c r="C255" s="15" t="s">
        <v>11277</v>
      </c>
      <c r="D255" s="15" t="s">
        <v>11277</v>
      </c>
      <c r="E255" s="15" t="s">
        <v>1067</v>
      </c>
      <c r="F255" s="15" t="s">
        <v>1168</v>
      </c>
      <c r="G255" s="15" t="s">
        <v>11393</v>
      </c>
      <c r="H255" s="15">
        <v>25</v>
      </c>
      <c r="I255" s="15">
        <v>27</v>
      </c>
      <c r="J255" s="15">
        <v>50</v>
      </c>
      <c r="K255" s="15" t="str">
        <f t="shared" si="3"/>
        <v>skullvalley</v>
      </c>
      <c r="L255" s="15" t="s">
        <v>14088</v>
      </c>
      <c r="M255" s="15">
        <v>2</v>
      </c>
      <c r="N255" s="15" t="s">
        <v>11223</v>
      </c>
      <c r="O255" s="15"/>
      <c r="P255" s="15"/>
      <c r="Q255" s="15" t="s">
        <v>11262</v>
      </c>
      <c r="R255" s="15"/>
      <c r="S255" s="15"/>
      <c r="T255" s="15">
        <v>0</v>
      </c>
      <c r="U255" s="15"/>
      <c r="V255" s="15"/>
      <c r="W255" s="15"/>
      <c r="X255" s="15"/>
      <c r="Y255" s="15"/>
      <c r="Z255" s="15"/>
    </row>
    <row r="256" spans="1:26" x14ac:dyDescent="0.25">
      <c r="A256" s="15" t="s">
        <v>14351</v>
      </c>
      <c r="B256" s="15">
        <v>255</v>
      </c>
      <c r="C256" s="15" t="s">
        <v>11277</v>
      </c>
      <c r="D256" s="15" t="s">
        <v>11277</v>
      </c>
      <c r="E256" s="15" t="s">
        <v>1067</v>
      </c>
      <c r="F256" s="15" t="s">
        <v>1168</v>
      </c>
      <c r="G256" s="15" t="s">
        <v>11394</v>
      </c>
      <c r="H256" s="15">
        <v>25</v>
      </c>
      <c r="I256" s="15">
        <v>27</v>
      </c>
      <c r="J256" s="15">
        <v>50</v>
      </c>
      <c r="K256" s="15" t="str">
        <f t="shared" si="3"/>
        <v>skullvalley</v>
      </c>
      <c r="L256" s="15" t="s">
        <v>14088</v>
      </c>
      <c r="M256" s="15">
        <v>3</v>
      </c>
      <c r="N256" s="15" t="s">
        <v>11223</v>
      </c>
      <c r="O256" s="15" t="s">
        <v>14032</v>
      </c>
      <c r="P256" s="15"/>
      <c r="Q256" s="15" t="s">
        <v>11227</v>
      </c>
      <c r="R256" s="15" t="s">
        <v>11262</v>
      </c>
      <c r="S256" s="15"/>
      <c r="T256" s="15">
        <v>3</v>
      </c>
      <c r="U256" s="15"/>
      <c r="V256" s="15"/>
      <c r="W256" s="15"/>
      <c r="X256" s="15"/>
      <c r="Y256" s="15"/>
      <c r="Z256" s="15"/>
    </row>
    <row r="257" spans="1:26" x14ac:dyDescent="0.25">
      <c r="A257" s="15" t="s">
        <v>14352</v>
      </c>
      <c r="B257" s="15">
        <v>256</v>
      </c>
      <c r="C257" s="15" t="s">
        <v>11277</v>
      </c>
      <c r="D257" s="15" t="s">
        <v>11277</v>
      </c>
      <c r="E257" s="15" t="s">
        <v>1067</v>
      </c>
      <c r="F257" s="15" t="s">
        <v>1166</v>
      </c>
      <c r="G257" s="15" t="s">
        <v>11258</v>
      </c>
      <c r="H257" s="15">
        <v>30</v>
      </c>
      <c r="I257" s="15">
        <v>30.8</v>
      </c>
      <c r="J257" s="15">
        <v>5</v>
      </c>
      <c r="K257" s="15" t="str">
        <f t="shared" si="3"/>
        <v>thebrewersbeacon</v>
      </c>
      <c r="L257" s="15" t="s">
        <v>11234</v>
      </c>
      <c r="M257" s="15">
        <v>1</v>
      </c>
      <c r="N257" s="15" t="s">
        <v>11222</v>
      </c>
      <c r="O257" s="15"/>
      <c r="P257" s="15"/>
      <c r="Q257" s="15"/>
      <c r="R257" s="15"/>
      <c r="S257" s="15"/>
      <c r="T257" s="15">
        <v>0</v>
      </c>
      <c r="U257" s="15"/>
      <c r="V257" s="15"/>
      <c r="W257" s="15"/>
      <c r="X257" s="15"/>
      <c r="Y257" s="15"/>
      <c r="Z257" s="15"/>
    </row>
    <row r="258" spans="1:26" x14ac:dyDescent="0.25">
      <c r="A258" s="15" t="s">
        <v>14353</v>
      </c>
      <c r="B258" s="15">
        <v>257</v>
      </c>
      <c r="C258" s="15" t="s">
        <v>11277</v>
      </c>
      <c r="D258" s="15" t="s">
        <v>11277</v>
      </c>
      <c r="E258" s="15" t="s">
        <v>1067</v>
      </c>
      <c r="F258" s="15" t="s">
        <v>1166</v>
      </c>
      <c r="G258" s="15" t="s">
        <v>11231</v>
      </c>
      <c r="H258" s="15">
        <v>30</v>
      </c>
      <c r="I258" s="15">
        <v>30.8</v>
      </c>
      <c r="J258" s="15">
        <v>7</v>
      </c>
      <c r="K258" s="15" t="str">
        <f t="shared" ref="K258:K321" si="4">LOWER(SUBSTITUTE(SUBSTITUTE(SUBSTITUTE(SUBSTITUTE(SUBSTITUTE(F258," ",""),"(",""),")",""),"'",""),"-",""))</f>
        <v>thebrewersbeacon</v>
      </c>
      <c r="L258" s="15" t="s">
        <v>11234</v>
      </c>
      <c r="M258" s="15">
        <v>2</v>
      </c>
      <c r="N258" s="15" t="s">
        <v>11223</v>
      </c>
      <c r="O258" s="15"/>
      <c r="P258" s="15"/>
      <c r="Q258" s="15"/>
      <c r="R258" s="15"/>
      <c r="S258" s="15"/>
      <c r="T258" s="15">
        <v>0</v>
      </c>
      <c r="U258" s="15"/>
      <c r="V258" s="15"/>
      <c r="W258" s="15"/>
      <c r="X258" s="15"/>
      <c r="Y258" s="15"/>
      <c r="Z258" s="15"/>
    </row>
    <row r="259" spans="1:26" x14ac:dyDescent="0.25">
      <c r="A259" s="15" t="s">
        <v>14354</v>
      </c>
      <c r="B259" s="15">
        <v>258</v>
      </c>
      <c r="C259" s="15" t="s">
        <v>11277</v>
      </c>
      <c r="D259" s="15" t="s">
        <v>11277</v>
      </c>
      <c r="E259" s="15" t="s">
        <v>1067</v>
      </c>
      <c r="F259" s="15" t="s">
        <v>1166</v>
      </c>
      <c r="G259" s="15" t="s">
        <v>11311</v>
      </c>
      <c r="H259" s="15">
        <v>30</v>
      </c>
      <c r="I259" s="15">
        <v>30.8</v>
      </c>
      <c r="J259" s="15">
        <v>16</v>
      </c>
      <c r="K259" s="15" t="str">
        <f t="shared" si="4"/>
        <v>thebrewersbeacon</v>
      </c>
      <c r="L259" s="15" t="s">
        <v>11245</v>
      </c>
      <c r="M259" s="15">
        <v>1</v>
      </c>
      <c r="N259" s="15" t="s">
        <v>11222</v>
      </c>
      <c r="O259" s="15"/>
      <c r="P259" s="15"/>
      <c r="Q259" s="15"/>
      <c r="R259" s="15"/>
      <c r="S259" s="15"/>
      <c r="T259" s="15">
        <v>0</v>
      </c>
      <c r="U259" s="15"/>
      <c r="V259" s="15"/>
      <c r="W259" s="15"/>
      <c r="X259" s="15"/>
      <c r="Y259" s="15"/>
      <c r="Z259" s="15"/>
    </row>
    <row r="260" spans="1:26" x14ac:dyDescent="0.25">
      <c r="A260" s="15" t="s">
        <v>14355</v>
      </c>
      <c r="B260" s="15">
        <v>259</v>
      </c>
      <c r="C260" s="15" t="s">
        <v>11277</v>
      </c>
      <c r="D260" s="15" t="s">
        <v>11277</v>
      </c>
      <c r="E260" s="15" t="s">
        <v>1067</v>
      </c>
      <c r="F260" s="15" t="s">
        <v>1166</v>
      </c>
      <c r="G260" s="15" t="s">
        <v>11287</v>
      </c>
      <c r="H260" s="15">
        <v>30</v>
      </c>
      <c r="I260" s="15">
        <v>30.8</v>
      </c>
      <c r="J260" s="15">
        <v>17</v>
      </c>
      <c r="K260" s="15" t="str">
        <f t="shared" si="4"/>
        <v>thebrewersbeacon</v>
      </c>
      <c r="L260" s="15" t="s">
        <v>11245</v>
      </c>
      <c r="M260" s="15">
        <v>1</v>
      </c>
      <c r="N260" s="15" t="s">
        <v>11222</v>
      </c>
      <c r="O260" s="15"/>
      <c r="P260" s="15"/>
      <c r="Q260" s="15"/>
      <c r="R260" s="15"/>
      <c r="S260" s="15"/>
      <c r="T260" s="15">
        <v>0</v>
      </c>
      <c r="U260" s="15"/>
      <c r="V260" s="15"/>
      <c r="W260" s="15"/>
      <c r="X260" s="15"/>
      <c r="Y260" s="15"/>
      <c r="Z260" s="15"/>
    </row>
    <row r="261" spans="1:26" x14ac:dyDescent="0.25">
      <c r="A261" s="15" t="s">
        <v>14356</v>
      </c>
      <c r="B261" s="15">
        <v>260</v>
      </c>
      <c r="C261" s="15" t="s">
        <v>11277</v>
      </c>
      <c r="D261" s="15" t="s">
        <v>11277</v>
      </c>
      <c r="E261" s="15" t="s">
        <v>1067</v>
      </c>
      <c r="F261" s="15" t="s">
        <v>1166</v>
      </c>
      <c r="G261" s="15" t="s">
        <v>11293</v>
      </c>
      <c r="H261" s="15">
        <v>30</v>
      </c>
      <c r="I261" s="15">
        <v>30.8</v>
      </c>
      <c r="J261" s="15">
        <v>18</v>
      </c>
      <c r="K261" s="15" t="str">
        <f t="shared" si="4"/>
        <v>thebrewersbeacon</v>
      </c>
      <c r="L261" s="15" t="s">
        <v>11245</v>
      </c>
      <c r="M261" s="15">
        <v>2</v>
      </c>
      <c r="N261" s="15" t="s">
        <v>11223</v>
      </c>
      <c r="O261" s="15"/>
      <c r="P261" s="15"/>
      <c r="Q261" s="15"/>
      <c r="R261" s="15"/>
      <c r="S261" s="15"/>
      <c r="T261" s="15">
        <v>0</v>
      </c>
      <c r="U261" s="15"/>
      <c r="V261" s="15"/>
      <c r="W261" s="15"/>
      <c r="X261" s="15"/>
      <c r="Y261" s="15"/>
      <c r="Z261" s="15"/>
    </row>
    <row r="262" spans="1:26" x14ac:dyDescent="0.25">
      <c r="A262" s="15" t="s">
        <v>14357</v>
      </c>
      <c r="B262" s="15">
        <v>261</v>
      </c>
      <c r="C262" s="15" t="s">
        <v>11277</v>
      </c>
      <c r="D262" s="15" t="s">
        <v>11277</v>
      </c>
      <c r="E262" s="15" t="s">
        <v>1067</v>
      </c>
      <c r="F262" s="15" t="s">
        <v>1166</v>
      </c>
      <c r="G262" s="15" t="s">
        <v>11260</v>
      </c>
      <c r="H262" s="15">
        <v>30</v>
      </c>
      <c r="I262" s="15">
        <v>30.8</v>
      </c>
      <c r="J262" s="15">
        <v>25</v>
      </c>
      <c r="K262" s="15" t="str">
        <f t="shared" si="4"/>
        <v>thebrewersbeacon</v>
      </c>
      <c r="L262" s="15" t="s">
        <v>14088</v>
      </c>
      <c r="M262" s="15">
        <v>2</v>
      </c>
      <c r="N262" s="15" t="s">
        <v>11223</v>
      </c>
      <c r="O262" s="15"/>
      <c r="P262" s="15"/>
      <c r="Q262" s="15" t="s">
        <v>11231</v>
      </c>
      <c r="R262" s="15"/>
      <c r="S262" s="15"/>
      <c r="T262" s="15">
        <v>0</v>
      </c>
      <c r="U262" s="15"/>
      <c r="V262" s="15"/>
      <c r="W262" s="15"/>
      <c r="X262" s="15"/>
      <c r="Y262" s="15"/>
      <c r="Z262" s="15"/>
    </row>
    <row r="263" spans="1:26" x14ac:dyDescent="0.25">
      <c r="A263" s="15" t="s">
        <v>14358</v>
      </c>
      <c r="B263" s="15">
        <v>262</v>
      </c>
      <c r="C263" s="15" t="s">
        <v>11277</v>
      </c>
      <c r="D263" s="15" t="s">
        <v>11277</v>
      </c>
      <c r="E263" s="15" t="s">
        <v>1067</v>
      </c>
      <c r="F263" s="15" t="s">
        <v>1166</v>
      </c>
      <c r="G263" s="15" t="s">
        <v>11342</v>
      </c>
      <c r="H263" s="15">
        <v>30</v>
      </c>
      <c r="I263" s="15">
        <v>30.8</v>
      </c>
      <c r="J263" s="15">
        <v>50</v>
      </c>
      <c r="K263" s="15" t="str">
        <f t="shared" si="4"/>
        <v>thebrewersbeacon</v>
      </c>
      <c r="L263" s="15" t="s">
        <v>14088</v>
      </c>
      <c r="M263" s="15">
        <v>3</v>
      </c>
      <c r="N263" s="15" t="s">
        <v>11223</v>
      </c>
      <c r="O263" s="15"/>
      <c r="P263" s="15"/>
      <c r="Q263" s="15" t="s">
        <v>11260</v>
      </c>
      <c r="R263" s="15"/>
      <c r="S263" s="15"/>
      <c r="T263" s="15">
        <v>2</v>
      </c>
      <c r="U263" s="15"/>
      <c r="V263" s="15"/>
      <c r="W263" s="15"/>
      <c r="X263" s="15"/>
      <c r="Y263" s="15"/>
      <c r="Z263" s="15"/>
    </row>
    <row r="264" spans="1:26" x14ac:dyDescent="0.25">
      <c r="A264" s="15" t="s">
        <v>14359</v>
      </c>
      <c r="B264" s="15">
        <v>263</v>
      </c>
      <c r="C264" s="15" t="s">
        <v>11277</v>
      </c>
      <c r="D264" s="15" t="s">
        <v>11277</v>
      </c>
      <c r="E264" s="15" t="s">
        <v>1067</v>
      </c>
      <c r="F264" s="15" t="s">
        <v>1166</v>
      </c>
      <c r="G264" s="15" t="s">
        <v>11395</v>
      </c>
      <c r="H264" s="15">
        <v>30</v>
      </c>
      <c r="I264" s="15">
        <v>30.8</v>
      </c>
      <c r="J264" s="15">
        <v>50</v>
      </c>
      <c r="K264" s="15" t="str">
        <f t="shared" si="4"/>
        <v>thebrewersbeacon</v>
      </c>
      <c r="L264" s="15" t="s">
        <v>11289</v>
      </c>
      <c r="M264" s="15">
        <v>3</v>
      </c>
      <c r="N264" s="15" t="s">
        <v>11223</v>
      </c>
      <c r="O264" s="15" t="s">
        <v>14010</v>
      </c>
      <c r="P264" s="15"/>
      <c r="Q264" s="15"/>
      <c r="R264" s="15"/>
      <c r="S264" s="15"/>
      <c r="T264" s="15">
        <v>3</v>
      </c>
      <c r="U264" s="15" t="s">
        <v>5893</v>
      </c>
      <c r="V264" s="15" t="s">
        <v>5892</v>
      </c>
      <c r="W264" s="15"/>
      <c r="X264" s="15"/>
      <c r="Y264" s="15"/>
      <c r="Z264" s="15"/>
    </row>
    <row r="265" spans="1:26" x14ac:dyDescent="0.25">
      <c r="A265" s="15" t="s">
        <v>14360</v>
      </c>
      <c r="B265" s="15">
        <v>264</v>
      </c>
      <c r="C265" s="15" t="s">
        <v>11277</v>
      </c>
      <c r="D265" s="15" t="s">
        <v>11277</v>
      </c>
      <c r="E265" s="15" t="s">
        <v>1067</v>
      </c>
      <c r="F265" s="15" t="s">
        <v>1182</v>
      </c>
      <c r="G265" s="15" t="s">
        <v>11396</v>
      </c>
      <c r="H265" s="15">
        <v>17</v>
      </c>
      <c r="I265" s="15">
        <v>20</v>
      </c>
      <c r="J265" s="15">
        <v>24</v>
      </c>
      <c r="K265" s="15" t="str">
        <f t="shared" si="4"/>
        <v>halfstone</v>
      </c>
      <c r="L265" s="15" t="s">
        <v>11315</v>
      </c>
      <c r="M265" s="15">
        <v>2</v>
      </c>
      <c r="N265" s="15" t="s">
        <v>11223</v>
      </c>
      <c r="O265" s="15"/>
      <c r="P265" s="15"/>
      <c r="Q265" s="15"/>
      <c r="R265" s="15"/>
      <c r="S265" s="15"/>
      <c r="T265" s="15">
        <v>0</v>
      </c>
      <c r="U265" s="15"/>
      <c r="V265" s="15"/>
      <c r="W265" s="15"/>
      <c r="X265" s="15"/>
      <c r="Y265" s="15"/>
      <c r="Z265" s="15"/>
    </row>
    <row r="266" spans="1:26" x14ac:dyDescent="0.25">
      <c r="A266" s="15" t="s">
        <v>14361</v>
      </c>
      <c r="B266" s="15">
        <v>265</v>
      </c>
      <c r="C266" s="15" t="s">
        <v>11277</v>
      </c>
      <c r="D266" s="15" t="s">
        <v>11277</v>
      </c>
      <c r="E266" s="15" t="s">
        <v>1067</v>
      </c>
      <c r="F266" s="15" t="s">
        <v>1182</v>
      </c>
      <c r="G266" s="15" t="s">
        <v>11326</v>
      </c>
      <c r="H266" s="15">
        <v>17</v>
      </c>
      <c r="I266" s="15">
        <v>20</v>
      </c>
      <c r="J266" s="15">
        <v>25</v>
      </c>
      <c r="K266" s="15" t="str">
        <f t="shared" si="4"/>
        <v>halfstone</v>
      </c>
      <c r="L266" s="15" t="s">
        <v>11313</v>
      </c>
      <c r="M266" s="15">
        <v>1</v>
      </c>
      <c r="N266" s="15" t="s">
        <v>11222</v>
      </c>
      <c r="O266" s="15"/>
      <c r="P266" s="15"/>
      <c r="Q266" s="15"/>
      <c r="R266" s="15"/>
      <c r="S266" s="15"/>
      <c r="T266" s="15">
        <v>0</v>
      </c>
      <c r="U266" s="15"/>
      <c r="V266" s="15"/>
      <c r="W266" s="15"/>
      <c r="X266" s="15"/>
      <c r="Y266" s="15"/>
      <c r="Z266" s="15"/>
    </row>
    <row r="267" spans="1:26" x14ac:dyDescent="0.25">
      <c r="A267" s="15" t="s">
        <v>14362</v>
      </c>
      <c r="B267" s="15">
        <v>266</v>
      </c>
      <c r="C267" s="15" t="s">
        <v>11277</v>
      </c>
      <c r="D267" s="15" t="s">
        <v>11277</v>
      </c>
      <c r="E267" s="15" t="s">
        <v>1067</v>
      </c>
      <c r="F267" s="15" t="s">
        <v>1182</v>
      </c>
      <c r="G267" s="15" t="s">
        <v>11397</v>
      </c>
      <c r="H267" s="15">
        <v>17</v>
      </c>
      <c r="I267" s="15">
        <v>20</v>
      </c>
      <c r="J267" s="15">
        <v>29</v>
      </c>
      <c r="K267" s="15" t="str">
        <f t="shared" si="4"/>
        <v>halfstone</v>
      </c>
      <c r="L267" s="15" t="s">
        <v>11317</v>
      </c>
      <c r="M267" s="15">
        <v>2</v>
      </c>
      <c r="N267" s="15" t="s">
        <v>11223</v>
      </c>
      <c r="O267" s="15"/>
      <c r="P267" s="15"/>
      <c r="Q267" s="15"/>
      <c r="R267" s="15"/>
      <c r="S267" s="15"/>
      <c r="T267" s="15">
        <v>0</v>
      </c>
      <c r="U267" s="15"/>
      <c r="V267" s="15"/>
      <c r="W267" s="15"/>
      <c r="X267" s="15"/>
      <c r="Y267" s="15"/>
      <c r="Z267" s="15"/>
    </row>
    <row r="268" spans="1:26" x14ac:dyDescent="0.25">
      <c r="A268" s="15" t="s">
        <v>14363</v>
      </c>
      <c r="B268" s="15">
        <v>267</v>
      </c>
      <c r="C268" s="15" t="s">
        <v>11277</v>
      </c>
      <c r="D268" s="15" t="s">
        <v>11277</v>
      </c>
      <c r="E268" s="15" t="s">
        <v>1067</v>
      </c>
      <c r="F268" s="15" t="s">
        <v>1182</v>
      </c>
      <c r="G268" s="15" t="s">
        <v>11332</v>
      </c>
      <c r="H268" s="15">
        <v>17</v>
      </c>
      <c r="I268" s="15">
        <v>20</v>
      </c>
      <c r="J268" s="15">
        <v>30</v>
      </c>
      <c r="K268" s="15" t="str">
        <f t="shared" si="4"/>
        <v>halfstone</v>
      </c>
      <c r="L268" s="15" t="s">
        <v>11285</v>
      </c>
      <c r="M268" s="15">
        <v>1</v>
      </c>
      <c r="N268" s="15" t="s">
        <v>11222</v>
      </c>
      <c r="O268" s="15"/>
      <c r="P268" s="15"/>
      <c r="Q268" s="15"/>
      <c r="R268" s="15"/>
      <c r="S268" s="15"/>
      <c r="T268" s="15">
        <v>0</v>
      </c>
      <c r="U268" s="15"/>
      <c r="V268" s="15"/>
      <c r="W268" s="15"/>
      <c r="X268" s="15"/>
      <c r="Y268" s="15"/>
      <c r="Z268" s="15"/>
    </row>
    <row r="269" spans="1:26" x14ac:dyDescent="0.25">
      <c r="A269" s="15" t="s">
        <v>14364</v>
      </c>
      <c r="B269" s="15">
        <v>268</v>
      </c>
      <c r="C269" s="15" t="s">
        <v>11277</v>
      </c>
      <c r="D269" s="15" t="s">
        <v>11277</v>
      </c>
      <c r="E269" s="15" t="s">
        <v>1067</v>
      </c>
      <c r="F269" s="15" t="s">
        <v>1182</v>
      </c>
      <c r="G269" s="15" t="s">
        <v>11335</v>
      </c>
      <c r="H269" s="15">
        <v>17</v>
      </c>
      <c r="I269" s="15">
        <v>20</v>
      </c>
      <c r="J269" s="15">
        <v>35</v>
      </c>
      <c r="K269" s="15" t="str">
        <f t="shared" si="4"/>
        <v>halfstone</v>
      </c>
      <c r="L269" s="15" t="s">
        <v>11336</v>
      </c>
      <c r="M269" s="15">
        <v>1</v>
      </c>
      <c r="N269" s="15" t="s">
        <v>11222</v>
      </c>
      <c r="O269" s="15"/>
      <c r="P269" s="15"/>
      <c r="Q269" s="15"/>
      <c r="R269" s="15"/>
      <c r="S269" s="15"/>
      <c r="T269" s="15">
        <v>0</v>
      </c>
      <c r="U269" s="15"/>
      <c r="V269" s="15"/>
      <c r="W269" s="15"/>
      <c r="X269" s="15"/>
      <c r="Y269" s="15"/>
      <c r="Z269" s="15"/>
    </row>
    <row r="270" spans="1:26" x14ac:dyDescent="0.25">
      <c r="A270" s="15" t="s">
        <v>14365</v>
      </c>
      <c r="B270" s="15">
        <v>269</v>
      </c>
      <c r="C270" s="15" t="s">
        <v>11277</v>
      </c>
      <c r="D270" s="15" t="s">
        <v>11277</v>
      </c>
      <c r="E270" s="15" t="s">
        <v>1067</v>
      </c>
      <c r="F270" s="15" t="s">
        <v>1182</v>
      </c>
      <c r="G270" s="15" t="s">
        <v>11398</v>
      </c>
      <c r="H270" s="15">
        <v>17</v>
      </c>
      <c r="I270" s="15">
        <v>20</v>
      </c>
      <c r="J270" s="15">
        <v>36</v>
      </c>
      <c r="K270" s="15" t="str">
        <f t="shared" si="4"/>
        <v>halfstone</v>
      </c>
      <c r="L270" s="15" t="s">
        <v>11336</v>
      </c>
      <c r="M270" s="15">
        <v>2</v>
      </c>
      <c r="N270" s="15" t="s">
        <v>11223</v>
      </c>
      <c r="O270" s="15"/>
      <c r="P270" s="15"/>
      <c r="Q270" s="15"/>
      <c r="R270" s="15"/>
      <c r="S270" s="15"/>
      <c r="T270" s="15">
        <v>0</v>
      </c>
      <c r="U270" s="15"/>
      <c r="V270" s="15"/>
      <c r="W270" s="15"/>
      <c r="X270" s="15"/>
      <c r="Y270" s="15"/>
      <c r="Z270" s="15"/>
    </row>
    <row r="271" spans="1:26" x14ac:dyDescent="0.25">
      <c r="A271" s="15" t="s">
        <v>14366</v>
      </c>
      <c r="B271" s="15">
        <v>270</v>
      </c>
      <c r="C271" s="15" t="s">
        <v>11277</v>
      </c>
      <c r="D271" s="15" t="s">
        <v>11277</v>
      </c>
      <c r="E271" s="15" t="s">
        <v>1067</v>
      </c>
      <c r="F271" s="15" t="s">
        <v>1182</v>
      </c>
      <c r="G271" s="15" t="s">
        <v>11337</v>
      </c>
      <c r="H271" s="15">
        <v>17</v>
      </c>
      <c r="I271" s="15">
        <v>20</v>
      </c>
      <c r="J271" s="15">
        <v>37</v>
      </c>
      <c r="K271" s="15" t="str">
        <f t="shared" si="4"/>
        <v>halfstone</v>
      </c>
      <c r="L271" s="15" t="s">
        <v>11268</v>
      </c>
      <c r="M271" s="15">
        <v>2</v>
      </c>
      <c r="N271" s="15" t="s">
        <v>11223</v>
      </c>
      <c r="O271" s="15"/>
      <c r="P271" s="15"/>
      <c r="Q271" s="15"/>
      <c r="R271" s="15"/>
      <c r="S271" s="15"/>
      <c r="T271" s="15">
        <v>0</v>
      </c>
      <c r="U271" s="15"/>
      <c r="V271" s="15"/>
      <c r="W271" s="15"/>
      <c r="X271" s="15"/>
      <c r="Y271" s="15"/>
      <c r="Z271" s="15"/>
    </row>
    <row r="272" spans="1:26" x14ac:dyDescent="0.25">
      <c r="A272" s="15" t="s">
        <v>14367</v>
      </c>
      <c r="B272" s="15">
        <v>271</v>
      </c>
      <c r="C272" s="15" t="s">
        <v>11277</v>
      </c>
      <c r="D272" s="15" t="s">
        <v>11277</v>
      </c>
      <c r="E272" s="15" t="s">
        <v>1067</v>
      </c>
      <c r="F272" s="15" t="s">
        <v>1182</v>
      </c>
      <c r="G272" s="15" t="s">
        <v>11399</v>
      </c>
      <c r="H272" s="15">
        <v>17</v>
      </c>
      <c r="I272" s="15">
        <v>20</v>
      </c>
      <c r="J272" s="15">
        <v>50</v>
      </c>
      <c r="K272" s="15" t="str">
        <f t="shared" si="4"/>
        <v>halfstone</v>
      </c>
      <c r="L272" s="15" t="s">
        <v>11330</v>
      </c>
      <c r="M272" s="15">
        <v>3</v>
      </c>
      <c r="N272" s="15" t="s">
        <v>11223</v>
      </c>
      <c r="O272" s="15"/>
      <c r="P272" s="15"/>
      <c r="Q272" s="15"/>
      <c r="R272" s="15"/>
      <c r="S272" s="15"/>
      <c r="T272" s="15">
        <v>3</v>
      </c>
      <c r="U272" s="15" t="s">
        <v>5970</v>
      </c>
      <c r="V272" s="15"/>
      <c r="W272" s="15"/>
      <c r="X272" s="15"/>
      <c r="Y272" s="15"/>
      <c r="Z272" s="15"/>
    </row>
    <row r="273" spans="1:26" x14ac:dyDescent="0.25">
      <c r="A273" s="15" t="s">
        <v>14368</v>
      </c>
      <c r="B273" s="15">
        <v>272</v>
      </c>
      <c r="C273" s="15" t="s">
        <v>11277</v>
      </c>
      <c r="D273" s="15" t="s">
        <v>11277</v>
      </c>
      <c r="E273" s="15" t="s">
        <v>1067</v>
      </c>
      <c r="F273" s="15" t="s">
        <v>14369</v>
      </c>
      <c r="G273" s="15" t="s">
        <v>11227</v>
      </c>
      <c r="H273" s="15">
        <v>15</v>
      </c>
      <c r="I273" s="15">
        <v>29</v>
      </c>
      <c r="J273" s="15">
        <v>3</v>
      </c>
      <c r="K273" s="15" t="str">
        <f t="shared" si="4"/>
        <v>islesofumbranorthshore</v>
      </c>
      <c r="L273" s="15" t="s">
        <v>11233</v>
      </c>
      <c r="M273" s="15">
        <v>1</v>
      </c>
      <c r="N273" s="15" t="s">
        <v>11222</v>
      </c>
      <c r="O273" s="15"/>
      <c r="P273" s="15"/>
      <c r="Q273" s="15"/>
      <c r="R273" s="15"/>
      <c r="S273" s="15"/>
      <c r="T273" s="15">
        <v>0</v>
      </c>
      <c r="U273" s="15"/>
      <c r="V273" s="15"/>
      <c r="W273" s="15"/>
      <c r="X273" s="15"/>
      <c r="Y273" s="15"/>
      <c r="Z273" s="15"/>
    </row>
    <row r="274" spans="1:26" x14ac:dyDescent="0.25">
      <c r="A274" s="15" t="s">
        <v>14370</v>
      </c>
      <c r="B274" s="15">
        <v>273</v>
      </c>
      <c r="C274" s="15" t="s">
        <v>11277</v>
      </c>
      <c r="D274" s="15" t="s">
        <v>11277</v>
      </c>
      <c r="E274" s="15" t="s">
        <v>1067</v>
      </c>
      <c r="F274" s="15" t="s">
        <v>14369</v>
      </c>
      <c r="G274" s="15" t="s">
        <v>11230</v>
      </c>
      <c r="H274" s="15">
        <v>15</v>
      </c>
      <c r="I274" s="15">
        <v>29</v>
      </c>
      <c r="J274" s="15">
        <v>6</v>
      </c>
      <c r="K274" s="15" t="str">
        <f t="shared" si="4"/>
        <v>islesofumbranorthshore</v>
      </c>
      <c r="L274" s="15" t="s">
        <v>11234</v>
      </c>
      <c r="M274" s="15">
        <v>1</v>
      </c>
      <c r="N274" s="15" t="s">
        <v>11222</v>
      </c>
      <c r="O274" s="15"/>
      <c r="P274" s="15"/>
      <c r="Q274" s="15"/>
      <c r="R274" s="15"/>
      <c r="S274" s="15"/>
      <c r="T274" s="15">
        <v>0</v>
      </c>
      <c r="U274" s="15"/>
      <c r="V274" s="15"/>
      <c r="W274" s="15"/>
      <c r="X274" s="15"/>
      <c r="Y274" s="15"/>
      <c r="Z274" s="15"/>
    </row>
    <row r="275" spans="1:26" x14ac:dyDescent="0.25">
      <c r="A275" s="15" t="s">
        <v>14371</v>
      </c>
      <c r="B275" s="15">
        <v>274</v>
      </c>
      <c r="C275" s="15" t="s">
        <v>11277</v>
      </c>
      <c r="D275" s="15" t="s">
        <v>11277</v>
      </c>
      <c r="E275" s="15" t="s">
        <v>1067</v>
      </c>
      <c r="F275" s="15" t="s">
        <v>14369</v>
      </c>
      <c r="G275" s="15" t="s">
        <v>11328</v>
      </c>
      <c r="H275" s="15">
        <v>15</v>
      </c>
      <c r="I275" s="15">
        <v>29</v>
      </c>
      <c r="J275" s="15">
        <v>34</v>
      </c>
      <c r="K275" s="15" t="str">
        <f t="shared" si="4"/>
        <v>islesofumbranorthshore</v>
      </c>
      <c r="L275" s="15" t="s">
        <v>11285</v>
      </c>
      <c r="M275" s="15">
        <v>1</v>
      </c>
      <c r="N275" s="15" t="s">
        <v>11222</v>
      </c>
      <c r="O275" s="15" t="s">
        <v>14049</v>
      </c>
      <c r="P275" s="15"/>
      <c r="Q275" s="15"/>
      <c r="R275" s="15"/>
      <c r="S275" s="15"/>
      <c r="T275" s="15">
        <v>0</v>
      </c>
      <c r="U275" s="15"/>
      <c r="V275" s="15"/>
      <c r="W275" s="15"/>
      <c r="X275" s="15"/>
      <c r="Y275" s="15"/>
      <c r="Z275" s="15"/>
    </row>
    <row r="276" spans="1:26" x14ac:dyDescent="0.25">
      <c r="A276" s="15" t="s">
        <v>14372</v>
      </c>
      <c r="B276" s="15">
        <v>275</v>
      </c>
      <c r="C276" s="15" t="s">
        <v>11277</v>
      </c>
      <c r="D276" s="15" t="s">
        <v>11277</v>
      </c>
      <c r="E276" s="15" t="s">
        <v>1067</v>
      </c>
      <c r="F276" s="15" t="s">
        <v>14369</v>
      </c>
      <c r="G276" s="15" t="s">
        <v>11398</v>
      </c>
      <c r="H276" s="15">
        <v>15</v>
      </c>
      <c r="I276" s="15">
        <v>29</v>
      </c>
      <c r="J276" s="15">
        <v>36</v>
      </c>
      <c r="K276" s="15" t="str">
        <f t="shared" si="4"/>
        <v>islesofumbranorthshore</v>
      </c>
      <c r="L276" s="15" t="s">
        <v>11336</v>
      </c>
      <c r="M276" s="15">
        <v>2</v>
      </c>
      <c r="N276" s="15" t="s">
        <v>11223</v>
      </c>
      <c r="O276" s="15"/>
      <c r="P276" s="15"/>
      <c r="Q276" s="15"/>
      <c r="R276" s="15"/>
      <c r="S276" s="15"/>
      <c r="T276" s="15">
        <v>0</v>
      </c>
      <c r="U276" s="15"/>
      <c r="V276" s="15"/>
      <c r="W276" s="15"/>
      <c r="X276" s="15"/>
      <c r="Y276" s="15"/>
      <c r="Z276" s="15"/>
    </row>
    <row r="277" spans="1:26" x14ac:dyDescent="0.25">
      <c r="A277" s="15" t="s">
        <v>14373</v>
      </c>
      <c r="B277" s="15">
        <v>276</v>
      </c>
      <c r="C277" s="15" t="s">
        <v>11277</v>
      </c>
      <c r="D277" s="15" t="s">
        <v>11277</v>
      </c>
      <c r="E277" s="15" t="s">
        <v>1067</v>
      </c>
      <c r="F277" s="15" t="s">
        <v>14369</v>
      </c>
      <c r="G277" s="15" t="s">
        <v>11338</v>
      </c>
      <c r="H277" s="15">
        <v>15</v>
      </c>
      <c r="I277" s="15">
        <v>29</v>
      </c>
      <c r="J277" s="15">
        <v>40</v>
      </c>
      <c r="K277" s="15" t="str">
        <f t="shared" si="4"/>
        <v>islesofumbranorthshore</v>
      </c>
      <c r="L277" s="15" t="s">
        <v>11336</v>
      </c>
      <c r="M277" s="15">
        <v>1</v>
      </c>
      <c r="N277" s="15" t="s">
        <v>11222</v>
      </c>
      <c r="O277" s="15"/>
      <c r="P277" s="15"/>
      <c r="Q277" s="15"/>
      <c r="R277" s="15"/>
      <c r="S277" s="15"/>
      <c r="T277" s="15">
        <v>0</v>
      </c>
      <c r="U277" s="15"/>
      <c r="V277" s="15"/>
      <c r="W277" s="15"/>
      <c r="X277" s="15"/>
      <c r="Y277" s="15"/>
      <c r="Z277" s="15"/>
    </row>
    <row r="278" spans="1:26" x14ac:dyDescent="0.25">
      <c r="A278" s="15" t="s">
        <v>14374</v>
      </c>
      <c r="B278" s="15">
        <v>277</v>
      </c>
      <c r="C278" s="15" t="s">
        <v>11277</v>
      </c>
      <c r="D278" s="15" t="s">
        <v>11277</v>
      </c>
      <c r="E278" s="15" t="s">
        <v>1067</v>
      </c>
      <c r="F278" s="15" t="s">
        <v>14369</v>
      </c>
      <c r="G278" s="15" t="s">
        <v>11261</v>
      </c>
      <c r="H278" s="15">
        <v>15</v>
      </c>
      <c r="I278" s="15">
        <v>29</v>
      </c>
      <c r="J278" s="15">
        <v>41</v>
      </c>
      <c r="K278" s="15" t="str">
        <f t="shared" si="4"/>
        <v>islesofumbranorthshore</v>
      </c>
      <c r="L278" s="15" t="s">
        <v>14088</v>
      </c>
      <c r="M278" s="15">
        <v>2</v>
      </c>
      <c r="N278" s="15" t="s">
        <v>11223</v>
      </c>
      <c r="O278" s="15"/>
      <c r="P278" s="15"/>
      <c r="Q278" s="15" t="s">
        <v>11227</v>
      </c>
      <c r="R278" s="15" t="s">
        <v>11328</v>
      </c>
      <c r="S278" s="15" t="s">
        <v>11262</v>
      </c>
      <c r="T278" s="15">
        <v>0</v>
      </c>
      <c r="U278" s="15"/>
      <c r="V278" s="15"/>
      <c r="W278" s="15"/>
      <c r="X278" s="15"/>
      <c r="Y278" s="15"/>
      <c r="Z278" s="15"/>
    </row>
    <row r="279" spans="1:26" x14ac:dyDescent="0.25">
      <c r="A279" s="15" t="s">
        <v>14375</v>
      </c>
      <c r="B279" s="15">
        <v>278</v>
      </c>
      <c r="C279" s="15" t="s">
        <v>11277</v>
      </c>
      <c r="D279" s="15" t="s">
        <v>11277</v>
      </c>
      <c r="E279" s="15" t="s">
        <v>1067</v>
      </c>
      <c r="F279" s="15" t="s">
        <v>14369</v>
      </c>
      <c r="G279" s="15" t="s">
        <v>11262</v>
      </c>
      <c r="H279" s="15">
        <v>15</v>
      </c>
      <c r="I279" s="15">
        <v>29</v>
      </c>
      <c r="J279" s="15">
        <v>43</v>
      </c>
      <c r="K279" s="15" t="str">
        <f t="shared" si="4"/>
        <v>islesofumbranorthshore</v>
      </c>
      <c r="L279" s="15" t="s">
        <v>14088</v>
      </c>
      <c r="M279" s="15">
        <v>2</v>
      </c>
      <c r="N279" s="15" t="s">
        <v>11223</v>
      </c>
      <c r="O279" s="15"/>
      <c r="P279" s="15"/>
      <c r="Q279" s="15" t="s">
        <v>11227</v>
      </c>
      <c r="R279" s="15"/>
      <c r="S279" s="15"/>
      <c r="T279" s="15">
        <v>0</v>
      </c>
      <c r="U279" s="15"/>
      <c r="V279" s="15"/>
      <c r="W279" s="15"/>
      <c r="X279" s="15"/>
      <c r="Y279" s="15"/>
      <c r="Z279" s="15"/>
    </row>
    <row r="280" spans="1:26" x14ac:dyDescent="0.25">
      <c r="A280" s="15" t="s">
        <v>14376</v>
      </c>
      <c r="B280" s="15">
        <v>279</v>
      </c>
      <c r="C280" s="15" t="s">
        <v>11277</v>
      </c>
      <c r="D280" s="15" t="s">
        <v>11277</v>
      </c>
      <c r="E280" s="15" t="s">
        <v>1067</v>
      </c>
      <c r="F280" s="15" t="s">
        <v>14369</v>
      </c>
      <c r="G280" s="15" t="s">
        <v>11624</v>
      </c>
      <c r="H280" s="15">
        <v>15</v>
      </c>
      <c r="I280" s="15">
        <v>29</v>
      </c>
      <c r="J280" s="15">
        <v>46</v>
      </c>
      <c r="K280" s="15" t="str">
        <f t="shared" si="4"/>
        <v>islesofumbranorthshore</v>
      </c>
      <c r="L280" s="15" t="s">
        <v>11289</v>
      </c>
      <c r="M280" s="15">
        <v>2</v>
      </c>
      <c r="N280" s="15" t="s">
        <v>11223</v>
      </c>
      <c r="O280" s="15"/>
      <c r="P280" s="15"/>
      <c r="Q280" s="15"/>
      <c r="R280" s="15"/>
      <c r="S280" s="15"/>
      <c r="T280" s="15">
        <v>0</v>
      </c>
      <c r="U280" s="15"/>
      <c r="V280" s="15"/>
      <c r="W280" s="15"/>
      <c r="X280" s="15"/>
      <c r="Y280" s="15"/>
      <c r="Z280" s="15"/>
    </row>
    <row r="281" spans="1:26" x14ac:dyDescent="0.25">
      <c r="A281" s="15" t="s">
        <v>14377</v>
      </c>
      <c r="B281" s="15">
        <v>280</v>
      </c>
      <c r="C281" s="15" t="s">
        <v>11277</v>
      </c>
      <c r="D281" s="15" t="s">
        <v>11277</v>
      </c>
      <c r="E281" s="15" t="s">
        <v>1067</v>
      </c>
      <c r="F281" s="15" t="s">
        <v>14369</v>
      </c>
      <c r="G281" s="15" t="s">
        <v>11625</v>
      </c>
      <c r="H281" s="15">
        <v>15</v>
      </c>
      <c r="I281" s="15">
        <v>29</v>
      </c>
      <c r="J281" s="15">
        <v>50</v>
      </c>
      <c r="K281" s="15" t="str">
        <f t="shared" si="4"/>
        <v>islesofumbranorthshore</v>
      </c>
      <c r="L281" s="15" t="s">
        <v>14088</v>
      </c>
      <c r="M281" s="15">
        <v>2</v>
      </c>
      <c r="N281" s="15" t="s">
        <v>11223</v>
      </c>
      <c r="O281" s="15"/>
      <c r="P281" s="15"/>
      <c r="Q281" s="15" t="s">
        <v>11230</v>
      </c>
      <c r="R281" s="15"/>
      <c r="S281" s="15"/>
      <c r="T281" s="15">
        <v>0</v>
      </c>
      <c r="U281" s="15" t="s">
        <v>5908</v>
      </c>
      <c r="V281" s="15"/>
      <c r="W281" s="15"/>
      <c r="X281" s="15"/>
      <c r="Y281" s="15"/>
      <c r="Z281" s="15"/>
    </row>
    <row r="282" spans="1:26" x14ac:dyDescent="0.25">
      <c r="A282" s="15" t="s">
        <v>14378</v>
      </c>
      <c r="B282" s="15">
        <v>281</v>
      </c>
      <c r="C282" s="15" t="s">
        <v>11277</v>
      </c>
      <c r="D282" s="15" t="s">
        <v>11277</v>
      </c>
      <c r="E282" s="15" t="s">
        <v>1067</v>
      </c>
      <c r="F282" s="15" t="s">
        <v>14369</v>
      </c>
      <c r="G282" s="15" t="s">
        <v>11626</v>
      </c>
      <c r="H282" s="15">
        <v>15</v>
      </c>
      <c r="I282" s="15">
        <v>29</v>
      </c>
      <c r="J282" s="15">
        <v>50</v>
      </c>
      <c r="K282" s="15" t="str">
        <f t="shared" si="4"/>
        <v>islesofumbranorthshore</v>
      </c>
      <c r="L282" s="15" t="s">
        <v>14088</v>
      </c>
      <c r="M282" s="15">
        <v>3</v>
      </c>
      <c r="N282" s="15" t="s">
        <v>11223</v>
      </c>
      <c r="O282" s="15" t="s">
        <v>14011</v>
      </c>
      <c r="P282" s="15"/>
      <c r="Q282" s="15" t="s">
        <v>11230</v>
      </c>
      <c r="R282" s="15"/>
      <c r="S282" s="15"/>
      <c r="T282" s="15">
        <v>3</v>
      </c>
      <c r="U282" s="15" t="s">
        <v>5908</v>
      </c>
      <c r="V282" s="15" t="s">
        <v>5914</v>
      </c>
      <c r="W282" s="15" t="s">
        <v>14151</v>
      </c>
      <c r="X282" s="15"/>
      <c r="Y282" s="15"/>
      <c r="Z282" s="15"/>
    </row>
    <row r="283" spans="1:26" x14ac:dyDescent="0.25">
      <c r="A283" s="15" t="s">
        <v>14379</v>
      </c>
      <c r="B283" s="15">
        <v>282</v>
      </c>
      <c r="C283" s="15" t="s">
        <v>11277</v>
      </c>
      <c r="D283" s="15" t="s">
        <v>11277</v>
      </c>
      <c r="E283" s="15" t="s">
        <v>1067</v>
      </c>
      <c r="F283" s="15" t="s">
        <v>14369</v>
      </c>
      <c r="G283" s="15" t="s">
        <v>11468</v>
      </c>
      <c r="H283" s="15">
        <v>15</v>
      </c>
      <c r="I283" s="15">
        <v>29</v>
      </c>
      <c r="J283" s="15">
        <v>36</v>
      </c>
      <c r="K283" s="15" t="str">
        <f t="shared" si="4"/>
        <v>islesofumbranorthshore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25">
      <c r="A284" s="15" t="s">
        <v>14380</v>
      </c>
      <c r="B284" s="15">
        <v>283</v>
      </c>
      <c r="C284" s="15" t="s">
        <v>11277</v>
      </c>
      <c r="D284" s="15" t="s">
        <v>11277</v>
      </c>
      <c r="E284" s="15" t="s">
        <v>1067</v>
      </c>
      <c r="F284" s="15" t="s">
        <v>1178</v>
      </c>
      <c r="G284" s="15" t="s">
        <v>11227</v>
      </c>
      <c r="H284" s="15">
        <v>15</v>
      </c>
      <c r="I284" s="15">
        <v>35</v>
      </c>
      <c r="J284" s="15">
        <v>3</v>
      </c>
      <c r="K284" s="15" t="str">
        <f t="shared" si="4"/>
        <v>theshipgraveyard</v>
      </c>
      <c r="L284" s="15" t="s">
        <v>11233</v>
      </c>
      <c r="M284" s="15">
        <v>1</v>
      </c>
      <c r="N284" s="15" t="s">
        <v>11222</v>
      </c>
      <c r="O284" s="15"/>
      <c r="P284" s="15"/>
      <c r="Q284" s="15"/>
      <c r="R284" s="15"/>
      <c r="S284" s="15"/>
      <c r="T284" s="15">
        <v>0</v>
      </c>
      <c r="U284" s="15"/>
      <c r="V284" s="15"/>
      <c r="W284" s="15"/>
      <c r="X284" s="15"/>
      <c r="Y284" s="15"/>
      <c r="Z284" s="15"/>
    </row>
    <row r="285" spans="1:26" x14ac:dyDescent="0.25">
      <c r="A285" s="15" t="s">
        <v>14381</v>
      </c>
      <c r="B285" s="15">
        <v>284</v>
      </c>
      <c r="C285" s="15" t="s">
        <v>11277</v>
      </c>
      <c r="D285" s="15" t="s">
        <v>11277</v>
      </c>
      <c r="E285" s="15" t="s">
        <v>1067</v>
      </c>
      <c r="F285" s="15" t="s">
        <v>1178</v>
      </c>
      <c r="G285" s="15" t="s">
        <v>11338</v>
      </c>
      <c r="H285" s="15">
        <v>15</v>
      </c>
      <c r="I285" s="15">
        <v>35</v>
      </c>
      <c r="J285" s="15">
        <v>40</v>
      </c>
      <c r="K285" s="15" t="str">
        <f t="shared" si="4"/>
        <v>theshipgraveyard</v>
      </c>
      <c r="L285" s="15" t="s">
        <v>11339</v>
      </c>
      <c r="M285" s="15">
        <v>1</v>
      </c>
      <c r="N285" s="15" t="s">
        <v>11222</v>
      </c>
      <c r="O285" s="15"/>
      <c r="P285" s="15"/>
      <c r="Q285" s="15"/>
      <c r="R285" s="15"/>
      <c r="S285" s="15"/>
      <c r="T285" s="15">
        <v>0</v>
      </c>
      <c r="U285" s="15"/>
      <c r="V285" s="15"/>
      <c r="W285" s="15"/>
      <c r="X285" s="15"/>
      <c r="Y285" s="15"/>
      <c r="Z285" s="15"/>
    </row>
    <row r="286" spans="1:26" x14ac:dyDescent="0.25">
      <c r="A286" s="15" t="s">
        <v>14382</v>
      </c>
      <c r="B286" s="15">
        <v>285</v>
      </c>
      <c r="C286" s="15" t="s">
        <v>11277</v>
      </c>
      <c r="D286" s="15" t="s">
        <v>11277</v>
      </c>
      <c r="E286" s="15" t="s">
        <v>1067</v>
      </c>
      <c r="F286" s="15" t="s">
        <v>1178</v>
      </c>
      <c r="G286" s="15" t="s">
        <v>11262</v>
      </c>
      <c r="H286" s="15">
        <v>15</v>
      </c>
      <c r="I286" s="15">
        <v>35</v>
      </c>
      <c r="J286" s="15">
        <v>43</v>
      </c>
      <c r="K286" s="15" t="str">
        <f t="shared" si="4"/>
        <v>theshipgraveyard</v>
      </c>
      <c r="L286" s="15" t="s">
        <v>14088</v>
      </c>
      <c r="M286" s="15">
        <v>2</v>
      </c>
      <c r="N286" s="15" t="s">
        <v>11223</v>
      </c>
      <c r="O286" s="15"/>
      <c r="P286" s="15"/>
      <c r="Q286" s="15" t="s">
        <v>11227</v>
      </c>
      <c r="R286" s="15"/>
      <c r="S286" s="15"/>
      <c r="T286" s="15">
        <v>0</v>
      </c>
      <c r="U286" s="15"/>
      <c r="V286" s="15"/>
      <c r="W286" s="15"/>
      <c r="X286" s="15"/>
      <c r="Y286" s="15"/>
      <c r="Z286" s="15"/>
    </row>
    <row r="287" spans="1:26" x14ac:dyDescent="0.25">
      <c r="A287" s="15" t="s">
        <v>14383</v>
      </c>
      <c r="B287" s="15">
        <v>286</v>
      </c>
      <c r="C287" s="15" t="s">
        <v>11277</v>
      </c>
      <c r="D287" s="15" t="s">
        <v>11277</v>
      </c>
      <c r="E287" s="15" t="s">
        <v>1067</v>
      </c>
      <c r="F287" s="15" t="s">
        <v>1178</v>
      </c>
      <c r="G287" s="15" t="s">
        <v>11481</v>
      </c>
      <c r="H287" s="15">
        <v>15</v>
      </c>
      <c r="I287" s="15">
        <v>35</v>
      </c>
      <c r="J287" s="15">
        <v>44</v>
      </c>
      <c r="K287" s="15" t="str">
        <f t="shared" si="4"/>
        <v>theshipgraveyard</v>
      </c>
      <c r="L287" s="15" t="s">
        <v>11339</v>
      </c>
      <c r="M287" s="15">
        <v>1</v>
      </c>
      <c r="N287" s="15" t="s">
        <v>11222</v>
      </c>
      <c r="O287" s="15"/>
      <c r="P287" s="15"/>
      <c r="Q287" s="15"/>
      <c r="R287" s="15"/>
      <c r="S287" s="15"/>
      <c r="T287" s="15">
        <v>0</v>
      </c>
      <c r="U287" s="15"/>
      <c r="V287" s="15"/>
      <c r="W287" s="15"/>
      <c r="X287" s="15"/>
      <c r="Y287" s="15"/>
      <c r="Z287" s="15"/>
    </row>
    <row r="288" spans="1:26" x14ac:dyDescent="0.25">
      <c r="A288" s="15" t="s">
        <v>14384</v>
      </c>
      <c r="B288" s="15">
        <v>287</v>
      </c>
      <c r="C288" s="15" t="s">
        <v>11277</v>
      </c>
      <c r="D288" s="15" t="s">
        <v>11277</v>
      </c>
      <c r="E288" s="15" t="s">
        <v>1067</v>
      </c>
      <c r="F288" s="15" t="s">
        <v>1178</v>
      </c>
      <c r="G288" s="15" t="s">
        <v>11624</v>
      </c>
      <c r="H288" s="15">
        <v>15</v>
      </c>
      <c r="I288" s="15">
        <v>35</v>
      </c>
      <c r="J288" s="15">
        <v>46</v>
      </c>
      <c r="K288" s="15" t="str">
        <f t="shared" si="4"/>
        <v>theshipgraveyard</v>
      </c>
      <c r="L288" s="15" t="s">
        <v>11291</v>
      </c>
      <c r="M288" s="15">
        <v>2</v>
      </c>
      <c r="N288" s="15" t="s">
        <v>11223</v>
      </c>
      <c r="O288" s="15"/>
      <c r="P288" s="15"/>
      <c r="Q288" s="15"/>
      <c r="R288" s="15"/>
      <c r="S288" s="15"/>
      <c r="T288" s="15">
        <v>0</v>
      </c>
      <c r="U288" s="15"/>
      <c r="V288" s="15"/>
      <c r="W288" s="15"/>
      <c r="X288" s="15"/>
      <c r="Y288" s="15"/>
      <c r="Z288" s="15"/>
    </row>
    <row r="289" spans="1:26" x14ac:dyDescent="0.25">
      <c r="A289" s="15" t="s">
        <v>14385</v>
      </c>
      <c r="B289" s="15">
        <v>288</v>
      </c>
      <c r="C289" s="15" t="s">
        <v>11277</v>
      </c>
      <c r="D289" s="15" t="s">
        <v>11277</v>
      </c>
      <c r="E289" s="15" t="s">
        <v>1067</v>
      </c>
      <c r="F289" s="15" t="s">
        <v>1178</v>
      </c>
      <c r="G289" s="15" t="s">
        <v>11627</v>
      </c>
      <c r="H289" s="15">
        <v>15</v>
      </c>
      <c r="I289" s="15">
        <v>35</v>
      </c>
      <c r="J289" s="15">
        <v>47</v>
      </c>
      <c r="K289" s="15" t="str">
        <f t="shared" si="4"/>
        <v>theshipgraveyard</v>
      </c>
      <c r="L289" s="15" t="s">
        <v>11376</v>
      </c>
      <c r="M289" s="15">
        <v>2</v>
      </c>
      <c r="N289" s="15" t="s">
        <v>11223</v>
      </c>
      <c r="O289" s="15"/>
      <c r="P289" s="15"/>
      <c r="Q289" s="15"/>
      <c r="R289" s="15"/>
      <c r="S289" s="15"/>
      <c r="T289" s="15">
        <v>0</v>
      </c>
      <c r="U289" s="15"/>
      <c r="V289" s="15"/>
      <c r="W289" s="15"/>
      <c r="X289" s="15"/>
      <c r="Y289" s="15"/>
      <c r="Z289" s="15"/>
    </row>
    <row r="290" spans="1:26" x14ac:dyDescent="0.25">
      <c r="A290" s="15" t="s">
        <v>14386</v>
      </c>
      <c r="B290" s="15">
        <v>289</v>
      </c>
      <c r="C290" s="15" t="s">
        <v>11277</v>
      </c>
      <c r="D290" s="15" t="s">
        <v>11277</v>
      </c>
      <c r="E290" s="15" t="s">
        <v>1067</v>
      </c>
      <c r="F290" s="15" t="s">
        <v>1178</v>
      </c>
      <c r="G290" s="15" t="s">
        <v>11482</v>
      </c>
      <c r="H290" s="15">
        <v>15</v>
      </c>
      <c r="I290" s="15">
        <v>35</v>
      </c>
      <c r="J290" s="15">
        <v>48</v>
      </c>
      <c r="K290" s="15" t="str">
        <f t="shared" si="4"/>
        <v>theshipgraveyard</v>
      </c>
      <c r="L290" s="15" t="s">
        <v>11289</v>
      </c>
      <c r="M290" s="15">
        <v>2</v>
      </c>
      <c r="N290" s="15" t="s">
        <v>11223</v>
      </c>
      <c r="O290" s="15"/>
      <c r="P290" s="15"/>
      <c r="Q290" s="15"/>
      <c r="R290" s="15"/>
      <c r="S290" s="15"/>
      <c r="T290" s="15">
        <v>0</v>
      </c>
      <c r="U290" s="15"/>
      <c r="V290" s="15"/>
      <c r="W290" s="15"/>
      <c r="X290" s="15"/>
      <c r="Y290" s="15"/>
      <c r="Z290" s="15"/>
    </row>
    <row r="291" spans="1:26" x14ac:dyDescent="0.25">
      <c r="A291" s="15" t="s">
        <v>14387</v>
      </c>
      <c r="B291" s="15">
        <v>290</v>
      </c>
      <c r="C291" s="15" t="s">
        <v>11277</v>
      </c>
      <c r="D291" s="15" t="s">
        <v>11277</v>
      </c>
      <c r="E291" s="15" t="s">
        <v>1067</v>
      </c>
      <c r="F291" s="15" t="s">
        <v>1178</v>
      </c>
      <c r="G291" s="15" t="s">
        <v>11349</v>
      </c>
      <c r="H291" s="15">
        <v>15</v>
      </c>
      <c r="I291" s="15">
        <v>35</v>
      </c>
      <c r="J291" s="15">
        <v>50</v>
      </c>
      <c r="K291" s="15" t="str">
        <f t="shared" si="4"/>
        <v>theshipgraveyard</v>
      </c>
      <c r="L291" s="15" t="s">
        <v>14088</v>
      </c>
      <c r="M291" s="15">
        <v>3</v>
      </c>
      <c r="N291" s="15" t="s">
        <v>11223</v>
      </c>
      <c r="O291" s="15"/>
      <c r="P291" s="15"/>
      <c r="Q291" s="15" t="s">
        <v>11262</v>
      </c>
      <c r="R291" s="15"/>
      <c r="S291" s="15"/>
      <c r="T291" s="15">
        <v>1</v>
      </c>
      <c r="U291" s="15"/>
      <c r="V291" s="15"/>
      <c r="W291" s="15"/>
      <c r="X291" s="15"/>
      <c r="Y291" s="15"/>
      <c r="Z291" s="15"/>
    </row>
    <row r="292" spans="1:26" x14ac:dyDescent="0.25">
      <c r="A292" s="15" t="s">
        <v>14388</v>
      </c>
      <c r="B292" s="15">
        <v>291</v>
      </c>
      <c r="C292" s="15" t="s">
        <v>11277</v>
      </c>
      <c r="D292" s="15" t="s">
        <v>11277</v>
      </c>
      <c r="E292" s="15" t="s">
        <v>1067</v>
      </c>
      <c r="F292" s="15" t="s">
        <v>1178</v>
      </c>
      <c r="G292" s="15" t="s">
        <v>11348</v>
      </c>
      <c r="H292" s="15">
        <v>15</v>
      </c>
      <c r="I292" s="15">
        <v>35</v>
      </c>
      <c r="J292" s="15">
        <v>50</v>
      </c>
      <c r="K292" s="15" t="str">
        <f t="shared" si="4"/>
        <v>theshipgraveyard</v>
      </c>
      <c r="L292" s="15" t="s">
        <v>14088</v>
      </c>
      <c r="M292" s="15">
        <v>3</v>
      </c>
      <c r="N292" s="15" t="s">
        <v>11223</v>
      </c>
      <c r="O292" s="15"/>
      <c r="P292" s="15"/>
      <c r="Q292" s="15" t="s">
        <v>11348</v>
      </c>
      <c r="R292" s="15"/>
      <c r="S292" s="15"/>
      <c r="T292" s="15">
        <v>2</v>
      </c>
      <c r="U292" s="15"/>
      <c r="V292" s="15"/>
      <c r="W292" s="15"/>
      <c r="X292" s="15"/>
      <c r="Y292" s="15"/>
      <c r="Z292" s="15"/>
    </row>
    <row r="293" spans="1:26" x14ac:dyDescent="0.25">
      <c r="A293" s="15" t="s">
        <v>14389</v>
      </c>
      <c r="B293" s="15">
        <v>292</v>
      </c>
      <c r="C293" s="15" t="s">
        <v>11277</v>
      </c>
      <c r="D293" s="15" t="s">
        <v>11277</v>
      </c>
      <c r="E293" s="15" t="s">
        <v>1067</v>
      </c>
      <c r="F293" s="15" t="s">
        <v>1178</v>
      </c>
      <c r="G293" s="15" t="s">
        <v>11628</v>
      </c>
      <c r="H293" s="15">
        <v>15</v>
      </c>
      <c r="I293" s="15">
        <v>35</v>
      </c>
      <c r="J293" s="15">
        <v>50</v>
      </c>
      <c r="K293" s="15" t="str">
        <f t="shared" si="4"/>
        <v>theshipgraveyard</v>
      </c>
      <c r="L293" s="15" t="s">
        <v>14088</v>
      </c>
      <c r="M293" s="15">
        <v>3</v>
      </c>
      <c r="N293" s="15" t="s">
        <v>11223</v>
      </c>
      <c r="O293" s="15" t="s">
        <v>14038</v>
      </c>
      <c r="P293" s="15"/>
      <c r="Q293" s="15" t="s">
        <v>11349</v>
      </c>
      <c r="R293" s="15"/>
      <c r="S293" s="15"/>
      <c r="T293" s="15">
        <v>3</v>
      </c>
      <c r="U293" s="15" t="s">
        <v>5908</v>
      </c>
      <c r="V293" s="15" t="s">
        <v>5914</v>
      </c>
      <c r="W293" s="15"/>
      <c r="X293" s="15"/>
      <c r="Y293" s="15"/>
      <c r="Z293" s="15"/>
    </row>
    <row r="294" spans="1:26" x14ac:dyDescent="0.25">
      <c r="A294" s="15" t="s">
        <v>14390</v>
      </c>
      <c r="B294" s="15">
        <v>293</v>
      </c>
      <c r="C294" s="15" t="s">
        <v>11277</v>
      </c>
      <c r="D294" s="15" t="s">
        <v>11277</v>
      </c>
      <c r="E294" s="15" t="s">
        <v>1067</v>
      </c>
      <c r="F294" s="15" t="s">
        <v>1178</v>
      </c>
      <c r="G294" s="15" t="s">
        <v>11403</v>
      </c>
      <c r="H294" s="15">
        <v>15</v>
      </c>
      <c r="I294" s="15">
        <v>35</v>
      </c>
      <c r="J294" s="15">
        <v>41</v>
      </c>
      <c r="K294" s="15" t="str">
        <f t="shared" si="4"/>
        <v>theshipgraveyard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25">
      <c r="A295" s="15" t="s">
        <v>14391</v>
      </c>
      <c r="B295" s="15">
        <v>294</v>
      </c>
      <c r="C295" s="15" t="s">
        <v>11277</v>
      </c>
      <c r="D295" s="15" t="s">
        <v>11277</v>
      </c>
      <c r="E295" s="15" t="s">
        <v>1067</v>
      </c>
      <c r="F295" s="15" t="s">
        <v>1189</v>
      </c>
      <c r="G295" s="15" t="s">
        <v>11328</v>
      </c>
      <c r="H295" s="15">
        <v>17</v>
      </c>
      <c r="I295" s="15">
        <v>15</v>
      </c>
      <c r="J295" s="15">
        <v>34</v>
      </c>
      <c r="K295" s="15" t="str">
        <f t="shared" si="4"/>
        <v>sapsaspawninggrounds</v>
      </c>
      <c r="L295" s="15" t="s">
        <v>11285</v>
      </c>
      <c r="M295" s="15">
        <v>1</v>
      </c>
      <c r="N295" s="15" t="s">
        <v>11222</v>
      </c>
      <c r="O295" s="15" t="s">
        <v>14049</v>
      </c>
      <c r="P295" s="15"/>
      <c r="Q295" s="15"/>
      <c r="R295" s="15"/>
      <c r="S295" s="15"/>
      <c r="T295" s="15">
        <v>0</v>
      </c>
      <c r="U295" s="15"/>
      <c r="V295" s="15"/>
      <c r="W295" s="15"/>
      <c r="X295" s="15"/>
      <c r="Y295" s="15"/>
      <c r="Z295" s="15"/>
    </row>
    <row r="296" spans="1:26" x14ac:dyDescent="0.25">
      <c r="A296" s="15" t="s">
        <v>14392</v>
      </c>
      <c r="B296" s="15">
        <v>295</v>
      </c>
      <c r="C296" s="15" t="s">
        <v>11277</v>
      </c>
      <c r="D296" s="15" t="s">
        <v>11277</v>
      </c>
      <c r="E296" s="15" t="s">
        <v>1067</v>
      </c>
      <c r="F296" s="15" t="s">
        <v>1189</v>
      </c>
      <c r="G296" s="15" t="s">
        <v>11335</v>
      </c>
      <c r="H296" s="15">
        <v>17</v>
      </c>
      <c r="I296" s="15">
        <v>15</v>
      </c>
      <c r="J296" s="15">
        <v>35</v>
      </c>
      <c r="K296" s="15" t="str">
        <f t="shared" si="4"/>
        <v>sapsaspawninggrounds</v>
      </c>
      <c r="L296" s="15" t="s">
        <v>11336</v>
      </c>
      <c r="M296" s="15">
        <v>1</v>
      </c>
      <c r="N296" s="15" t="s">
        <v>11222</v>
      </c>
      <c r="O296" s="15"/>
      <c r="P296" s="15"/>
      <c r="Q296" s="15"/>
      <c r="R296" s="15"/>
      <c r="S296" s="15"/>
      <c r="T296" s="15">
        <v>0</v>
      </c>
      <c r="U296" s="15"/>
      <c r="V296" s="15"/>
      <c r="W296" s="15"/>
      <c r="X296" s="15"/>
      <c r="Y296" s="15"/>
      <c r="Z296" s="15"/>
    </row>
    <row r="297" spans="1:26" x14ac:dyDescent="0.25">
      <c r="A297" s="15" t="s">
        <v>14393</v>
      </c>
      <c r="B297" s="15">
        <v>296</v>
      </c>
      <c r="C297" s="15" t="s">
        <v>11277</v>
      </c>
      <c r="D297" s="15" t="s">
        <v>11277</v>
      </c>
      <c r="E297" s="15" t="s">
        <v>1067</v>
      </c>
      <c r="F297" s="15" t="s">
        <v>1189</v>
      </c>
      <c r="G297" s="15" t="s">
        <v>11338</v>
      </c>
      <c r="H297" s="15">
        <v>17</v>
      </c>
      <c r="I297" s="15">
        <v>15</v>
      </c>
      <c r="J297" s="15">
        <v>40</v>
      </c>
      <c r="K297" s="15" t="str">
        <f t="shared" si="4"/>
        <v>sapsaspawninggrounds</v>
      </c>
      <c r="L297" s="15" t="s">
        <v>11336</v>
      </c>
      <c r="M297" s="15">
        <v>1</v>
      </c>
      <c r="N297" s="15" t="s">
        <v>11222</v>
      </c>
      <c r="O297" s="15"/>
      <c r="P297" s="15"/>
      <c r="Q297" s="15"/>
      <c r="R297" s="15"/>
      <c r="S297" s="15"/>
      <c r="T297" s="15">
        <v>0</v>
      </c>
      <c r="U297" s="15"/>
      <c r="V297" s="15"/>
      <c r="W297" s="15"/>
      <c r="X297" s="15"/>
      <c r="Y297" s="15"/>
      <c r="Z297" s="15"/>
    </row>
    <row r="298" spans="1:26" x14ac:dyDescent="0.25">
      <c r="A298" s="15" t="s">
        <v>14394</v>
      </c>
      <c r="B298" s="15">
        <v>297</v>
      </c>
      <c r="C298" s="15" t="s">
        <v>11277</v>
      </c>
      <c r="D298" s="15" t="s">
        <v>11277</v>
      </c>
      <c r="E298" s="15" t="s">
        <v>1067</v>
      </c>
      <c r="F298" s="15" t="s">
        <v>1189</v>
      </c>
      <c r="G298" s="15" t="s">
        <v>11481</v>
      </c>
      <c r="H298" s="15">
        <v>17</v>
      </c>
      <c r="I298" s="15">
        <v>15</v>
      </c>
      <c r="J298" s="15">
        <v>44</v>
      </c>
      <c r="K298" s="15" t="str">
        <f t="shared" si="4"/>
        <v>sapsaspawninggrounds</v>
      </c>
      <c r="L298" s="15" t="s">
        <v>11339</v>
      </c>
      <c r="M298" s="15">
        <v>1</v>
      </c>
      <c r="N298" s="15" t="s">
        <v>11222</v>
      </c>
      <c r="O298" s="15"/>
      <c r="P298" s="15"/>
      <c r="Q298" s="15"/>
      <c r="R298" s="15"/>
      <c r="S298" s="15"/>
      <c r="T298" s="15">
        <v>0</v>
      </c>
      <c r="U298" s="15"/>
      <c r="V298" s="15"/>
      <c r="W298" s="15"/>
      <c r="X298" s="15"/>
      <c r="Y298" s="15"/>
      <c r="Z298" s="15"/>
    </row>
    <row r="299" spans="1:26" x14ac:dyDescent="0.25">
      <c r="A299" s="15" t="s">
        <v>14395</v>
      </c>
      <c r="B299" s="15">
        <v>298</v>
      </c>
      <c r="C299" s="15" t="s">
        <v>11277</v>
      </c>
      <c r="D299" s="15" t="s">
        <v>11277</v>
      </c>
      <c r="E299" s="15" t="s">
        <v>1067</v>
      </c>
      <c r="F299" s="15" t="s">
        <v>1189</v>
      </c>
      <c r="G299" s="15" t="s">
        <v>11629</v>
      </c>
      <c r="H299" s="15">
        <v>17</v>
      </c>
      <c r="I299" s="15">
        <v>15</v>
      </c>
      <c r="J299" s="15">
        <v>45</v>
      </c>
      <c r="K299" s="15" t="str">
        <f t="shared" si="4"/>
        <v>sapsaspawninggrounds</v>
      </c>
      <c r="L299" s="15" t="s">
        <v>14088</v>
      </c>
      <c r="M299" s="15">
        <v>2</v>
      </c>
      <c r="N299" s="15" t="s">
        <v>11223</v>
      </c>
      <c r="O299" s="15"/>
      <c r="P299" s="15"/>
      <c r="Q299" s="15" t="s">
        <v>11328</v>
      </c>
      <c r="R299" s="15"/>
      <c r="S299" s="15"/>
      <c r="T299" s="15">
        <v>0</v>
      </c>
      <c r="U299" s="15"/>
      <c r="V299" s="15"/>
      <c r="W299" s="15"/>
      <c r="X299" s="15"/>
      <c r="Y299" s="15"/>
      <c r="Z299" s="15"/>
    </row>
    <row r="300" spans="1:26" x14ac:dyDescent="0.25">
      <c r="A300" s="15" t="s">
        <v>14396</v>
      </c>
      <c r="B300" s="15">
        <v>299</v>
      </c>
      <c r="C300" s="15" t="s">
        <v>11277</v>
      </c>
      <c r="D300" s="15" t="s">
        <v>11277</v>
      </c>
      <c r="E300" s="15" t="s">
        <v>1067</v>
      </c>
      <c r="F300" s="15" t="s">
        <v>1189</v>
      </c>
      <c r="G300" s="15" t="s">
        <v>11483</v>
      </c>
      <c r="H300" s="15">
        <v>17</v>
      </c>
      <c r="I300" s="15">
        <v>15</v>
      </c>
      <c r="J300" s="15">
        <v>49</v>
      </c>
      <c r="K300" s="15" t="str">
        <f t="shared" si="4"/>
        <v>sapsaspawninggrounds</v>
      </c>
      <c r="L300" s="15" t="s">
        <v>11289</v>
      </c>
      <c r="M300" s="15">
        <v>2</v>
      </c>
      <c r="N300" s="15" t="s">
        <v>11223</v>
      </c>
      <c r="O300" s="15"/>
      <c r="P300" s="15"/>
      <c r="Q300" s="15"/>
      <c r="R300" s="15"/>
      <c r="S300" s="15"/>
      <c r="T300" s="15">
        <v>0</v>
      </c>
      <c r="U300" s="15"/>
      <c r="V300" s="15"/>
      <c r="W300" s="15"/>
      <c r="X300" s="15"/>
      <c r="Y300" s="15"/>
      <c r="Z300" s="15"/>
    </row>
    <row r="301" spans="1:26" x14ac:dyDescent="0.25">
      <c r="A301" s="15" t="s">
        <v>14397</v>
      </c>
      <c r="B301" s="15">
        <v>300</v>
      </c>
      <c r="C301" s="15" t="s">
        <v>11277</v>
      </c>
      <c r="D301" s="15" t="s">
        <v>11277</v>
      </c>
      <c r="E301" s="15" t="s">
        <v>1067</v>
      </c>
      <c r="F301" s="15" t="s">
        <v>1189</v>
      </c>
      <c r="G301" s="15" t="s">
        <v>11630</v>
      </c>
      <c r="H301" s="15">
        <v>17</v>
      </c>
      <c r="I301" s="15">
        <v>15</v>
      </c>
      <c r="J301" s="15">
        <v>50</v>
      </c>
      <c r="K301" s="15" t="str">
        <f t="shared" si="4"/>
        <v>sapsaspawninggrounds</v>
      </c>
      <c r="L301" s="15" t="s">
        <v>14088</v>
      </c>
      <c r="M301" s="15">
        <v>3</v>
      </c>
      <c r="N301" s="15" t="s">
        <v>11223</v>
      </c>
      <c r="O301" s="15" t="s">
        <v>14073</v>
      </c>
      <c r="P301" s="15"/>
      <c r="Q301" s="15" t="s">
        <v>11328</v>
      </c>
      <c r="R301" s="15"/>
      <c r="S301" s="15"/>
      <c r="T301" s="15">
        <v>3</v>
      </c>
      <c r="U301" s="15"/>
      <c r="V301" s="15"/>
      <c r="W301" s="15"/>
      <c r="X301" s="15"/>
      <c r="Y301" s="15"/>
      <c r="Z301" s="15"/>
    </row>
    <row r="302" spans="1:26" x14ac:dyDescent="0.25">
      <c r="A302" s="15" t="s">
        <v>14398</v>
      </c>
      <c r="B302" s="15">
        <v>301</v>
      </c>
      <c r="C302" s="15" t="s">
        <v>11277</v>
      </c>
      <c r="D302" s="15" t="s">
        <v>11277</v>
      </c>
      <c r="E302" s="15" t="s">
        <v>1067</v>
      </c>
      <c r="F302" s="15" t="s">
        <v>1189</v>
      </c>
      <c r="G302" s="15" t="s">
        <v>11403</v>
      </c>
      <c r="H302" s="15">
        <v>17</v>
      </c>
      <c r="I302" s="15">
        <v>15</v>
      </c>
      <c r="J302" s="15">
        <v>41</v>
      </c>
      <c r="K302" s="15" t="str">
        <f t="shared" si="4"/>
        <v>sapsaspawninggrounds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25">
      <c r="A303" s="15" t="s">
        <v>14399</v>
      </c>
      <c r="B303" s="15">
        <v>302</v>
      </c>
      <c r="C303" s="15" t="s">
        <v>11277</v>
      </c>
      <c r="D303" s="15" t="s">
        <v>11277</v>
      </c>
      <c r="E303" s="15" t="s">
        <v>1067</v>
      </c>
      <c r="F303" s="15" t="s">
        <v>14400</v>
      </c>
      <c r="G303" s="15" t="s">
        <v>11328</v>
      </c>
      <c r="H303" s="15">
        <v>12</v>
      </c>
      <c r="I303" s="15">
        <v>36</v>
      </c>
      <c r="J303" s="15">
        <v>34</v>
      </c>
      <c r="K303" s="15" t="str">
        <f t="shared" si="4"/>
        <v>islesofumbrasouthshore</v>
      </c>
      <c r="L303" s="15" t="s">
        <v>11285</v>
      </c>
      <c r="M303" s="15">
        <v>1</v>
      </c>
      <c r="N303" s="15" t="s">
        <v>11222</v>
      </c>
      <c r="O303" s="15" t="s">
        <v>14049</v>
      </c>
      <c r="P303" s="15"/>
      <c r="Q303" s="15"/>
      <c r="R303" s="15"/>
      <c r="S303" s="15"/>
      <c r="T303" s="15">
        <v>0</v>
      </c>
      <c r="U303" s="15"/>
      <c r="V303" s="15"/>
      <c r="W303" s="15"/>
      <c r="X303" s="15"/>
      <c r="Y303" s="15"/>
      <c r="Z303" s="15"/>
    </row>
    <row r="304" spans="1:26" x14ac:dyDescent="0.25">
      <c r="A304" s="15" t="s">
        <v>14401</v>
      </c>
      <c r="B304" s="15">
        <v>303</v>
      </c>
      <c r="C304" s="15" t="s">
        <v>11277</v>
      </c>
      <c r="D304" s="15" t="s">
        <v>11277</v>
      </c>
      <c r="E304" s="15" t="s">
        <v>1067</v>
      </c>
      <c r="F304" s="15" t="s">
        <v>14400</v>
      </c>
      <c r="G304" s="15" t="s">
        <v>11338</v>
      </c>
      <c r="H304" s="15">
        <v>12</v>
      </c>
      <c r="I304" s="15">
        <v>36</v>
      </c>
      <c r="J304" s="15">
        <v>40</v>
      </c>
      <c r="K304" s="15" t="str">
        <f t="shared" si="4"/>
        <v>islesofumbrasouthshore</v>
      </c>
      <c r="L304" s="15" t="s">
        <v>11336</v>
      </c>
      <c r="M304" s="15">
        <v>1</v>
      </c>
      <c r="N304" s="15" t="s">
        <v>11222</v>
      </c>
      <c r="O304" s="15"/>
      <c r="P304" s="15"/>
      <c r="Q304" s="15"/>
      <c r="R304" s="15"/>
      <c r="S304" s="15"/>
      <c r="T304" s="15">
        <v>0</v>
      </c>
      <c r="U304" s="15"/>
      <c r="V304" s="15"/>
      <c r="W304" s="15"/>
      <c r="X304" s="15"/>
      <c r="Y304" s="15"/>
      <c r="Z304" s="15"/>
    </row>
    <row r="305" spans="1:26" x14ac:dyDescent="0.25">
      <c r="A305" s="15" t="s">
        <v>14402</v>
      </c>
      <c r="B305" s="15">
        <v>304</v>
      </c>
      <c r="C305" s="15" t="s">
        <v>11277</v>
      </c>
      <c r="D305" s="15" t="s">
        <v>11277</v>
      </c>
      <c r="E305" s="15" t="s">
        <v>1067</v>
      </c>
      <c r="F305" s="15" t="s">
        <v>14400</v>
      </c>
      <c r="G305" s="15" t="s">
        <v>11481</v>
      </c>
      <c r="H305" s="15">
        <v>12</v>
      </c>
      <c r="I305" s="15">
        <v>36</v>
      </c>
      <c r="J305" s="15">
        <v>44</v>
      </c>
      <c r="K305" s="15" t="str">
        <f t="shared" si="4"/>
        <v>islesofumbrasouthshore</v>
      </c>
      <c r="L305" s="15" t="s">
        <v>11339</v>
      </c>
      <c r="M305" s="15">
        <v>1</v>
      </c>
      <c r="N305" s="15" t="s">
        <v>11222</v>
      </c>
      <c r="O305" s="15"/>
      <c r="P305" s="15"/>
      <c r="Q305" s="15"/>
      <c r="R305" s="15"/>
      <c r="S305" s="15"/>
      <c r="T305" s="15">
        <v>0</v>
      </c>
      <c r="U305" s="15"/>
      <c r="V305" s="15"/>
      <c r="W305" s="15"/>
      <c r="X305" s="15"/>
      <c r="Y305" s="15"/>
      <c r="Z305" s="15"/>
    </row>
    <row r="306" spans="1:26" x14ac:dyDescent="0.25">
      <c r="A306" s="15" t="s">
        <v>14403</v>
      </c>
      <c r="B306" s="15">
        <v>305</v>
      </c>
      <c r="C306" s="15" t="s">
        <v>11277</v>
      </c>
      <c r="D306" s="15" t="s">
        <v>11277</v>
      </c>
      <c r="E306" s="15" t="s">
        <v>1067</v>
      </c>
      <c r="F306" s="15" t="s">
        <v>14400</v>
      </c>
      <c r="G306" s="15" t="s">
        <v>11629</v>
      </c>
      <c r="H306" s="15">
        <v>12</v>
      </c>
      <c r="I306" s="15">
        <v>36</v>
      </c>
      <c r="J306" s="15">
        <v>45</v>
      </c>
      <c r="K306" s="15" t="str">
        <f t="shared" si="4"/>
        <v>islesofumbrasouthshore</v>
      </c>
      <c r="L306" s="15" t="s">
        <v>14088</v>
      </c>
      <c r="M306" s="15">
        <v>2</v>
      </c>
      <c r="N306" s="15" t="s">
        <v>11223</v>
      </c>
      <c r="O306" s="15"/>
      <c r="P306" s="15"/>
      <c r="Q306" s="15" t="s">
        <v>11328</v>
      </c>
      <c r="R306" s="15"/>
      <c r="S306" s="15"/>
      <c r="T306" s="15">
        <v>0</v>
      </c>
      <c r="U306" s="15"/>
      <c r="V306" s="15"/>
      <c r="W306" s="15"/>
      <c r="X306" s="15"/>
      <c r="Y306" s="15"/>
      <c r="Z306" s="15"/>
    </row>
    <row r="307" spans="1:26" x14ac:dyDescent="0.25">
      <c r="A307" s="15" t="s">
        <v>14404</v>
      </c>
      <c r="B307" s="15">
        <v>306</v>
      </c>
      <c r="C307" s="15" t="s">
        <v>11277</v>
      </c>
      <c r="D307" s="15" t="s">
        <v>11277</v>
      </c>
      <c r="E307" s="15" t="s">
        <v>1067</v>
      </c>
      <c r="F307" s="15" t="s">
        <v>14400</v>
      </c>
      <c r="G307" s="15" t="s">
        <v>11627</v>
      </c>
      <c r="H307" s="15">
        <v>12</v>
      </c>
      <c r="I307" s="15">
        <v>36</v>
      </c>
      <c r="J307" s="15">
        <v>47</v>
      </c>
      <c r="K307" s="15" t="str">
        <f t="shared" si="4"/>
        <v>islesofumbrasouthshore</v>
      </c>
      <c r="L307" s="15" t="s">
        <v>11289</v>
      </c>
      <c r="M307" s="15">
        <v>2</v>
      </c>
      <c r="N307" s="15" t="s">
        <v>11223</v>
      </c>
      <c r="O307" s="15"/>
      <c r="P307" s="15"/>
      <c r="Q307" s="15"/>
      <c r="R307" s="15"/>
      <c r="S307" s="15"/>
      <c r="T307" s="15">
        <v>0</v>
      </c>
      <c r="U307" s="15"/>
      <c r="V307" s="15"/>
      <c r="W307" s="15"/>
      <c r="X307" s="15"/>
      <c r="Y307" s="15"/>
      <c r="Z307" s="15"/>
    </row>
    <row r="308" spans="1:26" x14ac:dyDescent="0.25">
      <c r="A308" s="15" t="s">
        <v>14405</v>
      </c>
      <c r="B308" s="15">
        <v>307</v>
      </c>
      <c r="C308" s="15" t="s">
        <v>11277</v>
      </c>
      <c r="D308" s="15" t="s">
        <v>11277</v>
      </c>
      <c r="E308" s="15" t="s">
        <v>1067</v>
      </c>
      <c r="F308" s="15" t="s">
        <v>14400</v>
      </c>
      <c r="G308" s="15" t="s">
        <v>11482</v>
      </c>
      <c r="H308" s="15">
        <v>12</v>
      </c>
      <c r="I308" s="15">
        <v>36</v>
      </c>
      <c r="J308" s="15">
        <v>48</v>
      </c>
      <c r="K308" s="15" t="str">
        <f t="shared" si="4"/>
        <v>islesofumbrasouthshore</v>
      </c>
      <c r="L308" s="15" t="s">
        <v>11289</v>
      </c>
      <c r="M308" s="15">
        <v>2</v>
      </c>
      <c r="N308" s="15" t="s">
        <v>11223</v>
      </c>
      <c r="O308" s="15"/>
      <c r="P308" s="15"/>
      <c r="Q308" s="15"/>
      <c r="R308" s="15"/>
      <c r="S308" s="15"/>
      <c r="T308" s="15">
        <v>0</v>
      </c>
      <c r="U308" s="15"/>
      <c r="V308" s="15"/>
      <c r="W308" s="15"/>
      <c r="X308" s="15"/>
      <c r="Y308" s="15"/>
      <c r="Z308" s="15"/>
    </row>
    <row r="309" spans="1:26" x14ac:dyDescent="0.25">
      <c r="A309" s="15" t="s">
        <v>14406</v>
      </c>
      <c r="B309" s="15">
        <v>308</v>
      </c>
      <c r="C309" s="15" t="s">
        <v>11277</v>
      </c>
      <c r="D309" s="15" t="s">
        <v>11277</v>
      </c>
      <c r="E309" s="15" t="s">
        <v>1067</v>
      </c>
      <c r="F309" s="15" t="s">
        <v>14400</v>
      </c>
      <c r="G309" s="15" t="s">
        <v>11483</v>
      </c>
      <c r="H309" s="15">
        <v>12</v>
      </c>
      <c r="I309" s="15">
        <v>36</v>
      </c>
      <c r="J309" s="15">
        <v>49</v>
      </c>
      <c r="K309" s="15" t="str">
        <f t="shared" si="4"/>
        <v>islesofumbrasouthshore</v>
      </c>
      <c r="L309" s="15" t="s">
        <v>11289</v>
      </c>
      <c r="M309" s="15">
        <v>2</v>
      </c>
      <c r="N309" s="15" t="s">
        <v>11223</v>
      </c>
      <c r="O309" s="15"/>
      <c r="P309" s="15"/>
      <c r="Q309" s="15"/>
      <c r="R309" s="15"/>
      <c r="S309" s="15"/>
      <c r="T309" s="15">
        <v>0</v>
      </c>
      <c r="U309" s="15"/>
      <c r="V309" s="15"/>
      <c r="W309" s="15"/>
      <c r="X309" s="15"/>
      <c r="Y309" s="15"/>
      <c r="Z309" s="15"/>
    </row>
    <row r="310" spans="1:26" x14ac:dyDescent="0.25">
      <c r="A310" s="15" t="s">
        <v>14407</v>
      </c>
      <c r="B310" s="15">
        <v>309</v>
      </c>
      <c r="C310" s="15" t="s">
        <v>11277</v>
      </c>
      <c r="D310" s="15" t="s">
        <v>11277</v>
      </c>
      <c r="E310" s="15" t="s">
        <v>1067</v>
      </c>
      <c r="F310" s="15" t="s">
        <v>14400</v>
      </c>
      <c r="G310" s="15" t="s">
        <v>11631</v>
      </c>
      <c r="H310" s="15">
        <v>12</v>
      </c>
      <c r="I310" s="15">
        <v>36</v>
      </c>
      <c r="J310" s="15">
        <v>50</v>
      </c>
      <c r="K310" s="15" t="str">
        <f t="shared" si="4"/>
        <v>islesofumbrasouthshore</v>
      </c>
      <c r="L310" s="15" t="s">
        <v>14088</v>
      </c>
      <c r="M310" s="15">
        <v>2</v>
      </c>
      <c r="N310" s="15" t="s">
        <v>11223</v>
      </c>
      <c r="O310" s="15" t="s">
        <v>14049</v>
      </c>
      <c r="P310" s="15"/>
      <c r="Q310" s="15" t="s">
        <v>11328</v>
      </c>
      <c r="R310" s="15"/>
      <c r="S310" s="15"/>
      <c r="T310" s="15">
        <v>1</v>
      </c>
      <c r="U310" s="15"/>
      <c r="V310" s="15"/>
      <c r="W310" s="15"/>
      <c r="X310" s="15"/>
      <c r="Y310" s="15"/>
      <c r="Z310" s="15"/>
    </row>
    <row r="311" spans="1:26" x14ac:dyDescent="0.25">
      <c r="A311" s="15" t="s">
        <v>14408</v>
      </c>
      <c r="B311" s="15">
        <v>310</v>
      </c>
      <c r="C311" s="15" t="s">
        <v>11277</v>
      </c>
      <c r="D311" s="15" t="s">
        <v>11277</v>
      </c>
      <c r="E311" s="15" t="s">
        <v>1067</v>
      </c>
      <c r="F311" s="15" t="s">
        <v>14400</v>
      </c>
      <c r="G311" s="15" t="s">
        <v>11632</v>
      </c>
      <c r="H311" s="15">
        <v>12</v>
      </c>
      <c r="I311" s="15">
        <v>36</v>
      </c>
      <c r="J311" s="15">
        <v>50</v>
      </c>
      <c r="K311" s="15" t="str">
        <f t="shared" si="4"/>
        <v>islesofumbrasouthshore</v>
      </c>
      <c r="L311" s="15" t="s">
        <v>14088</v>
      </c>
      <c r="M311" s="15">
        <v>3</v>
      </c>
      <c r="N311" s="15" t="s">
        <v>11223</v>
      </c>
      <c r="O311" s="15" t="s">
        <v>14070</v>
      </c>
      <c r="P311" s="15"/>
      <c r="Q311" s="15" t="s">
        <v>11328</v>
      </c>
      <c r="R311" s="15"/>
      <c r="S311" s="15"/>
      <c r="T311" s="15">
        <v>3</v>
      </c>
      <c r="U311" s="15" t="s">
        <v>5914</v>
      </c>
      <c r="V311" s="15" t="s">
        <v>14150</v>
      </c>
      <c r="W311" s="15" t="s">
        <v>14151</v>
      </c>
      <c r="X311" s="15"/>
      <c r="Y311" s="15"/>
      <c r="Z311" s="15"/>
    </row>
    <row r="312" spans="1:26" x14ac:dyDescent="0.25">
      <c r="A312" s="15" t="s">
        <v>14409</v>
      </c>
      <c r="B312" s="15">
        <v>311</v>
      </c>
      <c r="C312" s="15" t="s">
        <v>11277</v>
      </c>
      <c r="D312" s="15" t="s">
        <v>11277</v>
      </c>
      <c r="E312" s="15" t="s">
        <v>1067</v>
      </c>
      <c r="F312" s="15" t="s">
        <v>14400</v>
      </c>
      <c r="G312" s="15" t="s">
        <v>11633</v>
      </c>
      <c r="H312" s="15">
        <v>12</v>
      </c>
      <c r="I312" s="15">
        <v>36</v>
      </c>
      <c r="J312" s="15">
        <v>50</v>
      </c>
      <c r="K312" s="15" t="str">
        <f t="shared" si="4"/>
        <v>islesofumbrasouthshore</v>
      </c>
      <c r="L312" s="15" t="s">
        <v>14088</v>
      </c>
      <c r="M312" s="15">
        <v>3</v>
      </c>
      <c r="N312" s="15" t="s">
        <v>11223</v>
      </c>
      <c r="O312" s="15" t="s">
        <v>2825</v>
      </c>
      <c r="P312" s="15"/>
      <c r="Q312" s="15" t="s">
        <v>11328</v>
      </c>
      <c r="R312" s="15"/>
      <c r="S312" s="15"/>
      <c r="T312" s="15">
        <v>3</v>
      </c>
      <c r="U312" s="15" t="s">
        <v>5893</v>
      </c>
      <c r="V312" s="15" t="s">
        <v>5892</v>
      </c>
      <c r="W312" s="15"/>
      <c r="X312" s="15" t="s">
        <v>5914</v>
      </c>
      <c r="Y312" s="15" t="s">
        <v>5908</v>
      </c>
      <c r="Z312" s="15" t="s">
        <v>14151</v>
      </c>
    </row>
    <row r="313" spans="1:26" x14ac:dyDescent="0.25">
      <c r="A313" s="15" t="s">
        <v>14410</v>
      </c>
      <c r="B313" s="15">
        <v>312</v>
      </c>
      <c r="C313" s="15" t="s">
        <v>11277</v>
      </c>
      <c r="D313" s="15" t="s">
        <v>11277</v>
      </c>
      <c r="E313" s="15" t="s">
        <v>1067</v>
      </c>
      <c r="F313" s="15" t="s">
        <v>1192</v>
      </c>
      <c r="G313" s="15" t="s">
        <v>11226</v>
      </c>
      <c r="H313" s="15">
        <v>14</v>
      </c>
      <c r="I313" s="15">
        <v>12</v>
      </c>
      <c r="J313" s="15">
        <v>3</v>
      </c>
      <c r="K313" s="15" t="str">
        <f t="shared" si="4"/>
        <v>reaverhide</v>
      </c>
      <c r="L313" s="15" t="s">
        <v>11233</v>
      </c>
      <c r="M313" s="15">
        <v>1</v>
      </c>
      <c r="N313" s="15" t="s">
        <v>11222</v>
      </c>
      <c r="O313" s="15"/>
      <c r="P313" s="15"/>
      <c r="Q313" s="15"/>
      <c r="R313" s="15"/>
      <c r="S313" s="15"/>
      <c r="T313" s="15">
        <v>0</v>
      </c>
      <c r="U313" s="15"/>
      <c r="V313" s="15"/>
      <c r="W313" s="15"/>
      <c r="X313" s="15"/>
      <c r="Y313" s="15"/>
      <c r="Z313" s="15"/>
    </row>
    <row r="314" spans="1:26" x14ac:dyDescent="0.25">
      <c r="A314" s="15" t="s">
        <v>14411</v>
      </c>
      <c r="B314" s="15">
        <v>313</v>
      </c>
      <c r="C314" s="15" t="s">
        <v>11277</v>
      </c>
      <c r="D314" s="15" t="s">
        <v>11277</v>
      </c>
      <c r="E314" s="15" t="s">
        <v>1067</v>
      </c>
      <c r="F314" s="15" t="s">
        <v>1192</v>
      </c>
      <c r="G314" s="15" t="s">
        <v>11227</v>
      </c>
      <c r="H314" s="15">
        <v>14</v>
      </c>
      <c r="I314" s="15">
        <v>12</v>
      </c>
      <c r="J314" s="15">
        <v>3</v>
      </c>
      <c r="K314" s="15" t="str">
        <f t="shared" si="4"/>
        <v>reaverhide</v>
      </c>
      <c r="L314" s="15" t="s">
        <v>11233</v>
      </c>
      <c r="M314" s="15">
        <v>1</v>
      </c>
      <c r="N314" s="15" t="s">
        <v>11222</v>
      </c>
      <c r="O314" s="15"/>
      <c r="P314" s="15"/>
      <c r="Q314" s="15"/>
      <c r="R314" s="15"/>
      <c r="S314" s="15"/>
      <c r="T314" s="15">
        <v>0</v>
      </c>
      <c r="U314" s="15"/>
      <c r="V314" s="15"/>
      <c r="W314" s="15"/>
      <c r="X314" s="15"/>
      <c r="Y314" s="15"/>
      <c r="Z314" s="15"/>
    </row>
    <row r="315" spans="1:26" x14ac:dyDescent="0.25">
      <c r="A315" s="15" t="s">
        <v>14412</v>
      </c>
      <c r="B315" s="15">
        <v>314</v>
      </c>
      <c r="C315" s="15" t="s">
        <v>11277</v>
      </c>
      <c r="D315" s="15" t="s">
        <v>11277</v>
      </c>
      <c r="E315" s="15" t="s">
        <v>1067</v>
      </c>
      <c r="F315" s="15" t="s">
        <v>1192</v>
      </c>
      <c r="G315" s="15" t="s">
        <v>11338</v>
      </c>
      <c r="H315" s="15">
        <v>14</v>
      </c>
      <c r="I315" s="15">
        <v>12</v>
      </c>
      <c r="J315" s="15">
        <v>40</v>
      </c>
      <c r="K315" s="15" t="str">
        <f t="shared" si="4"/>
        <v>reaverhide</v>
      </c>
      <c r="L315" s="15" t="s">
        <v>11336</v>
      </c>
      <c r="M315" s="15">
        <v>1</v>
      </c>
      <c r="N315" s="15" t="s">
        <v>11222</v>
      </c>
      <c r="O315" s="15"/>
      <c r="P315" s="15"/>
      <c r="Q315" s="15"/>
      <c r="R315" s="15"/>
      <c r="S315" s="15"/>
      <c r="T315" s="15">
        <v>0</v>
      </c>
      <c r="U315" s="15"/>
      <c r="V315" s="15"/>
      <c r="W315" s="15"/>
      <c r="X315" s="15"/>
      <c r="Y315" s="15"/>
      <c r="Z315" s="15"/>
    </row>
    <row r="316" spans="1:26" x14ac:dyDescent="0.25">
      <c r="A316" s="15" t="s">
        <v>14413</v>
      </c>
      <c r="B316" s="15">
        <v>315</v>
      </c>
      <c r="C316" s="15" t="s">
        <v>11277</v>
      </c>
      <c r="D316" s="15" t="s">
        <v>11277</v>
      </c>
      <c r="E316" s="15" t="s">
        <v>1067</v>
      </c>
      <c r="F316" s="15" t="s">
        <v>1192</v>
      </c>
      <c r="G316" s="15" t="s">
        <v>11262</v>
      </c>
      <c r="H316" s="15">
        <v>14</v>
      </c>
      <c r="I316" s="15">
        <v>12</v>
      </c>
      <c r="J316" s="15">
        <v>43</v>
      </c>
      <c r="K316" s="15" t="str">
        <f t="shared" si="4"/>
        <v>reaverhide</v>
      </c>
      <c r="L316" s="15" t="s">
        <v>14088</v>
      </c>
      <c r="M316" s="15">
        <v>2</v>
      </c>
      <c r="N316" s="15" t="s">
        <v>11223</v>
      </c>
      <c r="O316" s="15"/>
      <c r="P316" s="15"/>
      <c r="Q316" s="15" t="s">
        <v>11227</v>
      </c>
      <c r="R316" s="15"/>
      <c r="S316" s="15"/>
      <c r="T316" s="15">
        <v>0</v>
      </c>
      <c r="U316" s="15"/>
      <c r="V316" s="15"/>
      <c r="W316" s="15"/>
      <c r="X316" s="15"/>
      <c r="Y316" s="15"/>
      <c r="Z316" s="15"/>
    </row>
    <row r="317" spans="1:26" x14ac:dyDescent="0.25">
      <c r="A317" s="15" t="s">
        <v>14414</v>
      </c>
      <c r="B317" s="15">
        <v>316</v>
      </c>
      <c r="C317" s="15" t="s">
        <v>11277</v>
      </c>
      <c r="D317" s="15" t="s">
        <v>11277</v>
      </c>
      <c r="E317" s="15" t="s">
        <v>1067</v>
      </c>
      <c r="F317" s="15" t="s">
        <v>1192</v>
      </c>
      <c r="G317" s="15" t="s">
        <v>11481</v>
      </c>
      <c r="H317" s="15">
        <v>14</v>
      </c>
      <c r="I317" s="15">
        <v>12</v>
      </c>
      <c r="J317" s="15">
        <v>44</v>
      </c>
      <c r="K317" s="15" t="str">
        <f t="shared" si="4"/>
        <v>reaverhide</v>
      </c>
      <c r="L317" s="15" t="s">
        <v>11339</v>
      </c>
      <c r="M317" s="15">
        <v>1</v>
      </c>
      <c r="N317" s="15" t="s">
        <v>11222</v>
      </c>
      <c r="O317" s="15"/>
      <c r="P317" s="15"/>
      <c r="Q317" s="15"/>
      <c r="R317" s="15"/>
      <c r="S317" s="15"/>
      <c r="T317" s="15">
        <v>0</v>
      </c>
      <c r="U317" s="15"/>
      <c r="V317" s="15"/>
      <c r="W317" s="15"/>
      <c r="X317" s="15"/>
      <c r="Y317" s="15"/>
      <c r="Z317" s="15"/>
    </row>
    <row r="318" spans="1:26" x14ac:dyDescent="0.25">
      <c r="A318" s="15" t="s">
        <v>14415</v>
      </c>
      <c r="B318" s="15">
        <v>317</v>
      </c>
      <c r="C318" s="15" t="s">
        <v>11277</v>
      </c>
      <c r="D318" s="15" t="s">
        <v>11277</v>
      </c>
      <c r="E318" s="15" t="s">
        <v>1067</v>
      </c>
      <c r="F318" s="15" t="s">
        <v>1192</v>
      </c>
      <c r="G318" s="15" t="s">
        <v>11346</v>
      </c>
      <c r="H318" s="15">
        <v>14</v>
      </c>
      <c r="I318" s="15">
        <v>12</v>
      </c>
      <c r="J318" s="15">
        <v>50</v>
      </c>
      <c r="K318" s="15" t="str">
        <f t="shared" si="4"/>
        <v>reaverhide</v>
      </c>
      <c r="L318" s="15" t="s">
        <v>11291</v>
      </c>
      <c r="M318" s="15">
        <v>2</v>
      </c>
      <c r="N318" s="15" t="s">
        <v>11223</v>
      </c>
      <c r="O318" s="15" t="s">
        <v>14045</v>
      </c>
      <c r="P318" s="15"/>
      <c r="Q318" s="15"/>
      <c r="R318" s="15"/>
      <c r="S318" s="15"/>
      <c r="T318" s="15">
        <v>0</v>
      </c>
      <c r="U318" s="15"/>
      <c r="V318" s="15"/>
      <c r="W318" s="15"/>
      <c r="X318" s="15"/>
      <c r="Y318" s="15"/>
      <c r="Z318" s="15"/>
    </row>
    <row r="319" spans="1:26" x14ac:dyDescent="0.25">
      <c r="A319" s="15" t="s">
        <v>14416</v>
      </c>
      <c r="B319" s="15">
        <v>318</v>
      </c>
      <c r="C319" s="15" t="s">
        <v>11277</v>
      </c>
      <c r="D319" s="15" t="s">
        <v>11277</v>
      </c>
      <c r="E319" s="15" t="s">
        <v>1067</v>
      </c>
      <c r="F319" s="15" t="s">
        <v>1192</v>
      </c>
      <c r="G319" s="15" t="s">
        <v>11634</v>
      </c>
      <c r="H319" s="15">
        <v>14</v>
      </c>
      <c r="I319" s="15">
        <v>12</v>
      </c>
      <c r="J319" s="15">
        <v>50</v>
      </c>
      <c r="K319" s="15" t="str">
        <f t="shared" si="4"/>
        <v>reaverhide</v>
      </c>
      <c r="L319" s="15" t="s">
        <v>14088</v>
      </c>
      <c r="M319" s="15">
        <v>3</v>
      </c>
      <c r="N319" s="15" t="s">
        <v>11223</v>
      </c>
      <c r="O319" s="15"/>
      <c r="P319" s="15"/>
      <c r="Q319" s="15" t="s">
        <v>11262</v>
      </c>
      <c r="R319" s="15"/>
      <c r="S319" s="15"/>
      <c r="T319" s="15">
        <v>2</v>
      </c>
      <c r="U319" s="15"/>
      <c r="V319" s="15"/>
      <c r="W319" s="15"/>
      <c r="X319" s="15"/>
      <c r="Y319" s="15"/>
      <c r="Z319" s="15"/>
    </row>
    <row r="320" spans="1:26" x14ac:dyDescent="0.25">
      <c r="A320" s="15" t="s">
        <v>14417</v>
      </c>
      <c r="B320" s="15">
        <v>319</v>
      </c>
      <c r="C320" s="15" t="s">
        <v>11277</v>
      </c>
      <c r="D320" s="15" t="s">
        <v>11277</v>
      </c>
      <c r="E320" s="15" t="s">
        <v>1067</v>
      </c>
      <c r="F320" s="15" t="s">
        <v>1192</v>
      </c>
      <c r="G320" s="15" t="s">
        <v>11635</v>
      </c>
      <c r="H320" s="15">
        <v>14</v>
      </c>
      <c r="I320" s="15">
        <v>12</v>
      </c>
      <c r="J320" s="15">
        <v>50</v>
      </c>
      <c r="K320" s="15" t="str">
        <f t="shared" si="4"/>
        <v>reaverhide</v>
      </c>
      <c r="L320" s="15" t="s">
        <v>14088</v>
      </c>
      <c r="M320" s="15">
        <v>3</v>
      </c>
      <c r="N320" s="15" t="s">
        <v>11223</v>
      </c>
      <c r="O320" s="15" t="s">
        <v>14057</v>
      </c>
      <c r="P320" s="15"/>
      <c r="Q320" s="15" t="s">
        <v>11262</v>
      </c>
      <c r="R320" s="15"/>
      <c r="S320" s="15"/>
      <c r="T320" s="15">
        <v>3</v>
      </c>
      <c r="U320" s="15" t="s">
        <v>5893</v>
      </c>
      <c r="V320" s="15" t="s">
        <v>5892</v>
      </c>
      <c r="W320" s="15"/>
      <c r="X320" s="15"/>
      <c r="Y320" s="15"/>
      <c r="Z320" s="15"/>
    </row>
    <row r="321" spans="1:26" x14ac:dyDescent="0.25">
      <c r="A321" s="15" t="s">
        <v>14418</v>
      </c>
      <c r="B321" s="15">
        <v>320</v>
      </c>
      <c r="C321" s="15" t="s">
        <v>11277</v>
      </c>
      <c r="D321" s="15" t="s">
        <v>11277</v>
      </c>
      <c r="E321" s="15" t="s">
        <v>1067</v>
      </c>
      <c r="F321" s="15" t="s">
        <v>1192</v>
      </c>
      <c r="G321" s="15" t="s">
        <v>11620</v>
      </c>
      <c r="H321" s="15">
        <v>14</v>
      </c>
      <c r="I321" s="15">
        <v>12</v>
      </c>
      <c r="J321" s="15">
        <v>50</v>
      </c>
      <c r="K321" s="15" t="str">
        <f t="shared" si="4"/>
        <v>reaverhide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25">
      <c r="A322" s="15" t="s">
        <v>14419</v>
      </c>
      <c r="B322" s="15">
        <v>321</v>
      </c>
      <c r="C322" s="15" t="s">
        <v>11277</v>
      </c>
      <c r="D322" s="15" t="s">
        <v>11277</v>
      </c>
      <c r="E322" s="15" t="s">
        <v>1067</v>
      </c>
      <c r="F322" s="15" t="s">
        <v>1201</v>
      </c>
      <c r="G322" s="15" t="s">
        <v>11269</v>
      </c>
      <c r="H322" s="15">
        <v>13</v>
      </c>
      <c r="I322" s="15">
        <v>24</v>
      </c>
      <c r="J322" s="15">
        <v>15</v>
      </c>
      <c r="K322" s="15" t="str">
        <f t="shared" ref="K322:K385" si="5">LOWER(SUBSTITUTE(SUBSTITUTE(SUBSTITUTE(SUBSTITUTE(SUBSTITUTE(F322," ",""),"(",""),")",""),"'",""),"-",""))</f>
        <v>oakwood</v>
      </c>
      <c r="L322" s="15" t="s">
        <v>11266</v>
      </c>
      <c r="M322" s="15">
        <v>1</v>
      </c>
      <c r="N322" s="15" t="s">
        <v>11222</v>
      </c>
      <c r="O322" s="15"/>
      <c r="P322" s="15"/>
      <c r="Q322" s="15"/>
      <c r="R322" s="15"/>
      <c r="S322" s="15"/>
      <c r="T322" s="15">
        <v>0</v>
      </c>
      <c r="U322" s="15"/>
      <c r="V322" s="15"/>
      <c r="W322" s="15"/>
      <c r="X322" s="15"/>
      <c r="Y322" s="15"/>
      <c r="Z322" s="15"/>
    </row>
    <row r="323" spans="1:26" x14ac:dyDescent="0.25">
      <c r="A323" s="15" t="s">
        <v>14420</v>
      </c>
      <c r="B323" s="15">
        <v>322</v>
      </c>
      <c r="C323" s="15" t="s">
        <v>11277</v>
      </c>
      <c r="D323" s="15" t="s">
        <v>11277</v>
      </c>
      <c r="E323" s="15" t="s">
        <v>1067</v>
      </c>
      <c r="F323" s="15" t="s">
        <v>1201</v>
      </c>
      <c r="G323" s="15" t="s">
        <v>11304</v>
      </c>
      <c r="H323" s="15">
        <v>13</v>
      </c>
      <c r="I323" s="15">
        <v>24</v>
      </c>
      <c r="J323" s="15">
        <v>17</v>
      </c>
      <c r="K323" s="15" t="str">
        <f t="shared" si="5"/>
        <v>oakwood</v>
      </c>
      <c r="L323" s="15" t="s">
        <v>11254</v>
      </c>
      <c r="M323" s="15">
        <v>2</v>
      </c>
      <c r="N323" s="15" t="s">
        <v>11223</v>
      </c>
      <c r="O323" s="15"/>
      <c r="P323" s="15"/>
      <c r="Q323" s="15"/>
      <c r="R323" s="15"/>
      <c r="S323" s="15"/>
      <c r="T323" s="15">
        <v>0</v>
      </c>
      <c r="U323" s="15"/>
      <c r="V323" s="15"/>
      <c r="W323" s="15"/>
      <c r="X323" s="15"/>
      <c r="Y323" s="15"/>
      <c r="Z323" s="15"/>
    </row>
    <row r="324" spans="1:26" x14ac:dyDescent="0.25">
      <c r="A324" s="15" t="s">
        <v>14421</v>
      </c>
      <c r="B324" s="15">
        <v>323</v>
      </c>
      <c r="C324" s="15" t="s">
        <v>11277</v>
      </c>
      <c r="D324" s="15" t="s">
        <v>11277</v>
      </c>
      <c r="E324" s="15" t="s">
        <v>1067</v>
      </c>
      <c r="F324" s="15" t="s">
        <v>1201</v>
      </c>
      <c r="G324" s="15" t="s">
        <v>11636</v>
      </c>
      <c r="H324" s="15">
        <v>13</v>
      </c>
      <c r="I324" s="15">
        <v>24</v>
      </c>
      <c r="J324" s="15">
        <v>22</v>
      </c>
      <c r="K324" s="15" t="str">
        <f t="shared" si="5"/>
        <v>oakwood</v>
      </c>
      <c r="L324" s="15" t="s">
        <v>11271</v>
      </c>
      <c r="M324" s="15">
        <v>2</v>
      </c>
      <c r="N324" s="15" t="s">
        <v>11223</v>
      </c>
      <c r="O324" s="15" t="s">
        <v>14041</v>
      </c>
      <c r="P324" s="15"/>
      <c r="Q324" s="15"/>
      <c r="R324" s="15"/>
      <c r="S324" s="15"/>
      <c r="T324" s="15">
        <v>0</v>
      </c>
      <c r="U324" s="15"/>
      <c r="V324" s="15"/>
      <c r="W324" s="15"/>
      <c r="X324" s="15"/>
      <c r="Y324" s="15"/>
      <c r="Z324" s="15"/>
    </row>
    <row r="325" spans="1:26" x14ac:dyDescent="0.25">
      <c r="A325" s="15" t="s">
        <v>14422</v>
      </c>
      <c r="B325" s="15">
        <v>324</v>
      </c>
      <c r="C325" s="15" t="s">
        <v>11277</v>
      </c>
      <c r="D325" s="15" t="s">
        <v>11277</v>
      </c>
      <c r="E325" s="15" t="s">
        <v>1067</v>
      </c>
      <c r="F325" s="15" t="s">
        <v>1201</v>
      </c>
      <c r="G325" s="15" t="s">
        <v>11432</v>
      </c>
      <c r="H325" s="15">
        <v>13</v>
      </c>
      <c r="I325" s="15">
        <v>24</v>
      </c>
      <c r="J325" s="15">
        <v>23</v>
      </c>
      <c r="K325" s="15" t="str">
        <f t="shared" si="5"/>
        <v>oakwood</v>
      </c>
      <c r="L325" s="15" t="s">
        <v>11271</v>
      </c>
      <c r="M325" s="15">
        <v>1</v>
      </c>
      <c r="N325" s="15" t="s">
        <v>11222</v>
      </c>
      <c r="O325" s="15"/>
      <c r="P325" s="15"/>
      <c r="Q325" s="15"/>
      <c r="R325" s="15"/>
      <c r="S325" s="15"/>
      <c r="T325" s="15">
        <v>0</v>
      </c>
      <c r="U325" s="15"/>
      <c r="V325" s="15"/>
      <c r="W325" s="15"/>
      <c r="X325" s="15"/>
      <c r="Y325" s="15"/>
      <c r="Z325" s="15"/>
    </row>
    <row r="326" spans="1:26" x14ac:dyDescent="0.25">
      <c r="A326" s="15" t="s">
        <v>14423</v>
      </c>
      <c r="B326" s="15">
        <v>325</v>
      </c>
      <c r="C326" s="15" t="s">
        <v>11277</v>
      </c>
      <c r="D326" s="15" t="s">
        <v>11277</v>
      </c>
      <c r="E326" s="15" t="s">
        <v>1067</v>
      </c>
      <c r="F326" s="15" t="s">
        <v>1201</v>
      </c>
      <c r="G326" s="15" t="s">
        <v>11500</v>
      </c>
      <c r="H326" s="15">
        <v>13</v>
      </c>
      <c r="I326" s="15">
        <v>24</v>
      </c>
      <c r="J326" s="15">
        <v>23</v>
      </c>
      <c r="K326" s="15" t="str">
        <f t="shared" si="5"/>
        <v>oakwood</v>
      </c>
      <c r="L326" s="15" t="s">
        <v>11274</v>
      </c>
      <c r="M326" s="15">
        <v>2</v>
      </c>
      <c r="N326" s="15" t="s">
        <v>11223</v>
      </c>
      <c r="O326" s="15"/>
      <c r="P326" s="15"/>
      <c r="Q326" s="15"/>
      <c r="R326" s="15"/>
      <c r="S326" s="15"/>
      <c r="T326" s="15">
        <v>0</v>
      </c>
      <c r="U326" s="15"/>
      <c r="V326" s="15"/>
      <c r="W326" s="15"/>
      <c r="X326" s="15"/>
      <c r="Y326" s="15"/>
      <c r="Z326" s="15"/>
    </row>
    <row r="327" spans="1:26" x14ac:dyDescent="0.25">
      <c r="A327" s="15" t="s">
        <v>14424</v>
      </c>
      <c r="B327" s="15">
        <v>326</v>
      </c>
      <c r="C327" s="15" t="s">
        <v>11277</v>
      </c>
      <c r="D327" s="15" t="s">
        <v>11277</v>
      </c>
      <c r="E327" s="15" t="s">
        <v>1067</v>
      </c>
      <c r="F327" s="15" t="s">
        <v>1201</v>
      </c>
      <c r="G327" s="15" t="s">
        <v>11637</v>
      </c>
      <c r="H327" s="15">
        <v>13</v>
      </c>
      <c r="I327" s="15">
        <v>24</v>
      </c>
      <c r="J327" s="15">
        <v>24</v>
      </c>
      <c r="K327" s="15" t="str">
        <f t="shared" si="5"/>
        <v>oakwood</v>
      </c>
      <c r="L327" s="15" t="s">
        <v>11310</v>
      </c>
      <c r="M327" s="15">
        <v>2</v>
      </c>
      <c r="N327" s="15" t="s">
        <v>11223</v>
      </c>
      <c r="O327" s="15"/>
      <c r="P327" s="15"/>
      <c r="Q327" s="15"/>
      <c r="R327" s="15"/>
      <c r="S327" s="15"/>
      <c r="T327" s="15">
        <v>0</v>
      </c>
      <c r="U327" s="15"/>
      <c r="V327" s="15"/>
      <c r="W327" s="15"/>
      <c r="X327" s="15"/>
      <c r="Y327" s="15"/>
      <c r="Z327" s="15"/>
    </row>
    <row r="328" spans="1:26" x14ac:dyDescent="0.25">
      <c r="A328" s="15" t="s">
        <v>14425</v>
      </c>
      <c r="B328" s="15">
        <v>327</v>
      </c>
      <c r="C328" s="15" t="s">
        <v>11277</v>
      </c>
      <c r="D328" s="15" t="s">
        <v>11277</v>
      </c>
      <c r="E328" s="15" t="s">
        <v>1067</v>
      </c>
      <c r="F328" s="15" t="s">
        <v>1201</v>
      </c>
      <c r="G328" s="15" t="s">
        <v>11433</v>
      </c>
      <c r="H328" s="15">
        <v>13</v>
      </c>
      <c r="I328" s="15">
        <v>24</v>
      </c>
      <c r="J328" s="15">
        <v>25</v>
      </c>
      <c r="K328" s="15" t="str">
        <f t="shared" si="5"/>
        <v>oakwood</v>
      </c>
      <c r="L328" s="15" t="s">
        <v>11274</v>
      </c>
      <c r="M328" s="15">
        <v>2</v>
      </c>
      <c r="N328" s="15" t="s">
        <v>11223</v>
      </c>
      <c r="O328" s="15"/>
      <c r="P328" s="15"/>
      <c r="Q328" s="15"/>
      <c r="R328" s="15"/>
      <c r="S328" s="15"/>
      <c r="T328" s="15">
        <v>0</v>
      </c>
      <c r="U328" s="15"/>
      <c r="V328" s="15"/>
      <c r="W328" s="15"/>
      <c r="X328" s="15"/>
      <c r="Y328" s="15"/>
      <c r="Z328" s="15"/>
    </row>
    <row r="329" spans="1:26" x14ac:dyDescent="0.25">
      <c r="A329" s="15" t="s">
        <v>14426</v>
      </c>
      <c r="B329" s="15">
        <v>328</v>
      </c>
      <c r="C329" s="15" t="s">
        <v>11277</v>
      </c>
      <c r="D329" s="15" t="s">
        <v>11277</v>
      </c>
      <c r="E329" s="15" t="s">
        <v>1067</v>
      </c>
      <c r="F329" s="15" t="s">
        <v>1201</v>
      </c>
      <c r="G329" s="15" t="s">
        <v>11442</v>
      </c>
      <c r="H329" s="15">
        <v>13</v>
      </c>
      <c r="I329" s="15">
        <v>24</v>
      </c>
      <c r="J329" s="15">
        <v>44</v>
      </c>
      <c r="K329" s="15" t="str">
        <f t="shared" si="5"/>
        <v>oakwood</v>
      </c>
      <c r="L329" s="15" t="s">
        <v>11310</v>
      </c>
      <c r="M329" s="15">
        <v>1</v>
      </c>
      <c r="N329" s="15" t="s">
        <v>11222</v>
      </c>
      <c r="O329" s="15"/>
      <c r="P329" s="15"/>
      <c r="Q329" s="15"/>
      <c r="R329" s="15"/>
      <c r="S329" s="15"/>
      <c r="T329" s="15">
        <v>0</v>
      </c>
      <c r="U329" s="15"/>
      <c r="V329" s="15"/>
      <c r="W329" s="15"/>
      <c r="X329" s="15"/>
      <c r="Y329" s="15"/>
      <c r="Z329" s="15"/>
    </row>
    <row r="330" spans="1:26" x14ac:dyDescent="0.25">
      <c r="A330" s="15" t="s">
        <v>14427</v>
      </c>
      <c r="B330" s="15">
        <v>329</v>
      </c>
      <c r="C330" s="15" t="s">
        <v>11277</v>
      </c>
      <c r="D330" s="15" t="s">
        <v>11277</v>
      </c>
      <c r="E330" s="15" t="s">
        <v>1067</v>
      </c>
      <c r="F330" s="15" t="s">
        <v>1201</v>
      </c>
      <c r="G330" s="15" t="s">
        <v>11638</v>
      </c>
      <c r="H330" s="15">
        <v>13</v>
      </c>
      <c r="I330" s="15">
        <v>24</v>
      </c>
      <c r="J330" s="15">
        <v>50</v>
      </c>
      <c r="K330" s="15" t="str">
        <f t="shared" si="5"/>
        <v>oakwood</v>
      </c>
      <c r="L330" s="15" t="s">
        <v>14088</v>
      </c>
      <c r="M330" s="15">
        <v>3</v>
      </c>
      <c r="N330" s="15" t="s">
        <v>11223</v>
      </c>
      <c r="O330" s="15"/>
      <c r="P330" s="15"/>
      <c r="Q330" s="15" t="s">
        <v>11442</v>
      </c>
      <c r="R330" s="15"/>
      <c r="S330" s="15"/>
      <c r="T330" s="15">
        <v>2</v>
      </c>
      <c r="U330" s="15" t="s">
        <v>5893</v>
      </c>
      <c r="V330" s="15"/>
      <c r="W330" s="15"/>
      <c r="X330" s="15"/>
      <c r="Y330" s="15"/>
      <c r="Z330" s="15"/>
    </row>
    <row r="331" spans="1:26" x14ac:dyDescent="0.25">
      <c r="A331" s="15" t="s">
        <v>14428</v>
      </c>
      <c r="B331" s="15">
        <v>330</v>
      </c>
      <c r="C331" s="15" t="s">
        <v>11277</v>
      </c>
      <c r="D331" s="15" t="s">
        <v>11277</v>
      </c>
      <c r="E331" s="15" t="s">
        <v>1067</v>
      </c>
      <c r="F331" s="15" t="s">
        <v>1201</v>
      </c>
      <c r="G331" s="15" t="s">
        <v>11639</v>
      </c>
      <c r="H331" s="15">
        <v>13</v>
      </c>
      <c r="I331" s="15">
        <v>24</v>
      </c>
      <c r="J331" s="15">
        <v>50</v>
      </c>
      <c r="K331" s="15" t="str">
        <f t="shared" si="5"/>
        <v>oakwood</v>
      </c>
      <c r="L331" s="15" t="s">
        <v>14088</v>
      </c>
      <c r="M331" s="15">
        <v>3</v>
      </c>
      <c r="N331" s="15" t="s">
        <v>11223</v>
      </c>
      <c r="O331" s="15" t="s">
        <v>2822</v>
      </c>
      <c r="P331" s="15"/>
      <c r="Q331" s="15" t="s">
        <v>11442</v>
      </c>
      <c r="R331" s="15"/>
      <c r="S331" s="15"/>
      <c r="T331" s="15">
        <v>3</v>
      </c>
      <c r="U331" s="15" t="s">
        <v>5908</v>
      </c>
      <c r="V331" s="15" t="s">
        <v>5914</v>
      </c>
      <c r="W331" s="15"/>
      <c r="X331" s="15"/>
      <c r="Y331" s="15"/>
      <c r="Z331" s="15"/>
    </row>
    <row r="332" spans="1:26" x14ac:dyDescent="0.25">
      <c r="A332" s="15" t="s">
        <v>14429</v>
      </c>
      <c r="B332" s="15">
        <v>331</v>
      </c>
      <c r="C332" s="15" t="s">
        <v>11277</v>
      </c>
      <c r="D332" s="15" t="s">
        <v>11277</v>
      </c>
      <c r="E332" s="15" t="s">
        <v>1067</v>
      </c>
      <c r="F332" s="15" t="s">
        <v>1208</v>
      </c>
      <c r="G332" s="15" t="s">
        <v>11303</v>
      </c>
      <c r="H332" s="15">
        <v>9</v>
      </c>
      <c r="I332" s="15">
        <v>20</v>
      </c>
      <c r="J332" s="15">
        <v>8</v>
      </c>
      <c r="K332" s="15" t="str">
        <f t="shared" si="5"/>
        <v>foolfalls</v>
      </c>
      <c r="L332" s="15" t="s">
        <v>11257</v>
      </c>
      <c r="M332" s="15">
        <v>1</v>
      </c>
      <c r="N332" s="15" t="s">
        <v>11222</v>
      </c>
      <c r="O332" s="15"/>
      <c r="P332" s="15"/>
      <c r="Q332" s="15"/>
      <c r="R332" s="15"/>
      <c r="S332" s="15"/>
      <c r="T332" s="15">
        <v>0</v>
      </c>
      <c r="U332" s="15"/>
      <c r="V332" s="15"/>
      <c r="W332" s="15"/>
      <c r="X332" s="15"/>
      <c r="Y332" s="15"/>
      <c r="Z332" s="15"/>
    </row>
    <row r="333" spans="1:26" x14ac:dyDescent="0.25">
      <c r="A333" s="15" t="s">
        <v>14430</v>
      </c>
      <c r="B333" s="15">
        <v>332</v>
      </c>
      <c r="C333" s="15" t="s">
        <v>11277</v>
      </c>
      <c r="D333" s="15" t="s">
        <v>11277</v>
      </c>
      <c r="E333" s="15" t="s">
        <v>1067</v>
      </c>
      <c r="F333" s="15" t="s">
        <v>1208</v>
      </c>
      <c r="G333" s="15" t="s">
        <v>11269</v>
      </c>
      <c r="H333" s="15">
        <v>9</v>
      </c>
      <c r="I333" s="15">
        <v>20</v>
      </c>
      <c r="J333" s="15">
        <v>15</v>
      </c>
      <c r="K333" s="15" t="str">
        <f t="shared" si="5"/>
        <v>foolfalls</v>
      </c>
      <c r="L333" s="15" t="s">
        <v>11266</v>
      </c>
      <c r="M333" s="15">
        <v>1</v>
      </c>
      <c r="N333" s="15" t="s">
        <v>11222</v>
      </c>
      <c r="O333" s="15"/>
      <c r="P333" s="15"/>
      <c r="Q333" s="15"/>
      <c r="R333" s="15"/>
      <c r="S333" s="15"/>
      <c r="T333" s="15">
        <v>0</v>
      </c>
      <c r="U333" s="15"/>
      <c r="V333" s="15"/>
      <c r="W333" s="15"/>
      <c r="X333" s="15"/>
      <c r="Y333" s="15"/>
      <c r="Z333" s="15"/>
    </row>
    <row r="334" spans="1:26" x14ac:dyDescent="0.25">
      <c r="A334" s="15" t="s">
        <v>14431</v>
      </c>
      <c r="B334" s="15">
        <v>333</v>
      </c>
      <c r="C334" s="15" t="s">
        <v>11277</v>
      </c>
      <c r="D334" s="15" t="s">
        <v>11277</v>
      </c>
      <c r="E334" s="15" t="s">
        <v>1067</v>
      </c>
      <c r="F334" s="15" t="s">
        <v>1208</v>
      </c>
      <c r="G334" s="15" t="s">
        <v>11270</v>
      </c>
      <c r="H334" s="15">
        <v>9</v>
      </c>
      <c r="I334" s="15">
        <v>20</v>
      </c>
      <c r="J334" s="15">
        <v>20</v>
      </c>
      <c r="K334" s="15" t="str">
        <f t="shared" si="5"/>
        <v>foolfalls</v>
      </c>
      <c r="L334" s="15" t="s">
        <v>11271</v>
      </c>
      <c r="M334" s="15">
        <v>1</v>
      </c>
      <c r="N334" s="15" t="s">
        <v>11222</v>
      </c>
      <c r="O334" s="15"/>
      <c r="P334" s="15"/>
      <c r="Q334" s="15"/>
      <c r="R334" s="15"/>
      <c r="S334" s="15"/>
      <c r="T334" s="15">
        <v>0</v>
      </c>
      <c r="U334" s="15"/>
      <c r="V334" s="15"/>
      <c r="W334" s="15"/>
      <c r="X334" s="15"/>
      <c r="Y334" s="15"/>
      <c r="Z334" s="15"/>
    </row>
    <row r="335" spans="1:26" x14ac:dyDescent="0.25">
      <c r="A335" s="15" t="s">
        <v>14432</v>
      </c>
      <c r="B335" s="15">
        <v>334</v>
      </c>
      <c r="C335" s="15" t="s">
        <v>11277</v>
      </c>
      <c r="D335" s="15" t="s">
        <v>11277</v>
      </c>
      <c r="E335" s="15" t="s">
        <v>1067</v>
      </c>
      <c r="F335" s="15" t="s">
        <v>1208</v>
      </c>
      <c r="G335" s="15" t="s">
        <v>11430</v>
      </c>
      <c r="H335" s="15">
        <v>9</v>
      </c>
      <c r="I335" s="15">
        <v>20</v>
      </c>
      <c r="J335" s="15">
        <v>20</v>
      </c>
      <c r="K335" s="15" t="str">
        <f t="shared" si="5"/>
        <v>foolfalls</v>
      </c>
      <c r="L335" s="15" t="s">
        <v>11315</v>
      </c>
      <c r="M335" s="15">
        <v>2</v>
      </c>
      <c r="N335" s="15" t="s">
        <v>11223</v>
      </c>
      <c r="O335" s="15"/>
      <c r="P335" s="15"/>
      <c r="Q335" s="15"/>
      <c r="R335" s="15"/>
      <c r="S335" s="15"/>
      <c r="T335" s="15">
        <v>0</v>
      </c>
      <c r="U335" s="15"/>
      <c r="V335" s="15"/>
      <c r="W335" s="15"/>
      <c r="X335" s="15"/>
      <c r="Y335" s="15"/>
      <c r="Z335" s="15"/>
    </row>
    <row r="336" spans="1:26" x14ac:dyDescent="0.25">
      <c r="A336" s="15" t="s">
        <v>14433</v>
      </c>
      <c r="B336" s="15">
        <v>335</v>
      </c>
      <c r="C336" s="15" t="s">
        <v>11277</v>
      </c>
      <c r="D336" s="15" t="s">
        <v>11277</v>
      </c>
      <c r="E336" s="15" t="s">
        <v>1067</v>
      </c>
      <c r="F336" s="15" t="s">
        <v>1208</v>
      </c>
      <c r="G336" s="15" t="s">
        <v>11636</v>
      </c>
      <c r="H336" s="15">
        <v>9</v>
      </c>
      <c r="I336" s="15">
        <v>20</v>
      </c>
      <c r="J336" s="15">
        <v>22</v>
      </c>
      <c r="K336" s="15" t="str">
        <f t="shared" si="5"/>
        <v>foolfalls</v>
      </c>
      <c r="L336" s="15" t="s">
        <v>11271</v>
      </c>
      <c r="M336" s="15">
        <v>2</v>
      </c>
      <c r="N336" s="15" t="s">
        <v>11223</v>
      </c>
      <c r="O336" s="15" t="s">
        <v>14041</v>
      </c>
      <c r="P336" s="15"/>
      <c r="Q336" s="15"/>
      <c r="R336" s="15"/>
      <c r="S336" s="15"/>
      <c r="T336" s="15">
        <v>0</v>
      </c>
      <c r="U336" s="15"/>
      <c r="V336" s="15"/>
      <c r="W336" s="15"/>
      <c r="X336" s="15"/>
      <c r="Y336" s="15"/>
      <c r="Z336" s="15"/>
    </row>
    <row r="337" spans="1:26" x14ac:dyDescent="0.25">
      <c r="A337" s="15" t="s">
        <v>14434</v>
      </c>
      <c r="B337" s="15">
        <v>336</v>
      </c>
      <c r="C337" s="15" t="s">
        <v>11277</v>
      </c>
      <c r="D337" s="15" t="s">
        <v>11277</v>
      </c>
      <c r="E337" s="15" t="s">
        <v>1067</v>
      </c>
      <c r="F337" s="15" t="s">
        <v>1208</v>
      </c>
      <c r="G337" s="15" t="s">
        <v>11500</v>
      </c>
      <c r="H337" s="15">
        <v>9</v>
      </c>
      <c r="I337" s="15">
        <v>20</v>
      </c>
      <c r="J337" s="15">
        <v>23</v>
      </c>
      <c r="K337" s="15" t="str">
        <f t="shared" si="5"/>
        <v>foolfalls</v>
      </c>
      <c r="L337" s="15" t="s">
        <v>11274</v>
      </c>
      <c r="M337" s="15">
        <v>2</v>
      </c>
      <c r="N337" s="15" t="s">
        <v>11223</v>
      </c>
      <c r="O337" s="15"/>
      <c r="P337" s="15"/>
      <c r="Q337" s="15"/>
      <c r="R337" s="15"/>
      <c r="S337" s="15"/>
      <c r="T337" s="15">
        <v>0</v>
      </c>
      <c r="U337" s="15"/>
      <c r="V337" s="15"/>
      <c r="W337" s="15"/>
      <c r="X337" s="15"/>
      <c r="Y337" s="15"/>
      <c r="Z337" s="15"/>
    </row>
    <row r="338" spans="1:26" x14ac:dyDescent="0.25">
      <c r="A338" s="15" t="s">
        <v>14435</v>
      </c>
      <c r="B338" s="15">
        <v>337</v>
      </c>
      <c r="C338" s="15" t="s">
        <v>11277</v>
      </c>
      <c r="D338" s="15" t="s">
        <v>11277</v>
      </c>
      <c r="E338" s="15" t="s">
        <v>1067</v>
      </c>
      <c r="F338" s="15" t="s">
        <v>1208</v>
      </c>
      <c r="G338" s="15" t="s">
        <v>11637</v>
      </c>
      <c r="H338" s="15">
        <v>9</v>
      </c>
      <c r="I338" s="15">
        <v>20</v>
      </c>
      <c r="J338" s="15">
        <v>24</v>
      </c>
      <c r="K338" s="15" t="str">
        <f t="shared" si="5"/>
        <v>foolfalls</v>
      </c>
      <c r="L338" s="15" t="s">
        <v>11310</v>
      </c>
      <c r="M338" s="15">
        <v>2</v>
      </c>
      <c r="N338" s="15" t="s">
        <v>11223</v>
      </c>
      <c r="O338" s="15"/>
      <c r="P338" s="15"/>
      <c r="Q338" s="15"/>
      <c r="R338" s="15"/>
      <c r="S338" s="15"/>
      <c r="T338" s="15">
        <v>0</v>
      </c>
      <c r="U338" s="15"/>
      <c r="V338" s="15"/>
      <c r="W338" s="15"/>
      <c r="X338" s="15"/>
      <c r="Y338" s="15"/>
      <c r="Z338" s="15"/>
    </row>
    <row r="339" spans="1:26" x14ac:dyDescent="0.25">
      <c r="A339" s="15" t="s">
        <v>14436</v>
      </c>
      <c r="B339" s="15">
        <v>338</v>
      </c>
      <c r="C339" s="15" t="s">
        <v>11277</v>
      </c>
      <c r="D339" s="15" t="s">
        <v>11277</v>
      </c>
      <c r="E339" s="15" t="s">
        <v>1067</v>
      </c>
      <c r="F339" s="15" t="s">
        <v>1208</v>
      </c>
      <c r="G339" s="15" t="s">
        <v>11433</v>
      </c>
      <c r="H339" s="15">
        <v>9</v>
      </c>
      <c r="I339" s="15">
        <v>20</v>
      </c>
      <c r="J339" s="15">
        <v>25</v>
      </c>
      <c r="K339" s="15" t="str">
        <f t="shared" si="5"/>
        <v>foolfalls</v>
      </c>
      <c r="L339" s="15" t="s">
        <v>11274</v>
      </c>
      <c r="M339" s="15">
        <v>2</v>
      </c>
      <c r="N339" s="15" t="s">
        <v>11223</v>
      </c>
      <c r="O339" s="15"/>
      <c r="P339" s="15"/>
      <c r="Q339" s="15"/>
      <c r="R339" s="15"/>
      <c r="S339" s="15"/>
      <c r="T339" s="15">
        <v>0</v>
      </c>
      <c r="U339" s="15"/>
      <c r="V339" s="15"/>
      <c r="W339" s="15"/>
      <c r="X339" s="15"/>
      <c r="Y339" s="15"/>
      <c r="Z339" s="15"/>
    </row>
    <row r="340" spans="1:26" x14ac:dyDescent="0.25">
      <c r="A340" s="15" t="s">
        <v>14437</v>
      </c>
      <c r="B340" s="15">
        <v>339</v>
      </c>
      <c r="C340" s="15" t="s">
        <v>11277</v>
      </c>
      <c r="D340" s="15" t="s">
        <v>11277</v>
      </c>
      <c r="E340" s="15" t="s">
        <v>1067</v>
      </c>
      <c r="F340" s="15" t="s">
        <v>1208</v>
      </c>
      <c r="G340" s="15" t="s">
        <v>11437</v>
      </c>
      <c r="H340" s="15">
        <v>9</v>
      </c>
      <c r="I340" s="15">
        <v>20</v>
      </c>
      <c r="J340" s="15">
        <v>43</v>
      </c>
      <c r="K340" s="15" t="str">
        <f t="shared" si="5"/>
        <v>foolfalls</v>
      </c>
      <c r="L340" s="15" t="s">
        <v>14088</v>
      </c>
      <c r="M340" s="15">
        <v>2</v>
      </c>
      <c r="N340" s="15" t="s">
        <v>11223</v>
      </c>
      <c r="O340" s="15"/>
      <c r="P340" s="15"/>
      <c r="Q340" s="15" t="s">
        <v>11270</v>
      </c>
      <c r="R340" s="15"/>
      <c r="S340" s="15"/>
      <c r="T340" s="15">
        <v>0</v>
      </c>
      <c r="U340" s="15"/>
      <c r="V340" s="15"/>
      <c r="W340" s="15"/>
      <c r="X340" s="15"/>
      <c r="Y340" s="15"/>
      <c r="Z340" s="15"/>
    </row>
    <row r="341" spans="1:26" x14ac:dyDescent="0.25">
      <c r="A341" s="15" t="s">
        <v>14438</v>
      </c>
      <c r="B341" s="15">
        <v>340</v>
      </c>
      <c r="C341" s="15" t="s">
        <v>11277</v>
      </c>
      <c r="D341" s="15" t="s">
        <v>11277</v>
      </c>
      <c r="E341" s="15" t="s">
        <v>1067</v>
      </c>
      <c r="F341" s="15" t="s">
        <v>1208</v>
      </c>
      <c r="G341" s="15" t="s">
        <v>11640</v>
      </c>
      <c r="H341" s="15">
        <v>9</v>
      </c>
      <c r="I341" s="15">
        <v>20</v>
      </c>
      <c r="J341" s="15">
        <v>50</v>
      </c>
      <c r="K341" s="15" t="str">
        <f t="shared" si="5"/>
        <v>foolfalls</v>
      </c>
      <c r="L341" s="15" t="s">
        <v>11274</v>
      </c>
      <c r="M341" s="15">
        <v>3</v>
      </c>
      <c r="N341" s="15" t="s">
        <v>11223</v>
      </c>
      <c r="O341" s="15" t="s">
        <v>11302</v>
      </c>
      <c r="P341" s="15"/>
      <c r="Q341" s="15"/>
      <c r="R341" s="15"/>
      <c r="S341" s="15"/>
      <c r="T341" s="15">
        <v>3</v>
      </c>
      <c r="U341" s="15"/>
      <c r="V341" s="15"/>
      <c r="W341" s="15"/>
      <c r="X341" s="15"/>
      <c r="Y341" s="15"/>
      <c r="Z341" s="15"/>
    </row>
    <row r="342" spans="1:26" x14ac:dyDescent="0.25">
      <c r="A342" s="15" t="s">
        <v>14439</v>
      </c>
      <c r="B342" s="15">
        <v>341</v>
      </c>
      <c r="C342" s="15" t="s">
        <v>11277</v>
      </c>
      <c r="D342" s="15" t="s">
        <v>11277</v>
      </c>
      <c r="E342" s="15" t="s">
        <v>1067</v>
      </c>
      <c r="F342" s="15" t="s">
        <v>14440</v>
      </c>
      <c r="G342" s="15" t="s">
        <v>11303</v>
      </c>
      <c r="H342" s="15">
        <v>33</v>
      </c>
      <c r="I342" s="15">
        <v>24</v>
      </c>
      <c r="J342" s="15">
        <v>8</v>
      </c>
      <c r="K342" s="15" t="str">
        <f t="shared" si="5"/>
        <v>bronzelakeshallows</v>
      </c>
      <c r="L342" s="15" t="s">
        <v>11257</v>
      </c>
      <c r="M342" s="15">
        <v>1</v>
      </c>
      <c r="N342" s="15" t="s">
        <v>11222</v>
      </c>
      <c r="O342" s="15"/>
      <c r="P342" s="15"/>
      <c r="Q342" s="15"/>
      <c r="R342" s="15"/>
      <c r="S342" s="15"/>
      <c r="T342" s="15">
        <v>0</v>
      </c>
      <c r="U342" s="15"/>
      <c r="V342" s="15"/>
      <c r="W342" s="15"/>
      <c r="X342" s="15"/>
      <c r="Y342" s="15"/>
      <c r="Z342" s="15"/>
    </row>
    <row r="343" spans="1:26" x14ac:dyDescent="0.25">
      <c r="A343" s="15" t="s">
        <v>14441</v>
      </c>
      <c r="B343" s="15">
        <v>342</v>
      </c>
      <c r="C343" s="15" t="s">
        <v>11277</v>
      </c>
      <c r="D343" s="15" t="s">
        <v>11277</v>
      </c>
      <c r="E343" s="15" t="s">
        <v>1067</v>
      </c>
      <c r="F343" s="15" t="s">
        <v>14440</v>
      </c>
      <c r="G343" s="15" t="s">
        <v>11269</v>
      </c>
      <c r="H343" s="15">
        <v>33</v>
      </c>
      <c r="I343" s="15">
        <v>24</v>
      </c>
      <c r="J343" s="15">
        <v>15</v>
      </c>
      <c r="K343" s="15" t="str">
        <f t="shared" si="5"/>
        <v>bronzelakeshallows</v>
      </c>
      <c r="L343" s="15" t="s">
        <v>11266</v>
      </c>
      <c r="M343" s="15">
        <v>1</v>
      </c>
      <c r="N343" s="15" t="s">
        <v>11222</v>
      </c>
      <c r="O343" s="15"/>
      <c r="P343" s="15"/>
      <c r="Q343" s="15"/>
      <c r="R343" s="15"/>
      <c r="S343" s="15"/>
      <c r="T343" s="15">
        <v>0</v>
      </c>
      <c r="U343" s="15"/>
      <c r="V343" s="15"/>
      <c r="W343" s="15"/>
      <c r="X343" s="15"/>
      <c r="Y343" s="15"/>
      <c r="Z343" s="15"/>
    </row>
    <row r="344" spans="1:26" x14ac:dyDescent="0.25">
      <c r="A344" s="15" t="s">
        <v>14442</v>
      </c>
      <c r="B344" s="15">
        <v>343</v>
      </c>
      <c r="C344" s="15" t="s">
        <v>11277</v>
      </c>
      <c r="D344" s="15" t="s">
        <v>11277</v>
      </c>
      <c r="E344" s="15" t="s">
        <v>1067</v>
      </c>
      <c r="F344" s="15" t="s">
        <v>14440</v>
      </c>
      <c r="G344" s="15" t="s">
        <v>11304</v>
      </c>
      <c r="H344" s="15">
        <v>33</v>
      </c>
      <c r="I344" s="15">
        <v>24</v>
      </c>
      <c r="J344" s="15">
        <v>17</v>
      </c>
      <c r="K344" s="15" t="str">
        <f t="shared" si="5"/>
        <v>bronzelakeshallows</v>
      </c>
      <c r="L344" s="15" t="s">
        <v>11254</v>
      </c>
      <c r="M344" s="15">
        <v>2</v>
      </c>
      <c r="N344" s="15" t="s">
        <v>11223</v>
      </c>
      <c r="O344" s="15"/>
      <c r="P344" s="15"/>
      <c r="Q344" s="15"/>
      <c r="R344" s="15"/>
      <c r="S344" s="15"/>
      <c r="T344" s="15">
        <v>0</v>
      </c>
      <c r="U344" s="15"/>
      <c r="V344" s="15"/>
      <c r="W344" s="15"/>
      <c r="X344" s="15"/>
      <c r="Y344" s="15"/>
      <c r="Z344" s="15"/>
    </row>
    <row r="345" spans="1:26" x14ac:dyDescent="0.25">
      <c r="A345" s="15" t="s">
        <v>14443</v>
      </c>
      <c r="B345" s="15">
        <v>344</v>
      </c>
      <c r="C345" s="15" t="s">
        <v>11277</v>
      </c>
      <c r="D345" s="15" t="s">
        <v>11277</v>
      </c>
      <c r="E345" s="15" t="s">
        <v>1067</v>
      </c>
      <c r="F345" s="15" t="s">
        <v>14440</v>
      </c>
      <c r="G345" s="15" t="s">
        <v>11636</v>
      </c>
      <c r="H345" s="15">
        <v>33</v>
      </c>
      <c r="I345" s="15">
        <v>24</v>
      </c>
      <c r="J345" s="15">
        <v>22</v>
      </c>
      <c r="K345" s="15" t="str">
        <f t="shared" si="5"/>
        <v>bronzelakeshallows</v>
      </c>
      <c r="L345" s="15" t="s">
        <v>11271</v>
      </c>
      <c r="M345" s="15">
        <v>2</v>
      </c>
      <c r="N345" s="15" t="s">
        <v>11223</v>
      </c>
      <c r="O345" s="15" t="s">
        <v>14041</v>
      </c>
      <c r="P345" s="15"/>
      <c r="Q345" s="15"/>
      <c r="R345" s="15"/>
      <c r="S345" s="15"/>
      <c r="T345" s="15">
        <v>0</v>
      </c>
      <c r="U345" s="15"/>
      <c r="V345" s="15"/>
      <c r="W345" s="15"/>
      <c r="X345" s="15"/>
      <c r="Y345" s="15"/>
      <c r="Z345" s="15"/>
    </row>
    <row r="346" spans="1:26" x14ac:dyDescent="0.25">
      <c r="A346" s="15" t="s">
        <v>14444</v>
      </c>
      <c r="B346" s="15">
        <v>345</v>
      </c>
      <c r="C346" s="15" t="s">
        <v>11277</v>
      </c>
      <c r="D346" s="15" t="s">
        <v>11277</v>
      </c>
      <c r="E346" s="15" t="s">
        <v>1067</v>
      </c>
      <c r="F346" s="15" t="s">
        <v>14440</v>
      </c>
      <c r="G346" s="15" t="s">
        <v>11432</v>
      </c>
      <c r="H346" s="15">
        <v>33</v>
      </c>
      <c r="I346" s="15">
        <v>24</v>
      </c>
      <c r="J346" s="15">
        <v>23</v>
      </c>
      <c r="K346" s="15" t="str">
        <f t="shared" si="5"/>
        <v>bronzelakeshallows</v>
      </c>
      <c r="L346" s="15" t="s">
        <v>11271</v>
      </c>
      <c r="M346" s="15">
        <v>1</v>
      </c>
      <c r="N346" s="15" t="s">
        <v>11222</v>
      </c>
      <c r="O346" s="15"/>
      <c r="P346" s="15"/>
      <c r="Q346" s="15"/>
      <c r="R346" s="15"/>
      <c r="S346" s="15"/>
      <c r="T346" s="15">
        <v>0</v>
      </c>
      <c r="U346" s="15"/>
      <c r="V346" s="15"/>
      <c r="W346" s="15"/>
      <c r="X346" s="15"/>
      <c r="Y346" s="15"/>
      <c r="Z346" s="15"/>
    </row>
    <row r="347" spans="1:26" x14ac:dyDescent="0.25">
      <c r="A347" s="15" t="s">
        <v>14445</v>
      </c>
      <c r="B347" s="15">
        <v>346</v>
      </c>
      <c r="C347" s="15" t="s">
        <v>11277</v>
      </c>
      <c r="D347" s="15" t="s">
        <v>11277</v>
      </c>
      <c r="E347" s="15" t="s">
        <v>1067</v>
      </c>
      <c r="F347" s="15" t="s">
        <v>14440</v>
      </c>
      <c r="G347" s="15" t="s">
        <v>11641</v>
      </c>
      <c r="H347" s="15">
        <v>33</v>
      </c>
      <c r="I347" s="15">
        <v>24</v>
      </c>
      <c r="J347" s="15">
        <v>50</v>
      </c>
      <c r="K347" s="15" t="str">
        <f t="shared" si="5"/>
        <v>bronzelakeshallows</v>
      </c>
      <c r="L347" s="15" t="s">
        <v>11271</v>
      </c>
      <c r="M347" s="15">
        <v>3</v>
      </c>
      <c r="N347" s="15" t="s">
        <v>11223</v>
      </c>
      <c r="O347" s="15" t="s">
        <v>2824</v>
      </c>
      <c r="P347" s="15"/>
      <c r="Q347" s="15"/>
      <c r="R347" s="15"/>
      <c r="S347" s="15"/>
      <c r="T347" s="15">
        <v>3</v>
      </c>
      <c r="U347" s="15"/>
      <c r="V347" s="15"/>
      <c r="W347" s="15"/>
      <c r="X347" s="15"/>
      <c r="Y347" s="15"/>
      <c r="Z347" s="15"/>
    </row>
    <row r="348" spans="1:26" x14ac:dyDescent="0.25">
      <c r="A348" s="15" t="s">
        <v>14446</v>
      </c>
      <c r="B348" s="15">
        <v>347</v>
      </c>
      <c r="C348" s="15" t="s">
        <v>11277</v>
      </c>
      <c r="D348" s="15" t="s">
        <v>11277</v>
      </c>
      <c r="E348" s="15" t="s">
        <v>1067</v>
      </c>
      <c r="F348" s="15" t="s">
        <v>14447</v>
      </c>
      <c r="G348" s="15" t="s">
        <v>11636</v>
      </c>
      <c r="H348" s="15">
        <v>27</v>
      </c>
      <c r="I348" s="15">
        <v>22</v>
      </c>
      <c r="J348" s="15">
        <v>22</v>
      </c>
      <c r="K348" s="15" t="str">
        <f t="shared" si="5"/>
        <v>northeastbronzelake</v>
      </c>
      <c r="L348" s="15" t="s">
        <v>11271</v>
      </c>
      <c r="M348" s="15">
        <v>2</v>
      </c>
      <c r="N348" s="15" t="s">
        <v>11223</v>
      </c>
      <c r="O348" s="15" t="s">
        <v>14041</v>
      </c>
      <c r="P348" s="15"/>
      <c r="Q348" s="15"/>
      <c r="R348" s="15"/>
      <c r="S348" s="15"/>
      <c r="T348" s="15">
        <v>0</v>
      </c>
      <c r="U348" s="15"/>
      <c r="V348" s="15"/>
      <c r="W348" s="15"/>
      <c r="X348" s="15"/>
      <c r="Y348" s="15"/>
      <c r="Z348" s="15"/>
    </row>
    <row r="349" spans="1:26" x14ac:dyDescent="0.25">
      <c r="A349" s="15" t="s">
        <v>14448</v>
      </c>
      <c r="B349" s="15">
        <v>348</v>
      </c>
      <c r="C349" s="15" t="s">
        <v>11277</v>
      </c>
      <c r="D349" s="15" t="s">
        <v>11277</v>
      </c>
      <c r="E349" s="15" t="s">
        <v>1067</v>
      </c>
      <c r="F349" s="15" t="s">
        <v>14447</v>
      </c>
      <c r="G349" s="15" t="s">
        <v>11432</v>
      </c>
      <c r="H349" s="15">
        <v>27</v>
      </c>
      <c r="I349" s="15">
        <v>22</v>
      </c>
      <c r="J349" s="15">
        <v>23</v>
      </c>
      <c r="K349" s="15" t="str">
        <f t="shared" si="5"/>
        <v>northeastbronzelake</v>
      </c>
      <c r="L349" s="15" t="s">
        <v>11271</v>
      </c>
      <c r="M349" s="15">
        <v>1</v>
      </c>
      <c r="N349" s="15" t="s">
        <v>11222</v>
      </c>
      <c r="O349" s="15"/>
      <c r="P349" s="15"/>
      <c r="Q349" s="15"/>
      <c r="R349" s="15"/>
      <c r="S349" s="15"/>
      <c r="T349" s="15">
        <v>0</v>
      </c>
      <c r="U349" s="15"/>
      <c r="V349" s="15"/>
      <c r="W349" s="15"/>
      <c r="X349" s="15"/>
      <c r="Y349" s="15"/>
      <c r="Z349" s="15"/>
    </row>
    <row r="350" spans="1:26" x14ac:dyDescent="0.25">
      <c r="A350" s="15" t="s">
        <v>14449</v>
      </c>
      <c r="B350" s="15">
        <v>349</v>
      </c>
      <c r="C350" s="15" t="s">
        <v>11277</v>
      </c>
      <c r="D350" s="15" t="s">
        <v>11277</v>
      </c>
      <c r="E350" s="15" t="s">
        <v>1067</v>
      </c>
      <c r="F350" s="15" t="s">
        <v>14447</v>
      </c>
      <c r="G350" s="15" t="s">
        <v>11637</v>
      </c>
      <c r="H350" s="15">
        <v>27</v>
      </c>
      <c r="I350" s="15">
        <v>22</v>
      </c>
      <c r="J350" s="15">
        <v>24</v>
      </c>
      <c r="K350" s="15" t="str">
        <f t="shared" si="5"/>
        <v>northeastbronzelake</v>
      </c>
      <c r="L350" s="15" t="s">
        <v>11310</v>
      </c>
      <c r="M350" s="15">
        <v>2</v>
      </c>
      <c r="N350" s="15" t="s">
        <v>11223</v>
      </c>
      <c r="O350" s="15"/>
      <c r="P350" s="15"/>
      <c r="Q350" s="15"/>
      <c r="R350" s="15"/>
      <c r="S350" s="15"/>
      <c r="T350" s="15">
        <v>0</v>
      </c>
      <c r="U350" s="15"/>
      <c r="V350" s="15"/>
      <c r="W350" s="15"/>
      <c r="X350" s="15"/>
      <c r="Y350" s="15"/>
      <c r="Z350" s="15"/>
    </row>
    <row r="351" spans="1:26" x14ac:dyDescent="0.25">
      <c r="A351" s="15" t="s">
        <v>14450</v>
      </c>
      <c r="B351" s="15">
        <v>350</v>
      </c>
      <c r="C351" s="15" t="s">
        <v>11277</v>
      </c>
      <c r="D351" s="15" t="s">
        <v>11277</v>
      </c>
      <c r="E351" s="15" t="s">
        <v>1067</v>
      </c>
      <c r="F351" s="15" t="s">
        <v>14447</v>
      </c>
      <c r="G351" s="15" t="s">
        <v>11420</v>
      </c>
      <c r="H351" s="15">
        <v>27</v>
      </c>
      <c r="I351" s="15">
        <v>22</v>
      </c>
      <c r="J351" s="15">
        <v>34</v>
      </c>
      <c r="K351" s="15" t="str">
        <f t="shared" si="5"/>
        <v>northeastbronzelake</v>
      </c>
      <c r="L351" s="15" t="s">
        <v>11424</v>
      </c>
      <c r="M351" s="15">
        <v>2</v>
      </c>
      <c r="N351" s="15" t="s">
        <v>11223</v>
      </c>
      <c r="O351" s="15"/>
      <c r="P351" s="15"/>
      <c r="Q351" s="15"/>
      <c r="R351" s="15"/>
      <c r="S351" s="15"/>
      <c r="T351" s="15">
        <v>0</v>
      </c>
      <c r="U351" s="15"/>
      <c r="V351" s="15"/>
      <c r="W351" s="15"/>
      <c r="X351" s="15"/>
      <c r="Y351" s="15"/>
      <c r="Z351" s="15"/>
    </row>
    <row r="352" spans="1:26" x14ac:dyDescent="0.25">
      <c r="A352" s="15" t="s">
        <v>14451</v>
      </c>
      <c r="B352" s="15">
        <v>351</v>
      </c>
      <c r="C352" s="15" t="s">
        <v>11277</v>
      </c>
      <c r="D352" s="15" t="s">
        <v>11277</v>
      </c>
      <c r="E352" s="15" t="s">
        <v>1067</v>
      </c>
      <c r="F352" s="15" t="s">
        <v>14447</v>
      </c>
      <c r="G352" s="15" t="s">
        <v>11352</v>
      </c>
      <c r="H352" s="15">
        <v>27</v>
      </c>
      <c r="I352" s="15">
        <v>22</v>
      </c>
      <c r="J352" s="15">
        <v>34</v>
      </c>
      <c r="K352" s="15" t="str">
        <f t="shared" si="5"/>
        <v>northeastbronzelake</v>
      </c>
      <c r="L352" s="15" t="s">
        <v>11355</v>
      </c>
      <c r="M352" s="15">
        <v>1</v>
      </c>
      <c r="N352" s="15" t="s">
        <v>11222</v>
      </c>
      <c r="O352" s="15"/>
      <c r="P352" s="15"/>
      <c r="Q352" s="15"/>
      <c r="R352" s="15"/>
      <c r="S352" s="15"/>
      <c r="T352" s="15">
        <v>0</v>
      </c>
      <c r="U352" s="15"/>
      <c r="V352" s="15"/>
      <c r="W352" s="15"/>
      <c r="X352" s="15"/>
      <c r="Y352" s="15"/>
      <c r="Z352" s="15"/>
    </row>
    <row r="353" spans="1:26" x14ac:dyDescent="0.25">
      <c r="A353" s="15" t="s">
        <v>14452</v>
      </c>
      <c r="B353" s="15">
        <v>352</v>
      </c>
      <c r="C353" s="15" t="s">
        <v>11277</v>
      </c>
      <c r="D353" s="15" t="s">
        <v>11277</v>
      </c>
      <c r="E353" s="15" t="s">
        <v>1067</v>
      </c>
      <c r="F353" s="15" t="s">
        <v>14447</v>
      </c>
      <c r="G353" s="15" t="s">
        <v>11370</v>
      </c>
      <c r="H353" s="15">
        <v>27</v>
      </c>
      <c r="I353" s="15">
        <v>22</v>
      </c>
      <c r="J353" s="15">
        <v>36</v>
      </c>
      <c r="K353" s="15" t="str">
        <f t="shared" si="5"/>
        <v>northeastbronzelake</v>
      </c>
      <c r="L353" s="15" t="s">
        <v>11355</v>
      </c>
      <c r="M353" s="15">
        <v>1</v>
      </c>
      <c r="N353" s="15" t="s">
        <v>11222</v>
      </c>
      <c r="O353" s="15"/>
      <c r="P353" s="15"/>
      <c r="Q353" s="15"/>
      <c r="R353" s="15"/>
      <c r="S353" s="15"/>
      <c r="T353" s="15">
        <v>0</v>
      </c>
      <c r="U353" s="15"/>
      <c r="V353" s="15"/>
      <c r="W353" s="15"/>
      <c r="X353" s="15"/>
      <c r="Y353" s="15"/>
      <c r="Z353" s="15"/>
    </row>
    <row r="354" spans="1:26" x14ac:dyDescent="0.25">
      <c r="A354" s="15" t="s">
        <v>14453</v>
      </c>
      <c r="B354" s="15">
        <v>353</v>
      </c>
      <c r="C354" s="15" t="s">
        <v>11277</v>
      </c>
      <c r="D354" s="15" t="s">
        <v>11277</v>
      </c>
      <c r="E354" s="15" t="s">
        <v>1067</v>
      </c>
      <c r="F354" s="15" t="s">
        <v>14447</v>
      </c>
      <c r="G354" s="15" t="s">
        <v>11365</v>
      </c>
      <c r="H354" s="15">
        <v>27</v>
      </c>
      <c r="I354" s="15">
        <v>22</v>
      </c>
      <c r="J354" s="15">
        <v>37</v>
      </c>
      <c r="K354" s="15" t="str">
        <f t="shared" si="5"/>
        <v>northeastbronzelake</v>
      </c>
      <c r="L354" s="15" t="s">
        <v>11355</v>
      </c>
      <c r="M354" s="15">
        <v>2</v>
      </c>
      <c r="N354" s="15" t="s">
        <v>11223</v>
      </c>
      <c r="O354" s="15"/>
      <c r="P354" s="15"/>
      <c r="Q354" s="15"/>
      <c r="R354" s="15"/>
      <c r="S354" s="15"/>
      <c r="T354" s="15">
        <v>0</v>
      </c>
      <c r="U354" s="15"/>
      <c r="V354" s="15"/>
      <c r="W354" s="15"/>
      <c r="X354" s="15"/>
      <c r="Y354" s="15"/>
      <c r="Z354" s="15"/>
    </row>
    <row r="355" spans="1:26" x14ac:dyDescent="0.25">
      <c r="A355" s="15" t="s">
        <v>14454</v>
      </c>
      <c r="B355" s="15">
        <v>354</v>
      </c>
      <c r="C355" s="15" t="s">
        <v>11277</v>
      </c>
      <c r="D355" s="15" t="s">
        <v>11277</v>
      </c>
      <c r="E355" s="15" t="s">
        <v>1067</v>
      </c>
      <c r="F355" s="15" t="s">
        <v>14447</v>
      </c>
      <c r="G355" s="15" t="s">
        <v>11537</v>
      </c>
      <c r="H355" s="15">
        <v>27</v>
      </c>
      <c r="I355" s="15">
        <v>22</v>
      </c>
      <c r="J355" s="15">
        <v>41</v>
      </c>
      <c r="K355" s="15" t="str">
        <f t="shared" si="5"/>
        <v>northeastbronzelake</v>
      </c>
      <c r="L355" s="15" t="s">
        <v>11310</v>
      </c>
      <c r="M355" s="15">
        <v>2</v>
      </c>
      <c r="N355" s="15" t="s">
        <v>11223</v>
      </c>
      <c r="O355" s="15"/>
      <c r="P355" s="15"/>
      <c r="Q355" s="15"/>
      <c r="R355" s="15"/>
      <c r="S355" s="15"/>
      <c r="T355" s="15">
        <v>0</v>
      </c>
      <c r="U355" s="15"/>
      <c r="V355" s="15"/>
      <c r="W355" s="15"/>
      <c r="X355" s="15"/>
      <c r="Y355" s="15"/>
      <c r="Z355" s="15"/>
    </row>
    <row r="356" spans="1:26" x14ac:dyDescent="0.25">
      <c r="A356" s="15" t="s">
        <v>14455</v>
      </c>
      <c r="B356" s="15">
        <v>355</v>
      </c>
      <c r="C356" s="15" t="s">
        <v>11277</v>
      </c>
      <c r="D356" s="15" t="s">
        <v>11277</v>
      </c>
      <c r="E356" s="15" t="s">
        <v>1067</v>
      </c>
      <c r="F356" s="15" t="s">
        <v>14447</v>
      </c>
      <c r="G356" s="15" t="s">
        <v>11642</v>
      </c>
      <c r="H356" s="15">
        <v>27</v>
      </c>
      <c r="I356" s="15">
        <v>22</v>
      </c>
      <c r="J356" s="15">
        <v>50</v>
      </c>
      <c r="K356" s="15" t="str">
        <f t="shared" si="5"/>
        <v>northeastbronzelake</v>
      </c>
      <c r="L356" s="15" t="s">
        <v>14088</v>
      </c>
      <c r="M356" s="15">
        <v>2</v>
      </c>
      <c r="N356" s="15" t="s">
        <v>11223</v>
      </c>
      <c r="O356" s="15"/>
      <c r="P356" s="15"/>
      <c r="Q356" s="15" t="s">
        <v>11370</v>
      </c>
      <c r="R356" s="15"/>
      <c r="S356" s="15"/>
      <c r="T356" s="15">
        <v>1</v>
      </c>
      <c r="U356" s="15"/>
      <c r="V356" s="15"/>
      <c r="W356" s="15"/>
      <c r="X356" s="15"/>
      <c r="Y356" s="15"/>
      <c r="Z356" s="15"/>
    </row>
    <row r="357" spans="1:26" x14ac:dyDescent="0.25">
      <c r="A357" s="15" t="s">
        <v>14456</v>
      </c>
      <c r="B357" s="15">
        <v>356</v>
      </c>
      <c r="C357" s="15" t="s">
        <v>11277</v>
      </c>
      <c r="D357" s="15" t="s">
        <v>11277</v>
      </c>
      <c r="E357" s="15" t="s">
        <v>1067</v>
      </c>
      <c r="F357" s="15" t="s">
        <v>14447</v>
      </c>
      <c r="G357" s="15" t="s">
        <v>11643</v>
      </c>
      <c r="H357" s="15">
        <v>27</v>
      </c>
      <c r="I357" s="15">
        <v>22</v>
      </c>
      <c r="J357" s="15">
        <v>50</v>
      </c>
      <c r="K357" s="15" t="str">
        <f t="shared" si="5"/>
        <v>northeastbronzelake</v>
      </c>
      <c r="L357" s="15" t="s">
        <v>11310</v>
      </c>
      <c r="M357" s="15">
        <v>3</v>
      </c>
      <c r="N357" s="15" t="s">
        <v>11223</v>
      </c>
      <c r="O357" s="15" t="s">
        <v>14034</v>
      </c>
      <c r="P357" s="15"/>
      <c r="Q357" s="15"/>
      <c r="R357" s="15"/>
      <c r="S357" s="15"/>
      <c r="T357" s="15">
        <v>3</v>
      </c>
      <c r="U357" s="15"/>
      <c r="V357" s="15"/>
      <c r="W357" s="15"/>
      <c r="X357" s="15"/>
      <c r="Y357" s="15"/>
      <c r="Z357" s="15"/>
    </row>
    <row r="358" spans="1:26" x14ac:dyDescent="0.25">
      <c r="A358" s="15" t="s">
        <v>14457</v>
      </c>
      <c r="B358" s="15">
        <v>357</v>
      </c>
      <c r="C358" s="15" t="s">
        <v>11277</v>
      </c>
      <c r="D358" s="15" t="s">
        <v>11277</v>
      </c>
      <c r="E358" s="15" t="s">
        <v>1067</v>
      </c>
      <c r="F358" s="15" t="s">
        <v>1211</v>
      </c>
      <c r="G358" s="15" t="s">
        <v>11365</v>
      </c>
      <c r="H358" s="15">
        <v>15</v>
      </c>
      <c r="I358" s="15">
        <v>11</v>
      </c>
      <c r="J358" s="15">
        <v>37</v>
      </c>
      <c r="K358" s="15" t="str">
        <f t="shared" si="5"/>
        <v>thelongclimb</v>
      </c>
      <c r="L358" s="15" t="s">
        <v>11355</v>
      </c>
      <c r="M358" s="15">
        <v>2</v>
      </c>
      <c r="N358" s="15" t="s">
        <v>11223</v>
      </c>
      <c r="O358" s="15"/>
      <c r="P358" s="15"/>
      <c r="Q358" s="15"/>
      <c r="R358" s="15"/>
      <c r="S358" s="15"/>
      <c r="T358" s="15">
        <v>0</v>
      </c>
      <c r="U358" s="15"/>
      <c r="V358" s="15"/>
      <c r="W358" s="15"/>
      <c r="X358" s="15"/>
      <c r="Y358" s="15"/>
      <c r="Z358" s="15"/>
    </row>
    <row r="359" spans="1:26" x14ac:dyDescent="0.25">
      <c r="A359" s="15" t="s">
        <v>14458</v>
      </c>
      <c r="B359" s="15">
        <v>358</v>
      </c>
      <c r="C359" s="15" t="s">
        <v>11277</v>
      </c>
      <c r="D359" s="15" t="s">
        <v>11277</v>
      </c>
      <c r="E359" s="15" t="s">
        <v>1067</v>
      </c>
      <c r="F359" s="15" t="s">
        <v>1211</v>
      </c>
      <c r="G359" s="15" t="s">
        <v>11488</v>
      </c>
      <c r="H359" s="15">
        <v>15</v>
      </c>
      <c r="I359" s="15">
        <v>11</v>
      </c>
      <c r="J359" s="15">
        <v>41</v>
      </c>
      <c r="K359" s="15" t="str">
        <f t="shared" si="5"/>
        <v>thelongclimb</v>
      </c>
      <c r="L359" s="15" t="s">
        <v>11360</v>
      </c>
      <c r="M359" s="15">
        <v>1</v>
      </c>
      <c r="N359" s="15" t="s">
        <v>11222</v>
      </c>
      <c r="O359" s="15"/>
      <c r="P359" s="15"/>
      <c r="Q359" s="15"/>
      <c r="R359" s="15"/>
      <c r="S359" s="15"/>
      <c r="T359" s="15">
        <v>0</v>
      </c>
      <c r="U359" s="15"/>
      <c r="V359" s="15"/>
      <c r="W359" s="15"/>
      <c r="X359" s="15"/>
      <c r="Y359" s="15"/>
      <c r="Z359" s="15"/>
    </row>
    <row r="360" spans="1:26" x14ac:dyDescent="0.25">
      <c r="A360" s="15" t="s">
        <v>14459</v>
      </c>
      <c r="B360" s="15">
        <v>359</v>
      </c>
      <c r="C360" s="15" t="s">
        <v>11277</v>
      </c>
      <c r="D360" s="15" t="s">
        <v>11277</v>
      </c>
      <c r="E360" s="15" t="s">
        <v>1067</v>
      </c>
      <c r="F360" s="15" t="s">
        <v>1211</v>
      </c>
      <c r="G360" s="15" t="s">
        <v>11366</v>
      </c>
      <c r="H360" s="15">
        <v>15</v>
      </c>
      <c r="I360" s="15">
        <v>11</v>
      </c>
      <c r="J360" s="15">
        <v>42</v>
      </c>
      <c r="K360" s="15" t="str">
        <f t="shared" si="5"/>
        <v>thelongclimb</v>
      </c>
      <c r="L360" s="15" t="s">
        <v>11367</v>
      </c>
      <c r="M360" s="15">
        <v>2</v>
      </c>
      <c r="N360" s="15" t="s">
        <v>11223</v>
      </c>
      <c r="O360" s="15"/>
      <c r="P360" s="15"/>
      <c r="Q360" s="15"/>
      <c r="R360" s="15"/>
      <c r="S360" s="15"/>
      <c r="T360" s="15">
        <v>0</v>
      </c>
      <c r="U360" s="15" t="s">
        <v>5900</v>
      </c>
      <c r="V360" s="15"/>
      <c r="W360" s="15"/>
      <c r="X360" s="15"/>
      <c r="Y360" s="15"/>
      <c r="Z360" s="15"/>
    </row>
    <row r="361" spans="1:26" x14ac:dyDescent="0.25">
      <c r="A361" s="15" t="s">
        <v>14460</v>
      </c>
      <c r="B361" s="15">
        <v>360</v>
      </c>
      <c r="C361" s="15" t="s">
        <v>11277</v>
      </c>
      <c r="D361" s="15" t="s">
        <v>11277</v>
      </c>
      <c r="E361" s="15" t="s">
        <v>1067</v>
      </c>
      <c r="F361" s="15" t="s">
        <v>1211</v>
      </c>
      <c r="G361" s="15" t="s">
        <v>11500</v>
      </c>
      <c r="H361" s="15">
        <v>15</v>
      </c>
      <c r="I361" s="15">
        <v>11</v>
      </c>
      <c r="J361" s="15">
        <v>23</v>
      </c>
      <c r="K361" s="15" t="str">
        <f t="shared" si="5"/>
        <v>thelongclimb</v>
      </c>
      <c r="L361" s="15" t="s">
        <v>11274</v>
      </c>
      <c r="M361" s="15">
        <v>2</v>
      </c>
      <c r="N361" s="15" t="s">
        <v>11223</v>
      </c>
      <c r="O361" s="15"/>
      <c r="P361" s="15"/>
      <c r="Q361" s="15"/>
      <c r="R361" s="15"/>
      <c r="S361" s="15"/>
      <c r="T361" s="15">
        <v>0</v>
      </c>
      <c r="U361" s="15"/>
      <c r="V361" s="15"/>
      <c r="W361" s="15"/>
      <c r="X361" s="15"/>
      <c r="Y361" s="15"/>
      <c r="Z361" s="15"/>
    </row>
    <row r="362" spans="1:26" x14ac:dyDescent="0.25">
      <c r="A362" s="15" t="s">
        <v>14461</v>
      </c>
      <c r="B362" s="15">
        <v>361</v>
      </c>
      <c r="C362" s="15" t="s">
        <v>11277</v>
      </c>
      <c r="D362" s="15" t="s">
        <v>11277</v>
      </c>
      <c r="E362" s="15" t="s">
        <v>1067</v>
      </c>
      <c r="F362" s="15" t="s">
        <v>1211</v>
      </c>
      <c r="G362" s="15" t="s">
        <v>11537</v>
      </c>
      <c r="H362" s="15">
        <v>15</v>
      </c>
      <c r="I362" s="15">
        <v>11</v>
      </c>
      <c r="J362" s="15">
        <v>41</v>
      </c>
      <c r="K362" s="15" t="str">
        <f t="shared" si="5"/>
        <v>thelongclimb</v>
      </c>
      <c r="L362" s="15" t="s">
        <v>11310</v>
      </c>
      <c r="M362" s="15">
        <v>2</v>
      </c>
      <c r="N362" s="15" t="s">
        <v>11223</v>
      </c>
      <c r="O362" s="15"/>
      <c r="P362" s="15"/>
      <c r="Q362" s="15"/>
      <c r="R362" s="15"/>
      <c r="S362" s="15"/>
      <c r="T362" s="15">
        <v>0</v>
      </c>
      <c r="U362" s="15"/>
      <c r="V362" s="15"/>
      <c r="W362" s="15"/>
      <c r="X362" s="15"/>
      <c r="Y362" s="15"/>
      <c r="Z362" s="15"/>
    </row>
    <row r="363" spans="1:26" x14ac:dyDescent="0.25">
      <c r="A363" s="15" t="s">
        <v>14462</v>
      </c>
      <c r="B363" s="15">
        <v>362</v>
      </c>
      <c r="C363" s="15" t="s">
        <v>11277</v>
      </c>
      <c r="D363" s="15" t="s">
        <v>11277</v>
      </c>
      <c r="E363" s="15" t="s">
        <v>1067</v>
      </c>
      <c r="F363" s="15" t="s">
        <v>1211</v>
      </c>
      <c r="G363" s="15" t="s">
        <v>11644</v>
      </c>
      <c r="H363" s="15">
        <v>15</v>
      </c>
      <c r="I363" s="15">
        <v>11</v>
      </c>
      <c r="J363" s="15">
        <v>50</v>
      </c>
      <c r="K363" s="15" t="str">
        <f t="shared" si="5"/>
        <v>thelongclimb</v>
      </c>
      <c r="L363" s="15" t="s">
        <v>11310</v>
      </c>
      <c r="M363" s="15">
        <v>2</v>
      </c>
      <c r="N363" s="15" t="s">
        <v>11223</v>
      </c>
      <c r="O363" s="15" t="s">
        <v>11381</v>
      </c>
      <c r="P363" s="15"/>
      <c r="Q363" s="15"/>
      <c r="R363" s="15"/>
      <c r="S363" s="15"/>
      <c r="T363" s="15">
        <v>1</v>
      </c>
      <c r="U363" s="15"/>
      <c r="V363" s="15"/>
      <c r="W363" s="15"/>
      <c r="X363" s="15"/>
      <c r="Y363" s="15"/>
      <c r="Z363" s="15"/>
    </row>
    <row r="364" spans="1:26" x14ac:dyDescent="0.25">
      <c r="A364" s="15" t="s">
        <v>14463</v>
      </c>
      <c r="B364" s="15">
        <v>363</v>
      </c>
      <c r="C364" s="15" t="s">
        <v>11277</v>
      </c>
      <c r="D364" s="15" t="s">
        <v>11277</v>
      </c>
      <c r="E364" s="15" t="s">
        <v>1067</v>
      </c>
      <c r="F364" s="15" t="s">
        <v>1211</v>
      </c>
      <c r="G364" s="15" t="s">
        <v>11645</v>
      </c>
      <c r="H364" s="15">
        <v>15</v>
      </c>
      <c r="I364" s="15">
        <v>11</v>
      </c>
      <c r="J364" s="15">
        <v>50</v>
      </c>
      <c r="K364" s="15" t="str">
        <f t="shared" si="5"/>
        <v>thelongclimb</v>
      </c>
      <c r="L364" s="15" t="s">
        <v>11360</v>
      </c>
      <c r="M364" s="15">
        <v>3</v>
      </c>
      <c r="N364" s="15" t="s">
        <v>11223</v>
      </c>
      <c r="O364" s="15" t="s">
        <v>14058</v>
      </c>
      <c r="P364" s="15"/>
      <c r="Q364" s="15"/>
      <c r="R364" s="15"/>
      <c r="S364" s="15"/>
      <c r="T364" s="15">
        <v>3</v>
      </c>
      <c r="U364" s="15" t="s">
        <v>5900</v>
      </c>
      <c r="V364" s="15"/>
      <c r="W364" s="15"/>
      <c r="X364" s="15"/>
      <c r="Y364" s="15"/>
      <c r="Z364" s="15"/>
    </row>
    <row r="365" spans="1:26" x14ac:dyDescent="0.25">
      <c r="A365" s="15" t="s">
        <v>14464</v>
      </c>
      <c r="B365" s="15">
        <v>364</v>
      </c>
      <c r="C365" s="15" t="s">
        <v>11277</v>
      </c>
      <c r="D365" s="15" t="s">
        <v>11277</v>
      </c>
      <c r="E365" s="15" t="s">
        <v>1067</v>
      </c>
      <c r="F365" s="15" t="s">
        <v>1211</v>
      </c>
      <c r="G365" s="15" t="s">
        <v>11468</v>
      </c>
      <c r="H365" s="15">
        <v>15</v>
      </c>
      <c r="I365" s="15">
        <v>11</v>
      </c>
      <c r="J365" s="15">
        <v>36</v>
      </c>
      <c r="K365" s="15" t="str">
        <f t="shared" si="5"/>
        <v>thelongclimb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x14ac:dyDescent="0.25">
      <c r="A366" s="15" t="s">
        <v>14465</v>
      </c>
      <c r="B366" s="15">
        <v>365</v>
      </c>
      <c r="C366" s="15" t="s">
        <v>11277</v>
      </c>
      <c r="D366" s="15" t="s">
        <v>11277</v>
      </c>
      <c r="E366" s="15" t="s">
        <v>1067</v>
      </c>
      <c r="F366" s="15" t="s">
        <v>14466</v>
      </c>
      <c r="G366" s="15" t="s">
        <v>11636</v>
      </c>
      <c r="H366" s="15">
        <v>19</v>
      </c>
      <c r="I366" s="15">
        <v>18</v>
      </c>
      <c r="J366" s="15">
        <v>22</v>
      </c>
      <c r="K366" s="15" t="str">
        <f t="shared" si="5"/>
        <v>northwestbronzelake</v>
      </c>
      <c r="L366" s="15" t="s">
        <v>11271</v>
      </c>
      <c r="M366" s="15">
        <v>2</v>
      </c>
      <c r="N366" s="15" t="s">
        <v>11223</v>
      </c>
      <c r="O366" s="15" t="s">
        <v>14041</v>
      </c>
      <c r="P366" s="15"/>
      <c r="Q366" s="15"/>
      <c r="R366" s="15"/>
      <c r="S366" s="15"/>
      <c r="T366" s="15">
        <v>0</v>
      </c>
      <c r="U366" s="15"/>
      <c r="V366" s="15"/>
      <c r="W366" s="15"/>
      <c r="X366" s="15"/>
      <c r="Y366" s="15"/>
      <c r="Z366" s="15"/>
    </row>
    <row r="367" spans="1:26" x14ac:dyDescent="0.25">
      <c r="A367" s="15" t="s">
        <v>14467</v>
      </c>
      <c r="B367" s="15">
        <v>366</v>
      </c>
      <c r="C367" s="15" t="s">
        <v>11277</v>
      </c>
      <c r="D367" s="15" t="s">
        <v>11277</v>
      </c>
      <c r="E367" s="15" t="s">
        <v>1067</v>
      </c>
      <c r="F367" s="15" t="s">
        <v>14466</v>
      </c>
      <c r="G367" s="15" t="s">
        <v>11432</v>
      </c>
      <c r="H367" s="15">
        <v>19</v>
      </c>
      <c r="I367" s="15">
        <v>18</v>
      </c>
      <c r="J367" s="15">
        <v>23</v>
      </c>
      <c r="K367" s="15" t="str">
        <f t="shared" si="5"/>
        <v>northwestbronzelake</v>
      </c>
      <c r="L367" s="15" t="s">
        <v>11271</v>
      </c>
      <c r="M367" s="15">
        <v>1</v>
      </c>
      <c r="N367" s="15" t="s">
        <v>11222</v>
      </c>
      <c r="O367" s="15"/>
      <c r="P367" s="15"/>
      <c r="Q367" s="15"/>
      <c r="R367" s="15"/>
      <c r="S367" s="15"/>
      <c r="T367" s="15">
        <v>0</v>
      </c>
      <c r="U367" s="15"/>
      <c r="V367" s="15"/>
      <c r="W367" s="15"/>
      <c r="X367" s="15"/>
      <c r="Y367" s="15"/>
      <c r="Z367" s="15"/>
    </row>
    <row r="368" spans="1:26" x14ac:dyDescent="0.25">
      <c r="A368" s="15" t="s">
        <v>14468</v>
      </c>
      <c r="B368" s="15">
        <v>367</v>
      </c>
      <c r="C368" s="15" t="s">
        <v>11277</v>
      </c>
      <c r="D368" s="15" t="s">
        <v>11277</v>
      </c>
      <c r="E368" s="15" t="s">
        <v>1067</v>
      </c>
      <c r="F368" s="15" t="s">
        <v>14466</v>
      </c>
      <c r="G368" s="15" t="s">
        <v>11637</v>
      </c>
      <c r="H368" s="15">
        <v>19</v>
      </c>
      <c r="I368" s="15">
        <v>18</v>
      </c>
      <c r="J368" s="15">
        <v>24</v>
      </c>
      <c r="K368" s="15" t="str">
        <f t="shared" si="5"/>
        <v>northwestbronzelake</v>
      </c>
      <c r="L368" s="15" t="s">
        <v>11310</v>
      </c>
      <c r="M368" s="15">
        <v>2</v>
      </c>
      <c r="N368" s="15" t="s">
        <v>11223</v>
      </c>
      <c r="O368" s="15"/>
      <c r="P368" s="15"/>
      <c r="Q368" s="15"/>
      <c r="R368" s="15"/>
      <c r="S368" s="15"/>
      <c r="T368" s="15">
        <v>0</v>
      </c>
      <c r="U368" s="15"/>
      <c r="V368" s="15"/>
      <c r="W368" s="15"/>
      <c r="X368" s="15"/>
      <c r="Y368" s="15"/>
      <c r="Z368" s="15"/>
    </row>
    <row r="369" spans="1:26" x14ac:dyDescent="0.25">
      <c r="A369" s="15" t="s">
        <v>14469</v>
      </c>
      <c r="B369" s="15">
        <v>368</v>
      </c>
      <c r="C369" s="15" t="s">
        <v>11277</v>
      </c>
      <c r="D369" s="15" t="s">
        <v>11277</v>
      </c>
      <c r="E369" s="15" t="s">
        <v>1067</v>
      </c>
      <c r="F369" s="15" t="s">
        <v>14466</v>
      </c>
      <c r="G369" s="15" t="s">
        <v>11420</v>
      </c>
      <c r="H369" s="15">
        <v>19</v>
      </c>
      <c r="I369" s="15">
        <v>18</v>
      </c>
      <c r="J369" s="15">
        <v>34</v>
      </c>
      <c r="K369" s="15" t="str">
        <f t="shared" si="5"/>
        <v>northwestbronzelake</v>
      </c>
      <c r="L369" s="15" t="s">
        <v>11424</v>
      </c>
      <c r="M369" s="15">
        <v>2</v>
      </c>
      <c r="N369" s="15" t="s">
        <v>11223</v>
      </c>
      <c r="O369" s="15"/>
      <c r="P369" s="15"/>
      <c r="Q369" s="15"/>
      <c r="R369" s="15"/>
      <c r="S369" s="15"/>
      <c r="T369" s="15">
        <v>0</v>
      </c>
      <c r="U369" s="15"/>
      <c r="V369" s="15"/>
      <c r="W369" s="15"/>
      <c r="X369" s="15"/>
      <c r="Y369" s="15"/>
      <c r="Z369" s="15"/>
    </row>
    <row r="370" spans="1:26" x14ac:dyDescent="0.25">
      <c r="A370" s="15" t="s">
        <v>14470</v>
      </c>
      <c r="B370" s="15">
        <v>369</v>
      </c>
      <c r="C370" s="15" t="s">
        <v>11277</v>
      </c>
      <c r="D370" s="15" t="s">
        <v>11277</v>
      </c>
      <c r="E370" s="15" t="s">
        <v>1067</v>
      </c>
      <c r="F370" s="15" t="s">
        <v>14466</v>
      </c>
      <c r="G370" s="15" t="s">
        <v>11352</v>
      </c>
      <c r="H370" s="15">
        <v>19</v>
      </c>
      <c r="I370" s="15">
        <v>18</v>
      </c>
      <c r="J370" s="15">
        <v>34</v>
      </c>
      <c r="K370" s="15" t="str">
        <f t="shared" si="5"/>
        <v>northwestbronzelake</v>
      </c>
      <c r="L370" s="15" t="s">
        <v>11355</v>
      </c>
      <c r="M370" s="15">
        <v>1</v>
      </c>
      <c r="N370" s="15" t="s">
        <v>11222</v>
      </c>
      <c r="O370" s="15"/>
      <c r="P370" s="15"/>
      <c r="Q370" s="15"/>
      <c r="R370" s="15"/>
      <c r="S370" s="15"/>
      <c r="T370" s="15">
        <v>0</v>
      </c>
      <c r="U370" s="15"/>
      <c r="V370" s="15"/>
      <c r="W370" s="15"/>
      <c r="X370" s="15"/>
      <c r="Y370" s="15"/>
      <c r="Z370" s="15"/>
    </row>
    <row r="371" spans="1:26" x14ac:dyDescent="0.25">
      <c r="A371" s="15" t="s">
        <v>14471</v>
      </c>
      <c r="B371" s="15">
        <v>370</v>
      </c>
      <c r="C371" s="15" t="s">
        <v>11277</v>
      </c>
      <c r="D371" s="15" t="s">
        <v>11277</v>
      </c>
      <c r="E371" s="15" t="s">
        <v>1067</v>
      </c>
      <c r="F371" s="15" t="s">
        <v>14466</v>
      </c>
      <c r="G371" s="15" t="s">
        <v>11370</v>
      </c>
      <c r="H371" s="15">
        <v>19</v>
      </c>
      <c r="I371" s="15">
        <v>18</v>
      </c>
      <c r="J371" s="15">
        <v>36</v>
      </c>
      <c r="K371" s="15" t="str">
        <f t="shared" si="5"/>
        <v>northwestbronzelake</v>
      </c>
      <c r="L371" s="15" t="s">
        <v>11355</v>
      </c>
      <c r="M371" s="15">
        <v>1</v>
      </c>
      <c r="N371" s="15" t="s">
        <v>11222</v>
      </c>
      <c r="O371" s="15"/>
      <c r="P371" s="15"/>
      <c r="Q371" s="15"/>
      <c r="R371" s="15"/>
      <c r="S371" s="15"/>
      <c r="T371" s="15">
        <v>0</v>
      </c>
      <c r="U371" s="15"/>
      <c r="V371" s="15"/>
      <c r="W371" s="15"/>
      <c r="X371" s="15"/>
      <c r="Y371" s="15"/>
      <c r="Z371" s="15"/>
    </row>
    <row r="372" spans="1:26" x14ac:dyDescent="0.25">
      <c r="A372" s="15" t="s">
        <v>14472</v>
      </c>
      <c r="B372" s="15">
        <v>371</v>
      </c>
      <c r="C372" s="15" t="s">
        <v>11277</v>
      </c>
      <c r="D372" s="15" t="s">
        <v>11277</v>
      </c>
      <c r="E372" s="15" t="s">
        <v>1067</v>
      </c>
      <c r="F372" s="15" t="s">
        <v>14466</v>
      </c>
      <c r="G372" s="15" t="s">
        <v>11365</v>
      </c>
      <c r="H372" s="15">
        <v>19</v>
      </c>
      <c r="I372" s="15">
        <v>18</v>
      </c>
      <c r="J372" s="15">
        <v>37</v>
      </c>
      <c r="K372" s="15" t="str">
        <f t="shared" si="5"/>
        <v>northwestbronzelake</v>
      </c>
      <c r="L372" s="15" t="s">
        <v>11355</v>
      </c>
      <c r="M372" s="15">
        <v>2</v>
      </c>
      <c r="N372" s="15" t="s">
        <v>11223</v>
      </c>
      <c r="O372" s="15"/>
      <c r="P372" s="15"/>
      <c r="Q372" s="15"/>
      <c r="R372" s="15"/>
      <c r="S372" s="15"/>
      <c r="T372" s="15">
        <v>0</v>
      </c>
      <c r="U372" s="15"/>
      <c r="V372" s="15"/>
      <c r="W372" s="15"/>
      <c r="X372" s="15"/>
      <c r="Y372" s="15"/>
      <c r="Z372" s="15"/>
    </row>
    <row r="373" spans="1:26" x14ac:dyDescent="0.25">
      <c r="A373" s="15" t="s">
        <v>14473</v>
      </c>
      <c r="B373" s="15">
        <v>372</v>
      </c>
      <c r="C373" s="15" t="s">
        <v>11277</v>
      </c>
      <c r="D373" s="15" t="s">
        <v>11277</v>
      </c>
      <c r="E373" s="15" t="s">
        <v>1067</v>
      </c>
      <c r="F373" s="15" t="s">
        <v>14466</v>
      </c>
      <c r="G373" s="15" t="s">
        <v>11537</v>
      </c>
      <c r="H373" s="15">
        <v>19</v>
      </c>
      <c r="I373" s="15">
        <v>18</v>
      </c>
      <c r="J373" s="15">
        <v>41</v>
      </c>
      <c r="K373" s="15" t="str">
        <f t="shared" si="5"/>
        <v>northwestbronzelake</v>
      </c>
      <c r="L373" s="15" t="s">
        <v>11310</v>
      </c>
      <c r="M373" s="15">
        <v>2</v>
      </c>
      <c r="N373" s="15" t="s">
        <v>11223</v>
      </c>
      <c r="O373" s="15"/>
      <c r="P373" s="15"/>
      <c r="Q373" s="15"/>
      <c r="R373" s="15"/>
      <c r="S373" s="15"/>
      <c r="T373" s="15">
        <v>0</v>
      </c>
      <c r="U373" s="15"/>
      <c r="V373" s="15"/>
      <c r="W373" s="15"/>
      <c r="X373" s="15"/>
      <c r="Y373" s="15"/>
      <c r="Z373" s="15"/>
    </row>
    <row r="374" spans="1:26" x14ac:dyDescent="0.25">
      <c r="A374" s="15" t="s">
        <v>14474</v>
      </c>
      <c r="B374" s="15">
        <v>373</v>
      </c>
      <c r="C374" s="15" t="s">
        <v>11277</v>
      </c>
      <c r="D374" s="15" t="s">
        <v>11277</v>
      </c>
      <c r="E374" s="15" t="s">
        <v>1067</v>
      </c>
      <c r="F374" s="15" t="s">
        <v>14466</v>
      </c>
      <c r="G374" s="15" t="s">
        <v>11642</v>
      </c>
      <c r="H374" s="15">
        <v>19</v>
      </c>
      <c r="I374" s="15">
        <v>18</v>
      </c>
      <c r="J374" s="15">
        <v>50</v>
      </c>
      <c r="K374" s="15" t="str">
        <f t="shared" si="5"/>
        <v>northwestbronzelake</v>
      </c>
      <c r="L374" s="15" t="s">
        <v>14088</v>
      </c>
      <c r="M374" s="15">
        <v>2</v>
      </c>
      <c r="N374" s="15" t="s">
        <v>11223</v>
      </c>
      <c r="O374" s="15"/>
      <c r="P374" s="15"/>
      <c r="Q374" s="15" t="s">
        <v>11370</v>
      </c>
      <c r="R374" s="15"/>
      <c r="S374" s="15"/>
      <c r="T374" s="15">
        <v>1</v>
      </c>
      <c r="U374" s="15"/>
      <c r="V374" s="15"/>
      <c r="W374" s="15"/>
      <c r="X374" s="15"/>
      <c r="Y374" s="15"/>
      <c r="Z374" s="15"/>
    </row>
    <row r="375" spans="1:26" x14ac:dyDescent="0.25">
      <c r="A375" s="15" t="s">
        <v>14475</v>
      </c>
      <c r="B375" s="15">
        <v>374</v>
      </c>
      <c r="C375" s="15" t="s">
        <v>11277</v>
      </c>
      <c r="D375" s="15" t="s">
        <v>11277</v>
      </c>
      <c r="E375" s="15" t="s">
        <v>1067</v>
      </c>
      <c r="F375" s="15" t="s">
        <v>14466</v>
      </c>
      <c r="G375" s="15" t="s">
        <v>11643</v>
      </c>
      <c r="H375" s="15">
        <v>19</v>
      </c>
      <c r="I375" s="15">
        <v>18</v>
      </c>
      <c r="J375" s="15">
        <v>50</v>
      </c>
      <c r="K375" s="15" t="str">
        <f t="shared" si="5"/>
        <v>northwestbronzelake</v>
      </c>
      <c r="L375" s="15" t="s">
        <v>11310</v>
      </c>
      <c r="M375" s="15">
        <v>3</v>
      </c>
      <c r="N375" s="15" t="s">
        <v>11223</v>
      </c>
      <c r="O375" s="15" t="s">
        <v>14034</v>
      </c>
      <c r="P375" s="15"/>
      <c r="Q375" s="15"/>
      <c r="R375" s="15"/>
      <c r="S375" s="15"/>
      <c r="T375" s="15">
        <v>3</v>
      </c>
      <c r="U375" s="15"/>
      <c r="V375" s="15"/>
      <c r="W375" s="15"/>
      <c r="X375" s="15"/>
      <c r="Y375" s="15"/>
      <c r="Z375" s="15"/>
    </row>
    <row r="376" spans="1:26" x14ac:dyDescent="0.25">
      <c r="A376" s="15" t="s">
        <v>14476</v>
      </c>
      <c r="B376" s="15">
        <v>375</v>
      </c>
      <c r="C376" s="15" t="s">
        <v>11277</v>
      </c>
      <c r="D376" s="15" t="s">
        <v>11277</v>
      </c>
      <c r="E376" s="15" t="s">
        <v>1067</v>
      </c>
      <c r="F376" s="15" t="s">
        <v>1075</v>
      </c>
      <c r="G376" s="15" t="s">
        <v>11231</v>
      </c>
      <c r="H376" s="15">
        <v>11</v>
      </c>
      <c r="I376" s="15">
        <v>10</v>
      </c>
      <c r="J376" s="15">
        <v>7</v>
      </c>
      <c r="K376" s="15" t="str">
        <f t="shared" si="5"/>
        <v>mist</v>
      </c>
      <c r="L376" s="15" t="s">
        <v>11234</v>
      </c>
      <c r="M376" s="15">
        <v>2</v>
      </c>
      <c r="N376" s="15" t="s">
        <v>11223</v>
      </c>
      <c r="O376" s="15"/>
      <c r="P376" s="15"/>
      <c r="Q376" s="15"/>
      <c r="R376" s="15"/>
      <c r="S376" s="15"/>
      <c r="T376" s="15">
        <v>0</v>
      </c>
      <c r="U376" s="15"/>
      <c r="V376" s="15"/>
      <c r="W376" s="15"/>
      <c r="X376" s="15"/>
      <c r="Y376" s="15"/>
      <c r="Z376" s="15"/>
    </row>
    <row r="377" spans="1:26" x14ac:dyDescent="0.25">
      <c r="A377" s="15" t="s">
        <v>14477</v>
      </c>
      <c r="B377" s="15">
        <v>376</v>
      </c>
      <c r="C377" s="15" t="s">
        <v>11277</v>
      </c>
      <c r="D377" s="15" t="s">
        <v>11277</v>
      </c>
      <c r="E377" s="15" t="s">
        <v>1067</v>
      </c>
      <c r="F377" s="15" t="s">
        <v>1075</v>
      </c>
      <c r="G377" s="15" t="s">
        <v>11224</v>
      </c>
      <c r="H377" s="15">
        <v>11</v>
      </c>
      <c r="I377" s="15">
        <v>10</v>
      </c>
      <c r="J377" s="15">
        <v>21</v>
      </c>
      <c r="K377" s="15" t="str">
        <f t="shared" si="5"/>
        <v>mist</v>
      </c>
      <c r="L377" s="15" t="s">
        <v>14088</v>
      </c>
      <c r="M377" s="15">
        <v>2</v>
      </c>
      <c r="N377" s="15" t="s">
        <v>11223</v>
      </c>
      <c r="O377" s="15"/>
      <c r="P377" s="15"/>
      <c r="Q377" s="15" t="s">
        <v>11227</v>
      </c>
      <c r="R377" s="15" t="s">
        <v>11231</v>
      </c>
      <c r="S377" s="15" t="s">
        <v>11230</v>
      </c>
      <c r="T377" s="15">
        <v>0</v>
      </c>
      <c r="U377" s="15"/>
      <c r="V377" s="15"/>
      <c r="W377" s="15"/>
      <c r="X377" s="15"/>
      <c r="Y377" s="15"/>
      <c r="Z377" s="15"/>
    </row>
    <row r="378" spans="1:26" x14ac:dyDescent="0.25">
      <c r="A378" s="15" t="s">
        <v>14478</v>
      </c>
      <c r="B378" s="15">
        <v>377</v>
      </c>
      <c r="C378" s="15" t="s">
        <v>11277</v>
      </c>
      <c r="D378" s="15" t="s">
        <v>11277</v>
      </c>
      <c r="E378" s="15" t="s">
        <v>1067</v>
      </c>
      <c r="F378" s="15" t="s">
        <v>1075</v>
      </c>
      <c r="G378" s="15" t="s">
        <v>11314</v>
      </c>
      <c r="H378" s="15">
        <v>11</v>
      </c>
      <c r="I378" s="15">
        <v>10</v>
      </c>
      <c r="J378" s="15">
        <v>22</v>
      </c>
      <c r="K378" s="15" t="str">
        <f t="shared" si="5"/>
        <v>mist</v>
      </c>
      <c r="L378" s="15" t="s">
        <v>11315</v>
      </c>
      <c r="M378" s="15">
        <v>2</v>
      </c>
      <c r="N378" s="15" t="s">
        <v>11223</v>
      </c>
      <c r="O378" s="15"/>
      <c r="P378" s="15"/>
      <c r="Q378" s="15"/>
      <c r="R378" s="15"/>
      <c r="S378" s="15"/>
      <c r="T378" s="15">
        <v>0</v>
      </c>
      <c r="U378" s="15"/>
      <c r="V378" s="15"/>
      <c r="W378" s="15"/>
      <c r="X378" s="15"/>
      <c r="Y378" s="15"/>
      <c r="Z378" s="15"/>
    </row>
    <row r="379" spans="1:26" x14ac:dyDescent="0.25">
      <c r="A379" s="15" t="s">
        <v>14479</v>
      </c>
      <c r="B379" s="15">
        <v>378</v>
      </c>
      <c r="C379" s="15" t="s">
        <v>11277</v>
      </c>
      <c r="D379" s="15" t="s">
        <v>11277</v>
      </c>
      <c r="E379" s="15" t="s">
        <v>1067</v>
      </c>
      <c r="F379" s="15" t="s">
        <v>1075</v>
      </c>
      <c r="G379" s="15" t="s">
        <v>11327</v>
      </c>
      <c r="H379" s="15">
        <v>11</v>
      </c>
      <c r="I379" s="15">
        <v>10</v>
      </c>
      <c r="J379" s="15">
        <v>27</v>
      </c>
      <c r="K379" s="15" t="str">
        <f t="shared" si="5"/>
        <v>mist</v>
      </c>
      <c r="L379" s="15" t="s">
        <v>11317</v>
      </c>
      <c r="M379" s="15">
        <v>2</v>
      </c>
      <c r="N379" s="15" t="s">
        <v>11223</v>
      </c>
      <c r="O379" s="15"/>
      <c r="P379" s="15"/>
      <c r="Q379" s="15"/>
      <c r="R379" s="15"/>
      <c r="S379" s="15"/>
      <c r="T379" s="15">
        <v>0</v>
      </c>
      <c r="U379" s="15"/>
      <c r="V379" s="15"/>
      <c r="W379" s="15"/>
      <c r="X379" s="15"/>
      <c r="Y379" s="15"/>
      <c r="Z379" s="15"/>
    </row>
    <row r="380" spans="1:26" x14ac:dyDescent="0.25">
      <c r="A380" s="15" t="s">
        <v>14480</v>
      </c>
      <c r="B380" s="15">
        <v>379</v>
      </c>
      <c r="C380" s="15" t="s">
        <v>11277</v>
      </c>
      <c r="D380" s="15" t="s">
        <v>11277</v>
      </c>
      <c r="E380" s="15" t="s">
        <v>1067</v>
      </c>
      <c r="F380" s="15" t="s">
        <v>1075</v>
      </c>
      <c r="G380" s="15" t="s">
        <v>11401</v>
      </c>
      <c r="H380" s="15">
        <v>11</v>
      </c>
      <c r="I380" s="15">
        <v>10</v>
      </c>
      <c r="J380" s="15">
        <v>31</v>
      </c>
      <c r="K380" s="15" t="str">
        <f t="shared" si="5"/>
        <v>mist</v>
      </c>
      <c r="L380" s="15" t="s">
        <v>11285</v>
      </c>
      <c r="M380" s="15">
        <v>2</v>
      </c>
      <c r="N380" s="15" t="s">
        <v>11223</v>
      </c>
      <c r="O380" s="15"/>
      <c r="P380" s="15"/>
      <c r="Q380" s="15"/>
      <c r="R380" s="15"/>
      <c r="S380" s="15"/>
      <c r="T380" s="15">
        <v>0</v>
      </c>
      <c r="U380" s="15"/>
      <c r="V380" s="15"/>
      <c r="W380" s="15"/>
      <c r="X380" s="15"/>
      <c r="Y380" s="15"/>
      <c r="Z380" s="15"/>
    </row>
    <row r="381" spans="1:26" x14ac:dyDescent="0.25">
      <c r="A381" s="15" t="s">
        <v>14481</v>
      </c>
      <c r="B381" s="15">
        <v>380</v>
      </c>
      <c r="C381" s="15" t="s">
        <v>11277</v>
      </c>
      <c r="D381" s="15" t="s">
        <v>11277</v>
      </c>
      <c r="E381" s="15" t="s">
        <v>1067</v>
      </c>
      <c r="F381" s="15" t="s">
        <v>1075</v>
      </c>
      <c r="G381" s="15" t="s">
        <v>11333</v>
      </c>
      <c r="H381" s="15">
        <v>11</v>
      </c>
      <c r="I381" s="15">
        <v>10</v>
      </c>
      <c r="J381" s="15">
        <v>32</v>
      </c>
      <c r="K381" s="15" t="str">
        <f t="shared" si="5"/>
        <v>mist</v>
      </c>
      <c r="L381" s="15" t="s">
        <v>11334</v>
      </c>
      <c r="M381" s="15">
        <v>2</v>
      </c>
      <c r="N381" s="15" t="s">
        <v>11223</v>
      </c>
      <c r="O381" s="15"/>
      <c r="P381" s="15"/>
      <c r="Q381" s="15"/>
      <c r="R381" s="15"/>
      <c r="S381" s="15"/>
      <c r="T381" s="15">
        <v>0</v>
      </c>
      <c r="U381" s="15"/>
      <c r="V381" s="15"/>
      <c r="W381" s="15"/>
      <c r="X381" s="15"/>
      <c r="Y381" s="15"/>
      <c r="Z381" s="15"/>
    </row>
    <row r="382" spans="1:26" x14ac:dyDescent="0.25">
      <c r="A382" s="15" t="s">
        <v>14482</v>
      </c>
      <c r="B382" s="15">
        <v>381</v>
      </c>
      <c r="C382" s="15" t="s">
        <v>11277</v>
      </c>
      <c r="D382" s="15" t="s">
        <v>11277</v>
      </c>
      <c r="E382" s="15" t="s">
        <v>1067</v>
      </c>
      <c r="F382" s="15" t="s">
        <v>1075</v>
      </c>
      <c r="G382" s="15" t="s">
        <v>11328</v>
      </c>
      <c r="H382" s="15">
        <v>11</v>
      </c>
      <c r="I382" s="15">
        <v>10</v>
      </c>
      <c r="J382" s="15">
        <v>34</v>
      </c>
      <c r="K382" s="15" t="str">
        <f t="shared" si="5"/>
        <v>mist</v>
      </c>
      <c r="L382" s="15" t="s">
        <v>11285</v>
      </c>
      <c r="M382" s="15">
        <v>1</v>
      </c>
      <c r="N382" s="15" t="s">
        <v>11222</v>
      </c>
      <c r="O382" s="15" t="s">
        <v>14049</v>
      </c>
      <c r="P382" s="15"/>
      <c r="Q382" s="15"/>
      <c r="R382" s="15"/>
      <c r="S382" s="15"/>
      <c r="T382" s="15">
        <v>0</v>
      </c>
      <c r="U382" s="15"/>
      <c r="V382" s="15"/>
      <c r="W382" s="15"/>
      <c r="X382" s="15"/>
      <c r="Y382" s="15"/>
      <c r="Z382" s="15"/>
    </row>
    <row r="383" spans="1:26" x14ac:dyDescent="0.25">
      <c r="A383" s="15" t="s">
        <v>14483</v>
      </c>
      <c r="B383" s="15">
        <v>382</v>
      </c>
      <c r="C383" s="15" t="s">
        <v>11277</v>
      </c>
      <c r="D383" s="15" t="s">
        <v>11277</v>
      </c>
      <c r="E383" s="15" t="s">
        <v>1067</v>
      </c>
      <c r="F383" s="15" t="s">
        <v>1075</v>
      </c>
      <c r="G383" s="15" t="s">
        <v>11629</v>
      </c>
      <c r="H383" s="15">
        <v>11</v>
      </c>
      <c r="I383" s="15">
        <v>10</v>
      </c>
      <c r="J383" s="15">
        <v>45</v>
      </c>
      <c r="K383" s="15" t="str">
        <f t="shared" si="5"/>
        <v>mist</v>
      </c>
      <c r="L383" s="15" t="s">
        <v>14088</v>
      </c>
      <c r="M383" s="15">
        <v>2</v>
      </c>
      <c r="N383" s="15" t="s">
        <v>11223</v>
      </c>
      <c r="O383" s="15"/>
      <c r="P383" s="15"/>
      <c r="Q383" s="15" t="s">
        <v>11328</v>
      </c>
      <c r="R383" s="15"/>
      <c r="S383" s="15"/>
      <c r="T383" s="15">
        <v>0</v>
      </c>
      <c r="U383" s="15"/>
      <c r="V383" s="15"/>
      <c r="W383" s="15"/>
      <c r="X383" s="15"/>
      <c r="Y383" s="15"/>
      <c r="Z383" s="15"/>
    </row>
    <row r="384" spans="1:26" x14ac:dyDescent="0.25">
      <c r="A384" s="15" t="s">
        <v>14484</v>
      </c>
      <c r="B384" s="15">
        <v>383</v>
      </c>
      <c r="C384" s="15" t="s">
        <v>11277</v>
      </c>
      <c r="D384" s="15" t="s">
        <v>11277</v>
      </c>
      <c r="E384" s="15" t="s">
        <v>1067</v>
      </c>
      <c r="F384" s="15" t="s">
        <v>1075</v>
      </c>
      <c r="G384" s="15" t="s">
        <v>11646</v>
      </c>
      <c r="H384" s="15">
        <v>11</v>
      </c>
      <c r="I384" s="15">
        <v>10</v>
      </c>
      <c r="J384" s="15">
        <v>50</v>
      </c>
      <c r="K384" s="15" t="str">
        <f t="shared" si="5"/>
        <v>mist</v>
      </c>
      <c r="L384" s="15" t="s">
        <v>14088</v>
      </c>
      <c r="M384" s="15">
        <v>3</v>
      </c>
      <c r="N384" s="15" t="s">
        <v>11223</v>
      </c>
      <c r="O384" s="15" t="s">
        <v>11302</v>
      </c>
      <c r="P384" s="15"/>
      <c r="Q384" s="15" t="s">
        <v>11328</v>
      </c>
      <c r="R384" s="15"/>
      <c r="S384" s="15"/>
      <c r="T384" s="15">
        <v>3</v>
      </c>
      <c r="U384" s="15" t="s">
        <v>5893</v>
      </c>
      <c r="V384" s="15" t="s">
        <v>5892</v>
      </c>
      <c r="W384" s="15"/>
      <c r="X384" s="15"/>
      <c r="Y384" s="15"/>
      <c r="Z384" s="15"/>
    </row>
    <row r="385" spans="1:26" x14ac:dyDescent="0.25">
      <c r="A385" s="15" t="s">
        <v>14485</v>
      </c>
      <c r="B385" s="15">
        <v>384</v>
      </c>
      <c r="C385" s="15" t="s">
        <v>11277</v>
      </c>
      <c r="D385" s="15" t="s">
        <v>11277</v>
      </c>
      <c r="E385" s="15" t="s">
        <v>1067</v>
      </c>
      <c r="F385" s="15" t="s">
        <v>14486</v>
      </c>
      <c r="G385" s="15" t="s">
        <v>11247</v>
      </c>
      <c r="H385" s="15">
        <v>12</v>
      </c>
      <c r="I385" s="15">
        <v>13</v>
      </c>
      <c r="J385" s="15">
        <v>2</v>
      </c>
      <c r="K385" s="15" t="str">
        <f t="shared" si="5"/>
        <v>jadeiteflood</v>
      </c>
      <c r="L385" s="15" t="s">
        <v>11253</v>
      </c>
      <c r="M385" s="15">
        <v>1</v>
      </c>
      <c r="N385" s="15" t="s">
        <v>11222</v>
      </c>
      <c r="O385" s="15"/>
      <c r="P385" s="15"/>
      <c r="Q385" s="15"/>
      <c r="R385" s="15"/>
      <c r="S385" s="15"/>
      <c r="T385" s="15">
        <v>0</v>
      </c>
      <c r="U385" s="15"/>
      <c r="V385" s="15"/>
      <c r="W385" s="15"/>
      <c r="X385" s="15"/>
      <c r="Y385" s="15"/>
      <c r="Z385" s="15"/>
    </row>
    <row r="386" spans="1:26" x14ac:dyDescent="0.25">
      <c r="A386" s="15" t="s">
        <v>14487</v>
      </c>
      <c r="B386" s="15">
        <v>385</v>
      </c>
      <c r="C386" s="15" t="s">
        <v>11277</v>
      </c>
      <c r="D386" s="15" t="s">
        <v>11277</v>
      </c>
      <c r="E386" s="15" t="s">
        <v>1067</v>
      </c>
      <c r="F386" s="15" t="s">
        <v>14486</v>
      </c>
      <c r="G386" s="15" t="s">
        <v>11404</v>
      </c>
      <c r="H386" s="15">
        <v>12</v>
      </c>
      <c r="I386" s="15">
        <v>13</v>
      </c>
      <c r="J386" s="15">
        <v>7</v>
      </c>
      <c r="K386" s="15" t="str">
        <f t="shared" ref="K386:K449" si="6">LOWER(SUBSTITUTE(SUBSTITUTE(SUBSTITUTE(SUBSTITUTE(SUBSTITUTE(F386," ",""),"(",""),")",""),"'",""),"-",""))</f>
        <v>jadeiteflood</v>
      </c>
      <c r="L386" s="15" t="s">
        <v>11257</v>
      </c>
      <c r="M386" s="15">
        <v>1</v>
      </c>
      <c r="N386" s="15" t="s">
        <v>11222</v>
      </c>
      <c r="O386" s="15"/>
      <c r="P386" s="15"/>
      <c r="Q386" s="15"/>
      <c r="R386" s="15"/>
      <c r="S386" s="15"/>
      <c r="T386" s="15">
        <v>0</v>
      </c>
      <c r="U386" s="15"/>
      <c r="V386" s="15"/>
      <c r="W386" s="15"/>
      <c r="X386" s="15"/>
      <c r="Y386" s="15"/>
      <c r="Z386" s="15"/>
    </row>
    <row r="387" spans="1:26" x14ac:dyDescent="0.25">
      <c r="A387" s="15" t="s">
        <v>14488</v>
      </c>
      <c r="B387" s="15">
        <v>386</v>
      </c>
      <c r="C387" s="15" t="s">
        <v>11277</v>
      </c>
      <c r="D387" s="15" t="s">
        <v>11277</v>
      </c>
      <c r="E387" s="15" t="s">
        <v>1067</v>
      </c>
      <c r="F387" s="15" t="s">
        <v>14486</v>
      </c>
      <c r="G387" s="15" t="s">
        <v>11255</v>
      </c>
      <c r="H387" s="15">
        <v>12</v>
      </c>
      <c r="I387" s="15">
        <v>13</v>
      </c>
      <c r="J387" s="15">
        <v>8</v>
      </c>
      <c r="K387" s="15" t="str">
        <f t="shared" si="6"/>
        <v>jadeiteflood</v>
      </c>
      <c r="L387" s="15" t="s">
        <v>11257</v>
      </c>
      <c r="M387" s="15">
        <v>1</v>
      </c>
      <c r="N387" s="15" t="s">
        <v>11222</v>
      </c>
      <c r="O387" s="15"/>
      <c r="P387" s="15"/>
      <c r="Q387" s="15"/>
      <c r="R387" s="15"/>
      <c r="S387" s="15"/>
      <c r="T387" s="15">
        <v>0</v>
      </c>
      <c r="U387" s="15"/>
      <c r="V387" s="15"/>
      <c r="W387" s="15"/>
      <c r="X387" s="15"/>
      <c r="Y387" s="15"/>
      <c r="Z387" s="15"/>
    </row>
    <row r="388" spans="1:26" x14ac:dyDescent="0.25">
      <c r="A388" s="15" t="s">
        <v>14489</v>
      </c>
      <c r="B388" s="15">
        <v>387</v>
      </c>
      <c r="C388" s="15" t="s">
        <v>11277</v>
      </c>
      <c r="D388" s="15" t="s">
        <v>11277</v>
      </c>
      <c r="E388" s="15" t="s">
        <v>1067</v>
      </c>
      <c r="F388" s="15" t="s">
        <v>14486</v>
      </c>
      <c r="G388" s="15" t="s">
        <v>11265</v>
      </c>
      <c r="H388" s="15">
        <v>12</v>
      </c>
      <c r="I388" s="15">
        <v>13</v>
      </c>
      <c r="J388" s="15">
        <v>10</v>
      </c>
      <c r="K388" s="15" t="str">
        <f t="shared" si="6"/>
        <v>jadeiteflood</v>
      </c>
      <c r="L388" s="15" t="s">
        <v>11266</v>
      </c>
      <c r="M388" s="15">
        <v>2</v>
      </c>
      <c r="N388" s="15" t="s">
        <v>11223</v>
      </c>
      <c r="O388" s="15"/>
      <c r="P388" s="15"/>
      <c r="Q388" s="15"/>
      <c r="R388" s="15"/>
      <c r="S388" s="15"/>
      <c r="T388" s="15">
        <v>0</v>
      </c>
      <c r="U388" s="15"/>
      <c r="V388" s="15"/>
      <c r="W388" s="15"/>
      <c r="X388" s="15"/>
      <c r="Y388" s="15"/>
      <c r="Z388" s="15"/>
    </row>
    <row r="389" spans="1:26" x14ac:dyDescent="0.25">
      <c r="A389" s="15" t="s">
        <v>14490</v>
      </c>
      <c r="B389" s="15">
        <v>388</v>
      </c>
      <c r="C389" s="15" t="s">
        <v>11277</v>
      </c>
      <c r="D389" s="15" t="s">
        <v>11277</v>
      </c>
      <c r="E389" s="15" t="s">
        <v>1067</v>
      </c>
      <c r="F389" s="15" t="s">
        <v>14486</v>
      </c>
      <c r="G389" s="15" t="s">
        <v>11306</v>
      </c>
      <c r="H389" s="15">
        <v>12</v>
      </c>
      <c r="I389" s="15">
        <v>13</v>
      </c>
      <c r="J389" s="15">
        <v>19</v>
      </c>
      <c r="K389" s="15" t="str">
        <f t="shared" si="6"/>
        <v>jadeiteflood</v>
      </c>
      <c r="L389" s="15" t="s">
        <v>11274</v>
      </c>
      <c r="M389" s="15">
        <v>1</v>
      </c>
      <c r="N389" s="15" t="s">
        <v>11222</v>
      </c>
      <c r="O389" s="15"/>
      <c r="P389" s="15"/>
      <c r="Q389" s="15"/>
      <c r="R389" s="15"/>
      <c r="S389" s="15"/>
      <c r="T389" s="15">
        <v>0</v>
      </c>
      <c r="U389" s="15"/>
      <c r="V389" s="15"/>
      <c r="W389" s="15"/>
      <c r="X389" s="15"/>
      <c r="Y389" s="15"/>
      <c r="Z389" s="15"/>
    </row>
    <row r="390" spans="1:26" x14ac:dyDescent="0.25">
      <c r="A390" s="15" t="s">
        <v>14491</v>
      </c>
      <c r="B390" s="15">
        <v>389</v>
      </c>
      <c r="C390" s="15" t="s">
        <v>11277</v>
      </c>
      <c r="D390" s="15" t="s">
        <v>11277</v>
      </c>
      <c r="E390" s="15" t="s">
        <v>1067</v>
      </c>
      <c r="F390" s="15" t="s">
        <v>14486</v>
      </c>
      <c r="G390" s="15" t="s">
        <v>11405</v>
      </c>
      <c r="H390" s="15">
        <v>12</v>
      </c>
      <c r="I390" s="15">
        <v>13</v>
      </c>
      <c r="J390" s="15">
        <v>43</v>
      </c>
      <c r="K390" s="15" t="str">
        <f t="shared" si="6"/>
        <v>jadeiteflood</v>
      </c>
      <c r="L390" s="15" t="s">
        <v>11360</v>
      </c>
      <c r="M390" s="15">
        <v>2</v>
      </c>
      <c r="N390" s="15" t="s">
        <v>11223</v>
      </c>
      <c r="O390" s="15"/>
      <c r="P390" s="15"/>
      <c r="Q390" s="15"/>
      <c r="R390" s="15"/>
      <c r="S390" s="15"/>
      <c r="T390" s="15">
        <v>0</v>
      </c>
      <c r="U390" s="15"/>
      <c r="V390" s="15"/>
      <c r="W390" s="15"/>
      <c r="X390" s="15"/>
      <c r="Y390" s="15"/>
      <c r="Z390" s="15"/>
    </row>
    <row r="391" spans="1:26" x14ac:dyDescent="0.25">
      <c r="A391" s="15" t="s">
        <v>14492</v>
      </c>
      <c r="B391" s="15">
        <v>390</v>
      </c>
      <c r="C391" s="15" t="s">
        <v>11277</v>
      </c>
      <c r="D391" s="15" t="s">
        <v>11277</v>
      </c>
      <c r="E391" s="15" t="s">
        <v>1067</v>
      </c>
      <c r="F391" s="15" t="s">
        <v>14486</v>
      </c>
      <c r="G391" s="15" t="s">
        <v>11406</v>
      </c>
      <c r="H391" s="15">
        <v>12</v>
      </c>
      <c r="I391" s="15">
        <v>13</v>
      </c>
      <c r="J391" s="15">
        <v>50</v>
      </c>
      <c r="K391" s="15" t="str">
        <f t="shared" si="6"/>
        <v>jadeiteflood</v>
      </c>
      <c r="L391" s="15" t="s">
        <v>11360</v>
      </c>
      <c r="M391" s="15">
        <v>3</v>
      </c>
      <c r="N391" s="15" t="s">
        <v>11223</v>
      </c>
      <c r="O391" s="15" t="s">
        <v>14038</v>
      </c>
      <c r="P391" s="15"/>
      <c r="Q391" s="15"/>
      <c r="R391" s="15"/>
      <c r="S391" s="15"/>
      <c r="T391" s="15">
        <v>2</v>
      </c>
      <c r="U391" s="15" t="s">
        <v>5900</v>
      </c>
      <c r="V391" s="15"/>
      <c r="W391" s="15"/>
      <c r="X391" s="15"/>
      <c r="Y391" s="15"/>
      <c r="Z391" s="15"/>
    </row>
    <row r="392" spans="1:26" x14ac:dyDescent="0.25">
      <c r="A392" s="15" t="s">
        <v>14493</v>
      </c>
      <c r="B392" s="15">
        <v>391</v>
      </c>
      <c r="C392" s="15" t="s">
        <v>11277</v>
      </c>
      <c r="D392" s="15" t="s">
        <v>11277</v>
      </c>
      <c r="E392" s="15" t="s">
        <v>1067</v>
      </c>
      <c r="F392" s="15" t="s">
        <v>14494</v>
      </c>
      <c r="G392" s="15" t="s">
        <v>11247</v>
      </c>
      <c r="H392" s="15">
        <v>10</v>
      </c>
      <c r="I392" s="15">
        <v>11</v>
      </c>
      <c r="J392" s="15">
        <v>2</v>
      </c>
      <c r="K392" s="15" t="str">
        <f t="shared" si="6"/>
        <v>lowerblackteabrook</v>
      </c>
      <c r="L392" s="15" t="s">
        <v>11253</v>
      </c>
      <c r="M392" s="15">
        <v>1</v>
      </c>
      <c r="N392" s="15" t="s">
        <v>11222</v>
      </c>
      <c r="O392" s="15"/>
      <c r="P392" s="15"/>
      <c r="Q392" s="15"/>
      <c r="R392" s="15"/>
      <c r="S392" s="15"/>
      <c r="T392" s="15">
        <v>0</v>
      </c>
      <c r="U392" s="15"/>
      <c r="V392" s="15"/>
      <c r="W392" s="15"/>
      <c r="X392" s="15"/>
      <c r="Y392" s="15"/>
      <c r="Z392" s="15"/>
    </row>
    <row r="393" spans="1:26" x14ac:dyDescent="0.25">
      <c r="A393" s="15" t="s">
        <v>14495</v>
      </c>
      <c r="B393" s="15">
        <v>392</v>
      </c>
      <c r="C393" s="15" t="s">
        <v>11277</v>
      </c>
      <c r="D393" s="15" t="s">
        <v>11277</v>
      </c>
      <c r="E393" s="15" t="s">
        <v>1067</v>
      </c>
      <c r="F393" s="15" t="s">
        <v>14494</v>
      </c>
      <c r="G393" s="15" t="s">
        <v>11404</v>
      </c>
      <c r="H393" s="15">
        <v>10</v>
      </c>
      <c r="I393" s="15">
        <v>11</v>
      </c>
      <c r="J393" s="15">
        <v>7</v>
      </c>
      <c r="K393" s="15" t="str">
        <f t="shared" si="6"/>
        <v>lowerblackteabrook</v>
      </c>
      <c r="L393" s="15" t="s">
        <v>11257</v>
      </c>
      <c r="M393" s="15">
        <v>1</v>
      </c>
      <c r="N393" s="15" t="s">
        <v>11222</v>
      </c>
      <c r="O393" s="15"/>
      <c r="P393" s="15"/>
      <c r="Q393" s="15"/>
      <c r="R393" s="15"/>
      <c r="S393" s="15"/>
      <c r="T393" s="15">
        <v>0</v>
      </c>
      <c r="U393" s="15"/>
      <c r="V393" s="15"/>
      <c r="W393" s="15"/>
      <c r="X393" s="15"/>
      <c r="Y393" s="15"/>
      <c r="Z393" s="15"/>
    </row>
    <row r="394" spans="1:26" x14ac:dyDescent="0.25">
      <c r="A394" s="15" t="s">
        <v>14496</v>
      </c>
      <c r="B394" s="15">
        <v>393</v>
      </c>
      <c r="C394" s="15" t="s">
        <v>11277</v>
      </c>
      <c r="D394" s="15" t="s">
        <v>11277</v>
      </c>
      <c r="E394" s="15" t="s">
        <v>1067</v>
      </c>
      <c r="F394" s="15" t="s">
        <v>14494</v>
      </c>
      <c r="G394" s="15" t="s">
        <v>11255</v>
      </c>
      <c r="H394" s="15">
        <v>10</v>
      </c>
      <c r="I394" s="15">
        <v>11</v>
      </c>
      <c r="J394" s="15">
        <v>8</v>
      </c>
      <c r="K394" s="15" t="str">
        <f t="shared" si="6"/>
        <v>lowerblackteabrook</v>
      </c>
      <c r="L394" s="15" t="s">
        <v>11257</v>
      </c>
      <c r="M394" s="15">
        <v>1</v>
      </c>
      <c r="N394" s="15" t="s">
        <v>11222</v>
      </c>
      <c r="O394" s="15"/>
      <c r="P394" s="15"/>
      <c r="Q394" s="15"/>
      <c r="R394" s="15"/>
      <c r="S394" s="15"/>
      <c r="T394" s="15">
        <v>0</v>
      </c>
      <c r="U394" s="15"/>
      <c r="V394" s="15"/>
      <c r="W394" s="15"/>
      <c r="X394" s="15"/>
      <c r="Y394" s="15"/>
      <c r="Z394" s="15"/>
    </row>
    <row r="395" spans="1:26" x14ac:dyDescent="0.25">
      <c r="A395" s="15" t="s">
        <v>14497</v>
      </c>
      <c r="B395" s="15">
        <v>394</v>
      </c>
      <c r="C395" s="15" t="s">
        <v>11277</v>
      </c>
      <c r="D395" s="15" t="s">
        <v>11277</v>
      </c>
      <c r="E395" s="15" t="s">
        <v>1067</v>
      </c>
      <c r="F395" s="15" t="s">
        <v>14494</v>
      </c>
      <c r="G395" s="15" t="s">
        <v>11265</v>
      </c>
      <c r="H395" s="15">
        <v>10</v>
      </c>
      <c r="I395" s="15">
        <v>11</v>
      </c>
      <c r="J395" s="15">
        <v>10</v>
      </c>
      <c r="K395" s="15" t="str">
        <f t="shared" si="6"/>
        <v>lowerblackteabrook</v>
      </c>
      <c r="L395" s="15" t="s">
        <v>11266</v>
      </c>
      <c r="M395" s="15">
        <v>2</v>
      </c>
      <c r="N395" s="15" t="s">
        <v>11223</v>
      </c>
      <c r="O395" s="15"/>
      <c r="P395" s="15"/>
      <c r="Q395" s="15"/>
      <c r="R395" s="15"/>
      <c r="S395" s="15"/>
      <c r="T395" s="15">
        <v>0</v>
      </c>
      <c r="U395" s="15"/>
      <c r="V395" s="15"/>
      <c r="W395" s="15"/>
      <c r="X395" s="15"/>
      <c r="Y395" s="15"/>
      <c r="Z395" s="15"/>
    </row>
    <row r="396" spans="1:26" x14ac:dyDescent="0.25">
      <c r="A396" s="15" t="s">
        <v>14498</v>
      </c>
      <c r="B396" s="15">
        <v>395</v>
      </c>
      <c r="C396" s="15" t="s">
        <v>11277</v>
      </c>
      <c r="D396" s="15" t="s">
        <v>11277</v>
      </c>
      <c r="E396" s="15" t="s">
        <v>1067</v>
      </c>
      <c r="F396" s="15" t="s">
        <v>14494</v>
      </c>
      <c r="G396" s="15" t="s">
        <v>11306</v>
      </c>
      <c r="H396" s="15">
        <v>10</v>
      </c>
      <c r="I396" s="15">
        <v>11</v>
      </c>
      <c r="J396" s="15">
        <v>19</v>
      </c>
      <c r="K396" s="15" t="str">
        <f t="shared" si="6"/>
        <v>lowerblackteabrook</v>
      </c>
      <c r="L396" s="15" t="s">
        <v>11274</v>
      </c>
      <c r="M396" s="15">
        <v>1</v>
      </c>
      <c r="N396" s="15" t="s">
        <v>11222</v>
      </c>
      <c r="O396" s="15"/>
      <c r="P396" s="15"/>
      <c r="Q396" s="15"/>
      <c r="R396" s="15"/>
      <c r="S396" s="15"/>
      <c r="T396" s="15">
        <v>0</v>
      </c>
      <c r="U396" s="15"/>
      <c r="V396" s="15"/>
      <c r="W396" s="15"/>
      <c r="X396" s="15"/>
      <c r="Y396" s="15"/>
      <c r="Z396" s="15"/>
    </row>
    <row r="397" spans="1:26" x14ac:dyDescent="0.25">
      <c r="A397" s="15" t="s">
        <v>14499</v>
      </c>
      <c r="B397" s="15">
        <v>396</v>
      </c>
      <c r="C397" s="15" t="s">
        <v>11277</v>
      </c>
      <c r="D397" s="15" t="s">
        <v>11277</v>
      </c>
      <c r="E397" s="15" t="s">
        <v>1067</v>
      </c>
      <c r="F397" s="15" t="s">
        <v>14494</v>
      </c>
      <c r="G397" s="15" t="s">
        <v>11407</v>
      </c>
      <c r="H397" s="15">
        <v>10</v>
      </c>
      <c r="I397" s="15">
        <v>11</v>
      </c>
      <c r="J397" s="15">
        <v>50</v>
      </c>
      <c r="K397" s="15" t="str">
        <f t="shared" si="6"/>
        <v>lowerblackteabrook</v>
      </c>
      <c r="L397" s="15" t="s">
        <v>11257</v>
      </c>
      <c r="M397" s="15">
        <v>3</v>
      </c>
      <c r="N397" s="15" t="s">
        <v>11223</v>
      </c>
      <c r="O397" s="15"/>
      <c r="P397" s="15"/>
      <c r="Q397" s="15"/>
      <c r="R397" s="15"/>
      <c r="S397" s="15"/>
      <c r="T397" s="15">
        <v>2</v>
      </c>
      <c r="U397" s="15"/>
      <c r="V397" s="15"/>
      <c r="W397" s="15"/>
      <c r="X397" s="15"/>
      <c r="Y397" s="15"/>
      <c r="Z397" s="15"/>
    </row>
    <row r="398" spans="1:26" x14ac:dyDescent="0.25">
      <c r="A398" s="15" t="s">
        <v>14500</v>
      </c>
      <c r="B398" s="15">
        <v>397</v>
      </c>
      <c r="C398" s="15" t="s">
        <v>11277</v>
      </c>
      <c r="D398" s="15" t="s">
        <v>11277</v>
      </c>
      <c r="E398" s="15" t="s">
        <v>1067</v>
      </c>
      <c r="F398" s="15" t="s">
        <v>14501</v>
      </c>
      <c r="G398" s="15" t="s">
        <v>11247</v>
      </c>
      <c r="H398" s="15">
        <v>15</v>
      </c>
      <c r="I398" s="15">
        <v>6</v>
      </c>
      <c r="J398" s="15">
        <v>2</v>
      </c>
      <c r="K398" s="15" t="str">
        <f t="shared" si="6"/>
        <v>whisperinggorge</v>
      </c>
      <c r="L398" s="15" t="s">
        <v>11253</v>
      </c>
      <c r="M398" s="15">
        <v>1</v>
      </c>
      <c r="N398" s="15" t="s">
        <v>11222</v>
      </c>
      <c r="O398" s="15"/>
      <c r="P398" s="15"/>
      <c r="Q398" s="15"/>
      <c r="R398" s="15"/>
      <c r="S398" s="15"/>
      <c r="T398" s="15">
        <v>0</v>
      </c>
      <c r="U398" s="15"/>
      <c r="V398" s="15"/>
      <c r="W398" s="15"/>
      <c r="X398" s="15"/>
      <c r="Y398" s="15"/>
      <c r="Z398" s="15"/>
    </row>
    <row r="399" spans="1:26" x14ac:dyDescent="0.25">
      <c r="A399" s="15" t="s">
        <v>14502</v>
      </c>
      <c r="B399" s="15">
        <v>398</v>
      </c>
      <c r="C399" s="15" t="s">
        <v>11277</v>
      </c>
      <c r="D399" s="15" t="s">
        <v>11277</v>
      </c>
      <c r="E399" s="15" t="s">
        <v>1067</v>
      </c>
      <c r="F399" s="15" t="s">
        <v>14501</v>
      </c>
      <c r="G399" s="15" t="s">
        <v>11404</v>
      </c>
      <c r="H399" s="15">
        <v>15</v>
      </c>
      <c r="I399" s="15">
        <v>6</v>
      </c>
      <c r="J399" s="15">
        <v>7</v>
      </c>
      <c r="K399" s="15" t="str">
        <f t="shared" si="6"/>
        <v>whisperinggorge</v>
      </c>
      <c r="L399" s="15" t="s">
        <v>11257</v>
      </c>
      <c r="M399" s="15">
        <v>1</v>
      </c>
      <c r="N399" s="15" t="s">
        <v>11222</v>
      </c>
      <c r="O399" s="15"/>
      <c r="P399" s="15"/>
      <c r="Q399" s="15"/>
      <c r="R399" s="15"/>
      <c r="S399" s="15"/>
      <c r="T399" s="15">
        <v>0</v>
      </c>
      <c r="U399" s="15"/>
      <c r="V399" s="15"/>
      <c r="W399" s="15"/>
      <c r="X399" s="15"/>
      <c r="Y399" s="15"/>
      <c r="Z399" s="15"/>
    </row>
    <row r="400" spans="1:26" x14ac:dyDescent="0.25">
      <c r="A400" s="15" t="s">
        <v>14503</v>
      </c>
      <c r="B400" s="15">
        <v>399</v>
      </c>
      <c r="C400" s="15" t="s">
        <v>11277</v>
      </c>
      <c r="D400" s="15" t="s">
        <v>11277</v>
      </c>
      <c r="E400" s="15" t="s">
        <v>1067</v>
      </c>
      <c r="F400" s="15" t="s">
        <v>14501</v>
      </c>
      <c r="G400" s="15" t="s">
        <v>11255</v>
      </c>
      <c r="H400" s="15">
        <v>15</v>
      </c>
      <c r="I400" s="15">
        <v>6</v>
      </c>
      <c r="J400" s="15">
        <v>8</v>
      </c>
      <c r="K400" s="15" t="str">
        <f t="shared" si="6"/>
        <v>whisperinggorge</v>
      </c>
      <c r="L400" s="15" t="s">
        <v>11257</v>
      </c>
      <c r="M400" s="15">
        <v>1</v>
      </c>
      <c r="N400" s="15" t="s">
        <v>11222</v>
      </c>
      <c r="O400" s="15"/>
      <c r="P400" s="15"/>
      <c r="Q400" s="15"/>
      <c r="R400" s="15"/>
      <c r="S400" s="15"/>
      <c r="T400" s="15">
        <v>0</v>
      </c>
      <c r="U400" s="15"/>
      <c r="V400" s="15"/>
      <c r="W400" s="15"/>
      <c r="X400" s="15"/>
      <c r="Y400" s="15"/>
      <c r="Z400" s="15"/>
    </row>
    <row r="401" spans="1:26" x14ac:dyDescent="0.25">
      <c r="A401" s="15" t="s">
        <v>14504</v>
      </c>
      <c r="B401" s="15">
        <v>400</v>
      </c>
      <c r="C401" s="15" t="s">
        <v>11277</v>
      </c>
      <c r="D401" s="15" t="s">
        <v>11277</v>
      </c>
      <c r="E401" s="15" t="s">
        <v>1067</v>
      </c>
      <c r="F401" s="15" t="s">
        <v>14501</v>
      </c>
      <c r="G401" s="15" t="s">
        <v>11265</v>
      </c>
      <c r="H401" s="15">
        <v>15</v>
      </c>
      <c r="I401" s="15">
        <v>6</v>
      </c>
      <c r="J401" s="15">
        <v>10</v>
      </c>
      <c r="K401" s="15" t="str">
        <f t="shared" si="6"/>
        <v>whisperinggorge</v>
      </c>
      <c r="L401" s="15" t="s">
        <v>11266</v>
      </c>
      <c r="M401" s="15">
        <v>2</v>
      </c>
      <c r="N401" s="15" t="s">
        <v>11223</v>
      </c>
      <c r="O401" s="15"/>
      <c r="P401" s="15"/>
      <c r="Q401" s="15"/>
      <c r="R401" s="15"/>
      <c r="S401" s="15"/>
      <c r="T401" s="15">
        <v>0</v>
      </c>
      <c r="U401" s="15"/>
      <c r="V401" s="15"/>
      <c r="W401" s="15"/>
      <c r="X401" s="15"/>
      <c r="Y401" s="15"/>
      <c r="Z401" s="15"/>
    </row>
    <row r="402" spans="1:26" x14ac:dyDescent="0.25">
      <c r="A402" s="15" t="s">
        <v>14505</v>
      </c>
      <c r="B402" s="15">
        <v>401</v>
      </c>
      <c r="C402" s="15" t="s">
        <v>11277</v>
      </c>
      <c r="D402" s="15" t="s">
        <v>11277</v>
      </c>
      <c r="E402" s="15" t="s">
        <v>1067</v>
      </c>
      <c r="F402" s="15" t="s">
        <v>14501</v>
      </c>
      <c r="G402" s="15" t="s">
        <v>11306</v>
      </c>
      <c r="H402" s="15">
        <v>15</v>
      </c>
      <c r="I402" s="15">
        <v>6</v>
      </c>
      <c r="J402" s="15">
        <v>19</v>
      </c>
      <c r="K402" s="15" t="str">
        <f t="shared" si="6"/>
        <v>whisperinggorge</v>
      </c>
      <c r="L402" s="15" t="s">
        <v>11274</v>
      </c>
      <c r="M402" s="15">
        <v>1</v>
      </c>
      <c r="N402" s="15" t="s">
        <v>11222</v>
      </c>
      <c r="O402" s="15"/>
      <c r="P402" s="15"/>
      <c r="Q402" s="15"/>
      <c r="R402" s="15"/>
      <c r="S402" s="15"/>
      <c r="T402" s="15">
        <v>0</v>
      </c>
      <c r="U402" s="15"/>
      <c r="V402" s="15"/>
      <c r="W402" s="15"/>
      <c r="X402" s="15"/>
      <c r="Y402" s="15"/>
      <c r="Z402" s="15"/>
    </row>
    <row r="403" spans="1:26" x14ac:dyDescent="0.25">
      <c r="A403" s="15" t="s">
        <v>14506</v>
      </c>
      <c r="B403" s="15">
        <v>402</v>
      </c>
      <c r="C403" s="15" t="s">
        <v>11277</v>
      </c>
      <c r="D403" s="15" t="s">
        <v>11277</v>
      </c>
      <c r="E403" s="15" t="s">
        <v>1067</v>
      </c>
      <c r="F403" s="15" t="s">
        <v>14501</v>
      </c>
      <c r="G403" s="15" t="s">
        <v>11405</v>
      </c>
      <c r="H403" s="15">
        <v>15</v>
      </c>
      <c r="I403" s="15">
        <v>6</v>
      </c>
      <c r="J403" s="15">
        <v>43</v>
      </c>
      <c r="K403" s="15" t="str">
        <f t="shared" si="6"/>
        <v>whisperinggorge</v>
      </c>
      <c r="L403" s="15" t="s">
        <v>11360</v>
      </c>
      <c r="M403" s="15">
        <v>2</v>
      </c>
      <c r="N403" s="15" t="s">
        <v>11223</v>
      </c>
      <c r="O403" s="15"/>
      <c r="P403" s="15"/>
      <c r="Q403" s="15"/>
      <c r="R403" s="15"/>
      <c r="S403" s="15"/>
      <c r="T403" s="15">
        <v>0</v>
      </c>
      <c r="U403" s="15"/>
      <c r="V403" s="15"/>
      <c r="W403" s="15"/>
      <c r="X403" s="15"/>
      <c r="Y403" s="15"/>
      <c r="Z403" s="15"/>
    </row>
    <row r="404" spans="1:26" x14ac:dyDescent="0.25">
      <c r="A404" s="15" t="s">
        <v>14507</v>
      </c>
      <c r="B404" s="15">
        <v>403</v>
      </c>
      <c r="C404" s="15" t="s">
        <v>11277</v>
      </c>
      <c r="D404" s="15" t="s">
        <v>11277</v>
      </c>
      <c r="E404" s="15" t="s">
        <v>1067</v>
      </c>
      <c r="F404" s="15" t="s">
        <v>14501</v>
      </c>
      <c r="G404" s="15" t="s">
        <v>11408</v>
      </c>
      <c r="H404" s="15">
        <v>15</v>
      </c>
      <c r="I404" s="15">
        <v>6</v>
      </c>
      <c r="J404" s="15">
        <v>50</v>
      </c>
      <c r="K404" s="15" t="str">
        <f t="shared" si="6"/>
        <v>whisperinggorge</v>
      </c>
      <c r="L404" s="15" t="s">
        <v>11266</v>
      </c>
      <c r="M404" s="15">
        <v>3</v>
      </c>
      <c r="N404" s="15" t="s">
        <v>11223</v>
      </c>
      <c r="O404" s="15" t="s">
        <v>14027</v>
      </c>
      <c r="P404" s="15"/>
      <c r="Q404" s="15"/>
      <c r="R404" s="15"/>
      <c r="S404" s="15"/>
      <c r="T404" s="15">
        <v>2</v>
      </c>
      <c r="U404" s="15"/>
      <c r="V404" s="15"/>
      <c r="W404" s="15"/>
      <c r="X404" s="15"/>
      <c r="Y404" s="15"/>
      <c r="Z404" s="15"/>
    </row>
    <row r="405" spans="1:26" x14ac:dyDescent="0.25">
      <c r="A405" s="15" t="s">
        <v>14508</v>
      </c>
      <c r="B405" s="15">
        <v>404</v>
      </c>
      <c r="C405" s="15" t="s">
        <v>11277</v>
      </c>
      <c r="D405" s="15" t="s">
        <v>11277</v>
      </c>
      <c r="E405" s="15" t="s">
        <v>1067</v>
      </c>
      <c r="F405" s="15" t="s">
        <v>14509</v>
      </c>
      <c r="G405" s="15" t="s">
        <v>11247</v>
      </c>
      <c r="H405" s="15">
        <v>11</v>
      </c>
      <c r="I405" s="15">
        <v>8</v>
      </c>
      <c r="J405" s="15">
        <v>2</v>
      </c>
      <c r="K405" s="15" t="str">
        <f t="shared" si="6"/>
        <v>upperblackteabrook</v>
      </c>
      <c r="L405" s="15" t="s">
        <v>11253</v>
      </c>
      <c r="M405" s="15">
        <v>1</v>
      </c>
      <c r="N405" s="15" t="s">
        <v>11222</v>
      </c>
      <c r="O405" s="15"/>
      <c r="P405" s="15"/>
      <c r="Q405" s="15"/>
      <c r="R405" s="15"/>
      <c r="S405" s="15"/>
      <c r="T405" s="15">
        <v>0</v>
      </c>
      <c r="U405" s="15"/>
      <c r="V405" s="15"/>
      <c r="W405" s="15"/>
      <c r="X405" s="15"/>
      <c r="Y405" s="15"/>
      <c r="Z405" s="15"/>
    </row>
    <row r="406" spans="1:26" x14ac:dyDescent="0.25">
      <c r="A406" s="15" t="s">
        <v>14510</v>
      </c>
      <c r="B406" s="15">
        <v>405</v>
      </c>
      <c r="C406" s="15" t="s">
        <v>11277</v>
      </c>
      <c r="D406" s="15" t="s">
        <v>11277</v>
      </c>
      <c r="E406" s="15" t="s">
        <v>1067</v>
      </c>
      <c r="F406" s="15" t="s">
        <v>14509</v>
      </c>
      <c r="G406" s="15" t="s">
        <v>11404</v>
      </c>
      <c r="H406" s="15">
        <v>11</v>
      </c>
      <c r="I406" s="15">
        <v>8</v>
      </c>
      <c r="J406" s="15">
        <v>7</v>
      </c>
      <c r="K406" s="15" t="str">
        <f t="shared" si="6"/>
        <v>upperblackteabrook</v>
      </c>
      <c r="L406" s="15" t="s">
        <v>11257</v>
      </c>
      <c r="M406" s="15">
        <v>1</v>
      </c>
      <c r="N406" s="15" t="s">
        <v>11222</v>
      </c>
      <c r="O406" s="15"/>
      <c r="P406" s="15"/>
      <c r="Q406" s="15"/>
      <c r="R406" s="15"/>
      <c r="S406" s="15"/>
      <c r="T406" s="15">
        <v>0</v>
      </c>
      <c r="U406" s="15"/>
      <c r="V406" s="15"/>
      <c r="W406" s="15"/>
      <c r="X406" s="15"/>
      <c r="Y406" s="15"/>
      <c r="Z406" s="15"/>
    </row>
    <row r="407" spans="1:26" x14ac:dyDescent="0.25">
      <c r="A407" s="15" t="s">
        <v>14511</v>
      </c>
      <c r="B407" s="15">
        <v>406</v>
      </c>
      <c r="C407" s="15" t="s">
        <v>11277</v>
      </c>
      <c r="D407" s="15" t="s">
        <v>11277</v>
      </c>
      <c r="E407" s="15" t="s">
        <v>1067</v>
      </c>
      <c r="F407" s="15" t="s">
        <v>14509</v>
      </c>
      <c r="G407" s="15" t="s">
        <v>11255</v>
      </c>
      <c r="H407" s="15">
        <v>11</v>
      </c>
      <c r="I407" s="15">
        <v>8</v>
      </c>
      <c r="J407" s="15">
        <v>8</v>
      </c>
      <c r="K407" s="15" t="str">
        <f t="shared" si="6"/>
        <v>upperblackteabrook</v>
      </c>
      <c r="L407" s="15" t="s">
        <v>11257</v>
      </c>
      <c r="M407" s="15">
        <v>1</v>
      </c>
      <c r="N407" s="15" t="s">
        <v>11222</v>
      </c>
      <c r="O407" s="15"/>
      <c r="P407" s="15"/>
      <c r="Q407" s="15"/>
      <c r="R407" s="15"/>
      <c r="S407" s="15"/>
      <c r="T407" s="15">
        <v>0</v>
      </c>
      <c r="U407" s="15"/>
      <c r="V407" s="15"/>
      <c r="W407" s="15"/>
      <c r="X407" s="15"/>
      <c r="Y407" s="15"/>
      <c r="Z407" s="15"/>
    </row>
    <row r="408" spans="1:26" x14ac:dyDescent="0.25">
      <c r="A408" s="15" t="s">
        <v>14512</v>
      </c>
      <c r="B408" s="15">
        <v>407</v>
      </c>
      <c r="C408" s="15" t="s">
        <v>11277</v>
      </c>
      <c r="D408" s="15" t="s">
        <v>11277</v>
      </c>
      <c r="E408" s="15" t="s">
        <v>1067</v>
      </c>
      <c r="F408" s="15" t="s">
        <v>14509</v>
      </c>
      <c r="G408" s="15" t="s">
        <v>11265</v>
      </c>
      <c r="H408" s="15">
        <v>11</v>
      </c>
      <c r="I408" s="15">
        <v>8</v>
      </c>
      <c r="J408" s="15">
        <v>10</v>
      </c>
      <c r="K408" s="15" t="str">
        <f t="shared" si="6"/>
        <v>upperblackteabrook</v>
      </c>
      <c r="L408" s="15" t="s">
        <v>11266</v>
      </c>
      <c r="M408" s="15">
        <v>2</v>
      </c>
      <c r="N408" s="15" t="s">
        <v>11223</v>
      </c>
      <c r="O408" s="15"/>
      <c r="P408" s="15"/>
      <c r="Q408" s="15"/>
      <c r="R408" s="15"/>
      <c r="S408" s="15"/>
      <c r="T408" s="15">
        <v>0</v>
      </c>
      <c r="U408" s="15"/>
      <c r="V408" s="15"/>
      <c r="W408" s="15"/>
      <c r="X408" s="15"/>
      <c r="Y408" s="15"/>
      <c r="Z408" s="15"/>
    </row>
    <row r="409" spans="1:26" x14ac:dyDescent="0.25">
      <c r="A409" s="15" t="s">
        <v>14513</v>
      </c>
      <c r="B409" s="15">
        <v>408</v>
      </c>
      <c r="C409" s="15" t="s">
        <v>11277</v>
      </c>
      <c r="D409" s="15" t="s">
        <v>11277</v>
      </c>
      <c r="E409" s="15" t="s">
        <v>1067</v>
      </c>
      <c r="F409" s="15" t="s">
        <v>14509</v>
      </c>
      <c r="G409" s="15" t="s">
        <v>11306</v>
      </c>
      <c r="H409" s="15">
        <v>11</v>
      </c>
      <c r="I409" s="15">
        <v>8</v>
      </c>
      <c r="J409" s="15">
        <v>19</v>
      </c>
      <c r="K409" s="15" t="str">
        <f t="shared" si="6"/>
        <v>upperblackteabrook</v>
      </c>
      <c r="L409" s="15" t="s">
        <v>11274</v>
      </c>
      <c r="M409" s="15">
        <v>1</v>
      </c>
      <c r="N409" s="15" t="s">
        <v>11222</v>
      </c>
      <c r="O409" s="15"/>
      <c r="P409" s="15"/>
      <c r="Q409" s="15"/>
      <c r="R409" s="15"/>
      <c r="S409" s="15"/>
      <c r="T409" s="15">
        <v>0</v>
      </c>
      <c r="U409" s="15"/>
      <c r="V409" s="15"/>
      <c r="W409" s="15"/>
      <c r="X409" s="15"/>
      <c r="Y409" s="15"/>
      <c r="Z409" s="15"/>
    </row>
    <row r="410" spans="1:26" x14ac:dyDescent="0.25">
      <c r="A410" s="15" t="s">
        <v>14514</v>
      </c>
      <c r="B410" s="15">
        <v>409</v>
      </c>
      <c r="C410" s="15" t="s">
        <v>11277</v>
      </c>
      <c r="D410" s="15" t="s">
        <v>11277</v>
      </c>
      <c r="E410" s="15" t="s">
        <v>1067</v>
      </c>
      <c r="F410" s="15" t="s">
        <v>14509</v>
      </c>
      <c r="G410" s="15" t="s">
        <v>11409</v>
      </c>
      <c r="H410" s="15">
        <v>11</v>
      </c>
      <c r="I410" s="15">
        <v>8</v>
      </c>
      <c r="J410" s="15">
        <v>50</v>
      </c>
      <c r="K410" s="15" t="str">
        <f t="shared" si="6"/>
        <v>upperblackteabrook</v>
      </c>
      <c r="L410" s="15" t="s">
        <v>11274</v>
      </c>
      <c r="M410" s="15">
        <v>3</v>
      </c>
      <c r="N410" s="15" t="s">
        <v>11223</v>
      </c>
      <c r="O410" s="15" t="s">
        <v>14010</v>
      </c>
      <c r="P410" s="15"/>
      <c r="Q410" s="15"/>
      <c r="R410" s="15"/>
      <c r="S410" s="15"/>
      <c r="T410" s="15">
        <v>2</v>
      </c>
      <c r="U410" s="15" t="s">
        <v>5908</v>
      </c>
      <c r="V410" s="15" t="s">
        <v>5914</v>
      </c>
      <c r="W410" s="15"/>
      <c r="X410" s="15"/>
      <c r="Y410" s="15"/>
      <c r="Z410" s="15"/>
    </row>
    <row r="411" spans="1:26" x14ac:dyDescent="0.25">
      <c r="A411" s="15" t="s">
        <v>14515</v>
      </c>
      <c r="B411" s="15">
        <v>410</v>
      </c>
      <c r="C411" s="15" t="s">
        <v>11277</v>
      </c>
      <c r="D411" s="15" t="s">
        <v>11277</v>
      </c>
      <c r="E411" s="15" t="s">
        <v>1067</v>
      </c>
      <c r="F411" s="15" t="s">
        <v>14516</v>
      </c>
      <c r="G411" s="15" t="s">
        <v>11247</v>
      </c>
      <c r="H411" s="15">
        <v>22</v>
      </c>
      <c r="I411" s="15">
        <v>21</v>
      </c>
      <c r="J411" s="15">
        <v>2</v>
      </c>
      <c r="K411" s="15" t="str">
        <f t="shared" si="6"/>
        <v>thevein</v>
      </c>
      <c r="L411" s="15" t="s">
        <v>11253</v>
      </c>
      <c r="M411" s="15">
        <v>1</v>
      </c>
      <c r="N411" s="15" t="s">
        <v>11222</v>
      </c>
      <c r="O411" s="15"/>
      <c r="P411" s="15"/>
      <c r="Q411" s="15"/>
      <c r="R411" s="15"/>
      <c r="S411" s="15"/>
      <c r="T411" s="15">
        <v>0</v>
      </c>
      <c r="U411" s="15"/>
      <c r="V411" s="15"/>
      <c r="W411" s="15"/>
      <c r="X411" s="15"/>
      <c r="Y411" s="15"/>
      <c r="Z411" s="15"/>
    </row>
    <row r="412" spans="1:26" x14ac:dyDescent="0.25">
      <c r="A412" s="15" t="s">
        <v>14517</v>
      </c>
      <c r="B412" s="15">
        <v>411</v>
      </c>
      <c r="C412" s="15" t="s">
        <v>11277</v>
      </c>
      <c r="D412" s="15" t="s">
        <v>11277</v>
      </c>
      <c r="E412" s="15" t="s">
        <v>1067</v>
      </c>
      <c r="F412" s="15" t="s">
        <v>14516</v>
      </c>
      <c r="G412" s="15" t="s">
        <v>11410</v>
      </c>
      <c r="H412" s="15">
        <v>22</v>
      </c>
      <c r="I412" s="15">
        <v>21</v>
      </c>
      <c r="J412" s="15">
        <v>4</v>
      </c>
      <c r="K412" s="15" t="str">
        <f t="shared" si="6"/>
        <v>thevein</v>
      </c>
      <c r="L412" s="15" t="s">
        <v>11253</v>
      </c>
      <c r="M412" s="15">
        <v>1</v>
      </c>
      <c r="N412" s="15" t="s">
        <v>11222</v>
      </c>
      <c r="O412" s="15"/>
      <c r="P412" s="15"/>
      <c r="Q412" s="15"/>
      <c r="R412" s="15"/>
      <c r="S412" s="15"/>
      <c r="T412" s="15">
        <v>0</v>
      </c>
      <c r="U412" s="15"/>
      <c r="V412" s="15"/>
      <c r="W412" s="15"/>
      <c r="X412" s="15"/>
      <c r="Y412" s="15"/>
      <c r="Z412" s="15"/>
    </row>
    <row r="413" spans="1:26" x14ac:dyDescent="0.25">
      <c r="A413" s="15" t="s">
        <v>14518</v>
      </c>
      <c r="B413" s="15">
        <v>412</v>
      </c>
      <c r="C413" s="15" t="s">
        <v>11277</v>
      </c>
      <c r="D413" s="15" t="s">
        <v>11277</v>
      </c>
      <c r="E413" s="15" t="s">
        <v>1067</v>
      </c>
      <c r="F413" s="15" t="s">
        <v>14516</v>
      </c>
      <c r="G413" s="15" t="s">
        <v>11404</v>
      </c>
      <c r="H413" s="15">
        <v>22</v>
      </c>
      <c r="I413" s="15">
        <v>21</v>
      </c>
      <c r="J413" s="15">
        <v>7</v>
      </c>
      <c r="K413" s="15" t="str">
        <f t="shared" si="6"/>
        <v>thevein</v>
      </c>
      <c r="L413" s="15" t="s">
        <v>11257</v>
      </c>
      <c r="M413" s="15">
        <v>1</v>
      </c>
      <c r="N413" s="15" t="s">
        <v>11222</v>
      </c>
      <c r="O413" s="15"/>
      <c r="P413" s="15"/>
      <c r="Q413" s="15"/>
      <c r="R413" s="15"/>
      <c r="S413" s="15"/>
      <c r="T413" s="15">
        <v>0</v>
      </c>
      <c r="U413" s="15"/>
      <c r="V413" s="15"/>
      <c r="W413" s="15"/>
      <c r="X413" s="15"/>
      <c r="Y413" s="15"/>
      <c r="Z413" s="15"/>
    </row>
    <row r="414" spans="1:26" x14ac:dyDescent="0.25">
      <c r="A414" s="15" t="s">
        <v>14519</v>
      </c>
      <c r="B414" s="15">
        <v>413</v>
      </c>
      <c r="C414" s="15" t="s">
        <v>11277</v>
      </c>
      <c r="D414" s="15" t="s">
        <v>11277</v>
      </c>
      <c r="E414" s="15" t="s">
        <v>1067</v>
      </c>
      <c r="F414" s="15" t="s">
        <v>14516</v>
      </c>
      <c r="G414" s="15" t="s">
        <v>11255</v>
      </c>
      <c r="H414" s="15">
        <v>22</v>
      </c>
      <c r="I414" s="15">
        <v>21</v>
      </c>
      <c r="J414" s="15">
        <v>8</v>
      </c>
      <c r="K414" s="15" t="str">
        <f t="shared" si="6"/>
        <v>thevein</v>
      </c>
      <c r="L414" s="15" t="s">
        <v>11257</v>
      </c>
      <c r="M414" s="15">
        <v>1</v>
      </c>
      <c r="N414" s="15" t="s">
        <v>11222</v>
      </c>
      <c r="O414" s="15"/>
      <c r="P414" s="15"/>
      <c r="Q414" s="15"/>
      <c r="R414" s="15"/>
      <c r="S414" s="15"/>
      <c r="T414" s="15">
        <v>0</v>
      </c>
      <c r="U414" s="15"/>
      <c r="V414" s="15"/>
      <c r="W414" s="15"/>
      <c r="X414" s="15"/>
      <c r="Y414" s="15"/>
      <c r="Z414" s="15"/>
    </row>
    <row r="415" spans="1:26" x14ac:dyDescent="0.25">
      <c r="A415" s="15" t="s">
        <v>14520</v>
      </c>
      <c r="B415" s="15">
        <v>414</v>
      </c>
      <c r="C415" s="15" t="s">
        <v>11277</v>
      </c>
      <c r="D415" s="15" t="s">
        <v>11277</v>
      </c>
      <c r="E415" s="15" t="s">
        <v>1067</v>
      </c>
      <c r="F415" s="15" t="s">
        <v>14516</v>
      </c>
      <c r="G415" s="15" t="s">
        <v>11411</v>
      </c>
      <c r="H415" s="15">
        <v>22</v>
      </c>
      <c r="I415" s="15">
        <v>21</v>
      </c>
      <c r="J415" s="15">
        <v>9</v>
      </c>
      <c r="K415" s="15" t="str">
        <f t="shared" si="6"/>
        <v>thevein</v>
      </c>
      <c r="L415" s="15" t="s">
        <v>11257</v>
      </c>
      <c r="M415" s="15">
        <v>1</v>
      </c>
      <c r="N415" s="15" t="s">
        <v>11222</v>
      </c>
      <c r="O415" s="15"/>
      <c r="P415" s="15"/>
      <c r="Q415" s="15"/>
      <c r="R415" s="15"/>
      <c r="S415" s="15"/>
      <c r="T415" s="15">
        <v>0</v>
      </c>
      <c r="U415" s="15"/>
      <c r="V415" s="15"/>
      <c r="W415" s="15"/>
      <c r="X415" s="15"/>
      <c r="Y415" s="15"/>
      <c r="Z415" s="15"/>
    </row>
    <row r="416" spans="1:26" x14ac:dyDescent="0.25">
      <c r="A416" s="15" t="s">
        <v>14521</v>
      </c>
      <c r="B416" s="15">
        <v>415</v>
      </c>
      <c r="C416" s="15" t="s">
        <v>11277</v>
      </c>
      <c r="D416" s="15" t="s">
        <v>11277</v>
      </c>
      <c r="E416" s="15" t="s">
        <v>1067</v>
      </c>
      <c r="F416" s="15" t="s">
        <v>14516</v>
      </c>
      <c r="G416" s="15" t="s">
        <v>11265</v>
      </c>
      <c r="H416" s="15">
        <v>22</v>
      </c>
      <c r="I416" s="15">
        <v>21</v>
      </c>
      <c r="J416" s="15">
        <v>10</v>
      </c>
      <c r="K416" s="15" t="str">
        <f t="shared" si="6"/>
        <v>thevein</v>
      </c>
      <c r="L416" s="15" t="s">
        <v>11266</v>
      </c>
      <c r="M416" s="15">
        <v>2</v>
      </c>
      <c r="N416" s="15" t="s">
        <v>11223</v>
      </c>
      <c r="O416" s="15"/>
      <c r="P416" s="15"/>
      <c r="Q416" s="15"/>
      <c r="R416" s="15"/>
      <c r="S416" s="15"/>
      <c r="T416" s="15">
        <v>0</v>
      </c>
      <c r="U416" s="15"/>
      <c r="V416" s="15"/>
      <c r="W416" s="15"/>
      <c r="X416" s="15"/>
      <c r="Y416" s="15"/>
      <c r="Z416" s="15"/>
    </row>
    <row r="417" spans="1:26" x14ac:dyDescent="0.25">
      <c r="A417" s="15" t="s">
        <v>14522</v>
      </c>
      <c r="B417" s="15">
        <v>416</v>
      </c>
      <c r="C417" s="15" t="s">
        <v>11277</v>
      </c>
      <c r="D417" s="15" t="s">
        <v>11277</v>
      </c>
      <c r="E417" s="15" t="s">
        <v>1067</v>
      </c>
      <c r="F417" s="15" t="s">
        <v>14516</v>
      </c>
      <c r="G417" s="15" t="s">
        <v>11272</v>
      </c>
      <c r="H417" s="15">
        <v>22</v>
      </c>
      <c r="I417" s="15">
        <v>21</v>
      </c>
      <c r="J417" s="15">
        <v>22</v>
      </c>
      <c r="K417" s="15" t="str">
        <f t="shared" si="6"/>
        <v>thevein</v>
      </c>
      <c r="L417" s="15" t="s">
        <v>14088</v>
      </c>
      <c r="M417" s="15">
        <v>1</v>
      </c>
      <c r="N417" s="15" t="s">
        <v>11222</v>
      </c>
      <c r="O417" s="15"/>
      <c r="P417" s="15"/>
      <c r="Q417" s="15" t="s">
        <v>11410</v>
      </c>
      <c r="R417" s="15"/>
      <c r="S417" s="15"/>
      <c r="T417" s="15">
        <v>0</v>
      </c>
      <c r="U417" s="15"/>
      <c r="V417" s="15"/>
      <c r="W417" s="15"/>
      <c r="X417" s="15"/>
      <c r="Y417" s="15"/>
      <c r="Z417" s="15"/>
    </row>
    <row r="418" spans="1:26" x14ac:dyDescent="0.25">
      <c r="A418" s="15" t="s">
        <v>14523</v>
      </c>
      <c r="B418" s="15">
        <v>417</v>
      </c>
      <c r="C418" s="15" t="s">
        <v>11277</v>
      </c>
      <c r="D418" s="15" t="s">
        <v>11277</v>
      </c>
      <c r="E418" s="15" t="s">
        <v>1067</v>
      </c>
      <c r="F418" s="15" t="s">
        <v>14516</v>
      </c>
      <c r="G418" s="15" t="s">
        <v>11412</v>
      </c>
      <c r="H418" s="15">
        <v>22</v>
      </c>
      <c r="I418" s="15">
        <v>21</v>
      </c>
      <c r="J418" s="15">
        <v>50</v>
      </c>
      <c r="K418" s="15" t="str">
        <f t="shared" si="6"/>
        <v>thevein</v>
      </c>
      <c r="L418" s="15" t="s">
        <v>14088</v>
      </c>
      <c r="M418" s="15">
        <v>3</v>
      </c>
      <c r="N418" s="15" t="s">
        <v>11223</v>
      </c>
      <c r="O418" s="15"/>
      <c r="P418" s="15"/>
      <c r="Q418" s="15" t="s">
        <v>11410</v>
      </c>
      <c r="R418" s="15"/>
      <c r="S418" s="15"/>
      <c r="T418" s="15">
        <v>2</v>
      </c>
      <c r="U418" s="15"/>
      <c r="V418" s="15"/>
      <c r="W418" s="15"/>
      <c r="X418" s="15"/>
      <c r="Y418" s="15"/>
      <c r="Z418" s="15"/>
    </row>
    <row r="419" spans="1:26" x14ac:dyDescent="0.25">
      <c r="A419" s="15" t="s">
        <v>14524</v>
      </c>
      <c r="B419" s="15">
        <v>418</v>
      </c>
      <c r="C419" s="15" t="s">
        <v>11277</v>
      </c>
      <c r="D419" s="15" t="s">
        <v>11277</v>
      </c>
      <c r="E419" s="15" t="s">
        <v>1067</v>
      </c>
      <c r="F419" s="15" t="s">
        <v>14525</v>
      </c>
      <c r="G419" s="15" t="s">
        <v>11321</v>
      </c>
      <c r="H419" s="15">
        <v>26</v>
      </c>
      <c r="I419" s="15">
        <v>28</v>
      </c>
      <c r="J419" s="15">
        <v>5</v>
      </c>
      <c r="K419" s="15" t="str">
        <f t="shared" si="6"/>
        <v>themirror</v>
      </c>
      <c r="L419" s="15" t="s">
        <v>11253</v>
      </c>
      <c r="M419" s="15">
        <v>1</v>
      </c>
      <c r="N419" s="15" t="s">
        <v>11222</v>
      </c>
      <c r="O419" s="15"/>
      <c r="P419" s="15"/>
      <c r="Q419" s="15"/>
      <c r="R419" s="15"/>
      <c r="S419" s="15"/>
      <c r="T419" s="15">
        <v>0</v>
      </c>
      <c r="U419" s="15"/>
      <c r="V419" s="15"/>
      <c r="W419" s="15"/>
      <c r="X419" s="15"/>
      <c r="Y419" s="15"/>
      <c r="Z419" s="15"/>
    </row>
    <row r="420" spans="1:26" x14ac:dyDescent="0.25">
      <c r="A420" s="15" t="s">
        <v>14526</v>
      </c>
      <c r="B420" s="15">
        <v>419</v>
      </c>
      <c r="C420" s="15" t="s">
        <v>11277</v>
      </c>
      <c r="D420" s="15" t="s">
        <v>11277</v>
      </c>
      <c r="E420" s="15" t="s">
        <v>1067</v>
      </c>
      <c r="F420" s="15" t="s">
        <v>14525</v>
      </c>
      <c r="G420" s="15" t="s">
        <v>11404</v>
      </c>
      <c r="H420" s="15">
        <v>26</v>
      </c>
      <c r="I420" s="15">
        <v>28</v>
      </c>
      <c r="J420" s="15">
        <v>7</v>
      </c>
      <c r="K420" s="15" t="str">
        <f t="shared" si="6"/>
        <v>themirror</v>
      </c>
      <c r="L420" s="15" t="s">
        <v>11257</v>
      </c>
      <c r="M420" s="15">
        <v>1</v>
      </c>
      <c r="N420" s="15" t="s">
        <v>11222</v>
      </c>
      <c r="O420" s="15"/>
      <c r="P420" s="15"/>
      <c r="Q420" s="15"/>
      <c r="R420" s="15"/>
      <c r="S420" s="15"/>
      <c r="T420" s="15">
        <v>0</v>
      </c>
      <c r="U420" s="15"/>
      <c r="V420" s="15"/>
      <c r="W420" s="15"/>
      <c r="X420" s="15"/>
      <c r="Y420" s="15"/>
      <c r="Z420" s="15"/>
    </row>
    <row r="421" spans="1:26" x14ac:dyDescent="0.25">
      <c r="A421" s="15" t="s">
        <v>14527</v>
      </c>
      <c r="B421" s="15">
        <v>420</v>
      </c>
      <c r="C421" s="15" t="s">
        <v>11277</v>
      </c>
      <c r="D421" s="15" t="s">
        <v>11277</v>
      </c>
      <c r="E421" s="15" t="s">
        <v>1067</v>
      </c>
      <c r="F421" s="15" t="s">
        <v>14525</v>
      </c>
      <c r="G421" s="15" t="s">
        <v>11255</v>
      </c>
      <c r="H421" s="15">
        <v>26</v>
      </c>
      <c r="I421" s="15">
        <v>28</v>
      </c>
      <c r="J421" s="15">
        <v>8</v>
      </c>
      <c r="K421" s="15" t="str">
        <f t="shared" si="6"/>
        <v>themirror</v>
      </c>
      <c r="L421" s="15" t="s">
        <v>11257</v>
      </c>
      <c r="M421" s="15">
        <v>1</v>
      </c>
      <c r="N421" s="15" t="s">
        <v>11222</v>
      </c>
      <c r="O421" s="15"/>
      <c r="P421" s="15"/>
      <c r="Q421" s="15"/>
      <c r="R421" s="15"/>
      <c r="S421" s="15"/>
      <c r="T421" s="15">
        <v>0</v>
      </c>
      <c r="U421" s="15"/>
      <c r="V421" s="15"/>
      <c r="W421" s="15"/>
      <c r="X421" s="15"/>
      <c r="Y421" s="15"/>
      <c r="Z421" s="15"/>
    </row>
    <row r="422" spans="1:26" x14ac:dyDescent="0.25">
      <c r="A422" s="15" t="s">
        <v>14528</v>
      </c>
      <c r="B422" s="15">
        <v>421</v>
      </c>
      <c r="C422" s="15" t="s">
        <v>11277</v>
      </c>
      <c r="D422" s="15" t="s">
        <v>11277</v>
      </c>
      <c r="E422" s="15" t="s">
        <v>1067</v>
      </c>
      <c r="F422" s="15" t="s">
        <v>14525</v>
      </c>
      <c r="G422" s="15" t="s">
        <v>11411</v>
      </c>
      <c r="H422" s="15">
        <v>26</v>
      </c>
      <c r="I422" s="15">
        <v>28</v>
      </c>
      <c r="J422" s="15">
        <v>9</v>
      </c>
      <c r="K422" s="15" t="str">
        <f t="shared" si="6"/>
        <v>themirror</v>
      </c>
      <c r="L422" s="15" t="s">
        <v>11257</v>
      </c>
      <c r="M422" s="15">
        <v>1</v>
      </c>
      <c r="N422" s="15" t="s">
        <v>11222</v>
      </c>
      <c r="O422" s="15"/>
      <c r="P422" s="15"/>
      <c r="Q422" s="15"/>
      <c r="R422" s="15"/>
      <c r="S422" s="15"/>
      <c r="T422" s="15">
        <v>0</v>
      </c>
      <c r="U422" s="15"/>
      <c r="V422" s="15"/>
      <c r="W422" s="15"/>
      <c r="X422" s="15"/>
      <c r="Y422" s="15"/>
      <c r="Z422" s="15"/>
    </row>
    <row r="423" spans="1:26" x14ac:dyDescent="0.25">
      <c r="A423" s="15" t="s">
        <v>14529</v>
      </c>
      <c r="B423" s="15">
        <v>422</v>
      </c>
      <c r="C423" s="15" t="s">
        <v>11277</v>
      </c>
      <c r="D423" s="15" t="s">
        <v>11277</v>
      </c>
      <c r="E423" s="15" t="s">
        <v>1067</v>
      </c>
      <c r="F423" s="15" t="s">
        <v>14525</v>
      </c>
      <c r="G423" s="15" t="s">
        <v>11265</v>
      </c>
      <c r="H423" s="15">
        <v>26</v>
      </c>
      <c r="I423" s="15">
        <v>28</v>
      </c>
      <c r="J423" s="15">
        <v>10</v>
      </c>
      <c r="K423" s="15" t="str">
        <f t="shared" si="6"/>
        <v>themirror</v>
      </c>
      <c r="L423" s="15" t="s">
        <v>11266</v>
      </c>
      <c r="M423" s="15">
        <v>2</v>
      </c>
      <c r="N423" s="15" t="s">
        <v>11223</v>
      </c>
      <c r="O423" s="15"/>
      <c r="P423" s="15"/>
      <c r="Q423" s="15"/>
      <c r="R423" s="15"/>
      <c r="S423" s="15"/>
      <c r="T423" s="15">
        <v>0</v>
      </c>
      <c r="U423" s="15"/>
      <c r="V423" s="15"/>
      <c r="W423" s="15"/>
      <c r="X423" s="15"/>
      <c r="Y423" s="15"/>
      <c r="Z423" s="15"/>
    </row>
    <row r="424" spans="1:26" x14ac:dyDescent="0.25">
      <c r="A424" s="15" t="s">
        <v>14530</v>
      </c>
      <c r="B424" s="15">
        <v>423</v>
      </c>
      <c r="C424" s="15" t="s">
        <v>11277</v>
      </c>
      <c r="D424" s="15" t="s">
        <v>11277</v>
      </c>
      <c r="E424" s="15" t="s">
        <v>1067</v>
      </c>
      <c r="F424" s="15" t="s">
        <v>14525</v>
      </c>
      <c r="G424" s="15" t="s">
        <v>11306</v>
      </c>
      <c r="H424" s="15">
        <v>26</v>
      </c>
      <c r="I424" s="15">
        <v>28</v>
      </c>
      <c r="J424" s="15">
        <v>19</v>
      </c>
      <c r="K424" s="15" t="str">
        <f t="shared" si="6"/>
        <v>themirror</v>
      </c>
      <c r="L424" s="15" t="s">
        <v>11274</v>
      </c>
      <c r="M424" s="15">
        <v>1</v>
      </c>
      <c r="N424" s="15" t="s">
        <v>11222</v>
      </c>
      <c r="O424" s="15"/>
      <c r="P424" s="15"/>
      <c r="Q424" s="15"/>
      <c r="R424" s="15"/>
      <c r="S424" s="15"/>
      <c r="T424" s="15">
        <v>0</v>
      </c>
      <c r="U424" s="15"/>
      <c r="V424" s="15"/>
      <c r="W424" s="15"/>
      <c r="X424" s="15"/>
      <c r="Y424" s="15"/>
      <c r="Z424" s="15"/>
    </row>
    <row r="425" spans="1:26" x14ac:dyDescent="0.25">
      <c r="A425" s="15" t="s">
        <v>14531</v>
      </c>
      <c r="B425" s="15">
        <v>424</v>
      </c>
      <c r="C425" s="15" t="s">
        <v>11277</v>
      </c>
      <c r="D425" s="15" t="s">
        <v>11277</v>
      </c>
      <c r="E425" s="15" t="s">
        <v>1067</v>
      </c>
      <c r="F425" s="15" t="s">
        <v>14525</v>
      </c>
      <c r="G425" s="15" t="s">
        <v>11413</v>
      </c>
      <c r="H425" s="15">
        <v>26</v>
      </c>
      <c r="I425" s="15">
        <v>28</v>
      </c>
      <c r="J425" s="15">
        <v>21</v>
      </c>
      <c r="K425" s="15" t="str">
        <f t="shared" si="6"/>
        <v>themirror</v>
      </c>
      <c r="L425" s="15" t="s">
        <v>11274</v>
      </c>
      <c r="M425" s="15">
        <v>2</v>
      </c>
      <c r="N425" s="15" t="s">
        <v>11223</v>
      </c>
      <c r="O425" s="15"/>
      <c r="P425" s="15"/>
      <c r="Q425" s="15"/>
      <c r="R425" s="15"/>
      <c r="S425" s="15"/>
      <c r="T425" s="15">
        <v>0</v>
      </c>
      <c r="U425" s="15"/>
      <c r="V425" s="15"/>
      <c r="W425" s="15"/>
      <c r="X425" s="15"/>
      <c r="Y425" s="15"/>
      <c r="Z425" s="15"/>
    </row>
    <row r="426" spans="1:26" x14ac:dyDescent="0.25">
      <c r="A426" s="15" t="s">
        <v>14532</v>
      </c>
      <c r="B426" s="15">
        <v>425</v>
      </c>
      <c r="C426" s="15" t="s">
        <v>11277</v>
      </c>
      <c r="D426" s="15" t="s">
        <v>11277</v>
      </c>
      <c r="E426" s="15" t="s">
        <v>1067</v>
      </c>
      <c r="F426" s="15" t="s">
        <v>14525</v>
      </c>
      <c r="G426" s="15" t="s">
        <v>11414</v>
      </c>
      <c r="H426" s="15">
        <v>26</v>
      </c>
      <c r="I426" s="15">
        <v>28</v>
      </c>
      <c r="J426" s="15">
        <v>50</v>
      </c>
      <c r="K426" s="15" t="str">
        <f t="shared" si="6"/>
        <v>themirror</v>
      </c>
      <c r="L426" s="15" t="s">
        <v>11271</v>
      </c>
      <c r="M426" s="15">
        <v>3</v>
      </c>
      <c r="N426" s="15" t="s">
        <v>11223</v>
      </c>
      <c r="O426" s="15" t="s">
        <v>14067</v>
      </c>
      <c r="P426" s="15"/>
      <c r="Q426" s="15"/>
      <c r="R426" s="15"/>
      <c r="S426" s="15"/>
      <c r="T426" s="15">
        <v>3</v>
      </c>
      <c r="U426" s="15" t="s">
        <v>5900</v>
      </c>
      <c r="V426" s="15"/>
      <c r="W426" s="15"/>
      <c r="X426" s="15"/>
      <c r="Y426" s="15"/>
      <c r="Z426" s="15"/>
    </row>
    <row r="427" spans="1:26" x14ac:dyDescent="0.25">
      <c r="A427" s="15" t="s">
        <v>14533</v>
      </c>
      <c r="B427" s="15">
        <v>426</v>
      </c>
      <c r="C427" s="15" t="s">
        <v>11277</v>
      </c>
      <c r="D427" s="15" t="s">
        <v>11277</v>
      </c>
      <c r="E427" s="15" t="s">
        <v>1067</v>
      </c>
      <c r="F427" s="15" t="s">
        <v>14534</v>
      </c>
      <c r="G427" s="15" t="s">
        <v>11415</v>
      </c>
      <c r="H427" s="15">
        <v>15</v>
      </c>
      <c r="I427" s="15">
        <v>24</v>
      </c>
      <c r="J427" s="15">
        <v>25</v>
      </c>
      <c r="K427" s="15" t="str">
        <f t="shared" si="6"/>
        <v>everschade</v>
      </c>
      <c r="L427" s="15" t="s">
        <v>11416</v>
      </c>
      <c r="M427" s="15">
        <v>1</v>
      </c>
      <c r="N427" s="15" t="s">
        <v>11222</v>
      </c>
      <c r="O427" s="15"/>
      <c r="P427" s="15"/>
      <c r="Q427" s="15"/>
      <c r="R427" s="15"/>
      <c r="S427" s="15"/>
      <c r="T427" s="15">
        <v>0</v>
      </c>
      <c r="U427" s="15"/>
      <c r="V427" s="15"/>
      <c r="W427" s="15"/>
      <c r="X427" s="15"/>
      <c r="Y427" s="15"/>
      <c r="Z427" s="15"/>
    </row>
    <row r="428" spans="1:26" x14ac:dyDescent="0.25">
      <c r="A428" s="15" t="s">
        <v>14535</v>
      </c>
      <c r="B428" s="15">
        <v>427</v>
      </c>
      <c r="C428" s="15" t="s">
        <v>11277</v>
      </c>
      <c r="D428" s="15" t="s">
        <v>11277</v>
      </c>
      <c r="E428" s="15" t="s">
        <v>1067</v>
      </c>
      <c r="F428" s="15" t="s">
        <v>14534</v>
      </c>
      <c r="G428" s="15" t="s">
        <v>11417</v>
      </c>
      <c r="H428" s="15">
        <v>15</v>
      </c>
      <c r="I428" s="15">
        <v>24</v>
      </c>
      <c r="J428" s="15">
        <v>16</v>
      </c>
      <c r="K428" s="15" t="str">
        <f t="shared" si="6"/>
        <v>everschade</v>
      </c>
      <c r="L428" s="15" t="s">
        <v>11254</v>
      </c>
      <c r="M428" s="15">
        <v>1</v>
      </c>
      <c r="N428" s="15" t="s">
        <v>11222</v>
      </c>
      <c r="O428" s="15"/>
      <c r="P428" s="15"/>
      <c r="Q428" s="15"/>
      <c r="R428" s="15"/>
      <c r="S428" s="15"/>
      <c r="T428" s="15">
        <v>0</v>
      </c>
      <c r="U428" s="15"/>
      <c r="V428" s="15"/>
      <c r="W428" s="15"/>
      <c r="X428" s="15"/>
      <c r="Y428" s="15"/>
      <c r="Z428" s="15"/>
    </row>
    <row r="429" spans="1:26" x14ac:dyDescent="0.25">
      <c r="A429" s="15" t="s">
        <v>14536</v>
      </c>
      <c r="B429" s="15">
        <v>428</v>
      </c>
      <c r="C429" s="15" t="s">
        <v>11277</v>
      </c>
      <c r="D429" s="15" t="s">
        <v>11277</v>
      </c>
      <c r="E429" s="15" t="s">
        <v>1067</v>
      </c>
      <c r="F429" s="15" t="s">
        <v>14534</v>
      </c>
      <c r="G429" s="15" t="s">
        <v>11358</v>
      </c>
      <c r="H429" s="15">
        <v>15</v>
      </c>
      <c r="I429" s="15">
        <v>24</v>
      </c>
      <c r="J429" s="15">
        <v>33</v>
      </c>
      <c r="K429" s="15" t="str">
        <f t="shared" si="6"/>
        <v>everschade</v>
      </c>
      <c r="L429" s="15" t="s">
        <v>14088</v>
      </c>
      <c r="M429" s="15">
        <v>1</v>
      </c>
      <c r="N429" s="15" t="s">
        <v>11222</v>
      </c>
      <c r="O429" s="15"/>
      <c r="P429" s="15"/>
      <c r="Q429" s="15" t="s">
        <v>11417</v>
      </c>
      <c r="R429" s="15"/>
      <c r="S429" s="15"/>
      <c r="T429" s="15">
        <v>0</v>
      </c>
      <c r="U429" s="15"/>
      <c r="V429" s="15"/>
      <c r="W429" s="15"/>
      <c r="X429" s="15"/>
      <c r="Y429" s="15"/>
      <c r="Z429" s="15"/>
    </row>
    <row r="430" spans="1:26" x14ac:dyDescent="0.25">
      <c r="A430" s="15" t="s">
        <v>14537</v>
      </c>
      <c r="B430" s="15">
        <v>429</v>
      </c>
      <c r="C430" s="15" t="s">
        <v>11277</v>
      </c>
      <c r="D430" s="15" t="s">
        <v>11277</v>
      </c>
      <c r="E430" s="15" t="s">
        <v>1067</v>
      </c>
      <c r="F430" s="15" t="s">
        <v>14534</v>
      </c>
      <c r="G430" s="15" t="s">
        <v>11352</v>
      </c>
      <c r="H430" s="15">
        <v>15</v>
      </c>
      <c r="I430" s="15">
        <v>24</v>
      </c>
      <c r="J430" s="15">
        <v>34</v>
      </c>
      <c r="K430" s="15" t="str">
        <f t="shared" si="6"/>
        <v>everschade</v>
      </c>
      <c r="L430" s="15" t="s">
        <v>11419</v>
      </c>
      <c r="M430" s="15">
        <v>1</v>
      </c>
      <c r="N430" s="15" t="s">
        <v>11222</v>
      </c>
      <c r="O430" s="15"/>
      <c r="P430" s="15"/>
      <c r="Q430" s="15"/>
      <c r="R430" s="15"/>
      <c r="S430" s="15"/>
      <c r="T430" s="15">
        <v>0</v>
      </c>
      <c r="U430" s="15"/>
      <c r="V430" s="15"/>
      <c r="W430" s="15"/>
      <c r="X430" s="15"/>
      <c r="Y430" s="15"/>
      <c r="Z430" s="15"/>
    </row>
    <row r="431" spans="1:26" x14ac:dyDescent="0.25">
      <c r="A431" s="15" t="s">
        <v>14538</v>
      </c>
      <c r="B431" s="15">
        <v>430</v>
      </c>
      <c r="C431" s="15" t="s">
        <v>11277</v>
      </c>
      <c r="D431" s="15" t="s">
        <v>11277</v>
      </c>
      <c r="E431" s="15" t="s">
        <v>1067</v>
      </c>
      <c r="F431" s="15" t="s">
        <v>14534</v>
      </c>
      <c r="G431" s="15" t="s">
        <v>11418</v>
      </c>
      <c r="H431" s="15">
        <v>15</v>
      </c>
      <c r="I431" s="15">
        <v>24</v>
      </c>
      <c r="J431" s="15">
        <v>30</v>
      </c>
      <c r="K431" s="15" t="str">
        <f t="shared" si="6"/>
        <v>everschade</v>
      </c>
      <c r="L431" s="15" t="s">
        <v>11419</v>
      </c>
      <c r="M431" s="15">
        <v>2</v>
      </c>
      <c r="N431" s="15" t="s">
        <v>11223</v>
      </c>
      <c r="O431" s="15"/>
      <c r="P431" s="15"/>
      <c r="Q431" s="15"/>
      <c r="R431" s="15"/>
      <c r="S431" s="15"/>
      <c r="T431" s="15">
        <v>0</v>
      </c>
      <c r="U431" s="15"/>
      <c r="V431" s="15"/>
      <c r="W431" s="15"/>
      <c r="X431" s="15"/>
      <c r="Y431" s="15"/>
      <c r="Z431" s="15"/>
    </row>
    <row r="432" spans="1:26" x14ac:dyDescent="0.25">
      <c r="A432" s="15" t="s">
        <v>14539</v>
      </c>
      <c r="B432" s="15">
        <v>431</v>
      </c>
      <c r="C432" s="15" t="s">
        <v>11277</v>
      </c>
      <c r="D432" s="15" t="s">
        <v>11277</v>
      </c>
      <c r="E432" s="15" t="s">
        <v>1067</v>
      </c>
      <c r="F432" s="15" t="s">
        <v>14534</v>
      </c>
      <c r="G432" s="15" t="s">
        <v>11420</v>
      </c>
      <c r="H432" s="15">
        <v>15</v>
      </c>
      <c r="I432" s="15">
        <v>24</v>
      </c>
      <c r="J432" s="15">
        <v>34</v>
      </c>
      <c r="K432" s="15" t="str">
        <f t="shared" si="6"/>
        <v>everschade</v>
      </c>
      <c r="L432" s="15" t="s">
        <v>11323</v>
      </c>
      <c r="M432" s="15">
        <v>2</v>
      </c>
      <c r="N432" s="15" t="s">
        <v>11223</v>
      </c>
      <c r="O432" s="15"/>
      <c r="P432" s="15"/>
      <c r="Q432" s="15"/>
      <c r="R432" s="15"/>
      <c r="S432" s="15"/>
      <c r="T432" s="15">
        <v>0</v>
      </c>
      <c r="U432" s="15"/>
      <c r="V432" s="15"/>
      <c r="W432" s="15"/>
      <c r="X432" s="15"/>
      <c r="Y432" s="15"/>
      <c r="Z432" s="15"/>
    </row>
    <row r="433" spans="1:26" x14ac:dyDescent="0.25">
      <c r="A433" s="15" t="s">
        <v>14540</v>
      </c>
      <c r="B433" s="15">
        <v>432</v>
      </c>
      <c r="C433" s="15" t="s">
        <v>11277</v>
      </c>
      <c r="D433" s="15" t="s">
        <v>11277</v>
      </c>
      <c r="E433" s="15" t="s">
        <v>1067</v>
      </c>
      <c r="F433" s="15" t="s">
        <v>14534</v>
      </c>
      <c r="G433" s="15" t="s">
        <v>11421</v>
      </c>
      <c r="H433" s="15">
        <v>15</v>
      </c>
      <c r="I433" s="15">
        <v>24</v>
      </c>
      <c r="J433" s="15">
        <v>50</v>
      </c>
      <c r="K433" s="15" t="str">
        <f t="shared" si="6"/>
        <v>everschade</v>
      </c>
      <c r="L433" s="15" t="s">
        <v>11323</v>
      </c>
      <c r="M433" s="15">
        <v>3</v>
      </c>
      <c r="N433" s="15" t="s">
        <v>11223</v>
      </c>
      <c r="O433" s="15" t="s">
        <v>14054</v>
      </c>
      <c r="P433" s="15"/>
      <c r="Q433" s="15"/>
      <c r="R433" s="15"/>
      <c r="S433" s="15"/>
      <c r="T433" s="15">
        <v>3</v>
      </c>
      <c r="U433" s="15"/>
      <c r="V433" s="15"/>
      <c r="W433" s="15"/>
      <c r="X433" s="15"/>
      <c r="Y433" s="15"/>
      <c r="Z433" s="15"/>
    </row>
    <row r="434" spans="1:26" x14ac:dyDescent="0.25">
      <c r="A434" s="15" t="s">
        <v>14541</v>
      </c>
      <c r="B434" s="15">
        <v>433</v>
      </c>
      <c r="C434" s="15" t="s">
        <v>11277</v>
      </c>
      <c r="D434" s="15" t="s">
        <v>11277</v>
      </c>
      <c r="E434" s="15" t="s">
        <v>1067</v>
      </c>
      <c r="F434" s="15" t="s">
        <v>1258</v>
      </c>
      <c r="G434" s="15" t="s">
        <v>11369</v>
      </c>
      <c r="H434" s="15">
        <v>13</v>
      </c>
      <c r="I434" s="15">
        <v>21</v>
      </c>
      <c r="J434" s="15">
        <v>21</v>
      </c>
      <c r="K434" s="15" t="str">
        <f t="shared" si="6"/>
        <v>hopeseedpond</v>
      </c>
      <c r="L434" s="15" t="s">
        <v>11424</v>
      </c>
      <c r="M434" s="15">
        <v>1</v>
      </c>
      <c r="N434" s="15" t="s">
        <v>11222</v>
      </c>
      <c r="O434" s="15"/>
      <c r="P434" s="15"/>
      <c r="Q434" s="15"/>
      <c r="R434" s="15"/>
      <c r="S434" s="15"/>
      <c r="T434" s="15">
        <v>0</v>
      </c>
      <c r="U434" s="15"/>
      <c r="V434" s="15"/>
      <c r="W434" s="15"/>
      <c r="X434" s="15"/>
      <c r="Y434" s="15"/>
      <c r="Z434" s="15"/>
    </row>
    <row r="435" spans="1:26" x14ac:dyDescent="0.25">
      <c r="A435" s="15" t="s">
        <v>14542</v>
      </c>
      <c r="B435" s="15">
        <v>434</v>
      </c>
      <c r="C435" s="15" t="s">
        <v>11277</v>
      </c>
      <c r="D435" s="15" t="s">
        <v>11277</v>
      </c>
      <c r="E435" s="15" t="s">
        <v>1067</v>
      </c>
      <c r="F435" s="15" t="s">
        <v>1258</v>
      </c>
      <c r="G435" s="15" t="s">
        <v>11415</v>
      </c>
      <c r="H435" s="15">
        <v>13</v>
      </c>
      <c r="I435" s="15">
        <v>21</v>
      </c>
      <c r="J435" s="15">
        <v>25</v>
      </c>
      <c r="K435" s="15" t="str">
        <f t="shared" si="6"/>
        <v>hopeseedpond</v>
      </c>
      <c r="L435" s="15" t="s">
        <v>11416</v>
      </c>
      <c r="M435" s="15">
        <v>2</v>
      </c>
      <c r="N435" s="15" t="s">
        <v>11223</v>
      </c>
      <c r="O435" s="15" t="s">
        <v>14041</v>
      </c>
      <c r="P435" s="15"/>
      <c r="Q435" s="15"/>
      <c r="R435" s="15"/>
      <c r="S435" s="15"/>
      <c r="T435" s="15">
        <v>0</v>
      </c>
      <c r="U435" s="15"/>
      <c r="V435" s="15"/>
      <c r="W435" s="15"/>
      <c r="X435" s="15"/>
      <c r="Y435" s="15"/>
      <c r="Z435" s="15"/>
    </row>
    <row r="436" spans="1:26" x14ac:dyDescent="0.25">
      <c r="A436" s="15" t="s">
        <v>14543</v>
      </c>
      <c r="B436" s="15">
        <v>435</v>
      </c>
      <c r="C436" s="15" t="s">
        <v>11277</v>
      </c>
      <c r="D436" s="15" t="s">
        <v>11277</v>
      </c>
      <c r="E436" s="15" t="s">
        <v>1067</v>
      </c>
      <c r="F436" s="15" t="s">
        <v>1258</v>
      </c>
      <c r="G436" s="15" t="s">
        <v>11422</v>
      </c>
      <c r="H436" s="15">
        <v>13</v>
      </c>
      <c r="I436" s="15">
        <v>21</v>
      </c>
      <c r="J436" s="15">
        <v>28</v>
      </c>
      <c r="K436" s="15" t="str">
        <f t="shared" si="6"/>
        <v>hopeseedpond</v>
      </c>
      <c r="L436" s="15" t="s">
        <v>14088</v>
      </c>
      <c r="M436" s="15">
        <v>2</v>
      </c>
      <c r="N436" s="15" t="s">
        <v>11223</v>
      </c>
      <c r="O436" s="15"/>
      <c r="P436" s="15"/>
      <c r="Q436" s="15" t="s">
        <v>11417</v>
      </c>
      <c r="R436" s="15"/>
      <c r="S436" s="15"/>
      <c r="T436" s="15">
        <v>0</v>
      </c>
      <c r="U436" s="15"/>
      <c r="V436" s="15"/>
      <c r="W436" s="15"/>
      <c r="X436" s="15"/>
      <c r="Y436" s="15"/>
      <c r="Z436" s="15"/>
    </row>
    <row r="437" spans="1:26" x14ac:dyDescent="0.25">
      <c r="A437" s="15" t="s">
        <v>14544</v>
      </c>
      <c r="B437" s="15">
        <v>436</v>
      </c>
      <c r="C437" s="15" t="s">
        <v>11277</v>
      </c>
      <c r="D437" s="15" t="s">
        <v>11277</v>
      </c>
      <c r="E437" s="15" t="s">
        <v>1067</v>
      </c>
      <c r="F437" s="15" t="s">
        <v>1258</v>
      </c>
      <c r="G437" s="15" t="s">
        <v>11417</v>
      </c>
      <c r="H437" s="15">
        <v>13</v>
      </c>
      <c r="I437" s="15">
        <v>21</v>
      </c>
      <c r="J437" s="15">
        <v>16</v>
      </c>
      <c r="K437" s="15" t="str">
        <f t="shared" si="6"/>
        <v>hopeseedpond</v>
      </c>
      <c r="L437" s="15" t="s">
        <v>11254</v>
      </c>
      <c r="M437" s="15">
        <v>1</v>
      </c>
      <c r="N437" s="15" t="s">
        <v>11222</v>
      </c>
      <c r="O437" s="15"/>
      <c r="P437" s="15"/>
      <c r="Q437" s="15"/>
      <c r="R437" s="15"/>
      <c r="S437" s="15"/>
      <c r="T437" s="15">
        <v>0</v>
      </c>
      <c r="U437" s="15"/>
      <c r="V437" s="15"/>
      <c r="W437" s="15"/>
      <c r="X437" s="15"/>
      <c r="Y437" s="15"/>
      <c r="Z437" s="15"/>
    </row>
    <row r="438" spans="1:26" x14ac:dyDescent="0.25">
      <c r="A438" s="15" t="s">
        <v>14545</v>
      </c>
      <c r="B438" s="15">
        <v>437</v>
      </c>
      <c r="C438" s="15" t="s">
        <v>11277</v>
      </c>
      <c r="D438" s="15" t="s">
        <v>11277</v>
      </c>
      <c r="E438" s="15" t="s">
        <v>1067</v>
      </c>
      <c r="F438" s="15" t="s">
        <v>1258</v>
      </c>
      <c r="G438" s="15" t="s">
        <v>11423</v>
      </c>
      <c r="H438" s="15">
        <v>13</v>
      </c>
      <c r="I438" s="15">
        <v>21</v>
      </c>
      <c r="J438" s="15">
        <v>13</v>
      </c>
      <c r="K438" s="15" t="str">
        <f t="shared" si="6"/>
        <v>hopeseedpond</v>
      </c>
      <c r="L438" s="15" t="s">
        <v>11424</v>
      </c>
      <c r="M438" s="15">
        <v>1</v>
      </c>
      <c r="N438" s="15" t="s">
        <v>11222</v>
      </c>
      <c r="O438" s="15"/>
      <c r="P438" s="15"/>
      <c r="Q438" s="15"/>
      <c r="R438" s="15"/>
      <c r="S438" s="15"/>
      <c r="T438" s="15">
        <v>0</v>
      </c>
      <c r="U438" s="15"/>
      <c r="V438" s="15"/>
      <c r="W438" s="15"/>
      <c r="X438" s="15"/>
      <c r="Y438" s="15"/>
      <c r="Z438" s="15"/>
    </row>
    <row r="439" spans="1:26" x14ac:dyDescent="0.25">
      <c r="A439" s="15" t="s">
        <v>14546</v>
      </c>
      <c r="B439" s="15">
        <v>438</v>
      </c>
      <c r="C439" s="15" t="s">
        <v>11277</v>
      </c>
      <c r="D439" s="15" t="s">
        <v>11277</v>
      </c>
      <c r="E439" s="15" t="s">
        <v>1067</v>
      </c>
      <c r="F439" s="15" t="s">
        <v>1258</v>
      </c>
      <c r="G439" s="15" t="s">
        <v>11374</v>
      </c>
      <c r="H439" s="15">
        <v>13</v>
      </c>
      <c r="I439" s="15">
        <v>21</v>
      </c>
      <c r="J439" s="15">
        <v>36</v>
      </c>
      <c r="K439" s="15" t="str">
        <f t="shared" si="6"/>
        <v>hopeseedpond</v>
      </c>
      <c r="L439" s="15" t="s">
        <v>11355</v>
      </c>
      <c r="M439" s="15">
        <v>1</v>
      </c>
      <c r="N439" s="15" t="s">
        <v>11222</v>
      </c>
      <c r="O439" s="15"/>
      <c r="P439" s="15"/>
      <c r="Q439" s="15"/>
      <c r="R439" s="15"/>
      <c r="S439" s="15"/>
      <c r="T439" s="15">
        <v>0</v>
      </c>
      <c r="U439" s="15"/>
      <c r="V439" s="15"/>
      <c r="W439" s="15"/>
      <c r="X439" s="15"/>
      <c r="Y439" s="15"/>
      <c r="Z439" s="15"/>
    </row>
    <row r="440" spans="1:26" x14ac:dyDescent="0.25">
      <c r="A440" s="15" t="s">
        <v>14547</v>
      </c>
      <c r="B440" s="15">
        <v>439</v>
      </c>
      <c r="C440" s="15" t="s">
        <v>11277</v>
      </c>
      <c r="D440" s="15" t="s">
        <v>11277</v>
      </c>
      <c r="E440" s="15" t="s">
        <v>1067</v>
      </c>
      <c r="F440" s="15" t="s">
        <v>1258</v>
      </c>
      <c r="G440" s="15" t="s">
        <v>11425</v>
      </c>
      <c r="H440" s="15">
        <v>13</v>
      </c>
      <c r="I440" s="15">
        <v>21</v>
      </c>
      <c r="J440" s="15">
        <v>35</v>
      </c>
      <c r="K440" s="15" t="str">
        <f t="shared" si="6"/>
        <v>hopeseedpond</v>
      </c>
      <c r="L440" s="15" t="s">
        <v>11424</v>
      </c>
      <c r="M440" s="15">
        <v>2</v>
      </c>
      <c r="N440" s="15" t="s">
        <v>11223</v>
      </c>
      <c r="O440" s="15"/>
      <c r="P440" s="15"/>
      <c r="Q440" s="15"/>
      <c r="R440" s="15"/>
      <c r="S440" s="15"/>
      <c r="T440" s="15">
        <v>0</v>
      </c>
      <c r="U440" s="15"/>
      <c r="V440" s="15"/>
      <c r="W440" s="15"/>
      <c r="X440" s="15"/>
      <c r="Y440" s="15"/>
      <c r="Z440" s="15"/>
    </row>
    <row r="441" spans="1:26" x14ac:dyDescent="0.25">
      <c r="A441" s="15" t="s">
        <v>14548</v>
      </c>
      <c r="B441" s="15">
        <v>440</v>
      </c>
      <c r="C441" s="15" t="s">
        <v>11277</v>
      </c>
      <c r="D441" s="15" t="s">
        <v>11277</v>
      </c>
      <c r="E441" s="15" t="s">
        <v>1067</v>
      </c>
      <c r="F441" s="15" t="s">
        <v>1258</v>
      </c>
      <c r="G441" s="15" t="s">
        <v>11426</v>
      </c>
      <c r="H441" s="15">
        <v>13</v>
      </c>
      <c r="I441" s="15">
        <v>21</v>
      </c>
      <c r="J441" s="15">
        <v>50</v>
      </c>
      <c r="K441" s="15" t="str">
        <f t="shared" si="6"/>
        <v>hopeseedpond</v>
      </c>
      <c r="L441" s="15" t="s">
        <v>11355</v>
      </c>
      <c r="M441" s="15">
        <v>3</v>
      </c>
      <c r="N441" s="15" t="s">
        <v>11223</v>
      </c>
      <c r="O441" s="15" t="s">
        <v>2823</v>
      </c>
      <c r="P441" s="15"/>
      <c r="Q441" s="15"/>
      <c r="R441" s="15"/>
      <c r="S441" s="15"/>
      <c r="T441" s="15">
        <v>3</v>
      </c>
      <c r="U441" s="15"/>
      <c r="V441" s="15"/>
      <c r="W441" s="15"/>
      <c r="X441" s="15"/>
      <c r="Y441" s="15"/>
      <c r="Z441" s="15"/>
    </row>
    <row r="442" spans="1:26" x14ac:dyDescent="0.25">
      <c r="A442" s="15" t="s">
        <v>14549</v>
      </c>
      <c r="B442" s="15">
        <v>441</v>
      </c>
      <c r="C442" s="15" t="s">
        <v>11277</v>
      </c>
      <c r="D442" s="15" t="s">
        <v>11277</v>
      </c>
      <c r="E442" s="15" t="s">
        <v>1067</v>
      </c>
      <c r="F442" s="15" t="s">
        <v>385</v>
      </c>
      <c r="G442" s="15" t="s">
        <v>11423</v>
      </c>
      <c r="H442" s="15">
        <v>10</v>
      </c>
      <c r="I442" s="15">
        <v>22</v>
      </c>
      <c r="J442" s="15">
        <v>13</v>
      </c>
      <c r="K442" s="15" t="str">
        <f t="shared" si="6"/>
        <v>haukkemanor</v>
      </c>
      <c r="L442" s="15" t="s">
        <v>11424</v>
      </c>
      <c r="M442" s="15">
        <v>1</v>
      </c>
      <c r="N442" s="15" t="s">
        <v>11222</v>
      </c>
      <c r="O442" s="15"/>
      <c r="P442" s="15"/>
      <c r="Q442" s="15"/>
      <c r="R442" s="15"/>
      <c r="S442" s="15"/>
      <c r="T442" s="15">
        <v>0</v>
      </c>
      <c r="U442" s="15"/>
      <c r="V442" s="15"/>
      <c r="W442" s="15"/>
      <c r="X442" s="15"/>
      <c r="Y442" s="15"/>
      <c r="Z442" s="15"/>
    </row>
    <row r="443" spans="1:26" x14ac:dyDescent="0.25">
      <c r="A443" s="15" t="s">
        <v>14550</v>
      </c>
      <c r="B443" s="15">
        <v>442</v>
      </c>
      <c r="C443" s="15" t="s">
        <v>11277</v>
      </c>
      <c r="D443" s="15" t="s">
        <v>11277</v>
      </c>
      <c r="E443" s="15" t="s">
        <v>1067</v>
      </c>
      <c r="F443" s="15" t="s">
        <v>385</v>
      </c>
      <c r="G443" s="15" t="s">
        <v>11417</v>
      </c>
      <c r="H443" s="15">
        <v>10</v>
      </c>
      <c r="I443" s="15">
        <v>22</v>
      </c>
      <c r="J443" s="15">
        <v>16</v>
      </c>
      <c r="K443" s="15" t="str">
        <f t="shared" si="6"/>
        <v>haukkemanor</v>
      </c>
      <c r="L443" s="15" t="s">
        <v>11254</v>
      </c>
      <c r="M443" s="15">
        <v>1</v>
      </c>
      <c r="N443" s="15" t="s">
        <v>11222</v>
      </c>
      <c r="O443" s="15"/>
      <c r="P443" s="15"/>
      <c r="Q443" s="15"/>
      <c r="R443" s="15"/>
      <c r="S443" s="15"/>
      <c r="T443" s="15">
        <v>0</v>
      </c>
      <c r="U443" s="15"/>
      <c r="V443" s="15"/>
      <c r="W443" s="15"/>
      <c r="X443" s="15"/>
      <c r="Y443" s="15"/>
      <c r="Z443" s="15"/>
    </row>
    <row r="444" spans="1:26" x14ac:dyDescent="0.25">
      <c r="A444" s="15" t="s">
        <v>14551</v>
      </c>
      <c r="B444" s="15">
        <v>443</v>
      </c>
      <c r="C444" s="15" t="s">
        <v>11277</v>
      </c>
      <c r="D444" s="15" t="s">
        <v>11277</v>
      </c>
      <c r="E444" s="15" t="s">
        <v>1067</v>
      </c>
      <c r="F444" s="15" t="s">
        <v>385</v>
      </c>
      <c r="G444" s="15" t="s">
        <v>11369</v>
      </c>
      <c r="H444" s="15">
        <v>10</v>
      </c>
      <c r="I444" s="15">
        <v>22</v>
      </c>
      <c r="J444" s="15">
        <v>21</v>
      </c>
      <c r="K444" s="15" t="str">
        <f t="shared" si="6"/>
        <v>haukkemanor</v>
      </c>
      <c r="L444" s="15" t="s">
        <v>11424</v>
      </c>
      <c r="M444" s="15">
        <v>1</v>
      </c>
      <c r="N444" s="15" t="s">
        <v>11222</v>
      </c>
      <c r="O444" s="15"/>
      <c r="P444" s="15"/>
      <c r="Q444" s="15"/>
      <c r="R444" s="15"/>
      <c r="S444" s="15"/>
      <c r="T444" s="15">
        <v>0</v>
      </c>
      <c r="U444" s="15"/>
      <c r="V444" s="15"/>
      <c r="W444" s="15"/>
      <c r="X444" s="15"/>
      <c r="Y444" s="15"/>
      <c r="Z444" s="15"/>
    </row>
    <row r="445" spans="1:26" x14ac:dyDescent="0.25">
      <c r="A445" s="15" t="s">
        <v>14552</v>
      </c>
      <c r="B445" s="15">
        <v>444</v>
      </c>
      <c r="C445" s="15" t="s">
        <v>11277</v>
      </c>
      <c r="D445" s="15" t="s">
        <v>11277</v>
      </c>
      <c r="E445" s="15" t="s">
        <v>1067</v>
      </c>
      <c r="F445" s="15" t="s">
        <v>385</v>
      </c>
      <c r="G445" s="15" t="s">
        <v>11358</v>
      </c>
      <c r="H445" s="15">
        <v>10</v>
      </c>
      <c r="I445" s="15">
        <v>22</v>
      </c>
      <c r="J445" s="15">
        <v>33</v>
      </c>
      <c r="K445" s="15" t="str">
        <f t="shared" si="6"/>
        <v>haukkemanor</v>
      </c>
      <c r="L445" s="15" t="s">
        <v>14088</v>
      </c>
      <c r="M445" s="15">
        <v>1</v>
      </c>
      <c r="N445" s="15" t="s">
        <v>11222</v>
      </c>
      <c r="O445" s="15"/>
      <c r="P445" s="15"/>
      <c r="Q445" s="15" t="s">
        <v>11417</v>
      </c>
      <c r="R445" s="15" t="s">
        <v>11370</v>
      </c>
      <c r="S445" s="15"/>
      <c r="T445" s="15">
        <v>0</v>
      </c>
      <c r="U445" s="15"/>
      <c r="V445" s="15"/>
      <c r="W445" s="15"/>
      <c r="X445" s="15"/>
      <c r="Y445" s="15"/>
      <c r="Z445" s="15"/>
    </row>
    <row r="446" spans="1:26" x14ac:dyDescent="0.25">
      <c r="A446" s="15" t="s">
        <v>14553</v>
      </c>
      <c r="B446" s="15">
        <v>445</v>
      </c>
      <c r="C446" s="15" t="s">
        <v>11277</v>
      </c>
      <c r="D446" s="15" t="s">
        <v>11277</v>
      </c>
      <c r="E446" s="15" t="s">
        <v>1067</v>
      </c>
      <c r="F446" s="15" t="s">
        <v>385</v>
      </c>
      <c r="G446" s="15" t="s">
        <v>11370</v>
      </c>
      <c r="H446" s="15">
        <v>10</v>
      </c>
      <c r="I446" s="15">
        <v>22</v>
      </c>
      <c r="J446" s="15">
        <v>36</v>
      </c>
      <c r="K446" s="15" t="str">
        <f t="shared" si="6"/>
        <v>haukkemanor</v>
      </c>
      <c r="L446" s="15" t="s">
        <v>11355</v>
      </c>
      <c r="M446" s="15">
        <v>1</v>
      </c>
      <c r="N446" s="15" t="s">
        <v>11222</v>
      </c>
      <c r="O446" s="15"/>
      <c r="P446" s="15"/>
      <c r="Q446" s="15"/>
      <c r="R446" s="15"/>
      <c r="S446" s="15"/>
      <c r="T446" s="15">
        <v>0</v>
      </c>
      <c r="U446" s="15"/>
      <c r="V446" s="15"/>
      <c r="W446" s="15"/>
      <c r="X446" s="15"/>
      <c r="Y446" s="15"/>
      <c r="Z446" s="15"/>
    </row>
    <row r="447" spans="1:26" x14ac:dyDescent="0.25">
      <c r="A447" s="15" t="s">
        <v>14554</v>
      </c>
      <c r="B447" s="15">
        <v>446</v>
      </c>
      <c r="C447" s="15" t="s">
        <v>11277</v>
      </c>
      <c r="D447" s="15" t="s">
        <v>11277</v>
      </c>
      <c r="E447" s="15" t="s">
        <v>1067</v>
      </c>
      <c r="F447" s="15" t="s">
        <v>385</v>
      </c>
      <c r="G447" s="15" t="s">
        <v>11427</v>
      </c>
      <c r="H447" s="15">
        <v>10</v>
      </c>
      <c r="I447" s="15">
        <v>22</v>
      </c>
      <c r="J447" s="15">
        <v>50</v>
      </c>
      <c r="K447" s="15" t="str">
        <f t="shared" si="6"/>
        <v>haukkemanor</v>
      </c>
      <c r="L447" s="15" t="s">
        <v>14088</v>
      </c>
      <c r="M447" s="15">
        <v>3</v>
      </c>
      <c r="N447" s="15" t="s">
        <v>11223</v>
      </c>
      <c r="O447" s="15"/>
      <c r="P447" s="15"/>
      <c r="Q447" s="15" t="s">
        <v>11370</v>
      </c>
      <c r="R447" s="15"/>
      <c r="S447" s="15"/>
      <c r="T447" s="15">
        <v>3</v>
      </c>
      <c r="U447" s="15" t="s">
        <v>6010</v>
      </c>
      <c r="V447" s="15"/>
      <c r="W447" s="15"/>
      <c r="X447" s="15"/>
      <c r="Y447" s="15"/>
      <c r="Z447" s="15"/>
    </row>
    <row r="448" spans="1:26" x14ac:dyDescent="0.25">
      <c r="A448" s="15" t="s">
        <v>14555</v>
      </c>
      <c r="B448" s="15">
        <v>447</v>
      </c>
      <c r="C448" s="15" t="s">
        <v>11277</v>
      </c>
      <c r="D448" s="15" t="s">
        <v>11277</v>
      </c>
      <c r="E448" s="15" t="s">
        <v>1067</v>
      </c>
      <c r="F448" s="15" t="s">
        <v>14556</v>
      </c>
      <c r="G448" s="15" t="s">
        <v>11321</v>
      </c>
      <c r="H448" s="15">
        <v>10</v>
      </c>
      <c r="I448" s="15">
        <v>22</v>
      </c>
      <c r="J448" s="15">
        <v>5</v>
      </c>
      <c r="K448" s="15" t="str">
        <f t="shared" si="6"/>
        <v>sweetbloompier</v>
      </c>
      <c r="L448" s="15" t="s">
        <v>11253</v>
      </c>
      <c r="M448" s="15">
        <v>1</v>
      </c>
      <c r="N448" s="15" t="s">
        <v>11222</v>
      </c>
      <c r="O448" s="15"/>
      <c r="P448" s="15"/>
      <c r="Q448" s="15"/>
      <c r="R448" s="15"/>
      <c r="S448" s="15"/>
      <c r="T448" s="15">
        <v>0</v>
      </c>
      <c r="U448" s="15"/>
      <c r="V448" s="15"/>
      <c r="W448" s="15"/>
      <c r="X448" s="15"/>
      <c r="Y448" s="15"/>
      <c r="Z448" s="15"/>
    </row>
    <row r="449" spans="1:26" x14ac:dyDescent="0.25">
      <c r="A449" s="15" t="s">
        <v>14557</v>
      </c>
      <c r="B449" s="15">
        <v>448</v>
      </c>
      <c r="C449" s="15" t="s">
        <v>11277</v>
      </c>
      <c r="D449" s="15" t="s">
        <v>11277</v>
      </c>
      <c r="E449" s="15" t="s">
        <v>1067</v>
      </c>
      <c r="F449" s="15" t="s">
        <v>14556</v>
      </c>
      <c r="G449" s="15" t="s">
        <v>11404</v>
      </c>
      <c r="H449" s="15">
        <v>10</v>
      </c>
      <c r="I449" s="15">
        <v>22</v>
      </c>
      <c r="J449" s="15">
        <v>7</v>
      </c>
      <c r="K449" s="15" t="str">
        <f t="shared" si="6"/>
        <v>sweetbloompier</v>
      </c>
      <c r="L449" s="15" t="s">
        <v>11257</v>
      </c>
      <c r="M449" s="15">
        <v>1</v>
      </c>
      <c r="N449" s="15" t="s">
        <v>11222</v>
      </c>
      <c r="O449" s="15"/>
      <c r="P449" s="15"/>
      <c r="Q449" s="15"/>
      <c r="R449" s="15"/>
      <c r="S449" s="15"/>
      <c r="T449" s="15">
        <v>0</v>
      </c>
      <c r="U449" s="15"/>
      <c r="V449" s="15"/>
      <c r="W449" s="15"/>
      <c r="X449" s="15"/>
      <c r="Y449" s="15"/>
      <c r="Z449" s="15"/>
    </row>
    <row r="450" spans="1:26" x14ac:dyDescent="0.25">
      <c r="A450" s="15" t="s">
        <v>14558</v>
      </c>
      <c r="B450" s="15">
        <v>449</v>
      </c>
      <c r="C450" s="15" t="s">
        <v>11277</v>
      </c>
      <c r="D450" s="15" t="s">
        <v>11277</v>
      </c>
      <c r="E450" s="15" t="s">
        <v>1067</v>
      </c>
      <c r="F450" s="15" t="s">
        <v>14556</v>
      </c>
      <c r="G450" s="15" t="s">
        <v>11265</v>
      </c>
      <c r="H450" s="15">
        <v>10</v>
      </c>
      <c r="I450" s="15">
        <v>22</v>
      </c>
      <c r="J450" s="15">
        <v>10</v>
      </c>
      <c r="K450" s="15" t="str">
        <f t="shared" ref="K450:K513" si="7">LOWER(SUBSTITUTE(SUBSTITUTE(SUBSTITUTE(SUBSTITUTE(SUBSTITUTE(F450," ",""),"(",""),")",""),"'",""),"-",""))</f>
        <v>sweetbloompier</v>
      </c>
      <c r="L450" s="15" t="s">
        <v>11440</v>
      </c>
      <c r="M450" s="15">
        <v>2</v>
      </c>
      <c r="N450" s="15" t="s">
        <v>11223</v>
      </c>
      <c r="O450" s="15"/>
      <c r="P450" s="15"/>
      <c r="Q450" s="15"/>
      <c r="R450" s="15"/>
      <c r="S450" s="15"/>
      <c r="T450" s="15">
        <v>0</v>
      </c>
      <c r="U450" s="15"/>
      <c r="V450" s="15"/>
      <c r="W450" s="15"/>
      <c r="X450" s="15"/>
      <c r="Y450" s="15"/>
      <c r="Z450" s="15"/>
    </row>
    <row r="451" spans="1:26" x14ac:dyDescent="0.25">
      <c r="A451" s="15" t="s">
        <v>14559</v>
      </c>
      <c r="B451" s="15">
        <v>450</v>
      </c>
      <c r="C451" s="15" t="s">
        <v>11277</v>
      </c>
      <c r="D451" s="15" t="s">
        <v>11277</v>
      </c>
      <c r="E451" s="15" t="s">
        <v>1067</v>
      </c>
      <c r="F451" s="15" t="s">
        <v>14556</v>
      </c>
      <c r="G451" s="15" t="s">
        <v>11410</v>
      </c>
      <c r="H451" s="15">
        <v>10</v>
      </c>
      <c r="I451" s="15">
        <v>22</v>
      </c>
      <c r="J451" s="15">
        <v>4</v>
      </c>
      <c r="K451" s="15" t="str">
        <f t="shared" si="7"/>
        <v>sweetbloompier</v>
      </c>
      <c r="L451" s="15" t="s">
        <v>11253</v>
      </c>
      <c r="M451" s="15">
        <v>1</v>
      </c>
      <c r="N451" s="15" t="s">
        <v>11222</v>
      </c>
      <c r="O451" s="15"/>
      <c r="P451" s="15"/>
      <c r="Q451" s="15"/>
      <c r="R451" s="15"/>
      <c r="S451" s="15"/>
      <c r="T451" s="15">
        <v>0</v>
      </c>
      <c r="U451" s="15"/>
      <c r="V451" s="15"/>
      <c r="W451" s="15"/>
      <c r="X451" s="15"/>
      <c r="Y451" s="15"/>
      <c r="Z451" s="15"/>
    </row>
    <row r="452" spans="1:26" x14ac:dyDescent="0.25">
      <c r="A452" s="15" t="s">
        <v>14560</v>
      </c>
      <c r="B452" s="15">
        <v>451</v>
      </c>
      <c r="C452" s="15" t="s">
        <v>11277</v>
      </c>
      <c r="D452" s="15" t="s">
        <v>11277</v>
      </c>
      <c r="E452" s="15" t="s">
        <v>1067</v>
      </c>
      <c r="F452" s="15" t="s">
        <v>14556</v>
      </c>
      <c r="G452" s="15" t="s">
        <v>11269</v>
      </c>
      <c r="H452" s="15">
        <v>10</v>
      </c>
      <c r="I452" s="15">
        <v>22</v>
      </c>
      <c r="J452" s="15">
        <v>15</v>
      </c>
      <c r="K452" s="15" t="str">
        <f t="shared" si="7"/>
        <v>sweetbloompier</v>
      </c>
      <c r="L452" s="15" t="s">
        <v>11271</v>
      </c>
      <c r="M452" s="15">
        <v>1</v>
      </c>
      <c r="N452" s="15" t="s">
        <v>11222</v>
      </c>
      <c r="O452" s="15"/>
      <c r="P452" s="15"/>
      <c r="Q452" s="15"/>
      <c r="R452" s="15"/>
      <c r="S452" s="15"/>
      <c r="T452" s="15">
        <v>0</v>
      </c>
      <c r="U452" s="15"/>
      <c r="V452" s="15"/>
      <c r="W452" s="15"/>
      <c r="X452" s="15"/>
      <c r="Y452" s="15"/>
      <c r="Z452" s="15"/>
    </row>
    <row r="453" spans="1:26" x14ac:dyDescent="0.25">
      <c r="A453" s="15" t="s">
        <v>14561</v>
      </c>
      <c r="B453" s="15">
        <v>452</v>
      </c>
      <c r="C453" s="15" t="s">
        <v>11277</v>
      </c>
      <c r="D453" s="15" t="s">
        <v>11277</v>
      </c>
      <c r="E453" s="15" t="s">
        <v>1067</v>
      </c>
      <c r="F453" s="15" t="s">
        <v>14556</v>
      </c>
      <c r="G453" s="15" t="s">
        <v>11351</v>
      </c>
      <c r="H453" s="15">
        <v>10</v>
      </c>
      <c r="I453" s="15">
        <v>22</v>
      </c>
      <c r="J453" s="15">
        <v>18</v>
      </c>
      <c r="K453" s="15" t="str">
        <f t="shared" si="7"/>
        <v>sweetbloompier</v>
      </c>
      <c r="L453" s="15" t="s">
        <v>11254</v>
      </c>
      <c r="M453" s="15">
        <v>1</v>
      </c>
      <c r="N453" s="15" t="s">
        <v>11222</v>
      </c>
      <c r="O453" s="15" t="s">
        <v>14028</v>
      </c>
      <c r="P453" s="15"/>
      <c r="Q453" s="15"/>
      <c r="R453" s="15"/>
      <c r="S453" s="15"/>
      <c r="T453" s="15">
        <v>0</v>
      </c>
      <c r="U453" s="15"/>
      <c r="V453" s="15"/>
      <c r="W453" s="15"/>
      <c r="X453" s="15"/>
      <c r="Y453" s="15"/>
      <c r="Z453" s="15"/>
    </row>
    <row r="454" spans="1:26" x14ac:dyDescent="0.25">
      <c r="A454" s="15" t="s">
        <v>14562</v>
      </c>
      <c r="B454" s="15">
        <v>453</v>
      </c>
      <c r="C454" s="15" t="s">
        <v>11277</v>
      </c>
      <c r="D454" s="15" t="s">
        <v>11277</v>
      </c>
      <c r="E454" s="15" t="s">
        <v>1067</v>
      </c>
      <c r="F454" s="15" t="s">
        <v>14556</v>
      </c>
      <c r="G454" s="15" t="s">
        <v>11270</v>
      </c>
      <c r="H454" s="15">
        <v>10</v>
      </c>
      <c r="I454" s="15">
        <v>22</v>
      </c>
      <c r="J454" s="15">
        <v>20</v>
      </c>
      <c r="K454" s="15" t="str">
        <f t="shared" si="7"/>
        <v>sweetbloompier</v>
      </c>
      <c r="L454" s="15" t="s">
        <v>11271</v>
      </c>
      <c r="M454" s="15">
        <v>1</v>
      </c>
      <c r="N454" s="15" t="s">
        <v>11222</v>
      </c>
      <c r="O454" s="15"/>
      <c r="P454" s="15"/>
      <c r="Q454" s="15"/>
      <c r="R454" s="15"/>
      <c r="S454" s="15"/>
      <c r="T454" s="15">
        <v>0</v>
      </c>
      <c r="U454" s="15"/>
      <c r="V454" s="15"/>
      <c r="W454" s="15"/>
      <c r="X454" s="15"/>
      <c r="Y454" s="15"/>
      <c r="Z454" s="15"/>
    </row>
    <row r="455" spans="1:26" x14ac:dyDescent="0.25">
      <c r="A455" s="15" t="s">
        <v>14563</v>
      </c>
      <c r="B455" s="15">
        <v>454</v>
      </c>
      <c r="C455" s="15" t="s">
        <v>11277</v>
      </c>
      <c r="D455" s="15" t="s">
        <v>11277</v>
      </c>
      <c r="E455" s="15" t="s">
        <v>1067</v>
      </c>
      <c r="F455" s="15" t="s">
        <v>14556</v>
      </c>
      <c r="G455" s="15" t="s">
        <v>11272</v>
      </c>
      <c r="H455" s="15">
        <v>10</v>
      </c>
      <c r="I455" s="15">
        <v>22</v>
      </c>
      <c r="J455" s="15">
        <v>22</v>
      </c>
      <c r="K455" s="15" t="str">
        <f t="shared" si="7"/>
        <v>sweetbloompier</v>
      </c>
      <c r="L455" s="15" t="s">
        <v>14088</v>
      </c>
      <c r="M455" s="15">
        <v>1</v>
      </c>
      <c r="N455" s="15" t="s">
        <v>11222</v>
      </c>
      <c r="O455" s="15"/>
      <c r="P455" s="15"/>
      <c r="Q455" s="15" t="s">
        <v>11410</v>
      </c>
      <c r="R455" s="15"/>
      <c r="S455" s="15"/>
      <c r="T455" s="15">
        <v>0</v>
      </c>
      <c r="U455" s="15"/>
      <c r="V455" s="15"/>
      <c r="W455" s="15"/>
      <c r="X455" s="15"/>
      <c r="Y455" s="15"/>
      <c r="Z455" s="15"/>
    </row>
    <row r="456" spans="1:26" x14ac:dyDescent="0.25">
      <c r="A456" s="15" t="s">
        <v>14564</v>
      </c>
      <c r="B456" s="15">
        <v>455</v>
      </c>
      <c r="C456" s="15" t="s">
        <v>11277</v>
      </c>
      <c r="D456" s="15" t="s">
        <v>11277</v>
      </c>
      <c r="E456" s="15" t="s">
        <v>1067</v>
      </c>
      <c r="F456" s="15" t="s">
        <v>14556</v>
      </c>
      <c r="G456" s="15" t="s">
        <v>11428</v>
      </c>
      <c r="H456" s="15">
        <v>10</v>
      </c>
      <c r="I456" s="15">
        <v>22</v>
      </c>
      <c r="J456" s="15">
        <v>50</v>
      </c>
      <c r="K456" s="15" t="str">
        <f t="shared" si="7"/>
        <v>sweetbloompier</v>
      </c>
      <c r="L456" s="15" t="s">
        <v>14088</v>
      </c>
      <c r="M456" s="15">
        <v>3</v>
      </c>
      <c r="N456" s="15" t="s">
        <v>11222</v>
      </c>
      <c r="O456" s="15" t="s">
        <v>14067</v>
      </c>
      <c r="P456" s="15"/>
      <c r="Q456" s="15" t="s">
        <v>11410</v>
      </c>
      <c r="R456" s="15"/>
      <c r="S456" s="15"/>
      <c r="T456" s="15">
        <v>3</v>
      </c>
      <c r="U456" s="15"/>
      <c r="V456" s="15"/>
      <c r="W456" s="15"/>
      <c r="X456" s="15"/>
      <c r="Y456" s="15"/>
      <c r="Z456" s="15"/>
    </row>
    <row r="457" spans="1:26" x14ac:dyDescent="0.25">
      <c r="A457" s="15" t="s">
        <v>14565</v>
      </c>
      <c r="B457" s="15">
        <v>456</v>
      </c>
      <c r="C457" s="15" t="s">
        <v>11277</v>
      </c>
      <c r="D457" s="15" t="s">
        <v>11277</v>
      </c>
      <c r="E457" s="15" t="s">
        <v>1067</v>
      </c>
      <c r="F457" s="15" t="s">
        <v>14566</v>
      </c>
      <c r="G457" s="15" t="s">
        <v>11411</v>
      </c>
      <c r="H457" s="15">
        <v>24</v>
      </c>
      <c r="I457" s="15">
        <v>25</v>
      </c>
      <c r="J457" s="15">
        <v>9</v>
      </c>
      <c r="K457" s="15" t="str">
        <f t="shared" si="7"/>
        <v>springripplebrook</v>
      </c>
      <c r="L457" s="15" t="s">
        <v>11257</v>
      </c>
      <c r="M457" s="15">
        <v>1</v>
      </c>
      <c r="N457" s="15" t="s">
        <v>11222</v>
      </c>
      <c r="O457" s="15"/>
      <c r="P457" s="15"/>
      <c r="Q457" s="15"/>
      <c r="R457" s="15"/>
      <c r="S457" s="15"/>
      <c r="T457" s="15">
        <v>0</v>
      </c>
      <c r="U457" s="15"/>
      <c r="V457" s="15"/>
      <c r="W457" s="15"/>
      <c r="X457" s="15"/>
      <c r="Y457" s="15"/>
      <c r="Z457" s="15"/>
    </row>
    <row r="458" spans="1:26" x14ac:dyDescent="0.25">
      <c r="A458" s="15" t="s">
        <v>14567</v>
      </c>
      <c r="B458" s="15">
        <v>457</v>
      </c>
      <c r="C458" s="15" t="s">
        <v>11277</v>
      </c>
      <c r="D458" s="15" t="s">
        <v>11277</v>
      </c>
      <c r="E458" s="15" t="s">
        <v>1067</v>
      </c>
      <c r="F458" s="15" t="s">
        <v>14566</v>
      </c>
      <c r="G458" s="15" t="s">
        <v>11265</v>
      </c>
      <c r="H458" s="15">
        <v>24</v>
      </c>
      <c r="I458" s="15">
        <v>25</v>
      </c>
      <c r="J458" s="15">
        <v>10</v>
      </c>
      <c r="K458" s="15" t="str">
        <f t="shared" si="7"/>
        <v>springripplebrook</v>
      </c>
      <c r="L458" s="15" t="s">
        <v>11440</v>
      </c>
      <c r="M458" s="15">
        <v>2</v>
      </c>
      <c r="N458" s="15" t="s">
        <v>11223</v>
      </c>
      <c r="O458" s="15"/>
      <c r="P458" s="15"/>
      <c r="Q458" s="15"/>
      <c r="R458" s="15"/>
      <c r="S458" s="15"/>
      <c r="T458" s="15">
        <v>0</v>
      </c>
      <c r="U458" s="15"/>
      <c r="V458" s="15"/>
      <c r="W458" s="15"/>
      <c r="X458" s="15"/>
      <c r="Y458" s="15"/>
      <c r="Z458" s="15"/>
    </row>
    <row r="459" spans="1:26" x14ac:dyDescent="0.25">
      <c r="A459" s="15" t="s">
        <v>14568</v>
      </c>
      <c r="B459" s="15">
        <v>458</v>
      </c>
      <c r="C459" s="15" t="s">
        <v>11277</v>
      </c>
      <c r="D459" s="15" t="s">
        <v>11277</v>
      </c>
      <c r="E459" s="15" t="s">
        <v>1067</v>
      </c>
      <c r="F459" s="15" t="s">
        <v>14566</v>
      </c>
      <c r="G459" s="15" t="s">
        <v>11429</v>
      </c>
      <c r="H459" s="15">
        <v>24</v>
      </c>
      <c r="I459" s="15">
        <v>25</v>
      </c>
      <c r="J459" s="15">
        <v>15</v>
      </c>
      <c r="K459" s="15" t="str">
        <f t="shared" si="7"/>
        <v>springripplebrook</v>
      </c>
      <c r="L459" s="15" t="s">
        <v>11356</v>
      </c>
      <c r="M459" s="15">
        <v>2</v>
      </c>
      <c r="N459" s="15" t="s">
        <v>11223</v>
      </c>
      <c r="O459" s="15"/>
      <c r="P459" s="15"/>
      <c r="Q459" s="15"/>
      <c r="R459" s="15"/>
      <c r="S459" s="15"/>
      <c r="T459" s="15">
        <v>0</v>
      </c>
      <c r="U459" s="15"/>
      <c r="V459" s="15"/>
      <c r="W459" s="15"/>
      <c r="X459" s="15"/>
      <c r="Y459" s="15"/>
      <c r="Z459" s="15"/>
    </row>
    <row r="460" spans="1:26" x14ac:dyDescent="0.25">
      <c r="A460" s="15" t="s">
        <v>14569</v>
      </c>
      <c r="B460" s="15">
        <v>459</v>
      </c>
      <c r="C460" s="15" t="s">
        <v>11277</v>
      </c>
      <c r="D460" s="15" t="s">
        <v>11277</v>
      </c>
      <c r="E460" s="15" t="s">
        <v>1067</v>
      </c>
      <c r="F460" s="15" t="s">
        <v>14566</v>
      </c>
      <c r="G460" s="15" t="s">
        <v>11269</v>
      </c>
      <c r="H460" s="15">
        <v>24</v>
      </c>
      <c r="I460" s="15">
        <v>25</v>
      </c>
      <c r="J460" s="15">
        <v>15</v>
      </c>
      <c r="K460" s="15" t="str">
        <f t="shared" si="7"/>
        <v>springripplebrook</v>
      </c>
      <c r="L460" s="15" t="s">
        <v>11271</v>
      </c>
      <c r="M460" s="15">
        <v>1</v>
      </c>
      <c r="N460" s="15" t="s">
        <v>11222</v>
      </c>
      <c r="O460" s="15"/>
      <c r="P460" s="15"/>
      <c r="Q460" s="15"/>
      <c r="R460" s="15"/>
      <c r="S460" s="15"/>
      <c r="T460" s="15">
        <v>0</v>
      </c>
      <c r="U460" s="15"/>
      <c r="V460" s="15"/>
      <c r="W460" s="15"/>
      <c r="X460" s="15"/>
      <c r="Y460" s="15"/>
      <c r="Z460" s="15"/>
    </row>
    <row r="461" spans="1:26" x14ac:dyDescent="0.25">
      <c r="A461" s="15" t="s">
        <v>14570</v>
      </c>
      <c r="B461" s="15">
        <v>460</v>
      </c>
      <c r="C461" s="15" t="s">
        <v>11277</v>
      </c>
      <c r="D461" s="15" t="s">
        <v>11277</v>
      </c>
      <c r="E461" s="15" t="s">
        <v>1067</v>
      </c>
      <c r="F461" s="15" t="s">
        <v>14566</v>
      </c>
      <c r="G461" s="15" t="s">
        <v>11417</v>
      </c>
      <c r="H461" s="15">
        <v>24</v>
      </c>
      <c r="I461" s="15">
        <v>25</v>
      </c>
      <c r="J461" s="15">
        <v>16</v>
      </c>
      <c r="K461" s="15" t="str">
        <f t="shared" si="7"/>
        <v>springripplebrook</v>
      </c>
      <c r="L461" s="15" t="s">
        <v>11254</v>
      </c>
      <c r="M461" s="15">
        <v>1</v>
      </c>
      <c r="N461" s="15" t="s">
        <v>11222</v>
      </c>
      <c r="O461" s="15"/>
      <c r="P461" s="15"/>
      <c r="Q461" s="15"/>
      <c r="R461" s="15"/>
      <c r="S461" s="15"/>
      <c r="T461" s="15">
        <v>0</v>
      </c>
      <c r="U461" s="15"/>
      <c r="V461" s="15"/>
      <c r="W461" s="15"/>
      <c r="X461" s="15"/>
      <c r="Y461" s="15"/>
      <c r="Z461" s="15"/>
    </row>
    <row r="462" spans="1:26" x14ac:dyDescent="0.25">
      <c r="A462" s="15" t="s">
        <v>14571</v>
      </c>
      <c r="B462" s="15">
        <v>461</v>
      </c>
      <c r="C462" s="15" t="s">
        <v>11277</v>
      </c>
      <c r="D462" s="15" t="s">
        <v>11277</v>
      </c>
      <c r="E462" s="15" t="s">
        <v>1067</v>
      </c>
      <c r="F462" s="15" t="s">
        <v>14566</v>
      </c>
      <c r="G462" s="15" t="s">
        <v>11430</v>
      </c>
      <c r="H462" s="15">
        <v>24</v>
      </c>
      <c r="I462" s="15">
        <v>25</v>
      </c>
      <c r="J462" s="15">
        <v>20</v>
      </c>
      <c r="K462" s="15" t="str">
        <f t="shared" si="7"/>
        <v>springripplebrook</v>
      </c>
      <c r="L462" s="15" t="s">
        <v>11315</v>
      </c>
      <c r="M462" s="15">
        <v>2</v>
      </c>
      <c r="N462" s="15" t="s">
        <v>11223</v>
      </c>
      <c r="O462" s="15"/>
      <c r="P462" s="15"/>
      <c r="Q462" s="15"/>
      <c r="R462" s="15"/>
      <c r="S462" s="15"/>
      <c r="T462" s="15">
        <v>0</v>
      </c>
      <c r="U462" s="15"/>
      <c r="V462" s="15"/>
      <c r="W462" s="15"/>
      <c r="X462" s="15"/>
      <c r="Y462" s="15"/>
      <c r="Z462" s="15"/>
    </row>
    <row r="463" spans="1:26" x14ac:dyDescent="0.25">
      <c r="A463" s="15" t="s">
        <v>14572</v>
      </c>
      <c r="B463" s="15">
        <v>462</v>
      </c>
      <c r="C463" s="15" t="s">
        <v>11277</v>
      </c>
      <c r="D463" s="15" t="s">
        <v>11277</v>
      </c>
      <c r="E463" s="15" t="s">
        <v>1067</v>
      </c>
      <c r="F463" s="15" t="s">
        <v>14566</v>
      </c>
      <c r="G463" s="15" t="s">
        <v>11272</v>
      </c>
      <c r="H463" s="15">
        <v>24</v>
      </c>
      <c r="I463" s="15">
        <v>25</v>
      </c>
      <c r="J463" s="15">
        <v>22</v>
      </c>
      <c r="K463" s="15" t="str">
        <f t="shared" si="7"/>
        <v>springripplebrook</v>
      </c>
      <c r="L463" s="15" t="s">
        <v>14088</v>
      </c>
      <c r="M463" s="15">
        <v>1</v>
      </c>
      <c r="N463" s="15" t="s">
        <v>11222</v>
      </c>
      <c r="O463" s="15"/>
      <c r="P463" s="15"/>
      <c r="Q463" s="15" t="s">
        <v>11417</v>
      </c>
      <c r="R463" s="15"/>
      <c r="S463" s="15"/>
      <c r="T463" s="15">
        <v>0</v>
      </c>
      <c r="U463" s="15"/>
      <c r="V463" s="15"/>
      <c r="W463" s="15"/>
      <c r="X463" s="15"/>
      <c r="Y463" s="15"/>
      <c r="Z463" s="15"/>
    </row>
    <row r="464" spans="1:26" x14ac:dyDescent="0.25">
      <c r="A464" s="15" t="s">
        <v>14573</v>
      </c>
      <c r="B464" s="15">
        <v>463</v>
      </c>
      <c r="C464" s="15" t="s">
        <v>11277</v>
      </c>
      <c r="D464" s="15" t="s">
        <v>11277</v>
      </c>
      <c r="E464" s="15" t="s">
        <v>1067</v>
      </c>
      <c r="F464" s="15" t="s">
        <v>14566</v>
      </c>
      <c r="G464" s="15" t="s">
        <v>11431</v>
      </c>
      <c r="H464" s="15">
        <v>24</v>
      </c>
      <c r="I464" s="15">
        <v>25</v>
      </c>
      <c r="J464" s="15">
        <v>50</v>
      </c>
      <c r="K464" s="15" t="str">
        <f t="shared" si="7"/>
        <v>springripplebrook</v>
      </c>
      <c r="L464" s="15" t="s">
        <v>14088</v>
      </c>
      <c r="M464" s="15">
        <v>3</v>
      </c>
      <c r="N464" s="15" t="s">
        <v>11223</v>
      </c>
      <c r="O464" s="15" t="s">
        <v>14046</v>
      </c>
      <c r="P464" s="15"/>
      <c r="Q464" s="15" t="s">
        <v>11417</v>
      </c>
      <c r="R464" s="15"/>
      <c r="S464" s="15"/>
      <c r="T464" s="15">
        <v>3</v>
      </c>
      <c r="U464" s="15"/>
      <c r="V464" s="15"/>
      <c r="W464" s="15"/>
      <c r="X464" s="15"/>
      <c r="Y464" s="15"/>
      <c r="Z464" s="15"/>
    </row>
    <row r="465" spans="1:26" x14ac:dyDescent="0.25">
      <c r="A465" s="15" t="s">
        <v>14574</v>
      </c>
      <c r="B465" s="15">
        <v>464</v>
      </c>
      <c r="C465" s="15" t="s">
        <v>11277</v>
      </c>
      <c r="D465" s="15" t="s">
        <v>11277</v>
      </c>
      <c r="E465" s="15" t="s">
        <v>1067</v>
      </c>
      <c r="F465" s="15" t="s">
        <v>1295</v>
      </c>
      <c r="G465" s="15" t="s">
        <v>11321</v>
      </c>
      <c r="H465" s="15">
        <v>17</v>
      </c>
      <c r="I465" s="15">
        <v>16</v>
      </c>
      <c r="J465" s="15">
        <v>5</v>
      </c>
      <c r="K465" s="15" t="str">
        <f t="shared" si="7"/>
        <v>sanctumofthetwelve</v>
      </c>
      <c r="L465" s="15" t="s">
        <v>11253</v>
      </c>
      <c r="M465" s="15">
        <v>1</v>
      </c>
      <c r="N465" s="15" t="s">
        <v>11222</v>
      </c>
      <c r="O465" s="15"/>
      <c r="P465" s="15"/>
      <c r="Q465" s="15"/>
      <c r="R465" s="15"/>
      <c r="S465" s="15"/>
      <c r="T465" s="15">
        <v>0</v>
      </c>
      <c r="U465" s="15"/>
      <c r="V465" s="15"/>
      <c r="W465" s="15"/>
      <c r="X465" s="15"/>
      <c r="Y465" s="15"/>
      <c r="Z465" s="15"/>
    </row>
    <row r="466" spans="1:26" x14ac:dyDescent="0.25">
      <c r="A466" s="15" t="s">
        <v>14575</v>
      </c>
      <c r="B466" s="15">
        <v>465</v>
      </c>
      <c r="C466" s="15" t="s">
        <v>11277</v>
      </c>
      <c r="D466" s="15" t="s">
        <v>11277</v>
      </c>
      <c r="E466" s="15" t="s">
        <v>1067</v>
      </c>
      <c r="F466" s="15" t="s">
        <v>1295</v>
      </c>
      <c r="G466" s="15" t="s">
        <v>11269</v>
      </c>
      <c r="H466" s="15">
        <v>17</v>
      </c>
      <c r="I466" s="15">
        <v>16</v>
      </c>
      <c r="J466" s="15">
        <v>15</v>
      </c>
      <c r="K466" s="15" t="str">
        <f t="shared" si="7"/>
        <v>sanctumofthetwelve</v>
      </c>
      <c r="L466" s="15" t="s">
        <v>11266</v>
      </c>
      <c r="M466" s="15">
        <v>1</v>
      </c>
      <c r="N466" s="15" t="s">
        <v>11222</v>
      </c>
      <c r="O466" s="15"/>
      <c r="P466" s="15"/>
      <c r="Q466" s="15"/>
      <c r="R466" s="15"/>
      <c r="S466" s="15"/>
      <c r="T466" s="15">
        <v>0</v>
      </c>
      <c r="U466" s="15"/>
      <c r="V466" s="15"/>
      <c r="W466" s="15"/>
      <c r="X466" s="15"/>
      <c r="Y466" s="15"/>
      <c r="Z466" s="15"/>
    </row>
    <row r="467" spans="1:26" x14ac:dyDescent="0.25">
      <c r="A467" s="15" t="s">
        <v>14576</v>
      </c>
      <c r="B467" s="15">
        <v>466</v>
      </c>
      <c r="C467" s="15" t="s">
        <v>11277</v>
      </c>
      <c r="D467" s="15" t="s">
        <v>11277</v>
      </c>
      <c r="E467" s="15" t="s">
        <v>1067</v>
      </c>
      <c r="F467" s="15" t="s">
        <v>1295</v>
      </c>
      <c r="G467" s="15" t="s">
        <v>11305</v>
      </c>
      <c r="H467" s="15">
        <v>17</v>
      </c>
      <c r="I467" s="15">
        <v>16</v>
      </c>
      <c r="J467" s="15">
        <v>17</v>
      </c>
      <c r="K467" s="15" t="str">
        <f t="shared" si="7"/>
        <v>sanctumofthetwelve</v>
      </c>
      <c r="L467" s="15" t="s">
        <v>11254</v>
      </c>
      <c r="M467" s="15">
        <v>1</v>
      </c>
      <c r="N467" s="15" t="s">
        <v>11222</v>
      </c>
      <c r="O467" s="15"/>
      <c r="P467" s="15"/>
      <c r="Q467" s="15"/>
      <c r="R467" s="15"/>
      <c r="S467" s="15"/>
      <c r="T467" s="15">
        <v>0</v>
      </c>
      <c r="U467" s="15"/>
      <c r="V467" s="15"/>
      <c r="W467" s="15"/>
      <c r="X467" s="15"/>
      <c r="Y467" s="15"/>
      <c r="Z467" s="15"/>
    </row>
    <row r="468" spans="1:26" x14ac:dyDescent="0.25">
      <c r="A468" s="15" t="s">
        <v>14577</v>
      </c>
      <c r="B468" s="15">
        <v>467</v>
      </c>
      <c r="C468" s="15" t="s">
        <v>11277</v>
      </c>
      <c r="D468" s="15" t="s">
        <v>11277</v>
      </c>
      <c r="E468" s="15" t="s">
        <v>1067</v>
      </c>
      <c r="F468" s="15" t="s">
        <v>1295</v>
      </c>
      <c r="G468" s="15" t="s">
        <v>11306</v>
      </c>
      <c r="H468" s="15">
        <v>17</v>
      </c>
      <c r="I468" s="15">
        <v>16</v>
      </c>
      <c r="J468" s="15">
        <v>19</v>
      </c>
      <c r="K468" s="15" t="str">
        <f t="shared" si="7"/>
        <v>sanctumofthetwelve</v>
      </c>
      <c r="L468" s="15" t="s">
        <v>11274</v>
      </c>
      <c r="M468" s="15">
        <v>1</v>
      </c>
      <c r="N468" s="15" t="s">
        <v>11222</v>
      </c>
      <c r="O468" s="15"/>
      <c r="P468" s="15"/>
      <c r="Q468" s="15"/>
      <c r="R468" s="15"/>
      <c r="S468" s="15"/>
      <c r="T468" s="15">
        <v>0</v>
      </c>
      <c r="U468" s="15"/>
      <c r="V468" s="15"/>
      <c r="W468" s="15"/>
      <c r="X468" s="15"/>
      <c r="Y468" s="15"/>
      <c r="Z468" s="15"/>
    </row>
    <row r="469" spans="1:26" x14ac:dyDescent="0.25">
      <c r="A469" s="15" t="s">
        <v>14578</v>
      </c>
      <c r="B469" s="15">
        <v>468</v>
      </c>
      <c r="C469" s="15" t="s">
        <v>11277</v>
      </c>
      <c r="D469" s="15" t="s">
        <v>11277</v>
      </c>
      <c r="E469" s="15" t="s">
        <v>1067</v>
      </c>
      <c r="F469" s="15" t="s">
        <v>1295</v>
      </c>
      <c r="G469" s="15" t="s">
        <v>11413</v>
      </c>
      <c r="H469" s="15">
        <v>17</v>
      </c>
      <c r="I469" s="15">
        <v>16</v>
      </c>
      <c r="J469" s="15">
        <v>21</v>
      </c>
      <c r="K469" s="15" t="str">
        <f t="shared" si="7"/>
        <v>sanctumofthetwelve</v>
      </c>
      <c r="L469" s="15" t="s">
        <v>11271</v>
      </c>
      <c r="M469" s="15">
        <v>2</v>
      </c>
      <c r="N469" s="15" t="s">
        <v>11223</v>
      </c>
      <c r="O469" s="15"/>
      <c r="P469" s="15"/>
      <c r="Q469" s="15"/>
      <c r="R469" s="15"/>
      <c r="S469" s="15"/>
      <c r="T469" s="15">
        <v>0</v>
      </c>
      <c r="U469" s="15"/>
      <c r="V469" s="15"/>
      <c r="W469" s="15"/>
      <c r="X469" s="15"/>
      <c r="Y469" s="15"/>
      <c r="Z469" s="15"/>
    </row>
    <row r="470" spans="1:26" x14ac:dyDescent="0.25">
      <c r="A470" s="15" t="s">
        <v>14579</v>
      </c>
      <c r="B470" s="15">
        <v>469</v>
      </c>
      <c r="C470" s="15" t="s">
        <v>11277</v>
      </c>
      <c r="D470" s="15" t="s">
        <v>11277</v>
      </c>
      <c r="E470" s="15" t="s">
        <v>1067</v>
      </c>
      <c r="F470" s="15" t="s">
        <v>1295</v>
      </c>
      <c r="G470" s="15" t="s">
        <v>11432</v>
      </c>
      <c r="H470" s="15">
        <v>17</v>
      </c>
      <c r="I470" s="15">
        <v>16</v>
      </c>
      <c r="J470" s="15">
        <v>23</v>
      </c>
      <c r="K470" s="15" t="str">
        <f t="shared" si="7"/>
        <v>sanctumofthetwelve</v>
      </c>
      <c r="L470" s="15" t="s">
        <v>11271</v>
      </c>
      <c r="M470" s="15">
        <v>1</v>
      </c>
      <c r="N470" s="15" t="s">
        <v>11222</v>
      </c>
      <c r="O470" s="15"/>
      <c r="P470" s="15"/>
      <c r="Q470" s="15"/>
      <c r="R470" s="15"/>
      <c r="S470" s="15"/>
      <c r="T470" s="15">
        <v>0</v>
      </c>
      <c r="U470" s="15"/>
      <c r="V470" s="15"/>
      <c r="W470" s="15"/>
      <c r="X470" s="15"/>
      <c r="Y470" s="15"/>
      <c r="Z470" s="15"/>
    </row>
    <row r="471" spans="1:26" x14ac:dyDescent="0.25">
      <c r="A471" s="15" t="s">
        <v>14580</v>
      </c>
      <c r="B471" s="15">
        <v>470</v>
      </c>
      <c r="C471" s="15" t="s">
        <v>11277</v>
      </c>
      <c r="D471" s="15" t="s">
        <v>11277</v>
      </c>
      <c r="E471" s="15" t="s">
        <v>1067</v>
      </c>
      <c r="F471" s="15" t="s">
        <v>1295</v>
      </c>
      <c r="G471" s="15" t="s">
        <v>11433</v>
      </c>
      <c r="H471" s="15">
        <v>17</v>
      </c>
      <c r="I471" s="15">
        <v>16</v>
      </c>
      <c r="J471" s="15">
        <v>25</v>
      </c>
      <c r="K471" s="15" t="str">
        <f t="shared" si="7"/>
        <v>sanctumofthetwelve</v>
      </c>
      <c r="L471" s="15" t="s">
        <v>11274</v>
      </c>
      <c r="M471" s="15">
        <v>2</v>
      </c>
      <c r="N471" s="15" t="s">
        <v>11223</v>
      </c>
      <c r="O471" s="15"/>
      <c r="P471" s="15"/>
      <c r="Q471" s="15"/>
      <c r="R471" s="15"/>
      <c r="S471" s="15"/>
      <c r="T471" s="15">
        <v>0</v>
      </c>
      <c r="U471" s="15"/>
      <c r="V471" s="15"/>
      <c r="W471" s="15"/>
      <c r="X471" s="15"/>
      <c r="Y471" s="15"/>
      <c r="Z471" s="15"/>
    </row>
    <row r="472" spans="1:26" x14ac:dyDescent="0.25">
      <c r="A472" s="15" t="s">
        <v>14581</v>
      </c>
      <c r="B472" s="15">
        <v>471</v>
      </c>
      <c r="C472" s="15" t="s">
        <v>11277</v>
      </c>
      <c r="D472" s="15" t="s">
        <v>11277</v>
      </c>
      <c r="E472" s="15" t="s">
        <v>1067</v>
      </c>
      <c r="F472" s="15" t="s">
        <v>1295</v>
      </c>
      <c r="G472" s="15" t="s">
        <v>11434</v>
      </c>
      <c r="H472" s="15">
        <v>17</v>
      </c>
      <c r="I472" s="15">
        <v>16</v>
      </c>
      <c r="J472" s="15">
        <v>50</v>
      </c>
      <c r="K472" s="15" t="str">
        <f t="shared" si="7"/>
        <v>sanctumofthetwelve</v>
      </c>
      <c r="L472" s="15" t="s">
        <v>11271</v>
      </c>
      <c r="M472" s="15">
        <v>3</v>
      </c>
      <c r="N472" s="15" t="s">
        <v>11223</v>
      </c>
      <c r="O472" s="15" t="s">
        <v>14068</v>
      </c>
      <c r="P472" s="15"/>
      <c r="Q472" s="15"/>
      <c r="R472" s="15"/>
      <c r="S472" s="15"/>
      <c r="T472" s="15">
        <v>3</v>
      </c>
      <c r="U472" s="15"/>
      <c r="V472" s="15"/>
      <c r="W472" s="15"/>
      <c r="X472" s="15"/>
      <c r="Y472" s="15"/>
      <c r="Z472" s="15"/>
    </row>
    <row r="473" spans="1:26" x14ac:dyDescent="0.25">
      <c r="A473" s="15" t="s">
        <v>14582</v>
      </c>
      <c r="B473" s="15">
        <v>472</v>
      </c>
      <c r="C473" s="15" t="s">
        <v>11277</v>
      </c>
      <c r="D473" s="15" t="s">
        <v>11277</v>
      </c>
      <c r="E473" s="15" t="s">
        <v>1067</v>
      </c>
      <c r="F473" s="15" t="s">
        <v>14583</v>
      </c>
      <c r="G473" s="15" t="s">
        <v>11429</v>
      </c>
      <c r="H473" s="15">
        <v>20</v>
      </c>
      <c r="I473" s="15">
        <v>21</v>
      </c>
      <c r="J473" s="15">
        <v>15</v>
      </c>
      <c r="K473" s="15" t="str">
        <f t="shared" si="7"/>
        <v>verdantdrop</v>
      </c>
      <c r="L473" s="15" t="s">
        <v>11274</v>
      </c>
      <c r="M473" s="15">
        <v>2</v>
      </c>
      <c r="N473" s="15" t="s">
        <v>11223</v>
      </c>
      <c r="O473" s="15"/>
      <c r="P473" s="15"/>
      <c r="Q473" s="15"/>
      <c r="R473" s="15"/>
      <c r="S473" s="15"/>
      <c r="T473" s="15">
        <v>0</v>
      </c>
      <c r="U473" s="15"/>
      <c r="V473" s="15"/>
      <c r="W473" s="15"/>
      <c r="X473" s="15"/>
      <c r="Y473" s="15"/>
      <c r="Z473" s="15"/>
    </row>
    <row r="474" spans="1:26" x14ac:dyDescent="0.25">
      <c r="A474" s="15" t="s">
        <v>14584</v>
      </c>
      <c r="B474" s="15">
        <v>473</v>
      </c>
      <c r="C474" s="15" t="s">
        <v>11277</v>
      </c>
      <c r="D474" s="15" t="s">
        <v>11277</v>
      </c>
      <c r="E474" s="15" t="s">
        <v>1067</v>
      </c>
      <c r="F474" s="15" t="s">
        <v>14583</v>
      </c>
      <c r="G474" s="15" t="s">
        <v>11269</v>
      </c>
      <c r="H474" s="15">
        <v>20</v>
      </c>
      <c r="I474" s="15">
        <v>21</v>
      </c>
      <c r="J474" s="15">
        <v>15</v>
      </c>
      <c r="K474" s="15" t="str">
        <f t="shared" si="7"/>
        <v>verdantdrop</v>
      </c>
      <c r="L474" s="15" t="s">
        <v>11271</v>
      </c>
      <c r="M474" s="15">
        <v>1</v>
      </c>
      <c r="N474" s="15" t="s">
        <v>11222</v>
      </c>
      <c r="O474" s="15"/>
      <c r="P474" s="15"/>
      <c r="Q474" s="15"/>
      <c r="R474" s="15"/>
      <c r="S474" s="15"/>
      <c r="T474" s="15">
        <v>0</v>
      </c>
      <c r="U474" s="15"/>
      <c r="V474" s="15"/>
      <c r="W474" s="15"/>
      <c r="X474" s="15"/>
      <c r="Y474" s="15"/>
      <c r="Z474" s="15"/>
    </row>
    <row r="475" spans="1:26" x14ac:dyDescent="0.25">
      <c r="A475" s="15" t="s">
        <v>14585</v>
      </c>
      <c r="B475" s="15">
        <v>474</v>
      </c>
      <c r="C475" s="15" t="s">
        <v>11277</v>
      </c>
      <c r="D475" s="15" t="s">
        <v>11277</v>
      </c>
      <c r="E475" s="15" t="s">
        <v>1067</v>
      </c>
      <c r="F475" s="15" t="s">
        <v>14583</v>
      </c>
      <c r="G475" s="15" t="s">
        <v>11270</v>
      </c>
      <c r="H475" s="15">
        <v>20</v>
      </c>
      <c r="I475" s="15">
        <v>21</v>
      </c>
      <c r="J475" s="15">
        <v>20</v>
      </c>
      <c r="K475" s="15" t="str">
        <f t="shared" si="7"/>
        <v>verdantdrop</v>
      </c>
      <c r="L475" s="15" t="s">
        <v>11271</v>
      </c>
      <c r="M475" s="15">
        <v>1</v>
      </c>
      <c r="N475" s="15" t="s">
        <v>11222</v>
      </c>
      <c r="O475" s="15"/>
      <c r="P475" s="15"/>
      <c r="Q475" s="15"/>
      <c r="R475" s="15"/>
      <c r="S475" s="15"/>
      <c r="T475" s="15">
        <v>0</v>
      </c>
      <c r="U475" s="15"/>
      <c r="V475" s="15"/>
      <c r="W475" s="15"/>
      <c r="X475" s="15"/>
      <c r="Y475" s="15"/>
      <c r="Z475" s="15"/>
    </row>
    <row r="476" spans="1:26" x14ac:dyDescent="0.25">
      <c r="A476" s="15" t="s">
        <v>14586</v>
      </c>
      <c r="B476" s="15">
        <v>475</v>
      </c>
      <c r="C476" s="15" t="s">
        <v>11277</v>
      </c>
      <c r="D476" s="15" t="s">
        <v>11277</v>
      </c>
      <c r="E476" s="15" t="s">
        <v>1067</v>
      </c>
      <c r="F476" s="15" t="s">
        <v>14583</v>
      </c>
      <c r="G476" s="15" t="s">
        <v>11415</v>
      </c>
      <c r="H476" s="15">
        <v>20</v>
      </c>
      <c r="I476" s="15">
        <v>21</v>
      </c>
      <c r="J476" s="15">
        <v>25</v>
      </c>
      <c r="K476" s="15" t="str">
        <f t="shared" si="7"/>
        <v>verdantdrop</v>
      </c>
      <c r="L476" s="15" t="s">
        <v>11271</v>
      </c>
      <c r="M476" s="15">
        <v>2</v>
      </c>
      <c r="N476" s="15" t="s">
        <v>11223</v>
      </c>
      <c r="O476" s="15" t="s">
        <v>14041</v>
      </c>
      <c r="P476" s="15"/>
      <c r="Q476" s="15"/>
      <c r="R476" s="15"/>
      <c r="S476" s="15"/>
      <c r="T476" s="15">
        <v>0</v>
      </c>
      <c r="U476" s="15"/>
      <c r="V476" s="15"/>
      <c r="W476" s="15"/>
      <c r="X476" s="15"/>
      <c r="Y476" s="15"/>
      <c r="Z476" s="15"/>
    </row>
    <row r="477" spans="1:26" x14ac:dyDescent="0.25">
      <c r="A477" s="15" t="s">
        <v>14587</v>
      </c>
      <c r="B477" s="15">
        <v>476</v>
      </c>
      <c r="C477" s="15" t="s">
        <v>11277</v>
      </c>
      <c r="D477" s="15" t="s">
        <v>11277</v>
      </c>
      <c r="E477" s="15" t="s">
        <v>1067</v>
      </c>
      <c r="F477" s="15" t="s">
        <v>14583</v>
      </c>
      <c r="G477" s="15" t="s">
        <v>11435</v>
      </c>
      <c r="H477" s="15">
        <v>20</v>
      </c>
      <c r="I477" s="15">
        <v>21</v>
      </c>
      <c r="J477" s="15">
        <v>27</v>
      </c>
      <c r="K477" s="15" t="str">
        <f t="shared" si="7"/>
        <v>verdantdrop</v>
      </c>
      <c r="L477" s="15" t="s">
        <v>11416</v>
      </c>
      <c r="M477" s="15">
        <v>1</v>
      </c>
      <c r="N477" s="15" t="s">
        <v>11222</v>
      </c>
      <c r="O477" s="15"/>
      <c r="P477" s="15"/>
      <c r="Q477" s="15"/>
      <c r="R477" s="15"/>
      <c r="S477" s="15"/>
      <c r="T477" s="15">
        <v>0</v>
      </c>
      <c r="U477" s="15"/>
      <c r="V477" s="15"/>
      <c r="W477" s="15"/>
      <c r="X477" s="15"/>
      <c r="Y477" s="15"/>
      <c r="Z477" s="15"/>
    </row>
    <row r="478" spans="1:26" x14ac:dyDescent="0.25">
      <c r="A478" s="15" t="s">
        <v>14588</v>
      </c>
      <c r="B478" s="15">
        <v>477</v>
      </c>
      <c r="C478" s="15" t="s">
        <v>11277</v>
      </c>
      <c r="D478" s="15" t="s">
        <v>11277</v>
      </c>
      <c r="E478" s="15" t="s">
        <v>1067</v>
      </c>
      <c r="F478" s="15" t="s">
        <v>14583</v>
      </c>
      <c r="G478" s="15" t="s">
        <v>11436</v>
      </c>
      <c r="H478" s="15">
        <v>20</v>
      </c>
      <c r="I478" s="15">
        <v>21</v>
      </c>
      <c r="J478" s="15">
        <v>28</v>
      </c>
      <c r="K478" s="15" t="str">
        <f t="shared" si="7"/>
        <v>verdantdrop</v>
      </c>
      <c r="L478" s="15" t="s">
        <v>11416</v>
      </c>
      <c r="M478" s="15">
        <v>2</v>
      </c>
      <c r="N478" s="15" t="s">
        <v>11223</v>
      </c>
      <c r="O478" s="15"/>
      <c r="P478" s="15"/>
      <c r="Q478" s="15"/>
      <c r="R478" s="15"/>
      <c r="S478" s="15"/>
      <c r="T478" s="15">
        <v>0</v>
      </c>
      <c r="U478" s="15"/>
      <c r="V478" s="15"/>
      <c r="W478" s="15"/>
      <c r="X478" s="15"/>
      <c r="Y478" s="15"/>
      <c r="Z478" s="15"/>
    </row>
    <row r="479" spans="1:26" x14ac:dyDescent="0.25">
      <c r="A479" s="15" t="s">
        <v>14589</v>
      </c>
      <c r="B479" s="15">
        <v>478</v>
      </c>
      <c r="C479" s="15" t="s">
        <v>11277</v>
      </c>
      <c r="D479" s="15" t="s">
        <v>11277</v>
      </c>
      <c r="E479" s="15" t="s">
        <v>1067</v>
      </c>
      <c r="F479" s="15" t="s">
        <v>14583</v>
      </c>
      <c r="G479" s="15" t="s">
        <v>11418</v>
      </c>
      <c r="H479" s="15">
        <v>20</v>
      </c>
      <c r="I479" s="15">
        <v>21</v>
      </c>
      <c r="J479" s="15">
        <v>30</v>
      </c>
      <c r="K479" s="15" t="str">
        <f t="shared" si="7"/>
        <v>verdantdrop</v>
      </c>
      <c r="L479" s="15" t="s">
        <v>11323</v>
      </c>
      <c r="M479" s="15">
        <v>2</v>
      </c>
      <c r="N479" s="15" t="s">
        <v>11223</v>
      </c>
      <c r="O479" s="15"/>
      <c r="P479" s="15"/>
      <c r="Q479" s="15"/>
      <c r="R479" s="15"/>
      <c r="S479" s="15"/>
      <c r="T479" s="15">
        <v>0</v>
      </c>
      <c r="U479" s="15"/>
      <c r="V479" s="15"/>
      <c r="W479" s="15"/>
      <c r="X479" s="15"/>
      <c r="Y479" s="15"/>
      <c r="Z479" s="15"/>
    </row>
    <row r="480" spans="1:26" x14ac:dyDescent="0.25">
      <c r="A480" s="15" t="s">
        <v>14590</v>
      </c>
      <c r="B480" s="15">
        <v>479</v>
      </c>
      <c r="C480" s="15" t="s">
        <v>11277</v>
      </c>
      <c r="D480" s="15" t="s">
        <v>11277</v>
      </c>
      <c r="E480" s="15" t="s">
        <v>1067</v>
      </c>
      <c r="F480" s="15" t="s">
        <v>14583</v>
      </c>
      <c r="G480" s="15" t="s">
        <v>11437</v>
      </c>
      <c r="H480" s="15">
        <v>20</v>
      </c>
      <c r="I480" s="15">
        <v>21</v>
      </c>
      <c r="J480" s="15">
        <v>43</v>
      </c>
      <c r="K480" s="15" t="str">
        <f t="shared" si="7"/>
        <v>verdantdrop</v>
      </c>
      <c r="L480" s="15" t="s">
        <v>14088</v>
      </c>
      <c r="M480" s="15">
        <v>2</v>
      </c>
      <c r="N480" s="15" t="s">
        <v>11223</v>
      </c>
      <c r="O480" s="15"/>
      <c r="P480" s="15"/>
      <c r="Q480" s="15" t="s">
        <v>11270</v>
      </c>
      <c r="R480" s="15"/>
      <c r="S480" s="15"/>
      <c r="T480" s="15">
        <v>0</v>
      </c>
      <c r="U480" s="15"/>
      <c r="V480" s="15"/>
      <c r="W480" s="15"/>
      <c r="X480" s="15"/>
      <c r="Y480" s="15"/>
      <c r="Z480" s="15"/>
    </row>
    <row r="481" spans="1:26" x14ac:dyDescent="0.25">
      <c r="A481" s="15" t="s">
        <v>14591</v>
      </c>
      <c r="B481" s="15">
        <v>480</v>
      </c>
      <c r="C481" s="15" t="s">
        <v>11277</v>
      </c>
      <c r="D481" s="15" t="s">
        <v>11277</v>
      </c>
      <c r="E481" s="15" t="s">
        <v>1067</v>
      </c>
      <c r="F481" s="15" t="s">
        <v>14583</v>
      </c>
      <c r="G481" s="15" t="s">
        <v>11438</v>
      </c>
      <c r="H481" s="15">
        <v>20</v>
      </c>
      <c r="I481" s="15">
        <v>21</v>
      </c>
      <c r="J481" s="15">
        <v>50</v>
      </c>
      <c r="K481" s="15" t="str">
        <f t="shared" si="7"/>
        <v>verdantdrop</v>
      </c>
      <c r="L481" s="15" t="s">
        <v>14088</v>
      </c>
      <c r="M481" s="15">
        <v>3</v>
      </c>
      <c r="N481" s="15" t="s">
        <v>11223</v>
      </c>
      <c r="O481" s="15"/>
      <c r="P481" s="15"/>
      <c r="Q481" s="15" t="s">
        <v>11270</v>
      </c>
      <c r="R481" s="15"/>
      <c r="S481" s="15"/>
      <c r="T481" s="15">
        <v>3</v>
      </c>
      <c r="U481" s="15" t="s">
        <v>5900</v>
      </c>
      <c r="V481" s="15"/>
      <c r="W481" s="15"/>
      <c r="X481" s="15"/>
      <c r="Y481" s="15"/>
      <c r="Z481" s="15"/>
    </row>
    <row r="482" spans="1:26" x14ac:dyDescent="0.25">
      <c r="A482" s="15" t="s">
        <v>14592</v>
      </c>
      <c r="B482" s="15">
        <v>481</v>
      </c>
      <c r="C482" s="15" t="s">
        <v>11277</v>
      </c>
      <c r="D482" s="15" t="s">
        <v>11277</v>
      </c>
      <c r="E482" s="15" t="s">
        <v>1067</v>
      </c>
      <c r="F482" s="15" t="s">
        <v>1275</v>
      </c>
      <c r="G482" s="15" t="s">
        <v>11365</v>
      </c>
      <c r="H482" s="15">
        <v>26</v>
      </c>
      <c r="I482" s="15">
        <v>20</v>
      </c>
      <c r="J482" s="15">
        <v>37</v>
      </c>
      <c r="K482" s="15" t="str">
        <f t="shared" si="7"/>
        <v>sylphlands</v>
      </c>
      <c r="L482" s="15" t="s">
        <v>11355</v>
      </c>
      <c r="M482" s="15">
        <v>2</v>
      </c>
      <c r="N482" s="15" t="s">
        <v>11223</v>
      </c>
      <c r="O482" s="15"/>
      <c r="P482" s="15"/>
      <c r="Q482" s="15"/>
      <c r="R482" s="15"/>
      <c r="S482" s="15"/>
      <c r="T482" s="15">
        <v>0</v>
      </c>
      <c r="U482" s="15"/>
      <c r="V482" s="15"/>
      <c r="W482" s="15"/>
      <c r="X482" s="15"/>
      <c r="Y482" s="15"/>
      <c r="Z482" s="15"/>
    </row>
    <row r="483" spans="1:26" x14ac:dyDescent="0.25">
      <c r="A483" s="15" t="s">
        <v>14593</v>
      </c>
      <c r="B483" s="15">
        <v>482</v>
      </c>
      <c r="C483" s="15" t="s">
        <v>11277</v>
      </c>
      <c r="D483" s="15" t="s">
        <v>11277</v>
      </c>
      <c r="E483" s="15" t="s">
        <v>1067</v>
      </c>
      <c r="F483" s="15" t="s">
        <v>1275</v>
      </c>
      <c r="G483" s="15" t="s">
        <v>11439</v>
      </c>
      <c r="H483" s="15">
        <v>26</v>
      </c>
      <c r="I483" s="15">
        <v>20</v>
      </c>
      <c r="J483" s="15">
        <v>38</v>
      </c>
      <c r="K483" s="15" t="str">
        <f t="shared" si="7"/>
        <v>sylphlands</v>
      </c>
      <c r="L483" s="15" t="s">
        <v>11440</v>
      </c>
      <c r="M483" s="15">
        <v>2</v>
      </c>
      <c r="N483" s="15" t="s">
        <v>11223</v>
      </c>
      <c r="O483" s="15"/>
      <c r="P483" s="15"/>
      <c r="Q483" s="15"/>
      <c r="R483" s="15"/>
      <c r="S483" s="15"/>
      <c r="T483" s="15">
        <v>0</v>
      </c>
      <c r="U483" s="15"/>
      <c r="V483" s="15"/>
      <c r="W483" s="15"/>
      <c r="X483" s="15"/>
      <c r="Y483" s="15"/>
      <c r="Z483" s="15"/>
    </row>
    <row r="484" spans="1:26" x14ac:dyDescent="0.25">
      <c r="A484" s="15" t="s">
        <v>14594</v>
      </c>
      <c r="B484" s="15">
        <v>483</v>
      </c>
      <c r="C484" s="15" t="s">
        <v>11277</v>
      </c>
      <c r="D484" s="15" t="s">
        <v>11277</v>
      </c>
      <c r="E484" s="15" t="s">
        <v>1067</v>
      </c>
      <c r="F484" s="15" t="s">
        <v>1275</v>
      </c>
      <c r="G484" s="15" t="s">
        <v>11441</v>
      </c>
      <c r="H484" s="15">
        <v>26</v>
      </c>
      <c r="I484" s="15">
        <v>20</v>
      </c>
      <c r="J484" s="15">
        <v>44</v>
      </c>
      <c r="K484" s="15" t="str">
        <f t="shared" si="7"/>
        <v>sylphlands</v>
      </c>
      <c r="L484" s="15" t="s">
        <v>11360</v>
      </c>
      <c r="M484" s="15">
        <v>2</v>
      </c>
      <c r="N484" s="15" t="s">
        <v>11223</v>
      </c>
      <c r="O484" s="15" t="s">
        <v>14041</v>
      </c>
      <c r="P484" s="15"/>
      <c r="Q484" s="15"/>
      <c r="R484" s="15"/>
      <c r="S484" s="15"/>
      <c r="T484" s="15">
        <v>0</v>
      </c>
      <c r="U484" s="15"/>
      <c r="V484" s="15"/>
      <c r="W484" s="15"/>
      <c r="X484" s="15"/>
      <c r="Y484" s="15"/>
      <c r="Z484" s="15"/>
    </row>
    <row r="485" spans="1:26" x14ac:dyDescent="0.25">
      <c r="A485" s="15" t="s">
        <v>14595</v>
      </c>
      <c r="B485" s="15">
        <v>484</v>
      </c>
      <c r="C485" s="15" t="s">
        <v>11277</v>
      </c>
      <c r="D485" s="15" t="s">
        <v>11277</v>
      </c>
      <c r="E485" s="15" t="s">
        <v>1067</v>
      </c>
      <c r="F485" s="15" t="s">
        <v>1275</v>
      </c>
      <c r="G485" s="15" t="s">
        <v>11442</v>
      </c>
      <c r="H485" s="15">
        <v>26</v>
      </c>
      <c r="I485" s="15">
        <v>20</v>
      </c>
      <c r="J485" s="15">
        <v>44</v>
      </c>
      <c r="K485" s="15" t="str">
        <f t="shared" si="7"/>
        <v>sylphlands</v>
      </c>
      <c r="L485" s="15" t="s">
        <v>11310</v>
      </c>
      <c r="M485" s="15">
        <v>1</v>
      </c>
      <c r="N485" s="15" t="s">
        <v>11222</v>
      </c>
      <c r="O485" s="15"/>
      <c r="P485" s="15"/>
      <c r="Q485" s="15"/>
      <c r="R485" s="15"/>
      <c r="S485" s="15"/>
      <c r="T485" s="15">
        <v>0</v>
      </c>
      <c r="U485" s="15"/>
      <c r="V485" s="15"/>
      <c r="W485" s="15"/>
      <c r="X485" s="15"/>
      <c r="Y485" s="15"/>
      <c r="Z485" s="15"/>
    </row>
    <row r="486" spans="1:26" x14ac:dyDescent="0.25">
      <c r="A486" s="15" t="s">
        <v>14596</v>
      </c>
      <c r="B486" s="15">
        <v>485</v>
      </c>
      <c r="C486" s="15" t="s">
        <v>11277</v>
      </c>
      <c r="D486" s="15" t="s">
        <v>11277</v>
      </c>
      <c r="E486" s="15" t="s">
        <v>1067</v>
      </c>
      <c r="F486" s="15" t="s">
        <v>1275</v>
      </c>
      <c r="G486" s="15" t="s">
        <v>11443</v>
      </c>
      <c r="H486" s="15">
        <v>26</v>
      </c>
      <c r="I486" s="15">
        <v>20</v>
      </c>
      <c r="J486" s="15">
        <v>45</v>
      </c>
      <c r="K486" s="15" t="str">
        <f t="shared" si="7"/>
        <v>sylphlands</v>
      </c>
      <c r="L486" s="15" t="s">
        <v>11363</v>
      </c>
      <c r="M486" s="15">
        <v>2</v>
      </c>
      <c r="N486" s="15" t="s">
        <v>11223</v>
      </c>
      <c r="O486" s="15"/>
      <c r="P486" s="15"/>
      <c r="Q486" s="15"/>
      <c r="R486" s="15"/>
      <c r="S486" s="15"/>
      <c r="T486" s="15">
        <v>0</v>
      </c>
      <c r="U486" s="15"/>
      <c r="V486" s="15"/>
      <c r="W486" s="15"/>
      <c r="X486" s="15"/>
      <c r="Y486" s="15"/>
      <c r="Z486" s="15"/>
    </row>
    <row r="487" spans="1:26" x14ac:dyDescent="0.25">
      <c r="A487" s="15" t="s">
        <v>14597</v>
      </c>
      <c r="B487" s="15">
        <v>486</v>
      </c>
      <c r="C487" s="15" t="s">
        <v>11277</v>
      </c>
      <c r="D487" s="15" t="s">
        <v>11277</v>
      </c>
      <c r="E487" s="15" t="s">
        <v>1067</v>
      </c>
      <c r="F487" s="15" t="s">
        <v>1275</v>
      </c>
      <c r="G487" s="15" t="s">
        <v>11444</v>
      </c>
      <c r="H487" s="15">
        <v>26</v>
      </c>
      <c r="I487" s="15">
        <v>20</v>
      </c>
      <c r="J487" s="15">
        <v>50</v>
      </c>
      <c r="K487" s="15" t="str">
        <f t="shared" si="7"/>
        <v>sylphlands</v>
      </c>
      <c r="L487" s="15" t="s">
        <v>14088</v>
      </c>
      <c r="M487" s="15">
        <v>2</v>
      </c>
      <c r="N487" s="15" t="s">
        <v>11223</v>
      </c>
      <c r="O487" s="15"/>
      <c r="P487" s="15"/>
      <c r="Q487" s="15" t="s">
        <v>11442</v>
      </c>
      <c r="R487" s="15"/>
      <c r="S487" s="15"/>
      <c r="T487" s="15">
        <v>1</v>
      </c>
      <c r="U487" s="15" t="s">
        <v>5908</v>
      </c>
      <c r="V487" s="15" t="s">
        <v>5914</v>
      </c>
      <c r="W487" s="15"/>
      <c r="X487" s="15"/>
      <c r="Y487" s="15"/>
      <c r="Z487" s="15"/>
    </row>
    <row r="488" spans="1:26" x14ac:dyDescent="0.25">
      <c r="A488" s="15" t="s">
        <v>14598</v>
      </c>
      <c r="B488" s="15">
        <v>487</v>
      </c>
      <c r="C488" s="15" t="s">
        <v>11277</v>
      </c>
      <c r="D488" s="15" t="s">
        <v>11277</v>
      </c>
      <c r="E488" s="15" t="s">
        <v>1067</v>
      </c>
      <c r="F488" s="15" t="s">
        <v>1275</v>
      </c>
      <c r="G488" s="15" t="s">
        <v>11445</v>
      </c>
      <c r="H488" s="15">
        <v>26</v>
      </c>
      <c r="I488" s="15">
        <v>20</v>
      </c>
      <c r="J488" s="15">
        <v>50</v>
      </c>
      <c r="K488" s="15" t="str">
        <f t="shared" si="7"/>
        <v>sylphlands</v>
      </c>
      <c r="L488" s="15" t="s">
        <v>14088</v>
      </c>
      <c r="M488" s="15">
        <v>3</v>
      </c>
      <c r="N488" s="15" t="s">
        <v>11223</v>
      </c>
      <c r="O488" s="15"/>
      <c r="P488" s="15"/>
      <c r="Q488" s="15" t="s">
        <v>11442</v>
      </c>
      <c r="R488" s="15"/>
      <c r="S488" s="15"/>
      <c r="T488" s="15">
        <v>3</v>
      </c>
      <c r="U488" s="15" t="s">
        <v>5900</v>
      </c>
      <c r="V488" s="15" t="s">
        <v>6010</v>
      </c>
      <c r="W488" s="15"/>
      <c r="X488" s="15" t="s">
        <v>5914</v>
      </c>
      <c r="Y488" s="15" t="s">
        <v>5908</v>
      </c>
      <c r="Z488" s="15"/>
    </row>
    <row r="489" spans="1:26" x14ac:dyDescent="0.25">
      <c r="A489" s="15" t="s">
        <v>14599</v>
      </c>
      <c r="B489" s="15">
        <v>488</v>
      </c>
      <c r="C489" s="15" t="s">
        <v>11277</v>
      </c>
      <c r="D489" s="15" t="s">
        <v>11277</v>
      </c>
      <c r="E489" s="15" t="s">
        <v>1067</v>
      </c>
      <c r="F489" s="15" t="s">
        <v>1275</v>
      </c>
      <c r="G489" s="15" t="s">
        <v>11403</v>
      </c>
      <c r="H489" s="15">
        <v>26</v>
      </c>
      <c r="I489" s="15">
        <v>20</v>
      </c>
      <c r="J489" s="15">
        <v>41</v>
      </c>
      <c r="K489" s="15" t="str">
        <f t="shared" si="7"/>
        <v>sylphlands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25">
      <c r="A490" s="15" t="s">
        <v>14600</v>
      </c>
      <c r="B490" s="15">
        <v>489</v>
      </c>
      <c r="C490" s="15" t="s">
        <v>11277</v>
      </c>
      <c r="D490" s="15" t="s">
        <v>11277</v>
      </c>
      <c r="E490" s="15" t="s">
        <v>1067</v>
      </c>
      <c r="F490" s="15" t="s">
        <v>14601</v>
      </c>
      <c r="G490" s="15" t="s">
        <v>11429</v>
      </c>
      <c r="H490" s="15">
        <v>18</v>
      </c>
      <c r="I490" s="15">
        <v>19</v>
      </c>
      <c r="J490" s="15">
        <v>15</v>
      </c>
      <c r="K490" s="15" t="str">
        <f t="shared" si="7"/>
        <v>upperhathoevariver</v>
      </c>
      <c r="L490" s="15" t="s">
        <v>11266</v>
      </c>
      <c r="M490" s="15">
        <v>2</v>
      </c>
      <c r="N490" s="15" t="s">
        <v>11223</v>
      </c>
      <c r="O490" s="15"/>
      <c r="P490" s="15"/>
      <c r="Q490" s="15"/>
      <c r="R490" s="15"/>
      <c r="S490" s="15"/>
      <c r="T490" s="15">
        <v>0</v>
      </c>
      <c r="U490" s="15"/>
      <c r="V490" s="15"/>
      <c r="W490" s="15"/>
      <c r="X490" s="15"/>
      <c r="Y490" s="15"/>
      <c r="Z490" s="15"/>
    </row>
    <row r="491" spans="1:26" x14ac:dyDescent="0.25">
      <c r="A491" s="15" t="s">
        <v>14602</v>
      </c>
      <c r="B491" s="15">
        <v>490</v>
      </c>
      <c r="C491" s="15" t="s">
        <v>11277</v>
      </c>
      <c r="D491" s="15" t="s">
        <v>11277</v>
      </c>
      <c r="E491" s="15" t="s">
        <v>1067</v>
      </c>
      <c r="F491" s="15" t="s">
        <v>14601</v>
      </c>
      <c r="G491" s="15" t="s">
        <v>11269</v>
      </c>
      <c r="H491" s="15">
        <v>18</v>
      </c>
      <c r="I491" s="15">
        <v>19</v>
      </c>
      <c r="J491" s="15">
        <v>15</v>
      </c>
      <c r="K491" s="15" t="str">
        <f t="shared" si="7"/>
        <v>upperhathoevariver</v>
      </c>
      <c r="L491" s="15" t="s">
        <v>11271</v>
      </c>
      <c r="M491" s="15">
        <v>1</v>
      </c>
      <c r="N491" s="15" t="s">
        <v>11222</v>
      </c>
      <c r="O491" s="15"/>
      <c r="P491" s="15"/>
      <c r="Q491" s="15"/>
      <c r="R491" s="15"/>
      <c r="S491" s="15"/>
      <c r="T491" s="15">
        <v>0</v>
      </c>
      <c r="U491" s="15"/>
      <c r="V491" s="15"/>
      <c r="W491" s="15"/>
      <c r="X491" s="15"/>
      <c r="Y491" s="15"/>
      <c r="Z491" s="15"/>
    </row>
    <row r="492" spans="1:26" x14ac:dyDescent="0.25">
      <c r="A492" s="15" t="s">
        <v>14603</v>
      </c>
      <c r="B492" s="15">
        <v>491</v>
      </c>
      <c r="C492" s="15" t="s">
        <v>11277</v>
      </c>
      <c r="D492" s="15" t="s">
        <v>11277</v>
      </c>
      <c r="E492" s="15" t="s">
        <v>1067</v>
      </c>
      <c r="F492" s="15" t="s">
        <v>14601</v>
      </c>
      <c r="G492" s="15" t="s">
        <v>11417</v>
      </c>
      <c r="H492" s="15">
        <v>18</v>
      </c>
      <c r="I492" s="15">
        <v>19</v>
      </c>
      <c r="J492" s="15">
        <v>16</v>
      </c>
      <c r="K492" s="15" t="str">
        <f t="shared" si="7"/>
        <v>upperhathoevariver</v>
      </c>
      <c r="L492" s="15" t="s">
        <v>11254</v>
      </c>
      <c r="M492" s="15">
        <v>1</v>
      </c>
      <c r="N492" s="15" t="s">
        <v>11222</v>
      </c>
      <c r="O492" s="15"/>
      <c r="P492" s="15"/>
      <c r="Q492" s="15"/>
      <c r="R492" s="15"/>
      <c r="S492" s="15"/>
      <c r="T492" s="15">
        <v>0</v>
      </c>
      <c r="U492" s="15"/>
      <c r="V492" s="15"/>
      <c r="W492" s="15"/>
      <c r="X492" s="15"/>
      <c r="Y492" s="15"/>
      <c r="Z492" s="15"/>
    </row>
    <row r="493" spans="1:26" x14ac:dyDescent="0.25">
      <c r="A493" s="15" t="s">
        <v>14604</v>
      </c>
      <c r="B493" s="15">
        <v>492</v>
      </c>
      <c r="C493" s="15" t="s">
        <v>11277</v>
      </c>
      <c r="D493" s="15" t="s">
        <v>11277</v>
      </c>
      <c r="E493" s="15" t="s">
        <v>1067</v>
      </c>
      <c r="F493" s="15" t="s">
        <v>14601</v>
      </c>
      <c r="G493" s="15" t="s">
        <v>11304</v>
      </c>
      <c r="H493" s="15">
        <v>18</v>
      </c>
      <c r="I493" s="15">
        <v>19</v>
      </c>
      <c r="J493" s="15">
        <v>17</v>
      </c>
      <c r="K493" s="15" t="str">
        <f t="shared" si="7"/>
        <v>upperhathoevariver</v>
      </c>
      <c r="L493" s="15" t="s">
        <v>11254</v>
      </c>
      <c r="M493" s="15">
        <v>2</v>
      </c>
      <c r="N493" s="15" t="s">
        <v>11223</v>
      </c>
      <c r="O493" s="15"/>
      <c r="P493" s="15"/>
      <c r="Q493" s="15"/>
      <c r="R493" s="15"/>
      <c r="S493" s="15"/>
      <c r="T493" s="15">
        <v>0</v>
      </c>
      <c r="U493" s="15"/>
      <c r="V493" s="15"/>
      <c r="W493" s="15"/>
      <c r="X493" s="15"/>
      <c r="Y493" s="15"/>
      <c r="Z493" s="15"/>
    </row>
    <row r="494" spans="1:26" x14ac:dyDescent="0.25">
      <c r="A494" s="15" t="s">
        <v>14605</v>
      </c>
      <c r="B494" s="15">
        <v>493</v>
      </c>
      <c r="C494" s="15" t="s">
        <v>11277</v>
      </c>
      <c r="D494" s="15" t="s">
        <v>11277</v>
      </c>
      <c r="E494" s="15" t="s">
        <v>1067</v>
      </c>
      <c r="F494" s="15" t="s">
        <v>14601</v>
      </c>
      <c r="G494" s="15" t="s">
        <v>11351</v>
      </c>
      <c r="H494" s="15">
        <v>18</v>
      </c>
      <c r="I494" s="15">
        <v>19</v>
      </c>
      <c r="J494" s="15">
        <v>18</v>
      </c>
      <c r="K494" s="15" t="str">
        <f t="shared" si="7"/>
        <v>upperhathoevariver</v>
      </c>
      <c r="L494" s="15" t="s">
        <v>11254</v>
      </c>
      <c r="M494" s="15">
        <v>1</v>
      </c>
      <c r="N494" s="15" t="s">
        <v>11222</v>
      </c>
      <c r="O494" s="15" t="s">
        <v>14028</v>
      </c>
      <c r="P494" s="15"/>
      <c r="Q494" s="15"/>
      <c r="R494" s="15"/>
      <c r="S494" s="15"/>
      <c r="T494" s="15">
        <v>0</v>
      </c>
      <c r="U494" s="15"/>
      <c r="V494" s="15"/>
      <c r="W494" s="15"/>
      <c r="X494" s="15"/>
      <c r="Y494" s="15"/>
      <c r="Z494" s="15"/>
    </row>
    <row r="495" spans="1:26" x14ac:dyDescent="0.25">
      <c r="A495" s="15" t="s">
        <v>14606</v>
      </c>
      <c r="B495" s="15">
        <v>494</v>
      </c>
      <c r="C495" s="15" t="s">
        <v>11277</v>
      </c>
      <c r="D495" s="15" t="s">
        <v>11277</v>
      </c>
      <c r="E495" s="15" t="s">
        <v>1067</v>
      </c>
      <c r="F495" s="15" t="s">
        <v>14601</v>
      </c>
      <c r="G495" s="15" t="s">
        <v>11272</v>
      </c>
      <c r="H495" s="15">
        <v>18</v>
      </c>
      <c r="I495" s="15">
        <v>19</v>
      </c>
      <c r="J495" s="15">
        <v>22</v>
      </c>
      <c r="K495" s="15" t="str">
        <f t="shared" si="7"/>
        <v>upperhathoevariver</v>
      </c>
      <c r="L495" s="15" t="s">
        <v>14088</v>
      </c>
      <c r="M495" s="15">
        <v>1</v>
      </c>
      <c r="N495" s="15" t="s">
        <v>11222</v>
      </c>
      <c r="O495" s="15"/>
      <c r="P495" s="15"/>
      <c r="Q495" s="15" t="s">
        <v>11417</v>
      </c>
      <c r="R495" s="15"/>
      <c r="S495" s="15"/>
      <c r="T495" s="15">
        <v>0</v>
      </c>
      <c r="U495" s="15"/>
      <c r="V495" s="15"/>
      <c r="W495" s="15"/>
      <c r="X495" s="15"/>
      <c r="Y495" s="15"/>
      <c r="Z495" s="15"/>
    </row>
    <row r="496" spans="1:26" x14ac:dyDescent="0.25">
      <c r="A496" s="15" t="s">
        <v>14607</v>
      </c>
      <c r="B496" s="15">
        <v>495</v>
      </c>
      <c r="C496" s="15" t="s">
        <v>11277</v>
      </c>
      <c r="D496" s="15" t="s">
        <v>11277</v>
      </c>
      <c r="E496" s="15" t="s">
        <v>1067</v>
      </c>
      <c r="F496" s="15" t="s">
        <v>14601</v>
      </c>
      <c r="G496" s="15" t="s">
        <v>11415</v>
      </c>
      <c r="H496" s="15">
        <v>18</v>
      </c>
      <c r="I496" s="15">
        <v>19</v>
      </c>
      <c r="J496" s="15">
        <v>25</v>
      </c>
      <c r="K496" s="15" t="str">
        <f t="shared" si="7"/>
        <v>upperhathoevariver</v>
      </c>
      <c r="L496" s="15" t="s">
        <v>11271</v>
      </c>
      <c r="M496" s="15">
        <v>2</v>
      </c>
      <c r="N496" s="15" t="s">
        <v>11223</v>
      </c>
      <c r="O496" s="15" t="s">
        <v>14041</v>
      </c>
      <c r="P496" s="15"/>
      <c r="Q496" s="15"/>
      <c r="R496" s="15"/>
      <c r="S496" s="15"/>
      <c r="T496" s="15">
        <v>0</v>
      </c>
      <c r="U496" s="15"/>
      <c r="V496" s="15"/>
      <c r="W496" s="15"/>
      <c r="X496" s="15"/>
      <c r="Y496" s="15"/>
      <c r="Z496" s="15"/>
    </row>
    <row r="497" spans="1:26" x14ac:dyDescent="0.25">
      <c r="A497" s="15" t="s">
        <v>14608</v>
      </c>
      <c r="B497" s="15">
        <v>496</v>
      </c>
      <c r="C497" s="15" t="s">
        <v>11277</v>
      </c>
      <c r="D497" s="15" t="s">
        <v>11277</v>
      </c>
      <c r="E497" s="15" t="s">
        <v>1067</v>
      </c>
      <c r="F497" s="15" t="s">
        <v>14601</v>
      </c>
      <c r="G497" s="15" t="s">
        <v>11439</v>
      </c>
      <c r="H497" s="15">
        <v>18</v>
      </c>
      <c r="I497" s="15">
        <v>19</v>
      </c>
      <c r="J497" s="15">
        <v>38</v>
      </c>
      <c r="K497" s="15" t="str">
        <f t="shared" si="7"/>
        <v>upperhathoevariver</v>
      </c>
      <c r="L497" s="15" t="s">
        <v>11424</v>
      </c>
      <c r="M497" s="15">
        <v>2</v>
      </c>
      <c r="N497" s="15" t="s">
        <v>11223</v>
      </c>
      <c r="O497" s="15"/>
      <c r="P497" s="15"/>
      <c r="Q497" s="15"/>
      <c r="R497" s="15"/>
      <c r="S497" s="15"/>
      <c r="T497" s="15">
        <v>0</v>
      </c>
      <c r="U497" s="15"/>
      <c r="V497" s="15"/>
      <c r="W497" s="15"/>
      <c r="X497" s="15"/>
      <c r="Y497" s="15"/>
      <c r="Z497" s="15"/>
    </row>
    <row r="498" spans="1:26" x14ac:dyDescent="0.25">
      <c r="A498" s="15" t="s">
        <v>14609</v>
      </c>
      <c r="B498" s="15">
        <v>497</v>
      </c>
      <c r="C498" s="15" t="s">
        <v>11277</v>
      </c>
      <c r="D498" s="15" t="s">
        <v>11277</v>
      </c>
      <c r="E498" s="15" t="s">
        <v>1067</v>
      </c>
      <c r="F498" s="15" t="s">
        <v>14601</v>
      </c>
      <c r="G498" s="15" t="s">
        <v>11446</v>
      </c>
      <c r="H498" s="15">
        <v>18</v>
      </c>
      <c r="I498" s="15">
        <v>19</v>
      </c>
      <c r="J498" s="15">
        <v>50</v>
      </c>
      <c r="K498" s="15" t="str">
        <f t="shared" si="7"/>
        <v>upperhathoevariver</v>
      </c>
      <c r="L498" s="15" t="s">
        <v>11271</v>
      </c>
      <c r="M498" s="15">
        <v>3</v>
      </c>
      <c r="N498" s="15" t="s">
        <v>11223</v>
      </c>
      <c r="O498" s="15" t="s">
        <v>14051</v>
      </c>
      <c r="P498" s="15"/>
      <c r="Q498" s="15"/>
      <c r="R498" s="15"/>
      <c r="S498" s="15"/>
      <c r="T498" s="15">
        <v>3</v>
      </c>
      <c r="U498" s="15"/>
      <c r="V498" s="15"/>
      <c r="W498" s="15"/>
      <c r="X498" s="15"/>
      <c r="Y498" s="15"/>
      <c r="Z498" s="15"/>
    </row>
    <row r="499" spans="1:26" x14ac:dyDescent="0.25">
      <c r="A499" s="15" t="s">
        <v>14610</v>
      </c>
      <c r="B499" s="15">
        <v>498</v>
      </c>
      <c r="C499" s="15" t="s">
        <v>11277</v>
      </c>
      <c r="D499" s="15" t="s">
        <v>11647</v>
      </c>
      <c r="E499" s="15" t="s">
        <v>133</v>
      </c>
      <c r="F499" s="15" t="s">
        <v>14611</v>
      </c>
      <c r="G499" s="15" t="s">
        <v>159</v>
      </c>
      <c r="H499" s="15">
        <v>24</v>
      </c>
      <c r="I499" s="15">
        <v>21</v>
      </c>
      <c r="J499" s="15">
        <v>90</v>
      </c>
      <c r="K499" s="15" t="str">
        <f t="shared" si="7"/>
        <v>northeastbronzelakedepths</v>
      </c>
      <c r="L499" s="15"/>
      <c r="M499" s="15"/>
      <c r="N499" s="15"/>
      <c r="O499" s="15"/>
      <c r="P499" s="15"/>
      <c r="Q499" s="15"/>
      <c r="R499" s="15"/>
      <c r="S499" s="15"/>
      <c r="T499" s="15">
        <v>0</v>
      </c>
      <c r="U499" s="15"/>
      <c r="V499" s="15"/>
      <c r="W499" s="15"/>
      <c r="X499" s="15"/>
      <c r="Y499" s="15"/>
      <c r="Z499" s="15"/>
    </row>
    <row r="500" spans="1:26" x14ac:dyDescent="0.25">
      <c r="A500" s="15" t="s">
        <v>14612</v>
      </c>
      <c r="B500" s="15">
        <v>499</v>
      </c>
      <c r="C500" s="15" t="s">
        <v>11277</v>
      </c>
      <c r="D500" s="15" t="s">
        <v>11647</v>
      </c>
      <c r="E500" s="15" t="s">
        <v>133</v>
      </c>
      <c r="F500" s="15" t="s">
        <v>14611</v>
      </c>
      <c r="G500" s="15" t="s">
        <v>11648</v>
      </c>
      <c r="H500" s="15">
        <v>24</v>
      </c>
      <c r="I500" s="15">
        <v>21</v>
      </c>
      <c r="J500" s="15">
        <v>86</v>
      </c>
      <c r="K500" s="15" t="str">
        <f t="shared" si="7"/>
        <v>northeastbronzelakedepths</v>
      </c>
      <c r="L500" s="15"/>
      <c r="M500" s="15"/>
      <c r="N500" s="15"/>
      <c r="O500" s="15"/>
      <c r="P500" s="15"/>
      <c r="Q500" s="15"/>
      <c r="R500" s="15"/>
      <c r="S500" s="15"/>
      <c r="T500" s="15">
        <v>0</v>
      </c>
      <c r="U500" s="15"/>
      <c r="V500" s="15"/>
      <c r="W500" s="15"/>
      <c r="X500" s="15"/>
      <c r="Y500" s="15"/>
      <c r="Z500" s="15"/>
    </row>
    <row r="501" spans="1:26" x14ac:dyDescent="0.25">
      <c r="A501" s="15" t="s">
        <v>14613</v>
      </c>
      <c r="B501" s="15">
        <v>500</v>
      </c>
      <c r="C501" s="15" t="s">
        <v>11277</v>
      </c>
      <c r="D501" s="15" t="s">
        <v>11647</v>
      </c>
      <c r="E501" s="15" t="s">
        <v>133</v>
      </c>
      <c r="F501" s="15" t="s">
        <v>14611</v>
      </c>
      <c r="G501" s="15" t="s">
        <v>11649</v>
      </c>
      <c r="H501" s="15">
        <v>24</v>
      </c>
      <c r="I501" s="15">
        <v>21</v>
      </c>
      <c r="J501" s="15">
        <v>86</v>
      </c>
      <c r="K501" s="15" t="str">
        <f t="shared" si="7"/>
        <v>northeastbronzelakedepths</v>
      </c>
      <c r="L501" s="15"/>
      <c r="M501" s="15"/>
      <c r="N501" s="15"/>
      <c r="O501" s="15"/>
      <c r="P501" s="15"/>
      <c r="Q501" s="15"/>
      <c r="R501" s="15"/>
      <c r="S501" s="15"/>
      <c r="T501" s="15">
        <v>0</v>
      </c>
      <c r="U501" s="15"/>
      <c r="V501" s="15"/>
      <c r="W501" s="15"/>
      <c r="X501" s="15"/>
      <c r="Y501" s="15"/>
      <c r="Z501" s="15"/>
    </row>
    <row r="502" spans="1:26" x14ac:dyDescent="0.25">
      <c r="A502" s="15" t="s">
        <v>14614</v>
      </c>
      <c r="B502" s="15">
        <v>501</v>
      </c>
      <c r="C502" s="15" t="s">
        <v>11277</v>
      </c>
      <c r="D502" s="15" t="s">
        <v>11647</v>
      </c>
      <c r="E502" s="15" t="s">
        <v>133</v>
      </c>
      <c r="F502" s="15" t="s">
        <v>14611</v>
      </c>
      <c r="G502" s="15" t="s">
        <v>11650</v>
      </c>
      <c r="H502" s="15">
        <v>24</v>
      </c>
      <c r="I502" s="15">
        <v>21</v>
      </c>
      <c r="J502" s="15">
        <v>87</v>
      </c>
      <c r="K502" s="15" t="str">
        <f t="shared" si="7"/>
        <v>northeastbronzelakedepths</v>
      </c>
      <c r="L502" s="15"/>
      <c r="M502" s="15"/>
      <c r="N502" s="15"/>
      <c r="O502" s="15"/>
      <c r="P502" s="15"/>
      <c r="Q502" s="15"/>
      <c r="R502" s="15"/>
      <c r="S502" s="15"/>
      <c r="T502" s="15">
        <v>0</v>
      </c>
      <c r="U502" s="15"/>
      <c r="V502" s="15"/>
      <c r="W502" s="15"/>
      <c r="X502" s="15"/>
      <c r="Y502" s="15"/>
      <c r="Z502" s="15"/>
    </row>
    <row r="503" spans="1:26" x14ac:dyDescent="0.25">
      <c r="A503" s="15" t="s">
        <v>14615</v>
      </c>
      <c r="B503" s="15">
        <v>502</v>
      </c>
      <c r="C503" s="15" t="s">
        <v>11277</v>
      </c>
      <c r="D503" s="15" t="s">
        <v>11647</v>
      </c>
      <c r="E503" s="15" t="s">
        <v>133</v>
      </c>
      <c r="F503" s="15" t="s">
        <v>14611</v>
      </c>
      <c r="G503" s="15" t="s">
        <v>11651</v>
      </c>
      <c r="H503" s="15">
        <v>24</v>
      </c>
      <c r="I503" s="15">
        <v>21</v>
      </c>
      <c r="J503" s="15">
        <v>88</v>
      </c>
      <c r="K503" s="15" t="str">
        <f t="shared" si="7"/>
        <v>northeastbronzelakedepths</v>
      </c>
      <c r="L503" s="15"/>
      <c r="M503" s="15"/>
      <c r="N503" s="15"/>
      <c r="O503" s="15"/>
      <c r="P503" s="15"/>
      <c r="Q503" s="15"/>
      <c r="R503" s="15"/>
      <c r="S503" s="15"/>
      <c r="T503" s="15">
        <v>0</v>
      </c>
      <c r="U503" s="15"/>
      <c r="V503" s="15"/>
      <c r="W503" s="15"/>
      <c r="X503" s="15"/>
      <c r="Y503" s="15"/>
      <c r="Z503" s="15"/>
    </row>
    <row r="504" spans="1:26" x14ac:dyDescent="0.25">
      <c r="A504" s="15" t="s">
        <v>14616</v>
      </c>
      <c r="B504" s="15">
        <v>503</v>
      </c>
      <c r="C504" s="15" t="s">
        <v>11277</v>
      </c>
      <c r="D504" s="15" t="s">
        <v>11647</v>
      </c>
      <c r="E504" s="15" t="s">
        <v>133</v>
      </c>
      <c r="F504" s="15" t="s">
        <v>14611</v>
      </c>
      <c r="G504" s="15" t="s">
        <v>161</v>
      </c>
      <c r="H504" s="15">
        <v>24</v>
      </c>
      <c r="I504" s="15">
        <v>21</v>
      </c>
      <c r="J504" s="15">
        <v>90</v>
      </c>
      <c r="K504" s="15" t="str">
        <f t="shared" si="7"/>
        <v>northeastbronzelakedepths</v>
      </c>
      <c r="L504" s="15"/>
      <c r="M504" s="15"/>
      <c r="N504" s="15"/>
      <c r="O504" s="15"/>
      <c r="P504" s="15" t="s">
        <v>14617</v>
      </c>
      <c r="Q504" s="15"/>
      <c r="R504" s="15"/>
      <c r="S504" s="15"/>
      <c r="T504" s="15">
        <v>0</v>
      </c>
      <c r="U504" s="15"/>
      <c r="V504" s="15"/>
      <c r="W504" s="15"/>
      <c r="X504" s="15"/>
      <c r="Y504" s="15"/>
      <c r="Z504" s="15"/>
    </row>
    <row r="505" spans="1:26" x14ac:dyDescent="0.25">
      <c r="A505" s="15" t="s">
        <v>14618</v>
      </c>
      <c r="B505" s="15">
        <v>504</v>
      </c>
      <c r="C505" s="15" t="s">
        <v>11277</v>
      </c>
      <c r="D505" s="15" t="s">
        <v>11647</v>
      </c>
      <c r="E505" s="15" t="s">
        <v>133</v>
      </c>
      <c r="F505" s="15" t="s">
        <v>14619</v>
      </c>
      <c r="G505" s="15" t="s">
        <v>11648</v>
      </c>
      <c r="H505" s="15">
        <v>18</v>
      </c>
      <c r="I505" s="15">
        <v>21</v>
      </c>
      <c r="J505" s="15">
        <v>86</v>
      </c>
      <c r="K505" s="15" t="str">
        <f t="shared" si="7"/>
        <v>northwestbronzelakedepths</v>
      </c>
      <c r="L505" s="15"/>
      <c r="M505" s="15"/>
      <c r="N505" s="15"/>
      <c r="O505" s="15"/>
      <c r="P505" s="15"/>
      <c r="Q505" s="15"/>
      <c r="R505" s="15"/>
      <c r="S505" s="15"/>
      <c r="T505" s="15">
        <v>0</v>
      </c>
      <c r="U505" s="15"/>
      <c r="V505" s="15"/>
      <c r="W505" s="15"/>
      <c r="X505" s="15"/>
      <c r="Y505" s="15"/>
      <c r="Z505" s="15"/>
    </row>
    <row r="506" spans="1:26" x14ac:dyDescent="0.25">
      <c r="A506" s="15" t="s">
        <v>14620</v>
      </c>
      <c r="B506" s="15">
        <v>505</v>
      </c>
      <c r="C506" s="15" t="s">
        <v>11277</v>
      </c>
      <c r="D506" s="15" t="s">
        <v>11647</v>
      </c>
      <c r="E506" s="15" t="s">
        <v>133</v>
      </c>
      <c r="F506" s="15" t="s">
        <v>14619</v>
      </c>
      <c r="G506" s="15" t="s">
        <v>11649</v>
      </c>
      <c r="H506" s="15">
        <v>18</v>
      </c>
      <c r="I506" s="15">
        <v>21</v>
      </c>
      <c r="J506" s="15">
        <v>86</v>
      </c>
      <c r="K506" s="15" t="str">
        <f t="shared" si="7"/>
        <v>northwestbronzelakedepths</v>
      </c>
      <c r="L506" s="15"/>
      <c r="M506" s="15"/>
      <c r="N506" s="15"/>
      <c r="O506" s="15"/>
      <c r="P506" s="15"/>
      <c r="Q506" s="15"/>
      <c r="R506" s="15"/>
      <c r="S506" s="15"/>
      <c r="T506" s="15">
        <v>0</v>
      </c>
      <c r="U506" s="15"/>
      <c r="V506" s="15"/>
      <c r="W506" s="15"/>
      <c r="X506" s="15"/>
      <c r="Y506" s="15"/>
      <c r="Z506" s="15"/>
    </row>
    <row r="507" spans="1:26" x14ac:dyDescent="0.25">
      <c r="A507" s="15" t="s">
        <v>14621</v>
      </c>
      <c r="B507" s="15">
        <v>506</v>
      </c>
      <c r="C507" s="15" t="s">
        <v>11277</v>
      </c>
      <c r="D507" s="15" t="s">
        <v>11647</v>
      </c>
      <c r="E507" s="15" t="s">
        <v>133</v>
      </c>
      <c r="F507" s="15" t="s">
        <v>14619</v>
      </c>
      <c r="G507" s="15" t="s">
        <v>11651</v>
      </c>
      <c r="H507" s="15">
        <v>18</v>
      </c>
      <c r="I507" s="15">
        <v>21</v>
      </c>
      <c r="J507" s="15">
        <v>88</v>
      </c>
      <c r="K507" s="15" t="str">
        <f t="shared" si="7"/>
        <v>northwestbronzelakedepths</v>
      </c>
      <c r="L507" s="15"/>
      <c r="M507" s="15"/>
      <c r="N507" s="15"/>
      <c r="O507" s="15"/>
      <c r="P507" s="15"/>
      <c r="Q507" s="15"/>
      <c r="R507" s="15"/>
      <c r="S507" s="15"/>
      <c r="T507" s="15">
        <v>0</v>
      </c>
      <c r="U507" s="15"/>
      <c r="V507" s="15"/>
      <c r="W507" s="15"/>
      <c r="X507" s="15"/>
      <c r="Y507" s="15"/>
      <c r="Z507" s="15"/>
    </row>
    <row r="508" spans="1:26" x14ac:dyDescent="0.25">
      <c r="A508" s="15" t="s">
        <v>14622</v>
      </c>
      <c r="B508" s="15">
        <v>507</v>
      </c>
      <c r="C508" s="15" t="s">
        <v>11277</v>
      </c>
      <c r="D508" s="15" t="s">
        <v>11647</v>
      </c>
      <c r="E508" s="15" t="s">
        <v>133</v>
      </c>
      <c r="F508" s="15" t="s">
        <v>14619</v>
      </c>
      <c r="G508" s="15" t="s">
        <v>11652</v>
      </c>
      <c r="H508" s="15">
        <v>18</v>
      </c>
      <c r="I508" s="15">
        <v>21</v>
      </c>
      <c r="J508" s="15">
        <v>87</v>
      </c>
      <c r="K508" s="15" t="str">
        <f t="shared" si="7"/>
        <v>northwestbronzelakedepths</v>
      </c>
      <c r="L508" s="15"/>
      <c r="M508" s="15"/>
      <c r="N508" s="15"/>
      <c r="O508" s="15"/>
      <c r="P508" s="15"/>
      <c r="Q508" s="15"/>
      <c r="R508" s="15"/>
      <c r="S508" s="15"/>
      <c r="T508" s="15">
        <v>0</v>
      </c>
      <c r="U508" s="15"/>
      <c r="V508" s="15"/>
      <c r="W508" s="15"/>
      <c r="X508" s="15"/>
      <c r="Y508" s="15"/>
      <c r="Z508" s="15"/>
    </row>
    <row r="509" spans="1:26" x14ac:dyDescent="0.25">
      <c r="A509" s="15" t="s">
        <v>14623</v>
      </c>
      <c r="B509" s="15">
        <v>508</v>
      </c>
      <c r="C509" s="15" t="s">
        <v>11277</v>
      </c>
      <c r="D509" s="15" t="s">
        <v>11277</v>
      </c>
      <c r="E509" s="15" t="s">
        <v>1067</v>
      </c>
      <c r="F509" s="15" t="s">
        <v>14624</v>
      </c>
      <c r="G509" s="15" t="s">
        <v>11429</v>
      </c>
      <c r="H509" s="15">
        <v>18</v>
      </c>
      <c r="I509" s="15">
        <v>24</v>
      </c>
      <c r="J509" s="15">
        <v>15</v>
      </c>
      <c r="K509" s="15" t="str">
        <f t="shared" si="7"/>
        <v>lowerhathoevariver</v>
      </c>
      <c r="L509" s="15" t="s">
        <v>11266</v>
      </c>
      <c r="M509" s="15">
        <v>2</v>
      </c>
      <c r="N509" s="15" t="s">
        <v>11223</v>
      </c>
      <c r="O509" s="15"/>
      <c r="P509" s="15"/>
      <c r="Q509" s="15"/>
      <c r="R509" s="15"/>
      <c r="S509" s="15"/>
      <c r="T509" s="15">
        <v>0</v>
      </c>
      <c r="U509" s="15"/>
      <c r="V509" s="15"/>
      <c r="W509" s="15"/>
      <c r="X509" s="15"/>
      <c r="Y509" s="15"/>
      <c r="Z509" s="15"/>
    </row>
    <row r="510" spans="1:26" x14ac:dyDescent="0.25">
      <c r="A510" s="15" t="s">
        <v>14625</v>
      </c>
      <c r="B510" s="15">
        <v>509</v>
      </c>
      <c r="C510" s="15" t="s">
        <v>11277</v>
      </c>
      <c r="D510" s="15" t="s">
        <v>11277</v>
      </c>
      <c r="E510" s="15" t="s">
        <v>1067</v>
      </c>
      <c r="F510" s="15" t="s">
        <v>14624</v>
      </c>
      <c r="G510" s="15" t="s">
        <v>11417</v>
      </c>
      <c r="H510" s="15">
        <v>18</v>
      </c>
      <c r="I510" s="15">
        <v>24</v>
      </c>
      <c r="J510" s="15">
        <v>16</v>
      </c>
      <c r="K510" s="15" t="str">
        <f t="shared" si="7"/>
        <v>lowerhathoevariver</v>
      </c>
      <c r="L510" s="15" t="s">
        <v>11254</v>
      </c>
      <c r="M510" s="15">
        <v>1</v>
      </c>
      <c r="N510" s="15" t="s">
        <v>11222</v>
      </c>
      <c r="O510" s="15"/>
      <c r="P510" s="15"/>
      <c r="Q510" s="15"/>
      <c r="R510" s="15"/>
      <c r="S510" s="15"/>
      <c r="T510" s="15">
        <v>0</v>
      </c>
      <c r="U510" s="15"/>
      <c r="V510" s="15"/>
      <c r="W510" s="15"/>
      <c r="X510" s="15"/>
      <c r="Y510" s="15"/>
      <c r="Z510" s="15"/>
    </row>
    <row r="511" spans="1:26" x14ac:dyDescent="0.25">
      <c r="A511" s="15" t="s">
        <v>14626</v>
      </c>
      <c r="B511" s="15">
        <v>510</v>
      </c>
      <c r="C511" s="15" t="s">
        <v>11277</v>
      </c>
      <c r="D511" s="15" t="s">
        <v>11277</v>
      </c>
      <c r="E511" s="15" t="s">
        <v>1067</v>
      </c>
      <c r="F511" s="15" t="s">
        <v>14624</v>
      </c>
      <c r="G511" s="15" t="s">
        <v>11304</v>
      </c>
      <c r="H511" s="15">
        <v>18</v>
      </c>
      <c r="I511" s="15">
        <v>24</v>
      </c>
      <c r="J511" s="15">
        <v>17</v>
      </c>
      <c r="K511" s="15" t="str">
        <f t="shared" si="7"/>
        <v>lowerhathoevariver</v>
      </c>
      <c r="L511" s="15" t="s">
        <v>11254</v>
      </c>
      <c r="M511" s="15">
        <v>2</v>
      </c>
      <c r="N511" s="15" t="s">
        <v>11223</v>
      </c>
      <c r="O511" s="15"/>
      <c r="P511" s="15"/>
      <c r="Q511" s="15"/>
      <c r="R511" s="15"/>
      <c r="S511" s="15"/>
      <c r="T511" s="15">
        <v>0</v>
      </c>
      <c r="U511" s="15"/>
      <c r="V511" s="15"/>
      <c r="W511" s="15"/>
      <c r="X511" s="15"/>
      <c r="Y511" s="15"/>
      <c r="Z511" s="15"/>
    </row>
    <row r="512" spans="1:26" x14ac:dyDescent="0.25">
      <c r="A512" s="15" t="s">
        <v>14627</v>
      </c>
      <c r="B512" s="15">
        <v>511</v>
      </c>
      <c r="C512" s="15" t="s">
        <v>11277</v>
      </c>
      <c r="D512" s="15" t="s">
        <v>11277</v>
      </c>
      <c r="E512" s="15" t="s">
        <v>1067</v>
      </c>
      <c r="F512" s="15" t="s">
        <v>14624</v>
      </c>
      <c r="G512" s="15" t="s">
        <v>11369</v>
      </c>
      <c r="H512" s="15">
        <v>18</v>
      </c>
      <c r="I512" s="15">
        <v>24</v>
      </c>
      <c r="J512" s="15">
        <v>21</v>
      </c>
      <c r="K512" s="15" t="str">
        <f t="shared" si="7"/>
        <v>lowerhathoevariver</v>
      </c>
      <c r="L512" s="15" t="s">
        <v>11355</v>
      </c>
      <c r="M512" s="15">
        <v>1</v>
      </c>
      <c r="N512" s="15" t="s">
        <v>11222</v>
      </c>
      <c r="O512" s="15"/>
      <c r="P512" s="15"/>
      <c r="Q512" s="15"/>
      <c r="R512" s="15"/>
      <c r="S512" s="15"/>
      <c r="T512" s="15">
        <v>0</v>
      </c>
      <c r="U512" s="15"/>
      <c r="V512" s="15"/>
      <c r="W512" s="15"/>
      <c r="X512" s="15"/>
      <c r="Y512" s="15"/>
      <c r="Z512" s="15"/>
    </row>
    <row r="513" spans="1:26" x14ac:dyDescent="0.25">
      <c r="A513" s="15" t="s">
        <v>14628</v>
      </c>
      <c r="B513" s="15">
        <v>512</v>
      </c>
      <c r="C513" s="15" t="s">
        <v>11277</v>
      </c>
      <c r="D513" s="15" t="s">
        <v>11277</v>
      </c>
      <c r="E513" s="15" t="s">
        <v>1067</v>
      </c>
      <c r="F513" s="15" t="s">
        <v>14624</v>
      </c>
      <c r="G513" s="15" t="s">
        <v>11272</v>
      </c>
      <c r="H513" s="15">
        <v>18</v>
      </c>
      <c r="I513" s="15">
        <v>24</v>
      </c>
      <c r="J513" s="15">
        <v>22</v>
      </c>
      <c r="K513" s="15" t="str">
        <f t="shared" si="7"/>
        <v>lowerhathoevariver</v>
      </c>
      <c r="L513" s="15" t="s">
        <v>14088</v>
      </c>
      <c r="M513" s="15">
        <v>1</v>
      </c>
      <c r="N513" s="15" t="s">
        <v>11222</v>
      </c>
      <c r="O513" s="15"/>
      <c r="P513" s="15"/>
      <c r="Q513" s="15" t="s">
        <v>11417</v>
      </c>
      <c r="R513" s="15"/>
      <c r="S513" s="15"/>
      <c r="T513" s="15">
        <v>0</v>
      </c>
      <c r="U513" s="15"/>
      <c r="V513" s="15"/>
      <c r="W513" s="15"/>
      <c r="X513" s="15"/>
      <c r="Y513" s="15"/>
      <c r="Z513" s="15"/>
    </row>
    <row r="514" spans="1:26" x14ac:dyDescent="0.25">
      <c r="A514" s="15" t="s">
        <v>14629</v>
      </c>
      <c r="B514" s="15">
        <v>513</v>
      </c>
      <c r="C514" s="15" t="s">
        <v>11277</v>
      </c>
      <c r="D514" s="15" t="s">
        <v>11277</v>
      </c>
      <c r="E514" s="15" t="s">
        <v>1067</v>
      </c>
      <c r="F514" s="15" t="s">
        <v>14624</v>
      </c>
      <c r="G514" s="15" t="s">
        <v>11415</v>
      </c>
      <c r="H514" s="15">
        <v>18</v>
      </c>
      <c r="I514" s="15">
        <v>24</v>
      </c>
      <c r="J514" s="15">
        <v>25</v>
      </c>
      <c r="K514" s="15" t="str">
        <f t="shared" ref="K514:K577" si="8">LOWER(SUBSTITUTE(SUBSTITUTE(SUBSTITUTE(SUBSTITUTE(SUBSTITUTE(F514," ",""),"(",""),")",""),"'",""),"-",""))</f>
        <v>lowerhathoevariver</v>
      </c>
      <c r="L514" s="15" t="s">
        <v>11271</v>
      </c>
      <c r="M514" s="15">
        <v>2</v>
      </c>
      <c r="N514" s="15" t="s">
        <v>11223</v>
      </c>
      <c r="O514" s="15" t="s">
        <v>14041</v>
      </c>
      <c r="P514" s="15"/>
      <c r="Q514" s="15"/>
      <c r="R514" s="15"/>
      <c r="S514" s="15"/>
      <c r="T514" s="15">
        <v>0</v>
      </c>
      <c r="U514" s="15"/>
      <c r="V514" s="15"/>
      <c r="W514" s="15"/>
      <c r="X514" s="15"/>
      <c r="Y514" s="15"/>
      <c r="Z514" s="15"/>
    </row>
    <row r="515" spans="1:26" x14ac:dyDescent="0.25">
      <c r="A515" s="15" t="s">
        <v>14630</v>
      </c>
      <c r="B515" s="15">
        <v>514</v>
      </c>
      <c r="C515" s="15" t="s">
        <v>11277</v>
      </c>
      <c r="D515" s="15" t="s">
        <v>11277</v>
      </c>
      <c r="E515" s="15" t="s">
        <v>1067</v>
      </c>
      <c r="F515" s="15" t="s">
        <v>14624</v>
      </c>
      <c r="G515" s="15" t="s">
        <v>11435</v>
      </c>
      <c r="H515" s="15">
        <v>18</v>
      </c>
      <c r="I515" s="15">
        <v>24</v>
      </c>
      <c r="J515" s="15">
        <v>27</v>
      </c>
      <c r="K515" s="15" t="str">
        <f t="shared" si="8"/>
        <v>lowerhathoevariver</v>
      </c>
      <c r="L515" s="15" t="s">
        <v>11416</v>
      </c>
      <c r="M515" s="15">
        <v>1</v>
      </c>
      <c r="N515" s="15" t="s">
        <v>11222</v>
      </c>
      <c r="O515" s="15"/>
      <c r="P515" s="15"/>
      <c r="Q515" s="15"/>
      <c r="R515" s="15"/>
      <c r="S515" s="15"/>
      <c r="T515" s="15">
        <v>0</v>
      </c>
      <c r="U515" s="15"/>
      <c r="V515" s="15"/>
      <c r="W515" s="15"/>
      <c r="X515" s="15"/>
      <c r="Y515" s="15"/>
      <c r="Z515" s="15"/>
    </row>
    <row r="516" spans="1:26" x14ac:dyDescent="0.25">
      <c r="A516" s="15" t="s">
        <v>14631</v>
      </c>
      <c r="B516" s="15">
        <v>515</v>
      </c>
      <c r="C516" s="15" t="s">
        <v>11277</v>
      </c>
      <c r="D516" s="15" t="s">
        <v>11277</v>
      </c>
      <c r="E516" s="15" t="s">
        <v>1067</v>
      </c>
      <c r="F516" s="15" t="s">
        <v>14624</v>
      </c>
      <c r="G516" s="15" t="s">
        <v>11436</v>
      </c>
      <c r="H516" s="15">
        <v>18</v>
      </c>
      <c r="I516" s="15">
        <v>24</v>
      </c>
      <c r="J516" s="15">
        <v>28</v>
      </c>
      <c r="K516" s="15" t="str">
        <f t="shared" si="8"/>
        <v>lowerhathoevariver</v>
      </c>
      <c r="L516" s="15" t="s">
        <v>11416</v>
      </c>
      <c r="M516" s="15">
        <v>2</v>
      </c>
      <c r="N516" s="15" t="s">
        <v>11223</v>
      </c>
      <c r="O516" s="15"/>
      <c r="P516" s="15"/>
      <c r="Q516" s="15"/>
      <c r="R516" s="15"/>
      <c r="S516" s="15"/>
      <c r="T516" s="15">
        <v>0</v>
      </c>
      <c r="U516" s="15"/>
      <c r="V516" s="15"/>
      <c r="W516" s="15"/>
      <c r="X516" s="15"/>
      <c r="Y516" s="15"/>
      <c r="Z516" s="15"/>
    </row>
    <row r="517" spans="1:26" x14ac:dyDescent="0.25">
      <c r="A517" s="15" t="s">
        <v>14632</v>
      </c>
      <c r="B517" s="15">
        <v>516</v>
      </c>
      <c r="C517" s="15" t="s">
        <v>11277</v>
      </c>
      <c r="D517" s="15" t="s">
        <v>11277</v>
      </c>
      <c r="E517" s="15" t="s">
        <v>1067</v>
      </c>
      <c r="F517" s="15" t="s">
        <v>14624</v>
      </c>
      <c r="G517" s="15" t="s">
        <v>11439</v>
      </c>
      <c r="H517" s="15">
        <v>18</v>
      </c>
      <c r="I517" s="15">
        <v>24</v>
      </c>
      <c r="J517" s="15">
        <v>38</v>
      </c>
      <c r="K517" s="15" t="str">
        <f t="shared" si="8"/>
        <v>lowerhathoevariver</v>
      </c>
      <c r="L517" s="15" t="s">
        <v>11268</v>
      </c>
      <c r="M517" s="15">
        <v>2</v>
      </c>
      <c r="N517" s="15" t="s">
        <v>11223</v>
      </c>
      <c r="O517" s="15"/>
      <c r="P517" s="15"/>
      <c r="Q517" s="15"/>
      <c r="R517" s="15"/>
      <c r="S517" s="15"/>
      <c r="T517" s="15">
        <v>0</v>
      </c>
      <c r="U517" s="15"/>
      <c r="V517" s="15"/>
      <c r="W517" s="15"/>
      <c r="X517" s="15"/>
      <c r="Y517" s="15"/>
      <c r="Z517" s="15"/>
    </row>
    <row r="518" spans="1:26" x14ac:dyDescent="0.25">
      <c r="A518" s="15" t="s">
        <v>14633</v>
      </c>
      <c r="B518" s="15">
        <v>517</v>
      </c>
      <c r="C518" s="15" t="s">
        <v>11277</v>
      </c>
      <c r="D518" s="15" t="s">
        <v>11277</v>
      </c>
      <c r="E518" s="15" t="s">
        <v>1067</v>
      </c>
      <c r="F518" s="15" t="s">
        <v>14624</v>
      </c>
      <c r="G518" s="15" t="s">
        <v>11447</v>
      </c>
      <c r="H518" s="15">
        <v>18</v>
      </c>
      <c r="I518" s="15">
        <v>24</v>
      </c>
      <c r="J518" s="15">
        <v>50</v>
      </c>
      <c r="K518" s="15" t="str">
        <f t="shared" si="8"/>
        <v>lowerhathoevariver</v>
      </c>
      <c r="L518" s="15" t="s">
        <v>11416</v>
      </c>
      <c r="M518" s="15">
        <v>3</v>
      </c>
      <c r="N518" s="15" t="s">
        <v>11223</v>
      </c>
      <c r="O518" s="15" t="s">
        <v>11240</v>
      </c>
      <c r="P518" s="15"/>
      <c r="Q518" s="15"/>
      <c r="R518" s="15"/>
      <c r="S518" s="15"/>
      <c r="T518" s="15">
        <v>3</v>
      </c>
      <c r="U518" s="15" t="s">
        <v>5908</v>
      </c>
      <c r="V518" s="15" t="s">
        <v>5914</v>
      </c>
      <c r="W518" s="15"/>
      <c r="X518" s="15"/>
      <c r="Y518" s="15"/>
      <c r="Z518" s="15"/>
    </row>
    <row r="519" spans="1:26" x14ac:dyDescent="0.25">
      <c r="A519" s="15" t="s">
        <v>14634</v>
      </c>
      <c r="B519" s="15">
        <v>518</v>
      </c>
      <c r="C519" s="15" t="s">
        <v>11277</v>
      </c>
      <c r="D519" s="15" t="s">
        <v>11277</v>
      </c>
      <c r="E519" s="15" t="s">
        <v>1067</v>
      </c>
      <c r="F519" s="15" t="s">
        <v>14635</v>
      </c>
      <c r="G519" s="15" t="s">
        <v>11429</v>
      </c>
      <c r="H519" s="15">
        <v>24</v>
      </c>
      <c r="I519" s="15">
        <v>22</v>
      </c>
      <c r="J519" s="15">
        <v>15</v>
      </c>
      <c r="K519" s="15" t="str">
        <f t="shared" si="8"/>
        <v>easthathoevariver</v>
      </c>
      <c r="L519" s="15" t="s">
        <v>11266</v>
      </c>
      <c r="M519" s="15">
        <v>2</v>
      </c>
      <c r="N519" s="15" t="s">
        <v>11223</v>
      </c>
      <c r="O519" s="15"/>
      <c r="P519" s="15"/>
      <c r="Q519" s="15"/>
      <c r="R519" s="15"/>
      <c r="S519" s="15"/>
      <c r="T519" s="15">
        <v>0</v>
      </c>
      <c r="U519" s="15"/>
      <c r="V519" s="15"/>
      <c r="W519" s="15"/>
      <c r="X519" s="15"/>
      <c r="Y519" s="15"/>
      <c r="Z519" s="15"/>
    </row>
    <row r="520" spans="1:26" x14ac:dyDescent="0.25">
      <c r="A520" s="15" t="s">
        <v>14636</v>
      </c>
      <c r="B520" s="15">
        <v>519</v>
      </c>
      <c r="C520" s="15" t="s">
        <v>11277</v>
      </c>
      <c r="D520" s="15" t="s">
        <v>11277</v>
      </c>
      <c r="E520" s="15" t="s">
        <v>1067</v>
      </c>
      <c r="F520" s="15" t="s">
        <v>14635</v>
      </c>
      <c r="G520" s="15" t="s">
        <v>11304</v>
      </c>
      <c r="H520" s="15">
        <v>24</v>
      </c>
      <c r="I520" s="15">
        <v>22</v>
      </c>
      <c r="J520" s="15">
        <v>17</v>
      </c>
      <c r="K520" s="15" t="str">
        <f t="shared" si="8"/>
        <v>easthathoevariver</v>
      </c>
      <c r="L520" s="15" t="s">
        <v>11254</v>
      </c>
      <c r="M520" s="15">
        <v>2</v>
      </c>
      <c r="N520" s="15" t="s">
        <v>11223</v>
      </c>
      <c r="O520" s="15"/>
      <c r="P520" s="15"/>
      <c r="Q520" s="15"/>
      <c r="R520" s="15"/>
      <c r="S520" s="15"/>
      <c r="T520" s="15">
        <v>0</v>
      </c>
      <c r="U520" s="15"/>
      <c r="V520" s="15"/>
      <c r="W520" s="15"/>
      <c r="X520" s="15"/>
      <c r="Y520" s="15"/>
      <c r="Z520" s="15"/>
    </row>
    <row r="521" spans="1:26" x14ac:dyDescent="0.25">
      <c r="A521" s="15" t="s">
        <v>14637</v>
      </c>
      <c r="B521" s="15">
        <v>520</v>
      </c>
      <c r="C521" s="15" t="s">
        <v>11277</v>
      </c>
      <c r="D521" s="15" t="s">
        <v>11277</v>
      </c>
      <c r="E521" s="15" t="s">
        <v>1067</v>
      </c>
      <c r="F521" s="15" t="s">
        <v>14635</v>
      </c>
      <c r="G521" s="15" t="s">
        <v>11351</v>
      </c>
      <c r="H521" s="15">
        <v>24</v>
      </c>
      <c r="I521" s="15">
        <v>22</v>
      </c>
      <c r="J521" s="15">
        <v>18</v>
      </c>
      <c r="K521" s="15" t="str">
        <f t="shared" si="8"/>
        <v>easthathoevariver</v>
      </c>
      <c r="L521" s="15" t="s">
        <v>11254</v>
      </c>
      <c r="M521" s="15">
        <v>1</v>
      </c>
      <c r="N521" s="15" t="s">
        <v>11222</v>
      </c>
      <c r="O521" s="15" t="s">
        <v>14028</v>
      </c>
      <c r="P521" s="15"/>
      <c r="Q521" s="15"/>
      <c r="R521" s="15"/>
      <c r="S521" s="15"/>
      <c r="T521" s="15">
        <v>0</v>
      </c>
      <c r="U521" s="15"/>
      <c r="V521" s="15"/>
      <c r="W521" s="15"/>
      <c r="X521" s="15"/>
      <c r="Y521" s="15"/>
      <c r="Z521" s="15"/>
    </row>
    <row r="522" spans="1:26" x14ac:dyDescent="0.25">
      <c r="A522" s="15" t="s">
        <v>14638</v>
      </c>
      <c r="B522" s="15">
        <v>521</v>
      </c>
      <c r="C522" s="15" t="s">
        <v>11277</v>
      </c>
      <c r="D522" s="15" t="s">
        <v>11277</v>
      </c>
      <c r="E522" s="15" t="s">
        <v>1067</v>
      </c>
      <c r="F522" s="15" t="s">
        <v>14635</v>
      </c>
      <c r="G522" s="15" t="s">
        <v>11270</v>
      </c>
      <c r="H522" s="15">
        <v>24</v>
      </c>
      <c r="I522" s="15">
        <v>22</v>
      </c>
      <c r="J522" s="15">
        <v>20</v>
      </c>
      <c r="K522" s="15" t="str">
        <f t="shared" si="8"/>
        <v>easthathoevariver</v>
      </c>
      <c r="L522" s="15" t="s">
        <v>11271</v>
      </c>
      <c r="M522" s="15">
        <v>1</v>
      </c>
      <c r="N522" s="15" t="s">
        <v>11222</v>
      </c>
      <c r="O522" s="15"/>
      <c r="P522" s="15"/>
      <c r="Q522" s="15"/>
      <c r="R522" s="15"/>
      <c r="S522" s="15"/>
      <c r="T522" s="15">
        <v>0</v>
      </c>
      <c r="U522" s="15"/>
      <c r="V522" s="15"/>
      <c r="W522" s="15"/>
      <c r="X522" s="15"/>
      <c r="Y522" s="15"/>
      <c r="Z522" s="15"/>
    </row>
    <row r="523" spans="1:26" x14ac:dyDescent="0.25">
      <c r="A523" s="15" t="s">
        <v>14639</v>
      </c>
      <c r="B523" s="15">
        <v>522</v>
      </c>
      <c r="C523" s="15" t="s">
        <v>11277</v>
      </c>
      <c r="D523" s="15" t="s">
        <v>11277</v>
      </c>
      <c r="E523" s="15" t="s">
        <v>1067</v>
      </c>
      <c r="F523" s="15" t="s">
        <v>14635</v>
      </c>
      <c r="G523" s="15" t="s">
        <v>11369</v>
      </c>
      <c r="H523" s="15">
        <v>24</v>
      </c>
      <c r="I523" s="15">
        <v>22</v>
      </c>
      <c r="J523" s="15">
        <v>21</v>
      </c>
      <c r="K523" s="15" t="str">
        <f t="shared" si="8"/>
        <v>easthathoevariver</v>
      </c>
      <c r="L523" s="15" t="s">
        <v>11355</v>
      </c>
      <c r="M523" s="15">
        <v>1</v>
      </c>
      <c r="N523" s="15" t="s">
        <v>11222</v>
      </c>
      <c r="O523" s="15"/>
      <c r="P523" s="15"/>
      <c r="Q523" s="15"/>
      <c r="R523" s="15"/>
      <c r="S523" s="15"/>
      <c r="T523" s="15">
        <v>0</v>
      </c>
      <c r="U523" s="15"/>
      <c r="V523" s="15"/>
      <c r="W523" s="15"/>
      <c r="X523" s="15"/>
      <c r="Y523" s="15"/>
      <c r="Z523" s="15"/>
    </row>
    <row r="524" spans="1:26" x14ac:dyDescent="0.25">
      <c r="A524" s="15" t="s">
        <v>14640</v>
      </c>
      <c r="B524" s="15">
        <v>523</v>
      </c>
      <c r="C524" s="15" t="s">
        <v>11277</v>
      </c>
      <c r="D524" s="15" t="s">
        <v>11277</v>
      </c>
      <c r="E524" s="15" t="s">
        <v>1067</v>
      </c>
      <c r="F524" s="15" t="s">
        <v>14635</v>
      </c>
      <c r="G524" s="15" t="s">
        <v>11272</v>
      </c>
      <c r="H524" s="15">
        <v>24</v>
      </c>
      <c r="I524" s="15">
        <v>22</v>
      </c>
      <c r="J524" s="15">
        <v>22</v>
      </c>
      <c r="K524" s="15" t="str">
        <f t="shared" si="8"/>
        <v>easthathoevariver</v>
      </c>
      <c r="L524" s="15" t="s">
        <v>14088</v>
      </c>
      <c r="M524" s="15">
        <v>1</v>
      </c>
      <c r="N524" s="15" t="s">
        <v>11222</v>
      </c>
      <c r="O524" s="15"/>
      <c r="P524" s="15"/>
      <c r="Q524" s="15" t="s">
        <v>11270</v>
      </c>
      <c r="R524" s="15"/>
      <c r="S524" s="15"/>
      <c r="T524" s="15">
        <v>0</v>
      </c>
      <c r="U524" s="15"/>
      <c r="V524" s="15"/>
      <c r="W524" s="15"/>
      <c r="X524" s="15"/>
      <c r="Y524" s="15"/>
      <c r="Z524" s="15"/>
    </row>
    <row r="525" spans="1:26" x14ac:dyDescent="0.25">
      <c r="A525" s="15" t="s">
        <v>14641</v>
      </c>
      <c r="B525" s="15">
        <v>524</v>
      </c>
      <c r="C525" s="15" t="s">
        <v>11277</v>
      </c>
      <c r="D525" s="15" t="s">
        <v>11277</v>
      </c>
      <c r="E525" s="15" t="s">
        <v>1067</v>
      </c>
      <c r="F525" s="15" t="s">
        <v>14635</v>
      </c>
      <c r="G525" s="15" t="s">
        <v>11415</v>
      </c>
      <c r="H525" s="15">
        <v>24</v>
      </c>
      <c r="I525" s="15">
        <v>22</v>
      </c>
      <c r="J525" s="15">
        <v>25</v>
      </c>
      <c r="K525" s="15" t="str">
        <f t="shared" si="8"/>
        <v>easthathoevariver</v>
      </c>
      <c r="L525" s="15" t="s">
        <v>11271</v>
      </c>
      <c r="M525" s="15">
        <v>2</v>
      </c>
      <c r="N525" s="15" t="s">
        <v>11223</v>
      </c>
      <c r="O525" s="15" t="s">
        <v>14041</v>
      </c>
      <c r="P525" s="15"/>
      <c r="Q525" s="15"/>
      <c r="R525" s="15"/>
      <c r="S525" s="15"/>
      <c r="T525" s="15">
        <v>0</v>
      </c>
      <c r="U525" s="15"/>
      <c r="V525" s="15"/>
      <c r="W525" s="15"/>
      <c r="X525" s="15"/>
      <c r="Y525" s="15"/>
      <c r="Z525" s="15"/>
    </row>
    <row r="526" spans="1:26" x14ac:dyDescent="0.25">
      <c r="A526" s="15" t="s">
        <v>14642</v>
      </c>
      <c r="B526" s="15">
        <v>525</v>
      </c>
      <c r="C526" s="15" t="s">
        <v>11277</v>
      </c>
      <c r="D526" s="15" t="s">
        <v>11277</v>
      </c>
      <c r="E526" s="15" t="s">
        <v>1067</v>
      </c>
      <c r="F526" s="15" t="s">
        <v>14635</v>
      </c>
      <c r="G526" s="15" t="s">
        <v>11439</v>
      </c>
      <c r="H526" s="15">
        <v>24</v>
      </c>
      <c r="I526" s="15">
        <v>22</v>
      </c>
      <c r="J526" s="15">
        <v>38</v>
      </c>
      <c r="K526" s="15" t="str">
        <f t="shared" si="8"/>
        <v>easthathoevariver</v>
      </c>
      <c r="L526" s="15" t="s">
        <v>11268</v>
      </c>
      <c r="M526" s="15">
        <v>2</v>
      </c>
      <c r="N526" s="15" t="s">
        <v>11223</v>
      </c>
      <c r="O526" s="15"/>
      <c r="P526" s="15"/>
      <c r="Q526" s="15"/>
      <c r="R526" s="15"/>
      <c r="S526" s="15"/>
      <c r="T526" s="15">
        <v>0</v>
      </c>
      <c r="U526" s="15"/>
      <c r="V526" s="15"/>
      <c r="W526" s="15"/>
      <c r="X526" s="15"/>
      <c r="Y526" s="15"/>
      <c r="Z526" s="15"/>
    </row>
    <row r="527" spans="1:26" x14ac:dyDescent="0.25">
      <c r="A527" s="15" t="s">
        <v>14643</v>
      </c>
      <c r="B527" s="15">
        <v>526</v>
      </c>
      <c r="C527" s="15" t="s">
        <v>11277</v>
      </c>
      <c r="D527" s="15" t="s">
        <v>11277</v>
      </c>
      <c r="E527" s="15" t="s">
        <v>1067</v>
      </c>
      <c r="F527" s="15" t="s">
        <v>14635</v>
      </c>
      <c r="G527" s="15" t="s">
        <v>11448</v>
      </c>
      <c r="H527" s="15">
        <v>24</v>
      </c>
      <c r="I527" s="15">
        <v>22</v>
      </c>
      <c r="J527" s="15">
        <v>50</v>
      </c>
      <c r="K527" s="15" t="str">
        <f t="shared" si="8"/>
        <v>easthathoevariver</v>
      </c>
      <c r="L527" s="15" t="s">
        <v>11323</v>
      </c>
      <c r="M527" s="15">
        <v>3</v>
      </c>
      <c r="N527" s="15" t="s">
        <v>11223</v>
      </c>
      <c r="O527" s="15"/>
      <c r="P527" s="15"/>
      <c r="Q527" s="15"/>
      <c r="R527" s="15"/>
      <c r="S527" s="15"/>
      <c r="T527" s="15">
        <v>3</v>
      </c>
      <c r="U527" s="15"/>
      <c r="V527" s="15"/>
      <c r="W527" s="15"/>
      <c r="X527" s="15"/>
      <c r="Y527" s="15"/>
      <c r="Z527" s="15"/>
    </row>
    <row r="528" spans="1:26" x14ac:dyDescent="0.25">
      <c r="A528" s="15" t="s">
        <v>14644</v>
      </c>
      <c r="B528" s="15">
        <v>527</v>
      </c>
      <c r="C528" s="15" t="s">
        <v>11277</v>
      </c>
      <c r="D528" s="15" t="s">
        <v>11277</v>
      </c>
      <c r="E528" s="15" t="s">
        <v>1067</v>
      </c>
      <c r="F528" s="15" t="s">
        <v>14645</v>
      </c>
      <c r="G528" s="15" t="s">
        <v>11429</v>
      </c>
      <c r="H528" s="15">
        <v>19</v>
      </c>
      <c r="I528" s="15">
        <v>22</v>
      </c>
      <c r="J528" s="15">
        <v>15</v>
      </c>
      <c r="K528" s="15" t="str">
        <f t="shared" si="8"/>
        <v>middlehathoevariver</v>
      </c>
      <c r="L528" s="15" t="s">
        <v>11266</v>
      </c>
      <c r="M528" s="15">
        <v>2</v>
      </c>
      <c r="N528" s="15" t="s">
        <v>11223</v>
      </c>
      <c r="O528" s="15"/>
      <c r="P528" s="15"/>
      <c r="Q528" s="15"/>
      <c r="R528" s="15"/>
      <c r="S528" s="15"/>
      <c r="T528" s="15">
        <v>0</v>
      </c>
      <c r="U528" s="15"/>
      <c r="V528" s="15"/>
      <c r="W528" s="15"/>
      <c r="X528" s="15"/>
      <c r="Y528" s="15"/>
      <c r="Z528" s="15"/>
    </row>
    <row r="529" spans="1:26" x14ac:dyDescent="0.25">
      <c r="A529" s="15" t="s">
        <v>14646</v>
      </c>
      <c r="B529" s="15">
        <v>528</v>
      </c>
      <c r="C529" s="15" t="s">
        <v>11277</v>
      </c>
      <c r="D529" s="15" t="s">
        <v>11277</v>
      </c>
      <c r="E529" s="15" t="s">
        <v>1067</v>
      </c>
      <c r="F529" s="15" t="s">
        <v>14645</v>
      </c>
      <c r="G529" s="15" t="s">
        <v>11351</v>
      </c>
      <c r="H529" s="15">
        <v>19</v>
      </c>
      <c r="I529" s="15">
        <v>22</v>
      </c>
      <c r="J529" s="15">
        <v>18</v>
      </c>
      <c r="K529" s="15" t="str">
        <f t="shared" si="8"/>
        <v>middlehathoevariver</v>
      </c>
      <c r="L529" s="15" t="s">
        <v>11254</v>
      </c>
      <c r="M529" s="15">
        <v>1</v>
      </c>
      <c r="N529" s="15" t="s">
        <v>11222</v>
      </c>
      <c r="O529" s="15" t="s">
        <v>14028</v>
      </c>
      <c r="P529" s="15"/>
      <c r="Q529" s="15"/>
      <c r="R529" s="15"/>
      <c r="S529" s="15"/>
      <c r="T529" s="15">
        <v>0</v>
      </c>
      <c r="U529" s="15"/>
      <c r="V529" s="15"/>
      <c r="W529" s="15"/>
      <c r="X529" s="15"/>
      <c r="Y529" s="15"/>
      <c r="Z529" s="15"/>
    </row>
    <row r="530" spans="1:26" x14ac:dyDescent="0.25">
      <c r="A530" s="15" t="s">
        <v>14647</v>
      </c>
      <c r="B530" s="15">
        <v>529</v>
      </c>
      <c r="C530" s="15" t="s">
        <v>11277</v>
      </c>
      <c r="D530" s="15" t="s">
        <v>11277</v>
      </c>
      <c r="E530" s="15" t="s">
        <v>1067</v>
      </c>
      <c r="F530" s="15" t="s">
        <v>14645</v>
      </c>
      <c r="G530" s="15" t="s">
        <v>11449</v>
      </c>
      <c r="H530" s="15">
        <v>19</v>
      </c>
      <c r="I530" s="15">
        <v>22</v>
      </c>
      <c r="J530" s="15">
        <v>26</v>
      </c>
      <c r="K530" s="15" t="str">
        <f t="shared" si="8"/>
        <v>middlehathoevariver</v>
      </c>
      <c r="L530" s="15" t="s">
        <v>11315</v>
      </c>
      <c r="M530" s="15">
        <v>1</v>
      </c>
      <c r="N530" s="15" t="s">
        <v>11222</v>
      </c>
      <c r="O530" s="15"/>
      <c r="P530" s="15"/>
      <c r="Q530" s="15"/>
      <c r="R530" s="15"/>
      <c r="S530" s="15"/>
      <c r="T530" s="15">
        <v>0</v>
      </c>
      <c r="U530" s="15"/>
      <c r="V530" s="15"/>
      <c r="W530" s="15"/>
      <c r="X530" s="15"/>
      <c r="Y530" s="15"/>
      <c r="Z530" s="15"/>
    </row>
    <row r="531" spans="1:26" x14ac:dyDescent="0.25">
      <c r="A531" s="15" t="s">
        <v>14648</v>
      </c>
      <c r="B531" s="15">
        <v>530</v>
      </c>
      <c r="C531" s="15" t="s">
        <v>11277</v>
      </c>
      <c r="D531" s="15" t="s">
        <v>11277</v>
      </c>
      <c r="E531" s="15" t="s">
        <v>1067</v>
      </c>
      <c r="F531" s="15" t="s">
        <v>14645</v>
      </c>
      <c r="G531" s="15" t="s">
        <v>11436</v>
      </c>
      <c r="H531" s="15">
        <v>19</v>
      </c>
      <c r="I531" s="15">
        <v>22</v>
      </c>
      <c r="J531" s="15">
        <v>28</v>
      </c>
      <c r="K531" s="15" t="str">
        <f t="shared" si="8"/>
        <v>middlehathoevariver</v>
      </c>
      <c r="L531" s="15" t="s">
        <v>11416</v>
      </c>
      <c r="M531" s="15">
        <v>2</v>
      </c>
      <c r="N531" s="15" t="s">
        <v>11223</v>
      </c>
      <c r="O531" s="15"/>
      <c r="P531" s="15"/>
      <c r="Q531" s="15"/>
      <c r="R531" s="15"/>
      <c r="S531" s="15"/>
      <c r="T531" s="15">
        <v>0</v>
      </c>
      <c r="U531" s="15"/>
      <c r="V531" s="15"/>
      <c r="W531" s="15"/>
      <c r="X531" s="15"/>
      <c r="Y531" s="15"/>
      <c r="Z531" s="15"/>
    </row>
    <row r="532" spans="1:26" x14ac:dyDescent="0.25">
      <c r="A532" s="15" t="s">
        <v>14649</v>
      </c>
      <c r="B532" s="15">
        <v>531</v>
      </c>
      <c r="C532" s="15" t="s">
        <v>11277</v>
      </c>
      <c r="D532" s="15" t="s">
        <v>11277</v>
      </c>
      <c r="E532" s="15" t="s">
        <v>1067</v>
      </c>
      <c r="F532" s="15" t="s">
        <v>14645</v>
      </c>
      <c r="G532" s="15" t="s">
        <v>11352</v>
      </c>
      <c r="H532" s="15">
        <v>19</v>
      </c>
      <c r="I532" s="15">
        <v>22</v>
      </c>
      <c r="J532" s="15">
        <v>34</v>
      </c>
      <c r="K532" s="15" t="str">
        <f t="shared" si="8"/>
        <v>middlehathoevariver</v>
      </c>
      <c r="L532" s="15" t="s">
        <v>11355</v>
      </c>
      <c r="M532" s="15">
        <v>1</v>
      </c>
      <c r="N532" s="15" t="s">
        <v>11222</v>
      </c>
      <c r="O532" s="15"/>
      <c r="P532" s="15"/>
      <c r="Q532" s="15"/>
      <c r="R532" s="15"/>
      <c r="S532" s="15"/>
      <c r="T532" s="15">
        <v>0</v>
      </c>
      <c r="U532" s="15"/>
      <c r="V532" s="15"/>
      <c r="W532" s="15"/>
      <c r="X532" s="15"/>
      <c r="Y532" s="15"/>
      <c r="Z532" s="15"/>
    </row>
    <row r="533" spans="1:26" x14ac:dyDescent="0.25">
      <c r="A533" s="15" t="s">
        <v>14650</v>
      </c>
      <c r="B533" s="15">
        <v>532</v>
      </c>
      <c r="C533" s="15" t="s">
        <v>11277</v>
      </c>
      <c r="D533" s="15" t="s">
        <v>11277</v>
      </c>
      <c r="E533" s="15" t="s">
        <v>1067</v>
      </c>
      <c r="F533" s="15" t="s">
        <v>14645</v>
      </c>
      <c r="G533" s="15" t="s">
        <v>11425</v>
      </c>
      <c r="H533" s="15">
        <v>19</v>
      </c>
      <c r="I533" s="15">
        <v>22</v>
      </c>
      <c r="J533" s="15">
        <v>35</v>
      </c>
      <c r="K533" s="15" t="str">
        <f t="shared" si="8"/>
        <v>middlehathoevariver</v>
      </c>
      <c r="L533" s="15" t="s">
        <v>11440</v>
      </c>
      <c r="M533" s="15">
        <v>2</v>
      </c>
      <c r="N533" s="15" t="s">
        <v>11223</v>
      </c>
      <c r="O533" s="15"/>
      <c r="P533" s="15"/>
      <c r="Q533" s="15"/>
      <c r="R533" s="15"/>
      <c r="S533" s="15"/>
      <c r="T533" s="15">
        <v>0</v>
      </c>
      <c r="U533" s="15"/>
      <c r="V533" s="15"/>
      <c r="W533" s="15"/>
      <c r="X533" s="15"/>
      <c r="Y533" s="15"/>
      <c r="Z533" s="15"/>
    </row>
    <row r="534" spans="1:26" x14ac:dyDescent="0.25">
      <c r="A534" s="15" t="s">
        <v>14651</v>
      </c>
      <c r="B534" s="15">
        <v>533</v>
      </c>
      <c r="C534" s="15" t="s">
        <v>11277</v>
      </c>
      <c r="D534" s="15" t="s">
        <v>11277</v>
      </c>
      <c r="E534" s="15" t="s">
        <v>1067</v>
      </c>
      <c r="F534" s="15" t="s">
        <v>14645</v>
      </c>
      <c r="G534" s="15" t="s">
        <v>11450</v>
      </c>
      <c r="H534" s="15">
        <v>19</v>
      </c>
      <c r="I534" s="15">
        <v>22</v>
      </c>
      <c r="J534" s="15">
        <v>37</v>
      </c>
      <c r="K534" s="15" t="str">
        <f t="shared" si="8"/>
        <v>middlehathoevariver</v>
      </c>
      <c r="L534" s="15" t="s">
        <v>11355</v>
      </c>
      <c r="M534" s="15">
        <v>2</v>
      </c>
      <c r="N534" s="15" t="s">
        <v>11223</v>
      </c>
      <c r="O534" s="15"/>
      <c r="P534" s="15"/>
      <c r="Q534" s="15"/>
      <c r="R534" s="15"/>
      <c r="S534" s="15"/>
      <c r="T534" s="15">
        <v>0</v>
      </c>
      <c r="U534" s="15"/>
      <c r="V534" s="15"/>
      <c r="W534" s="15"/>
      <c r="X534" s="15"/>
      <c r="Y534" s="15"/>
      <c r="Z534" s="15"/>
    </row>
    <row r="535" spans="1:26" x14ac:dyDescent="0.25">
      <c r="A535" s="15" t="s">
        <v>14652</v>
      </c>
      <c r="B535" s="15">
        <v>534</v>
      </c>
      <c r="C535" s="15" t="s">
        <v>11277</v>
      </c>
      <c r="D535" s="15" t="s">
        <v>11277</v>
      </c>
      <c r="E535" s="15" t="s">
        <v>1067</v>
      </c>
      <c r="F535" s="15" t="s">
        <v>14645</v>
      </c>
      <c r="G535" s="15" t="s">
        <v>11439</v>
      </c>
      <c r="H535" s="15">
        <v>19</v>
      </c>
      <c r="I535" s="15">
        <v>22</v>
      </c>
      <c r="J535" s="15">
        <v>38</v>
      </c>
      <c r="K535" s="15" t="str">
        <f t="shared" si="8"/>
        <v>middlehathoevariver</v>
      </c>
      <c r="L535" s="15" t="s">
        <v>11424</v>
      </c>
      <c r="M535" s="15">
        <v>2</v>
      </c>
      <c r="N535" s="15" t="s">
        <v>11223</v>
      </c>
      <c r="O535" s="15"/>
      <c r="P535" s="15"/>
      <c r="Q535" s="15"/>
      <c r="R535" s="15"/>
      <c r="S535" s="15"/>
      <c r="T535" s="15">
        <v>0</v>
      </c>
      <c r="U535" s="15"/>
      <c r="V535" s="15"/>
      <c r="W535" s="15"/>
      <c r="X535" s="15"/>
      <c r="Y535" s="15"/>
      <c r="Z535" s="15"/>
    </row>
    <row r="536" spans="1:26" x14ac:dyDescent="0.25">
      <c r="A536" s="15" t="s">
        <v>14653</v>
      </c>
      <c r="B536" s="15">
        <v>535</v>
      </c>
      <c r="C536" s="15" t="s">
        <v>11277</v>
      </c>
      <c r="D536" s="15" t="s">
        <v>11277</v>
      </c>
      <c r="E536" s="15" t="s">
        <v>1067</v>
      </c>
      <c r="F536" s="15" t="s">
        <v>14645</v>
      </c>
      <c r="G536" s="15" t="s">
        <v>11451</v>
      </c>
      <c r="H536" s="15">
        <v>19</v>
      </c>
      <c r="I536" s="15">
        <v>22</v>
      </c>
      <c r="J536" s="15">
        <v>50</v>
      </c>
      <c r="K536" s="15" t="str">
        <f t="shared" si="8"/>
        <v>middlehathoevariver</v>
      </c>
      <c r="L536" s="15" t="s">
        <v>11268</v>
      </c>
      <c r="M536" s="15">
        <v>3</v>
      </c>
      <c r="N536" s="15" t="s">
        <v>11223</v>
      </c>
      <c r="O536" s="15" t="s">
        <v>14067</v>
      </c>
      <c r="P536" s="15"/>
      <c r="Q536" s="15"/>
      <c r="R536" s="15"/>
      <c r="S536" s="15"/>
      <c r="T536" s="15">
        <v>3</v>
      </c>
      <c r="U536" s="15" t="s">
        <v>5893</v>
      </c>
      <c r="V536" s="15" t="s">
        <v>5892</v>
      </c>
      <c r="W536" s="15"/>
      <c r="X536" s="15"/>
      <c r="Y536" s="15"/>
      <c r="Z536" s="15"/>
    </row>
    <row r="537" spans="1:26" x14ac:dyDescent="0.25">
      <c r="A537" s="15" t="s">
        <v>14654</v>
      </c>
      <c r="B537" s="15">
        <v>536</v>
      </c>
      <c r="C537" s="15" t="s">
        <v>11277</v>
      </c>
      <c r="D537" s="15" t="s">
        <v>11277</v>
      </c>
      <c r="E537" s="15" t="s">
        <v>1067</v>
      </c>
      <c r="F537" s="15" t="s">
        <v>14655</v>
      </c>
      <c r="G537" s="15" t="s">
        <v>11417</v>
      </c>
      <c r="H537" s="15">
        <v>27</v>
      </c>
      <c r="I537" s="15">
        <v>21</v>
      </c>
      <c r="J537" s="15">
        <v>16</v>
      </c>
      <c r="K537" s="15" t="str">
        <f t="shared" si="8"/>
        <v>goblinblood</v>
      </c>
      <c r="L537" s="15" t="s">
        <v>11254</v>
      </c>
      <c r="M537" s="15">
        <v>1</v>
      </c>
      <c r="N537" s="15" t="s">
        <v>11222</v>
      </c>
      <c r="O537" s="15"/>
      <c r="P537" s="15"/>
      <c r="Q537" s="15"/>
      <c r="R537" s="15"/>
      <c r="S537" s="15"/>
      <c r="T537" s="15">
        <v>0</v>
      </c>
      <c r="U537" s="15"/>
      <c r="V537" s="15"/>
      <c r="W537" s="15"/>
      <c r="X537" s="15"/>
      <c r="Y537" s="15"/>
      <c r="Z537" s="15"/>
    </row>
    <row r="538" spans="1:26" x14ac:dyDescent="0.25">
      <c r="A538" s="15" t="s">
        <v>14656</v>
      </c>
      <c r="B538" s="15">
        <v>537</v>
      </c>
      <c r="C538" s="15" t="s">
        <v>11277</v>
      </c>
      <c r="D538" s="15" t="s">
        <v>11277</v>
      </c>
      <c r="E538" s="15" t="s">
        <v>1067</v>
      </c>
      <c r="F538" s="15" t="s">
        <v>14655</v>
      </c>
      <c r="G538" s="15" t="s">
        <v>11369</v>
      </c>
      <c r="H538" s="15">
        <v>27</v>
      </c>
      <c r="I538" s="15">
        <v>21</v>
      </c>
      <c r="J538" s="15">
        <v>21</v>
      </c>
      <c r="K538" s="15" t="str">
        <f t="shared" si="8"/>
        <v>goblinblood</v>
      </c>
      <c r="L538" s="15" t="s">
        <v>11355</v>
      </c>
      <c r="M538" s="15">
        <v>1</v>
      </c>
      <c r="N538" s="15" t="s">
        <v>11222</v>
      </c>
      <c r="O538" s="15"/>
      <c r="P538" s="15"/>
      <c r="Q538" s="15"/>
      <c r="R538" s="15"/>
      <c r="S538" s="15"/>
      <c r="T538" s="15">
        <v>0</v>
      </c>
      <c r="U538" s="15"/>
      <c r="V538" s="15"/>
      <c r="W538" s="15"/>
      <c r="X538" s="15"/>
      <c r="Y538" s="15"/>
      <c r="Z538" s="15"/>
    </row>
    <row r="539" spans="1:26" x14ac:dyDescent="0.25">
      <c r="A539" s="15" t="s">
        <v>14657</v>
      </c>
      <c r="B539" s="15">
        <v>538</v>
      </c>
      <c r="C539" s="15" t="s">
        <v>11277</v>
      </c>
      <c r="D539" s="15" t="s">
        <v>11277</v>
      </c>
      <c r="E539" s="15" t="s">
        <v>1067</v>
      </c>
      <c r="F539" s="15" t="s">
        <v>14655</v>
      </c>
      <c r="G539" s="15" t="s">
        <v>11433</v>
      </c>
      <c r="H539" s="15">
        <v>27</v>
      </c>
      <c r="I539" s="15">
        <v>21</v>
      </c>
      <c r="J539" s="15">
        <v>25</v>
      </c>
      <c r="K539" s="15" t="str">
        <f t="shared" si="8"/>
        <v>goblinblood</v>
      </c>
      <c r="L539" s="15" t="s">
        <v>11274</v>
      </c>
      <c r="M539" s="15">
        <v>2</v>
      </c>
      <c r="N539" s="15" t="s">
        <v>11223</v>
      </c>
      <c r="O539" s="15"/>
      <c r="P539" s="15"/>
      <c r="Q539" s="15"/>
      <c r="R539" s="15"/>
      <c r="S539" s="15"/>
      <c r="T539" s="15">
        <v>0</v>
      </c>
      <c r="U539" s="15"/>
      <c r="V539" s="15"/>
      <c r="W539" s="15"/>
      <c r="X539" s="15"/>
      <c r="Y539" s="15"/>
      <c r="Z539" s="15"/>
    </row>
    <row r="540" spans="1:26" x14ac:dyDescent="0.25">
      <c r="A540" s="15" t="s">
        <v>14658</v>
      </c>
      <c r="B540" s="15">
        <v>539</v>
      </c>
      <c r="C540" s="15" t="s">
        <v>11277</v>
      </c>
      <c r="D540" s="15" t="s">
        <v>11277</v>
      </c>
      <c r="E540" s="15" t="s">
        <v>1067</v>
      </c>
      <c r="F540" s="15" t="s">
        <v>14655</v>
      </c>
      <c r="G540" s="15" t="s">
        <v>11449</v>
      </c>
      <c r="H540" s="15">
        <v>27</v>
      </c>
      <c r="I540" s="15">
        <v>21</v>
      </c>
      <c r="J540" s="15">
        <v>26</v>
      </c>
      <c r="K540" s="15" t="str">
        <f t="shared" si="8"/>
        <v>goblinblood</v>
      </c>
      <c r="L540" s="15" t="s">
        <v>11416</v>
      </c>
      <c r="M540" s="15">
        <v>1</v>
      </c>
      <c r="N540" s="15" t="s">
        <v>11222</v>
      </c>
      <c r="O540" s="15"/>
      <c r="P540" s="15"/>
      <c r="Q540" s="15"/>
      <c r="R540" s="15"/>
      <c r="S540" s="15"/>
      <c r="T540" s="15">
        <v>0</v>
      </c>
      <c r="U540" s="15"/>
      <c r="V540" s="15"/>
      <c r="W540" s="15"/>
      <c r="X540" s="15"/>
      <c r="Y540" s="15"/>
      <c r="Z540" s="15"/>
    </row>
    <row r="541" spans="1:26" x14ac:dyDescent="0.25">
      <c r="A541" s="15" t="s">
        <v>14659</v>
      </c>
      <c r="B541" s="15">
        <v>540</v>
      </c>
      <c r="C541" s="15" t="s">
        <v>11277</v>
      </c>
      <c r="D541" s="15" t="s">
        <v>11277</v>
      </c>
      <c r="E541" s="15" t="s">
        <v>1067</v>
      </c>
      <c r="F541" s="15" t="s">
        <v>14655</v>
      </c>
      <c r="G541" s="15" t="s">
        <v>11422</v>
      </c>
      <c r="H541" s="15">
        <v>27</v>
      </c>
      <c r="I541" s="15">
        <v>21</v>
      </c>
      <c r="J541" s="15">
        <v>28</v>
      </c>
      <c r="K541" s="15" t="str">
        <f t="shared" si="8"/>
        <v>goblinblood</v>
      </c>
      <c r="L541" s="15" t="s">
        <v>14088</v>
      </c>
      <c r="M541" s="15">
        <v>2</v>
      </c>
      <c r="N541" s="15" t="s">
        <v>11223</v>
      </c>
      <c r="O541" s="15"/>
      <c r="P541" s="15"/>
      <c r="Q541" s="15" t="s">
        <v>11417</v>
      </c>
      <c r="R541" s="15"/>
      <c r="S541" s="15"/>
      <c r="T541" s="15">
        <v>0</v>
      </c>
      <c r="U541" s="15"/>
      <c r="V541" s="15"/>
      <c r="W541" s="15"/>
      <c r="X541" s="15"/>
      <c r="Y541" s="15"/>
      <c r="Z541" s="15"/>
    </row>
    <row r="542" spans="1:26" x14ac:dyDescent="0.25">
      <c r="A542" s="15" t="s">
        <v>14660</v>
      </c>
      <c r="B542" s="15">
        <v>541</v>
      </c>
      <c r="C542" s="15" t="s">
        <v>11277</v>
      </c>
      <c r="D542" s="15" t="s">
        <v>11277</v>
      </c>
      <c r="E542" s="15" t="s">
        <v>1067</v>
      </c>
      <c r="F542" s="15" t="s">
        <v>14655</v>
      </c>
      <c r="G542" s="15" t="s">
        <v>11436</v>
      </c>
      <c r="H542" s="15">
        <v>27</v>
      </c>
      <c r="I542" s="15">
        <v>21</v>
      </c>
      <c r="J542" s="15">
        <v>28</v>
      </c>
      <c r="K542" s="15" t="str">
        <f t="shared" si="8"/>
        <v>goblinblood</v>
      </c>
      <c r="L542" s="15" t="s">
        <v>11416</v>
      </c>
      <c r="M542" s="15">
        <v>2</v>
      </c>
      <c r="N542" s="15" t="s">
        <v>11223</v>
      </c>
      <c r="O542" s="15"/>
      <c r="P542" s="15"/>
      <c r="Q542" s="15"/>
      <c r="R542" s="15"/>
      <c r="S542" s="15"/>
      <c r="T542" s="15">
        <v>0</v>
      </c>
      <c r="U542" s="15"/>
      <c r="V542" s="15"/>
      <c r="W542" s="15"/>
      <c r="X542" s="15"/>
      <c r="Y542" s="15"/>
      <c r="Z542" s="15"/>
    </row>
    <row r="543" spans="1:26" x14ac:dyDescent="0.25">
      <c r="A543" s="15" t="s">
        <v>14661</v>
      </c>
      <c r="B543" s="15">
        <v>542</v>
      </c>
      <c r="C543" s="15" t="s">
        <v>11277</v>
      </c>
      <c r="D543" s="15" t="s">
        <v>11277</v>
      </c>
      <c r="E543" s="15" t="s">
        <v>1067</v>
      </c>
      <c r="F543" s="15" t="s">
        <v>14655</v>
      </c>
      <c r="G543" s="15" t="s">
        <v>11420</v>
      </c>
      <c r="H543" s="15">
        <v>27</v>
      </c>
      <c r="I543" s="15">
        <v>21</v>
      </c>
      <c r="J543" s="15">
        <v>34</v>
      </c>
      <c r="K543" s="15" t="str">
        <f t="shared" si="8"/>
        <v>goblinblood</v>
      </c>
      <c r="L543" s="15" t="s">
        <v>11424</v>
      </c>
      <c r="M543" s="15">
        <v>2</v>
      </c>
      <c r="N543" s="15" t="s">
        <v>11223</v>
      </c>
      <c r="O543" s="15"/>
      <c r="P543" s="15"/>
      <c r="Q543" s="15"/>
      <c r="R543" s="15"/>
      <c r="S543" s="15"/>
      <c r="T543" s="15">
        <v>0</v>
      </c>
      <c r="U543" s="15"/>
      <c r="V543" s="15"/>
      <c r="W543" s="15"/>
      <c r="X543" s="15"/>
      <c r="Y543" s="15"/>
      <c r="Z543" s="15"/>
    </row>
    <row r="544" spans="1:26" x14ac:dyDescent="0.25">
      <c r="A544" s="15" t="s">
        <v>14662</v>
      </c>
      <c r="B544" s="15">
        <v>543</v>
      </c>
      <c r="C544" s="15" t="s">
        <v>11277</v>
      </c>
      <c r="D544" s="15" t="s">
        <v>11277</v>
      </c>
      <c r="E544" s="15" t="s">
        <v>1067</v>
      </c>
      <c r="F544" s="15" t="s">
        <v>14655</v>
      </c>
      <c r="G544" s="15" t="s">
        <v>11370</v>
      </c>
      <c r="H544" s="15">
        <v>27</v>
      </c>
      <c r="I544" s="15">
        <v>21</v>
      </c>
      <c r="J544" s="15">
        <v>36</v>
      </c>
      <c r="K544" s="15" t="str">
        <f t="shared" si="8"/>
        <v>goblinblood</v>
      </c>
      <c r="L544" s="15" t="s">
        <v>11355</v>
      </c>
      <c r="M544" s="15">
        <v>1</v>
      </c>
      <c r="N544" s="15" t="s">
        <v>11222</v>
      </c>
      <c r="O544" s="15"/>
      <c r="P544" s="15"/>
      <c r="Q544" s="15"/>
      <c r="R544" s="15"/>
      <c r="S544" s="15"/>
      <c r="T544" s="15">
        <v>0</v>
      </c>
      <c r="U544" s="15"/>
      <c r="V544" s="15"/>
      <c r="W544" s="15"/>
      <c r="X544" s="15"/>
      <c r="Y544" s="15"/>
      <c r="Z544" s="15"/>
    </row>
    <row r="545" spans="1:26" x14ac:dyDescent="0.25">
      <c r="A545" s="15" t="s">
        <v>14663</v>
      </c>
      <c r="B545" s="15">
        <v>544</v>
      </c>
      <c r="C545" s="15" t="s">
        <v>11277</v>
      </c>
      <c r="D545" s="15" t="s">
        <v>11277</v>
      </c>
      <c r="E545" s="15" t="s">
        <v>1067</v>
      </c>
      <c r="F545" s="15" t="s">
        <v>14655</v>
      </c>
      <c r="G545" s="15" t="s">
        <v>11452</v>
      </c>
      <c r="H545" s="15">
        <v>27</v>
      </c>
      <c r="I545" s="15">
        <v>21</v>
      </c>
      <c r="J545" s="15">
        <v>46</v>
      </c>
      <c r="K545" s="15" t="str">
        <f t="shared" si="8"/>
        <v>goblinblood</v>
      </c>
      <c r="L545" s="15" t="s">
        <v>14088</v>
      </c>
      <c r="M545" s="15">
        <v>2</v>
      </c>
      <c r="N545" s="15" t="s">
        <v>11223</v>
      </c>
      <c r="O545" s="15"/>
      <c r="P545" s="15"/>
      <c r="Q545" s="15" t="s">
        <v>11370</v>
      </c>
      <c r="R545" s="15"/>
      <c r="S545" s="15"/>
      <c r="T545" s="15">
        <v>0</v>
      </c>
      <c r="U545" s="15"/>
      <c r="V545" s="15"/>
      <c r="W545" s="15"/>
      <c r="X545" s="15"/>
      <c r="Y545" s="15"/>
      <c r="Z545" s="15"/>
    </row>
    <row r="546" spans="1:26" x14ac:dyDescent="0.25">
      <c r="A546" s="15" t="s">
        <v>14664</v>
      </c>
      <c r="B546" s="15">
        <v>545</v>
      </c>
      <c r="C546" s="15" t="s">
        <v>11277</v>
      </c>
      <c r="D546" s="15" t="s">
        <v>11277</v>
      </c>
      <c r="E546" s="15" t="s">
        <v>1067</v>
      </c>
      <c r="F546" s="15" t="s">
        <v>14655</v>
      </c>
      <c r="G546" s="15" t="s">
        <v>11453</v>
      </c>
      <c r="H546" s="15">
        <v>27</v>
      </c>
      <c r="I546" s="15">
        <v>21</v>
      </c>
      <c r="J546" s="15">
        <v>50</v>
      </c>
      <c r="K546" s="15" t="str">
        <f t="shared" si="8"/>
        <v>goblinblood</v>
      </c>
      <c r="L546" s="15" t="s">
        <v>14088</v>
      </c>
      <c r="M546" s="15">
        <v>3</v>
      </c>
      <c r="N546" s="15" t="s">
        <v>11223</v>
      </c>
      <c r="O546" s="15"/>
      <c r="P546" s="15"/>
      <c r="Q546" s="15" t="s">
        <v>11370</v>
      </c>
      <c r="R546" s="15"/>
      <c r="S546" s="15"/>
      <c r="T546" s="15">
        <v>3</v>
      </c>
      <c r="U546" s="15" t="s">
        <v>6010</v>
      </c>
      <c r="V546" s="15" t="s">
        <v>5982</v>
      </c>
      <c r="W546" s="15" t="s">
        <v>5892</v>
      </c>
      <c r="X546" s="15"/>
      <c r="Y546" s="15"/>
      <c r="Z546" s="15"/>
    </row>
    <row r="547" spans="1:26" x14ac:dyDescent="0.25">
      <c r="A547" s="15" t="s">
        <v>14665</v>
      </c>
      <c r="B547" s="15">
        <v>546</v>
      </c>
      <c r="C547" s="15" t="s">
        <v>11277</v>
      </c>
      <c r="D547" s="15" t="s">
        <v>11277</v>
      </c>
      <c r="E547" s="15" t="s">
        <v>1067</v>
      </c>
      <c r="F547" s="15" t="s">
        <v>14666</v>
      </c>
      <c r="G547" s="15" t="s">
        <v>11321</v>
      </c>
      <c r="H547" s="15">
        <v>18</v>
      </c>
      <c r="I547" s="15">
        <v>29</v>
      </c>
      <c r="J547" s="15">
        <v>5</v>
      </c>
      <c r="K547" s="15" t="str">
        <f t="shared" si="8"/>
        <v>rootslake</v>
      </c>
      <c r="L547" s="15" t="s">
        <v>11253</v>
      </c>
      <c r="M547" s="15">
        <v>1</v>
      </c>
      <c r="N547" s="15" t="s">
        <v>11222</v>
      </c>
      <c r="O547" s="15"/>
      <c r="P547" s="15"/>
      <c r="Q547" s="15"/>
      <c r="R547" s="15"/>
      <c r="S547" s="15"/>
      <c r="T547" s="15">
        <v>0</v>
      </c>
      <c r="U547" s="15"/>
      <c r="V547" s="15"/>
      <c r="W547" s="15"/>
      <c r="X547" s="15"/>
      <c r="Y547" s="15"/>
      <c r="Z547" s="15"/>
    </row>
    <row r="548" spans="1:26" x14ac:dyDescent="0.25">
      <c r="A548" s="15" t="s">
        <v>14667</v>
      </c>
      <c r="B548" s="15">
        <v>547</v>
      </c>
      <c r="C548" s="15" t="s">
        <v>11277</v>
      </c>
      <c r="D548" s="15" t="s">
        <v>11277</v>
      </c>
      <c r="E548" s="15" t="s">
        <v>1067</v>
      </c>
      <c r="F548" s="15" t="s">
        <v>14666</v>
      </c>
      <c r="G548" s="15" t="s">
        <v>11435</v>
      </c>
      <c r="H548" s="15">
        <v>18</v>
      </c>
      <c r="I548" s="15">
        <v>29</v>
      </c>
      <c r="J548" s="15">
        <v>27</v>
      </c>
      <c r="K548" s="15" t="str">
        <f t="shared" si="8"/>
        <v>rootslake</v>
      </c>
      <c r="L548" s="15" t="s">
        <v>11416</v>
      </c>
      <c r="M548" s="15">
        <v>1</v>
      </c>
      <c r="N548" s="15" t="s">
        <v>11222</v>
      </c>
      <c r="O548" s="15"/>
      <c r="P548" s="15"/>
      <c r="Q548" s="15"/>
      <c r="R548" s="15"/>
      <c r="S548" s="15"/>
      <c r="T548" s="15">
        <v>0</v>
      </c>
      <c r="U548" s="15"/>
      <c r="V548" s="15"/>
      <c r="W548" s="15"/>
      <c r="X548" s="15"/>
      <c r="Y548" s="15"/>
      <c r="Z548" s="15"/>
    </row>
    <row r="549" spans="1:26" x14ac:dyDescent="0.25">
      <c r="A549" s="15" t="s">
        <v>14668</v>
      </c>
      <c r="B549" s="15">
        <v>548</v>
      </c>
      <c r="C549" s="15" t="s">
        <v>11277</v>
      </c>
      <c r="D549" s="15" t="s">
        <v>11277</v>
      </c>
      <c r="E549" s="15" t="s">
        <v>1067</v>
      </c>
      <c r="F549" s="15" t="s">
        <v>14666</v>
      </c>
      <c r="G549" s="15" t="s">
        <v>11454</v>
      </c>
      <c r="H549" s="15">
        <v>18</v>
      </c>
      <c r="I549" s="15">
        <v>29</v>
      </c>
      <c r="J549" s="15">
        <v>33</v>
      </c>
      <c r="K549" s="15" t="str">
        <f t="shared" si="8"/>
        <v>rootslake</v>
      </c>
      <c r="L549" s="15" t="s">
        <v>11323</v>
      </c>
      <c r="M549" s="15">
        <v>1</v>
      </c>
      <c r="N549" s="15" t="s">
        <v>11222</v>
      </c>
      <c r="O549" s="15"/>
      <c r="P549" s="15"/>
      <c r="Q549" s="15"/>
      <c r="R549" s="15"/>
      <c r="S549" s="15"/>
      <c r="T549" s="15">
        <v>0</v>
      </c>
      <c r="U549" s="15"/>
      <c r="V549" s="15"/>
      <c r="W549" s="15"/>
      <c r="X549" s="15"/>
      <c r="Y549" s="15"/>
      <c r="Z549" s="15"/>
    </row>
    <row r="550" spans="1:26" x14ac:dyDescent="0.25">
      <c r="A550" s="15" t="s">
        <v>14669</v>
      </c>
      <c r="B550" s="15">
        <v>549</v>
      </c>
      <c r="C550" s="15" t="s">
        <v>11277</v>
      </c>
      <c r="D550" s="15" t="s">
        <v>11277</v>
      </c>
      <c r="E550" s="15" t="s">
        <v>1067</v>
      </c>
      <c r="F550" s="15" t="s">
        <v>14666</v>
      </c>
      <c r="G550" s="15" t="s">
        <v>11352</v>
      </c>
      <c r="H550" s="15">
        <v>18</v>
      </c>
      <c r="I550" s="15">
        <v>29</v>
      </c>
      <c r="J550" s="15">
        <v>34</v>
      </c>
      <c r="K550" s="15" t="str">
        <f t="shared" si="8"/>
        <v>rootslake</v>
      </c>
      <c r="L550" s="15" t="s">
        <v>11323</v>
      </c>
      <c r="M550" s="15">
        <v>1</v>
      </c>
      <c r="N550" s="15" t="s">
        <v>11222</v>
      </c>
      <c r="O550" s="15"/>
      <c r="P550" s="15"/>
      <c r="Q550" s="15"/>
      <c r="R550" s="15"/>
      <c r="S550" s="15"/>
      <c r="T550" s="15">
        <v>0</v>
      </c>
      <c r="U550" s="15"/>
      <c r="V550" s="15"/>
      <c r="W550" s="15"/>
      <c r="X550" s="15"/>
      <c r="Y550" s="15"/>
      <c r="Z550" s="15"/>
    </row>
    <row r="551" spans="1:26" x14ac:dyDescent="0.25">
      <c r="A551" s="15" t="s">
        <v>14670</v>
      </c>
      <c r="B551" s="15">
        <v>550</v>
      </c>
      <c r="C551" s="15" t="s">
        <v>11277</v>
      </c>
      <c r="D551" s="15" t="s">
        <v>11277</v>
      </c>
      <c r="E551" s="15" t="s">
        <v>1067</v>
      </c>
      <c r="F551" s="15" t="s">
        <v>14666</v>
      </c>
      <c r="G551" s="15" t="s">
        <v>11450</v>
      </c>
      <c r="H551" s="15">
        <v>18</v>
      </c>
      <c r="I551" s="15">
        <v>29</v>
      </c>
      <c r="J551" s="15">
        <v>37</v>
      </c>
      <c r="K551" s="15" t="str">
        <f t="shared" si="8"/>
        <v>rootslake</v>
      </c>
      <c r="L551" s="15" t="s">
        <v>11355</v>
      </c>
      <c r="M551" s="15">
        <v>2</v>
      </c>
      <c r="N551" s="15" t="s">
        <v>11223</v>
      </c>
      <c r="O551" s="15"/>
      <c r="P551" s="15"/>
      <c r="Q551" s="15"/>
      <c r="R551" s="15"/>
      <c r="S551" s="15"/>
      <c r="T551" s="15">
        <v>0</v>
      </c>
      <c r="U551" s="15"/>
      <c r="V551" s="15"/>
      <c r="W551" s="15"/>
      <c r="X551" s="15"/>
      <c r="Y551" s="15"/>
      <c r="Z551" s="15"/>
    </row>
    <row r="552" spans="1:26" x14ac:dyDescent="0.25">
      <c r="A552" s="15" t="s">
        <v>14671</v>
      </c>
      <c r="B552" s="15">
        <v>551</v>
      </c>
      <c r="C552" s="15" t="s">
        <v>11277</v>
      </c>
      <c r="D552" s="15" t="s">
        <v>11277</v>
      </c>
      <c r="E552" s="15" t="s">
        <v>1067</v>
      </c>
      <c r="F552" s="15" t="s">
        <v>14666</v>
      </c>
      <c r="G552" s="15" t="s">
        <v>11455</v>
      </c>
      <c r="H552" s="15">
        <v>18</v>
      </c>
      <c r="I552" s="15">
        <v>29</v>
      </c>
      <c r="J552" s="15">
        <v>50</v>
      </c>
      <c r="K552" s="15" t="str">
        <f t="shared" si="8"/>
        <v>rootslake</v>
      </c>
      <c r="L552" s="15" t="s">
        <v>11456</v>
      </c>
      <c r="M552" s="15">
        <v>2</v>
      </c>
      <c r="N552" s="15" t="s">
        <v>11223</v>
      </c>
      <c r="O552" s="15"/>
      <c r="P552" s="15"/>
      <c r="Q552" s="15"/>
      <c r="R552" s="15"/>
      <c r="S552" s="15"/>
      <c r="T552" s="15">
        <v>1</v>
      </c>
      <c r="U552" s="15" t="s">
        <v>6010</v>
      </c>
      <c r="V552" s="15" t="s">
        <v>5982</v>
      </c>
      <c r="W552" s="15"/>
      <c r="X552" s="15"/>
      <c r="Y552" s="15"/>
      <c r="Z552" s="15"/>
    </row>
    <row r="553" spans="1:26" x14ac:dyDescent="0.25">
      <c r="A553" s="15" t="s">
        <v>14672</v>
      </c>
      <c r="B553" s="15">
        <v>552</v>
      </c>
      <c r="C553" s="15" t="s">
        <v>11277</v>
      </c>
      <c r="D553" s="15" t="s">
        <v>11277</v>
      </c>
      <c r="E553" s="15" t="s">
        <v>1067</v>
      </c>
      <c r="F553" s="15" t="s">
        <v>14666</v>
      </c>
      <c r="G553" s="15" t="s">
        <v>11457</v>
      </c>
      <c r="H553" s="15">
        <v>18</v>
      </c>
      <c r="I553" s="15">
        <v>29</v>
      </c>
      <c r="J553" s="15">
        <v>50</v>
      </c>
      <c r="K553" s="15" t="str">
        <f t="shared" si="8"/>
        <v>rootslake</v>
      </c>
      <c r="L553" s="15" t="s">
        <v>11456</v>
      </c>
      <c r="M553" s="15">
        <v>3</v>
      </c>
      <c r="N553" s="15" t="s">
        <v>11223</v>
      </c>
      <c r="O553" s="15"/>
      <c r="P553" s="15"/>
      <c r="Q553" s="15"/>
      <c r="R553" s="15"/>
      <c r="S553" s="15"/>
      <c r="T553" s="15">
        <v>3</v>
      </c>
      <c r="U553" s="15" t="s">
        <v>5982</v>
      </c>
      <c r="V553" s="15"/>
      <c r="W553" s="15"/>
      <c r="X553" s="15"/>
      <c r="Y553" s="15"/>
      <c r="Z553" s="15"/>
    </row>
    <row r="554" spans="1:26" x14ac:dyDescent="0.25">
      <c r="A554" s="15" t="s">
        <v>14673</v>
      </c>
      <c r="B554" s="15">
        <v>553</v>
      </c>
      <c r="C554" s="15" t="s">
        <v>11277</v>
      </c>
      <c r="D554" s="15" t="s">
        <v>11277</v>
      </c>
      <c r="E554" s="15" t="s">
        <v>1067</v>
      </c>
      <c r="F554" s="15" t="s">
        <v>1317</v>
      </c>
      <c r="G554" s="15" t="s">
        <v>11417</v>
      </c>
      <c r="H554" s="15">
        <v>32</v>
      </c>
      <c r="I554" s="15">
        <v>23</v>
      </c>
      <c r="J554" s="15">
        <v>16</v>
      </c>
      <c r="K554" s="15" t="str">
        <f t="shared" si="8"/>
        <v>urthsgift</v>
      </c>
      <c r="L554" s="15" t="s">
        <v>11254</v>
      </c>
      <c r="M554" s="15">
        <v>1</v>
      </c>
      <c r="N554" s="15" t="s">
        <v>11222</v>
      </c>
      <c r="O554" s="15"/>
      <c r="P554" s="15"/>
      <c r="Q554" s="15"/>
      <c r="R554" s="15"/>
      <c r="S554" s="15"/>
      <c r="T554" s="15">
        <v>0</v>
      </c>
      <c r="U554" s="15"/>
      <c r="V554" s="15"/>
      <c r="W554" s="15"/>
      <c r="X554" s="15"/>
      <c r="Y554" s="15"/>
      <c r="Z554" s="15"/>
    </row>
    <row r="555" spans="1:26" x14ac:dyDescent="0.25">
      <c r="A555" s="15" t="s">
        <v>14674</v>
      </c>
      <c r="B555" s="15">
        <v>554</v>
      </c>
      <c r="C555" s="15" t="s">
        <v>11277</v>
      </c>
      <c r="D555" s="15" t="s">
        <v>11277</v>
      </c>
      <c r="E555" s="15" t="s">
        <v>1067</v>
      </c>
      <c r="F555" s="15" t="s">
        <v>1317</v>
      </c>
      <c r="G555" s="15" t="s">
        <v>11358</v>
      </c>
      <c r="H555" s="15">
        <v>32</v>
      </c>
      <c r="I555" s="15">
        <v>23</v>
      </c>
      <c r="J555" s="15">
        <v>33</v>
      </c>
      <c r="K555" s="15" t="str">
        <f t="shared" si="8"/>
        <v>urthsgift</v>
      </c>
      <c r="L555" s="15" t="s">
        <v>14088</v>
      </c>
      <c r="M555" s="15">
        <v>1</v>
      </c>
      <c r="N555" s="15" t="s">
        <v>11222</v>
      </c>
      <c r="O555" s="15"/>
      <c r="P555" s="15"/>
      <c r="Q555" s="15" t="s">
        <v>11417</v>
      </c>
      <c r="R555" s="15"/>
      <c r="S555" s="15"/>
      <c r="T555" s="15">
        <v>0</v>
      </c>
      <c r="U555" s="15"/>
      <c r="V555" s="15"/>
      <c r="W555" s="15"/>
      <c r="X555" s="15"/>
      <c r="Y555" s="15"/>
      <c r="Z555" s="15"/>
    </row>
    <row r="556" spans="1:26" x14ac:dyDescent="0.25">
      <c r="A556" s="15" t="s">
        <v>14675</v>
      </c>
      <c r="B556" s="15">
        <v>555</v>
      </c>
      <c r="C556" s="15" t="s">
        <v>11277</v>
      </c>
      <c r="D556" s="15" t="s">
        <v>11277</v>
      </c>
      <c r="E556" s="15" t="s">
        <v>1067</v>
      </c>
      <c r="F556" s="15" t="s">
        <v>1317</v>
      </c>
      <c r="G556" s="15" t="s">
        <v>11420</v>
      </c>
      <c r="H556" s="15">
        <v>32</v>
      </c>
      <c r="I556" s="15">
        <v>23</v>
      </c>
      <c r="J556" s="15">
        <v>34</v>
      </c>
      <c r="K556" s="15" t="str">
        <f t="shared" si="8"/>
        <v>urthsgift</v>
      </c>
      <c r="L556" s="15" t="s">
        <v>11424</v>
      </c>
      <c r="M556" s="15">
        <v>2</v>
      </c>
      <c r="N556" s="15" t="s">
        <v>11223</v>
      </c>
      <c r="O556" s="15"/>
      <c r="P556" s="15"/>
      <c r="Q556" s="15"/>
      <c r="R556" s="15"/>
      <c r="S556" s="15"/>
      <c r="T556" s="15">
        <v>0</v>
      </c>
      <c r="U556" s="15"/>
      <c r="V556" s="15"/>
      <c r="W556" s="15"/>
      <c r="X556" s="15"/>
      <c r="Y556" s="15"/>
      <c r="Z556" s="15"/>
    </row>
    <row r="557" spans="1:26" x14ac:dyDescent="0.25">
      <c r="A557" s="15" t="s">
        <v>14676</v>
      </c>
      <c r="B557" s="15">
        <v>556</v>
      </c>
      <c r="C557" s="15" t="s">
        <v>11277</v>
      </c>
      <c r="D557" s="15" t="s">
        <v>11277</v>
      </c>
      <c r="E557" s="15" t="s">
        <v>1067</v>
      </c>
      <c r="F557" s="15" t="s">
        <v>1317</v>
      </c>
      <c r="G557" s="15" t="s">
        <v>11352</v>
      </c>
      <c r="H557" s="15">
        <v>32</v>
      </c>
      <c r="I557" s="15">
        <v>23</v>
      </c>
      <c r="J557" s="15">
        <v>34</v>
      </c>
      <c r="K557" s="15" t="str">
        <f t="shared" si="8"/>
        <v>urthsgift</v>
      </c>
      <c r="L557" s="15" t="s">
        <v>11355</v>
      </c>
      <c r="M557" s="15">
        <v>1</v>
      </c>
      <c r="N557" s="15" t="s">
        <v>11222</v>
      </c>
      <c r="O557" s="15"/>
      <c r="P557" s="15"/>
      <c r="Q557" s="15"/>
      <c r="R557" s="15"/>
      <c r="S557" s="15"/>
      <c r="T557" s="15">
        <v>0</v>
      </c>
      <c r="U557" s="15"/>
      <c r="V557" s="15"/>
      <c r="W557" s="15"/>
      <c r="X557" s="15"/>
      <c r="Y557" s="15"/>
      <c r="Z557" s="15"/>
    </row>
    <row r="558" spans="1:26" x14ac:dyDescent="0.25">
      <c r="A558" s="15" t="s">
        <v>14677</v>
      </c>
      <c r="B558" s="15">
        <v>557</v>
      </c>
      <c r="C558" s="15" t="s">
        <v>11277</v>
      </c>
      <c r="D558" s="15" t="s">
        <v>11277</v>
      </c>
      <c r="E558" s="15" t="s">
        <v>1067</v>
      </c>
      <c r="F558" s="15" t="s">
        <v>1317</v>
      </c>
      <c r="G558" s="15" t="s">
        <v>11439</v>
      </c>
      <c r="H558" s="15">
        <v>32</v>
      </c>
      <c r="I558" s="15">
        <v>23</v>
      </c>
      <c r="J558" s="15">
        <v>38</v>
      </c>
      <c r="K558" s="15" t="str">
        <f t="shared" si="8"/>
        <v>urthsgift</v>
      </c>
      <c r="L558" s="15" t="s">
        <v>11424</v>
      </c>
      <c r="M558" s="15">
        <v>2</v>
      </c>
      <c r="N558" s="15" t="s">
        <v>11223</v>
      </c>
      <c r="O558" s="15"/>
      <c r="P558" s="15"/>
      <c r="Q558" s="15"/>
      <c r="R558" s="15"/>
      <c r="S558" s="15"/>
      <c r="T558" s="15">
        <v>0</v>
      </c>
      <c r="U558" s="15"/>
      <c r="V558" s="15"/>
      <c r="W558" s="15"/>
      <c r="X558" s="15"/>
      <c r="Y558" s="15"/>
      <c r="Z558" s="15"/>
    </row>
    <row r="559" spans="1:26" x14ac:dyDescent="0.25">
      <c r="A559" s="15" t="s">
        <v>14678</v>
      </c>
      <c r="B559" s="15">
        <v>558</v>
      </c>
      <c r="C559" s="15" t="s">
        <v>11277</v>
      </c>
      <c r="D559" s="15" t="s">
        <v>11277</v>
      </c>
      <c r="E559" s="15" t="s">
        <v>1067</v>
      </c>
      <c r="F559" s="15" t="s">
        <v>1317</v>
      </c>
      <c r="G559" s="15" t="s">
        <v>11443</v>
      </c>
      <c r="H559" s="15">
        <v>32</v>
      </c>
      <c r="I559" s="15">
        <v>23</v>
      </c>
      <c r="J559" s="15">
        <v>45</v>
      </c>
      <c r="K559" s="15" t="str">
        <f t="shared" si="8"/>
        <v>urthsgift</v>
      </c>
      <c r="L559" s="15" t="s">
        <v>11363</v>
      </c>
      <c r="M559" s="15">
        <v>2</v>
      </c>
      <c r="N559" s="15" t="s">
        <v>11223</v>
      </c>
      <c r="O559" s="15"/>
      <c r="P559" s="15"/>
      <c r="Q559" s="15"/>
      <c r="R559" s="15"/>
      <c r="S559" s="15"/>
      <c r="T559" s="15">
        <v>0</v>
      </c>
      <c r="U559" s="15"/>
      <c r="V559" s="15"/>
      <c r="W559" s="15"/>
      <c r="X559" s="15"/>
      <c r="Y559" s="15"/>
      <c r="Z559" s="15"/>
    </row>
    <row r="560" spans="1:26" x14ac:dyDescent="0.25">
      <c r="A560" s="15" t="s">
        <v>14679</v>
      </c>
      <c r="B560" s="15">
        <v>559</v>
      </c>
      <c r="C560" s="15" t="s">
        <v>11277</v>
      </c>
      <c r="D560" s="15" t="s">
        <v>11277</v>
      </c>
      <c r="E560" s="15" t="s">
        <v>1067</v>
      </c>
      <c r="F560" s="15" t="s">
        <v>1317</v>
      </c>
      <c r="G560" s="15" t="s">
        <v>11458</v>
      </c>
      <c r="H560" s="15">
        <v>32</v>
      </c>
      <c r="I560" s="15">
        <v>23</v>
      </c>
      <c r="J560" s="15">
        <v>49</v>
      </c>
      <c r="K560" s="15" t="str">
        <f t="shared" si="8"/>
        <v>urthsgift</v>
      </c>
      <c r="L560" s="15" t="s">
        <v>11376</v>
      </c>
      <c r="M560" s="15">
        <v>2</v>
      </c>
      <c r="N560" s="15" t="s">
        <v>11223</v>
      </c>
      <c r="O560" s="15"/>
      <c r="P560" s="15"/>
      <c r="Q560" s="15"/>
      <c r="R560" s="15"/>
      <c r="S560" s="15"/>
      <c r="T560" s="15">
        <v>0</v>
      </c>
      <c r="U560" s="15"/>
      <c r="V560" s="15"/>
      <c r="W560" s="15"/>
      <c r="X560" s="15"/>
      <c r="Y560" s="15"/>
      <c r="Z560" s="15"/>
    </row>
    <row r="561" spans="1:26" x14ac:dyDescent="0.25">
      <c r="A561" s="15" t="s">
        <v>14680</v>
      </c>
      <c r="B561" s="15">
        <v>560</v>
      </c>
      <c r="C561" s="15" t="s">
        <v>11277</v>
      </c>
      <c r="D561" s="15" t="s">
        <v>11277</v>
      </c>
      <c r="E561" s="15" t="s">
        <v>1067</v>
      </c>
      <c r="F561" s="15" t="s">
        <v>1317</v>
      </c>
      <c r="G561" s="15" t="s">
        <v>11459</v>
      </c>
      <c r="H561" s="15">
        <v>32</v>
      </c>
      <c r="I561" s="15">
        <v>23</v>
      </c>
      <c r="J561" s="15">
        <v>50</v>
      </c>
      <c r="K561" s="15" t="str">
        <f t="shared" si="8"/>
        <v>urthsgift</v>
      </c>
      <c r="L561" s="15" t="s">
        <v>11424</v>
      </c>
      <c r="M561" s="15">
        <v>2</v>
      </c>
      <c r="N561" s="15" t="s">
        <v>11223</v>
      </c>
      <c r="O561" s="15"/>
      <c r="P561" s="15"/>
      <c r="Q561" s="15"/>
      <c r="R561" s="15"/>
      <c r="S561" s="15"/>
      <c r="T561" s="15">
        <v>2</v>
      </c>
      <c r="U561" s="15"/>
      <c r="V561" s="15"/>
      <c r="W561" s="15"/>
      <c r="X561" s="15"/>
      <c r="Y561" s="15"/>
      <c r="Z561" s="15"/>
    </row>
    <row r="562" spans="1:26" x14ac:dyDescent="0.25">
      <c r="A562" s="15" t="s">
        <v>14681</v>
      </c>
      <c r="B562" s="15">
        <v>561</v>
      </c>
      <c r="C562" s="15" t="s">
        <v>11277</v>
      </c>
      <c r="D562" s="15" t="s">
        <v>11277</v>
      </c>
      <c r="E562" s="15" t="s">
        <v>1067</v>
      </c>
      <c r="F562" s="15" t="s">
        <v>1317</v>
      </c>
      <c r="G562" s="15" t="s">
        <v>11460</v>
      </c>
      <c r="H562" s="15">
        <v>32</v>
      </c>
      <c r="I562" s="15">
        <v>23</v>
      </c>
      <c r="J562" s="15">
        <v>50</v>
      </c>
      <c r="K562" s="15" t="str">
        <f t="shared" si="8"/>
        <v>urthsgift</v>
      </c>
      <c r="L562" s="15" t="s">
        <v>11376</v>
      </c>
      <c r="M562" s="15">
        <v>3</v>
      </c>
      <c r="N562" s="15" t="s">
        <v>11223</v>
      </c>
      <c r="O562" s="15"/>
      <c r="P562" s="15"/>
      <c r="Q562" s="15"/>
      <c r="R562" s="15"/>
      <c r="S562" s="15"/>
      <c r="T562" s="15">
        <v>3</v>
      </c>
      <c r="U562" s="15" t="s">
        <v>6010</v>
      </c>
      <c r="V562" s="15" t="s">
        <v>5982</v>
      </c>
      <c r="W562" s="15"/>
      <c r="X562" s="15"/>
      <c r="Y562" s="15"/>
      <c r="Z562" s="15"/>
    </row>
    <row r="563" spans="1:26" x14ac:dyDescent="0.25">
      <c r="A563" s="15" t="s">
        <v>14682</v>
      </c>
      <c r="B563" s="15">
        <v>562</v>
      </c>
      <c r="C563" s="15" t="s">
        <v>11277</v>
      </c>
      <c r="D563" s="15" t="s">
        <v>11277</v>
      </c>
      <c r="E563" s="15" t="s">
        <v>1067</v>
      </c>
      <c r="F563" s="15" t="s">
        <v>1317</v>
      </c>
      <c r="G563" s="15" t="s">
        <v>11461</v>
      </c>
      <c r="H563" s="15">
        <v>32</v>
      </c>
      <c r="I563" s="15">
        <v>23</v>
      </c>
      <c r="J563" s="15">
        <v>50</v>
      </c>
      <c r="K563" s="15" t="str">
        <f t="shared" si="8"/>
        <v>urthsgift</v>
      </c>
      <c r="L563" s="15" t="s">
        <v>11363</v>
      </c>
      <c r="M563" s="15">
        <v>3</v>
      </c>
      <c r="N563" s="15" t="s">
        <v>11223</v>
      </c>
      <c r="O563" s="15"/>
      <c r="P563" s="15" t="s">
        <v>14683</v>
      </c>
      <c r="Q563" s="15"/>
      <c r="R563" s="15"/>
      <c r="S563" s="15"/>
      <c r="T563" s="15">
        <v>3</v>
      </c>
      <c r="U563" s="15" t="s">
        <v>6010</v>
      </c>
      <c r="V563" s="15" t="s">
        <v>5982</v>
      </c>
      <c r="W563" s="15"/>
      <c r="X563" s="15"/>
      <c r="Y563" s="15"/>
      <c r="Z563" s="15"/>
    </row>
    <row r="564" spans="1:26" x14ac:dyDescent="0.25">
      <c r="A564" s="15" t="s">
        <v>14684</v>
      </c>
      <c r="B564" s="15">
        <v>563</v>
      </c>
      <c r="C564" s="15" t="s">
        <v>11277</v>
      </c>
      <c r="D564" s="15" t="s">
        <v>11277</v>
      </c>
      <c r="E564" s="15" t="s">
        <v>1067</v>
      </c>
      <c r="F564" s="15" t="s">
        <v>14685</v>
      </c>
      <c r="G564" s="15" t="s">
        <v>11411</v>
      </c>
      <c r="H564" s="15">
        <v>26</v>
      </c>
      <c r="I564" s="15">
        <v>25</v>
      </c>
      <c r="J564" s="15">
        <v>9</v>
      </c>
      <c r="K564" s="15" t="str">
        <f t="shared" si="8"/>
        <v>murmurrills</v>
      </c>
      <c r="L564" s="15" t="s">
        <v>11257</v>
      </c>
      <c r="M564" s="15">
        <v>1</v>
      </c>
      <c r="N564" s="15" t="s">
        <v>11222</v>
      </c>
      <c r="O564" s="15"/>
      <c r="P564" s="15"/>
      <c r="Q564" s="15"/>
      <c r="R564" s="15"/>
      <c r="S564" s="15"/>
      <c r="T564" s="15">
        <v>0</v>
      </c>
      <c r="U564" s="15"/>
      <c r="V564" s="15"/>
      <c r="W564" s="15"/>
      <c r="X564" s="15"/>
      <c r="Y564" s="15"/>
      <c r="Z564" s="15"/>
    </row>
    <row r="565" spans="1:26" x14ac:dyDescent="0.25">
      <c r="A565" s="15" t="s">
        <v>14686</v>
      </c>
      <c r="B565" s="15">
        <v>564</v>
      </c>
      <c r="C565" s="15" t="s">
        <v>11277</v>
      </c>
      <c r="D565" s="15" t="s">
        <v>11277</v>
      </c>
      <c r="E565" s="15" t="s">
        <v>1067</v>
      </c>
      <c r="F565" s="15" t="s">
        <v>14685</v>
      </c>
      <c r="G565" s="15" t="s">
        <v>11265</v>
      </c>
      <c r="H565" s="15">
        <v>26</v>
      </c>
      <c r="I565" s="15">
        <v>25</v>
      </c>
      <c r="J565" s="15">
        <v>10</v>
      </c>
      <c r="K565" s="15" t="str">
        <f t="shared" si="8"/>
        <v>murmurrills</v>
      </c>
      <c r="L565" s="15" t="s">
        <v>11440</v>
      </c>
      <c r="M565" s="15">
        <v>2</v>
      </c>
      <c r="N565" s="15" t="s">
        <v>11223</v>
      </c>
      <c r="O565" s="15"/>
      <c r="P565" s="15"/>
      <c r="Q565" s="15"/>
      <c r="R565" s="15"/>
      <c r="S565" s="15"/>
      <c r="T565" s="15">
        <v>0</v>
      </c>
      <c r="U565" s="15"/>
      <c r="V565" s="15"/>
      <c r="W565" s="15"/>
      <c r="X565" s="15"/>
      <c r="Y565" s="15"/>
      <c r="Z565" s="15"/>
    </row>
    <row r="566" spans="1:26" x14ac:dyDescent="0.25">
      <c r="A566" s="15" t="s">
        <v>14687</v>
      </c>
      <c r="B566" s="15">
        <v>565</v>
      </c>
      <c r="C566" s="15" t="s">
        <v>11277</v>
      </c>
      <c r="D566" s="15" t="s">
        <v>11277</v>
      </c>
      <c r="E566" s="15" t="s">
        <v>1067</v>
      </c>
      <c r="F566" s="15" t="s">
        <v>14685</v>
      </c>
      <c r="G566" s="15" t="s">
        <v>11429</v>
      </c>
      <c r="H566" s="15">
        <v>26</v>
      </c>
      <c r="I566" s="15">
        <v>25</v>
      </c>
      <c r="J566" s="15">
        <v>15</v>
      </c>
      <c r="K566" s="15" t="str">
        <f t="shared" si="8"/>
        <v>murmurrills</v>
      </c>
      <c r="L566" s="15" t="s">
        <v>11266</v>
      </c>
      <c r="M566" s="15">
        <v>2</v>
      </c>
      <c r="N566" s="15" t="s">
        <v>11223</v>
      </c>
      <c r="O566" s="15"/>
      <c r="P566" s="15"/>
      <c r="Q566" s="15"/>
      <c r="R566" s="15"/>
      <c r="S566" s="15"/>
      <c r="T566" s="15">
        <v>0</v>
      </c>
      <c r="U566" s="15"/>
      <c r="V566" s="15"/>
      <c r="W566" s="15"/>
      <c r="X566" s="15"/>
      <c r="Y566" s="15"/>
      <c r="Z566" s="15"/>
    </row>
    <row r="567" spans="1:26" x14ac:dyDescent="0.25">
      <c r="A567" s="15" t="s">
        <v>14688</v>
      </c>
      <c r="B567" s="15">
        <v>566</v>
      </c>
      <c r="C567" s="15" t="s">
        <v>11277</v>
      </c>
      <c r="D567" s="15" t="s">
        <v>11277</v>
      </c>
      <c r="E567" s="15" t="s">
        <v>1067</v>
      </c>
      <c r="F567" s="15" t="s">
        <v>14685</v>
      </c>
      <c r="G567" s="15" t="s">
        <v>11269</v>
      </c>
      <c r="H567" s="15">
        <v>26</v>
      </c>
      <c r="I567" s="15">
        <v>25</v>
      </c>
      <c r="J567" s="15">
        <v>15</v>
      </c>
      <c r="K567" s="15" t="str">
        <f t="shared" si="8"/>
        <v>murmurrills</v>
      </c>
      <c r="L567" s="15" t="s">
        <v>11271</v>
      </c>
      <c r="M567" s="15">
        <v>1</v>
      </c>
      <c r="N567" s="15" t="s">
        <v>11222</v>
      </c>
      <c r="O567" s="15"/>
      <c r="P567" s="15"/>
      <c r="Q567" s="15"/>
      <c r="R567" s="15"/>
      <c r="S567" s="15"/>
      <c r="T567" s="15">
        <v>0</v>
      </c>
      <c r="U567" s="15"/>
      <c r="V567" s="15"/>
      <c r="W567" s="15"/>
      <c r="X567" s="15"/>
      <c r="Y567" s="15"/>
      <c r="Z567" s="15"/>
    </row>
    <row r="568" spans="1:26" x14ac:dyDescent="0.25">
      <c r="A568" s="15" t="s">
        <v>14689</v>
      </c>
      <c r="B568" s="15">
        <v>567</v>
      </c>
      <c r="C568" s="15" t="s">
        <v>11277</v>
      </c>
      <c r="D568" s="15" t="s">
        <v>11277</v>
      </c>
      <c r="E568" s="15" t="s">
        <v>1067</v>
      </c>
      <c r="F568" s="15" t="s">
        <v>14685</v>
      </c>
      <c r="G568" s="15" t="s">
        <v>11430</v>
      </c>
      <c r="H568" s="15">
        <v>26</v>
      </c>
      <c r="I568" s="15">
        <v>25</v>
      </c>
      <c r="J568" s="15">
        <v>20</v>
      </c>
      <c r="K568" s="15" t="str">
        <f t="shared" si="8"/>
        <v>murmurrills</v>
      </c>
      <c r="L568" s="15" t="s">
        <v>11315</v>
      </c>
      <c r="M568" s="15">
        <v>2</v>
      </c>
      <c r="N568" s="15" t="s">
        <v>11223</v>
      </c>
      <c r="O568" s="15"/>
      <c r="P568" s="15"/>
      <c r="Q568" s="15"/>
      <c r="R568" s="15"/>
      <c r="S568" s="15"/>
      <c r="T568" s="15">
        <v>0</v>
      </c>
      <c r="U568" s="15"/>
      <c r="V568" s="15"/>
      <c r="W568" s="15"/>
      <c r="X568" s="15"/>
      <c r="Y568" s="15"/>
      <c r="Z568" s="15"/>
    </row>
    <row r="569" spans="1:26" x14ac:dyDescent="0.25">
      <c r="A569" s="15" t="s">
        <v>14690</v>
      </c>
      <c r="B569" s="15">
        <v>568</v>
      </c>
      <c r="C569" s="15" t="s">
        <v>11277</v>
      </c>
      <c r="D569" s="15" t="s">
        <v>11277</v>
      </c>
      <c r="E569" s="15" t="s">
        <v>1067</v>
      </c>
      <c r="F569" s="15" t="s">
        <v>14685</v>
      </c>
      <c r="G569" s="15" t="s">
        <v>11413</v>
      </c>
      <c r="H569" s="15">
        <v>26</v>
      </c>
      <c r="I569" s="15">
        <v>25</v>
      </c>
      <c r="J569" s="15">
        <v>21</v>
      </c>
      <c r="K569" s="15" t="str">
        <f t="shared" si="8"/>
        <v>murmurrills</v>
      </c>
      <c r="L569" s="15" t="s">
        <v>11271</v>
      </c>
      <c r="M569" s="15">
        <v>2</v>
      </c>
      <c r="N569" s="15" t="s">
        <v>11223</v>
      </c>
      <c r="O569" s="15"/>
      <c r="P569" s="15"/>
      <c r="Q569" s="15"/>
      <c r="R569" s="15"/>
      <c r="S569" s="15"/>
      <c r="T569" s="15">
        <v>0</v>
      </c>
      <c r="U569" s="15"/>
      <c r="V569" s="15"/>
      <c r="W569" s="15"/>
      <c r="X569" s="15"/>
      <c r="Y569" s="15"/>
      <c r="Z569" s="15"/>
    </row>
    <row r="570" spans="1:26" x14ac:dyDescent="0.25">
      <c r="A570" s="15" t="s">
        <v>14691</v>
      </c>
      <c r="B570" s="15">
        <v>569</v>
      </c>
      <c r="C570" s="15" t="s">
        <v>11277</v>
      </c>
      <c r="D570" s="15" t="s">
        <v>11277</v>
      </c>
      <c r="E570" s="15" t="s">
        <v>1067</v>
      </c>
      <c r="F570" s="15" t="s">
        <v>14685</v>
      </c>
      <c r="G570" s="15" t="s">
        <v>11462</v>
      </c>
      <c r="H570" s="15">
        <v>26</v>
      </c>
      <c r="I570" s="15">
        <v>25</v>
      </c>
      <c r="J570" s="15">
        <v>50</v>
      </c>
      <c r="K570" s="15" t="str">
        <f t="shared" si="8"/>
        <v>murmurrills</v>
      </c>
      <c r="L570" s="15" t="s">
        <v>11315</v>
      </c>
      <c r="M570" s="15">
        <v>3</v>
      </c>
      <c r="N570" s="15" t="s">
        <v>11223</v>
      </c>
      <c r="O570" s="15" t="s">
        <v>14010</v>
      </c>
      <c r="P570" s="15"/>
      <c r="Q570" s="15"/>
      <c r="R570" s="15"/>
      <c r="S570" s="15"/>
      <c r="T570" s="15">
        <v>3</v>
      </c>
      <c r="U570" s="15"/>
      <c r="V570" s="15"/>
      <c r="W570" s="15"/>
      <c r="X570" s="15"/>
      <c r="Y570" s="15"/>
      <c r="Z570" s="15"/>
    </row>
    <row r="571" spans="1:26" x14ac:dyDescent="0.25">
      <c r="A571" s="15" t="s">
        <v>14692</v>
      </c>
      <c r="B571" s="15">
        <v>570</v>
      </c>
      <c r="C571" s="15" t="s">
        <v>11277</v>
      </c>
      <c r="D571" s="15" t="s">
        <v>11277</v>
      </c>
      <c r="E571" s="15" t="s">
        <v>1067</v>
      </c>
      <c r="F571" s="15" t="s">
        <v>1326</v>
      </c>
      <c r="G571" s="15" t="s">
        <v>11410</v>
      </c>
      <c r="H571" s="15">
        <v>21</v>
      </c>
      <c r="I571" s="15">
        <v>24</v>
      </c>
      <c r="J571" s="15">
        <v>4</v>
      </c>
      <c r="K571" s="15" t="str">
        <f t="shared" si="8"/>
        <v>fallgourdfloat</v>
      </c>
      <c r="L571" s="15" t="s">
        <v>11253</v>
      </c>
      <c r="M571" s="15">
        <v>1</v>
      </c>
      <c r="N571" s="15" t="s">
        <v>11222</v>
      </c>
      <c r="O571" s="15"/>
      <c r="P571" s="15"/>
      <c r="Q571" s="15"/>
      <c r="R571" s="15"/>
      <c r="S571" s="15"/>
      <c r="T571" s="15">
        <v>0</v>
      </c>
      <c r="U571" s="15"/>
      <c r="V571" s="15"/>
      <c r="W571" s="15"/>
      <c r="X571" s="15"/>
      <c r="Y571" s="15"/>
      <c r="Z571" s="15"/>
    </row>
    <row r="572" spans="1:26" x14ac:dyDescent="0.25">
      <c r="A572" s="15" t="s">
        <v>14693</v>
      </c>
      <c r="B572" s="15">
        <v>571</v>
      </c>
      <c r="C572" s="15" t="s">
        <v>11277</v>
      </c>
      <c r="D572" s="15" t="s">
        <v>11277</v>
      </c>
      <c r="E572" s="15" t="s">
        <v>1067</v>
      </c>
      <c r="F572" s="15" t="s">
        <v>1326</v>
      </c>
      <c r="G572" s="15" t="s">
        <v>11411</v>
      </c>
      <c r="H572" s="15">
        <v>21</v>
      </c>
      <c r="I572" s="15">
        <v>24</v>
      </c>
      <c r="J572" s="15">
        <v>9</v>
      </c>
      <c r="K572" s="15" t="str">
        <f t="shared" si="8"/>
        <v>fallgourdfloat</v>
      </c>
      <c r="L572" s="15" t="s">
        <v>11257</v>
      </c>
      <c r="M572" s="15">
        <v>1</v>
      </c>
      <c r="N572" s="15" t="s">
        <v>11222</v>
      </c>
      <c r="O572" s="15"/>
      <c r="P572" s="15"/>
      <c r="Q572" s="15"/>
      <c r="R572" s="15"/>
      <c r="S572" s="15"/>
      <c r="T572" s="15">
        <v>0</v>
      </c>
      <c r="U572" s="15"/>
      <c r="V572" s="15"/>
      <c r="W572" s="15"/>
      <c r="X572" s="15"/>
      <c r="Y572" s="15"/>
      <c r="Z572" s="15"/>
    </row>
    <row r="573" spans="1:26" x14ac:dyDescent="0.25">
      <c r="A573" s="15" t="s">
        <v>14694</v>
      </c>
      <c r="B573" s="15">
        <v>572</v>
      </c>
      <c r="C573" s="15" t="s">
        <v>11277</v>
      </c>
      <c r="D573" s="15" t="s">
        <v>11277</v>
      </c>
      <c r="E573" s="15" t="s">
        <v>1067</v>
      </c>
      <c r="F573" s="15" t="s">
        <v>1326</v>
      </c>
      <c r="G573" s="15" t="s">
        <v>11265</v>
      </c>
      <c r="H573" s="15">
        <v>21</v>
      </c>
      <c r="I573" s="15">
        <v>24</v>
      </c>
      <c r="J573" s="15">
        <v>10</v>
      </c>
      <c r="K573" s="15" t="str">
        <f t="shared" si="8"/>
        <v>fallgourdfloat</v>
      </c>
      <c r="L573" s="15" t="s">
        <v>11440</v>
      </c>
      <c r="M573" s="15">
        <v>2</v>
      </c>
      <c r="N573" s="15" t="s">
        <v>11223</v>
      </c>
      <c r="O573" s="15"/>
      <c r="P573" s="15"/>
      <c r="Q573" s="15"/>
      <c r="R573" s="15"/>
      <c r="S573" s="15"/>
      <c r="T573" s="15">
        <v>0</v>
      </c>
      <c r="U573" s="15"/>
      <c r="V573" s="15"/>
      <c r="W573" s="15"/>
      <c r="X573" s="15"/>
      <c r="Y573" s="15"/>
      <c r="Z573" s="15"/>
    </row>
    <row r="574" spans="1:26" x14ac:dyDescent="0.25">
      <c r="A574" s="15" t="s">
        <v>14695</v>
      </c>
      <c r="B574" s="15">
        <v>573</v>
      </c>
      <c r="C574" s="15" t="s">
        <v>11277</v>
      </c>
      <c r="D574" s="15" t="s">
        <v>11277</v>
      </c>
      <c r="E574" s="15" t="s">
        <v>1067</v>
      </c>
      <c r="F574" s="15" t="s">
        <v>1326</v>
      </c>
      <c r="G574" s="15" t="s">
        <v>11429</v>
      </c>
      <c r="H574" s="15">
        <v>21</v>
      </c>
      <c r="I574" s="15">
        <v>24</v>
      </c>
      <c r="J574" s="15">
        <v>15</v>
      </c>
      <c r="K574" s="15" t="str">
        <f t="shared" si="8"/>
        <v>fallgourdfloat</v>
      </c>
      <c r="L574" s="15" t="s">
        <v>11440</v>
      </c>
      <c r="M574" s="15">
        <v>2</v>
      </c>
      <c r="N574" s="15" t="s">
        <v>11223</v>
      </c>
      <c r="O574" s="15"/>
      <c r="P574" s="15"/>
      <c r="Q574" s="15"/>
      <c r="R574" s="15"/>
      <c r="S574" s="15"/>
      <c r="T574" s="15">
        <v>0</v>
      </c>
      <c r="U574" s="15"/>
      <c r="V574" s="15"/>
      <c r="W574" s="15"/>
      <c r="X574" s="15"/>
      <c r="Y574" s="15"/>
      <c r="Z574" s="15"/>
    </row>
    <row r="575" spans="1:26" x14ac:dyDescent="0.25">
      <c r="A575" s="15" t="s">
        <v>14696</v>
      </c>
      <c r="B575" s="15">
        <v>574</v>
      </c>
      <c r="C575" s="15" t="s">
        <v>11277</v>
      </c>
      <c r="D575" s="15" t="s">
        <v>11277</v>
      </c>
      <c r="E575" s="15" t="s">
        <v>1067</v>
      </c>
      <c r="F575" s="15" t="s">
        <v>1326</v>
      </c>
      <c r="G575" s="15" t="s">
        <v>11417</v>
      </c>
      <c r="H575" s="15">
        <v>21</v>
      </c>
      <c r="I575" s="15">
        <v>24</v>
      </c>
      <c r="J575" s="15">
        <v>16</v>
      </c>
      <c r="K575" s="15" t="str">
        <f t="shared" si="8"/>
        <v>fallgourdfloat</v>
      </c>
      <c r="L575" s="15" t="s">
        <v>11254</v>
      </c>
      <c r="M575" s="15">
        <v>1</v>
      </c>
      <c r="N575" s="15" t="s">
        <v>11222</v>
      </c>
      <c r="O575" s="15"/>
      <c r="P575" s="15"/>
      <c r="Q575" s="15"/>
      <c r="R575" s="15"/>
      <c r="S575" s="15"/>
      <c r="T575" s="15">
        <v>0</v>
      </c>
      <c r="U575" s="15"/>
      <c r="V575" s="15"/>
      <c r="W575" s="15"/>
      <c r="X575" s="15"/>
      <c r="Y575" s="15"/>
      <c r="Z575" s="15"/>
    </row>
    <row r="576" spans="1:26" x14ac:dyDescent="0.25">
      <c r="A576" s="15" t="s">
        <v>14697</v>
      </c>
      <c r="B576" s="15">
        <v>575</v>
      </c>
      <c r="C576" s="15" t="s">
        <v>11277</v>
      </c>
      <c r="D576" s="15" t="s">
        <v>11277</v>
      </c>
      <c r="E576" s="15" t="s">
        <v>1067</v>
      </c>
      <c r="F576" s="15" t="s">
        <v>1326</v>
      </c>
      <c r="G576" s="15" t="s">
        <v>11304</v>
      </c>
      <c r="H576" s="15">
        <v>21</v>
      </c>
      <c r="I576" s="15">
        <v>24</v>
      </c>
      <c r="J576" s="15">
        <v>17</v>
      </c>
      <c r="K576" s="15" t="str">
        <f t="shared" si="8"/>
        <v>fallgourdfloat</v>
      </c>
      <c r="L576" s="15" t="s">
        <v>11254</v>
      </c>
      <c r="M576" s="15">
        <v>2</v>
      </c>
      <c r="N576" s="15" t="s">
        <v>11223</v>
      </c>
      <c r="O576" s="15"/>
      <c r="P576" s="15"/>
      <c r="Q576" s="15"/>
      <c r="R576" s="15"/>
      <c r="S576" s="15"/>
      <c r="T576" s="15">
        <v>0</v>
      </c>
      <c r="U576" s="15"/>
      <c r="V576" s="15"/>
      <c r="W576" s="15"/>
      <c r="X576" s="15"/>
      <c r="Y576" s="15"/>
      <c r="Z576" s="15"/>
    </row>
    <row r="577" spans="1:26" x14ac:dyDescent="0.25">
      <c r="A577" s="15" t="s">
        <v>14698</v>
      </c>
      <c r="B577" s="15">
        <v>576</v>
      </c>
      <c r="C577" s="15" t="s">
        <v>11277</v>
      </c>
      <c r="D577" s="15" t="s">
        <v>11277</v>
      </c>
      <c r="E577" s="15" t="s">
        <v>1067</v>
      </c>
      <c r="F577" s="15" t="s">
        <v>1326</v>
      </c>
      <c r="G577" s="15" t="s">
        <v>11351</v>
      </c>
      <c r="H577" s="15">
        <v>21</v>
      </c>
      <c r="I577" s="15">
        <v>24</v>
      </c>
      <c r="J577" s="15">
        <v>18</v>
      </c>
      <c r="K577" s="15" t="str">
        <f t="shared" si="8"/>
        <v>fallgourdfloat</v>
      </c>
      <c r="L577" s="15" t="s">
        <v>11254</v>
      </c>
      <c r="M577" s="15">
        <v>1</v>
      </c>
      <c r="N577" s="15" t="s">
        <v>11222</v>
      </c>
      <c r="O577" s="15" t="s">
        <v>14028</v>
      </c>
      <c r="P577" s="15"/>
      <c r="Q577" s="15"/>
      <c r="R577" s="15"/>
      <c r="S577" s="15"/>
      <c r="T577" s="15">
        <v>0</v>
      </c>
      <c r="U577" s="15"/>
      <c r="V577" s="15"/>
      <c r="W577" s="15"/>
      <c r="X577" s="15"/>
      <c r="Y577" s="15"/>
      <c r="Z577" s="15"/>
    </row>
    <row r="578" spans="1:26" x14ac:dyDescent="0.25">
      <c r="A578" s="15" t="s">
        <v>14699</v>
      </c>
      <c r="B578" s="15">
        <v>577</v>
      </c>
      <c r="C578" s="15" t="s">
        <v>11277</v>
      </c>
      <c r="D578" s="15" t="s">
        <v>11277</v>
      </c>
      <c r="E578" s="15" t="s">
        <v>1067</v>
      </c>
      <c r="F578" s="15" t="s">
        <v>1326</v>
      </c>
      <c r="G578" s="15" t="s">
        <v>11463</v>
      </c>
      <c r="H578" s="15">
        <v>21</v>
      </c>
      <c r="I578" s="15">
        <v>24</v>
      </c>
      <c r="J578" s="15">
        <v>27</v>
      </c>
      <c r="K578" s="15" t="str">
        <f t="shared" ref="K578:K641" si="9">LOWER(SUBSTITUTE(SUBSTITUTE(SUBSTITUTE(SUBSTITUTE(SUBSTITUTE(F578," ",""),"(",""),")",""),"'",""),"-",""))</f>
        <v>fallgourdfloat</v>
      </c>
      <c r="L578" s="15" t="s">
        <v>14088</v>
      </c>
      <c r="M578" s="15">
        <v>2</v>
      </c>
      <c r="N578" s="15" t="s">
        <v>11223</v>
      </c>
      <c r="O578" s="15"/>
      <c r="P578" s="15"/>
      <c r="Q578" s="15" t="s">
        <v>11410</v>
      </c>
      <c r="R578" s="15" t="s">
        <v>11417</v>
      </c>
      <c r="S578" s="15"/>
      <c r="T578" s="15">
        <v>0</v>
      </c>
      <c r="U578" s="15"/>
      <c r="V578" s="15"/>
      <c r="W578" s="15"/>
      <c r="X578" s="15"/>
      <c r="Y578" s="15"/>
      <c r="Z578" s="15"/>
    </row>
    <row r="579" spans="1:26" x14ac:dyDescent="0.25">
      <c r="A579" s="15" t="s">
        <v>14700</v>
      </c>
      <c r="B579" s="15">
        <v>578</v>
      </c>
      <c r="C579" s="15" t="s">
        <v>11277</v>
      </c>
      <c r="D579" s="15" t="s">
        <v>11277</v>
      </c>
      <c r="E579" s="15" t="s">
        <v>1067</v>
      </c>
      <c r="F579" s="15" t="s">
        <v>1326</v>
      </c>
      <c r="G579" s="15" t="s">
        <v>11464</v>
      </c>
      <c r="H579" s="15">
        <v>21</v>
      </c>
      <c r="I579" s="15">
        <v>24</v>
      </c>
      <c r="J579" s="15">
        <v>50</v>
      </c>
      <c r="K579" s="15" t="str">
        <f t="shared" si="9"/>
        <v>fallgourdfloat</v>
      </c>
      <c r="L579" s="15" t="s">
        <v>11440</v>
      </c>
      <c r="M579" s="15">
        <v>3</v>
      </c>
      <c r="N579" s="15" t="s">
        <v>11223</v>
      </c>
      <c r="O579" s="15" t="s">
        <v>14044</v>
      </c>
      <c r="P579" s="15"/>
      <c r="Q579" s="15"/>
      <c r="R579" s="15"/>
      <c r="S579" s="15"/>
      <c r="T579" s="15">
        <v>3</v>
      </c>
      <c r="U579" s="15"/>
      <c r="V579" s="15"/>
      <c r="W579" s="15"/>
      <c r="X579" s="15"/>
      <c r="Y579" s="15"/>
      <c r="Z579" s="15"/>
    </row>
    <row r="580" spans="1:26" x14ac:dyDescent="0.25">
      <c r="A580" s="15" t="s">
        <v>14701</v>
      </c>
      <c r="B580" s="15">
        <v>579</v>
      </c>
      <c r="C580" s="15" t="s">
        <v>11277</v>
      </c>
      <c r="D580" s="15" t="s">
        <v>11277</v>
      </c>
      <c r="E580" s="15" t="s">
        <v>1067</v>
      </c>
      <c r="F580" s="15" t="s">
        <v>1340</v>
      </c>
      <c r="G580" s="15" t="s">
        <v>11432</v>
      </c>
      <c r="H580" s="15">
        <v>20</v>
      </c>
      <c r="I580" s="15">
        <v>20</v>
      </c>
      <c r="J580" s="15">
        <v>23</v>
      </c>
      <c r="K580" s="15" t="str">
        <f t="shared" si="9"/>
        <v>proudcreek</v>
      </c>
      <c r="L580" s="15" t="s">
        <v>11271</v>
      </c>
      <c r="M580" s="15">
        <v>1</v>
      </c>
      <c r="N580" s="15" t="s">
        <v>11222</v>
      </c>
      <c r="O580" s="15"/>
      <c r="P580" s="15"/>
      <c r="Q580" s="15"/>
      <c r="R580" s="15"/>
      <c r="S580" s="15"/>
      <c r="T580" s="15">
        <v>0</v>
      </c>
      <c r="U580" s="15"/>
      <c r="V580" s="15"/>
      <c r="W580" s="15"/>
      <c r="X580" s="15"/>
      <c r="Y580" s="15"/>
      <c r="Z580" s="15"/>
    </row>
    <row r="581" spans="1:26" x14ac:dyDescent="0.25">
      <c r="A581" s="15" t="s">
        <v>14702</v>
      </c>
      <c r="B581" s="15">
        <v>580</v>
      </c>
      <c r="C581" s="15" t="s">
        <v>11277</v>
      </c>
      <c r="D581" s="15" t="s">
        <v>11277</v>
      </c>
      <c r="E581" s="15" t="s">
        <v>1067</v>
      </c>
      <c r="F581" s="15" t="s">
        <v>1340</v>
      </c>
      <c r="G581" s="15" t="s">
        <v>11352</v>
      </c>
      <c r="H581" s="15">
        <v>20</v>
      </c>
      <c r="I581" s="15">
        <v>20</v>
      </c>
      <c r="J581" s="15">
        <v>34</v>
      </c>
      <c r="K581" s="15" t="str">
        <f t="shared" si="9"/>
        <v>proudcreek</v>
      </c>
      <c r="L581" s="15" t="s">
        <v>11355</v>
      </c>
      <c r="M581" s="15">
        <v>1</v>
      </c>
      <c r="N581" s="15" t="s">
        <v>11222</v>
      </c>
      <c r="O581" s="15"/>
      <c r="P581" s="15"/>
      <c r="Q581" s="15"/>
      <c r="R581" s="15"/>
      <c r="S581" s="15"/>
      <c r="T581" s="15">
        <v>0</v>
      </c>
      <c r="U581" s="15"/>
      <c r="V581" s="15"/>
      <c r="W581" s="15"/>
      <c r="X581" s="15"/>
      <c r="Y581" s="15"/>
      <c r="Z581" s="15"/>
    </row>
    <row r="582" spans="1:26" x14ac:dyDescent="0.25">
      <c r="A582" s="15" t="s">
        <v>14703</v>
      </c>
      <c r="B582" s="15">
        <v>581</v>
      </c>
      <c r="C582" s="15" t="s">
        <v>11277</v>
      </c>
      <c r="D582" s="15" t="s">
        <v>11277</v>
      </c>
      <c r="E582" s="15" t="s">
        <v>1067</v>
      </c>
      <c r="F582" s="15" t="s">
        <v>1340</v>
      </c>
      <c r="G582" s="15" t="s">
        <v>11425</v>
      </c>
      <c r="H582" s="15">
        <v>20</v>
      </c>
      <c r="I582" s="15">
        <v>20</v>
      </c>
      <c r="J582" s="15">
        <v>35</v>
      </c>
      <c r="K582" s="15" t="str">
        <f t="shared" si="9"/>
        <v>proudcreek</v>
      </c>
      <c r="L582" s="15" t="s">
        <v>11440</v>
      </c>
      <c r="M582" s="15">
        <v>2</v>
      </c>
      <c r="N582" s="15" t="s">
        <v>11223</v>
      </c>
      <c r="O582" s="15"/>
      <c r="P582" s="15"/>
      <c r="Q582" s="15"/>
      <c r="R582" s="15"/>
      <c r="S582" s="15"/>
      <c r="T582" s="15">
        <v>0</v>
      </c>
      <c r="U582" s="15"/>
      <c r="V582" s="15"/>
      <c r="W582" s="15"/>
      <c r="X582" s="15"/>
      <c r="Y582" s="15"/>
      <c r="Z582" s="15"/>
    </row>
    <row r="583" spans="1:26" x14ac:dyDescent="0.25">
      <c r="A583" s="15" t="s">
        <v>14704</v>
      </c>
      <c r="B583" s="15">
        <v>582</v>
      </c>
      <c r="C583" s="15" t="s">
        <v>11277</v>
      </c>
      <c r="D583" s="15" t="s">
        <v>11277</v>
      </c>
      <c r="E583" s="15" t="s">
        <v>1067</v>
      </c>
      <c r="F583" s="15" t="s">
        <v>1340</v>
      </c>
      <c r="G583" s="15" t="s">
        <v>11465</v>
      </c>
      <c r="H583" s="15">
        <v>20</v>
      </c>
      <c r="I583" s="15">
        <v>20</v>
      </c>
      <c r="J583" s="15">
        <v>39</v>
      </c>
      <c r="K583" s="15" t="str">
        <f t="shared" si="9"/>
        <v>proudcreek</v>
      </c>
      <c r="L583" s="15" t="s">
        <v>11355</v>
      </c>
      <c r="M583" s="15">
        <v>1</v>
      </c>
      <c r="N583" s="15" t="s">
        <v>11222</v>
      </c>
      <c r="O583" s="15"/>
      <c r="P583" s="15"/>
      <c r="Q583" s="15"/>
      <c r="R583" s="15"/>
      <c r="S583" s="15"/>
      <c r="T583" s="15">
        <v>0</v>
      </c>
      <c r="U583" s="15"/>
      <c r="V583" s="15"/>
      <c r="W583" s="15"/>
      <c r="X583" s="15"/>
      <c r="Y583" s="15"/>
      <c r="Z583" s="15"/>
    </row>
    <row r="584" spans="1:26" x14ac:dyDescent="0.25">
      <c r="A584" s="15" t="s">
        <v>14705</v>
      </c>
      <c r="B584" s="15">
        <v>583</v>
      </c>
      <c r="C584" s="15" t="s">
        <v>11277</v>
      </c>
      <c r="D584" s="15" t="s">
        <v>11277</v>
      </c>
      <c r="E584" s="15" t="s">
        <v>1067</v>
      </c>
      <c r="F584" s="15" t="s">
        <v>1340</v>
      </c>
      <c r="G584" s="15" t="s">
        <v>11359</v>
      </c>
      <c r="H584" s="15">
        <v>20</v>
      </c>
      <c r="I584" s="15">
        <v>20</v>
      </c>
      <c r="J584" s="15">
        <v>42</v>
      </c>
      <c r="K584" s="15" t="str">
        <f t="shared" si="9"/>
        <v>proudcreek</v>
      </c>
      <c r="L584" s="15" t="s">
        <v>11360</v>
      </c>
      <c r="M584" s="15">
        <v>2</v>
      </c>
      <c r="N584" s="15" t="s">
        <v>11223</v>
      </c>
      <c r="O584" s="15"/>
      <c r="P584" s="15"/>
      <c r="Q584" s="15"/>
      <c r="R584" s="15"/>
      <c r="S584" s="15"/>
      <c r="T584" s="15">
        <v>0</v>
      </c>
      <c r="U584" s="15"/>
      <c r="V584" s="15"/>
      <c r="W584" s="15"/>
      <c r="X584" s="15"/>
      <c r="Y584" s="15"/>
      <c r="Z584" s="15"/>
    </row>
    <row r="585" spans="1:26" x14ac:dyDescent="0.25">
      <c r="A585" s="15" t="s">
        <v>14706</v>
      </c>
      <c r="B585" s="15">
        <v>584</v>
      </c>
      <c r="C585" s="15" t="s">
        <v>11277</v>
      </c>
      <c r="D585" s="15" t="s">
        <v>11277</v>
      </c>
      <c r="E585" s="15" t="s">
        <v>1067</v>
      </c>
      <c r="F585" s="15" t="s">
        <v>1340</v>
      </c>
      <c r="G585" s="15" t="s">
        <v>11441</v>
      </c>
      <c r="H585" s="15">
        <v>20</v>
      </c>
      <c r="I585" s="15">
        <v>20</v>
      </c>
      <c r="J585" s="15">
        <v>44</v>
      </c>
      <c r="K585" s="15" t="str">
        <f t="shared" si="9"/>
        <v>proudcreek</v>
      </c>
      <c r="L585" s="15" t="s">
        <v>11360</v>
      </c>
      <c r="M585" s="15">
        <v>2</v>
      </c>
      <c r="N585" s="15" t="s">
        <v>11223</v>
      </c>
      <c r="O585" s="15" t="s">
        <v>14041</v>
      </c>
      <c r="P585" s="15"/>
      <c r="Q585" s="15"/>
      <c r="R585" s="15"/>
      <c r="S585" s="15"/>
      <c r="T585" s="15">
        <v>0</v>
      </c>
      <c r="U585" s="15"/>
      <c r="V585" s="15"/>
      <c r="W585" s="15"/>
      <c r="X585" s="15"/>
      <c r="Y585" s="15"/>
      <c r="Z585" s="15"/>
    </row>
    <row r="586" spans="1:26" x14ac:dyDescent="0.25">
      <c r="A586" s="15" t="s">
        <v>14707</v>
      </c>
      <c r="B586" s="15">
        <v>585</v>
      </c>
      <c r="C586" s="15" t="s">
        <v>11277</v>
      </c>
      <c r="D586" s="15" t="s">
        <v>11277</v>
      </c>
      <c r="E586" s="15" t="s">
        <v>1067</v>
      </c>
      <c r="F586" s="15" t="s">
        <v>1340</v>
      </c>
      <c r="G586" s="15" t="s">
        <v>11443</v>
      </c>
      <c r="H586" s="15">
        <v>20</v>
      </c>
      <c r="I586" s="15">
        <v>20</v>
      </c>
      <c r="J586" s="15">
        <v>45</v>
      </c>
      <c r="K586" s="15" t="str">
        <f t="shared" si="9"/>
        <v>proudcreek</v>
      </c>
      <c r="L586" s="15" t="s">
        <v>11363</v>
      </c>
      <c r="M586" s="15">
        <v>2</v>
      </c>
      <c r="N586" s="15" t="s">
        <v>11223</v>
      </c>
      <c r="O586" s="15"/>
      <c r="P586" s="15"/>
      <c r="Q586" s="15"/>
      <c r="R586" s="15"/>
      <c r="S586" s="15"/>
      <c r="T586" s="15">
        <v>0</v>
      </c>
      <c r="U586" s="15"/>
      <c r="V586" s="15"/>
      <c r="W586" s="15"/>
      <c r="X586" s="15"/>
      <c r="Y586" s="15"/>
      <c r="Z586" s="15"/>
    </row>
    <row r="587" spans="1:26" x14ac:dyDescent="0.25">
      <c r="A587" s="15" t="s">
        <v>14708</v>
      </c>
      <c r="B587" s="15">
        <v>586</v>
      </c>
      <c r="C587" s="15" t="s">
        <v>11277</v>
      </c>
      <c r="D587" s="15" t="s">
        <v>11277</v>
      </c>
      <c r="E587" s="15" t="s">
        <v>1067</v>
      </c>
      <c r="F587" s="15" t="s">
        <v>1340</v>
      </c>
      <c r="G587" s="15" t="s">
        <v>11466</v>
      </c>
      <c r="H587" s="15">
        <v>20</v>
      </c>
      <c r="I587" s="15">
        <v>20</v>
      </c>
      <c r="J587" s="15">
        <v>50</v>
      </c>
      <c r="K587" s="15" t="str">
        <f t="shared" si="9"/>
        <v>proudcreek</v>
      </c>
      <c r="L587" s="15" t="s">
        <v>11424</v>
      </c>
      <c r="M587" s="15">
        <v>2</v>
      </c>
      <c r="N587" s="15" t="s">
        <v>11223</v>
      </c>
      <c r="O587" s="15"/>
      <c r="P587" s="15"/>
      <c r="Q587" s="15"/>
      <c r="R587" s="15"/>
      <c r="S587" s="15"/>
      <c r="T587" s="15">
        <v>2</v>
      </c>
      <c r="U587" s="15"/>
      <c r="V587" s="15"/>
      <c r="W587" s="15"/>
      <c r="X587" s="15"/>
      <c r="Y587" s="15"/>
      <c r="Z587" s="15"/>
    </row>
    <row r="588" spans="1:26" x14ac:dyDescent="0.25">
      <c r="A588" s="15" t="s">
        <v>14709</v>
      </c>
      <c r="B588" s="15">
        <v>587</v>
      </c>
      <c r="C588" s="15" t="s">
        <v>11277</v>
      </c>
      <c r="D588" s="15" t="s">
        <v>11277</v>
      </c>
      <c r="E588" s="15" t="s">
        <v>1067</v>
      </c>
      <c r="F588" s="15" t="s">
        <v>1340</v>
      </c>
      <c r="G588" s="15" t="s">
        <v>11467</v>
      </c>
      <c r="H588" s="15">
        <v>20</v>
      </c>
      <c r="I588" s="15">
        <v>20</v>
      </c>
      <c r="J588" s="15">
        <v>50</v>
      </c>
      <c r="K588" s="15" t="str">
        <f t="shared" si="9"/>
        <v>proudcreek</v>
      </c>
      <c r="L588" s="15" t="s">
        <v>11363</v>
      </c>
      <c r="M588" s="15">
        <v>3</v>
      </c>
      <c r="N588" s="15" t="s">
        <v>11223</v>
      </c>
      <c r="O588" s="15" t="s">
        <v>11382</v>
      </c>
      <c r="P588" s="15"/>
      <c r="Q588" s="15"/>
      <c r="R588" s="15"/>
      <c r="S588" s="15"/>
      <c r="T588" s="15">
        <v>3</v>
      </c>
      <c r="U588" s="15" t="s">
        <v>5914</v>
      </c>
      <c r="V588" s="15"/>
      <c r="W588" s="15"/>
      <c r="X588" s="15"/>
      <c r="Y588" s="15"/>
      <c r="Z588" s="15"/>
    </row>
    <row r="589" spans="1:26" x14ac:dyDescent="0.25">
      <c r="A589" s="15" t="s">
        <v>14710</v>
      </c>
      <c r="B589" s="15">
        <v>588</v>
      </c>
      <c r="C589" s="15" t="s">
        <v>11277</v>
      </c>
      <c r="D589" s="15" t="s">
        <v>11277</v>
      </c>
      <c r="E589" s="15" t="s">
        <v>1067</v>
      </c>
      <c r="F589" s="15" t="s">
        <v>14711</v>
      </c>
      <c r="G589" s="15" t="s">
        <v>11369</v>
      </c>
      <c r="H589" s="15">
        <v>18</v>
      </c>
      <c r="I589" s="15">
        <v>19</v>
      </c>
      <c r="J589" s="15">
        <v>21</v>
      </c>
      <c r="K589" s="15" t="str">
        <f t="shared" si="9"/>
        <v>laketahtotl</v>
      </c>
      <c r="L589" s="15" t="s">
        <v>11355</v>
      </c>
      <c r="M589" s="15">
        <v>1</v>
      </c>
      <c r="N589" s="15" t="s">
        <v>11222</v>
      </c>
      <c r="O589" s="15"/>
      <c r="P589" s="15"/>
      <c r="Q589" s="15"/>
      <c r="R589" s="15"/>
      <c r="S589" s="15"/>
      <c r="T589" s="15">
        <v>0</v>
      </c>
      <c r="U589" s="15"/>
      <c r="V589" s="15"/>
      <c r="W589" s="15"/>
      <c r="X589" s="15"/>
      <c r="Y589" s="15"/>
      <c r="Z589" s="15"/>
    </row>
    <row r="590" spans="1:26" x14ac:dyDescent="0.25">
      <c r="A590" s="15" t="s">
        <v>14712</v>
      </c>
      <c r="B590" s="15">
        <v>589</v>
      </c>
      <c r="C590" s="15" t="s">
        <v>11277</v>
      </c>
      <c r="D590" s="15" t="s">
        <v>11277</v>
      </c>
      <c r="E590" s="15" t="s">
        <v>1067</v>
      </c>
      <c r="F590" s="15" t="s">
        <v>14711</v>
      </c>
      <c r="G590" s="15" t="s">
        <v>11432</v>
      </c>
      <c r="H590" s="15">
        <v>18</v>
      </c>
      <c r="I590" s="15">
        <v>19</v>
      </c>
      <c r="J590" s="15">
        <v>23</v>
      </c>
      <c r="K590" s="15" t="str">
        <f t="shared" si="9"/>
        <v>laketahtotl</v>
      </c>
      <c r="L590" s="15" t="s">
        <v>11271</v>
      </c>
      <c r="M590" s="15">
        <v>1</v>
      </c>
      <c r="N590" s="15" t="s">
        <v>11222</v>
      </c>
      <c r="O590" s="15"/>
      <c r="P590" s="15"/>
      <c r="Q590" s="15"/>
      <c r="R590" s="15"/>
      <c r="S590" s="15"/>
      <c r="T590" s="15">
        <v>0</v>
      </c>
      <c r="U590" s="15"/>
      <c r="V590" s="15"/>
      <c r="W590" s="15"/>
      <c r="X590" s="15"/>
      <c r="Y590" s="15"/>
      <c r="Z590" s="15"/>
    </row>
    <row r="591" spans="1:26" x14ac:dyDescent="0.25">
      <c r="A591" s="15" t="s">
        <v>14713</v>
      </c>
      <c r="B591" s="15">
        <v>590</v>
      </c>
      <c r="C591" s="15" t="s">
        <v>11277</v>
      </c>
      <c r="D591" s="15" t="s">
        <v>11277</v>
      </c>
      <c r="E591" s="15" t="s">
        <v>1067</v>
      </c>
      <c r="F591" s="15" t="s">
        <v>14711</v>
      </c>
      <c r="G591" s="15" t="s">
        <v>11420</v>
      </c>
      <c r="H591" s="15">
        <v>18</v>
      </c>
      <c r="I591" s="15">
        <v>19</v>
      </c>
      <c r="J591" s="15">
        <v>34</v>
      </c>
      <c r="K591" s="15" t="str">
        <f t="shared" si="9"/>
        <v>laketahtotl</v>
      </c>
      <c r="L591" s="15" t="s">
        <v>11424</v>
      </c>
      <c r="M591" s="15">
        <v>2</v>
      </c>
      <c r="N591" s="15" t="s">
        <v>11223</v>
      </c>
      <c r="O591" s="15"/>
      <c r="P591" s="15"/>
      <c r="Q591" s="15"/>
      <c r="R591" s="15"/>
      <c r="S591" s="15"/>
      <c r="T591" s="15">
        <v>0</v>
      </c>
      <c r="U591" s="15"/>
      <c r="V591" s="15"/>
      <c r="W591" s="15"/>
      <c r="X591" s="15"/>
      <c r="Y591" s="15"/>
      <c r="Z591" s="15"/>
    </row>
    <row r="592" spans="1:26" x14ac:dyDescent="0.25">
      <c r="A592" s="15" t="s">
        <v>14714</v>
      </c>
      <c r="B592" s="15">
        <v>591</v>
      </c>
      <c r="C592" s="15" t="s">
        <v>11277</v>
      </c>
      <c r="D592" s="15" t="s">
        <v>11277</v>
      </c>
      <c r="E592" s="15" t="s">
        <v>1067</v>
      </c>
      <c r="F592" s="15" t="s">
        <v>14711</v>
      </c>
      <c r="G592" s="15" t="s">
        <v>11370</v>
      </c>
      <c r="H592" s="15">
        <v>18</v>
      </c>
      <c r="I592" s="15">
        <v>19</v>
      </c>
      <c r="J592" s="15">
        <v>36</v>
      </c>
      <c r="K592" s="15" t="str">
        <f t="shared" si="9"/>
        <v>laketahtotl</v>
      </c>
      <c r="L592" s="15" t="s">
        <v>11355</v>
      </c>
      <c r="M592" s="15">
        <v>1</v>
      </c>
      <c r="N592" s="15" t="s">
        <v>11222</v>
      </c>
      <c r="O592" s="15"/>
      <c r="P592" s="15"/>
      <c r="Q592" s="15"/>
      <c r="R592" s="15"/>
      <c r="S592" s="15"/>
      <c r="T592" s="15">
        <v>0</v>
      </c>
      <c r="U592" s="15"/>
      <c r="V592" s="15"/>
      <c r="W592" s="15"/>
      <c r="X592" s="15"/>
      <c r="Y592" s="15"/>
      <c r="Z592" s="15"/>
    </row>
    <row r="593" spans="1:26" x14ac:dyDescent="0.25">
      <c r="A593" s="15" t="s">
        <v>14715</v>
      </c>
      <c r="B593" s="15">
        <v>592</v>
      </c>
      <c r="C593" s="15" t="s">
        <v>11277</v>
      </c>
      <c r="D593" s="15" t="s">
        <v>11277</v>
      </c>
      <c r="E593" s="15" t="s">
        <v>1067</v>
      </c>
      <c r="F593" s="15" t="s">
        <v>14711</v>
      </c>
      <c r="G593" s="15" t="s">
        <v>11469</v>
      </c>
      <c r="H593" s="15">
        <v>18</v>
      </c>
      <c r="I593" s="15">
        <v>19</v>
      </c>
      <c r="J593" s="15">
        <v>47</v>
      </c>
      <c r="K593" s="15" t="str">
        <f t="shared" si="9"/>
        <v>laketahtotl</v>
      </c>
      <c r="L593" s="15" t="s">
        <v>14088</v>
      </c>
      <c r="M593" s="15">
        <v>2</v>
      </c>
      <c r="N593" s="15" t="s">
        <v>11223</v>
      </c>
      <c r="O593" s="15"/>
      <c r="P593" s="15"/>
      <c r="Q593" s="15" t="s">
        <v>11370</v>
      </c>
      <c r="R593" s="15" t="s">
        <v>11377</v>
      </c>
      <c r="S593" s="15"/>
      <c r="T593" s="15">
        <v>0</v>
      </c>
      <c r="U593" s="15"/>
      <c r="V593" s="15"/>
      <c r="W593" s="15"/>
      <c r="X593" s="15"/>
      <c r="Y593" s="15"/>
      <c r="Z593" s="15"/>
    </row>
    <row r="594" spans="1:26" x14ac:dyDescent="0.25">
      <c r="A594" s="15" t="s">
        <v>14716</v>
      </c>
      <c r="B594" s="15">
        <v>593</v>
      </c>
      <c r="C594" s="15" t="s">
        <v>11277</v>
      </c>
      <c r="D594" s="15" t="s">
        <v>11277</v>
      </c>
      <c r="E594" s="15" t="s">
        <v>1067</v>
      </c>
      <c r="F594" s="15" t="s">
        <v>14711</v>
      </c>
      <c r="G594" s="15" t="s">
        <v>11458</v>
      </c>
      <c r="H594" s="15">
        <v>18</v>
      </c>
      <c r="I594" s="15">
        <v>19</v>
      </c>
      <c r="J594" s="15">
        <v>49</v>
      </c>
      <c r="K594" s="15" t="str">
        <f t="shared" si="9"/>
        <v>laketahtotl</v>
      </c>
      <c r="L594" s="15" t="s">
        <v>11376</v>
      </c>
      <c r="M594" s="15">
        <v>2</v>
      </c>
      <c r="N594" s="15" t="s">
        <v>11223</v>
      </c>
      <c r="O594" s="15"/>
      <c r="P594" s="15"/>
      <c r="Q594" s="15"/>
      <c r="R594" s="15"/>
      <c r="S594" s="15"/>
      <c r="T594" s="15">
        <v>0</v>
      </c>
      <c r="U594" s="15"/>
      <c r="V594" s="15"/>
      <c r="W594" s="15"/>
      <c r="X594" s="15"/>
      <c r="Y594" s="15"/>
      <c r="Z594" s="15"/>
    </row>
    <row r="595" spans="1:26" x14ac:dyDescent="0.25">
      <c r="A595" s="15" t="s">
        <v>14717</v>
      </c>
      <c r="B595" s="15">
        <v>594</v>
      </c>
      <c r="C595" s="15" t="s">
        <v>11277</v>
      </c>
      <c r="D595" s="15" t="s">
        <v>11277</v>
      </c>
      <c r="E595" s="15" t="s">
        <v>1067</v>
      </c>
      <c r="F595" s="15" t="s">
        <v>14711</v>
      </c>
      <c r="G595" s="15" t="s">
        <v>11377</v>
      </c>
      <c r="H595" s="15">
        <v>18</v>
      </c>
      <c r="I595" s="15">
        <v>19</v>
      </c>
      <c r="J595" s="15">
        <v>50</v>
      </c>
      <c r="K595" s="15" t="str">
        <f t="shared" si="9"/>
        <v>laketahtotl</v>
      </c>
      <c r="L595" s="15" t="s">
        <v>14088</v>
      </c>
      <c r="M595" s="15">
        <v>1</v>
      </c>
      <c r="N595" s="15" t="s">
        <v>11222</v>
      </c>
      <c r="O595" s="15"/>
      <c r="P595" s="15"/>
      <c r="Q595" s="15" t="s">
        <v>11370</v>
      </c>
      <c r="R595" s="15"/>
      <c r="S595" s="15"/>
      <c r="T595" s="15">
        <v>0</v>
      </c>
      <c r="U595" s="15"/>
      <c r="V595" s="15"/>
      <c r="W595" s="15"/>
      <c r="X595" s="15"/>
      <c r="Y595" s="15"/>
      <c r="Z595" s="15"/>
    </row>
    <row r="596" spans="1:26" x14ac:dyDescent="0.25">
      <c r="A596" s="15" t="s">
        <v>14718</v>
      </c>
      <c r="B596" s="15">
        <v>595</v>
      </c>
      <c r="C596" s="15" t="s">
        <v>11277</v>
      </c>
      <c r="D596" s="15" t="s">
        <v>11277</v>
      </c>
      <c r="E596" s="15" t="s">
        <v>1067</v>
      </c>
      <c r="F596" s="15" t="s">
        <v>14711</v>
      </c>
      <c r="G596" s="15" t="s">
        <v>11470</v>
      </c>
      <c r="H596" s="15">
        <v>18</v>
      </c>
      <c r="I596" s="15">
        <v>19</v>
      </c>
      <c r="J596" s="15">
        <v>50</v>
      </c>
      <c r="K596" s="15" t="str">
        <f t="shared" si="9"/>
        <v>laketahtotl</v>
      </c>
      <c r="L596" s="15" t="s">
        <v>14088</v>
      </c>
      <c r="M596" s="15">
        <v>2</v>
      </c>
      <c r="N596" s="15" t="s">
        <v>11223</v>
      </c>
      <c r="O596" s="15"/>
      <c r="P596" s="15"/>
      <c r="Q596" s="15" t="s">
        <v>11377</v>
      </c>
      <c r="R596" s="15"/>
      <c r="S596" s="15"/>
      <c r="T596" s="15">
        <v>1</v>
      </c>
      <c r="U596" s="15"/>
      <c r="V596" s="15"/>
      <c r="W596" s="15"/>
      <c r="X596" s="15"/>
      <c r="Y596" s="15"/>
      <c r="Z596" s="15"/>
    </row>
    <row r="597" spans="1:26" x14ac:dyDescent="0.25">
      <c r="A597" s="15" t="s">
        <v>14719</v>
      </c>
      <c r="B597" s="15">
        <v>596</v>
      </c>
      <c r="C597" s="15" t="s">
        <v>11277</v>
      </c>
      <c r="D597" s="15" t="s">
        <v>11277</v>
      </c>
      <c r="E597" s="15" t="s">
        <v>1067</v>
      </c>
      <c r="F597" s="15" t="s">
        <v>14711</v>
      </c>
      <c r="G597" s="15" t="s">
        <v>11471</v>
      </c>
      <c r="H597" s="15">
        <v>18</v>
      </c>
      <c r="I597" s="15">
        <v>19</v>
      </c>
      <c r="J597" s="15">
        <v>50</v>
      </c>
      <c r="K597" s="15" t="str">
        <f t="shared" si="9"/>
        <v>laketahtotl</v>
      </c>
      <c r="L597" s="15" t="s">
        <v>11472</v>
      </c>
      <c r="M597" s="15">
        <v>3</v>
      </c>
      <c r="N597" s="15" t="s">
        <v>11223</v>
      </c>
      <c r="O597" s="15"/>
      <c r="P597" s="15" t="s">
        <v>14720</v>
      </c>
      <c r="Q597" s="15"/>
      <c r="R597" s="15"/>
      <c r="S597" s="15"/>
      <c r="T597" s="15">
        <v>3</v>
      </c>
      <c r="U597" s="15"/>
      <c r="V597" s="15"/>
      <c r="W597" s="15"/>
      <c r="X597" s="15"/>
      <c r="Y597" s="15"/>
      <c r="Z597" s="15"/>
    </row>
    <row r="598" spans="1:26" x14ac:dyDescent="0.25">
      <c r="A598" s="15" t="s">
        <v>14721</v>
      </c>
      <c r="B598" s="15">
        <v>597</v>
      </c>
      <c r="C598" s="15" t="s">
        <v>11277</v>
      </c>
      <c r="D598" s="15" t="s">
        <v>11277</v>
      </c>
      <c r="E598" s="15" t="s">
        <v>1067</v>
      </c>
      <c r="F598" s="15" t="s">
        <v>14722</v>
      </c>
      <c r="G598" s="15" t="s">
        <v>11404</v>
      </c>
      <c r="H598" s="15">
        <v>0</v>
      </c>
      <c r="I598" s="15">
        <v>0</v>
      </c>
      <c r="J598" s="15">
        <v>7</v>
      </c>
      <c r="K598" s="15" t="str">
        <f t="shared" si="9"/>
        <v>thelavenderbeds</v>
      </c>
      <c r="L598" s="15" t="s">
        <v>11257</v>
      </c>
      <c r="M598" s="15">
        <v>1</v>
      </c>
      <c r="N598" s="15" t="s">
        <v>11222</v>
      </c>
      <c r="O598" s="15"/>
      <c r="P598" s="15"/>
      <c r="Q598" s="15"/>
      <c r="R598" s="15"/>
      <c r="S598" s="15"/>
      <c r="T598" s="15">
        <v>0</v>
      </c>
      <c r="U598" s="15"/>
      <c r="V598" s="15"/>
      <c r="W598" s="15"/>
      <c r="X598" s="15"/>
      <c r="Y598" s="15"/>
      <c r="Z598" s="15"/>
    </row>
    <row r="599" spans="1:26" x14ac:dyDescent="0.25">
      <c r="A599" s="15" t="s">
        <v>14723</v>
      </c>
      <c r="B599" s="15">
        <v>598</v>
      </c>
      <c r="C599" s="15" t="s">
        <v>11277</v>
      </c>
      <c r="D599" s="15" t="s">
        <v>11277</v>
      </c>
      <c r="E599" s="15" t="s">
        <v>1067</v>
      </c>
      <c r="F599" s="15" t="s">
        <v>14722</v>
      </c>
      <c r="G599" s="15" t="s">
        <v>11351</v>
      </c>
      <c r="H599" s="15">
        <v>0</v>
      </c>
      <c r="I599" s="15">
        <v>0</v>
      </c>
      <c r="J599" s="15">
        <v>18</v>
      </c>
      <c r="K599" s="15" t="str">
        <f t="shared" si="9"/>
        <v>thelavenderbeds</v>
      </c>
      <c r="L599" s="15" t="s">
        <v>11254</v>
      </c>
      <c r="M599" s="15">
        <v>1</v>
      </c>
      <c r="N599" s="15" t="s">
        <v>11222</v>
      </c>
      <c r="O599" s="15" t="s">
        <v>14028</v>
      </c>
      <c r="P599" s="15"/>
      <c r="Q599" s="15"/>
      <c r="R599" s="15"/>
      <c r="S599" s="15"/>
      <c r="T599" s="15">
        <v>0</v>
      </c>
      <c r="U599" s="15"/>
      <c r="V599" s="15"/>
      <c r="W599" s="15"/>
      <c r="X599" s="15"/>
      <c r="Y599" s="15"/>
      <c r="Z599" s="15"/>
    </row>
    <row r="600" spans="1:26" x14ac:dyDescent="0.25">
      <c r="A600" s="15" t="s">
        <v>14724</v>
      </c>
      <c r="B600" s="15">
        <v>599</v>
      </c>
      <c r="C600" s="15" t="s">
        <v>11277</v>
      </c>
      <c r="D600" s="15" t="s">
        <v>11277</v>
      </c>
      <c r="E600" s="15" t="s">
        <v>1067</v>
      </c>
      <c r="F600" s="15" t="s">
        <v>14722</v>
      </c>
      <c r="G600" s="15" t="s">
        <v>11417</v>
      </c>
      <c r="H600" s="15">
        <v>0</v>
      </c>
      <c r="I600" s="15">
        <v>0</v>
      </c>
      <c r="J600" s="15">
        <v>16</v>
      </c>
      <c r="K600" s="15" t="str">
        <f t="shared" si="9"/>
        <v>thelavenderbeds</v>
      </c>
      <c r="L600" s="15" t="s">
        <v>11254</v>
      </c>
      <c r="M600" s="15">
        <v>1</v>
      </c>
      <c r="N600" s="15" t="s">
        <v>11222</v>
      </c>
      <c r="O600" s="15"/>
      <c r="P600" s="15"/>
      <c r="Q600" s="15"/>
      <c r="R600" s="15"/>
      <c r="S600" s="15"/>
      <c r="T600" s="15">
        <v>0</v>
      </c>
      <c r="U600" s="15"/>
      <c r="V600" s="15"/>
      <c r="W600" s="15"/>
      <c r="X600" s="15"/>
      <c r="Y600" s="15"/>
      <c r="Z600" s="15"/>
    </row>
    <row r="601" spans="1:26" x14ac:dyDescent="0.25">
      <c r="A601" s="15" t="s">
        <v>14725</v>
      </c>
      <c r="B601" s="15">
        <v>600</v>
      </c>
      <c r="C601" s="15" t="s">
        <v>11277</v>
      </c>
      <c r="D601" s="15" t="s">
        <v>11277</v>
      </c>
      <c r="E601" s="15" t="s">
        <v>1067</v>
      </c>
      <c r="F601" s="15" t="s">
        <v>14722</v>
      </c>
      <c r="G601" s="15" t="s">
        <v>11413</v>
      </c>
      <c r="H601" s="15">
        <v>0</v>
      </c>
      <c r="I601" s="15">
        <v>0</v>
      </c>
      <c r="J601" s="15">
        <v>21</v>
      </c>
      <c r="K601" s="15" t="str">
        <f t="shared" si="9"/>
        <v>thelavenderbeds</v>
      </c>
      <c r="L601" s="15" t="s">
        <v>11271</v>
      </c>
      <c r="M601" s="15">
        <v>2</v>
      </c>
      <c r="N601" s="15" t="s">
        <v>11223</v>
      </c>
      <c r="O601" s="15"/>
      <c r="P601" s="15"/>
      <c r="Q601" s="15"/>
      <c r="R601" s="15"/>
      <c r="S601" s="15"/>
      <c r="T601" s="15">
        <v>0</v>
      </c>
      <c r="U601" s="15"/>
      <c r="V601" s="15"/>
      <c r="W601" s="15"/>
      <c r="X601" s="15"/>
      <c r="Y601" s="15"/>
      <c r="Z601" s="15"/>
    </row>
    <row r="602" spans="1:26" x14ac:dyDescent="0.25">
      <c r="A602" s="15" t="s">
        <v>14726</v>
      </c>
      <c r="B602" s="15">
        <v>601</v>
      </c>
      <c r="C602" s="15" t="s">
        <v>11277</v>
      </c>
      <c r="D602" s="15" t="s">
        <v>11277</v>
      </c>
      <c r="E602" s="15" t="s">
        <v>1067</v>
      </c>
      <c r="F602" s="15" t="s">
        <v>14722</v>
      </c>
      <c r="G602" s="15" t="s">
        <v>11463</v>
      </c>
      <c r="H602" s="15">
        <v>0</v>
      </c>
      <c r="I602" s="15">
        <v>0</v>
      </c>
      <c r="J602" s="15">
        <v>27</v>
      </c>
      <c r="K602" s="15" t="str">
        <f t="shared" si="9"/>
        <v>thelavenderbeds</v>
      </c>
      <c r="L602" s="15" t="s">
        <v>14088</v>
      </c>
      <c r="M602" s="15">
        <v>2</v>
      </c>
      <c r="N602" s="15" t="s">
        <v>11223</v>
      </c>
      <c r="O602" s="15"/>
      <c r="P602" s="15"/>
      <c r="Q602" s="15" t="s">
        <v>11417</v>
      </c>
      <c r="R602" s="15"/>
      <c r="S602" s="15"/>
      <c r="T602" s="15">
        <v>0</v>
      </c>
      <c r="U602" s="15"/>
      <c r="V602" s="15"/>
      <c r="W602" s="15"/>
      <c r="X602" s="15"/>
      <c r="Y602" s="15"/>
      <c r="Z602" s="15"/>
    </row>
    <row r="603" spans="1:26" x14ac:dyDescent="0.25">
      <c r="A603" s="15" t="s">
        <v>14727</v>
      </c>
      <c r="B603" s="15">
        <v>602</v>
      </c>
      <c r="C603" s="15" t="s">
        <v>11277</v>
      </c>
      <c r="D603" s="15" t="s">
        <v>11277</v>
      </c>
      <c r="E603" s="15" t="s">
        <v>1067</v>
      </c>
      <c r="F603" s="15" t="s">
        <v>14722</v>
      </c>
      <c r="G603" s="15" t="s">
        <v>11418</v>
      </c>
      <c r="H603" s="15">
        <v>0</v>
      </c>
      <c r="I603" s="15">
        <v>0</v>
      </c>
      <c r="J603" s="15">
        <v>30</v>
      </c>
      <c r="K603" s="15" t="str">
        <f t="shared" si="9"/>
        <v>thelavenderbeds</v>
      </c>
      <c r="L603" s="15" t="s">
        <v>11419</v>
      </c>
      <c r="M603" s="15">
        <v>2</v>
      </c>
      <c r="N603" s="15" t="s">
        <v>11223</v>
      </c>
      <c r="O603" s="15"/>
      <c r="P603" s="15"/>
      <c r="Q603" s="15"/>
      <c r="R603" s="15"/>
      <c r="S603" s="15"/>
      <c r="T603" s="15">
        <v>0</v>
      </c>
      <c r="U603" s="15"/>
      <c r="V603" s="15"/>
      <c r="W603" s="15"/>
      <c r="X603" s="15"/>
      <c r="Y603" s="15"/>
      <c r="Z603" s="15"/>
    </row>
    <row r="604" spans="1:26" x14ac:dyDescent="0.25">
      <c r="A604" s="15" t="s">
        <v>14728</v>
      </c>
      <c r="B604" s="15">
        <v>603</v>
      </c>
      <c r="C604" s="15" t="s">
        <v>11277</v>
      </c>
      <c r="D604" s="15" t="s">
        <v>11277</v>
      </c>
      <c r="E604" s="15" t="s">
        <v>1067</v>
      </c>
      <c r="F604" s="15" t="s">
        <v>14722</v>
      </c>
      <c r="G604" s="15" t="s">
        <v>11420</v>
      </c>
      <c r="H604" s="15">
        <v>0</v>
      </c>
      <c r="I604" s="15">
        <v>0</v>
      </c>
      <c r="J604" s="15">
        <v>34</v>
      </c>
      <c r="K604" s="15" t="str">
        <f t="shared" si="9"/>
        <v>thelavenderbeds</v>
      </c>
      <c r="L604" s="15" t="s">
        <v>11323</v>
      </c>
      <c r="M604" s="15">
        <v>2</v>
      </c>
      <c r="N604" s="15" t="s">
        <v>11223</v>
      </c>
      <c r="O604" s="15"/>
      <c r="P604" s="15"/>
      <c r="Q604" s="15"/>
      <c r="R604" s="15"/>
      <c r="S604" s="15"/>
      <c r="T604" s="15">
        <v>0</v>
      </c>
      <c r="U604" s="15"/>
      <c r="V604" s="15"/>
      <c r="W604" s="15"/>
      <c r="X604" s="15"/>
      <c r="Y604" s="15"/>
      <c r="Z604" s="15"/>
    </row>
    <row r="605" spans="1:26" x14ac:dyDescent="0.25">
      <c r="A605" s="15" t="s">
        <v>14729</v>
      </c>
      <c r="B605" s="15">
        <v>604</v>
      </c>
      <c r="C605" s="15" t="s">
        <v>11277</v>
      </c>
      <c r="D605" s="15" t="s">
        <v>11277</v>
      </c>
      <c r="E605" s="15" t="s">
        <v>1067</v>
      </c>
      <c r="F605" s="15" t="s">
        <v>14722</v>
      </c>
      <c r="G605" s="15" t="s">
        <v>11358</v>
      </c>
      <c r="H605" s="15">
        <v>0</v>
      </c>
      <c r="I605" s="15">
        <v>0</v>
      </c>
      <c r="J605" s="15">
        <v>33</v>
      </c>
      <c r="K605" s="15" t="str">
        <f t="shared" si="9"/>
        <v>thelavenderbeds</v>
      </c>
      <c r="L605" s="15" t="s">
        <v>14088</v>
      </c>
      <c r="M605" s="15">
        <v>1</v>
      </c>
      <c r="N605" s="15" t="s">
        <v>11222</v>
      </c>
      <c r="O605" s="15"/>
      <c r="P605" s="15"/>
      <c r="Q605" s="15" t="s">
        <v>11417</v>
      </c>
      <c r="R605" s="15"/>
      <c r="S605" s="15"/>
      <c r="T605" s="15">
        <v>0</v>
      </c>
      <c r="U605" s="15"/>
      <c r="V605" s="15"/>
      <c r="W605" s="15"/>
      <c r="X605" s="15"/>
      <c r="Y605" s="15"/>
      <c r="Z605" s="15"/>
    </row>
    <row r="606" spans="1:26" x14ac:dyDescent="0.25">
      <c r="A606" s="15" t="s">
        <v>14730</v>
      </c>
      <c r="B606" s="15">
        <v>605</v>
      </c>
      <c r="C606" s="15" t="s">
        <v>11277</v>
      </c>
      <c r="D606" s="15" t="s">
        <v>11277</v>
      </c>
      <c r="E606" s="15" t="s">
        <v>1067</v>
      </c>
      <c r="F606" s="15" t="s">
        <v>14722</v>
      </c>
      <c r="G606" s="15" t="s">
        <v>14731</v>
      </c>
      <c r="H606" s="15">
        <v>0</v>
      </c>
      <c r="I606" s="15">
        <v>0</v>
      </c>
      <c r="J606" s="15">
        <v>50</v>
      </c>
      <c r="K606" s="15" t="str">
        <f t="shared" si="9"/>
        <v>thelavenderbeds</v>
      </c>
      <c r="L606" s="15" t="s">
        <v>14088</v>
      </c>
      <c r="M606" s="15">
        <v>3</v>
      </c>
      <c r="N606" s="15" t="s">
        <v>11223</v>
      </c>
      <c r="O606" s="15" t="s">
        <v>14076</v>
      </c>
      <c r="P606" s="15"/>
      <c r="Q606" s="15" t="s">
        <v>11417</v>
      </c>
      <c r="R606" s="15"/>
      <c r="S606" s="15"/>
      <c r="T606" s="15">
        <v>3</v>
      </c>
      <c r="U606" s="15" t="s">
        <v>5914</v>
      </c>
      <c r="V606" s="15"/>
      <c r="W606" s="15"/>
      <c r="X606" s="15"/>
      <c r="Y606" s="15"/>
      <c r="Z606" s="15"/>
    </row>
    <row r="607" spans="1:26" x14ac:dyDescent="0.25">
      <c r="A607" s="15" t="s">
        <v>14732</v>
      </c>
      <c r="B607" s="15">
        <v>606</v>
      </c>
      <c r="C607" s="15" t="s">
        <v>11277</v>
      </c>
      <c r="D607" s="15" t="s">
        <v>11277</v>
      </c>
      <c r="E607" s="15" t="s">
        <v>1067</v>
      </c>
      <c r="F607" s="15" t="s">
        <v>1369</v>
      </c>
      <c r="G607" s="15" t="s">
        <v>11321</v>
      </c>
      <c r="H607" s="15">
        <v>24</v>
      </c>
      <c r="I607" s="15">
        <v>21</v>
      </c>
      <c r="J607" s="15">
        <v>5</v>
      </c>
      <c r="K607" s="15" t="str">
        <f t="shared" si="9"/>
        <v>nophicaswells</v>
      </c>
      <c r="L607" s="15" t="s">
        <v>11253</v>
      </c>
      <c r="M607" s="15">
        <v>1</v>
      </c>
      <c r="N607" s="15" t="s">
        <v>11222</v>
      </c>
      <c r="O607" s="15"/>
      <c r="P607" s="15"/>
      <c r="Q607" s="15"/>
      <c r="R607" s="15"/>
      <c r="S607" s="15"/>
      <c r="T607" s="15">
        <v>0</v>
      </c>
      <c r="U607" s="15"/>
      <c r="V607" s="15"/>
      <c r="W607" s="15"/>
      <c r="X607" s="15"/>
      <c r="Y607" s="15"/>
      <c r="Z607" s="15"/>
    </row>
    <row r="608" spans="1:26" x14ac:dyDescent="0.25">
      <c r="A608" s="15" t="s">
        <v>14733</v>
      </c>
      <c r="B608" s="15">
        <v>607</v>
      </c>
      <c r="C608" s="15" t="s">
        <v>11277</v>
      </c>
      <c r="D608" s="15" t="s">
        <v>11277</v>
      </c>
      <c r="E608" s="15" t="s">
        <v>1067</v>
      </c>
      <c r="F608" s="15" t="s">
        <v>1369</v>
      </c>
      <c r="G608" s="15" t="s">
        <v>11264</v>
      </c>
      <c r="H608" s="15">
        <v>24</v>
      </c>
      <c r="I608" s="15">
        <v>21</v>
      </c>
      <c r="J608" s="15">
        <v>6</v>
      </c>
      <c r="K608" s="15" t="str">
        <f t="shared" si="9"/>
        <v>nophicaswells</v>
      </c>
      <c r="L608" s="15" t="s">
        <v>11257</v>
      </c>
      <c r="M608" s="15">
        <v>1</v>
      </c>
      <c r="N608" s="15" t="s">
        <v>11222</v>
      </c>
      <c r="O608" s="15"/>
      <c r="P608" s="15"/>
      <c r="Q608" s="15"/>
      <c r="R608" s="15"/>
      <c r="S608" s="15"/>
      <c r="T608" s="15">
        <v>0</v>
      </c>
      <c r="U608" s="15"/>
      <c r="V608" s="15"/>
      <c r="W608" s="15"/>
      <c r="X608" s="15"/>
      <c r="Y608" s="15"/>
      <c r="Z608" s="15"/>
    </row>
    <row r="609" spans="1:26" x14ac:dyDescent="0.25">
      <c r="A609" s="15" t="s">
        <v>14734</v>
      </c>
      <c r="B609" s="15">
        <v>608</v>
      </c>
      <c r="C609" s="15" t="s">
        <v>11277</v>
      </c>
      <c r="D609" s="15" t="s">
        <v>11277</v>
      </c>
      <c r="E609" s="15" t="s">
        <v>1067</v>
      </c>
      <c r="F609" s="15" t="s">
        <v>1369</v>
      </c>
      <c r="G609" s="15" t="s">
        <v>11255</v>
      </c>
      <c r="H609" s="15">
        <v>24</v>
      </c>
      <c r="I609" s="15">
        <v>21</v>
      </c>
      <c r="J609" s="15">
        <v>8</v>
      </c>
      <c r="K609" s="15" t="str">
        <f t="shared" si="9"/>
        <v>nophicaswells</v>
      </c>
      <c r="L609" s="15" t="s">
        <v>11257</v>
      </c>
      <c r="M609" s="15">
        <v>1</v>
      </c>
      <c r="N609" s="15" t="s">
        <v>11222</v>
      </c>
      <c r="O609" s="15"/>
      <c r="P609" s="15"/>
      <c r="Q609" s="15"/>
      <c r="R609" s="15"/>
      <c r="S609" s="15"/>
      <c r="T609" s="15">
        <v>0</v>
      </c>
      <c r="U609" s="15"/>
      <c r="V609" s="15"/>
      <c r="W609" s="15"/>
      <c r="X609" s="15"/>
      <c r="Y609" s="15"/>
      <c r="Z609" s="15"/>
    </row>
    <row r="610" spans="1:26" x14ac:dyDescent="0.25">
      <c r="A610" s="15" t="s">
        <v>14735</v>
      </c>
      <c r="B610" s="15">
        <v>609</v>
      </c>
      <c r="C610" s="15" t="s">
        <v>11277</v>
      </c>
      <c r="D610" s="15" t="s">
        <v>11277</v>
      </c>
      <c r="E610" s="15" t="s">
        <v>1067</v>
      </c>
      <c r="F610" s="15" t="s">
        <v>1369</v>
      </c>
      <c r="G610" s="15" t="s">
        <v>11411</v>
      </c>
      <c r="H610" s="15">
        <v>24</v>
      </c>
      <c r="I610" s="15">
        <v>21</v>
      </c>
      <c r="J610" s="15">
        <v>9</v>
      </c>
      <c r="K610" s="15" t="str">
        <f t="shared" si="9"/>
        <v>nophicaswells</v>
      </c>
      <c r="L610" s="15" t="s">
        <v>11355</v>
      </c>
      <c r="M610" s="15">
        <v>1</v>
      </c>
      <c r="N610" s="15" t="s">
        <v>11222</v>
      </c>
      <c r="O610" s="15"/>
      <c r="P610" s="15"/>
      <c r="Q610" s="15"/>
      <c r="R610" s="15"/>
      <c r="S610" s="15"/>
      <c r="T610" s="15">
        <v>0</v>
      </c>
      <c r="U610" s="15"/>
      <c r="V610" s="15"/>
      <c r="W610" s="15"/>
      <c r="X610" s="15"/>
      <c r="Y610" s="15"/>
      <c r="Z610" s="15"/>
    </row>
    <row r="611" spans="1:26" x14ac:dyDescent="0.25">
      <c r="A611" s="15" t="s">
        <v>14736</v>
      </c>
      <c r="B611" s="15">
        <v>610</v>
      </c>
      <c r="C611" s="15" t="s">
        <v>11277</v>
      </c>
      <c r="D611" s="15" t="s">
        <v>11277</v>
      </c>
      <c r="E611" s="15" t="s">
        <v>1067</v>
      </c>
      <c r="F611" s="15" t="s">
        <v>1369</v>
      </c>
      <c r="G611" s="15" t="s">
        <v>11265</v>
      </c>
      <c r="H611" s="15">
        <v>24</v>
      </c>
      <c r="I611" s="15">
        <v>21</v>
      </c>
      <c r="J611" s="15">
        <v>10</v>
      </c>
      <c r="K611" s="15" t="str">
        <f t="shared" si="9"/>
        <v>nophicaswells</v>
      </c>
      <c r="L611" s="15" t="s">
        <v>11440</v>
      </c>
      <c r="M611" s="15">
        <v>2</v>
      </c>
      <c r="N611" s="15" t="s">
        <v>11223</v>
      </c>
      <c r="O611" s="15"/>
      <c r="P611" s="15"/>
      <c r="Q611" s="15"/>
      <c r="R611" s="15"/>
      <c r="S611" s="15"/>
      <c r="T611" s="15">
        <v>0</v>
      </c>
      <c r="U611" s="15"/>
      <c r="V611" s="15"/>
      <c r="W611" s="15"/>
      <c r="X611" s="15"/>
      <c r="Y611" s="15"/>
      <c r="Z611" s="15"/>
    </row>
    <row r="612" spans="1:26" x14ac:dyDescent="0.25">
      <c r="A612" s="15" t="s">
        <v>14737</v>
      </c>
      <c r="B612" s="15">
        <v>611</v>
      </c>
      <c r="C612" s="15" t="s">
        <v>11277</v>
      </c>
      <c r="D612" s="15" t="s">
        <v>11277</v>
      </c>
      <c r="E612" s="15" t="s">
        <v>1067</v>
      </c>
      <c r="F612" s="15" t="s">
        <v>1369</v>
      </c>
      <c r="G612" s="15" t="s">
        <v>11270</v>
      </c>
      <c r="H612" s="15">
        <v>24</v>
      </c>
      <c r="I612" s="15">
        <v>21</v>
      </c>
      <c r="J612" s="15">
        <v>20</v>
      </c>
      <c r="K612" s="15" t="str">
        <f t="shared" si="9"/>
        <v>nophicaswells</v>
      </c>
      <c r="L612" s="15" t="s">
        <v>11271</v>
      </c>
      <c r="M612" s="15">
        <v>1</v>
      </c>
      <c r="N612" s="15" t="s">
        <v>11222</v>
      </c>
      <c r="O612" s="15"/>
      <c r="P612" s="15"/>
      <c r="Q612" s="15"/>
      <c r="R612" s="15"/>
      <c r="S612" s="15"/>
      <c r="T612" s="15">
        <v>0</v>
      </c>
      <c r="U612" s="15"/>
      <c r="V612" s="15"/>
      <c r="W612" s="15"/>
      <c r="X612" s="15"/>
      <c r="Y612" s="15"/>
      <c r="Z612" s="15"/>
    </row>
    <row r="613" spans="1:26" x14ac:dyDescent="0.25">
      <c r="A613" s="15" t="s">
        <v>14738</v>
      </c>
      <c r="B613" s="15">
        <v>612</v>
      </c>
      <c r="C613" s="15" t="s">
        <v>11277</v>
      </c>
      <c r="D613" s="15" t="s">
        <v>11277</v>
      </c>
      <c r="E613" s="15" t="s">
        <v>1067</v>
      </c>
      <c r="F613" s="15" t="s">
        <v>1369</v>
      </c>
      <c r="G613" s="15" t="s">
        <v>11272</v>
      </c>
      <c r="H613" s="15">
        <v>24</v>
      </c>
      <c r="I613" s="15">
        <v>21</v>
      </c>
      <c r="J613" s="15">
        <v>22</v>
      </c>
      <c r="K613" s="15" t="str">
        <f t="shared" si="9"/>
        <v>nophicaswells</v>
      </c>
      <c r="L613" s="15" t="s">
        <v>14088</v>
      </c>
      <c r="M613" s="15">
        <v>1</v>
      </c>
      <c r="N613" s="15" t="s">
        <v>11222</v>
      </c>
      <c r="O613" s="15"/>
      <c r="P613" s="15"/>
      <c r="Q613" s="15" t="s">
        <v>11270</v>
      </c>
      <c r="R613" s="15"/>
      <c r="S613" s="15"/>
      <c r="T613" s="15">
        <v>0</v>
      </c>
      <c r="U613" s="15"/>
      <c r="V613" s="15"/>
      <c r="W613" s="15"/>
      <c r="X613" s="15"/>
      <c r="Y613" s="15"/>
      <c r="Z613" s="15"/>
    </row>
    <row r="614" spans="1:26" x14ac:dyDescent="0.25">
      <c r="A614" s="15" t="s">
        <v>14739</v>
      </c>
      <c r="B614" s="15">
        <v>613</v>
      </c>
      <c r="C614" s="15" t="s">
        <v>11277</v>
      </c>
      <c r="D614" s="15" t="s">
        <v>11277</v>
      </c>
      <c r="E614" s="15" t="s">
        <v>1067</v>
      </c>
      <c r="F614" s="15" t="s">
        <v>1369</v>
      </c>
      <c r="G614" s="15" t="s">
        <v>11474</v>
      </c>
      <c r="H614" s="15">
        <v>24</v>
      </c>
      <c r="I614" s="15">
        <v>21</v>
      </c>
      <c r="J614" s="15">
        <v>50</v>
      </c>
      <c r="K614" s="15" t="str">
        <f t="shared" si="9"/>
        <v>nophicaswells</v>
      </c>
      <c r="L614" s="15" t="s">
        <v>11271</v>
      </c>
      <c r="M614" s="15">
        <v>3</v>
      </c>
      <c r="N614" s="15" t="s">
        <v>11222</v>
      </c>
      <c r="O614" s="15"/>
      <c r="P614" s="15"/>
      <c r="Q614" s="15"/>
      <c r="R614" s="15"/>
      <c r="S614" s="15"/>
      <c r="T614" s="15">
        <v>2</v>
      </c>
      <c r="U614" s="15" t="s">
        <v>5893</v>
      </c>
      <c r="V614" s="15" t="s">
        <v>5892</v>
      </c>
      <c r="W614" s="15"/>
      <c r="X614" s="15"/>
      <c r="Y614" s="15"/>
      <c r="Z614" s="15"/>
    </row>
    <row r="615" spans="1:26" x14ac:dyDescent="0.25">
      <c r="A615" s="15" t="s">
        <v>14740</v>
      </c>
      <c r="B615" s="15">
        <v>614</v>
      </c>
      <c r="C615" s="15" t="s">
        <v>11277</v>
      </c>
      <c r="D615" s="15" t="s">
        <v>11277</v>
      </c>
      <c r="E615" s="15" t="s">
        <v>1067</v>
      </c>
      <c r="F615" s="15" t="s">
        <v>1386</v>
      </c>
      <c r="G615" s="15" t="s">
        <v>11247</v>
      </c>
      <c r="H615" s="15">
        <v>17</v>
      </c>
      <c r="I615" s="15">
        <v>15</v>
      </c>
      <c r="J615" s="15">
        <v>2</v>
      </c>
      <c r="K615" s="15" t="str">
        <f t="shared" si="9"/>
        <v>thefootfalls</v>
      </c>
      <c r="L615" s="15" t="s">
        <v>11253</v>
      </c>
      <c r="M615" s="15">
        <v>1</v>
      </c>
      <c r="N615" s="15" t="s">
        <v>11222</v>
      </c>
      <c r="O615" s="15"/>
      <c r="P615" s="15"/>
      <c r="Q615" s="15"/>
      <c r="R615" s="15"/>
      <c r="S615" s="15"/>
      <c r="T615" s="15">
        <v>0</v>
      </c>
      <c r="U615" s="15"/>
      <c r="V615" s="15"/>
      <c r="W615" s="15"/>
      <c r="X615" s="15"/>
      <c r="Y615" s="15"/>
      <c r="Z615" s="15"/>
    </row>
    <row r="616" spans="1:26" x14ac:dyDescent="0.25">
      <c r="A616" s="15" t="s">
        <v>14741</v>
      </c>
      <c r="B616" s="15">
        <v>615</v>
      </c>
      <c r="C616" s="15" t="s">
        <v>11277</v>
      </c>
      <c r="D616" s="15" t="s">
        <v>11277</v>
      </c>
      <c r="E616" s="15" t="s">
        <v>1067</v>
      </c>
      <c r="F616" s="15" t="s">
        <v>1386</v>
      </c>
      <c r="G616" s="15" t="s">
        <v>11423</v>
      </c>
      <c r="H616" s="15">
        <v>17</v>
      </c>
      <c r="I616" s="15">
        <v>15</v>
      </c>
      <c r="J616" s="15">
        <v>13</v>
      </c>
      <c r="K616" s="15" t="str">
        <f t="shared" si="9"/>
        <v>thefootfalls</v>
      </c>
      <c r="L616" s="15" t="s">
        <v>11254</v>
      </c>
      <c r="M616" s="15">
        <v>1</v>
      </c>
      <c r="N616" s="15" t="s">
        <v>11222</v>
      </c>
      <c r="O616" s="15"/>
      <c r="P616" s="15"/>
      <c r="Q616" s="15"/>
      <c r="R616" s="15"/>
      <c r="S616" s="15"/>
      <c r="T616" s="15">
        <v>0</v>
      </c>
      <c r="U616" s="15"/>
      <c r="V616" s="15"/>
      <c r="W616" s="15"/>
      <c r="X616" s="15"/>
      <c r="Y616" s="15"/>
      <c r="Z616" s="15"/>
    </row>
    <row r="617" spans="1:26" x14ac:dyDescent="0.25">
      <c r="A617" s="15" t="s">
        <v>14742</v>
      </c>
      <c r="B617" s="15">
        <v>616</v>
      </c>
      <c r="C617" s="15" t="s">
        <v>11277</v>
      </c>
      <c r="D617" s="15" t="s">
        <v>11277</v>
      </c>
      <c r="E617" s="15" t="s">
        <v>1067</v>
      </c>
      <c r="F617" s="15" t="s">
        <v>1386</v>
      </c>
      <c r="G617" s="15" t="s">
        <v>11304</v>
      </c>
      <c r="H617" s="15">
        <v>17</v>
      </c>
      <c r="I617" s="15">
        <v>15</v>
      </c>
      <c r="J617" s="15">
        <v>17</v>
      </c>
      <c r="K617" s="15" t="str">
        <f t="shared" si="9"/>
        <v>thefootfalls</v>
      </c>
      <c r="L617" s="15" t="s">
        <v>11254</v>
      </c>
      <c r="M617" s="15">
        <v>2</v>
      </c>
      <c r="N617" s="15" t="s">
        <v>11223</v>
      </c>
      <c r="O617" s="15"/>
      <c r="P617" s="15"/>
      <c r="Q617" s="15"/>
      <c r="R617" s="15"/>
      <c r="S617" s="15"/>
      <c r="T617" s="15">
        <v>0</v>
      </c>
      <c r="U617" s="15"/>
      <c r="V617" s="15"/>
      <c r="W617" s="15"/>
      <c r="X617" s="15"/>
      <c r="Y617" s="15"/>
      <c r="Z617" s="15"/>
    </row>
    <row r="618" spans="1:26" x14ac:dyDescent="0.25">
      <c r="A618" s="15" t="s">
        <v>14743</v>
      </c>
      <c r="B618" s="15">
        <v>617</v>
      </c>
      <c r="C618" s="15" t="s">
        <v>11277</v>
      </c>
      <c r="D618" s="15" t="s">
        <v>11277</v>
      </c>
      <c r="E618" s="15" t="s">
        <v>1067</v>
      </c>
      <c r="F618" s="15" t="s">
        <v>1386</v>
      </c>
      <c r="G618" s="15" t="s">
        <v>11369</v>
      </c>
      <c r="H618" s="15">
        <v>17</v>
      </c>
      <c r="I618" s="15">
        <v>15</v>
      </c>
      <c r="J618" s="15">
        <v>21</v>
      </c>
      <c r="K618" s="15" t="str">
        <f t="shared" si="9"/>
        <v>thefootfalls</v>
      </c>
      <c r="L618" s="15" t="s">
        <v>11355</v>
      </c>
      <c r="M618" s="15">
        <v>1</v>
      </c>
      <c r="N618" s="15" t="s">
        <v>11222</v>
      </c>
      <c r="O618" s="15"/>
      <c r="P618" s="15"/>
      <c r="Q618" s="15"/>
      <c r="R618" s="15"/>
      <c r="S618" s="15"/>
      <c r="T618" s="15">
        <v>0</v>
      </c>
      <c r="U618" s="15"/>
      <c r="V618" s="15"/>
      <c r="W618" s="15"/>
      <c r="X618" s="15"/>
      <c r="Y618" s="15"/>
      <c r="Z618" s="15"/>
    </row>
    <row r="619" spans="1:26" x14ac:dyDescent="0.25">
      <c r="A619" s="15" t="s">
        <v>14744</v>
      </c>
      <c r="B619" s="15">
        <v>618</v>
      </c>
      <c r="C619" s="15" t="s">
        <v>11277</v>
      </c>
      <c r="D619" s="15" t="s">
        <v>11277</v>
      </c>
      <c r="E619" s="15" t="s">
        <v>1067</v>
      </c>
      <c r="F619" s="15" t="s">
        <v>1386</v>
      </c>
      <c r="G619" s="15" t="s">
        <v>11305</v>
      </c>
      <c r="H619" s="15">
        <v>17</v>
      </c>
      <c r="I619" s="15">
        <v>15</v>
      </c>
      <c r="J619" s="15">
        <v>17</v>
      </c>
      <c r="K619" s="15" t="str">
        <f t="shared" si="9"/>
        <v>thefootfalls</v>
      </c>
      <c r="L619" s="15" t="s">
        <v>11254</v>
      </c>
      <c r="M619" s="15">
        <v>1</v>
      </c>
      <c r="N619" s="15" t="s">
        <v>11222</v>
      </c>
      <c r="O619" s="15"/>
      <c r="P619" s="15"/>
      <c r="Q619" s="15"/>
      <c r="R619" s="15"/>
      <c r="S619" s="15"/>
      <c r="T619" s="15">
        <v>0</v>
      </c>
      <c r="U619" s="15"/>
      <c r="V619" s="15"/>
      <c r="W619" s="15"/>
      <c r="X619" s="15"/>
      <c r="Y619" s="15"/>
      <c r="Z619" s="15"/>
    </row>
    <row r="620" spans="1:26" x14ac:dyDescent="0.25">
      <c r="A620" s="15" t="s">
        <v>14745</v>
      </c>
      <c r="B620" s="15">
        <v>619</v>
      </c>
      <c r="C620" s="15" t="s">
        <v>11277</v>
      </c>
      <c r="D620" s="15" t="s">
        <v>11277</v>
      </c>
      <c r="E620" s="15" t="s">
        <v>1067</v>
      </c>
      <c r="F620" s="15" t="s">
        <v>1386</v>
      </c>
      <c r="G620" s="15" t="s">
        <v>11270</v>
      </c>
      <c r="H620" s="15">
        <v>17</v>
      </c>
      <c r="I620" s="15">
        <v>15</v>
      </c>
      <c r="J620" s="15">
        <v>20</v>
      </c>
      <c r="K620" s="15" t="str">
        <f t="shared" si="9"/>
        <v>thefootfalls</v>
      </c>
      <c r="L620" s="15" t="s">
        <v>11271</v>
      </c>
      <c r="M620" s="15">
        <v>1</v>
      </c>
      <c r="N620" s="15" t="s">
        <v>11222</v>
      </c>
      <c r="O620" s="15"/>
      <c r="P620" s="15"/>
      <c r="Q620" s="15"/>
      <c r="R620" s="15"/>
      <c r="S620" s="15"/>
      <c r="T620" s="15">
        <v>0</v>
      </c>
      <c r="U620" s="15"/>
      <c r="V620" s="15"/>
      <c r="W620" s="15"/>
      <c r="X620" s="15"/>
      <c r="Y620" s="15"/>
      <c r="Z620" s="15"/>
    </row>
    <row r="621" spans="1:26" x14ac:dyDescent="0.25">
      <c r="A621" s="15" t="s">
        <v>14746</v>
      </c>
      <c r="B621" s="15">
        <v>620</v>
      </c>
      <c r="C621" s="15" t="s">
        <v>11277</v>
      </c>
      <c r="D621" s="15" t="s">
        <v>11277</v>
      </c>
      <c r="E621" s="15" t="s">
        <v>1067</v>
      </c>
      <c r="F621" s="15" t="s">
        <v>1386</v>
      </c>
      <c r="G621" s="15" t="s">
        <v>11272</v>
      </c>
      <c r="H621" s="15">
        <v>17</v>
      </c>
      <c r="I621" s="15">
        <v>15</v>
      </c>
      <c r="J621" s="15">
        <v>22</v>
      </c>
      <c r="K621" s="15" t="str">
        <f t="shared" si="9"/>
        <v>thefootfalls</v>
      </c>
      <c r="L621" s="15" t="s">
        <v>14088</v>
      </c>
      <c r="M621" s="15">
        <v>1</v>
      </c>
      <c r="N621" s="15" t="s">
        <v>11222</v>
      </c>
      <c r="O621" s="15"/>
      <c r="P621" s="15"/>
      <c r="Q621" s="15" t="s">
        <v>11270</v>
      </c>
      <c r="R621" s="15"/>
      <c r="S621" s="15"/>
      <c r="T621" s="15">
        <v>0</v>
      </c>
      <c r="U621" s="15"/>
      <c r="V621" s="15"/>
      <c r="W621" s="15"/>
      <c r="X621" s="15"/>
      <c r="Y621" s="15"/>
      <c r="Z621" s="15"/>
    </row>
    <row r="622" spans="1:26" x14ac:dyDescent="0.25">
      <c r="A622" s="15" t="s">
        <v>14747</v>
      </c>
      <c r="B622" s="15">
        <v>621</v>
      </c>
      <c r="C622" s="15" t="s">
        <v>11277</v>
      </c>
      <c r="D622" s="15" t="s">
        <v>11277</v>
      </c>
      <c r="E622" s="15" t="s">
        <v>1067</v>
      </c>
      <c r="F622" s="15" t="s">
        <v>1386</v>
      </c>
      <c r="G622" s="15" t="s">
        <v>11475</v>
      </c>
      <c r="H622" s="15">
        <v>17</v>
      </c>
      <c r="I622" s="15">
        <v>15</v>
      </c>
      <c r="J622" s="15">
        <v>50</v>
      </c>
      <c r="K622" s="15" t="str">
        <f t="shared" si="9"/>
        <v>thefootfalls</v>
      </c>
      <c r="L622" s="15" t="s">
        <v>11271</v>
      </c>
      <c r="M622" s="15">
        <v>3</v>
      </c>
      <c r="N622" s="15" t="s">
        <v>11223</v>
      </c>
      <c r="O622" s="15" t="s">
        <v>14067</v>
      </c>
      <c r="P622" s="15"/>
      <c r="Q622" s="15"/>
      <c r="R622" s="15"/>
      <c r="S622" s="15"/>
      <c r="T622" s="15">
        <v>2</v>
      </c>
      <c r="U622" s="15"/>
      <c r="V622" s="15"/>
      <c r="W622" s="15"/>
      <c r="X622" s="15"/>
      <c r="Y622" s="15"/>
      <c r="Z622" s="15"/>
    </row>
    <row r="623" spans="1:26" x14ac:dyDescent="0.25">
      <c r="A623" s="15" t="s">
        <v>14748</v>
      </c>
      <c r="B623" s="15">
        <v>622</v>
      </c>
      <c r="C623" s="15" t="s">
        <v>11277</v>
      </c>
      <c r="D623" s="15" t="s">
        <v>11277</v>
      </c>
      <c r="E623" s="15" t="s">
        <v>1067</v>
      </c>
      <c r="F623" s="15" t="s">
        <v>6029</v>
      </c>
      <c r="G623" s="15" t="s">
        <v>11226</v>
      </c>
      <c r="H623" s="15">
        <v>11</v>
      </c>
      <c r="I623" s="15">
        <v>12</v>
      </c>
      <c r="J623" s="15">
        <v>3</v>
      </c>
      <c r="K623" s="15" t="str">
        <f t="shared" si="9"/>
        <v>vesperbay</v>
      </c>
      <c r="L623" s="15" t="s">
        <v>11233</v>
      </c>
      <c r="M623" s="15">
        <v>1</v>
      </c>
      <c r="N623" s="15" t="s">
        <v>11222</v>
      </c>
      <c r="O623" s="15"/>
      <c r="P623" s="15"/>
      <c r="Q623" s="15"/>
      <c r="R623" s="15"/>
      <c r="S623" s="15"/>
      <c r="T623" s="15">
        <v>0</v>
      </c>
      <c r="U623" s="15"/>
      <c r="V623" s="15"/>
      <c r="W623" s="15"/>
      <c r="X623" s="15"/>
      <c r="Y623" s="15"/>
      <c r="Z623" s="15"/>
    </row>
    <row r="624" spans="1:26" x14ac:dyDescent="0.25">
      <c r="A624" s="15" t="s">
        <v>14749</v>
      </c>
      <c r="B624" s="15">
        <v>623</v>
      </c>
      <c r="C624" s="15" t="s">
        <v>11277</v>
      </c>
      <c r="D624" s="15" t="s">
        <v>11277</v>
      </c>
      <c r="E624" s="15" t="s">
        <v>1067</v>
      </c>
      <c r="F624" s="15" t="s">
        <v>6029</v>
      </c>
      <c r="G624" s="15" t="s">
        <v>11231</v>
      </c>
      <c r="H624" s="15">
        <v>11</v>
      </c>
      <c r="I624" s="15">
        <v>12</v>
      </c>
      <c r="J624" s="15">
        <v>7</v>
      </c>
      <c r="K624" s="15" t="str">
        <f t="shared" si="9"/>
        <v>vesperbay</v>
      </c>
      <c r="L624" s="15" t="s">
        <v>11234</v>
      </c>
      <c r="M624" s="15">
        <v>2</v>
      </c>
      <c r="N624" s="15" t="s">
        <v>11223</v>
      </c>
      <c r="O624" s="15"/>
      <c r="P624" s="15"/>
      <c r="Q624" s="15"/>
      <c r="R624" s="15"/>
      <c r="S624" s="15"/>
      <c r="T624" s="15">
        <v>0</v>
      </c>
      <c r="U624" s="15"/>
      <c r="V624" s="15"/>
      <c r="W624" s="15"/>
      <c r="X624" s="15"/>
      <c r="Y624" s="15"/>
      <c r="Z624" s="15"/>
    </row>
    <row r="625" spans="1:26" x14ac:dyDescent="0.25">
      <c r="A625" s="15" t="s">
        <v>14750</v>
      </c>
      <c r="B625" s="15">
        <v>624</v>
      </c>
      <c r="C625" s="15" t="s">
        <v>11277</v>
      </c>
      <c r="D625" s="15" t="s">
        <v>11277</v>
      </c>
      <c r="E625" s="15" t="s">
        <v>1067</v>
      </c>
      <c r="F625" s="15" t="s">
        <v>6029</v>
      </c>
      <c r="G625" s="15" t="s">
        <v>11281</v>
      </c>
      <c r="H625" s="15">
        <v>11</v>
      </c>
      <c r="I625" s="15">
        <v>12</v>
      </c>
      <c r="J625" s="15">
        <v>12</v>
      </c>
      <c r="K625" s="15" t="str">
        <f t="shared" si="9"/>
        <v>vesperbay</v>
      </c>
      <c r="L625" s="15" t="s">
        <v>11280</v>
      </c>
      <c r="M625" s="15">
        <v>1</v>
      </c>
      <c r="N625" s="15" t="s">
        <v>11222</v>
      </c>
      <c r="O625" s="15"/>
      <c r="P625" s="15"/>
      <c r="Q625" s="15"/>
      <c r="R625" s="15"/>
      <c r="S625" s="15"/>
      <c r="T625" s="15">
        <v>0</v>
      </c>
      <c r="U625" s="15"/>
      <c r="V625" s="15"/>
      <c r="W625" s="15"/>
      <c r="X625" s="15"/>
      <c r="Y625" s="15"/>
      <c r="Z625" s="15"/>
    </row>
    <row r="626" spans="1:26" x14ac:dyDescent="0.25">
      <c r="A626" s="15" t="s">
        <v>14751</v>
      </c>
      <c r="B626" s="15">
        <v>625</v>
      </c>
      <c r="C626" s="15" t="s">
        <v>11277</v>
      </c>
      <c r="D626" s="15" t="s">
        <v>11277</v>
      </c>
      <c r="E626" s="15" t="s">
        <v>1067</v>
      </c>
      <c r="F626" s="15" t="s">
        <v>6029</v>
      </c>
      <c r="G626" s="15" t="s">
        <v>11283</v>
      </c>
      <c r="H626" s="15">
        <v>11</v>
      </c>
      <c r="I626" s="15">
        <v>12</v>
      </c>
      <c r="J626" s="15">
        <v>15</v>
      </c>
      <c r="K626" s="15" t="str">
        <f t="shared" si="9"/>
        <v>vesperbay</v>
      </c>
      <c r="L626" s="15" t="s">
        <v>11245</v>
      </c>
      <c r="M626" s="15">
        <v>2</v>
      </c>
      <c r="N626" s="15" t="s">
        <v>11223</v>
      </c>
      <c r="O626" s="15"/>
      <c r="P626" s="15"/>
      <c r="Q626" s="15"/>
      <c r="R626" s="15"/>
      <c r="S626" s="15"/>
      <c r="T626" s="15">
        <v>0</v>
      </c>
      <c r="U626" s="15"/>
      <c r="V626" s="15"/>
      <c r="W626" s="15"/>
      <c r="X626" s="15"/>
      <c r="Y626" s="15"/>
      <c r="Z626" s="15"/>
    </row>
    <row r="627" spans="1:26" x14ac:dyDescent="0.25">
      <c r="A627" s="15" t="s">
        <v>14752</v>
      </c>
      <c r="B627" s="15">
        <v>626</v>
      </c>
      <c r="C627" s="15" t="s">
        <v>11277</v>
      </c>
      <c r="D627" s="15" t="s">
        <v>11277</v>
      </c>
      <c r="E627" s="15" t="s">
        <v>1067</v>
      </c>
      <c r="F627" s="15" t="s">
        <v>6029</v>
      </c>
      <c r="G627" s="15" t="s">
        <v>11287</v>
      </c>
      <c r="H627" s="15">
        <v>11</v>
      </c>
      <c r="I627" s="15">
        <v>12</v>
      </c>
      <c r="J627" s="15">
        <v>17</v>
      </c>
      <c r="K627" s="15" t="str">
        <f t="shared" si="9"/>
        <v>vesperbay</v>
      </c>
      <c r="L627" s="15" t="s">
        <v>11245</v>
      </c>
      <c r="M627" s="15">
        <v>1</v>
      </c>
      <c r="N627" s="15" t="s">
        <v>11222</v>
      </c>
      <c r="O627" s="15"/>
      <c r="P627" s="15"/>
      <c r="Q627" s="15"/>
      <c r="R627" s="15"/>
      <c r="S627" s="15"/>
      <c r="T627" s="15">
        <v>0</v>
      </c>
      <c r="U627" s="15"/>
      <c r="V627" s="15"/>
      <c r="W627" s="15"/>
      <c r="X627" s="15"/>
      <c r="Y627" s="15"/>
      <c r="Z627" s="15"/>
    </row>
    <row r="628" spans="1:26" x14ac:dyDescent="0.25">
      <c r="A628" s="15" t="s">
        <v>14753</v>
      </c>
      <c r="B628" s="15">
        <v>627</v>
      </c>
      <c r="C628" s="15" t="s">
        <v>11277</v>
      </c>
      <c r="D628" s="15" t="s">
        <v>11277</v>
      </c>
      <c r="E628" s="15" t="s">
        <v>1067</v>
      </c>
      <c r="F628" s="15" t="s">
        <v>6029</v>
      </c>
      <c r="G628" s="15" t="s">
        <v>11224</v>
      </c>
      <c r="H628" s="15">
        <v>11</v>
      </c>
      <c r="I628" s="15">
        <v>12</v>
      </c>
      <c r="J628" s="15">
        <v>21</v>
      </c>
      <c r="K628" s="15" t="str">
        <f t="shared" si="9"/>
        <v>vesperbay</v>
      </c>
      <c r="L628" s="15" t="s">
        <v>14088</v>
      </c>
      <c r="M628" s="15">
        <v>2</v>
      </c>
      <c r="N628" s="15" t="s">
        <v>11223</v>
      </c>
      <c r="O628" s="15"/>
      <c r="P628" s="15"/>
      <c r="Q628" s="15" t="s">
        <v>11227</v>
      </c>
      <c r="R628" s="15" t="s">
        <v>11231</v>
      </c>
      <c r="S628" s="15" t="s">
        <v>11230</v>
      </c>
      <c r="T628" s="15">
        <v>0</v>
      </c>
      <c r="U628" s="15"/>
      <c r="V628" s="15"/>
      <c r="W628" s="15"/>
      <c r="X628" s="15"/>
      <c r="Y628" s="15"/>
      <c r="Z628" s="15"/>
    </row>
    <row r="629" spans="1:26" x14ac:dyDescent="0.25">
      <c r="A629" s="15" t="s">
        <v>14754</v>
      </c>
      <c r="B629" s="15">
        <v>628</v>
      </c>
      <c r="C629" s="15" t="s">
        <v>11277</v>
      </c>
      <c r="D629" s="15" t="s">
        <v>11277</v>
      </c>
      <c r="E629" s="15" t="s">
        <v>1067</v>
      </c>
      <c r="F629" s="15" t="s">
        <v>6029</v>
      </c>
      <c r="G629" s="15" t="s">
        <v>11476</v>
      </c>
      <c r="H629" s="15">
        <v>11</v>
      </c>
      <c r="I629" s="15">
        <v>12</v>
      </c>
      <c r="J629" s="15">
        <v>50</v>
      </c>
      <c r="K629" s="15" t="str">
        <f t="shared" si="9"/>
        <v>vesperbay</v>
      </c>
      <c r="L629" s="15" t="s">
        <v>11330</v>
      </c>
      <c r="M629" s="15">
        <v>3</v>
      </c>
      <c r="N629" s="15" t="s">
        <v>11223</v>
      </c>
      <c r="O629" s="15"/>
      <c r="P629" s="15"/>
      <c r="Q629" s="15"/>
      <c r="R629" s="15"/>
      <c r="S629" s="15"/>
      <c r="T629" s="15">
        <v>3</v>
      </c>
      <c r="U629" s="15"/>
      <c r="V629" s="15"/>
      <c r="W629" s="15"/>
      <c r="X629" s="15"/>
      <c r="Y629" s="15"/>
      <c r="Z629" s="15"/>
    </row>
    <row r="630" spans="1:26" x14ac:dyDescent="0.25">
      <c r="A630" s="15" t="s">
        <v>14755</v>
      </c>
      <c r="B630" s="15">
        <v>629</v>
      </c>
      <c r="C630" s="15" t="s">
        <v>11277</v>
      </c>
      <c r="D630" s="15" t="s">
        <v>11277</v>
      </c>
      <c r="E630" s="15" t="s">
        <v>1067</v>
      </c>
      <c r="F630" s="15" t="s">
        <v>14756</v>
      </c>
      <c r="G630" s="15" t="s">
        <v>11226</v>
      </c>
      <c r="H630" s="15">
        <v>14</v>
      </c>
      <c r="I630" s="15">
        <v>18</v>
      </c>
      <c r="J630" s="15">
        <v>3</v>
      </c>
      <c r="K630" s="15" t="str">
        <f t="shared" si="9"/>
        <v>crescentcove</v>
      </c>
      <c r="L630" s="15" t="s">
        <v>11233</v>
      </c>
      <c r="M630" s="15">
        <v>1</v>
      </c>
      <c r="N630" s="15" t="s">
        <v>11222</v>
      </c>
      <c r="O630" s="15"/>
      <c r="P630" s="15"/>
      <c r="Q630" s="15"/>
      <c r="R630" s="15"/>
      <c r="S630" s="15"/>
      <c r="T630" s="15">
        <v>0</v>
      </c>
      <c r="U630" s="15"/>
      <c r="V630" s="15"/>
      <c r="W630" s="15"/>
      <c r="X630" s="15"/>
      <c r="Y630" s="15"/>
      <c r="Z630" s="15"/>
    </row>
    <row r="631" spans="1:26" x14ac:dyDescent="0.25">
      <c r="A631" s="15" t="s">
        <v>14757</v>
      </c>
      <c r="B631" s="15">
        <v>630</v>
      </c>
      <c r="C631" s="15" t="s">
        <v>11277</v>
      </c>
      <c r="D631" s="15" t="s">
        <v>11277</v>
      </c>
      <c r="E631" s="15" t="s">
        <v>1067</v>
      </c>
      <c r="F631" s="15" t="s">
        <v>14756</v>
      </c>
      <c r="G631" s="15" t="s">
        <v>11312</v>
      </c>
      <c r="H631" s="15">
        <v>14</v>
      </c>
      <c r="I631" s="15">
        <v>18</v>
      </c>
      <c r="J631" s="15">
        <v>20</v>
      </c>
      <c r="K631" s="15" t="str">
        <f t="shared" si="9"/>
        <v>crescentcove</v>
      </c>
      <c r="L631" s="15" t="s">
        <v>11245</v>
      </c>
      <c r="M631" s="15">
        <v>1</v>
      </c>
      <c r="N631" s="15" t="s">
        <v>11222</v>
      </c>
      <c r="O631" s="15"/>
      <c r="P631" s="15"/>
      <c r="Q631" s="15"/>
      <c r="R631" s="15"/>
      <c r="S631" s="15"/>
      <c r="T631" s="15">
        <v>0</v>
      </c>
      <c r="U631" s="15"/>
      <c r="V631" s="15"/>
      <c r="W631" s="15"/>
      <c r="X631" s="15"/>
      <c r="Y631" s="15"/>
      <c r="Z631" s="15"/>
    </row>
    <row r="632" spans="1:26" x14ac:dyDescent="0.25">
      <c r="A632" s="15" t="s">
        <v>14758</v>
      </c>
      <c r="B632" s="15">
        <v>631</v>
      </c>
      <c r="C632" s="15" t="s">
        <v>11277</v>
      </c>
      <c r="D632" s="15" t="s">
        <v>11277</v>
      </c>
      <c r="E632" s="15" t="s">
        <v>1067</v>
      </c>
      <c r="F632" s="15" t="s">
        <v>14756</v>
      </c>
      <c r="G632" s="15" t="s">
        <v>11314</v>
      </c>
      <c r="H632" s="15">
        <v>14</v>
      </c>
      <c r="I632" s="15">
        <v>18</v>
      </c>
      <c r="J632" s="15">
        <v>22</v>
      </c>
      <c r="K632" s="15" t="str">
        <f t="shared" si="9"/>
        <v>crescentcove</v>
      </c>
      <c r="L632" s="15" t="s">
        <v>11315</v>
      </c>
      <c r="M632" s="15">
        <v>2</v>
      </c>
      <c r="N632" s="15" t="s">
        <v>11223</v>
      </c>
      <c r="O632" s="15"/>
      <c r="P632" s="15"/>
      <c r="Q632" s="15"/>
      <c r="R632" s="15"/>
      <c r="S632" s="15"/>
      <c r="T632" s="15">
        <v>0</v>
      </c>
      <c r="U632" s="15"/>
      <c r="V632" s="15"/>
      <c r="W632" s="15"/>
      <c r="X632" s="15"/>
      <c r="Y632" s="15"/>
      <c r="Z632" s="15"/>
    </row>
    <row r="633" spans="1:26" x14ac:dyDescent="0.25">
      <c r="A633" s="15" t="s">
        <v>14759</v>
      </c>
      <c r="B633" s="15">
        <v>632</v>
      </c>
      <c r="C633" s="15" t="s">
        <v>11277</v>
      </c>
      <c r="D633" s="15" t="s">
        <v>11277</v>
      </c>
      <c r="E633" s="15" t="s">
        <v>1067</v>
      </c>
      <c r="F633" s="15" t="s">
        <v>14756</v>
      </c>
      <c r="G633" s="15" t="s">
        <v>11396</v>
      </c>
      <c r="H633" s="15">
        <v>14</v>
      </c>
      <c r="I633" s="15">
        <v>18</v>
      </c>
      <c r="J633" s="15">
        <v>24</v>
      </c>
      <c r="K633" s="15" t="str">
        <f t="shared" si="9"/>
        <v>crescentcove</v>
      </c>
      <c r="L633" s="15" t="s">
        <v>11330</v>
      </c>
      <c r="M633" s="15">
        <v>2</v>
      </c>
      <c r="N633" s="15" t="s">
        <v>11223</v>
      </c>
      <c r="O633" s="15"/>
      <c r="P633" s="15"/>
      <c r="Q633" s="15"/>
      <c r="R633" s="15"/>
      <c r="S633" s="15"/>
      <c r="T633" s="15">
        <v>0</v>
      </c>
      <c r="U633" s="15"/>
      <c r="V633" s="15"/>
      <c r="W633" s="15"/>
      <c r="X633" s="15"/>
      <c r="Y633" s="15"/>
      <c r="Z633" s="15"/>
    </row>
    <row r="634" spans="1:26" x14ac:dyDescent="0.25">
      <c r="A634" s="15" t="s">
        <v>14760</v>
      </c>
      <c r="B634" s="15">
        <v>633</v>
      </c>
      <c r="C634" s="15" t="s">
        <v>11277</v>
      </c>
      <c r="D634" s="15" t="s">
        <v>11277</v>
      </c>
      <c r="E634" s="15" t="s">
        <v>1067</v>
      </c>
      <c r="F634" s="15" t="s">
        <v>14756</v>
      </c>
      <c r="G634" s="15" t="s">
        <v>11477</v>
      </c>
      <c r="H634" s="15">
        <v>14</v>
      </c>
      <c r="I634" s="15">
        <v>18</v>
      </c>
      <c r="J634" s="15">
        <v>26</v>
      </c>
      <c r="K634" s="15" t="str">
        <f t="shared" si="9"/>
        <v>crescentcove</v>
      </c>
      <c r="L634" s="15" t="s">
        <v>11330</v>
      </c>
      <c r="M634" s="15">
        <v>2</v>
      </c>
      <c r="N634" s="15" t="s">
        <v>11223</v>
      </c>
      <c r="O634" s="15"/>
      <c r="P634" s="15"/>
      <c r="Q634" s="15"/>
      <c r="R634" s="15"/>
      <c r="S634" s="15"/>
      <c r="T634" s="15">
        <v>0</v>
      </c>
      <c r="U634" s="15"/>
      <c r="V634" s="15"/>
      <c r="W634" s="15"/>
      <c r="X634" s="15"/>
      <c r="Y634" s="15"/>
      <c r="Z634" s="15"/>
    </row>
    <row r="635" spans="1:26" x14ac:dyDescent="0.25">
      <c r="A635" s="15" t="s">
        <v>14761</v>
      </c>
      <c r="B635" s="15">
        <v>634</v>
      </c>
      <c r="C635" s="15" t="s">
        <v>11277</v>
      </c>
      <c r="D635" s="15" t="s">
        <v>11277</v>
      </c>
      <c r="E635" s="15" t="s">
        <v>1067</v>
      </c>
      <c r="F635" s="15" t="s">
        <v>14756</v>
      </c>
      <c r="G635" s="15" t="s">
        <v>11353</v>
      </c>
      <c r="H635" s="15">
        <v>14</v>
      </c>
      <c r="I635" s="15">
        <v>18</v>
      </c>
      <c r="J635" s="15">
        <v>38</v>
      </c>
      <c r="K635" s="15" t="str">
        <f t="shared" si="9"/>
        <v>crescentcove</v>
      </c>
      <c r="L635" s="15" t="s">
        <v>11355</v>
      </c>
      <c r="M635" s="15">
        <v>1</v>
      </c>
      <c r="N635" s="15" t="s">
        <v>11222</v>
      </c>
      <c r="O635" s="15"/>
      <c r="P635" s="15"/>
      <c r="Q635" s="15"/>
      <c r="R635" s="15"/>
      <c r="S635" s="15"/>
      <c r="T635" s="15">
        <v>0</v>
      </c>
      <c r="U635" s="15"/>
      <c r="V635" s="15"/>
      <c r="W635" s="15"/>
      <c r="X635" s="15"/>
      <c r="Y635" s="15"/>
      <c r="Z635" s="15"/>
    </row>
    <row r="636" spans="1:26" x14ac:dyDescent="0.25">
      <c r="A636" s="15" t="s">
        <v>14762</v>
      </c>
      <c r="B636" s="15">
        <v>635</v>
      </c>
      <c r="C636" s="15" t="s">
        <v>11277</v>
      </c>
      <c r="D636" s="15" t="s">
        <v>11277</v>
      </c>
      <c r="E636" s="15" t="s">
        <v>1067</v>
      </c>
      <c r="F636" s="15" t="s">
        <v>14756</v>
      </c>
      <c r="G636" s="15" t="s">
        <v>11346</v>
      </c>
      <c r="H636" s="15">
        <v>14</v>
      </c>
      <c r="I636" s="15">
        <v>18</v>
      </c>
      <c r="J636" s="15">
        <v>50</v>
      </c>
      <c r="K636" s="15" t="str">
        <f t="shared" si="9"/>
        <v>crescentcove</v>
      </c>
      <c r="L636" s="15" t="s">
        <v>11291</v>
      </c>
      <c r="M636" s="15">
        <v>2</v>
      </c>
      <c r="N636" s="15" t="s">
        <v>11223</v>
      </c>
      <c r="O636" s="15" t="s">
        <v>14045</v>
      </c>
      <c r="P636" s="15"/>
      <c r="Q636" s="15"/>
      <c r="R636" s="15"/>
      <c r="S636" s="15"/>
      <c r="T636" s="15">
        <v>0</v>
      </c>
      <c r="U636" s="15"/>
      <c r="V636" s="15"/>
      <c r="W636" s="15"/>
      <c r="X636" s="15"/>
      <c r="Y636" s="15"/>
      <c r="Z636" s="15"/>
    </row>
    <row r="637" spans="1:26" x14ac:dyDescent="0.25">
      <c r="A637" s="15" t="s">
        <v>14763</v>
      </c>
      <c r="B637" s="15">
        <v>636</v>
      </c>
      <c r="C637" s="15" t="s">
        <v>11277</v>
      </c>
      <c r="D637" s="15" t="s">
        <v>11277</v>
      </c>
      <c r="E637" s="15" t="s">
        <v>1067</v>
      </c>
      <c r="F637" s="15" t="s">
        <v>14756</v>
      </c>
      <c r="G637" s="15" t="s">
        <v>11478</v>
      </c>
      <c r="H637" s="15">
        <v>14</v>
      </c>
      <c r="I637" s="15">
        <v>18</v>
      </c>
      <c r="J637" s="15">
        <v>50</v>
      </c>
      <c r="K637" s="15" t="str">
        <f t="shared" si="9"/>
        <v>crescentcove</v>
      </c>
      <c r="L637" s="15" t="s">
        <v>11291</v>
      </c>
      <c r="M637" s="15">
        <v>3</v>
      </c>
      <c r="N637" s="15" t="s">
        <v>11223</v>
      </c>
      <c r="O637" s="15" t="s">
        <v>14042</v>
      </c>
      <c r="P637" s="15"/>
      <c r="Q637" s="15"/>
      <c r="R637" s="15"/>
      <c r="S637" s="15"/>
      <c r="T637" s="15">
        <v>3</v>
      </c>
      <c r="U637" s="15"/>
      <c r="V637" s="15"/>
      <c r="W637" s="15"/>
      <c r="X637" s="15"/>
      <c r="Y637" s="15"/>
      <c r="Z637" s="15"/>
    </row>
    <row r="638" spans="1:26" x14ac:dyDescent="0.25">
      <c r="A638" s="15" t="s">
        <v>14764</v>
      </c>
      <c r="B638" s="15">
        <v>637</v>
      </c>
      <c r="C638" s="15" t="s">
        <v>11277</v>
      </c>
      <c r="D638" s="15" t="s">
        <v>11277</v>
      </c>
      <c r="E638" s="15" t="s">
        <v>1067</v>
      </c>
      <c r="F638" s="15" t="s">
        <v>1379</v>
      </c>
      <c r="G638" s="15" t="s">
        <v>11226</v>
      </c>
      <c r="H638" s="15">
        <v>15</v>
      </c>
      <c r="I638" s="15">
        <v>29</v>
      </c>
      <c r="J638" s="15">
        <v>3</v>
      </c>
      <c r="K638" s="15" t="str">
        <f t="shared" si="9"/>
        <v>thesilverbazaar</v>
      </c>
      <c r="L638" s="15" t="s">
        <v>11233</v>
      </c>
      <c r="M638" s="15">
        <v>1</v>
      </c>
      <c r="N638" s="15" t="s">
        <v>11222</v>
      </c>
      <c r="O638" s="15"/>
      <c r="P638" s="15"/>
      <c r="Q638" s="15"/>
      <c r="R638" s="15"/>
      <c r="S638" s="15"/>
      <c r="T638" s="15">
        <v>0</v>
      </c>
      <c r="U638" s="15"/>
      <c r="V638" s="15"/>
      <c r="W638" s="15"/>
      <c r="X638" s="15"/>
      <c r="Y638" s="15"/>
      <c r="Z638" s="15"/>
    </row>
    <row r="639" spans="1:26" x14ac:dyDescent="0.25">
      <c r="A639" s="15" t="s">
        <v>14765</v>
      </c>
      <c r="B639" s="15">
        <v>638</v>
      </c>
      <c r="C639" s="15" t="s">
        <v>11277</v>
      </c>
      <c r="D639" s="15" t="s">
        <v>11277</v>
      </c>
      <c r="E639" s="15" t="s">
        <v>1067</v>
      </c>
      <c r="F639" s="15" t="s">
        <v>1379</v>
      </c>
      <c r="G639" s="15" t="s">
        <v>11281</v>
      </c>
      <c r="H639" s="15">
        <v>15</v>
      </c>
      <c r="I639" s="15">
        <v>29</v>
      </c>
      <c r="J639" s="15">
        <v>12</v>
      </c>
      <c r="K639" s="15" t="str">
        <f t="shared" si="9"/>
        <v>thesilverbazaar</v>
      </c>
      <c r="L639" s="15" t="s">
        <v>11280</v>
      </c>
      <c r="M639" s="15">
        <v>1</v>
      </c>
      <c r="N639" s="15" t="s">
        <v>11222</v>
      </c>
      <c r="O639" s="15"/>
      <c r="P639" s="15"/>
      <c r="Q639" s="15"/>
      <c r="R639" s="15"/>
      <c r="S639" s="15"/>
      <c r="T639" s="15">
        <v>0</v>
      </c>
      <c r="U639" s="15"/>
      <c r="V639" s="15"/>
      <c r="W639" s="15"/>
      <c r="X639" s="15"/>
      <c r="Y639" s="15"/>
      <c r="Z639" s="15"/>
    </row>
    <row r="640" spans="1:26" x14ac:dyDescent="0.25">
      <c r="A640" s="15" t="s">
        <v>14766</v>
      </c>
      <c r="B640" s="15">
        <v>639</v>
      </c>
      <c r="C640" s="15" t="s">
        <v>11277</v>
      </c>
      <c r="D640" s="15" t="s">
        <v>11277</v>
      </c>
      <c r="E640" s="15" t="s">
        <v>1067</v>
      </c>
      <c r="F640" s="15" t="s">
        <v>1379</v>
      </c>
      <c r="G640" s="15" t="s">
        <v>11283</v>
      </c>
      <c r="H640" s="15">
        <v>15</v>
      </c>
      <c r="I640" s="15">
        <v>29</v>
      </c>
      <c r="J640" s="15">
        <v>15</v>
      </c>
      <c r="K640" s="15" t="str">
        <f t="shared" si="9"/>
        <v>thesilverbazaar</v>
      </c>
      <c r="L640" s="15" t="s">
        <v>11245</v>
      </c>
      <c r="M640" s="15">
        <v>2</v>
      </c>
      <c r="N640" s="15" t="s">
        <v>11223</v>
      </c>
      <c r="O640" s="15"/>
      <c r="P640" s="15"/>
      <c r="Q640" s="15"/>
      <c r="R640" s="15"/>
      <c r="S640" s="15"/>
      <c r="T640" s="15">
        <v>0</v>
      </c>
      <c r="U640" s="15"/>
      <c r="V640" s="15"/>
      <c r="W640" s="15"/>
      <c r="X640" s="15"/>
      <c r="Y640" s="15"/>
      <c r="Z640" s="15"/>
    </row>
    <row r="641" spans="1:26" x14ac:dyDescent="0.25">
      <c r="A641" s="15" t="s">
        <v>14767</v>
      </c>
      <c r="B641" s="15">
        <v>640</v>
      </c>
      <c r="C641" s="15" t="s">
        <v>11277</v>
      </c>
      <c r="D641" s="15" t="s">
        <v>11277</v>
      </c>
      <c r="E641" s="15" t="s">
        <v>1067</v>
      </c>
      <c r="F641" s="15" t="s">
        <v>1379</v>
      </c>
      <c r="G641" s="15" t="s">
        <v>11287</v>
      </c>
      <c r="H641" s="15">
        <v>15</v>
      </c>
      <c r="I641" s="15">
        <v>29</v>
      </c>
      <c r="J641" s="15">
        <v>17</v>
      </c>
      <c r="K641" s="15" t="str">
        <f t="shared" si="9"/>
        <v>thesilverbazaar</v>
      </c>
      <c r="L641" s="15" t="s">
        <v>11245</v>
      </c>
      <c r="M641" s="15">
        <v>1</v>
      </c>
      <c r="N641" s="15" t="s">
        <v>11222</v>
      </c>
      <c r="O641" s="15"/>
      <c r="P641" s="15"/>
      <c r="Q641" s="15"/>
      <c r="R641" s="15"/>
      <c r="S641" s="15"/>
      <c r="T641" s="15">
        <v>0</v>
      </c>
      <c r="U641" s="15"/>
      <c r="V641" s="15"/>
      <c r="W641" s="15"/>
      <c r="X641" s="15"/>
      <c r="Y641" s="15"/>
      <c r="Z641" s="15"/>
    </row>
    <row r="642" spans="1:26" x14ac:dyDescent="0.25">
      <c r="A642" s="15" t="s">
        <v>14768</v>
      </c>
      <c r="B642" s="15">
        <v>641</v>
      </c>
      <c r="C642" s="15" t="s">
        <v>11277</v>
      </c>
      <c r="D642" s="15" t="s">
        <v>11277</v>
      </c>
      <c r="E642" s="15" t="s">
        <v>1067</v>
      </c>
      <c r="F642" s="15" t="s">
        <v>1379</v>
      </c>
      <c r="G642" s="15" t="s">
        <v>11397</v>
      </c>
      <c r="H642" s="15">
        <v>15</v>
      </c>
      <c r="I642" s="15">
        <v>29</v>
      </c>
      <c r="J642" s="15">
        <v>29</v>
      </c>
      <c r="K642" s="15" t="str">
        <f t="shared" ref="K642:K705" si="10">LOWER(SUBSTITUTE(SUBSTITUTE(SUBSTITUTE(SUBSTITUTE(SUBSTITUTE(F642," ",""),"(",""),")",""),"'",""),"-",""))</f>
        <v>thesilverbazaar</v>
      </c>
      <c r="L642" s="15" t="s">
        <v>11334</v>
      </c>
      <c r="M642" s="15">
        <v>2</v>
      </c>
      <c r="N642" s="15" t="s">
        <v>11223</v>
      </c>
      <c r="O642" s="15"/>
      <c r="P642" s="15"/>
      <c r="Q642" s="15"/>
      <c r="R642" s="15"/>
      <c r="S642" s="15"/>
      <c r="T642" s="15">
        <v>0</v>
      </c>
      <c r="U642" s="15"/>
      <c r="V642" s="15"/>
      <c r="W642" s="15"/>
      <c r="X642" s="15"/>
      <c r="Y642" s="15"/>
      <c r="Z642" s="15"/>
    </row>
    <row r="643" spans="1:26" x14ac:dyDescent="0.25">
      <c r="A643" s="15" t="s">
        <v>14769</v>
      </c>
      <c r="B643" s="15">
        <v>642</v>
      </c>
      <c r="C643" s="15" t="s">
        <v>11277</v>
      </c>
      <c r="D643" s="15" t="s">
        <v>11277</v>
      </c>
      <c r="E643" s="15" t="s">
        <v>1067</v>
      </c>
      <c r="F643" s="15" t="s">
        <v>1379</v>
      </c>
      <c r="G643" s="15" t="s">
        <v>11401</v>
      </c>
      <c r="H643" s="15">
        <v>15</v>
      </c>
      <c r="I643" s="15">
        <v>29</v>
      </c>
      <c r="J643" s="15">
        <v>31</v>
      </c>
      <c r="K643" s="15" t="str">
        <f t="shared" si="10"/>
        <v>thesilverbazaar</v>
      </c>
      <c r="L643" s="15" t="s">
        <v>11285</v>
      </c>
      <c r="M643" s="15">
        <v>2</v>
      </c>
      <c r="N643" s="15" t="s">
        <v>11223</v>
      </c>
      <c r="O643" s="15"/>
      <c r="P643" s="15"/>
      <c r="Q643" s="15"/>
      <c r="R643" s="15"/>
      <c r="S643" s="15"/>
      <c r="T643" s="15">
        <v>0</v>
      </c>
      <c r="U643" s="15"/>
      <c r="V643" s="15"/>
      <c r="W643" s="15"/>
      <c r="X643" s="15"/>
      <c r="Y643" s="15"/>
      <c r="Z643" s="15"/>
    </row>
    <row r="644" spans="1:26" x14ac:dyDescent="0.25">
      <c r="A644" s="15" t="s">
        <v>14770</v>
      </c>
      <c r="B644" s="15">
        <v>643</v>
      </c>
      <c r="C644" s="15" t="s">
        <v>11277</v>
      </c>
      <c r="D644" s="15" t="s">
        <v>11277</v>
      </c>
      <c r="E644" s="15" t="s">
        <v>1067</v>
      </c>
      <c r="F644" s="15" t="s">
        <v>1379</v>
      </c>
      <c r="G644" s="15" t="s">
        <v>11479</v>
      </c>
      <c r="H644" s="15">
        <v>15</v>
      </c>
      <c r="I644" s="15">
        <v>29</v>
      </c>
      <c r="J644" s="15">
        <v>34</v>
      </c>
      <c r="K644" s="15" t="str">
        <f t="shared" si="10"/>
        <v>thesilverbazaar</v>
      </c>
      <c r="L644" s="15" t="s">
        <v>11330</v>
      </c>
      <c r="M644" s="15">
        <v>2</v>
      </c>
      <c r="N644" s="15" t="s">
        <v>11223</v>
      </c>
      <c r="O644" s="15"/>
      <c r="P644" s="15"/>
      <c r="Q644" s="15"/>
      <c r="R644" s="15"/>
      <c r="S644" s="15"/>
      <c r="T644" s="15">
        <v>0</v>
      </c>
      <c r="U644" s="15"/>
      <c r="V644" s="15"/>
      <c r="W644" s="15"/>
      <c r="X644" s="15"/>
      <c r="Y644" s="15"/>
      <c r="Z644" s="15"/>
    </row>
    <row r="645" spans="1:26" x14ac:dyDescent="0.25">
      <c r="A645" s="15" t="s">
        <v>14771</v>
      </c>
      <c r="B645" s="15">
        <v>644</v>
      </c>
      <c r="C645" s="15" t="s">
        <v>11277</v>
      </c>
      <c r="D645" s="15" t="s">
        <v>11277</v>
      </c>
      <c r="E645" s="15" t="s">
        <v>1067</v>
      </c>
      <c r="F645" s="15" t="s">
        <v>1379</v>
      </c>
      <c r="G645" s="15" t="s">
        <v>11346</v>
      </c>
      <c r="H645" s="15">
        <v>15</v>
      </c>
      <c r="I645" s="15">
        <v>29</v>
      </c>
      <c r="J645" s="15">
        <v>50</v>
      </c>
      <c r="K645" s="15" t="str">
        <f t="shared" si="10"/>
        <v>thesilverbazaar</v>
      </c>
      <c r="L645" s="15" t="s">
        <v>11291</v>
      </c>
      <c r="M645" s="15">
        <v>2</v>
      </c>
      <c r="N645" s="15" t="s">
        <v>11223</v>
      </c>
      <c r="O645" s="15" t="s">
        <v>14045</v>
      </c>
      <c r="P645" s="15"/>
      <c r="Q645" s="15"/>
      <c r="R645" s="15"/>
      <c r="S645" s="15"/>
      <c r="T645" s="15">
        <v>0</v>
      </c>
      <c r="U645" s="15"/>
      <c r="V645" s="15"/>
      <c r="W645" s="15"/>
      <c r="X645" s="15"/>
      <c r="Y645" s="15"/>
      <c r="Z645" s="15"/>
    </row>
    <row r="646" spans="1:26" x14ac:dyDescent="0.25">
      <c r="A646" s="15" t="s">
        <v>14772</v>
      </c>
      <c r="B646" s="15">
        <v>645</v>
      </c>
      <c r="C646" s="15" t="s">
        <v>11277</v>
      </c>
      <c r="D646" s="15" t="s">
        <v>11277</v>
      </c>
      <c r="E646" s="15" t="s">
        <v>1067</v>
      </c>
      <c r="F646" s="15" t="s">
        <v>1379</v>
      </c>
      <c r="G646" s="15" t="s">
        <v>11480</v>
      </c>
      <c r="H646" s="15">
        <v>15</v>
      </c>
      <c r="I646" s="15">
        <v>29</v>
      </c>
      <c r="J646" s="15">
        <v>50</v>
      </c>
      <c r="K646" s="15" t="str">
        <f t="shared" si="10"/>
        <v>thesilverbazaar</v>
      </c>
      <c r="L646" s="15" t="s">
        <v>11291</v>
      </c>
      <c r="M646" s="15">
        <v>3</v>
      </c>
      <c r="N646" s="15" t="s">
        <v>11223</v>
      </c>
      <c r="O646" s="15" t="s">
        <v>14064</v>
      </c>
      <c r="P646" s="15"/>
      <c r="Q646" s="15"/>
      <c r="R646" s="15"/>
      <c r="S646" s="15"/>
      <c r="T646" s="15">
        <v>3</v>
      </c>
      <c r="U646" s="15"/>
      <c r="V646" s="15"/>
      <c r="W646" s="15"/>
      <c r="X646" s="15"/>
      <c r="Y646" s="15"/>
      <c r="Z646" s="15"/>
    </row>
    <row r="647" spans="1:26" x14ac:dyDescent="0.25">
      <c r="A647" s="15" t="s">
        <v>14773</v>
      </c>
      <c r="B647" s="15">
        <v>646</v>
      </c>
      <c r="C647" s="15" t="s">
        <v>11277</v>
      </c>
      <c r="D647" s="15" t="s">
        <v>11277</v>
      </c>
      <c r="E647" s="15" t="s">
        <v>1067</v>
      </c>
      <c r="F647" s="15" t="s">
        <v>1391</v>
      </c>
      <c r="G647" s="15" t="s">
        <v>11227</v>
      </c>
      <c r="H647" s="15">
        <v>9</v>
      </c>
      <c r="I647" s="15">
        <v>6</v>
      </c>
      <c r="J647" s="15">
        <v>3</v>
      </c>
      <c r="K647" s="15" t="str">
        <f t="shared" si="10"/>
        <v>capewestwind</v>
      </c>
      <c r="L647" s="15" t="s">
        <v>11233</v>
      </c>
      <c r="M647" s="15">
        <v>1</v>
      </c>
      <c r="N647" s="15" t="s">
        <v>11222</v>
      </c>
      <c r="O647" s="15"/>
      <c r="P647" s="15"/>
      <c r="Q647" s="15"/>
      <c r="R647" s="15"/>
      <c r="S647" s="15"/>
      <c r="T647" s="15">
        <v>0</v>
      </c>
      <c r="U647" s="15"/>
      <c r="V647" s="15"/>
      <c r="W647" s="15"/>
      <c r="X647" s="15"/>
      <c r="Y647" s="15"/>
      <c r="Z647" s="15"/>
    </row>
    <row r="648" spans="1:26" x14ac:dyDescent="0.25">
      <c r="A648" s="15" t="s">
        <v>14774</v>
      </c>
      <c r="B648" s="15">
        <v>647</v>
      </c>
      <c r="C648" s="15" t="s">
        <v>11277</v>
      </c>
      <c r="D648" s="15" t="s">
        <v>11277</v>
      </c>
      <c r="E648" s="15" t="s">
        <v>1067</v>
      </c>
      <c r="F648" s="15" t="s">
        <v>1391</v>
      </c>
      <c r="G648" s="15" t="s">
        <v>11479</v>
      </c>
      <c r="H648" s="15">
        <v>9</v>
      </c>
      <c r="I648" s="15">
        <v>6</v>
      </c>
      <c r="J648" s="15">
        <v>34</v>
      </c>
      <c r="K648" s="15" t="str">
        <f t="shared" si="10"/>
        <v>capewestwind</v>
      </c>
      <c r="L648" s="15" t="s">
        <v>11330</v>
      </c>
      <c r="M648" s="15">
        <v>2</v>
      </c>
      <c r="N648" s="15" t="s">
        <v>11223</v>
      </c>
      <c r="O648" s="15"/>
      <c r="P648" s="15"/>
      <c r="Q648" s="15"/>
      <c r="R648" s="15"/>
      <c r="S648" s="15"/>
      <c r="T648" s="15">
        <v>0</v>
      </c>
      <c r="U648" s="15"/>
      <c r="V648" s="15"/>
      <c r="W648" s="15"/>
      <c r="X648" s="15"/>
      <c r="Y648" s="15"/>
      <c r="Z648" s="15"/>
    </row>
    <row r="649" spans="1:26" x14ac:dyDescent="0.25">
      <c r="A649" s="15" t="s">
        <v>14775</v>
      </c>
      <c r="B649" s="15">
        <v>648</v>
      </c>
      <c r="C649" s="15" t="s">
        <v>11277</v>
      </c>
      <c r="D649" s="15" t="s">
        <v>11277</v>
      </c>
      <c r="E649" s="15" t="s">
        <v>1067</v>
      </c>
      <c r="F649" s="15" t="s">
        <v>1391</v>
      </c>
      <c r="G649" s="15" t="s">
        <v>11335</v>
      </c>
      <c r="H649" s="15">
        <v>9</v>
      </c>
      <c r="I649" s="15">
        <v>6</v>
      </c>
      <c r="J649" s="15">
        <v>35</v>
      </c>
      <c r="K649" s="15" t="str">
        <f t="shared" si="10"/>
        <v>capewestwind</v>
      </c>
      <c r="L649" s="15" t="s">
        <v>11336</v>
      </c>
      <c r="M649" s="15">
        <v>1</v>
      </c>
      <c r="N649" s="15" t="s">
        <v>11222</v>
      </c>
      <c r="O649" s="15"/>
      <c r="P649" s="15"/>
      <c r="Q649" s="15"/>
      <c r="R649" s="15"/>
      <c r="S649" s="15"/>
      <c r="T649" s="15">
        <v>0</v>
      </c>
      <c r="U649" s="15"/>
      <c r="V649" s="15"/>
      <c r="W649" s="15"/>
      <c r="X649" s="15"/>
      <c r="Y649" s="15"/>
      <c r="Z649" s="15"/>
    </row>
    <row r="650" spans="1:26" x14ac:dyDescent="0.25">
      <c r="A650" s="15" t="s">
        <v>14776</v>
      </c>
      <c r="B650" s="15">
        <v>649</v>
      </c>
      <c r="C650" s="15" t="s">
        <v>11277</v>
      </c>
      <c r="D650" s="15" t="s">
        <v>11277</v>
      </c>
      <c r="E650" s="15" t="s">
        <v>1067</v>
      </c>
      <c r="F650" s="15" t="s">
        <v>1391</v>
      </c>
      <c r="G650" s="15" t="s">
        <v>11261</v>
      </c>
      <c r="H650" s="15">
        <v>9</v>
      </c>
      <c r="I650" s="15">
        <v>6</v>
      </c>
      <c r="J650" s="15">
        <v>41</v>
      </c>
      <c r="K650" s="15" t="str">
        <f t="shared" si="10"/>
        <v>capewestwind</v>
      </c>
      <c r="L650" s="15" t="s">
        <v>14088</v>
      </c>
      <c r="M650" s="15">
        <v>2</v>
      </c>
      <c r="N650" s="15" t="s">
        <v>11223</v>
      </c>
      <c r="O650" s="15"/>
      <c r="P650" s="15"/>
      <c r="Q650" s="15" t="s">
        <v>11227</v>
      </c>
      <c r="R650" s="15" t="s">
        <v>11262</v>
      </c>
      <c r="S650" s="15"/>
      <c r="T650" s="15">
        <v>0</v>
      </c>
      <c r="U650" s="15"/>
      <c r="V650" s="15"/>
      <c r="W650" s="15"/>
      <c r="X650" s="15"/>
      <c r="Y650" s="15"/>
      <c r="Z650" s="15"/>
    </row>
    <row r="651" spans="1:26" x14ac:dyDescent="0.25">
      <c r="A651" s="15" t="s">
        <v>14777</v>
      </c>
      <c r="B651" s="15">
        <v>650</v>
      </c>
      <c r="C651" s="15" t="s">
        <v>11277</v>
      </c>
      <c r="D651" s="15" t="s">
        <v>11277</v>
      </c>
      <c r="E651" s="15" t="s">
        <v>1067</v>
      </c>
      <c r="F651" s="15" t="s">
        <v>1391</v>
      </c>
      <c r="G651" s="15" t="s">
        <v>11262</v>
      </c>
      <c r="H651" s="15">
        <v>9</v>
      </c>
      <c r="I651" s="15">
        <v>6</v>
      </c>
      <c r="J651" s="15">
        <v>43</v>
      </c>
      <c r="K651" s="15" t="str">
        <f t="shared" si="10"/>
        <v>capewestwind</v>
      </c>
      <c r="L651" s="15" t="s">
        <v>14088</v>
      </c>
      <c r="M651" s="15">
        <v>2</v>
      </c>
      <c r="N651" s="15" t="s">
        <v>11223</v>
      </c>
      <c r="O651" s="15"/>
      <c r="P651" s="15"/>
      <c r="Q651" s="15" t="s">
        <v>11227</v>
      </c>
      <c r="R651" s="15"/>
      <c r="S651" s="15"/>
      <c r="T651" s="15">
        <v>0</v>
      </c>
      <c r="U651" s="15"/>
      <c r="V651" s="15"/>
      <c r="W651" s="15"/>
      <c r="X651" s="15"/>
      <c r="Y651" s="15"/>
      <c r="Z651" s="15"/>
    </row>
    <row r="652" spans="1:26" x14ac:dyDescent="0.25">
      <c r="A652" s="15" t="s">
        <v>14778</v>
      </c>
      <c r="B652" s="15">
        <v>651</v>
      </c>
      <c r="C652" s="15" t="s">
        <v>11277</v>
      </c>
      <c r="D652" s="15" t="s">
        <v>11277</v>
      </c>
      <c r="E652" s="15" t="s">
        <v>1067</v>
      </c>
      <c r="F652" s="15" t="s">
        <v>1391</v>
      </c>
      <c r="G652" s="15" t="s">
        <v>11481</v>
      </c>
      <c r="H652" s="15">
        <v>9</v>
      </c>
      <c r="I652" s="15">
        <v>6</v>
      </c>
      <c r="J652" s="15">
        <v>44</v>
      </c>
      <c r="K652" s="15" t="str">
        <f t="shared" si="10"/>
        <v>capewestwind</v>
      </c>
      <c r="L652" s="15" t="s">
        <v>11339</v>
      </c>
      <c r="M652" s="15">
        <v>1</v>
      </c>
      <c r="N652" s="15" t="s">
        <v>11222</v>
      </c>
      <c r="O652" s="15"/>
      <c r="P652" s="15"/>
      <c r="Q652" s="15"/>
      <c r="R652" s="15"/>
      <c r="S652" s="15"/>
      <c r="T652" s="15">
        <v>0</v>
      </c>
      <c r="U652" s="15"/>
      <c r="V652" s="15"/>
      <c r="W652" s="15"/>
      <c r="X652" s="15"/>
      <c r="Y652" s="15"/>
      <c r="Z652" s="15"/>
    </row>
    <row r="653" spans="1:26" x14ac:dyDescent="0.25">
      <c r="A653" s="15" t="s">
        <v>14779</v>
      </c>
      <c r="B653" s="15">
        <v>652</v>
      </c>
      <c r="C653" s="15" t="s">
        <v>11277</v>
      </c>
      <c r="D653" s="15" t="s">
        <v>11277</v>
      </c>
      <c r="E653" s="15" t="s">
        <v>1067</v>
      </c>
      <c r="F653" s="15" t="s">
        <v>1391</v>
      </c>
      <c r="G653" s="15" t="s">
        <v>11482</v>
      </c>
      <c r="H653" s="15">
        <v>9</v>
      </c>
      <c r="I653" s="15">
        <v>6</v>
      </c>
      <c r="J653" s="15">
        <v>48</v>
      </c>
      <c r="K653" s="15" t="str">
        <f t="shared" si="10"/>
        <v>capewestwind</v>
      </c>
      <c r="L653" s="15" t="s">
        <v>11289</v>
      </c>
      <c r="M653" s="15">
        <v>2</v>
      </c>
      <c r="N653" s="15" t="s">
        <v>11223</v>
      </c>
      <c r="O653" s="15"/>
      <c r="P653" s="15"/>
      <c r="Q653" s="15"/>
      <c r="R653" s="15"/>
      <c r="S653" s="15"/>
      <c r="T653" s="15">
        <v>0</v>
      </c>
      <c r="U653" s="15"/>
      <c r="V653" s="15"/>
      <c r="W653" s="15"/>
      <c r="X653" s="15"/>
      <c r="Y653" s="15"/>
      <c r="Z653" s="15"/>
    </row>
    <row r="654" spans="1:26" x14ac:dyDescent="0.25">
      <c r="A654" s="15" t="s">
        <v>14780</v>
      </c>
      <c r="B654" s="15">
        <v>653</v>
      </c>
      <c r="C654" s="15" t="s">
        <v>11277</v>
      </c>
      <c r="D654" s="15" t="s">
        <v>11277</v>
      </c>
      <c r="E654" s="15" t="s">
        <v>1067</v>
      </c>
      <c r="F654" s="15" t="s">
        <v>1391</v>
      </c>
      <c r="G654" s="15" t="s">
        <v>11483</v>
      </c>
      <c r="H654" s="15">
        <v>9</v>
      </c>
      <c r="I654" s="15">
        <v>6</v>
      </c>
      <c r="J654" s="15">
        <v>49</v>
      </c>
      <c r="K654" s="15" t="str">
        <f t="shared" si="10"/>
        <v>capewestwind</v>
      </c>
      <c r="L654" s="15" t="s">
        <v>11289</v>
      </c>
      <c r="M654" s="15">
        <v>2</v>
      </c>
      <c r="N654" s="15" t="s">
        <v>11223</v>
      </c>
      <c r="O654" s="15"/>
      <c r="P654" s="15"/>
      <c r="Q654" s="15"/>
      <c r="R654" s="15"/>
      <c r="S654" s="15"/>
      <c r="T654" s="15">
        <v>0</v>
      </c>
      <c r="U654" s="15"/>
      <c r="V654" s="15"/>
      <c r="W654" s="15"/>
      <c r="X654" s="15"/>
      <c r="Y654" s="15"/>
      <c r="Z654" s="15"/>
    </row>
    <row r="655" spans="1:26" x14ac:dyDescent="0.25">
      <c r="A655" s="15" t="s">
        <v>14781</v>
      </c>
      <c r="B655" s="15">
        <v>654</v>
      </c>
      <c r="C655" s="15" t="s">
        <v>11277</v>
      </c>
      <c r="D655" s="15" t="s">
        <v>11277</v>
      </c>
      <c r="E655" s="15" t="s">
        <v>1067</v>
      </c>
      <c r="F655" s="15" t="s">
        <v>1391</v>
      </c>
      <c r="G655" s="15" t="s">
        <v>11484</v>
      </c>
      <c r="H655" s="15">
        <v>9</v>
      </c>
      <c r="I655" s="15">
        <v>6</v>
      </c>
      <c r="J655" s="15">
        <v>50</v>
      </c>
      <c r="K655" s="15" t="str">
        <f t="shared" si="10"/>
        <v>capewestwind</v>
      </c>
      <c r="L655" s="15" t="s">
        <v>14088</v>
      </c>
      <c r="M655" s="15">
        <v>3</v>
      </c>
      <c r="N655" s="15" t="s">
        <v>11223</v>
      </c>
      <c r="O655" s="15" t="s">
        <v>14011</v>
      </c>
      <c r="P655" s="15"/>
      <c r="Q655" s="15" t="s">
        <v>11262</v>
      </c>
      <c r="R655" s="15"/>
      <c r="S655" s="15"/>
      <c r="T655" s="15">
        <v>2</v>
      </c>
      <c r="U655" s="15" t="s">
        <v>5893</v>
      </c>
      <c r="V655" s="15" t="s">
        <v>5892</v>
      </c>
      <c r="W655" s="15"/>
      <c r="X655" s="15"/>
      <c r="Y655" s="15"/>
      <c r="Z655" s="15"/>
    </row>
    <row r="656" spans="1:26" x14ac:dyDescent="0.25">
      <c r="A656" s="15" t="s">
        <v>14782</v>
      </c>
      <c r="B656" s="15">
        <v>655</v>
      </c>
      <c r="C656" s="15" t="s">
        <v>11277</v>
      </c>
      <c r="D656" s="15" t="s">
        <v>11277</v>
      </c>
      <c r="E656" s="15" t="s">
        <v>1067</v>
      </c>
      <c r="F656" s="15" t="s">
        <v>1391</v>
      </c>
      <c r="G656" s="15" t="s">
        <v>11485</v>
      </c>
      <c r="H656" s="15">
        <v>9</v>
      </c>
      <c r="I656" s="15">
        <v>6</v>
      </c>
      <c r="J656" s="15">
        <v>50</v>
      </c>
      <c r="K656" s="15" t="str">
        <f t="shared" si="10"/>
        <v>capewestwind</v>
      </c>
      <c r="L656" s="15" t="s">
        <v>14088</v>
      </c>
      <c r="M656" s="15">
        <v>3</v>
      </c>
      <c r="N656" s="15" t="s">
        <v>11223</v>
      </c>
      <c r="O656" s="15"/>
      <c r="P656" s="15" t="s">
        <v>14783</v>
      </c>
      <c r="Q656" s="15" t="s">
        <v>11227</v>
      </c>
      <c r="R656" s="15" t="s">
        <v>11262</v>
      </c>
      <c r="S656" s="15"/>
      <c r="T656" s="15">
        <v>3</v>
      </c>
      <c r="U656" s="15"/>
      <c r="V656" s="15"/>
      <c r="W656" s="15"/>
      <c r="X656" s="15"/>
      <c r="Y656" s="15"/>
      <c r="Z656" s="15"/>
    </row>
    <row r="657" spans="1:26" x14ac:dyDescent="0.25">
      <c r="A657" s="15" t="s">
        <v>14784</v>
      </c>
      <c r="B657" s="15">
        <v>656</v>
      </c>
      <c r="C657" s="15" t="s">
        <v>11277</v>
      </c>
      <c r="D657" s="15" t="s">
        <v>11277</v>
      </c>
      <c r="E657" s="15" t="s">
        <v>1067</v>
      </c>
      <c r="F657" s="15" t="s">
        <v>14785</v>
      </c>
      <c r="G657" s="15" t="s">
        <v>11322</v>
      </c>
      <c r="H657" s="15">
        <v>17</v>
      </c>
      <c r="I657" s="15">
        <v>6</v>
      </c>
      <c r="J657" s="15">
        <v>31</v>
      </c>
      <c r="K657" s="15" t="str">
        <f t="shared" si="10"/>
        <v>moondrip</v>
      </c>
      <c r="L657" s="15" t="s">
        <v>11323</v>
      </c>
      <c r="M657" s="15">
        <v>1</v>
      </c>
      <c r="N657" s="15" t="s">
        <v>11222</v>
      </c>
      <c r="O657" s="15"/>
      <c r="P657" s="15"/>
      <c r="Q657" s="15"/>
      <c r="R657" s="15"/>
      <c r="S657" s="15"/>
      <c r="T657" s="15">
        <v>0</v>
      </c>
      <c r="U657" s="15"/>
      <c r="V657" s="15"/>
      <c r="W657" s="15"/>
      <c r="X657" s="15"/>
      <c r="Y657" s="15"/>
      <c r="Z657" s="15"/>
    </row>
    <row r="658" spans="1:26" x14ac:dyDescent="0.25">
      <c r="A658" s="15" t="s">
        <v>14786</v>
      </c>
      <c r="B658" s="15">
        <v>657</v>
      </c>
      <c r="C658" s="15" t="s">
        <v>11277</v>
      </c>
      <c r="D658" s="15" t="s">
        <v>11277</v>
      </c>
      <c r="E658" s="15" t="s">
        <v>1067</v>
      </c>
      <c r="F658" s="15" t="s">
        <v>14785</v>
      </c>
      <c r="G658" s="15" t="s">
        <v>11307</v>
      </c>
      <c r="H658" s="15">
        <v>17</v>
      </c>
      <c r="I658" s="15">
        <v>6</v>
      </c>
      <c r="J658" s="15">
        <v>32</v>
      </c>
      <c r="K658" s="15" t="str">
        <f t="shared" si="10"/>
        <v>moondrip</v>
      </c>
      <c r="L658" s="15" t="s">
        <v>11308</v>
      </c>
      <c r="M658" s="15">
        <v>1</v>
      </c>
      <c r="N658" s="15" t="s">
        <v>11222</v>
      </c>
      <c r="O658" s="15"/>
      <c r="P658" s="15"/>
      <c r="Q658" s="15"/>
      <c r="R658" s="15"/>
      <c r="S658" s="15"/>
      <c r="T658" s="15">
        <v>0</v>
      </c>
      <c r="U658" s="15"/>
      <c r="V658" s="15"/>
      <c r="W658" s="15"/>
      <c r="X658" s="15"/>
      <c r="Y658" s="15"/>
      <c r="Z658" s="15"/>
    </row>
    <row r="659" spans="1:26" x14ac:dyDescent="0.25">
      <c r="A659" s="15" t="s">
        <v>14787</v>
      </c>
      <c r="B659" s="15">
        <v>658</v>
      </c>
      <c r="C659" s="15" t="s">
        <v>11277</v>
      </c>
      <c r="D659" s="15" t="s">
        <v>11277</v>
      </c>
      <c r="E659" s="15" t="s">
        <v>1067</v>
      </c>
      <c r="F659" s="15" t="s">
        <v>14785</v>
      </c>
      <c r="G659" s="15" t="s">
        <v>11370</v>
      </c>
      <c r="H659" s="15">
        <v>17</v>
      </c>
      <c r="I659" s="15">
        <v>6</v>
      </c>
      <c r="J659" s="15">
        <v>36</v>
      </c>
      <c r="K659" s="15" t="str">
        <f t="shared" si="10"/>
        <v>moondrip</v>
      </c>
      <c r="L659" s="15" t="s">
        <v>11355</v>
      </c>
      <c r="M659" s="15">
        <v>1</v>
      </c>
      <c r="N659" s="15" t="s">
        <v>11222</v>
      </c>
      <c r="O659" s="15"/>
      <c r="P659" s="15"/>
      <c r="Q659" s="15"/>
      <c r="R659" s="15"/>
      <c r="S659" s="15"/>
      <c r="T659" s="15">
        <v>0</v>
      </c>
      <c r="U659" s="15"/>
      <c r="V659" s="15"/>
      <c r="W659" s="15"/>
      <c r="X659" s="15"/>
      <c r="Y659" s="15"/>
      <c r="Z659" s="15"/>
    </row>
    <row r="660" spans="1:26" x14ac:dyDescent="0.25">
      <c r="A660" s="15" t="s">
        <v>14788</v>
      </c>
      <c r="B660" s="15">
        <v>659</v>
      </c>
      <c r="C660" s="15" t="s">
        <v>11277</v>
      </c>
      <c r="D660" s="15" t="s">
        <v>11277</v>
      </c>
      <c r="E660" s="15" t="s">
        <v>1067</v>
      </c>
      <c r="F660" s="15" t="s">
        <v>14785</v>
      </c>
      <c r="G660" s="15" t="s">
        <v>11469</v>
      </c>
      <c r="H660" s="15">
        <v>17</v>
      </c>
      <c r="I660" s="15">
        <v>6</v>
      </c>
      <c r="J660" s="15">
        <v>47</v>
      </c>
      <c r="K660" s="15" t="str">
        <f t="shared" si="10"/>
        <v>moondrip</v>
      </c>
      <c r="L660" s="15" t="s">
        <v>14088</v>
      </c>
      <c r="M660" s="15">
        <v>2</v>
      </c>
      <c r="N660" s="15" t="s">
        <v>11223</v>
      </c>
      <c r="O660" s="15"/>
      <c r="P660" s="15"/>
      <c r="Q660" s="15" t="s">
        <v>11370</v>
      </c>
      <c r="R660" s="15"/>
      <c r="S660" s="15"/>
      <c r="T660" s="15">
        <v>0</v>
      </c>
      <c r="U660" s="15"/>
      <c r="V660" s="15"/>
      <c r="W660" s="15"/>
      <c r="X660" s="15"/>
      <c r="Y660" s="15"/>
      <c r="Z660" s="15"/>
    </row>
    <row r="661" spans="1:26" x14ac:dyDescent="0.25">
      <c r="A661" s="15" t="s">
        <v>14789</v>
      </c>
      <c r="B661" s="15">
        <v>660</v>
      </c>
      <c r="C661" s="15" t="s">
        <v>11277</v>
      </c>
      <c r="D661" s="15" t="s">
        <v>11277</v>
      </c>
      <c r="E661" s="15" t="s">
        <v>1067</v>
      </c>
      <c r="F661" s="15" t="s">
        <v>14785</v>
      </c>
      <c r="G661" s="15" t="s">
        <v>11486</v>
      </c>
      <c r="H661" s="15">
        <v>17</v>
      </c>
      <c r="I661" s="15">
        <v>6</v>
      </c>
      <c r="J661" s="15">
        <v>48</v>
      </c>
      <c r="K661" s="15" t="str">
        <f t="shared" si="10"/>
        <v>moondrip</v>
      </c>
      <c r="L661" s="15" t="s">
        <v>14088</v>
      </c>
      <c r="M661" s="15">
        <v>2</v>
      </c>
      <c r="N661" s="15" t="s">
        <v>11223</v>
      </c>
      <c r="O661" s="15"/>
      <c r="P661" s="15"/>
      <c r="Q661" s="15" t="s">
        <v>11370</v>
      </c>
      <c r="R661" s="15"/>
      <c r="S661" s="15"/>
      <c r="T661" s="15">
        <v>0</v>
      </c>
      <c r="U661" s="15"/>
      <c r="V661" s="15"/>
      <c r="W661" s="15"/>
      <c r="X661" s="15"/>
      <c r="Y661" s="15"/>
      <c r="Z661" s="15"/>
    </row>
    <row r="662" spans="1:26" x14ac:dyDescent="0.25">
      <c r="A662" s="15" t="s">
        <v>14790</v>
      </c>
      <c r="B662" s="15">
        <v>661</v>
      </c>
      <c r="C662" s="15" t="s">
        <v>11277</v>
      </c>
      <c r="D662" s="15" t="s">
        <v>11277</v>
      </c>
      <c r="E662" s="15" t="s">
        <v>1067</v>
      </c>
      <c r="F662" s="15" t="s">
        <v>14785</v>
      </c>
      <c r="G662" s="15" t="s">
        <v>11487</v>
      </c>
      <c r="H662" s="15">
        <v>17</v>
      </c>
      <c r="I662" s="15">
        <v>6</v>
      </c>
      <c r="J662" s="15">
        <v>50</v>
      </c>
      <c r="K662" s="15" t="str">
        <f t="shared" si="10"/>
        <v>moondrip</v>
      </c>
      <c r="L662" s="15" t="s">
        <v>14088</v>
      </c>
      <c r="M662" s="15">
        <v>3</v>
      </c>
      <c r="N662" s="15" t="s">
        <v>11223</v>
      </c>
      <c r="O662" s="15" t="s">
        <v>14048</v>
      </c>
      <c r="P662" s="15"/>
      <c r="Q662" s="15" t="s">
        <v>11370</v>
      </c>
      <c r="R662" s="15" t="s">
        <v>11469</v>
      </c>
      <c r="S662" s="15"/>
      <c r="T662" s="15">
        <v>3</v>
      </c>
      <c r="U662" s="15" t="s">
        <v>5914</v>
      </c>
      <c r="V662" s="15"/>
      <c r="W662" s="15"/>
      <c r="X662" s="15"/>
      <c r="Y662" s="15"/>
      <c r="Z662" s="15"/>
    </row>
    <row r="663" spans="1:26" x14ac:dyDescent="0.25">
      <c r="A663" s="15" t="s">
        <v>14791</v>
      </c>
      <c r="B663" s="15">
        <v>662</v>
      </c>
      <c r="C663" s="15" t="s">
        <v>11277</v>
      </c>
      <c r="D663" s="15" t="s">
        <v>11277</v>
      </c>
      <c r="E663" s="15" t="s">
        <v>1067</v>
      </c>
      <c r="F663" s="15" t="s">
        <v>1392</v>
      </c>
      <c r="G663" s="15" t="s">
        <v>11307</v>
      </c>
      <c r="H663" s="15">
        <v>15</v>
      </c>
      <c r="I663" s="15">
        <v>6</v>
      </c>
      <c r="J663" s="15">
        <v>32</v>
      </c>
      <c r="K663" s="15" t="str">
        <f t="shared" si="10"/>
        <v>parataspeace</v>
      </c>
      <c r="L663" s="15" t="s">
        <v>11308</v>
      </c>
      <c r="M663" s="15">
        <v>1</v>
      </c>
      <c r="N663" s="15" t="s">
        <v>11222</v>
      </c>
      <c r="O663" s="15"/>
      <c r="P663" s="15"/>
      <c r="Q663" s="15"/>
      <c r="R663" s="15"/>
      <c r="S663" s="15"/>
      <c r="T663" s="15">
        <v>0</v>
      </c>
      <c r="U663" s="15"/>
      <c r="V663" s="15"/>
      <c r="W663" s="15"/>
      <c r="X663" s="15"/>
      <c r="Y663" s="15"/>
      <c r="Z663" s="15"/>
    </row>
    <row r="664" spans="1:26" x14ac:dyDescent="0.25">
      <c r="A664" s="15" t="s">
        <v>14792</v>
      </c>
      <c r="B664" s="15">
        <v>663</v>
      </c>
      <c r="C664" s="15" t="s">
        <v>11277</v>
      </c>
      <c r="D664" s="15" t="s">
        <v>11277</v>
      </c>
      <c r="E664" s="15" t="s">
        <v>1067</v>
      </c>
      <c r="F664" s="15" t="s">
        <v>1392</v>
      </c>
      <c r="G664" s="15" t="s">
        <v>11370</v>
      </c>
      <c r="H664" s="15">
        <v>15</v>
      </c>
      <c r="I664" s="15">
        <v>6</v>
      </c>
      <c r="J664" s="15">
        <v>36</v>
      </c>
      <c r="K664" s="15" t="str">
        <f t="shared" si="10"/>
        <v>parataspeace</v>
      </c>
      <c r="L664" s="15" t="s">
        <v>11355</v>
      </c>
      <c r="M664" s="15">
        <v>1</v>
      </c>
      <c r="N664" s="15" t="s">
        <v>11222</v>
      </c>
      <c r="O664" s="15"/>
      <c r="P664" s="15"/>
      <c r="Q664" s="15"/>
      <c r="R664" s="15"/>
      <c r="S664" s="15"/>
      <c r="T664" s="15">
        <v>0</v>
      </c>
      <c r="U664" s="15"/>
      <c r="V664" s="15"/>
      <c r="W664" s="15"/>
      <c r="X664" s="15"/>
      <c r="Y664" s="15"/>
      <c r="Z664" s="15"/>
    </row>
    <row r="665" spans="1:26" x14ac:dyDescent="0.25">
      <c r="A665" s="15" t="s">
        <v>14793</v>
      </c>
      <c r="B665" s="15">
        <v>664</v>
      </c>
      <c r="C665" s="15" t="s">
        <v>11277</v>
      </c>
      <c r="D665" s="15" t="s">
        <v>11277</v>
      </c>
      <c r="E665" s="15" t="s">
        <v>1067</v>
      </c>
      <c r="F665" s="15" t="s">
        <v>1392</v>
      </c>
      <c r="G665" s="15" t="s">
        <v>11488</v>
      </c>
      <c r="H665" s="15">
        <v>15</v>
      </c>
      <c r="I665" s="15">
        <v>6</v>
      </c>
      <c r="J665" s="15">
        <v>41</v>
      </c>
      <c r="K665" s="15" t="str">
        <f t="shared" si="10"/>
        <v>parataspeace</v>
      </c>
      <c r="L665" s="15" t="s">
        <v>11360</v>
      </c>
      <c r="M665" s="15">
        <v>1</v>
      </c>
      <c r="N665" s="15" t="s">
        <v>11222</v>
      </c>
      <c r="O665" s="15"/>
      <c r="P665" s="15"/>
      <c r="Q665" s="15"/>
      <c r="R665" s="15"/>
      <c r="S665" s="15"/>
      <c r="T665" s="15">
        <v>0</v>
      </c>
      <c r="U665" s="15"/>
      <c r="V665" s="15"/>
      <c r="W665" s="15"/>
      <c r="X665" s="15"/>
      <c r="Y665" s="15"/>
      <c r="Z665" s="15"/>
    </row>
    <row r="666" spans="1:26" x14ac:dyDescent="0.25">
      <c r="A666" s="15" t="s">
        <v>14794</v>
      </c>
      <c r="B666" s="15">
        <v>665</v>
      </c>
      <c r="C666" s="15" t="s">
        <v>11277</v>
      </c>
      <c r="D666" s="15" t="s">
        <v>11277</v>
      </c>
      <c r="E666" s="15" t="s">
        <v>1067</v>
      </c>
      <c r="F666" s="15" t="s">
        <v>1392</v>
      </c>
      <c r="G666" s="15" t="s">
        <v>11371</v>
      </c>
      <c r="H666" s="15">
        <v>15</v>
      </c>
      <c r="I666" s="15">
        <v>6</v>
      </c>
      <c r="J666" s="15">
        <v>44</v>
      </c>
      <c r="K666" s="15" t="str">
        <f t="shared" si="10"/>
        <v>parataspeace</v>
      </c>
      <c r="L666" s="15" t="s">
        <v>11360</v>
      </c>
      <c r="M666" s="15">
        <v>1</v>
      </c>
      <c r="N666" s="15" t="s">
        <v>11222</v>
      </c>
      <c r="O666" s="15"/>
      <c r="P666" s="15"/>
      <c r="Q666" s="15"/>
      <c r="R666" s="15"/>
      <c r="S666" s="15"/>
      <c r="T666" s="15">
        <v>0</v>
      </c>
      <c r="U666" s="15"/>
      <c r="V666" s="15"/>
      <c r="W666" s="15"/>
      <c r="X666" s="15"/>
      <c r="Y666" s="15"/>
      <c r="Z666" s="15"/>
    </row>
    <row r="667" spans="1:26" x14ac:dyDescent="0.25">
      <c r="A667" s="15" t="s">
        <v>14795</v>
      </c>
      <c r="B667" s="15">
        <v>666</v>
      </c>
      <c r="C667" s="15" t="s">
        <v>11277</v>
      </c>
      <c r="D667" s="15" t="s">
        <v>11277</v>
      </c>
      <c r="E667" s="15" t="s">
        <v>1067</v>
      </c>
      <c r="F667" s="15" t="s">
        <v>1392</v>
      </c>
      <c r="G667" s="15" t="s">
        <v>11489</v>
      </c>
      <c r="H667" s="15">
        <v>15</v>
      </c>
      <c r="I667" s="15">
        <v>6</v>
      </c>
      <c r="J667" s="15">
        <v>48</v>
      </c>
      <c r="K667" s="15" t="str">
        <f t="shared" si="10"/>
        <v>parataspeace</v>
      </c>
      <c r="L667" s="15" t="s">
        <v>14088</v>
      </c>
      <c r="M667" s="15">
        <v>2</v>
      </c>
      <c r="N667" s="15" t="s">
        <v>11223</v>
      </c>
      <c r="O667" s="15"/>
      <c r="P667" s="15"/>
      <c r="Q667" s="15" t="s">
        <v>11370</v>
      </c>
      <c r="R667" s="15"/>
      <c r="S667" s="15"/>
      <c r="T667" s="15">
        <v>0</v>
      </c>
      <c r="U667" s="15"/>
      <c r="V667" s="15"/>
      <c r="W667" s="15"/>
      <c r="X667" s="15"/>
      <c r="Y667" s="15"/>
      <c r="Z667" s="15"/>
    </row>
    <row r="668" spans="1:26" x14ac:dyDescent="0.25">
      <c r="A668" s="15" t="s">
        <v>14796</v>
      </c>
      <c r="B668" s="15">
        <v>667</v>
      </c>
      <c r="C668" s="15" t="s">
        <v>11277</v>
      </c>
      <c r="D668" s="15" t="s">
        <v>11277</v>
      </c>
      <c r="E668" s="15" t="s">
        <v>1067</v>
      </c>
      <c r="F668" s="15" t="s">
        <v>1392</v>
      </c>
      <c r="G668" s="15" t="s">
        <v>11490</v>
      </c>
      <c r="H668" s="15">
        <v>15</v>
      </c>
      <c r="I668" s="15">
        <v>6</v>
      </c>
      <c r="J668" s="15">
        <v>48</v>
      </c>
      <c r="K668" s="15" t="str">
        <f t="shared" si="10"/>
        <v>parataspeace</v>
      </c>
      <c r="L668" s="15" t="s">
        <v>11363</v>
      </c>
      <c r="M668" s="15">
        <v>2</v>
      </c>
      <c r="N668" s="15" t="s">
        <v>11223</v>
      </c>
      <c r="O668" s="15"/>
      <c r="P668" s="15"/>
      <c r="Q668" s="15"/>
      <c r="R668" s="15"/>
      <c r="S668" s="15"/>
      <c r="T668" s="15">
        <v>0</v>
      </c>
      <c r="U668" s="15"/>
      <c r="V668" s="15"/>
      <c r="W668" s="15"/>
      <c r="X668" s="15"/>
      <c r="Y668" s="15"/>
      <c r="Z668" s="15"/>
    </row>
    <row r="669" spans="1:26" x14ac:dyDescent="0.25">
      <c r="A669" s="15" t="s">
        <v>14797</v>
      </c>
      <c r="B669" s="15">
        <v>668</v>
      </c>
      <c r="C669" s="15" t="s">
        <v>11277</v>
      </c>
      <c r="D669" s="15" t="s">
        <v>11277</v>
      </c>
      <c r="E669" s="15" t="s">
        <v>1067</v>
      </c>
      <c r="F669" s="15" t="s">
        <v>1392</v>
      </c>
      <c r="G669" s="15" t="s">
        <v>11372</v>
      </c>
      <c r="H669" s="15">
        <v>15</v>
      </c>
      <c r="I669" s="15">
        <v>6</v>
      </c>
      <c r="J669" s="15">
        <v>50</v>
      </c>
      <c r="K669" s="15" t="str">
        <f t="shared" si="10"/>
        <v>parataspeace</v>
      </c>
      <c r="L669" s="15" t="s">
        <v>14088</v>
      </c>
      <c r="M669" s="15">
        <v>2</v>
      </c>
      <c r="N669" s="15" t="s">
        <v>11223</v>
      </c>
      <c r="O669" s="15"/>
      <c r="P669" s="15"/>
      <c r="Q669" s="15" t="s">
        <v>11370</v>
      </c>
      <c r="R669" s="15"/>
      <c r="S669" s="15"/>
      <c r="T669" s="15">
        <v>0</v>
      </c>
      <c r="U669" s="15"/>
      <c r="V669" s="15"/>
      <c r="W669" s="15"/>
      <c r="X669" s="15"/>
      <c r="Y669" s="15"/>
      <c r="Z669" s="15"/>
    </row>
    <row r="670" spans="1:26" x14ac:dyDescent="0.25">
      <c r="A670" s="15" t="s">
        <v>14798</v>
      </c>
      <c r="B670" s="15">
        <v>669</v>
      </c>
      <c r="C670" s="15" t="s">
        <v>11277</v>
      </c>
      <c r="D670" s="15" t="s">
        <v>11277</v>
      </c>
      <c r="E670" s="15" t="s">
        <v>1067</v>
      </c>
      <c r="F670" s="15" t="s">
        <v>1392</v>
      </c>
      <c r="G670" s="15" t="s">
        <v>11491</v>
      </c>
      <c r="H670" s="15">
        <v>15</v>
      </c>
      <c r="I670" s="15">
        <v>6</v>
      </c>
      <c r="J670" s="15">
        <v>50</v>
      </c>
      <c r="K670" s="15" t="str">
        <f t="shared" si="10"/>
        <v>parataspeace</v>
      </c>
      <c r="L670" s="15" t="s">
        <v>14088</v>
      </c>
      <c r="M670" s="15">
        <v>3</v>
      </c>
      <c r="N670" s="15" t="s">
        <v>11223</v>
      </c>
      <c r="O670" s="15"/>
      <c r="P670" s="15"/>
      <c r="Q670" s="15" t="s">
        <v>11370</v>
      </c>
      <c r="R670" s="15"/>
      <c r="S670" s="15"/>
      <c r="T670" s="15">
        <v>3</v>
      </c>
      <c r="U670" s="15"/>
      <c r="V670" s="15"/>
      <c r="W670" s="15"/>
      <c r="X670" s="15"/>
      <c r="Y670" s="15"/>
      <c r="Z670" s="15"/>
    </row>
    <row r="671" spans="1:26" x14ac:dyDescent="0.25">
      <c r="A671" s="15" t="s">
        <v>14799</v>
      </c>
      <c r="B671" s="15">
        <v>670</v>
      </c>
      <c r="C671" s="15" t="s">
        <v>11277</v>
      </c>
      <c r="D671" s="15" t="s">
        <v>11277</v>
      </c>
      <c r="E671" s="15" t="s">
        <v>1067</v>
      </c>
      <c r="F671" s="15" t="s">
        <v>14800</v>
      </c>
      <c r="G671" s="15" t="s">
        <v>11321</v>
      </c>
      <c r="H671" s="15">
        <v>23</v>
      </c>
      <c r="I671" s="15">
        <v>18</v>
      </c>
      <c r="J671" s="15">
        <v>5</v>
      </c>
      <c r="K671" s="15" t="str">
        <f t="shared" si="10"/>
        <v>uppersootcreek</v>
      </c>
      <c r="L671" s="15" t="s">
        <v>11253</v>
      </c>
      <c r="M671" s="15">
        <v>1</v>
      </c>
      <c r="N671" s="15" t="s">
        <v>11222</v>
      </c>
      <c r="O671" s="15"/>
      <c r="P671" s="15"/>
      <c r="Q671" s="15"/>
      <c r="R671" s="15"/>
      <c r="S671" s="15"/>
      <c r="T671" s="15">
        <v>0</v>
      </c>
      <c r="U671" s="15"/>
      <c r="V671" s="15"/>
      <c r="W671" s="15"/>
      <c r="X671" s="15"/>
      <c r="Y671" s="15"/>
      <c r="Z671" s="15"/>
    </row>
    <row r="672" spans="1:26" x14ac:dyDescent="0.25">
      <c r="A672" s="15" t="s">
        <v>14801</v>
      </c>
      <c r="B672" s="15">
        <v>671</v>
      </c>
      <c r="C672" s="15" t="s">
        <v>11277</v>
      </c>
      <c r="D672" s="15" t="s">
        <v>11277</v>
      </c>
      <c r="E672" s="15" t="s">
        <v>1067</v>
      </c>
      <c r="F672" s="15" t="s">
        <v>14800</v>
      </c>
      <c r="G672" s="15" t="s">
        <v>11264</v>
      </c>
      <c r="H672" s="15">
        <v>23</v>
      </c>
      <c r="I672" s="15">
        <v>18</v>
      </c>
      <c r="J672" s="15">
        <v>6</v>
      </c>
      <c r="K672" s="15" t="str">
        <f t="shared" si="10"/>
        <v>uppersootcreek</v>
      </c>
      <c r="L672" s="15" t="s">
        <v>11257</v>
      </c>
      <c r="M672" s="15">
        <v>1</v>
      </c>
      <c r="N672" s="15" t="s">
        <v>11222</v>
      </c>
      <c r="O672" s="15"/>
      <c r="P672" s="15"/>
      <c r="Q672" s="15"/>
      <c r="R672" s="15"/>
      <c r="S672" s="15"/>
      <c r="T672" s="15">
        <v>0</v>
      </c>
      <c r="U672" s="15"/>
      <c r="V672" s="15"/>
      <c r="W672" s="15"/>
      <c r="X672" s="15"/>
      <c r="Y672" s="15"/>
      <c r="Z672" s="15"/>
    </row>
    <row r="673" spans="1:26" x14ac:dyDescent="0.25">
      <c r="A673" s="15" t="s">
        <v>14802</v>
      </c>
      <c r="B673" s="15">
        <v>672</v>
      </c>
      <c r="C673" s="15" t="s">
        <v>11277</v>
      </c>
      <c r="D673" s="15" t="s">
        <v>11277</v>
      </c>
      <c r="E673" s="15" t="s">
        <v>1067</v>
      </c>
      <c r="F673" s="15" t="s">
        <v>14800</v>
      </c>
      <c r="G673" s="15" t="s">
        <v>11411</v>
      </c>
      <c r="H673" s="15">
        <v>23</v>
      </c>
      <c r="I673" s="15">
        <v>18</v>
      </c>
      <c r="J673" s="15">
        <v>9</v>
      </c>
      <c r="K673" s="15" t="str">
        <f t="shared" si="10"/>
        <v>uppersootcreek</v>
      </c>
      <c r="L673" s="15" t="s">
        <v>11456</v>
      </c>
      <c r="M673" s="15">
        <v>1</v>
      </c>
      <c r="N673" s="15" t="s">
        <v>11222</v>
      </c>
      <c r="O673" s="15"/>
      <c r="P673" s="15"/>
      <c r="Q673" s="15"/>
      <c r="R673" s="15"/>
      <c r="S673" s="15"/>
      <c r="T673" s="15">
        <v>0</v>
      </c>
      <c r="U673" s="15"/>
      <c r="V673" s="15"/>
      <c r="W673" s="15"/>
      <c r="X673" s="15"/>
      <c r="Y673" s="15"/>
      <c r="Z673" s="15"/>
    </row>
    <row r="674" spans="1:26" x14ac:dyDescent="0.25">
      <c r="A674" s="15" t="s">
        <v>14803</v>
      </c>
      <c r="B674" s="15">
        <v>673</v>
      </c>
      <c r="C674" s="15" t="s">
        <v>11277</v>
      </c>
      <c r="D674" s="15" t="s">
        <v>11277</v>
      </c>
      <c r="E674" s="15" t="s">
        <v>1067</v>
      </c>
      <c r="F674" s="15" t="s">
        <v>14800</v>
      </c>
      <c r="G674" s="15" t="s">
        <v>11265</v>
      </c>
      <c r="H674" s="15">
        <v>23</v>
      </c>
      <c r="I674" s="15">
        <v>18</v>
      </c>
      <c r="J674" s="15">
        <v>10</v>
      </c>
      <c r="K674" s="15" t="str">
        <f t="shared" si="10"/>
        <v>uppersootcreek</v>
      </c>
      <c r="L674" s="15" t="s">
        <v>11440</v>
      </c>
      <c r="M674" s="15">
        <v>2</v>
      </c>
      <c r="N674" s="15" t="s">
        <v>11223</v>
      </c>
      <c r="O674" s="15"/>
      <c r="P674" s="15"/>
      <c r="Q674" s="15"/>
      <c r="R674" s="15"/>
      <c r="S674" s="15"/>
      <c r="T674" s="15">
        <v>0</v>
      </c>
      <c r="U674" s="15"/>
      <c r="V674" s="15"/>
      <c r="W674" s="15"/>
      <c r="X674" s="15"/>
      <c r="Y674" s="15"/>
      <c r="Z674" s="15"/>
    </row>
    <row r="675" spans="1:26" x14ac:dyDescent="0.25">
      <c r="A675" s="15" t="s">
        <v>14804</v>
      </c>
      <c r="B675" s="15">
        <v>674</v>
      </c>
      <c r="C675" s="15" t="s">
        <v>11277</v>
      </c>
      <c r="D675" s="15" t="s">
        <v>11277</v>
      </c>
      <c r="E675" s="15" t="s">
        <v>1067</v>
      </c>
      <c r="F675" s="15" t="s">
        <v>14800</v>
      </c>
      <c r="G675" s="15" t="s">
        <v>11433</v>
      </c>
      <c r="H675" s="15">
        <v>23</v>
      </c>
      <c r="I675" s="15">
        <v>18</v>
      </c>
      <c r="J675" s="15">
        <v>25</v>
      </c>
      <c r="K675" s="15" t="str">
        <f t="shared" si="10"/>
        <v>uppersootcreek</v>
      </c>
      <c r="L675" s="15" t="s">
        <v>11274</v>
      </c>
      <c r="M675" s="15">
        <v>2</v>
      </c>
      <c r="N675" s="15" t="s">
        <v>11223</v>
      </c>
      <c r="O675" s="15"/>
      <c r="P675" s="15"/>
      <c r="Q675" s="15"/>
      <c r="R675" s="15"/>
      <c r="S675" s="15"/>
      <c r="T675" s="15">
        <v>0</v>
      </c>
      <c r="U675" s="15"/>
      <c r="V675" s="15"/>
      <c r="W675" s="15"/>
      <c r="X675" s="15"/>
      <c r="Y675" s="15"/>
      <c r="Z675" s="15"/>
    </row>
    <row r="676" spans="1:26" x14ac:dyDescent="0.25">
      <c r="A676" s="15" t="s">
        <v>14805</v>
      </c>
      <c r="B676" s="15">
        <v>675</v>
      </c>
      <c r="C676" s="15" t="s">
        <v>11277</v>
      </c>
      <c r="D676" s="15" t="s">
        <v>11277</v>
      </c>
      <c r="E676" s="15" t="s">
        <v>1067</v>
      </c>
      <c r="F676" s="15" t="s">
        <v>14800</v>
      </c>
      <c r="G676" s="15" t="s">
        <v>11492</v>
      </c>
      <c r="H676" s="15">
        <v>23</v>
      </c>
      <c r="I676" s="15">
        <v>18</v>
      </c>
      <c r="J676" s="15">
        <v>50</v>
      </c>
      <c r="K676" s="15" t="str">
        <f t="shared" si="10"/>
        <v>uppersootcreek</v>
      </c>
      <c r="L676" s="15" t="s">
        <v>11257</v>
      </c>
      <c r="M676" s="15">
        <v>3</v>
      </c>
      <c r="N676" s="15" t="s">
        <v>11222</v>
      </c>
      <c r="O676" s="15" t="s">
        <v>14038</v>
      </c>
      <c r="P676" s="15"/>
      <c r="Q676" s="15"/>
      <c r="R676" s="15"/>
      <c r="S676" s="15"/>
      <c r="T676" s="15">
        <v>2</v>
      </c>
      <c r="U676" s="15"/>
      <c r="V676" s="15"/>
      <c r="W676" s="15"/>
      <c r="X676" s="15"/>
      <c r="Y676" s="15"/>
      <c r="Z676" s="15"/>
    </row>
    <row r="677" spans="1:26" x14ac:dyDescent="0.25">
      <c r="A677" s="15" t="s">
        <v>14806</v>
      </c>
      <c r="B677" s="15">
        <v>676</v>
      </c>
      <c r="C677" s="15" t="s">
        <v>11277</v>
      </c>
      <c r="D677" s="15" t="s">
        <v>11277</v>
      </c>
      <c r="E677" s="15" t="s">
        <v>1067</v>
      </c>
      <c r="F677" s="15" t="s">
        <v>14807</v>
      </c>
      <c r="G677" s="15" t="s">
        <v>11321</v>
      </c>
      <c r="H677" s="15">
        <v>16</v>
      </c>
      <c r="I677" s="15">
        <v>23</v>
      </c>
      <c r="J677" s="15">
        <v>5</v>
      </c>
      <c r="K677" s="15" t="str">
        <f t="shared" si="10"/>
        <v>lowersootcreek</v>
      </c>
      <c r="L677" s="15" t="s">
        <v>11253</v>
      </c>
      <c r="M677" s="15">
        <v>1</v>
      </c>
      <c r="N677" s="15" t="s">
        <v>11222</v>
      </c>
      <c r="O677" s="15"/>
      <c r="P677" s="15"/>
      <c r="Q677" s="15"/>
      <c r="R677" s="15"/>
      <c r="S677" s="15"/>
      <c r="T677" s="15">
        <v>0</v>
      </c>
      <c r="U677" s="15"/>
      <c r="V677" s="15"/>
      <c r="W677" s="15"/>
      <c r="X677" s="15"/>
      <c r="Y677" s="15"/>
      <c r="Z677" s="15"/>
    </row>
    <row r="678" spans="1:26" x14ac:dyDescent="0.25">
      <c r="A678" s="15" t="s">
        <v>14808</v>
      </c>
      <c r="B678" s="15">
        <v>677</v>
      </c>
      <c r="C678" s="15" t="s">
        <v>11277</v>
      </c>
      <c r="D678" s="15" t="s">
        <v>11277</v>
      </c>
      <c r="E678" s="15" t="s">
        <v>1067</v>
      </c>
      <c r="F678" s="15" t="s">
        <v>14807</v>
      </c>
      <c r="G678" s="15" t="s">
        <v>11264</v>
      </c>
      <c r="H678" s="15">
        <v>16</v>
      </c>
      <c r="I678" s="15">
        <v>23</v>
      </c>
      <c r="J678" s="15">
        <v>6</v>
      </c>
      <c r="K678" s="15" t="str">
        <f t="shared" si="10"/>
        <v>lowersootcreek</v>
      </c>
      <c r="L678" s="15" t="s">
        <v>11257</v>
      </c>
      <c r="M678" s="15">
        <v>1</v>
      </c>
      <c r="N678" s="15" t="s">
        <v>11222</v>
      </c>
      <c r="O678" s="15"/>
      <c r="P678" s="15"/>
      <c r="Q678" s="15"/>
      <c r="R678" s="15"/>
      <c r="S678" s="15"/>
      <c r="T678" s="15">
        <v>0</v>
      </c>
      <c r="U678" s="15"/>
      <c r="V678" s="15"/>
      <c r="W678" s="15"/>
      <c r="X678" s="15"/>
      <c r="Y678" s="15"/>
      <c r="Z678" s="15"/>
    </row>
    <row r="679" spans="1:26" x14ac:dyDescent="0.25">
      <c r="A679" s="15" t="s">
        <v>14809</v>
      </c>
      <c r="B679" s="15">
        <v>678</v>
      </c>
      <c r="C679" s="15" t="s">
        <v>11277</v>
      </c>
      <c r="D679" s="15" t="s">
        <v>11277</v>
      </c>
      <c r="E679" s="15" t="s">
        <v>1067</v>
      </c>
      <c r="F679" s="15" t="s">
        <v>14807</v>
      </c>
      <c r="G679" s="15" t="s">
        <v>11411</v>
      </c>
      <c r="H679" s="15">
        <v>16</v>
      </c>
      <c r="I679" s="15">
        <v>23</v>
      </c>
      <c r="J679" s="15">
        <v>9</v>
      </c>
      <c r="K679" s="15" t="str">
        <f t="shared" si="10"/>
        <v>lowersootcreek</v>
      </c>
      <c r="L679" s="15" t="s">
        <v>11247</v>
      </c>
      <c r="M679" s="15">
        <v>1</v>
      </c>
      <c r="N679" s="15" t="s">
        <v>11222</v>
      </c>
      <c r="O679" s="15"/>
      <c r="P679" s="15"/>
      <c r="Q679" s="15"/>
      <c r="R679" s="15"/>
      <c r="S679" s="15"/>
      <c r="T679" s="15">
        <v>0</v>
      </c>
      <c r="U679" s="15"/>
      <c r="V679" s="15"/>
      <c r="W679" s="15"/>
      <c r="X679" s="15"/>
      <c r="Y679" s="15"/>
      <c r="Z679" s="15"/>
    </row>
    <row r="680" spans="1:26" x14ac:dyDescent="0.25">
      <c r="A680" s="15" t="s">
        <v>14810</v>
      </c>
      <c r="B680" s="15">
        <v>679</v>
      </c>
      <c r="C680" s="15" t="s">
        <v>11277</v>
      </c>
      <c r="D680" s="15" t="s">
        <v>11277</v>
      </c>
      <c r="E680" s="15" t="s">
        <v>1067</v>
      </c>
      <c r="F680" s="15" t="s">
        <v>14807</v>
      </c>
      <c r="G680" s="15" t="s">
        <v>11265</v>
      </c>
      <c r="H680" s="15">
        <v>16</v>
      </c>
      <c r="I680" s="15">
        <v>23</v>
      </c>
      <c r="J680" s="15">
        <v>10</v>
      </c>
      <c r="K680" s="15" t="str">
        <f t="shared" si="10"/>
        <v>lowersootcreek</v>
      </c>
      <c r="L680" s="15" t="s">
        <v>11440</v>
      </c>
      <c r="M680" s="15">
        <v>2</v>
      </c>
      <c r="N680" s="15" t="s">
        <v>11223</v>
      </c>
      <c r="O680" s="15"/>
      <c r="P680" s="15"/>
      <c r="Q680" s="15"/>
      <c r="R680" s="15"/>
      <c r="S680" s="15"/>
      <c r="T680" s="15">
        <v>0</v>
      </c>
      <c r="U680" s="15"/>
      <c r="V680" s="15"/>
      <c r="W680" s="15"/>
      <c r="X680" s="15"/>
      <c r="Y680" s="15"/>
      <c r="Z680" s="15"/>
    </row>
    <row r="681" spans="1:26" x14ac:dyDescent="0.25">
      <c r="A681" s="15" t="s">
        <v>14811</v>
      </c>
      <c r="B681" s="15">
        <v>680</v>
      </c>
      <c r="C681" s="15" t="s">
        <v>11277</v>
      </c>
      <c r="D681" s="15" t="s">
        <v>11277</v>
      </c>
      <c r="E681" s="15" t="s">
        <v>1067</v>
      </c>
      <c r="F681" s="15" t="s">
        <v>14807</v>
      </c>
      <c r="G681" s="15" t="s">
        <v>11433</v>
      </c>
      <c r="H681" s="15">
        <v>16</v>
      </c>
      <c r="I681" s="15">
        <v>23</v>
      </c>
      <c r="J681" s="15">
        <v>25</v>
      </c>
      <c r="K681" s="15" t="str">
        <f t="shared" si="10"/>
        <v>lowersootcreek</v>
      </c>
      <c r="L681" s="15" t="s">
        <v>11274</v>
      </c>
      <c r="M681" s="15">
        <v>2</v>
      </c>
      <c r="N681" s="15" t="s">
        <v>11223</v>
      </c>
      <c r="O681" s="15"/>
      <c r="P681" s="15"/>
      <c r="Q681" s="15"/>
      <c r="R681" s="15"/>
      <c r="S681" s="15"/>
      <c r="T681" s="15">
        <v>0</v>
      </c>
      <c r="U681" s="15"/>
      <c r="V681" s="15"/>
      <c r="W681" s="15"/>
      <c r="X681" s="15"/>
      <c r="Y681" s="15"/>
      <c r="Z681" s="15"/>
    </row>
    <row r="682" spans="1:26" x14ac:dyDescent="0.25">
      <c r="A682" s="15" t="s">
        <v>14812</v>
      </c>
      <c r="B682" s="15">
        <v>681</v>
      </c>
      <c r="C682" s="15" t="s">
        <v>11277</v>
      </c>
      <c r="D682" s="15" t="s">
        <v>11277</v>
      </c>
      <c r="E682" s="15" t="s">
        <v>1067</v>
      </c>
      <c r="F682" s="15" t="s">
        <v>14807</v>
      </c>
      <c r="G682" s="15" t="s">
        <v>11493</v>
      </c>
      <c r="H682" s="15">
        <v>16</v>
      </c>
      <c r="I682" s="15">
        <v>23</v>
      </c>
      <c r="J682" s="15">
        <v>26</v>
      </c>
      <c r="K682" s="15" t="str">
        <f t="shared" si="10"/>
        <v>lowersootcreek</v>
      </c>
      <c r="L682" s="15" t="s">
        <v>11416</v>
      </c>
      <c r="M682" s="15">
        <v>1</v>
      </c>
      <c r="N682" s="15" t="s">
        <v>11222</v>
      </c>
      <c r="O682" s="15"/>
      <c r="P682" s="15"/>
      <c r="Q682" s="15"/>
      <c r="R682" s="15"/>
      <c r="S682" s="15"/>
      <c r="T682" s="15">
        <v>0</v>
      </c>
      <c r="U682" s="15"/>
      <c r="V682" s="15"/>
      <c r="W682" s="15"/>
      <c r="X682" s="15"/>
      <c r="Y682" s="15"/>
      <c r="Z682" s="15"/>
    </row>
    <row r="683" spans="1:26" x14ac:dyDescent="0.25">
      <c r="A683" s="15" t="s">
        <v>14813</v>
      </c>
      <c r="B683" s="15">
        <v>682</v>
      </c>
      <c r="C683" s="15" t="s">
        <v>11277</v>
      </c>
      <c r="D683" s="15" t="s">
        <v>11277</v>
      </c>
      <c r="E683" s="15" t="s">
        <v>1067</v>
      </c>
      <c r="F683" s="15" t="s">
        <v>14807</v>
      </c>
      <c r="G683" s="15" t="s">
        <v>11494</v>
      </c>
      <c r="H683" s="15">
        <v>16</v>
      </c>
      <c r="I683" s="15">
        <v>23</v>
      </c>
      <c r="J683" s="15">
        <v>50</v>
      </c>
      <c r="K683" s="15" t="str">
        <f t="shared" si="10"/>
        <v>lowersootcreek</v>
      </c>
      <c r="L683" s="15" t="s">
        <v>11257</v>
      </c>
      <c r="M683" s="15">
        <v>3</v>
      </c>
      <c r="N683" s="15" t="s">
        <v>11222</v>
      </c>
      <c r="O683" s="15" t="s">
        <v>14061</v>
      </c>
      <c r="P683" s="15"/>
      <c r="Q683" s="15"/>
      <c r="R683" s="15"/>
      <c r="S683" s="15"/>
      <c r="T683" s="15">
        <v>2</v>
      </c>
      <c r="U683" s="15"/>
      <c r="V683" s="15"/>
      <c r="W683" s="15"/>
      <c r="X683" s="15"/>
      <c r="Y683" s="15"/>
      <c r="Z683" s="15"/>
    </row>
    <row r="684" spans="1:26" x14ac:dyDescent="0.25">
      <c r="A684" s="15" t="s">
        <v>14814</v>
      </c>
      <c r="B684" s="15">
        <v>683</v>
      </c>
      <c r="C684" s="15" t="s">
        <v>11277</v>
      </c>
      <c r="D684" s="15" t="s">
        <v>11277</v>
      </c>
      <c r="E684" s="15" t="s">
        <v>1067</v>
      </c>
      <c r="F684" s="15" t="s">
        <v>1416</v>
      </c>
      <c r="G684" s="15" t="s">
        <v>11321</v>
      </c>
      <c r="H684" s="15">
        <v>29</v>
      </c>
      <c r="I684" s="15">
        <v>21</v>
      </c>
      <c r="J684" s="15">
        <v>5</v>
      </c>
      <c r="K684" s="15" t="str">
        <f t="shared" si="10"/>
        <v>theclutch</v>
      </c>
      <c r="L684" s="15" t="s">
        <v>11253</v>
      </c>
      <c r="M684" s="15">
        <v>1</v>
      </c>
      <c r="N684" s="15" t="s">
        <v>11222</v>
      </c>
      <c r="O684" s="15"/>
      <c r="P684" s="15"/>
      <c r="Q684" s="15"/>
      <c r="R684" s="15"/>
      <c r="S684" s="15"/>
      <c r="T684" s="15">
        <v>0</v>
      </c>
      <c r="U684" s="15"/>
      <c r="V684" s="15"/>
      <c r="W684" s="15"/>
      <c r="X684" s="15"/>
      <c r="Y684" s="15"/>
      <c r="Z684" s="15"/>
    </row>
    <row r="685" spans="1:26" x14ac:dyDescent="0.25">
      <c r="A685" s="15" t="s">
        <v>14815</v>
      </c>
      <c r="B685" s="15">
        <v>684</v>
      </c>
      <c r="C685" s="15" t="s">
        <v>11277</v>
      </c>
      <c r="D685" s="15" t="s">
        <v>11277</v>
      </c>
      <c r="E685" s="15" t="s">
        <v>1067</v>
      </c>
      <c r="F685" s="15" t="s">
        <v>1416</v>
      </c>
      <c r="G685" s="15" t="s">
        <v>11264</v>
      </c>
      <c r="H685" s="15">
        <v>29</v>
      </c>
      <c r="I685" s="15">
        <v>21</v>
      </c>
      <c r="J685" s="15">
        <v>6</v>
      </c>
      <c r="K685" s="15" t="str">
        <f t="shared" si="10"/>
        <v>theclutch</v>
      </c>
      <c r="L685" s="15" t="s">
        <v>11257</v>
      </c>
      <c r="M685" s="15">
        <v>1</v>
      </c>
      <c r="N685" s="15" t="s">
        <v>11222</v>
      </c>
      <c r="O685" s="15"/>
      <c r="P685" s="15"/>
      <c r="Q685" s="15"/>
      <c r="R685" s="15"/>
      <c r="S685" s="15"/>
      <c r="T685" s="15">
        <v>0</v>
      </c>
      <c r="U685" s="15"/>
      <c r="V685" s="15"/>
      <c r="W685" s="15"/>
      <c r="X685" s="15"/>
      <c r="Y685" s="15"/>
      <c r="Z685" s="15"/>
    </row>
    <row r="686" spans="1:26" x14ac:dyDescent="0.25">
      <c r="A686" s="15" t="s">
        <v>14816</v>
      </c>
      <c r="B686" s="15">
        <v>685</v>
      </c>
      <c r="C686" s="15" t="s">
        <v>11277</v>
      </c>
      <c r="D686" s="15" t="s">
        <v>11277</v>
      </c>
      <c r="E686" s="15" t="s">
        <v>1067</v>
      </c>
      <c r="F686" s="15" t="s">
        <v>1416</v>
      </c>
      <c r="G686" s="15" t="s">
        <v>11411</v>
      </c>
      <c r="H686" s="15">
        <v>29</v>
      </c>
      <c r="I686" s="15">
        <v>21</v>
      </c>
      <c r="J686" s="15">
        <v>9</v>
      </c>
      <c r="K686" s="15" t="str">
        <f t="shared" si="10"/>
        <v>theclutch</v>
      </c>
      <c r="L686" s="15" t="s">
        <v>11257</v>
      </c>
      <c r="M686" s="15">
        <v>1</v>
      </c>
      <c r="N686" s="15" t="s">
        <v>11222</v>
      </c>
      <c r="O686" s="15"/>
      <c r="P686" s="15"/>
      <c r="Q686" s="15"/>
      <c r="R686" s="15"/>
      <c r="S686" s="15"/>
      <c r="T686" s="15">
        <v>0</v>
      </c>
      <c r="U686" s="15"/>
      <c r="V686" s="15"/>
      <c r="W686" s="15"/>
      <c r="X686" s="15"/>
      <c r="Y686" s="15"/>
      <c r="Z686" s="15"/>
    </row>
    <row r="687" spans="1:26" x14ac:dyDescent="0.25">
      <c r="A687" s="15" t="s">
        <v>14817</v>
      </c>
      <c r="B687" s="15">
        <v>686</v>
      </c>
      <c r="C687" s="15" t="s">
        <v>11277</v>
      </c>
      <c r="D687" s="15" t="s">
        <v>11277</v>
      </c>
      <c r="E687" s="15" t="s">
        <v>1067</v>
      </c>
      <c r="F687" s="15" t="s">
        <v>1416</v>
      </c>
      <c r="G687" s="15" t="s">
        <v>11265</v>
      </c>
      <c r="H687" s="15">
        <v>29</v>
      </c>
      <c r="I687" s="15">
        <v>21</v>
      </c>
      <c r="J687" s="15">
        <v>10</v>
      </c>
      <c r="K687" s="15" t="str">
        <f t="shared" si="10"/>
        <v>theclutch</v>
      </c>
      <c r="L687" s="15" t="s">
        <v>11440</v>
      </c>
      <c r="M687" s="15">
        <v>2</v>
      </c>
      <c r="N687" s="15" t="s">
        <v>11223</v>
      </c>
      <c r="O687" s="15"/>
      <c r="P687" s="15"/>
      <c r="Q687" s="15"/>
      <c r="R687" s="15"/>
      <c r="S687" s="15"/>
      <c r="T687" s="15">
        <v>0</v>
      </c>
      <c r="U687" s="15"/>
      <c r="V687" s="15"/>
      <c r="W687" s="15"/>
      <c r="X687" s="15"/>
      <c r="Y687" s="15"/>
      <c r="Z687" s="15"/>
    </row>
    <row r="688" spans="1:26" x14ac:dyDescent="0.25">
      <c r="A688" s="15" t="s">
        <v>14818</v>
      </c>
      <c r="B688" s="15">
        <v>687</v>
      </c>
      <c r="C688" s="15" t="s">
        <v>11277</v>
      </c>
      <c r="D688" s="15" t="s">
        <v>11277</v>
      </c>
      <c r="E688" s="15" t="s">
        <v>1067</v>
      </c>
      <c r="F688" s="15" t="s">
        <v>1416</v>
      </c>
      <c r="G688" s="15" t="s">
        <v>11433</v>
      </c>
      <c r="H688" s="15">
        <v>29</v>
      </c>
      <c r="I688" s="15">
        <v>21</v>
      </c>
      <c r="J688" s="15">
        <v>25</v>
      </c>
      <c r="K688" s="15" t="str">
        <f t="shared" si="10"/>
        <v>theclutch</v>
      </c>
      <c r="L688" s="15" t="s">
        <v>11274</v>
      </c>
      <c r="M688" s="15">
        <v>2</v>
      </c>
      <c r="N688" s="15" t="s">
        <v>11223</v>
      </c>
      <c r="O688" s="15"/>
      <c r="P688" s="15"/>
      <c r="Q688" s="15"/>
      <c r="R688" s="15"/>
      <c r="S688" s="15"/>
      <c r="T688" s="15">
        <v>0</v>
      </c>
      <c r="U688" s="15"/>
      <c r="V688" s="15"/>
      <c r="W688" s="15"/>
      <c r="X688" s="15"/>
      <c r="Y688" s="15"/>
      <c r="Z688" s="15"/>
    </row>
    <row r="689" spans="1:26" x14ac:dyDescent="0.25">
      <c r="A689" s="15" t="s">
        <v>14819</v>
      </c>
      <c r="B689" s="15">
        <v>688</v>
      </c>
      <c r="C689" s="15" t="s">
        <v>11277</v>
      </c>
      <c r="D689" s="15" t="s">
        <v>11277</v>
      </c>
      <c r="E689" s="15" t="s">
        <v>1067</v>
      </c>
      <c r="F689" s="15" t="s">
        <v>1416</v>
      </c>
      <c r="G689" s="15" t="s">
        <v>11495</v>
      </c>
      <c r="H689" s="15">
        <v>29</v>
      </c>
      <c r="I689" s="15">
        <v>21</v>
      </c>
      <c r="J689" s="15">
        <v>50</v>
      </c>
      <c r="K689" s="15" t="str">
        <f t="shared" si="10"/>
        <v>theclutch</v>
      </c>
      <c r="L689" s="15" t="s">
        <v>11266</v>
      </c>
      <c r="M689" s="15">
        <v>3</v>
      </c>
      <c r="N689" s="15" t="s">
        <v>11222</v>
      </c>
      <c r="O689" s="15" t="s">
        <v>14044</v>
      </c>
      <c r="P689" s="15"/>
      <c r="Q689" s="15"/>
      <c r="R689" s="15"/>
      <c r="S689" s="15"/>
      <c r="T689" s="15">
        <v>2</v>
      </c>
      <c r="U689" s="15"/>
      <c r="V689" s="15"/>
      <c r="W689" s="15"/>
      <c r="X689" s="15"/>
      <c r="Y689" s="15"/>
      <c r="Z689" s="15"/>
    </row>
    <row r="690" spans="1:26" x14ac:dyDescent="0.25">
      <c r="A690" s="15" t="s">
        <v>14820</v>
      </c>
      <c r="B690" s="15">
        <v>689</v>
      </c>
      <c r="C690" s="15" t="s">
        <v>11277</v>
      </c>
      <c r="D690" s="15" t="s">
        <v>11277</v>
      </c>
      <c r="E690" s="15" t="s">
        <v>1067</v>
      </c>
      <c r="F690" s="15" t="s">
        <v>1417</v>
      </c>
      <c r="G690" s="15" t="s">
        <v>11321</v>
      </c>
      <c r="H690" s="15">
        <v>27</v>
      </c>
      <c r="I690" s="15">
        <v>19</v>
      </c>
      <c r="J690" s="15">
        <v>5</v>
      </c>
      <c r="K690" s="15" t="str">
        <f t="shared" si="10"/>
        <v>theunholyheir</v>
      </c>
      <c r="L690" s="15" t="s">
        <v>11253</v>
      </c>
      <c r="M690" s="15">
        <v>1</v>
      </c>
      <c r="N690" s="15" t="s">
        <v>11222</v>
      </c>
      <c r="O690" s="15"/>
      <c r="P690" s="15"/>
      <c r="Q690" s="15"/>
      <c r="R690" s="15"/>
      <c r="S690" s="15"/>
      <c r="T690" s="15">
        <v>0</v>
      </c>
      <c r="U690" s="15"/>
      <c r="V690" s="15"/>
      <c r="W690" s="15"/>
      <c r="X690" s="15"/>
      <c r="Y690" s="15"/>
      <c r="Z690" s="15"/>
    </row>
    <row r="691" spans="1:26" x14ac:dyDescent="0.25">
      <c r="A691" s="15" t="s">
        <v>14821</v>
      </c>
      <c r="B691" s="15">
        <v>690</v>
      </c>
      <c r="C691" s="15" t="s">
        <v>11277</v>
      </c>
      <c r="D691" s="15" t="s">
        <v>11277</v>
      </c>
      <c r="E691" s="15" t="s">
        <v>1067</v>
      </c>
      <c r="F691" s="15" t="s">
        <v>1417</v>
      </c>
      <c r="G691" s="15" t="s">
        <v>11265</v>
      </c>
      <c r="H691" s="15">
        <v>27</v>
      </c>
      <c r="I691" s="15">
        <v>19</v>
      </c>
      <c r="J691" s="15">
        <v>10</v>
      </c>
      <c r="K691" s="15" t="str">
        <f t="shared" si="10"/>
        <v>theunholyheir</v>
      </c>
      <c r="L691" s="15" t="s">
        <v>11440</v>
      </c>
      <c r="M691" s="15">
        <v>2</v>
      </c>
      <c r="N691" s="15" t="s">
        <v>11223</v>
      </c>
      <c r="O691" s="15"/>
      <c r="P691" s="15"/>
      <c r="Q691" s="15"/>
      <c r="R691" s="15"/>
      <c r="S691" s="15"/>
      <c r="T691" s="15">
        <v>0</v>
      </c>
      <c r="U691" s="15"/>
      <c r="V691" s="15"/>
      <c r="W691" s="15"/>
      <c r="X691" s="15"/>
      <c r="Y691" s="15"/>
      <c r="Z691" s="15"/>
    </row>
    <row r="692" spans="1:26" x14ac:dyDescent="0.25">
      <c r="A692" s="15" t="s">
        <v>14822</v>
      </c>
      <c r="B692" s="15">
        <v>691</v>
      </c>
      <c r="C692" s="15" t="s">
        <v>11277</v>
      </c>
      <c r="D692" s="15" t="s">
        <v>11277</v>
      </c>
      <c r="E692" s="15" t="s">
        <v>1067</v>
      </c>
      <c r="F692" s="15" t="s">
        <v>1417</v>
      </c>
      <c r="G692" s="15" t="s">
        <v>11423</v>
      </c>
      <c r="H692" s="15">
        <v>27</v>
      </c>
      <c r="I692" s="15">
        <v>19</v>
      </c>
      <c r="J692" s="15">
        <v>13</v>
      </c>
      <c r="K692" s="15" t="str">
        <f t="shared" si="10"/>
        <v>theunholyheir</v>
      </c>
      <c r="L692" s="15" t="s">
        <v>11254</v>
      </c>
      <c r="M692" s="15">
        <v>1</v>
      </c>
      <c r="N692" s="15" t="s">
        <v>11222</v>
      </c>
      <c r="O692" s="15"/>
      <c r="P692" s="15"/>
      <c r="Q692" s="15"/>
      <c r="R692" s="15"/>
      <c r="S692" s="15"/>
      <c r="T692" s="15">
        <v>0</v>
      </c>
      <c r="U692" s="15"/>
      <c r="V692" s="15"/>
      <c r="W692" s="15"/>
      <c r="X692" s="15"/>
      <c r="Y692" s="15"/>
      <c r="Z692" s="15"/>
    </row>
    <row r="693" spans="1:26" x14ac:dyDescent="0.25">
      <c r="A693" s="15" t="s">
        <v>14823</v>
      </c>
      <c r="B693" s="15">
        <v>692</v>
      </c>
      <c r="C693" s="15" t="s">
        <v>11277</v>
      </c>
      <c r="D693" s="15" t="s">
        <v>11277</v>
      </c>
      <c r="E693" s="15" t="s">
        <v>1067</v>
      </c>
      <c r="F693" s="15" t="s">
        <v>1417</v>
      </c>
      <c r="G693" s="15" t="s">
        <v>11369</v>
      </c>
      <c r="H693" s="15">
        <v>27</v>
      </c>
      <c r="I693" s="15">
        <v>19</v>
      </c>
      <c r="J693" s="15">
        <v>21</v>
      </c>
      <c r="K693" s="15" t="str">
        <f t="shared" si="10"/>
        <v>theunholyheir</v>
      </c>
      <c r="L693" s="15" t="s">
        <v>11355</v>
      </c>
      <c r="M693" s="15">
        <v>1</v>
      </c>
      <c r="N693" s="15" t="s">
        <v>11222</v>
      </c>
      <c r="O693" s="15"/>
      <c r="P693" s="15"/>
      <c r="Q693" s="15"/>
      <c r="R693" s="15"/>
      <c r="S693" s="15"/>
      <c r="T693" s="15">
        <v>0</v>
      </c>
      <c r="U693" s="15"/>
      <c r="V693" s="15"/>
      <c r="W693" s="15"/>
      <c r="X693" s="15"/>
      <c r="Y693" s="15"/>
      <c r="Z693" s="15"/>
    </row>
    <row r="694" spans="1:26" x14ac:dyDescent="0.25">
      <c r="A694" s="15" t="s">
        <v>14824</v>
      </c>
      <c r="B694" s="15">
        <v>693</v>
      </c>
      <c r="C694" s="15" t="s">
        <v>11277</v>
      </c>
      <c r="D694" s="15" t="s">
        <v>11277</v>
      </c>
      <c r="E694" s="15" t="s">
        <v>1067</v>
      </c>
      <c r="F694" s="15" t="s">
        <v>1417</v>
      </c>
      <c r="G694" s="15" t="s">
        <v>11305</v>
      </c>
      <c r="H694" s="15">
        <v>27</v>
      </c>
      <c r="I694" s="15">
        <v>19</v>
      </c>
      <c r="J694" s="15">
        <v>17</v>
      </c>
      <c r="K694" s="15" t="str">
        <f t="shared" si="10"/>
        <v>theunholyheir</v>
      </c>
      <c r="L694" s="15" t="s">
        <v>11254</v>
      </c>
      <c r="M694" s="15">
        <v>1</v>
      </c>
      <c r="N694" s="15" t="s">
        <v>11222</v>
      </c>
      <c r="O694" s="15"/>
      <c r="P694" s="15"/>
      <c r="Q694" s="15"/>
      <c r="R694" s="15"/>
      <c r="S694" s="15"/>
      <c r="T694" s="15">
        <v>0</v>
      </c>
      <c r="U694" s="15"/>
      <c r="V694" s="15"/>
      <c r="W694" s="15"/>
      <c r="X694" s="15"/>
      <c r="Y694" s="15"/>
      <c r="Z694" s="15"/>
    </row>
    <row r="695" spans="1:26" x14ac:dyDescent="0.25">
      <c r="A695" s="15" t="s">
        <v>14825</v>
      </c>
      <c r="B695" s="15">
        <v>694</v>
      </c>
      <c r="C695" s="15" t="s">
        <v>11277</v>
      </c>
      <c r="D695" s="15" t="s">
        <v>11277</v>
      </c>
      <c r="E695" s="15" t="s">
        <v>1067</v>
      </c>
      <c r="F695" s="15" t="s">
        <v>1417</v>
      </c>
      <c r="G695" s="15" t="s">
        <v>11433</v>
      </c>
      <c r="H695" s="15">
        <v>27</v>
      </c>
      <c r="I695" s="15">
        <v>19</v>
      </c>
      <c r="J695" s="15">
        <v>25</v>
      </c>
      <c r="K695" s="15" t="str">
        <f t="shared" si="10"/>
        <v>theunholyheir</v>
      </c>
      <c r="L695" s="15" t="s">
        <v>11274</v>
      </c>
      <c r="M695" s="15">
        <v>2</v>
      </c>
      <c r="N695" s="15" t="s">
        <v>11223</v>
      </c>
      <c r="O695" s="15"/>
      <c r="P695" s="15"/>
      <c r="Q695" s="15"/>
      <c r="R695" s="15"/>
      <c r="S695" s="15"/>
      <c r="T695" s="15">
        <v>0</v>
      </c>
      <c r="U695" s="15"/>
      <c r="V695" s="15"/>
      <c r="W695" s="15"/>
      <c r="X695" s="15"/>
      <c r="Y695" s="15"/>
      <c r="Z695" s="15"/>
    </row>
    <row r="696" spans="1:26" x14ac:dyDescent="0.25">
      <c r="A696" s="15" t="s">
        <v>14826</v>
      </c>
      <c r="B696" s="15">
        <v>695</v>
      </c>
      <c r="C696" s="15" t="s">
        <v>11277</v>
      </c>
      <c r="D696" s="15" t="s">
        <v>11277</v>
      </c>
      <c r="E696" s="15" t="s">
        <v>1067</v>
      </c>
      <c r="F696" s="15" t="s">
        <v>1417</v>
      </c>
      <c r="G696" s="15" t="s">
        <v>11493</v>
      </c>
      <c r="H696" s="15">
        <v>27</v>
      </c>
      <c r="I696" s="15">
        <v>19</v>
      </c>
      <c r="J696" s="15">
        <v>26</v>
      </c>
      <c r="K696" s="15" t="str">
        <f t="shared" si="10"/>
        <v>theunholyheir</v>
      </c>
      <c r="L696" s="15" t="s">
        <v>11416</v>
      </c>
      <c r="M696" s="15">
        <v>1</v>
      </c>
      <c r="N696" s="15" t="s">
        <v>11222</v>
      </c>
      <c r="O696" s="15"/>
      <c r="P696" s="15"/>
      <c r="Q696" s="15"/>
      <c r="R696" s="15"/>
      <c r="S696" s="15"/>
      <c r="T696" s="15">
        <v>0</v>
      </c>
      <c r="U696" s="15"/>
      <c r="V696" s="15"/>
      <c r="W696" s="15"/>
      <c r="X696" s="15"/>
      <c r="Y696" s="15"/>
      <c r="Z696" s="15"/>
    </row>
    <row r="697" spans="1:26" x14ac:dyDescent="0.25">
      <c r="A697" s="15" t="s">
        <v>14827</v>
      </c>
      <c r="B697" s="15">
        <v>696</v>
      </c>
      <c r="C697" s="15" t="s">
        <v>11277</v>
      </c>
      <c r="D697" s="15" t="s">
        <v>11277</v>
      </c>
      <c r="E697" s="15" t="s">
        <v>1067</v>
      </c>
      <c r="F697" s="15" t="s">
        <v>1417</v>
      </c>
      <c r="G697" s="15" t="s">
        <v>11496</v>
      </c>
      <c r="H697" s="15">
        <v>27</v>
      </c>
      <c r="I697" s="15">
        <v>19</v>
      </c>
      <c r="J697" s="15">
        <v>50</v>
      </c>
      <c r="K697" s="15" t="str">
        <f t="shared" si="10"/>
        <v>theunholyheir</v>
      </c>
      <c r="L697" s="15" t="s">
        <v>11274</v>
      </c>
      <c r="M697" s="15">
        <v>3</v>
      </c>
      <c r="N697" s="15" t="s">
        <v>11223</v>
      </c>
      <c r="O697" s="15"/>
      <c r="P697" s="15"/>
      <c r="Q697" s="15"/>
      <c r="R697" s="15"/>
      <c r="S697" s="15"/>
      <c r="T697" s="15">
        <v>3</v>
      </c>
      <c r="U697" s="15" t="s">
        <v>5914</v>
      </c>
      <c r="V697" s="15" t="s">
        <v>14150</v>
      </c>
      <c r="W697" s="15" t="s">
        <v>6034</v>
      </c>
      <c r="X697" s="15"/>
      <c r="Y697" s="15"/>
      <c r="Z697" s="15"/>
    </row>
    <row r="698" spans="1:26" x14ac:dyDescent="0.25">
      <c r="A698" s="15" t="s">
        <v>14828</v>
      </c>
      <c r="B698" s="15">
        <v>697</v>
      </c>
      <c r="C698" s="15" t="s">
        <v>11277</v>
      </c>
      <c r="D698" s="15" t="s">
        <v>11277</v>
      </c>
      <c r="E698" s="15" t="s">
        <v>1067</v>
      </c>
      <c r="F698" s="15" t="s">
        <v>14829</v>
      </c>
      <c r="G698" s="15" t="s">
        <v>11264</v>
      </c>
      <c r="H698" s="15">
        <v>13</v>
      </c>
      <c r="I698" s="15">
        <v>20</v>
      </c>
      <c r="J698" s="15">
        <v>6</v>
      </c>
      <c r="K698" s="15" t="str">
        <f t="shared" si="10"/>
        <v>northdrybone</v>
      </c>
      <c r="L698" s="15" t="s">
        <v>11257</v>
      </c>
      <c r="M698" s="15">
        <v>1</v>
      </c>
      <c r="N698" s="15" t="s">
        <v>11222</v>
      </c>
      <c r="O698" s="15"/>
      <c r="P698" s="15"/>
      <c r="Q698" s="15"/>
      <c r="R698" s="15"/>
      <c r="S698" s="15"/>
      <c r="T698" s="15">
        <v>0</v>
      </c>
      <c r="U698" s="15"/>
      <c r="V698" s="15"/>
      <c r="W698" s="15"/>
      <c r="X698" s="15"/>
      <c r="Y698" s="15"/>
      <c r="Z698" s="15"/>
    </row>
    <row r="699" spans="1:26" x14ac:dyDescent="0.25">
      <c r="A699" s="15" t="s">
        <v>14830</v>
      </c>
      <c r="B699" s="15">
        <v>698</v>
      </c>
      <c r="C699" s="15" t="s">
        <v>11277</v>
      </c>
      <c r="D699" s="15" t="s">
        <v>11277</v>
      </c>
      <c r="E699" s="15" t="s">
        <v>1067</v>
      </c>
      <c r="F699" s="15" t="s">
        <v>14829</v>
      </c>
      <c r="G699" s="15" t="s">
        <v>11423</v>
      </c>
      <c r="H699" s="15">
        <v>13</v>
      </c>
      <c r="I699" s="15">
        <v>20</v>
      </c>
      <c r="J699" s="15">
        <v>13</v>
      </c>
      <c r="K699" s="15" t="str">
        <f t="shared" si="10"/>
        <v>northdrybone</v>
      </c>
      <c r="L699" s="15" t="s">
        <v>11254</v>
      </c>
      <c r="M699" s="15">
        <v>1</v>
      </c>
      <c r="N699" s="15" t="s">
        <v>11222</v>
      </c>
      <c r="O699" s="15"/>
      <c r="P699" s="15"/>
      <c r="Q699" s="15"/>
      <c r="R699" s="15"/>
      <c r="S699" s="15"/>
      <c r="T699" s="15">
        <v>0</v>
      </c>
      <c r="U699" s="15"/>
      <c r="V699" s="15"/>
      <c r="W699" s="15"/>
      <c r="X699" s="15"/>
      <c r="Y699" s="15"/>
      <c r="Z699" s="15"/>
    </row>
    <row r="700" spans="1:26" x14ac:dyDescent="0.25">
      <c r="A700" s="15" t="s">
        <v>14831</v>
      </c>
      <c r="B700" s="15">
        <v>699</v>
      </c>
      <c r="C700" s="15" t="s">
        <v>11277</v>
      </c>
      <c r="D700" s="15" t="s">
        <v>11277</v>
      </c>
      <c r="E700" s="15" t="s">
        <v>1067</v>
      </c>
      <c r="F700" s="15" t="s">
        <v>14829</v>
      </c>
      <c r="G700" s="15" t="s">
        <v>11304</v>
      </c>
      <c r="H700" s="15">
        <v>13</v>
      </c>
      <c r="I700" s="15">
        <v>20</v>
      </c>
      <c r="J700" s="15">
        <v>17</v>
      </c>
      <c r="K700" s="15" t="str">
        <f t="shared" si="10"/>
        <v>northdrybone</v>
      </c>
      <c r="L700" s="15" t="s">
        <v>11254</v>
      </c>
      <c r="M700" s="15">
        <v>2</v>
      </c>
      <c r="N700" s="15" t="s">
        <v>11223</v>
      </c>
      <c r="O700" s="15"/>
      <c r="P700" s="15"/>
      <c r="Q700" s="15"/>
      <c r="R700" s="15"/>
      <c r="S700" s="15"/>
      <c r="T700" s="15">
        <v>0</v>
      </c>
      <c r="U700" s="15"/>
      <c r="V700" s="15"/>
      <c r="W700" s="15"/>
      <c r="X700" s="15"/>
      <c r="Y700" s="15"/>
      <c r="Z700" s="15"/>
    </row>
    <row r="701" spans="1:26" x14ac:dyDescent="0.25">
      <c r="A701" s="15" t="s">
        <v>14832</v>
      </c>
      <c r="B701" s="15">
        <v>700</v>
      </c>
      <c r="C701" s="15" t="s">
        <v>11277</v>
      </c>
      <c r="D701" s="15" t="s">
        <v>11277</v>
      </c>
      <c r="E701" s="15" t="s">
        <v>1067</v>
      </c>
      <c r="F701" s="15" t="s">
        <v>14829</v>
      </c>
      <c r="G701" s="15" t="s">
        <v>11305</v>
      </c>
      <c r="H701" s="15">
        <v>13</v>
      </c>
      <c r="I701" s="15">
        <v>20</v>
      </c>
      <c r="J701" s="15">
        <v>17</v>
      </c>
      <c r="K701" s="15" t="str">
        <f t="shared" si="10"/>
        <v>northdrybone</v>
      </c>
      <c r="L701" s="15" t="s">
        <v>11254</v>
      </c>
      <c r="M701" s="15">
        <v>1</v>
      </c>
      <c r="N701" s="15" t="s">
        <v>11222</v>
      </c>
      <c r="O701" s="15"/>
      <c r="P701" s="15"/>
      <c r="Q701" s="15"/>
      <c r="R701" s="15"/>
      <c r="S701" s="15"/>
      <c r="T701" s="15">
        <v>0</v>
      </c>
      <c r="U701" s="15"/>
      <c r="V701" s="15"/>
      <c r="W701" s="15"/>
      <c r="X701" s="15"/>
      <c r="Y701" s="15"/>
      <c r="Z701" s="15"/>
    </row>
    <row r="702" spans="1:26" x14ac:dyDescent="0.25">
      <c r="A702" s="15" t="s">
        <v>14833</v>
      </c>
      <c r="B702" s="15">
        <v>701</v>
      </c>
      <c r="C702" s="15" t="s">
        <v>11277</v>
      </c>
      <c r="D702" s="15" t="s">
        <v>11277</v>
      </c>
      <c r="E702" s="15" t="s">
        <v>1067</v>
      </c>
      <c r="F702" s="15" t="s">
        <v>14829</v>
      </c>
      <c r="G702" s="15" t="s">
        <v>11369</v>
      </c>
      <c r="H702" s="15">
        <v>13</v>
      </c>
      <c r="I702" s="15">
        <v>20</v>
      </c>
      <c r="J702" s="15">
        <v>21</v>
      </c>
      <c r="K702" s="15" t="str">
        <f t="shared" si="10"/>
        <v>northdrybone</v>
      </c>
      <c r="L702" s="15" t="s">
        <v>11355</v>
      </c>
      <c r="M702" s="15">
        <v>1</v>
      </c>
      <c r="N702" s="15" t="s">
        <v>11222</v>
      </c>
      <c r="O702" s="15"/>
      <c r="P702" s="15"/>
      <c r="Q702" s="15"/>
      <c r="R702" s="15"/>
      <c r="S702" s="15"/>
      <c r="T702" s="15">
        <v>0</v>
      </c>
      <c r="U702" s="15"/>
      <c r="V702" s="15"/>
      <c r="W702" s="15"/>
      <c r="X702" s="15"/>
      <c r="Y702" s="15"/>
      <c r="Z702" s="15"/>
    </row>
    <row r="703" spans="1:26" x14ac:dyDescent="0.25">
      <c r="A703" s="15" t="s">
        <v>14834</v>
      </c>
      <c r="B703" s="15">
        <v>702</v>
      </c>
      <c r="C703" s="15" t="s">
        <v>11277</v>
      </c>
      <c r="D703" s="15" t="s">
        <v>11277</v>
      </c>
      <c r="E703" s="15" t="s">
        <v>1067</v>
      </c>
      <c r="F703" s="15" t="s">
        <v>14829</v>
      </c>
      <c r="G703" s="15" t="s">
        <v>11497</v>
      </c>
      <c r="H703" s="15">
        <v>13</v>
      </c>
      <c r="I703" s="15">
        <v>20</v>
      </c>
      <c r="J703" s="15">
        <v>33</v>
      </c>
      <c r="K703" s="15" t="str">
        <f t="shared" si="10"/>
        <v>northdrybone</v>
      </c>
      <c r="L703" s="15" t="s">
        <v>11323</v>
      </c>
      <c r="M703" s="15">
        <v>1</v>
      </c>
      <c r="N703" s="15" t="s">
        <v>11222</v>
      </c>
      <c r="O703" s="15"/>
      <c r="P703" s="15"/>
      <c r="Q703" s="15"/>
      <c r="R703" s="15"/>
      <c r="S703" s="15"/>
      <c r="T703" s="15">
        <v>0</v>
      </c>
      <c r="U703" s="15"/>
      <c r="V703" s="15"/>
      <c r="W703" s="15"/>
      <c r="X703" s="15"/>
      <c r="Y703" s="15"/>
      <c r="Z703" s="15"/>
    </row>
    <row r="704" spans="1:26" x14ac:dyDescent="0.25">
      <c r="A704" s="15" t="s">
        <v>14835</v>
      </c>
      <c r="B704" s="15">
        <v>703</v>
      </c>
      <c r="C704" s="15" t="s">
        <v>11277</v>
      </c>
      <c r="D704" s="15" t="s">
        <v>11277</v>
      </c>
      <c r="E704" s="15" t="s">
        <v>1067</v>
      </c>
      <c r="F704" s="15" t="s">
        <v>14829</v>
      </c>
      <c r="G704" s="15" t="s">
        <v>11498</v>
      </c>
      <c r="H704" s="15">
        <v>13</v>
      </c>
      <c r="I704" s="15">
        <v>20</v>
      </c>
      <c r="J704" s="15">
        <v>50</v>
      </c>
      <c r="K704" s="15" t="str">
        <f t="shared" si="10"/>
        <v>northdrybone</v>
      </c>
      <c r="L704" s="15" t="s">
        <v>11323</v>
      </c>
      <c r="M704" s="15">
        <v>3</v>
      </c>
      <c r="N704" s="15" t="s">
        <v>11223</v>
      </c>
      <c r="O704" s="15" t="s">
        <v>14062</v>
      </c>
      <c r="P704" s="15"/>
      <c r="Q704" s="15"/>
      <c r="R704" s="15"/>
      <c r="S704" s="15"/>
      <c r="T704" s="15">
        <v>3</v>
      </c>
      <c r="U704" s="15" t="s">
        <v>5901</v>
      </c>
      <c r="V704" s="15" t="s">
        <v>5900</v>
      </c>
      <c r="W704" s="15"/>
      <c r="X704" s="15"/>
      <c r="Y704" s="15"/>
      <c r="Z704" s="15"/>
    </row>
    <row r="705" spans="1:26" x14ac:dyDescent="0.25">
      <c r="A705" s="15" t="s">
        <v>14836</v>
      </c>
      <c r="B705" s="15">
        <v>704</v>
      </c>
      <c r="C705" s="15" t="s">
        <v>11277</v>
      </c>
      <c r="D705" s="15" t="s">
        <v>11277</v>
      </c>
      <c r="E705" s="15" t="s">
        <v>1067</v>
      </c>
      <c r="F705" s="15" t="s">
        <v>14837</v>
      </c>
      <c r="G705" s="15" t="s">
        <v>11264</v>
      </c>
      <c r="H705" s="15">
        <v>17</v>
      </c>
      <c r="I705" s="15">
        <v>24</v>
      </c>
      <c r="J705" s="15">
        <v>6</v>
      </c>
      <c r="K705" s="15" t="str">
        <f t="shared" si="10"/>
        <v>southdrybone</v>
      </c>
      <c r="L705" s="15" t="s">
        <v>11257</v>
      </c>
      <c r="M705" s="15">
        <v>1</v>
      </c>
      <c r="N705" s="15" t="s">
        <v>11222</v>
      </c>
      <c r="O705" s="15"/>
      <c r="P705" s="15"/>
      <c r="Q705" s="15"/>
      <c r="R705" s="15"/>
      <c r="S705" s="15"/>
      <c r="T705" s="15">
        <v>0</v>
      </c>
      <c r="U705" s="15"/>
      <c r="V705" s="15"/>
      <c r="W705" s="15"/>
      <c r="X705" s="15"/>
      <c r="Y705" s="15"/>
      <c r="Z705" s="15"/>
    </row>
    <row r="706" spans="1:26" x14ac:dyDescent="0.25">
      <c r="A706" s="15" t="s">
        <v>14838</v>
      </c>
      <c r="B706" s="15">
        <v>705</v>
      </c>
      <c r="C706" s="15" t="s">
        <v>11277</v>
      </c>
      <c r="D706" s="15" t="s">
        <v>11277</v>
      </c>
      <c r="E706" s="15" t="s">
        <v>1067</v>
      </c>
      <c r="F706" s="15" t="s">
        <v>14837</v>
      </c>
      <c r="G706" s="15" t="s">
        <v>11423</v>
      </c>
      <c r="H706" s="15">
        <v>17</v>
      </c>
      <c r="I706" s="15">
        <v>24</v>
      </c>
      <c r="J706" s="15">
        <v>13</v>
      </c>
      <c r="K706" s="15" t="str">
        <f t="shared" ref="K706:K769" si="11">LOWER(SUBSTITUTE(SUBSTITUTE(SUBSTITUTE(SUBSTITUTE(SUBSTITUTE(F706," ",""),"(",""),")",""),"'",""),"-",""))</f>
        <v>southdrybone</v>
      </c>
      <c r="L706" s="15" t="s">
        <v>11254</v>
      </c>
      <c r="M706" s="15">
        <v>1</v>
      </c>
      <c r="N706" s="15" t="s">
        <v>11222</v>
      </c>
      <c r="O706" s="15"/>
      <c r="P706" s="15"/>
      <c r="Q706" s="15"/>
      <c r="R706" s="15"/>
      <c r="S706" s="15"/>
      <c r="T706" s="15">
        <v>0</v>
      </c>
      <c r="U706" s="15"/>
      <c r="V706" s="15"/>
      <c r="W706" s="15"/>
      <c r="X706" s="15"/>
      <c r="Y706" s="15"/>
      <c r="Z706" s="15"/>
    </row>
    <row r="707" spans="1:26" x14ac:dyDescent="0.25">
      <c r="A707" s="15" t="s">
        <v>14839</v>
      </c>
      <c r="B707" s="15">
        <v>706</v>
      </c>
      <c r="C707" s="15" t="s">
        <v>11277</v>
      </c>
      <c r="D707" s="15" t="s">
        <v>11277</v>
      </c>
      <c r="E707" s="15" t="s">
        <v>1067</v>
      </c>
      <c r="F707" s="15" t="s">
        <v>14837</v>
      </c>
      <c r="G707" s="15" t="s">
        <v>11304</v>
      </c>
      <c r="H707" s="15">
        <v>17</v>
      </c>
      <c r="I707" s="15">
        <v>24</v>
      </c>
      <c r="J707" s="15">
        <v>17</v>
      </c>
      <c r="K707" s="15" t="str">
        <f t="shared" si="11"/>
        <v>southdrybone</v>
      </c>
      <c r="L707" s="15" t="s">
        <v>11254</v>
      </c>
      <c r="M707" s="15">
        <v>2</v>
      </c>
      <c r="N707" s="15" t="s">
        <v>11223</v>
      </c>
      <c r="O707" s="15"/>
      <c r="P707" s="15"/>
      <c r="Q707" s="15"/>
      <c r="R707" s="15"/>
      <c r="S707" s="15"/>
      <c r="T707" s="15">
        <v>0</v>
      </c>
      <c r="U707" s="15"/>
      <c r="V707" s="15"/>
      <c r="W707" s="15"/>
      <c r="X707" s="15"/>
      <c r="Y707" s="15"/>
      <c r="Z707" s="15"/>
    </row>
    <row r="708" spans="1:26" x14ac:dyDescent="0.25">
      <c r="A708" s="15" t="s">
        <v>14840</v>
      </c>
      <c r="B708" s="15">
        <v>707</v>
      </c>
      <c r="C708" s="15" t="s">
        <v>11277</v>
      </c>
      <c r="D708" s="15" t="s">
        <v>11277</v>
      </c>
      <c r="E708" s="15" t="s">
        <v>1067</v>
      </c>
      <c r="F708" s="15" t="s">
        <v>14837</v>
      </c>
      <c r="G708" s="15" t="s">
        <v>11305</v>
      </c>
      <c r="H708" s="15">
        <v>17</v>
      </c>
      <c r="I708" s="15">
        <v>24</v>
      </c>
      <c r="J708" s="15">
        <v>17</v>
      </c>
      <c r="K708" s="15" t="str">
        <f t="shared" si="11"/>
        <v>southdrybone</v>
      </c>
      <c r="L708" s="15" t="s">
        <v>11254</v>
      </c>
      <c r="M708" s="15">
        <v>1</v>
      </c>
      <c r="N708" s="15" t="s">
        <v>11222</v>
      </c>
      <c r="O708" s="15"/>
      <c r="P708" s="15"/>
      <c r="Q708" s="15"/>
      <c r="R708" s="15"/>
      <c r="S708" s="15"/>
      <c r="T708" s="15">
        <v>0</v>
      </c>
      <c r="U708" s="15"/>
      <c r="V708" s="15"/>
      <c r="W708" s="15"/>
      <c r="X708" s="15"/>
      <c r="Y708" s="15"/>
      <c r="Z708" s="15"/>
    </row>
    <row r="709" spans="1:26" x14ac:dyDescent="0.25">
      <c r="A709" s="15" t="s">
        <v>14841</v>
      </c>
      <c r="B709" s="15">
        <v>708</v>
      </c>
      <c r="C709" s="15" t="s">
        <v>11277</v>
      </c>
      <c r="D709" s="15" t="s">
        <v>11277</v>
      </c>
      <c r="E709" s="15" t="s">
        <v>1067</v>
      </c>
      <c r="F709" s="15" t="s">
        <v>14837</v>
      </c>
      <c r="G709" s="15" t="s">
        <v>11369</v>
      </c>
      <c r="H709" s="15">
        <v>17</v>
      </c>
      <c r="I709" s="15">
        <v>24</v>
      </c>
      <c r="J709" s="15">
        <v>21</v>
      </c>
      <c r="K709" s="15" t="str">
        <f t="shared" si="11"/>
        <v>southdrybone</v>
      </c>
      <c r="L709" s="15" t="s">
        <v>11355</v>
      </c>
      <c r="M709" s="15">
        <v>1</v>
      </c>
      <c r="N709" s="15" t="s">
        <v>11222</v>
      </c>
      <c r="O709" s="15"/>
      <c r="P709" s="15"/>
      <c r="Q709" s="15"/>
      <c r="R709" s="15"/>
      <c r="S709" s="15"/>
      <c r="T709" s="15">
        <v>0</v>
      </c>
      <c r="U709" s="15"/>
      <c r="V709" s="15"/>
      <c r="W709" s="15"/>
      <c r="X709" s="15"/>
      <c r="Y709" s="15"/>
      <c r="Z709" s="15"/>
    </row>
    <row r="710" spans="1:26" x14ac:dyDescent="0.25">
      <c r="A710" s="15" t="s">
        <v>14842</v>
      </c>
      <c r="B710" s="15">
        <v>709</v>
      </c>
      <c r="C710" s="15" t="s">
        <v>11277</v>
      </c>
      <c r="D710" s="15" t="s">
        <v>11277</v>
      </c>
      <c r="E710" s="15" t="s">
        <v>1067</v>
      </c>
      <c r="F710" s="15" t="s">
        <v>14837</v>
      </c>
      <c r="G710" s="15" t="s">
        <v>11497</v>
      </c>
      <c r="H710" s="15">
        <v>17</v>
      </c>
      <c r="I710" s="15">
        <v>24</v>
      </c>
      <c r="J710" s="15">
        <v>33</v>
      </c>
      <c r="K710" s="15" t="str">
        <f t="shared" si="11"/>
        <v>southdrybone</v>
      </c>
      <c r="L710" s="15" t="s">
        <v>11323</v>
      </c>
      <c r="M710" s="15">
        <v>1</v>
      </c>
      <c r="N710" s="15" t="s">
        <v>11222</v>
      </c>
      <c r="O710" s="15"/>
      <c r="P710" s="15"/>
      <c r="Q710" s="15"/>
      <c r="R710" s="15"/>
      <c r="S710" s="15"/>
      <c r="T710" s="15">
        <v>0</v>
      </c>
      <c r="U710" s="15"/>
      <c r="V710" s="15"/>
      <c r="W710" s="15"/>
      <c r="X710" s="15"/>
      <c r="Y710" s="15"/>
      <c r="Z710" s="15"/>
    </row>
    <row r="711" spans="1:26" x14ac:dyDescent="0.25">
      <c r="A711" s="15" t="s">
        <v>14843</v>
      </c>
      <c r="B711" s="15">
        <v>710</v>
      </c>
      <c r="C711" s="15" t="s">
        <v>11277</v>
      </c>
      <c r="D711" s="15" t="s">
        <v>11277</v>
      </c>
      <c r="E711" s="15" t="s">
        <v>1067</v>
      </c>
      <c r="F711" s="15" t="s">
        <v>14837</v>
      </c>
      <c r="G711" s="15" t="s">
        <v>11499</v>
      </c>
      <c r="H711" s="15">
        <v>17</v>
      </c>
      <c r="I711" s="15">
        <v>24</v>
      </c>
      <c r="J711" s="15">
        <v>50</v>
      </c>
      <c r="K711" s="15" t="str">
        <f t="shared" si="11"/>
        <v>southdrybone</v>
      </c>
      <c r="L711" s="15" t="s">
        <v>11254</v>
      </c>
      <c r="M711" s="15">
        <v>3</v>
      </c>
      <c r="N711" s="15" t="s">
        <v>11223</v>
      </c>
      <c r="O711" s="15" t="s">
        <v>14039</v>
      </c>
      <c r="P711" s="15"/>
      <c r="Q711" s="15"/>
      <c r="R711" s="15"/>
      <c r="S711" s="15"/>
      <c r="T711" s="15">
        <v>3</v>
      </c>
      <c r="U711" s="15" t="s">
        <v>5901</v>
      </c>
      <c r="V711" s="15" t="s">
        <v>5900</v>
      </c>
      <c r="W711" s="15"/>
      <c r="X711" s="15"/>
      <c r="Y711" s="15"/>
      <c r="Z711" s="15"/>
    </row>
    <row r="712" spans="1:26" x14ac:dyDescent="0.25">
      <c r="A712" s="15" t="s">
        <v>14844</v>
      </c>
      <c r="B712" s="15">
        <v>711</v>
      </c>
      <c r="C712" s="15" t="s">
        <v>11277</v>
      </c>
      <c r="D712" s="15" t="s">
        <v>11277</v>
      </c>
      <c r="E712" s="15" t="s">
        <v>1067</v>
      </c>
      <c r="F712" s="15" t="s">
        <v>1438</v>
      </c>
      <c r="G712" s="15" t="s">
        <v>11500</v>
      </c>
      <c r="H712" s="15">
        <v>25</v>
      </c>
      <c r="I712" s="15">
        <v>22</v>
      </c>
      <c r="J712" s="15">
        <v>23</v>
      </c>
      <c r="K712" s="15" t="str">
        <f t="shared" si="11"/>
        <v>yugramriver</v>
      </c>
      <c r="L712" s="15" t="s">
        <v>11274</v>
      </c>
      <c r="M712" s="15">
        <v>2</v>
      </c>
      <c r="N712" s="15" t="s">
        <v>11223</v>
      </c>
      <c r="O712" s="15"/>
      <c r="P712" s="15"/>
      <c r="Q712" s="15"/>
      <c r="R712" s="15"/>
      <c r="S712" s="15"/>
      <c r="T712" s="15">
        <v>0</v>
      </c>
      <c r="U712" s="15"/>
      <c r="V712" s="15"/>
      <c r="W712" s="15"/>
      <c r="X712" s="15"/>
      <c r="Y712" s="15"/>
      <c r="Z712" s="15"/>
    </row>
    <row r="713" spans="1:26" x14ac:dyDescent="0.25">
      <c r="A713" s="15" t="s">
        <v>14845</v>
      </c>
      <c r="B713" s="15">
        <v>712</v>
      </c>
      <c r="C713" s="15" t="s">
        <v>11277</v>
      </c>
      <c r="D713" s="15" t="s">
        <v>11277</v>
      </c>
      <c r="E713" s="15" t="s">
        <v>1067</v>
      </c>
      <c r="F713" s="15" t="s">
        <v>1438</v>
      </c>
      <c r="G713" s="15" t="s">
        <v>11415</v>
      </c>
      <c r="H713" s="15">
        <v>25</v>
      </c>
      <c r="I713" s="15">
        <v>22</v>
      </c>
      <c r="J713" s="15">
        <v>25</v>
      </c>
      <c r="K713" s="15" t="str">
        <f t="shared" si="11"/>
        <v>yugramriver</v>
      </c>
      <c r="L713" s="15" t="s">
        <v>11271</v>
      </c>
      <c r="M713" s="15">
        <v>2</v>
      </c>
      <c r="N713" s="15" t="s">
        <v>11223</v>
      </c>
      <c r="O713" s="15" t="s">
        <v>14041</v>
      </c>
      <c r="P713" s="15"/>
      <c r="Q713" s="15"/>
      <c r="R713" s="15"/>
      <c r="S713" s="15"/>
      <c r="T713" s="15">
        <v>0</v>
      </c>
      <c r="U713" s="15"/>
      <c r="V713" s="15"/>
      <c r="W713" s="15"/>
      <c r="X713" s="15"/>
      <c r="Y713" s="15"/>
      <c r="Z713" s="15"/>
    </row>
    <row r="714" spans="1:26" x14ac:dyDescent="0.25">
      <c r="A714" s="15" t="s">
        <v>14846</v>
      </c>
      <c r="B714" s="15">
        <v>713</v>
      </c>
      <c r="C714" s="15" t="s">
        <v>11277</v>
      </c>
      <c r="D714" s="15" t="s">
        <v>11277</v>
      </c>
      <c r="E714" s="15" t="s">
        <v>1067</v>
      </c>
      <c r="F714" s="15" t="s">
        <v>1438</v>
      </c>
      <c r="G714" s="15" t="s">
        <v>11433</v>
      </c>
      <c r="H714" s="15">
        <v>25</v>
      </c>
      <c r="I714" s="15">
        <v>22</v>
      </c>
      <c r="J714" s="15">
        <v>25</v>
      </c>
      <c r="K714" s="15" t="str">
        <f t="shared" si="11"/>
        <v>yugramriver</v>
      </c>
      <c r="L714" s="15" t="s">
        <v>11274</v>
      </c>
      <c r="M714" s="15">
        <v>2</v>
      </c>
      <c r="N714" s="15" t="s">
        <v>11223</v>
      </c>
      <c r="O714" s="15"/>
      <c r="P714" s="15"/>
      <c r="Q714" s="15"/>
      <c r="R714" s="15"/>
      <c r="S714" s="15"/>
      <c r="T714" s="15">
        <v>0</v>
      </c>
      <c r="U714" s="15"/>
      <c r="V714" s="15"/>
      <c r="W714" s="15"/>
      <c r="X714" s="15"/>
      <c r="Y714" s="15"/>
      <c r="Z714" s="15"/>
    </row>
    <row r="715" spans="1:26" x14ac:dyDescent="0.25">
      <c r="A715" s="15" t="s">
        <v>14847</v>
      </c>
      <c r="B715" s="15">
        <v>714</v>
      </c>
      <c r="C715" s="15" t="s">
        <v>11277</v>
      </c>
      <c r="D715" s="15" t="s">
        <v>11277</v>
      </c>
      <c r="E715" s="15" t="s">
        <v>1067</v>
      </c>
      <c r="F715" s="15" t="s">
        <v>1438</v>
      </c>
      <c r="G715" s="15" t="s">
        <v>11436</v>
      </c>
      <c r="H715" s="15">
        <v>25</v>
      </c>
      <c r="I715" s="15">
        <v>22</v>
      </c>
      <c r="J715" s="15">
        <v>28</v>
      </c>
      <c r="K715" s="15" t="str">
        <f t="shared" si="11"/>
        <v>yugramriver</v>
      </c>
      <c r="L715" s="15" t="s">
        <v>11416</v>
      </c>
      <c r="M715" s="15">
        <v>2</v>
      </c>
      <c r="N715" s="15" t="s">
        <v>11223</v>
      </c>
      <c r="O715" s="15"/>
      <c r="P715" s="15"/>
      <c r="Q715" s="15"/>
      <c r="R715" s="15"/>
      <c r="S715" s="15"/>
      <c r="T715" s="15">
        <v>0</v>
      </c>
      <c r="U715" s="15"/>
      <c r="V715" s="15"/>
      <c r="W715" s="15"/>
      <c r="X715" s="15"/>
      <c r="Y715" s="15"/>
      <c r="Z715" s="15"/>
    </row>
    <row r="716" spans="1:26" x14ac:dyDescent="0.25">
      <c r="A716" s="15" t="s">
        <v>14848</v>
      </c>
      <c r="B716" s="15">
        <v>715</v>
      </c>
      <c r="C716" s="15" t="s">
        <v>11277</v>
      </c>
      <c r="D716" s="15" t="s">
        <v>11277</v>
      </c>
      <c r="E716" s="15" t="s">
        <v>1067</v>
      </c>
      <c r="F716" s="15" t="s">
        <v>1438</v>
      </c>
      <c r="G716" s="15" t="s">
        <v>11352</v>
      </c>
      <c r="H716" s="15">
        <v>25</v>
      </c>
      <c r="I716" s="15">
        <v>22</v>
      </c>
      <c r="J716" s="15">
        <v>34</v>
      </c>
      <c r="K716" s="15" t="str">
        <f t="shared" si="11"/>
        <v>yugramriver</v>
      </c>
      <c r="L716" s="15" t="s">
        <v>11355</v>
      </c>
      <c r="M716" s="15">
        <v>1</v>
      </c>
      <c r="N716" s="15" t="s">
        <v>11222</v>
      </c>
      <c r="O716" s="15"/>
      <c r="P716" s="15"/>
      <c r="Q716" s="15"/>
      <c r="R716" s="15"/>
      <c r="S716" s="15"/>
      <c r="T716" s="15">
        <v>0</v>
      </c>
      <c r="U716" s="15"/>
      <c r="V716" s="15"/>
      <c r="W716" s="15"/>
      <c r="X716" s="15"/>
      <c r="Y716" s="15"/>
      <c r="Z716" s="15"/>
    </row>
    <row r="717" spans="1:26" x14ac:dyDescent="0.25">
      <c r="A717" s="15" t="s">
        <v>14849</v>
      </c>
      <c r="B717" s="15">
        <v>716</v>
      </c>
      <c r="C717" s="15" t="s">
        <v>11277</v>
      </c>
      <c r="D717" s="15" t="s">
        <v>11277</v>
      </c>
      <c r="E717" s="15" t="s">
        <v>1067</v>
      </c>
      <c r="F717" s="15" t="s">
        <v>1438</v>
      </c>
      <c r="G717" s="15" t="s">
        <v>11501</v>
      </c>
      <c r="H717" s="15">
        <v>25</v>
      </c>
      <c r="I717" s="15">
        <v>22</v>
      </c>
      <c r="J717" s="15">
        <v>39</v>
      </c>
      <c r="K717" s="15" t="str">
        <f t="shared" si="11"/>
        <v>yugramriver</v>
      </c>
      <c r="L717" s="15" t="s">
        <v>11355</v>
      </c>
      <c r="M717" s="15">
        <v>2</v>
      </c>
      <c r="N717" s="15" t="s">
        <v>11223</v>
      </c>
      <c r="O717" s="15" t="s">
        <v>14041</v>
      </c>
      <c r="P717" s="15"/>
      <c r="Q717" s="15"/>
      <c r="R717" s="15"/>
      <c r="S717" s="15"/>
      <c r="T717" s="15">
        <v>0</v>
      </c>
      <c r="U717" s="15"/>
      <c r="V717" s="15"/>
      <c r="W717" s="15"/>
      <c r="X717" s="15"/>
      <c r="Y717" s="15"/>
      <c r="Z717" s="15"/>
    </row>
    <row r="718" spans="1:26" x14ac:dyDescent="0.25">
      <c r="A718" s="15" t="s">
        <v>14850</v>
      </c>
      <c r="B718" s="15">
        <v>717</v>
      </c>
      <c r="C718" s="15" t="s">
        <v>11277</v>
      </c>
      <c r="D718" s="15" t="s">
        <v>11277</v>
      </c>
      <c r="E718" s="15" t="s">
        <v>1067</v>
      </c>
      <c r="F718" s="15" t="s">
        <v>1438</v>
      </c>
      <c r="G718" s="15" t="s">
        <v>11502</v>
      </c>
      <c r="H718" s="15">
        <v>25</v>
      </c>
      <c r="I718" s="15">
        <v>22</v>
      </c>
      <c r="J718" s="15">
        <v>50</v>
      </c>
      <c r="K718" s="15" t="str">
        <f t="shared" si="11"/>
        <v>yugramriver</v>
      </c>
      <c r="L718" s="15" t="s">
        <v>11355</v>
      </c>
      <c r="M718" s="15">
        <v>3</v>
      </c>
      <c r="N718" s="15" t="s">
        <v>11223</v>
      </c>
      <c r="O718" s="15" t="s">
        <v>2822</v>
      </c>
      <c r="P718" s="15"/>
      <c r="Q718" s="15"/>
      <c r="R718" s="15"/>
      <c r="S718" s="15"/>
      <c r="T718" s="15">
        <v>3</v>
      </c>
      <c r="U718" s="15" t="s">
        <v>5893</v>
      </c>
      <c r="V718" s="15"/>
      <c r="W718" s="15"/>
      <c r="X718" s="15"/>
      <c r="Y718" s="15"/>
      <c r="Z718" s="15"/>
    </row>
    <row r="719" spans="1:26" x14ac:dyDescent="0.25">
      <c r="A719" s="15" t="s">
        <v>14851</v>
      </c>
      <c r="B719" s="15">
        <v>718</v>
      </c>
      <c r="C719" s="15" t="s">
        <v>11277</v>
      </c>
      <c r="D719" s="15" t="s">
        <v>11277</v>
      </c>
      <c r="E719" s="15" t="s">
        <v>1067</v>
      </c>
      <c r="F719" s="15" t="s">
        <v>1440</v>
      </c>
      <c r="G719" s="15" t="s">
        <v>11436</v>
      </c>
      <c r="H719" s="15">
        <v>29</v>
      </c>
      <c r="I719" s="15">
        <v>24</v>
      </c>
      <c r="J719" s="15">
        <v>28</v>
      </c>
      <c r="K719" s="15" t="str">
        <f t="shared" si="11"/>
        <v>theburningwall</v>
      </c>
      <c r="L719" s="15" t="s">
        <v>11416</v>
      </c>
      <c r="M719" s="15">
        <v>2</v>
      </c>
      <c r="N719" s="15" t="s">
        <v>11223</v>
      </c>
      <c r="O719" s="15"/>
      <c r="P719" s="15"/>
      <c r="Q719" s="15"/>
      <c r="R719" s="15"/>
      <c r="S719" s="15"/>
      <c r="T719" s="15">
        <v>0</v>
      </c>
      <c r="U719" s="15"/>
      <c r="V719" s="15"/>
      <c r="W719" s="15"/>
      <c r="X719" s="15"/>
      <c r="Y719" s="15"/>
      <c r="Z719" s="15"/>
    </row>
    <row r="720" spans="1:26" x14ac:dyDescent="0.25">
      <c r="A720" s="15" t="s">
        <v>14852</v>
      </c>
      <c r="B720" s="15">
        <v>719</v>
      </c>
      <c r="C720" s="15" t="s">
        <v>11277</v>
      </c>
      <c r="D720" s="15" t="s">
        <v>11277</v>
      </c>
      <c r="E720" s="15" t="s">
        <v>1067</v>
      </c>
      <c r="F720" s="15" t="s">
        <v>1440</v>
      </c>
      <c r="G720" s="15" t="s">
        <v>11420</v>
      </c>
      <c r="H720" s="15">
        <v>29</v>
      </c>
      <c r="I720" s="15">
        <v>24</v>
      </c>
      <c r="J720" s="15">
        <v>34</v>
      </c>
      <c r="K720" s="15" t="str">
        <f t="shared" si="11"/>
        <v>theburningwall</v>
      </c>
      <c r="L720" s="15" t="s">
        <v>11424</v>
      </c>
      <c r="M720" s="15">
        <v>2</v>
      </c>
      <c r="N720" s="15" t="s">
        <v>11223</v>
      </c>
      <c r="O720" s="15"/>
      <c r="P720" s="15"/>
      <c r="Q720" s="15"/>
      <c r="R720" s="15"/>
      <c r="S720" s="15"/>
      <c r="T720" s="15">
        <v>0</v>
      </c>
      <c r="U720" s="15"/>
      <c r="V720" s="15"/>
      <c r="W720" s="15"/>
      <c r="X720" s="15"/>
      <c r="Y720" s="15"/>
      <c r="Z720" s="15"/>
    </row>
    <row r="721" spans="1:26" x14ac:dyDescent="0.25">
      <c r="A721" s="15" t="s">
        <v>14853</v>
      </c>
      <c r="B721" s="15">
        <v>720</v>
      </c>
      <c r="C721" s="15" t="s">
        <v>11277</v>
      </c>
      <c r="D721" s="15" t="s">
        <v>11277</v>
      </c>
      <c r="E721" s="15" t="s">
        <v>1067</v>
      </c>
      <c r="F721" s="15" t="s">
        <v>1440</v>
      </c>
      <c r="G721" s="15" t="s">
        <v>11354</v>
      </c>
      <c r="H721" s="15">
        <v>29</v>
      </c>
      <c r="I721" s="15">
        <v>24</v>
      </c>
      <c r="J721" s="15">
        <v>40</v>
      </c>
      <c r="K721" s="15" t="str">
        <f t="shared" si="11"/>
        <v>theburningwall</v>
      </c>
      <c r="L721" s="15" t="s">
        <v>11355</v>
      </c>
      <c r="M721" s="15">
        <v>2</v>
      </c>
      <c r="N721" s="15" t="s">
        <v>11223</v>
      </c>
      <c r="O721" s="15"/>
      <c r="P721" s="15"/>
      <c r="Q721" s="15"/>
      <c r="R721" s="15"/>
      <c r="S721" s="15"/>
      <c r="T721" s="15">
        <v>0</v>
      </c>
      <c r="U721" s="15"/>
      <c r="V721" s="15"/>
      <c r="W721" s="15"/>
      <c r="X721" s="15"/>
      <c r="Y721" s="15"/>
      <c r="Z721" s="15"/>
    </row>
    <row r="722" spans="1:26" x14ac:dyDescent="0.25">
      <c r="A722" s="15" t="s">
        <v>14854</v>
      </c>
      <c r="B722" s="15">
        <v>721</v>
      </c>
      <c r="C722" s="15" t="s">
        <v>11277</v>
      </c>
      <c r="D722" s="15" t="s">
        <v>11277</v>
      </c>
      <c r="E722" s="15" t="s">
        <v>1067</v>
      </c>
      <c r="F722" s="15" t="s">
        <v>1440</v>
      </c>
      <c r="G722" s="15" t="s">
        <v>11488</v>
      </c>
      <c r="H722" s="15">
        <v>29</v>
      </c>
      <c r="I722" s="15">
        <v>24</v>
      </c>
      <c r="J722" s="15">
        <v>41</v>
      </c>
      <c r="K722" s="15" t="str">
        <f t="shared" si="11"/>
        <v>theburningwall</v>
      </c>
      <c r="L722" s="15" t="s">
        <v>11360</v>
      </c>
      <c r="M722" s="15">
        <v>1</v>
      </c>
      <c r="N722" s="15" t="s">
        <v>11222</v>
      </c>
      <c r="O722" s="15"/>
      <c r="P722" s="15"/>
      <c r="Q722" s="15"/>
      <c r="R722" s="15"/>
      <c r="S722" s="15"/>
      <c r="T722" s="15">
        <v>0</v>
      </c>
      <c r="U722" s="15"/>
      <c r="V722" s="15"/>
      <c r="W722" s="15"/>
      <c r="X722" s="15"/>
      <c r="Y722" s="15"/>
      <c r="Z722" s="15"/>
    </row>
    <row r="723" spans="1:26" x14ac:dyDescent="0.25">
      <c r="A723" s="15" t="s">
        <v>14855</v>
      </c>
      <c r="B723" s="15">
        <v>722</v>
      </c>
      <c r="C723" s="15" t="s">
        <v>11277</v>
      </c>
      <c r="D723" s="15" t="s">
        <v>11277</v>
      </c>
      <c r="E723" s="15" t="s">
        <v>1067</v>
      </c>
      <c r="F723" s="15" t="s">
        <v>1440</v>
      </c>
      <c r="G723" s="15" t="s">
        <v>11359</v>
      </c>
      <c r="H723" s="15">
        <v>29</v>
      </c>
      <c r="I723" s="15">
        <v>24</v>
      </c>
      <c r="J723" s="15">
        <v>42</v>
      </c>
      <c r="K723" s="15" t="str">
        <f t="shared" si="11"/>
        <v>theburningwall</v>
      </c>
      <c r="L723" s="15" t="s">
        <v>11360</v>
      </c>
      <c r="M723" s="15">
        <v>2</v>
      </c>
      <c r="N723" s="15" t="s">
        <v>11223</v>
      </c>
      <c r="O723" s="15"/>
      <c r="P723" s="15"/>
      <c r="Q723" s="15"/>
      <c r="R723" s="15"/>
      <c r="S723" s="15"/>
      <c r="T723" s="15">
        <v>0</v>
      </c>
      <c r="U723" s="15"/>
      <c r="V723" s="15"/>
      <c r="W723" s="15"/>
      <c r="X723" s="15"/>
      <c r="Y723" s="15"/>
      <c r="Z723" s="15"/>
    </row>
    <row r="724" spans="1:26" x14ac:dyDescent="0.25">
      <c r="A724" s="15" t="s">
        <v>14856</v>
      </c>
      <c r="B724" s="15">
        <v>723</v>
      </c>
      <c r="C724" s="15" t="s">
        <v>11277</v>
      </c>
      <c r="D724" s="15" t="s">
        <v>11277</v>
      </c>
      <c r="E724" s="15" t="s">
        <v>1067</v>
      </c>
      <c r="F724" s="15" t="s">
        <v>1440</v>
      </c>
      <c r="G724" s="15" t="s">
        <v>11375</v>
      </c>
      <c r="H724" s="15">
        <v>29</v>
      </c>
      <c r="I724" s="15">
        <v>24</v>
      </c>
      <c r="J724" s="15">
        <v>43</v>
      </c>
      <c r="K724" s="15" t="str">
        <f t="shared" si="11"/>
        <v>theburningwall</v>
      </c>
      <c r="L724" s="15" t="s">
        <v>11376</v>
      </c>
      <c r="M724" s="15">
        <v>2</v>
      </c>
      <c r="N724" s="15" t="s">
        <v>11223</v>
      </c>
      <c r="O724" s="15"/>
      <c r="P724" s="15"/>
      <c r="Q724" s="15"/>
      <c r="R724" s="15"/>
      <c r="S724" s="15"/>
      <c r="T724" s="15">
        <v>0</v>
      </c>
      <c r="U724" s="15"/>
      <c r="V724" s="15"/>
      <c r="W724" s="15"/>
      <c r="X724" s="15"/>
      <c r="Y724" s="15"/>
      <c r="Z724" s="15"/>
    </row>
    <row r="725" spans="1:26" x14ac:dyDescent="0.25">
      <c r="A725" s="15" t="s">
        <v>14857</v>
      </c>
      <c r="B725" s="15">
        <v>724</v>
      </c>
      <c r="C725" s="15" t="s">
        <v>11277</v>
      </c>
      <c r="D725" s="15" t="s">
        <v>11277</v>
      </c>
      <c r="E725" s="15" t="s">
        <v>1067</v>
      </c>
      <c r="F725" s="15" t="s">
        <v>1440</v>
      </c>
      <c r="G725" s="15" t="s">
        <v>11443</v>
      </c>
      <c r="H725" s="15">
        <v>29</v>
      </c>
      <c r="I725" s="15">
        <v>24</v>
      </c>
      <c r="J725" s="15">
        <v>45</v>
      </c>
      <c r="K725" s="15" t="str">
        <f t="shared" si="11"/>
        <v>theburningwall</v>
      </c>
      <c r="L725" s="15" t="s">
        <v>11363</v>
      </c>
      <c r="M725" s="15">
        <v>2</v>
      </c>
      <c r="N725" s="15" t="s">
        <v>11223</v>
      </c>
      <c r="O725" s="15"/>
      <c r="P725" s="15"/>
      <c r="Q725" s="15"/>
      <c r="R725" s="15"/>
      <c r="S725" s="15"/>
      <c r="T725" s="15">
        <v>0</v>
      </c>
      <c r="U725" s="15"/>
      <c r="V725" s="15"/>
      <c r="W725" s="15"/>
      <c r="X725" s="15"/>
      <c r="Y725" s="15"/>
      <c r="Z725" s="15"/>
    </row>
    <row r="726" spans="1:26" x14ac:dyDescent="0.25">
      <c r="A726" s="15" t="s">
        <v>14858</v>
      </c>
      <c r="B726" s="15">
        <v>725</v>
      </c>
      <c r="C726" s="15" t="s">
        <v>11277</v>
      </c>
      <c r="D726" s="15" t="s">
        <v>11277</v>
      </c>
      <c r="E726" s="15" t="s">
        <v>1067</v>
      </c>
      <c r="F726" s="15" t="s">
        <v>1440</v>
      </c>
      <c r="G726" s="15" t="s">
        <v>11503</v>
      </c>
      <c r="H726" s="15">
        <v>29</v>
      </c>
      <c r="I726" s="15">
        <v>24</v>
      </c>
      <c r="J726" s="15">
        <v>50</v>
      </c>
      <c r="K726" s="15" t="str">
        <f t="shared" si="11"/>
        <v>theburningwall</v>
      </c>
      <c r="L726" s="15" t="s">
        <v>11363</v>
      </c>
      <c r="M726" s="15">
        <v>3</v>
      </c>
      <c r="N726" s="15" t="s">
        <v>11223</v>
      </c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25">
      <c r="A727" s="15" t="s">
        <v>14859</v>
      </c>
      <c r="B727" s="15">
        <v>726</v>
      </c>
      <c r="C727" s="15" t="s">
        <v>11277</v>
      </c>
      <c r="D727" s="15" t="s">
        <v>11277</v>
      </c>
      <c r="E727" s="15" t="s">
        <v>1067</v>
      </c>
      <c r="F727" s="15" t="s">
        <v>1440</v>
      </c>
      <c r="G727" s="15" t="s">
        <v>11504</v>
      </c>
      <c r="H727" s="15">
        <v>29</v>
      </c>
      <c r="I727" s="15">
        <v>24</v>
      </c>
      <c r="J727" s="15">
        <v>50</v>
      </c>
      <c r="K727" s="15" t="str">
        <f t="shared" si="11"/>
        <v>theburningwall</v>
      </c>
      <c r="L727" s="15" t="s">
        <v>11456</v>
      </c>
      <c r="M727" s="15">
        <v>2</v>
      </c>
      <c r="N727" s="15" t="s">
        <v>11223</v>
      </c>
      <c r="O727" s="15" t="s">
        <v>14016</v>
      </c>
      <c r="P727" s="15"/>
      <c r="Q727" s="15"/>
      <c r="R727" s="15"/>
      <c r="S727" s="15"/>
      <c r="T727" s="15">
        <v>1</v>
      </c>
      <c r="U727" s="15" t="s">
        <v>5893</v>
      </c>
      <c r="V727" s="15" t="s">
        <v>5892</v>
      </c>
      <c r="W727" s="15"/>
      <c r="X727" s="15"/>
      <c r="Y727" s="15"/>
      <c r="Z727" s="15"/>
    </row>
    <row r="728" spans="1:26" x14ac:dyDescent="0.25">
      <c r="A728" s="15" t="s">
        <v>14860</v>
      </c>
      <c r="B728" s="15">
        <v>727</v>
      </c>
      <c r="C728" s="15" t="s">
        <v>11277</v>
      </c>
      <c r="D728" s="15" t="s">
        <v>11277</v>
      </c>
      <c r="E728" s="15" t="s">
        <v>1067</v>
      </c>
      <c r="F728" s="15" t="s">
        <v>1440</v>
      </c>
      <c r="G728" s="15" t="s">
        <v>11505</v>
      </c>
      <c r="H728" s="15">
        <v>29</v>
      </c>
      <c r="I728" s="15">
        <v>24</v>
      </c>
      <c r="J728" s="15">
        <v>50</v>
      </c>
      <c r="K728" s="15" t="str">
        <f t="shared" si="11"/>
        <v>theburningwall</v>
      </c>
      <c r="L728" s="15" t="s">
        <v>11360</v>
      </c>
      <c r="M728" s="15">
        <v>3</v>
      </c>
      <c r="N728" s="15" t="s">
        <v>11223</v>
      </c>
      <c r="O728" s="15"/>
      <c r="P728" s="15"/>
      <c r="Q728" s="15"/>
      <c r="R728" s="15"/>
      <c r="S728" s="15"/>
      <c r="T728" s="15">
        <v>3</v>
      </c>
      <c r="U728" s="15" t="s">
        <v>5914</v>
      </c>
      <c r="V728" s="15"/>
      <c r="W728" s="15"/>
      <c r="X728" s="15"/>
      <c r="Y728" s="15"/>
      <c r="Z728" s="15"/>
    </row>
    <row r="729" spans="1:26" x14ac:dyDescent="0.25">
      <c r="A729" s="15" t="s">
        <v>14861</v>
      </c>
      <c r="B729" s="15">
        <v>728</v>
      </c>
      <c r="C729" s="15" t="s">
        <v>11277</v>
      </c>
      <c r="D729" s="15" t="s">
        <v>11277</v>
      </c>
      <c r="E729" s="15" t="s">
        <v>1067</v>
      </c>
      <c r="F729" s="15" t="s">
        <v>14862</v>
      </c>
      <c r="G729" s="15" t="s">
        <v>11270</v>
      </c>
      <c r="H729" s="15">
        <v>21</v>
      </c>
      <c r="I729" s="15">
        <v>15</v>
      </c>
      <c r="J729" s="15">
        <v>20</v>
      </c>
      <c r="K729" s="15" t="str">
        <f t="shared" si="11"/>
        <v>burntlizardcreek</v>
      </c>
      <c r="L729" s="15" t="s">
        <v>11271</v>
      </c>
      <c r="M729" s="15">
        <v>1</v>
      </c>
      <c r="N729" s="15" t="s">
        <v>11222</v>
      </c>
      <c r="O729" s="15"/>
      <c r="P729" s="15"/>
      <c r="Q729" s="15"/>
      <c r="R729" s="15"/>
      <c r="S729" s="15"/>
      <c r="T729" s="15">
        <v>0</v>
      </c>
      <c r="U729" s="15"/>
      <c r="V729" s="15"/>
      <c r="W729" s="15"/>
      <c r="X729" s="15"/>
      <c r="Y729" s="15"/>
      <c r="Z729" s="15"/>
    </row>
    <row r="730" spans="1:26" x14ac:dyDescent="0.25">
      <c r="A730" s="15" t="s">
        <v>14863</v>
      </c>
      <c r="B730" s="15">
        <v>729</v>
      </c>
      <c r="C730" s="15" t="s">
        <v>11277</v>
      </c>
      <c r="D730" s="15" t="s">
        <v>11277</v>
      </c>
      <c r="E730" s="15" t="s">
        <v>1067</v>
      </c>
      <c r="F730" s="15" t="s">
        <v>14862</v>
      </c>
      <c r="G730" s="15" t="s">
        <v>11500</v>
      </c>
      <c r="H730" s="15">
        <v>21</v>
      </c>
      <c r="I730" s="15">
        <v>15</v>
      </c>
      <c r="J730" s="15">
        <v>23</v>
      </c>
      <c r="K730" s="15" t="str">
        <f t="shared" si="11"/>
        <v>burntlizardcreek</v>
      </c>
      <c r="L730" s="15" t="s">
        <v>11274</v>
      </c>
      <c r="M730" s="15">
        <v>2</v>
      </c>
      <c r="N730" s="15" t="s">
        <v>11223</v>
      </c>
      <c r="O730" s="15"/>
      <c r="P730" s="15"/>
      <c r="Q730" s="15"/>
      <c r="R730" s="15"/>
      <c r="S730" s="15"/>
      <c r="T730" s="15">
        <v>0</v>
      </c>
      <c r="U730" s="15"/>
      <c r="V730" s="15"/>
      <c r="W730" s="15"/>
      <c r="X730" s="15"/>
      <c r="Y730" s="15"/>
      <c r="Z730" s="15"/>
    </row>
    <row r="731" spans="1:26" x14ac:dyDescent="0.25">
      <c r="A731" s="15" t="s">
        <v>14864</v>
      </c>
      <c r="B731" s="15">
        <v>730</v>
      </c>
      <c r="C731" s="15" t="s">
        <v>11277</v>
      </c>
      <c r="D731" s="15" t="s">
        <v>11277</v>
      </c>
      <c r="E731" s="15" t="s">
        <v>1067</v>
      </c>
      <c r="F731" s="15" t="s">
        <v>14862</v>
      </c>
      <c r="G731" s="15" t="s">
        <v>11433</v>
      </c>
      <c r="H731" s="15">
        <v>21</v>
      </c>
      <c r="I731" s="15">
        <v>15</v>
      </c>
      <c r="J731" s="15">
        <v>25</v>
      </c>
      <c r="K731" s="15" t="str">
        <f t="shared" si="11"/>
        <v>burntlizardcreek</v>
      </c>
      <c r="L731" s="15" t="s">
        <v>11274</v>
      </c>
      <c r="M731" s="15">
        <v>2</v>
      </c>
      <c r="N731" s="15" t="s">
        <v>11223</v>
      </c>
      <c r="O731" s="15"/>
      <c r="P731" s="15"/>
      <c r="Q731" s="15"/>
      <c r="R731" s="15"/>
      <c r="S731" s="15"/>
      <c r="T731" s="15">
        <v>0</v>
      </c>
      <c r="U731" s="15"/>
      <c r="V731" s="15"/>
      <c r="W731" s="15"/>
      <c r="X731" s="15"/>
      <c r="Y731" s="15"/>
      <c r="Z731" s="15"/>
    </row>
    <row r="732" spans="1:26" x14ac:dyDescent="0.25">
      <c r="A732" s="15" t="s">
        <v>14865</v>
      </c>
      <c r="B732" s="15">
        <v>731</v>
      </c>
      <c r="C732" s="15" t="s">
        <v>11277</v>
      </c>
      <c r="D732" s="15" t="s">
        <v>11277</v>
      </c>
      <c r="E732" s="15" t="s">
        <v>1067</v>
      </c>
      <c r="F732" s="15" t="s">
        <v>14862</v>
      </c>
      <c r="G732" s="15" t="s">
        <v>11357</v>
      </c>
      <c r="H732" s="15">
        <v>21</v>
      </c>
      <c r="I732" s="15">
        <v>15</v>
      </c>
      <c r="J732" s="15">
        <v>29</v>
      </c>
      <c r="K732" s="15" t="str">
        <f t="shared" si="11"/>
        <v>burntlizardcreek</v>
      </c>
      <c r="L732" s="15" t="s">
        <v>14088</v>
      </c>
      <c r="M732" s="15">
        <v>1</v>
      </c>
      <c r="N732" s="15" t="s">
        <v>11222</v>
      </c>
      <c r="O732" s="15"/>
      <c r="P732" s="15"/>
      <c r="Q732" s="15" t="s">
        <v>11270</v>
      </c>
      <c r="R732" s="15"/>
      <c r="S732" s="15"/>
      <c r="T732" s="15">
        <v>0</v>
      </c>
      <c r="U732" s="15"/>
      <c r="V732" s="15"/>
      <c r="W732" s="15"/>
      <c r="X732" s="15"/>
      <c r="Y732" s="15"/>
      <c r="Z732" s="15"/>
    </row>
    <row r="733" spans="1:26" x14ac:dyDescent="0.25">
      <c r="A733" s="15" t="s">
        <v>14866</v>
      </c>
      <c r="B733" s="15">
        <v>732</v>
      </c>
      <c r="C733" s="15" t="s">
        <v>11277</v>
      </c>
      <c r="D733" s="15" t="s">
        <v>11277</v>
      </c>
      <c r="E733" s="15" t="s">
        <v>1067</v>
      </c>
      <c r="F733" s="15" t="s">
        <v>14862</v>
      </c>
      <c r="G733" s="15" t="s">
        <v>11506</v>
      </c>
      <c r="H733" s="15">
        <v>21</v>
      </c>
      <c r="I733" s="15">
        <v>15</v>
      </c>
      <c r="J733" s="15">
        <v>29</v>
      </c>
      <c r="K733" s="15" t="str">
        <f t="shared" si="11"/>
        <v>burntlizardcreek</v>
      </c>
      <c r="L733" s="15" t="s">
        <v>11308</v>
      </c>
      <c r="M733" s="15">
        <v>1</v>
      </c>
      <c r="N733" s="15" t="s">
        <v>11222</v>
      </c>
      <c r="O733" s="15"/>
      <c r="P733" s="15"/>
      <c r="Q733" s="15"/>
      <c r="R733" s="15"/>
      <c r="S733" s="15"/>
      <c r="T733" s="15">
        <v>0</v>
      </c>
      <c r="U733" s="15"/>
      <c r="V733" s="15"/>
      <c r="W733" s="15"/>
      <c r="X733" s="15"/>
      <c r="Y733" s="15"/>
      <c r="Z733" s="15"/>
    </row>
    <row r="734" spans="1:26" x14ac:dyDescent="0.25">
      <c r="A734" s="15" t="s">
        <v>14867</v>
      </c>
      <c r="B734" s="15">
        <v>733</v>
      </c>
      <c r="C734" s="15" t="s">
        <v>11277</v>
      </c>
      <c r="D734" s="15" t="s">
        <v>11277</v>
      </c>
      <c r="E734" s="15" t="s">
        <v>1067</v>
      </c>
      <c r="F734" s="15" t="s">
        <v>14862</v>
      </c>
      <c r="G734" s="15" t="s">
        <v>11507</v>
      </c>
      <c r="H734" s="15">
        <v>21</v>
      </c>
      <c r="I734" s="15">
        <v>15</v>
      </c>
      <c r="J734" s="15">
        <v>50</v>
      </c>
      <c r="K734" s="15" t="str">
        <f t="shared" si="11"/>
        <v>burntlizardcreek</v>
      </c>
      <c r="L734" s="15" t="s">
        <v>14088</v>
      </c>
      <c r="M734" s="15">
        <v>3</v>
      </c>
      <c r="N734" s="15" t="s">
        <v>11223</v>
      </c>
      <c r="O734" s="15"/>
      <c r="P734" s="15"/>
      <c r="Q734" s="15" t="s">
        <v>11270</v>
      </c>
      <c r="R734" s="15"/>
      <c r="S734" s="15"/>
      <c r="T734" s="15">
        <v>3</v>
      </c>
      <c r="U734" s="15" t="s">
        <v>5914</v>
      </c>
      <c r="V734" s="15"/>
      <c r="W734" s="15"/>
      <c r="X734" s="15"/>
      <c r="Y734" s="15"/>
      <c r="Z734" s="15"/>
    </row>
    <row r="735" spans="1:26" x14ac:dyDescent="0.25">
      <c r="A735" s="15" t="s">
        <v>14868</v>
      </c>
      <c r="B735" s="15">
        <v>734</v>
      </c>
      <c r="C735" s="15" t="s">
        <v>11277</v>
      </c>
      <c r="D735" s="15" t="s">
        <v>11277</v>
      </c>
      <c r="E735" s="15" t="s">
        <v>1067</v>
      </c>
      <c r="F735" s="15" t="s">
        <v>1469</v>
      </c>
      <c r="G735" s="15" t="s">
        <v>11306</v>
      </c>
      <c r="H735" s="15">
        <v>25</v>
      </c>
      <c r="I735" s="15">
        <v>20</v>
      </c>
      <c r="J735" s="15">
        <v>19</v>
      </c>
      <c r="K735" s="15" t="str">
        <f t="shared" si="11"/>
        <v>zaharak</v>
      </c>
      <c r="L735" s="15" t="s">
        <v>11274</v>
      </c>
      <c r="M735" s="15">
        <v>1</v>
      </c>
      <c r="N735" s="15" t="s">
        <v>11222</v>
      </c>
      <c r="O735" s="15"/>
      <c r="P735" s="15"/>
      <c r="Q735" s="15"/>
      <c r="R735" s="15"/>
      <c r="S735" s="15"/>
      <c r="T735" s="15">
        <v>0</v>
      </c>
      <c r="U735" s="15"/>
      <c r="V735" s="15"/>
      <c r="W735" s="15"/>
      <c r="X735" s="15"/>
      <c r="Y735" s="15"/>
      <c r="Z735" s="15"/>
    </row>
    <row r="736" spans="1:26" x14ac:dyDescent="0.25">
      <c r="A736" s="15" t="s">
        <v>14869</v>
      </c>
      <c r="B736" s="15">
        <v>735</v>
      </c>
      <c r="C736" s="15" t="s">
        <v>11277</v>
      </c>
      <c r="D736" s="15" t="s">
        <v>11277</v>
      </c>
      <c r="E736" s="15" t="s">
        <v>1067</v>
      </c>
      <c r="F736" s="15" t="s">
        <v>1469</v>
      </c>
      <c r="G736" s="15" t="s">
        <v>11369</v>
      </c>
      <c r="H736" s="15">
        <v>25</v>
      </c>
      <c r="I736" s="15">
        <v>20</v>
      </c>
      <c r="J736" s="15">
        <v>21</v>
      </c>
      <c r="K736" s="15" t="str">
        <f t="shared" si="11"/>
        <v>zaharak</v>
      </c>
      <c r="L736" s="15" t="s">
        <v>11355</v>
      </c>
      <c r="M736" s="15">
        <v>1</v>
      </c>
      <c r="N736" s="15" t="s">
        <v>11222</v>
      </c>
      <c r="O736" s="15"/>
      <c r="P736" s="15"/>
      <c r="Q736" s="15"/>
      <c r="R736" s="15"/>
      <c r="S736" s="15"/>
      <c r="T736" s="15">
        <v>0</v>
      </c>
      <c r="U736" s="15"/>
      <c r="V736" s="15"/>
      <c r="W736" s="15"/>
      <c r="X736" s="15"/>
      <c r="Y736" s="15"/>
      <c r="Z736" s="15"/>
    </row>
    <row r="737" spans="1:26" x14ac:dyDescent="0.25">
      <c r="A737" s="15" t="s">
        <v>14870</v>
      </c>
      <c r="B737" s="15">
        <v>736</v>
      </c>
      <c r="C737" s="15" t="s">
        <v>11277</v>
      </c>
      <c r="D737" s="15" t="s">
        <v>11277</v>
      </c>
      <c r="E737" s="15" t="s">
        <v>1067</v>
      </c>
      <c r="F737" s="15" t="s">
        <v>1469</v>
      </c>
      <c r="G737" s="15" t="s">
        <v>11506</v>
      </c>
      <c r="H737" s="15">
        <v>25</v>
      </c>
      <c r="I737" s="15">
        <v>20</v>
      </c>
      <c r="J737" s="15">
        <v>29</v>
      </c>
      <c r="K737" s="15" t="str">
        <f t="shared" si="11"/>
        <v>zaharak</v>
      </c>
      <c r="L737" s="15" t="s">
        <v>11367</v>
      </c>
      <c r="M737" s="15">
        <v>1</v>
      </c>
      <c r="N737" s="15" t="s">
        <v>11222</v>
      </c>
      <c r="O737" s="15"/>
      <c r="P737" s="15"/>
      <c r="Q737" s="15"/>
      <c r="R737" s="15"/>
      <c r="S737" s="15"/>
      <c r="T737" s="15">
        <v>0</v>
      </c>
      <c r="U737" s="15"/>
      <c r="V737" s="15"/>
      <c r="W737" s="15"/>
      <c r="X737" s="15"/>
      <c r="Y737" s="15"/>
      <c r="Z737" s="15"/>
    </row>
    <row r="738" spans="1:26" x14ac:dyDescent="0.25">
      <c r="A738" s="15" t="s">
        <v>14871</v>
      </c>
      <c r="B738" s="15">
        <v>737</v>
      </c>
      <c r="C738" s="15" t="s">
        <v>11277</v>
      </c>
      <c r="D738" s="15" t="s">
        <v>11277</v>
      </c>
      <c r="E738" s="15" t="s">
        <v>1067</v>
      </c>
      <c r="F738" s="15" t="s">
        <v>1469</v>
      </c>
      <c r="G738" s="15" t="s">
        <v>11374</v>
      </c>
      <c r="H738" s="15">
        <v>25</v>
      </c>
      <c r="I738" s="15">
        <v>20</v>
      </c>
      <c r="J738" s="15">
        <v>36</v>
      </c>
      <c r="K738" s="15" t="str">
        <f t="shared" si="11"/>
        <v>zaharak</v>
      </c>
      <c r="L738" s="15" t="s">
        <v>11355</v>
      </c>
      <c r="M738" s="15">
        <v>1</v>
      </c>
      <c r="N738" s="15" t="s">
        <v>11222</v>
      </c>
      <c r="O738" s="15"/>
      <c r="P738" s="15"/>
      <c r="Q738" s="15"/>
      <c r="R738" s="15"/>
      <c r="S738" s="15"/>
      <c r="T738" s="15">
        <v>0</v>
      </c>
      <c r="U738" s="15"/>
      <c r="V738" s="15"/>
      <c r="W738" s="15"/>
      <c r="X738" s="15"/>
      <c r="Y738" s="15"/>
      <c r="Z738" s="15"/>
    </row>
    <row r="739" spans="1:26" x14ac:dyDescent="0.25">
      <c r="A739" s="15" t="s">
        <v>14872</v>
      </c>
      <c r="B739" s="15">
        <v>738</v>
      </c>
      <c r="C739" s="15" t="s">
        <v>11277</v>
      </c>
      <c r="D739" s="15" t="s">
        <v>11277</v>
      </c>
      <c r="E739" s="15" t="s">
        <v>1067</v>
      </c>
      <c r="F739" s="15" t="s">
        <v>1469</v>
      </c>
      <c r="G739" s="15" t="s">
        <v>11354</v>
      </c>
      <c r="H739" s="15">
        <v>25</v>
      </c>
      <c r="I739" s="15">
        <v>20</v>
      </c>
      <c r="J739" s="15">
        <v>40</v>
      </c>
      <c r="K739" s="15" t="str">
        <f t="shared" si="11"/>
        <v>zaharak</v>
      </c>
      <c r="L739" s="15" t="s">
        <v>11355</v>
      </c>
      <c r="M739" s="15">
        <v>2</v>
      </c>
      <c r="N739" s="15" t="s">
        <v>11223</v>
      </c>
      <c r="O739" s="15"/>
      <c r="P739" s="15"/>
      <c r="Q739" s="15"/>
      <c r="R739" s="15"/>
      <c r="S739" s="15"/>
      <c r="T739" s="15">
        <v>0</v>
      </c>
      <c r="U739" s="15"/>
      <c r="V739" s="15"/>
      <c r="W739" s="15"/>
      <c r="X739" s="15"/>
      <c r="Y739" s="15"/>
      <c r="Z739" s="15"/>
    </row>
    <row r="740" spans="1:26" x14ac:dyDescent="0.25">
      <c r="A740" s="15" t="s">
        <v>14873</v>
      </c>
      <c r="B740" s="15">
        <v>739</v>
      </c>
      <c r="C740" s="15" t="s">
        <v>11277</v>
      </c>
      <c r="D740" s="15" t="s">
        <v>11277</v>
      </c>
      <c r="E740" s="15" t="s">
        <v>1067</v>
      </c>
      <c r="F740" s="15" t="s">
        <v>1469</v>
      </c>
      <c r="G740" s="15" t="s">
        <v>11488</v>
      </c>
      <c r="H740" s="15">
        <v>25</v>
      </c>
      <c r="I740" s="15">
        <v>20</v>
      </c>
      <c r="J740" s="15">
        <v>41</v>
      </c>
      <c r="K740" s="15" t="str">
        <f t="shared" si="11"/>
        <v>zaharak</v>
      </c>
      <c r="L740" s="15" t="s">
        <v>11360</v>
      </c>
      <c r="M740" s="15">
        <v>1</v>
      </c>
      <c r="N740" s="15" t="s">
        <v>11222</v>
      </c>
      <c r="O740" s="15"/>
      <c r="P740" s="15"/>
      <c r="Q740" s="15"/>
      <c r="R740" s="15"/>
      <c r="S740" s="15"/>
      <c r="T740" s="15">
        <v>0</v>
      </c>
      <c r="U740" s="15"/>
      <c r="V740" s="15"/>
      <c r="W740" s="15"/>
      <c r="X740" s="15"/>
      <c r="Y740" s="15"/>
      <c r="Z740" s="15"/>
    </row>
    <row r="741" spans="1:26" x14ac:dyDescent="0.25">
      <c r="A741" s="15" t="s">
        <v>14874</v>
      </c>
      <c r="B741" s="15">
        <v>740</v>
      </c>
      <c r="C741" s="15" t="s">
        <v>11277</v>
      </c>
      <c r="D741" s="15" t="s">
        <v>11277</v>
      </c>
      <c r="E741" s="15" t="s">
        <v>1067</v>
      </c>
      <c r="F741" s="15" t="s">
        <v>1469</v>
      </c>
      <c r="G741" s="15" t="s">
        <v>11508</v>
      </c>
      <c r="H741" s="15">
        <v>25</v>
      </c>
      <c r="I741" s="15">
        <v>20</v>
      </c>
      <c r="J741" s="15">
        <v>49</v>
      </c>
      <c r="K741" s="15" t="str">
        <f t="shared" si="11"/>
        <v>zaharak</v>
      </c>
      <c r="L741" s="15" t="s">
        <v>11376</v>
      </c>
      <c r="M741" s="15">
        <v>2</v>
      </c>
      <c r="N741" s="15" t="s">
        <v>11223</v>
      </c>
      <c r="O741" s="15"/>
      <c r="P741" s="15"/>
      <c r="Q741" s="15"/>
      <c r="R741" s="15"/>
      <c r="S741" s="15"/>
      <c r="T741" s="15">
        <v>0</v>
      </c>
      <c r="U741" s="15" t="s">
        <v>5893</v>
      </c>
      <c r="V741" s="15" t="s">
        <v>5892</v>
      </c>
      <c r="W741" s="15" t="s">
        <v>6054</v>
      </c>
      <c r="X741" s="15"/>
      <c r="Y741" s="15"/>
      <c r="Z741" s="15"/>
    </row>
    <row r="742" spans="1:26" x14ac:dyDescent="0.25">
      <c r="A742" s="15" t="s">
        <v>14875</v>
      </c>
      <c r="B742" s="15">
        <v>741</v>
      </c>
      <c r="C742" s="15" t="s">
        <v>11277</v>
      </c>
      <c r="D742" s="15" t="s">
        <v>11277</v>
      </c>
      <c r="E742" s="15" t="s">
        <v>1067</v>
      </c>
      <c r="F742" s="15" t="s">
        <v>1469</v>
      </c>
      <c r="G742" s="15" t="s">
        <v>11509</v>
      </c>
      <c r="H742" s="15">
        <v>25</v>
      </c>
      <c r="I742" s="15">
        <v>20</v>
      </c>
      <c r="J742" s="15">
        <v>50</v>
      </c>
      <c r="K742" s="15" t="str">
        <f t="shared" si="11"/>
        <v>zaharak</v>
      </c>
      <c r="L742" s="15" t="s">
        <v>11376</v>
      </c>
      <c r="M742" s="15">
        <v>3</v>
      </c>
      <c r="N742" s="15" t="s">
        <v>11223</v>
      </c>
      <c r="O742" s="15" t="s">
        <v>14021</v>
      </c>
      <c r="P742" s="15"/>
      <c r="Q742" s="15"/>
      <c r="R742" s="15"/>
      <c r="S742" s="15"/>
      <c r="T742" s="15">
        <v>3</v>
      </c>
      <c r="U742" s="15" t="s">
        <v>6054</v>
      </c>
      <c r="V742" s="15"/>
      <c r="W742" s="15"/>
      <c r="X742" s="15"/>
      <c r="Y742" s="15"/>
      <c r="Z742" s="15"/>
    </row>
    <row r="743" spans="1:26" x14ac:dyDescent="0.25">
      <c r="A743" s="15" t="s">
        <v>14876</v>
      </c>
      <c r="B743" s="15">
        <v>742</v>
      </c>
      <c r="C743" s="15" t="s">
        <v>11277</v>
      </c>
      <c r="D743" s="15" t="s">
        <v>11277</v>
      </c>
      <c r="E743" s="15" t="s">
        <v>1067</v>
      </c>
      <c r="F743" s="15" t="s">
        <v>3410</v>
      </c>
      <c r="G743" s="15" t="s">
        <v>11270</v>
      </c>
      <c r="H743" s="15">
        <v>15</v>
      </c>
      <c r="I743" s="15">
        <v>31</v>
      </c>
      <c r="J743" s="15">
        <v>20</v>
      </c>
      <c r="K743" s="15" t="str">
        <f t="shared" si="11"/>
        <v>forgottensprings</v>
      </c>
      <c r="L743" s="15" t="s">
        <v>11271</v>
      </c>
      <c r="M743" s="15">
        <v>1</v>
      </c>
      <c r="N743" s="15" t="s">
        <v>11222</v>
      </c>
      <c r="O743" s="15"/>
      <c r="P743" s="15"/>
      <c r="Q743" s="15"/>
      <c r="R743" s="15"/>
      <c r="S743" s="15"/>
      <c r="T743" s="15">
        <v>0</v>
      </c>
      <c r="U743" s="15"/>
      <c r="V743" s="15"/>
      <c r="W743" s="15"/>
      <c r="X743" s="15"/>
      <c r="Y743" s="15"/>
      <c r="Z743" s="15"/>
    </row>
    <row r="744" spans="1:26" x14ac:dyDescent="0.25">
      <c r="A744" s="15" t="s">
        <v>14877</v>
      </c>
      <c r="B744" s="15">
        <v>743</v>
      </c>
      <c r="C744" s="15" t="s">
        <v>11277</v>
      </c>
      <c r="D744" s="15" t="s">
        <v>11277</v>
      </c>
      <c r="E744" s="15" t="s">
        <v>1067</v>
      </c>
      <c r="F744" s="15" t="s">
        <v>3410</v>
      </c>
      <c r="G744" s="15" t="s">
        <v>11500</v>
      </c>
      <c r="H744" s="15">
        <v>15</v>
      </c>
      <c r="I744" s="15">
        <v>31</v>
      </c>
      <c r="J744" s="15">
        <v>23</v>
      </c>
      <c r="K744" s="15" t="str">
        <f t="shared" si="11"/>
        <v>forgottensprings</v>
      </c>
      <c r="L744" s="15" t="s">
        <v>11274</v>
      </c>
      <c r="M744" s="15">
        <v>2</v>
      </c>
      <c r="N744" s="15" t="s">
        <v>11223</v>
      </c>
      <c r="O744" s="15"/>
      <c r="P744" s="15"/>
      <c r="Q744" s="15"/>
      <c r="R744" s="15"/>
      <c r="S744" s="15"/>
      <c r="T744" s="15">
        <v>0</v>
      </c>
      <c r="U744" s="15"/>
      <c r="V744" s="15"/>
      <c r="W744" s="15"/>
      <c r="X744" s="15"/>
      <c r="Y744" s="15"/>
      <c r="Z744" s="15"/>
    </row>
    <row r="745" spans="1:26" x14ac:dyDescent="0.25">
      <c r="A745" s="15" t="s">
        <v>14878</v>
      </c>
      <c r="B745" s="15">
        <v>744</v>
      </c>
      <c r="C745" s="15" t="s">
        <v>11277</v>
      </c>
      <c r="D745" s="15" t="s">
        <v>11277</v>
      </c>
      <c r="E745" s="15" t="s">
        <v>1067</v>
      </c>
      <c r="F745" s="15" t="s">
        <v>3410</v>
      </c>
      <c r="G745" s="15" t="s">
        <v>11357</v>
      </c>
      <c r="H745" s="15">
        <v>15</v>
      </c>
      <c r="I745" s="15">
        <v>31</v>
      </c>
      <c r="J745" s="15">
        <v>29</v>
      </c>
      <c r="K745" s="15" t="str">
        <f t="shared" si="11"/>
        <v>forgottensprings</v>
      </c>
      <c r="L745" s="15" t="s">
        <v>14088</v>
      </c>
      <c r="M745" s="15">
        <v>1</v>
      </c>
      <c r="N745" s="15" t="s">
        <v>11222</v>
      </c>
      <c r="O745" s="15"/>
      <c r="P745" s="15"/>
      <c r="Q745" s="15" t="s">
        <v>11270</v>
      </c>
      <c r="R745" s="15"/>
      <c r="S745" s="15"/>
      <c r="T745" s="15">
        <v>0</v>
      </c>
      <c r="U745" s="15"/>
      <c r="V745" s="15"/>
      <c r="W745" s="15"/>
      <c r="X745" s="15"/>
      <c r="Y745" s="15"/>
      <c r="Z745" s="15"/>
    </row>
    <row r="746" spans="1:26" x14ac:dyDescent="0.25">
      <c r="A746" s="15" t="s">
        <v>14879</v>
      </c>
      <c r="B746" s="15">
        <v>745</v>
      </c>
      <c r="C746" s="15" t="s">
        <v>11277</v>
      </c>
      <c r="D746" s="15" t="s">
        <v>11277</v>
      </c>
      <c r="E746" s="15" t="s">
        <v>1067</v>
      </c>
      <c r="F746" s="15" t="s">
        <v>3410</v>
      </c>
      <c r="G746" s="15" t="s">
        <v>11506</v>
      </c>
      <c r="H746" s="15">
        <v>15</v>
      </c>
      <c r="I746" s="15">
        <v>31</v>
      </c>
      <c r="J746" s="15">
        <v>29</v>
      </c>
      <c r="K746" s="15" t="str">
        <f t="shared" si="11"/>
        <v>forgottensprings</v>
      </c>
      <c r="L746" s="15" t="s">
        <v>11308</v>
      </c>
      <c r="M746" s="15">
        <v>1</v>
      </c>
      <c r="N746" s="15" t="s">
        <v>11222</v>
      </c>
      <c r="O746" s="15"/>
      <c r="P746" s="15"/>
      <c r="Q746" s="15"/>
      <c r="R746" s="15"/>
      <c r="S746" s="15"/>
      <c r="T746" s="15">
        <v>0</v>
      </c>
      <c r="U746" s="15"/>
      <c r="V746" s="15"/>
      <c r="W746" s="15"/>
      <c r="X746" s="15"/>
      <c r="Y746" s="15"/>
      <c r="Z746" s="15"/>
    </row>
    <row r="747" spans="1:26" x14ac:dyDescent="0.25">
      <c r="A747" s="15" t="s">
        <v>14880</v>
      </c>
      <c r="B747" s="15">
        <v>746</v>
      </c>
      <c r="C747" s="15" t="s">
        <v>11277</v>
      </c>
      <c r="D747" s="15" t="s">
        <v>11277</v>
      </c>
      <c r="E747" s="15" t="s">
        <v>1067</v>
      </c>
      <c r="F747" s="15" t="s">
        <v>3410</v>
      </c>
      <c r="G747" s="15" t="s">
        <v>11510</v>
      </c>
      <c r="H747" s="15">
        <v>15</v>
      </c>
      <c r="I747" s="15">
        <v>31</v>
      </c>
      <c r="J747" s="15">
        <v>32</v>
      </c>
      <c r="K747" s="15" t="str">
        <f t="shared" si="11"/>
        <v>forgottensprings</v>
      </c>
      <c r="L747" s="15" t="s">
        <v>11419</v>
      </c>
      <c r="M747" s="15">
        <v>2</v>
      </c>
      <c r="N747" s="15" t="s">
        <v>11223</v>
      </c>
      <c r="O747" s="15"/>
      <c r="P747" s="15"/>
      <c r="Q747" s="15"/>
      <c r="R747" s="15"/>
      <c r="S747" s="15"/>
      <c r="T747" s="15">
        <v>0</v>
      </c>
      <c r="U747" s="15"/>
      <c r="V747" s="15"/>
      <c r="W747" s="15"/>
      <c r="X747" s="15"/>
      <c r="Y747" s="15"/>
      <c r="Z747" s="15"/>
    </row>
    <row r="748" spans="1:26" x14ac:dyDescent="0.25">
      <c r="A748" s="15" t="s">
        <v>14881</v>
      </c>
      <c r="B748" s="15">
        <v>747</v>
      </c>
      <c r="C748" s="15" t="s">
        <v>11277</v>
      </c>
      <c r="D748" s="15" t="s">
        <v>11277</v>
      </c>
      <c r="E748" s="15" t="s">
        <v>1067</v>
      </c>
      <c r="F748" s="15" t="s">
        <v>3410</v>
      </c>
      <c r="G748" s="15" t="s">
        <v>11374</v>
      </c>
      <c r="H748" s="15">
        <v>15</v>
      </c>
      <c r="I748" s="15">
        <v>31</v>
      </c>
      <c r="J748" s="15">
        <v>36</v>
      </c>
      <c r="K748" s="15" t="str">
        <f t="shared" si="11"/>
        <v>forgottensprings</v>
      </c>
      <c r="L748" s="15" t="s">
        <v>11355</v>
      </c>
      <c r="M748" s="15">
        <v>1</v>
      </c>
      <c r="N748" s="15" t="s">
        <v>11222</v>
      </c>
      <c r="O748" s="15"/>
      <c r="P748" s="15"/>
      <c r="Q748" s="15"/>
      <c r="R748" s="15"/>
      <c r="S748" s="15"/>
      <c r="T748" s="15">
        <v>0</v>
      </c>
      <c r="U748" s="15"/>
      <c r="V748" s="15"/>
      <c r="W748" s="15"/>
      <c r="X748" s="15"/>
      <c r="Y748" s="15"/>
      <c r="Z748" s="15"/>
    </row>
    <row r="749" spans="1:26" x14ac:dyDescent="0.25">
      <c r="A749" s="15" t="s">
        <v>14882</v>
      </c>
      <c r="B749" s="15">
        <v>748</v>
      </c>
      <c r="C749" s="15" t="s">
        <v>11277</v>
      </c>
      <c r="D749" s="15" t="s">
        <v>11277</v>
      </c>
      <c r="E749" s="15" t="s">
        <v>1067</v>
      </c>
      <c r="F749" s="15" t="s">
        <v>3410</v>
      </c>
      <c r="G749" s="15" t="s">
        <v>11465</v>
      </c>
      <c r="H749" s="15">
        <v>15</v>
      </c>
      <c r="I749" s="15">
        <v>31</v>
      </c>
      <c r="J749" s="15">
        <v>39</v>
      </c>
      <c r="K749" s="15" t="str">
        <f t="shared" si="11"/>
        <v>forgottensprings</v>
      </c>
      <c r="L749" s="15" t="s">
        <v>11355</v>
      </c>
      <c r="M749" s="15">
        <v>1</v>
      </c>
      <c r="N749" s="15" t="s">
        <v>11222</v>
      </c>
      <c r="O749" s="15"/>
      <c r="P749" s="15"/>
      <c r="Q749" s="15"/>
      <c r="R749" s="15"/>
      <c r="S749" s="15"/>
      <c r="T749" s="15">
        <v>0</v>
      </c>
      <c r="U749" s="15"/>
      <c r="V749" s="15"/>
      <c r="W749" s="15"/>
      <c r="X749" s="15"/>
      <c r="Y749" s="15"/>
      <c r="Z749" s="15"/>
    </row>
    <row r="750" spans="1:26" x14ac:dyDescent="0.25">
      <c r="A750" s="15" t="s">
        <v>14883</v>
      </c>
      <c r="B750" s="15">
        <v>749</v>
      </c>
      <c r="C750" s="15" t="s">
        <v>11277</v>
      </c>
      <c r="D750" s="15" t="s">
        <v>11277</v>
      </c>
      <c r="E750" s="15" t="s">
        <v>1067</v>
      </c>
      <c r="F750" s="15" t="s">
        <v>3410</v>
      </c>
      <c r="G750" s="15" t="s">
        <v>11511</v>
      </c>
      <c r="H750" s="15">
        <v>15</v>
      </c>
      <c r="I750" s="15">
        <v>31</v>
      </c>
      <c r="J750" s="15">
        <v>50</v>
      </c>
      <c r="K750" s="15" t="str">
        <f t="shared" si="11"/>
        <v>forgottensprings</v>
      </c>
      <c r="L750" s="15" t="s">
        <v>11367</v>
      </c>
      <c r="M750" s="15">
        <v>3</v>
      </c>
      <c r="N750" s="15" t="s">
        <v>11223</v>
      </c>
      <c r="O750" s="15"/>
      <c r="P750" s="15"/>
      <c r="Q750" s="15"/>
      <c r="R750" s="15"/>
      <c r="S750" s="15"/>
      <c r="T750" s="15">
        <v>3</v>
      </c>
      <c r="U750" s="15" t="s">
        <v>5914</v>
      </c>
      <c r="V750" s="15"/>
      <c r="W750" s="15"/>
      <c r="X750" s="15"/>
      <c r="Y750" s="15"/>
      <c r="Z750" s="15"/>
    </row>
    <row r="751" spans="1:26" x14ac:dyDescent="0.25">
      <c r="A751" s="15" t="s">
        <v>14884</v>
      </c>
      <c r="B751" s="15">
        <v>750</v>
      </c>
      <c r="C751" s="15" t="s">
        <v>11277</v>
      </c>
      <c r="D751" s="15" t="s">
        <v>11277</v>
      </c>
      <c r="E751" s="15" t="s">
        <v>1067</v>
      </c>
      <c r="F751" s="15" t="s">
        <v>1454</v>
      </c>
      <c r="G751" s="15" t="s">
        <v>11512</v>
      </c>
      <c r="H751" s="15">
        <v>12</v>
      </c>
      <c r="I751" s="15">
        <v>35</v>
      </c>
      <c r="J751" s="15">
        <v>35</v>
      </c>
      <c r="K751" s="15" t="str">
        <f t="shared" si="11"/>
        <v>sagoliidesert</v>
      </c>
      <c r="L751" s="15" t="s">
        <v>11513</v>
      </c>
      <c r="M751" s="15">
        <v>1</v>
      </c>
      <c r="N751" s="15" t="s">
        <v>11222</v>
      </c>
      <c r="O751" s="15"/>
      <c r="P751" s="15"/>
      <c r="Q751" s="15"/>
      <c r="R751" s="15"/>
      <c r="S751" s="15"/>
      <c r="T751" s="15">
        <v>0</v>
      </c>
      <c r="U751" s="15"/>
      <c r="V751" s="15"/>
      <c r="W751" s="15"/>
      <c r="X751" s="15"/>
      <c r="Y751" s="15"/>
      <c r="Z751" s="15"/>
    </row>
    <row r="752" spans="1:26" x14ac:dyDescent="0.25">
      <c r="A752" s="15" t="s">
        <v>14885</v>
      </c>
      <c r="B752" s="15">
        <v>751</v>
      </c>
      <c r="C752" s="15" t="s">
        <v>11277</v>
      </c>
      <c r="D752" s="15" t="s">
        <v>11277</v>
      </c>
      <c r="E752" s="15" t="s">
        <v>1067</v>
      </c>
      <c r="F752" s="15" t="s">
        <v>1454</v>
      </c>
      <c r="G752" s="15" t="s">
        <v>11514</v>
      </c>
      <c r="H752" s="15">
        <v>12</v>
      </c>
      <c r="I752" s="15">
        <v>35</v>
      </c>
      <c r="J752" s="15">
        <v>36</v>
      </c>
      <c r="K752" s="15" t="str">
        <f t="shared" si="11"/>
        <v>sagoliidesert</v>
      </c>
      <c r="L752" s="15" t="s">
        <v>11513</v>
      </c>
      <c r="M752" s="15">
        <v>2</v>
      </c>
      <c r="N752" s="15" t="s">
        <v>11223</v>
      </c>
      <c r="O752" s="15"/>
      <c r="P752" s="15"/>
      <c r="Q752" s="15"/>
      <c r="R752" s="15"/>
      <c r="S752" s="15"/>
      <c r="T752" s="15">
        <v>0</v>
      </c>
      <c r="U752" s="15"/>
      <c r="V752" s="15"/>
      <c r="W752" s="15"/>
      <c r="X752" s="15"/>
      <c r="Y752" s="15"/>
      <c r="Z752" s="15"/>
    </row>
    <row r="753" spans="1:26" x14ac:dyDescent="0.25">
      <c r="A753" s="15" t="s">
        <v>14886</v>
      </c>
      <c r="B753" s="15">
        <v>752</v>
      </c>
      <c r="C753" s="15" t="s">
        <v>11277</v>
      </c>
      <c r="D753" s="15" t="s">
        <v>11277</v>
      </c>
      <c r="E753" s="15" t="s">
        <v>1067</v>
      </c>
      <c r="F753" s="15" t="s">
        <v>1454</v>
      </c>
      <c r="G753" s="15" t="s">
        <v>11515</v>
      </c>
      <c r="H753" s="15">
        <v>12</v>
      </c>
      <c r="I753" s="15">
        <v>35</v>
      </c>
      <c r="J753" s="15">
        <v>38</v>
      </c>
      <c r="K753" s="15" t="str">
        <f t="shared" si="11"/>
        <v>sagoliidesert</v>
      </c>
      <c r="L753" s="15" t="s">
        <v>11513</v>
      </c>
      <c r="M753" s="15">
        <v>2</v>
      </c>
      <c r="N753" s="15" t="s">
        <v>11223</v>
      </c>
      <c r="O753" s="15"/>
      <c r="P753" s="15"/>
      <c r="Q753" s="15"/>
      <c r="R753" s="15"/>
      <c r="S753" s="15"/>
      <c r="T753" s="15">
        <v>0</v>
      </c>
      <c r="U753" s="15"/>
      <c r="V753" s="15"/>
      <c r="W753" s="15"/>
      <c r="X753" s="15"/>
      <c r="Y753" s="15"/>
      <c r="Z753" s="15"/>
    </row>
    <row r="754" spans="1:26" x14ac:dyDescent="0.25">
      <c r="A754" s="15" t="s">
        <v>14887</v>
      </c>
      <c r="B754" s="15">
        <v>753</v>
      </c>
      <c r="C754" s="15" t="s">
        <v>11277</v>
      </c>
      <c r="D754" s="15" t="s">
        <v>11277</v>
      </c>
      <c r="E754" s="15" t="s">
        <v>1067</v>
      </c>
      <c r="F754" s="15" t="s">
        <v>1454</v>
      </c>
      <c r="G754" s="15" t="s">
        <v>11516</v>
      </c>
      <c r="H754" s="15">
        <v>12</v>
      </c>
      <c r="I754" s="15">
        <v>35</v>
      </c>
      <c r="J754" s="15">
        <v>39</v>
      </c>
      <c r="K754" s="15" t="str">
        <f t="shared" si="11"/>
        <v>sagoliidesert</v>
      </c>
      <c r="L754" s="15" t="s">
        <v>11513</v>
      </c>
      <c r="M754" s="15">
        <v>2</v>
      </c>
      <c r="N754" s="15" t="s">
        <v>11223</v>
      </c>
      <c r="O754" s="15"/>
      <c r="P754" s="15"/>
      <c r="Q754" s="15"/>
      <c r="R754" s="15"/>
      <c r="S754" s="15"/>
      <c r="T754" s="15">
        <v>0</v>
      </c>
      <c r="U754" s="15"/>
      <c r="V754" s="15"/>
      <c r="W754" s="15"/>
      <c r="X754" s="15"/>
      <c r="Y754" s="15"/>
      <c r="Z754" s="15"/>
    </row>
    <row r="755" spans="1:26" x14ac:dyDescent="0.25">
      <c r="A755" s="15" t="s">
        <v>14888</v>
      </c>
      <c r="B755" s="15">
        <v>754</v>
      </c>
      <c r="C755" s="15" t="s">
        <v>11277</v>
      </c>
      <c r="D755" s="15" t="s">
        <v>11277</v>
      </c>
      <c r="E755" s="15" t="s">
        <v>1067</v>
      </c>
      <c r="F755" s="15" t="s">
        <v>1454</v>
      </c>
      <c r="G755" s="15" t="s">
        <v>11517</v>
      </c>
      <c r="H755" s="15">
        <v>12</v>
      </c>
      <c r="I755" s="15">
        <v>35</v>
      </c>
      <c r="J755" s="15">
        <v>40</v>
      </c>
      <c r="K755" s="15" t="str">
        <f t="shared" si="11"/>
        <v>sagoliidesert</v>
      </c>
      <c r="L755" s="15" t="s">
        <v>11518</v>
      </c>
      <c r="M755" s="15">
        <v>2</v>
      </c>
      <c r="N755" s="15" t="s">
        <v>11223</v>
      </c>
      <c r="O755" s="15"/>
      <c r="P755" s="15"/>
      <c r="Q755" s="15"/>
      <c r="R755" s="15"/>
      <c r="S755" s="15"/>
      <c r="T755" s="15">
        <v>0</v>
      </c>
      <c r="U755" s="15"/>
      <c r="V755" s="15"/>
      <c r="W755" s="15"/>
      <c r="X755" s="15"/>
      <c r="Y755" s="15"/>
      <c r="Z755" s="15"/>
    </row>
    <row r="756" spans="1:26" x14ac:dyDescent="0.25">
      <c r="A756" s="15" t="s">
        <v>14889</v>
      </c>
      <c r="B756" s="15">
        <v>755</v>
      </c>
      <c r="C756" s="15" t="s">
        <v>11277</v>
      </c>
      <c r="D756" s="15" t="s">
        <v>11277</v>
      </c>
      <c r="E756" s="15" t="s">
        <v>1067</v>
      </c>
      <c r="F756" s="15" t="s">
        <v>1454</v>
      </c>
      <c r="G756" s="15" t="s">
        <v>11519</v>
      </c>
      <c r="H756" s="15">
        <v>12</v>
      </c>
      <c r="I756" s="15">
        <v>35</v>
      </c>
      <c r="J756" s="15">
        <v>41</v>
      </c>
      <c r="K756" s="15" t="str">
        <f t="shared" si="11"/>
        <v>sagoliidesert</v>
      </c>
      <c r="L756" s="15" t="s">
        <v>14088</v>
      </c>
      <c r="M756" s="15">
        <v>2</v>
      </c>
      <c r="N756" s="15" t="s">
        <v>11223</v>
      </c>
      <c r="O756" s="15"/>
      <c r="P756" s="15"/>
      <c r="Q756" s="15" t="s">
        <v>11516</v>
      </c>
      <c r="R756" s="15"/>
      <c r="S756" s="15"/>
      <c r="T756" s="15">
        <v>0</v>
      </c>
      <c r="U756" s="15"/>
      <c r="V756" s="15"/>
      <c r="W756" s="15"/>
      <c r="X756" s="15"/>
      <c r="Y756" s="15"/>
      <c r="Z756" s="15"/>
    </row>
    <row r="757" spans="1:26" x14ac:dyDescent="0.25">
      <c r="A757" s="15" t="s">
        <v>14890</v>
      </c>
      <c r="B757" s="15">
        <v>756</v>
      </c>
      <c r="C757" s="15" t="s">
        <v>11277</v>
      </c>
      <c r="D757" s="15" t="s">
        <v>11277</v>
      </c>
      <c r="E757" s="15" t="s">
        <v>1067</v>
      </c>
      <c r="F757" s="15" t="s">
        <v>1454</v>
      </c>
      <c r="G757" s="15" t="s">
        <v>11520</v>
      </c>
      <c r="H757" s="15">
        <v>12</v>
      </c>
      <c r="I757" s="15">
        <v>35</v>
      </c>
      <c r="J757" s="15">
        <v>50</v>
      </c>
      <c r="K757" s="15" t="str">
        <f t="shared" si="11"/>
        <v>sagoliidesert</v>
      </c>
      <c r="L757" s="15" t="s">
        <v>14088</v>
      </c>
      <c r="M757" s="15">
        <v>2</v>
      </c>
      <c r="N757" s="15" t="s">
        <v>11223</v>
      </c>
      <c r="O757" s="15"/>
      <c r="P757" s="15"/>
      <c r="Q757" s="15" t="s">
        <v>11512</v>
      </c>
      <c r="R757" s="15"/>
      <c r="S757" s="15"/>
      <c r="T757" s="15">
        <v>0</v>
      </c>
      <c r="U757" s="15"/>
      <c r="V757" s="15"/>
      <c r="W757" s="15"/>
      <c r="X757" s="15"/>
      <c r="Y757" s="15"/>
      <c r="Z757" s="15"/>
    </row>
    <row r="758" spans="1:26" x14ac:dyDescent="0.25">
      <c r="A758" s="15" t="s">
        <v>14891</v>
      </c>
      <c r="B758" s="15">
        <v>757</v>
      </c>
      <c r="C758" s="15" t="s">
        <v>11277</v>
      </c>
      <c r="D758" s="15" t="s">
        <v>11277</v>
      </c>
      <c r="E758" s="15" t="s">
        <v>1067</v>
      </c>
      <c r="F758" s="15" t="s">
        <v>1454</v>
      </c>
      <c r="G758" s="15" t="s">
        <v>11521</v>
      </c>
      <c r="H758" s="15">
        <v>12</v>
      </c>
      <c r="I758" s="15">
        <v>35</v>
      </c>
      <c r="J758" s="15">
        <v>50</v>
      </c>
      <c r="K758" s="15" t="str">
        <f t="shared" si="11"/>
        <v>sagoliidesert</v>
      </c>
      <c r="L758" s="15" t="s">
        <v>14088</v>
      </c>
      <c r="M758" s="15">
        <v>3</v>
      </c>
      <c r="N758" s="15" t="s">
        <v>11223</v>
      </c>
      <c r="O758" s="15" t="s">
        <v>14012</v>
      </c>
      <c r="P758" s="15"/>
      <c r="Q758" s="15" t="s">
        <v>11516</v>
      </c>
      <c r="R758" s="15"/>
      <c r="S758" s="15"/>
      <c r="T758" s="15">
        <v>3</v>
      </c>
      <c r="U758" s="15" t="s">
        <v>6054</v>
      </c>
      <c r="V758" s="15"/>
      <c r="W758" s="15"/>
      <c r="X758" s="15"/>
      <c r="Y758" s="15"/>
      <c r="Z758" s="15"/>
    </row>
    <row r="759" spans="1:26" x14ac:dyDescent="0.25">
      <c r="A759" s="15" t="s">
        <v>14892</v>
      </c>
      <c r="B759" s="15">
        <v>758</v>
      </c>
      <c r="C759" s="15" t="s">
        <v>11277</v>
      </c>
      <c r="D759" s="15" t="s">
        <v>11277</v>
      </c>
      <c r="E759" s="15" t="s">
        <v>1067</v>
      </c>
      <c r="F759" s="15" t="s">
        <v>1454</v>
      </c>
      <c r="G759" s="15" t="s">
        <v>11522</v>
      </c>
      <c r="H759" s="15">
        <v>12</v>
      </c>
      <c r="I759" s="15">
        <v>35</v>
      </c>
      <c r="J759" s="15">
        <v>50</v>
      </c>
      <c r="K759" s="15" t="str">
        <f t="shared" si="11"/>
        <v>sagoliidesert</v>
      </c>
      <c r="L759" s="15" t="s">
        <v>14088</v>
      </c>
      <c r="M759" s="15">
        <v>3</v>
      </c>
      <c r="N759" s="15" t="s">
        <v>11223</v>
      </c>
      <c r="O759" s="15" t="s">
        <v>14008</v>
      </c>
      <c r="P759" s="15"/>
      <c r="Q759" s="15" t="s">
        <v>11516</v>
      </c>
      <c r="R759" s="15"/>
      <c r="S759" s="15"/>
      <c r="T759" s="15">
        <v>3</v>
      </c>
      <c r="U759" s="15" t="s">
        <v>5908</v>
      </c>
      <c r="V759" s="15" t="s">
        <v>5914</v>
      </c>
      <c r="W759" s="15"/>
      <c r="X759" s="15" t="s">
        <v>6054</v>
      </c>
      <c r="Y759" s="15"/>
      <c r="Z759" s="15"/>
    </row>
    <row r="760" spans="1:26" x14ac:dyDescent="0.25">
      <c r="A760" s="15" t="s">
        <v>14893</v>
      </c>
      <c r="B760" s="15">
        <v>759</v>
      </c>
      <c r="C760" s="15" t="s">
        <v>11277</v>
      </c>
      <c r="D760" s="15" t="s">
        <v>11277</v>
      </c>
      <c r="E760" s="15" t="s">
        <v>1067</v>
      </c>
      <c r="F760" s="15" t="s">
        <v>14894</v>
      </c>
      <c r="G760" s="15" t="s">
        <v>11514</v>
      </c>
      <c r="H760" s="15">
        <v>27</v>
      </c>
      <c r="I760" s="15">
        <v>38</v>
      </c>
      <c r="J760" s="15">
        <v>36</v>
      </c>
      <c r="K760" s="15" t="str">
        <f t="shared" si="11"/>
        <v>sagoliidunes</v>
      </c>
      <c r="L760" s="15" t="s">
        <v>11513</v>
      </c>
      <c r="M760" s="15">
        <v>2</v>
      </c>
      <c r="N760" s="15" t="s">
        <v>11223</v>
      </c>
      <c r="O760" s="15"/>
      <c r="P760" s="15"/>
      <c r="Q760" s="15"/>
      <c r="R760" s="15"/>
      <c r="S760" s="15"/>
      <c r="T760" s="15">
        <v>0</v>
      </c>
      <c r="U760" s="15"/>
      <c r="V760" s="15"/>
      <c r="W760" s="15"/>
      <c r="X760" s="15"/>
      <c r="Y760" s="15"/>
      <c r="Z760" s="15"/>
    </row>
    <row r="761" spans="1:26" x14ac:dyDescent="0.25">
      <c r="A761" s="15" t="s">
        <v>14895</v>
      </c>
      <c r="B761" s="15">
        <v>760</v>
      </c>
      <c r="C761" s="15" t="s">
        <v>11277</v>
      </c>
      <c r="D761" s="15" t="s">
        <v>11277</v>
      </c>
      <c r="E761" s="15" t="s">
        <v>1067</v>
      </c>
      <c r="F761" s="15" t="s">
        <v>14894</v>
      </c>
      <c r="G761" s="15" t="s">
        <v>11523</v>
      </c>
      <c r="H761" s="15">
        <v>27</v>
      </c>
      <c r="I761" s="15">
        <v>38</v>
      </c>
      <c r="J761" s="15">
        <v>37</v>
      </c>
      <c r="K761" s="15" t="str">
        <f t="shared" si="11"/>
        <v>sagoliidunes</v>
      </c>
      <c r="L761" s="15" t="s">
        <v>11513</v>
      </c>
      <c r="M761" s="15">
        <v>2</v>
      </c>
      <c r="N761" s="15" t="s">
        <v>11223</v>
      </c>
      <c r="O761" s="15"/>
      <c r="P761" s="15"/>
      <c r="Q761" s="15"/>
      <c r="R761" s="15"/>
      <c r="S761" s="15"/>
      <c r="T761" s="15">
        <v>0</v>
      </c>
      <c r="U761" s="15"/>
      <c r="V761" s="15"/>
      <c r="W761" s="15"/>
      <c r="X761" s="15"/>
      <c r="Y761" s="15"/>
      <c r="Z761" s="15"/>
    </row>
    <row r="762" spans="1:26" x14ac:dyDescent="0.25">
      <c r="A762" s="15" t="s">
        <v>14896</v>
      </c>
      <c r="B762" s="15">
        <v>761</v>
      </c>
      <c r="C762" s="15" t="s">
        <v>11277</v>
      </c>
      <c r="D762" s="15" t="s">
        <v>11277</v>
      </c>
      <c r="E762" s="15" t="s">
        <v>1067</v>
      </c>
      <c r="F762" s="15" t="s">
        <v>14894</v>
      </c>
      <c r="G762" s="15" t="s">
        <v>11515</v>
      </c>
      <c r="H762" s="15">
        <v>27</v>
      </c>
      <c r="I762" s="15">
        <v>38</v>
      </c>
      <c r="J762" s="15">
        <v>38</v>
      </c>
      <c r="K762" s="15" t="str">
        <f t="shared" si="11"/>
        <v>sagoliidunes</v>
      </c>
      <c r="L762" s="15" t="s">
        <v>11513</v>
      </c>
      <c r="M762" s="15">
        <v>2</v>
      </c>
      <c r="N762" s="15" t="s">
        <v>11223</v>
      </c>
      <c r="O762" s="15"/>
      <c r="P762" s="15"/>
      <c r="Q762" s="15"/>
      <c r="R762" s="15"/>
      <c r="S762" s="15"/>
      <c r="T762" s="15">
        <v>0</v>
      </c>
      <c r="U762" s="15"/>
      <c r="V762" s="15"/>
      <c r="W762" s="15"/>
      <c r="X762" s="15"/>
      <c r="Y762" s="15"/>
      <c r="Z762" s="15"/>
    </row>
    <row r="763" spans="1:26" x14ac:dyDescent="0.25">
      <c r="A763" s="15" t="s">
        <v>14897</v>
      </c>
      <c r="B763" s="15">
        <v>762</v>
      </c>
      <c r="C763" s="15" t="s">
        <v>11277</v>
      </c>
      <c r="D763" s="15" t="s">
        <v>11277</v>
      </c>
      <c r="E763" s="15" t="s">
        <v>1067</v>
      </c>
      <c r="F763" s="15" t="s">
        <v>14894</v>
      </c>
      <c r="G763" s="15" t="s">
        <v>11516</v>
      </c>
      <c r="H763" s="15">
        <v>27</v>
      </c>
      <c r="I763" s="15">
        <v>38</v>
      </c>
      <c r="J763" s="15">
        <v>39</v>
      </c>
      <c r="K763" s="15" t="str">
        <f t="shared" si="11"/>
        <v>sagoliidunes</v>
      </c>
      <c r="L763" s="15" t="s">
        <v>11513</v>
      </c>
      <c r="M763" s="15">
        <v>2</v>
      </c>
      <c r="N763" s="15" t="s">
        <v>11223</v>
      </c>
      <c r="O763" s="15"/>
      <c r="P763" s="15"/>
      <c r="Q763" s="15"/>
      <c r="R763" s="15"/>
      <c r="S763" s="15"/>
      <c r="T763" s="15">
        <v>0</v>
      </c>
      <c r="U763" s="15"/>
      <c r="V763" s="15"/>
      <c r="W763" s="15"/>
      <c r="X763" s="15"/>
      <c r="Y763" s="15"/>
      <c r="Z763" s="15"/>
    </row>
    <row r="764" spans="1:26" x14ac:dyDescent="0.25">
      <c r="A764" s="15" t="s">
        <v>14898</v>
      </c>
      <c r="B764" s="15">
        <v>763</v>
      </c>
      <c r="C764" s="15" t="s">
        <v>11277</v>
      </c>
      <c r="D764" s="15" t="s">
        <v>11277</v>
      </c>
      <c r="E764" s="15" t="s">
        <v>1067</v>
      </c>
      <c r="F764" s="15" t="s">
        <v>14894</v>
      </c>
      <c r="G764" s="15" t="s">
        <v>11517</v>
      </c>
      <c r="H764" s="15">
        <v>27</v>
      </c>
      <c r="I764" s="15">
        <v>38</v>
      </c>
      <c r="J764" s="15">
        <v>40</v>
      </c>
      <c r="K764" s="15" t="str">
        <f t="shared" si="11"/>
        <v>sagoliidunes</v>
      </c>
      <c r="L764" s="15" t="s">
        <v>11518</v>
      </c>
      <c r="M764" s="15">
        <v>2</v>
      </c>
      <c r="N764" s="15" t="s">
        <v>11223</v>
      </c>
      <c r="O764" s="15"/>
      <c r="P764" s="15"/>
      <c r="Q764" s="15"/>
      <c r="R764" s="15"/>
      <c r="S764" s="15"/>
      <c r="T764" s="15">
        <v>0</v>
      </c>
      <c r="U764" s="15"/>
      <c r="V764" s="15"/>
      <c r="W764" s="15"/>
      <c r="X764" s="15"/>
      <c r="Y764" s="15"/>
      <c r="Z764" s="15"/>
    </row>
    <row r="765" spans="1:26" x14ac:dyDescent="0.25">
      <c r="A765" s="15" t="s">
        <v>14899</v>
      </c>
      <c r="B765" s="15">
        <v>764</v>
      </c>
      <c r="C765" s="15" t="s">
        <v>11277</v>
      </c>
      <c r="D765" s="15" t="s">
        <v>11277</v>
      </c>
      <c r="E765" s="15" t="s">
        <v>1067</v>
      </c>
      <c r="F765" s="15" t="s">
        <v>14894</v>
      </c>
      <c r="G765" s="15" t="s">
        <v>11519</v>
      </c>
      <c r="H765" s="15">
        <v>27</v>
      </c>
      <c r="I765" s="15">
        <v>38</v>
      </c>
      <c r="J765" s="15">
        <v>41</v>
      </c>
      <c r="K765" s="15" t="str">
        <f t="shared" si="11"/>
        <v>sagoliidunes</v>
      </c>
      <c r="L765" s="15" t="s">
        <v>14088</v>
      </c>
      <c r="M765" s="15">
        <v>2</v>
      </c>
      <c r="N765" s="15" t="s">
        <v>11223</v>
      </c>
      <c r="O765" s="15"/>
      <c r="P765" s="15"/>
      <c r="Q765" s="15" t="s">
        <v>11516</v>
      </c>
      <c r="R765" s="15"/>
      <c r="S765" s="15"/>
      <c r="T765" s="15">
        <v>0</v>
      </c>
      <c r="U765" s="15"/>
      <c r="V765" s="15"/>
      <c r="W765" s="15"/>
      <c r="X765" s="15"/>
      <c r="Y765" s="15"/>
      <c r="Z765" s="15"/>
    </row>
    <row r="766" spans="1:26" x14ac:dyDescent="0.25">
      <c r="A766" s="15" t="s">
        <v>14900</v>
      </c>
      <c r="B766" s="15">
        <v>765</v>
      </c>
      <c r="C766" s="15" t="s">
        <v>11277</v>
      </c>
      <c r="D766" s="15" t="s">
        <v>11277</v>
      </c>
      <c r="E766" s="15" t="s">
        <v>1067</v>
      </c>
      <c r="F766" s="15" t="s">
        <v>14894</v>
      </c>
      <c r="G766" s="15" t="s">
        <v>11524</v>
      </c>
      <c r="H766" s="15">
        <v>27</v>
      </c>
      <c r="I766" s="15">
        <v>38</v>
      </c>
      <c r="J766" s="15">
        <v>50</v>
      </c>
      <c r="K766" s="15" t="str">
        <f t="shared" si="11"/>
        <v>sagoliidunes</v>
      </c>
      <c r="L766" s="15" t="s">
        <v>14088</v>
      </c>
      <c r="M766" s="15">
        <v>3</v>
      </c>
      <c r="N766" s="15" t="s">
        <v>11223</v>
      </c>
      <c r="O766" s="15"/>
      <c r="P766" s="15"/>
      <c r="Q766" s="15" t="s">
        <v>11516</v>
      </c>
      <c r="R766" s="15"/>
      <c r="S766" s="15"/>
      <c r="T766" s="15">
        <v>1</v>
      </c>
      <c r="U766" s="15"/>
      <c r="V766" s="15"/>
      <c r="W766" s="15"/>
      <c r="X766" s="15"/>
      <c r="Y766" s="15"/>
      <c r="Z766" s="15"/>
    </row>
    <row r="767" spans="1:26" x14ac:dyDescent="0.25">
      <c r="A767" s="15" t="s">
        <v>14901</v>
      </c>
      <c r="B767" s="15">
        <v>766</v>
      </c>
      <c r="C767" s="15" t="s">
        <v>11277</v>
      </c>
      <c r="D767" s="15" t="s">
        <v>11277</v>
      </c>
      <c r="E767" s="15" t="s">
        <v>1067</v>
      </c>
      <c r="F767" s="15" t="s">
        <v>14894</v>
      </c>
      <c r="G767" s="15" t="s">
        <v>11525</v>
      </c>
      <c r="H767" s="15">
        <v>27</v>
      </c>
      <c r="I767" s="15">
        <v>38</v>
      </c>
      <c r="J767" s="15">
        <v>50</v>
      </c>
      <c r="K767" s="15" t="str">
        <f t="shared" si="11"/>
        <v>sagoliidunes</v>
      </c>
      <c r="L767" s="15" t="s">
        <v>14088</v>
      </c>
      <c r="M767" s="15">
        <v>3</v>
      </c>
      <c r="N767" s="15" t="s">
        <v>11223</v>
      </c>
      <c r="O767" s="15"/>
      <c r="P767" s="15"/>
      <c r="Q767" s="15" t="s">
        <v>11516</v>
      </c>
      <c r="R767" s="15"/>
      <c r="S767" s="15"/>
      <c r="T767" s="15">
        <v>3</v>
      </c>
      <c r="U767" s="15" t="s">
        <v>6054</v>
      </c>
      <c r="V767" s="15"/>
      <c r="W767" s="15"/>
      <c r="X767" s="15"/>
      <c r="Y767" s="15"/>
      <c r="Z767" s="15"/>
    </row>
    <row r="768" spans="1:26" x14ac:dyDescent="0.25">
      <c r="A768" s="15" t="s">
        <v>14902</v>
      </c>
      <c r="B768" s="15">
        <v>767</v>
      </c>
      <c r="C768" s="15" t="s">
        <v>11277</v>
      </c>
      <c r="D768" s="15" t="s">
        <v>11277</v>
      </c>
      <c r="E768" s="15" t="s">
        <v>1067</v>
      </c>
      <c r="F768" s="15" t="s">
        <v>1477</v>
      </c>
      <c r="G768" s="15" t="s">
        <v>11321</v>
      </c>
      <c r="H768" s="15">
        <v>24</v>
      </c>
      <c r="I768" s="15">
        <v>25</v>
      </c>
      <c r="J768" s="15">
        <v>5</v>
      </c>
      <c r="K768" s="15" t="str">
        <f t="shared" si="11"/>
        <v>bluefog</v>
      </c>
      <c r="L768" s="15" t="s">
        <v>11253</v>
      </c>
      <c r="M768" s="15">
        <v>1</v>
      </c>
      <c r="N768" s="15" t="s">
        <v>11222</v>
      </c>
      <c r="O768" s="15"/>
      <c r="P768" s="15"/>
      <c r="Q768" s="15"/>
      <c r="R768" s="15"/>
      <c r="S768" s="15"/>
      <c r="T768" s="15">
        <v>0</v>
      </c>
      <c r="U768" s="15"/>
      <c r="V768" s="15"/>
      <c r="W768" s="15"/>
      <c r="X768" s="15"/>
      <c r="Y768" s="15"/>
      <c r="Z768" s="15"/>
    </row>
    <row r="769" spans="1:26" x14ac:dyDescent="0.25">
      <c r="A769" s="15" t="s">
        <v>14903</v>
      </c>
      <c r="B769" s="15">
        <v>768</v>
      </c>
      <c r="C769" s="15" t="s">
        <v>11277</v>
      </c>
      <c r="D769" s="15" t="s">
        <v>11277</v>
      </c>
      <c r="E769" s="15" t="s">
        <v>1067</v>
      </c>
      <c r="F769" s="15" t="s">
        <v>1477</v>
      </c>
      <c r="G769" s="15" t="s">
        <v>11370</v>
      </c>
      <c r="H769" s="15">
        <v>24</v>
      </c>
      <c r="I769" s="15">
        <v>25</v>
      </c>
      <c r="J769" s="15">
        <v>36</v>
      </c>
      <c r="K769" s="15" t="str">
        <f t="shared" si="11"/>
        <v>bluefog</v>
      </c>
      <c r="L769" s="15" t="s">
        <v>11355</v>
      </c>
      <c r="M769" s="15">
        <v>1</v>
      </c>
      <c r="N769" s="15" t="s">
        <v>11222</v>
      </c>
      <c r="O769" s="15"/>
      <c r="P769" s="15"/>
      <c r="Q769" s="15"/>
      <c r="R769" s="15"/>
      <c r="S769" s="15"/>
      <c r="T769" s="15">
        <v>0</v>
      </c>
      <c r="U769" s="15"/>
      <c r="V769" s="15"/>
      <c r="W769" s="15"/>
      <c r="X769" s="15"/>
      <c r="Y769" s="15"/>
      <c r="Z769" s="15"/>
    </row>
    <row r="770" spans="1:26" x14ac:dyDescent="0.25">
      <c r="A770" s="15" t="s">
        <v>14904</v>
      </c>
      <c r="B770" s="15">
        <v>769</v>
      </c>
      <c r="C770" s="15" t="s">
        <v>11277</v>
      </c>
      <c r="D770" s="15" t="s">
        <v>11277</v>
      </c>
      <c r="E770" s="15" t="s">
        <v>1067</v>
      </c>
      <c r="F770" s="15" t="s">
        <v>1477</v>
      </c>
      <c r="G770" s="15" t="s">
        <v>11365</v>
      </c>
      <c r="H770" s="15">
        <v>24</v>
      </c>
      <c r="I770" s="15">
        <v>25</v>
      </c>
      <c r="J770" s="15">
        <v>37</v>
      </c>
      <c r="K770" s="15" t="str">
        <f t="shared" ref="K770:K833" si="12">LOWER(SUBSTITUTE(SUBSTITUTE(SUBSTITUTE(SUBSTITUTE(SUBSTITUTE(F770," ",""),"(",""),")",""),"'",""),"-",""))</f>
        <v>bluefog</v>
      </c>
      <c r="L770" s="15" t="s">
        <v>11355</v>
      </c>
      <c r="M770" s="15">
        <v>2</v>
      </c>
      <c r="N770" s="15" t="s">
        <v>11223</v>
      </c>
      <c r="O770" s="15"/>
      <c r="P770" s="15"/>
      <c r="Q770" s="15"/>
      <c r="R770" s="15"/>
      <c r="S770" s="15"/>
      <c r="T770" s="15">
        <v>0</v>
      </c>
      <c r="U770" s="15"/>
      <c r="V770" s="15"/>
      <c r="W770" s="15"/>
      <c r="X770" s="15"/>
      <c r="Y770" s="15"/>
      <c r="Z770" s="15"/>
    </row>
    <row r="771" spans="1:26" x14ac:dyDescent="0.25">
      <c r="A771" s="15" t="s">
        <v>14905</v>
      </c>
      <c r="B771" s="15">
        <v>770</v>
      </c>
      <c r="C771" s="15" t="s">
        <v>11277</v>
      </c>
      <c r="D771" s="15" t="s">
        <v>11277</v>
      </c>
      <c r="E771" s="15" t="s">
        <v>1067</v>
      </c>
      <c r="F771" s="15" t="s">
        <v>1477</v>
      </c>
      <c r="G771" s="15" t="s">
        <v>11465</v>
      </c>
      <c r="H771" s="15">
        <v>24</v>
      </c>
      <c r="I771" s="15">
        <v>25</v>
      </c>
      <c r="J771" s="15">
        <v>39</v>
      </c>
      <c r="K771" s="15" t="str">
        <f t="shared" si="12"/>
        <v>bluefog</v>
      </c>
      <c r="L771" s="15" t="s">
        <v>11355</v>
      </c>
      <c r="M771" s="15">
        <v>1</v>
      </c>
      <c r="N771" s="15" t="s">
        <v>11222</v>
      </c>
      <c r="O771" s="15"/>
      <c r="P771" s="15"/>
      <c r="Q771" s="15"/>
      <c r="R771" s="15"/>
      <c r="S771" s="15"/>
      <c r="T771" s="15">
        <v>0</v>
      </c>
      <c r="U771" s="15"/>
      <c r="V771" s="15"/>
      <c r="W771" s="15"/>
      <c r="X771" s="15"/>
      <c r="Y771" s="15"/>
      <c r="Z771" s="15"/>
    </row>
    <row r="772" spans="1:26" x14ac:dyDescent="0.25">
      <c r="A772" s="15" t="s">
        <v>14906</v>
      </c>
      <c r="B772" s="15">
        <v>771</v>
      </c>
      <c r="C772" s="15" t="s">
        <v>11277</v>
      </c>
      <c r="D772" s="15" t="s">
        <v>11277</v>
      </c>
      <c r="E772" s="15" t="s">
        <v>1067</v>
      </c>
      <c r="F772" s="15" t="s">
        <v>1477</v>
      </c>
      <c r="G772" s="15" t="s">
        <v>11488</v>
      </c>
      <c r="H772" s="15">
        <v>24</v>
      </c>
      <c r="I772" s="15">
        <v>25</v>
      </c>
      <c r="J772" s="15">
        <v>41</v>
      </c>
      <c r="K772" s="15" t="str">
        <f t="shared" si="12"/>
        <v>bluefog</v>
      </c>
      <c r="L772" s="15" t="s">
        <v>11360</v>
      </c>
      <c r="M772" s="15">
        <v>1</v>
      </c>
      <c r="N772" s="15" t="s">
        <v>11222</v>
      </c>
      <c r="O772" s="15"/>
      <c r="P772" s="15"/>
      <c r="Q772" s="15"/>
      <c r="R772" s="15"/>
      <c r="S772" s="15"/>
      <c r="T772" s="15">
        <v>0</v>
      </c>
      <c r="U772" s="15"/>
      <c r="V772" s="15"/>
      <c r="W772" s="15"/>
      <c r="X772" s="15"/>
      <c r="Y772" s="15"/>
      <c r="Z772" s="15"/>
    </row>
    <row r="773" spans="1:26" x14ac:dyDescent="0.25">
      <c r="A773" s="15" t="s">
        <v>14907</v>
      </c>
      <c r="B773" s="15">
        <v>772</v>
      </c>
      <c r="C773" s="15" t="s">
        <v>11277</v>
      </c>
      <c r="D773" s="15" t="s">
        <v>11277</v>
      </c>
      <c r="E773" s="15" t="s">
        <v>1067</v>
      </c>
      <c r="F773" s="15" t="s">
        <v>1477</v>
      </c>
      <c r="G773" s="15" t="s">
        <v>11375</v>
      </c>
      <c r="H773" s="15">
        <v>24</v>
      </c>
      <c r="I773" s="15">
        <v>25</v>
      </c>
      <c r="J773" s="15">
        <v>43</v>
      </c>
      <c r="K773" s="15" t="str">
        <f t="shared" si="12"/>
        <v>bluefog</v>
      </c>
      <c r="L773" s="15" t="s">
        <v>11376</v>
      </c>
      <c r="M773" s="15">
        <v>2</v>
      </c>
      <c r="N773" s="15" t="s">
        <v>11223</v>
      </c>
      <c r="O773" s="15"/>
      <c r="P773" s="15"/>
      <c r="Q773" s="15"/>
      <c r="R773" s="15"/>
      <c r="S773" s="15"/>
      <c r="T773" s="15">
        <v>0</v>
      </c>
      <c r="U773" s="15"/>
      <c r="V773" s="15"/>
      <c r="W773" s="15"/>
      <c r="X773" s="15"/>
      <c r="Y773" s="15"/>
      <c r="Z773" s="15"/>
    </row>
    <row r="774" spans="1:26" x14ac:dyDescent="0.25">
      <c r="A774" s="15" t="s">
        <v>14908</v>
      </c>
      <c r="B774" s="15">
        <v>773</v>
      </c>
      <c r="C774" s="15" t="s">
        <v>11277</v>
      </c>
      <c r="D774" s="15" t="s">
        <v>11277</v>
      </c>
      <c r="E774" s="15" t="s">
        <v>1067</v>
      </c>
      <c r="F774" s="15" t="s">
        <v>1477</v>
      </c>
      <c r="G774" s="15" t="s">
        <v>11442</v>
      </c>
      <c r="H774" s="15">
        <v>24</v>
      </c>
      <c r="I774" s="15">
        <v>25</v>
      </c>
      <c r="J774" s="15">
        <v>44</v>
      </c>
      <c r="K774" s="15" t="str">
        <f t="shared" si="12"/>
        <v>bluefog</v>
      </c>
      <c r="L774" s="15" t="s">
        <v>11310</v>
      </c>
      <c r="M774" s="15">
        <v>1</v>
      </c>
      <c r="N774" s="15" t="s">
        <v>11222</v>
      </c>
      <c r="O774" s="15"/>
      <c r="P774" s="15"/>
      <c r="Q774" s="15"/>
      <c r="R774" s="15"/>
      <c r="S774" s="15"/>
      <c r="T774" s="15">
        <v>0</v>
      </c>
      <c r="U774" s="15"/>
      <c r="V774" s="15"/>
      <c r="W774" s="15"/>
      <c r="X774" s="15"/>
      <c r="Y774" s="15"/>
      <c r="Z774" s="15"/>
    </row>
    <row r="775" spans="1:26" x14ac:dyDescent="0.25">
      <c r="A775" s="15" t="s">
        <v>14909</v>
      </c>
      <c r="B775" s="15">
        <v>774</v>
      </c>
      <c r="C775" s="15" t="s">
        <v>11277</v>
      </c>
      <c r="D775" s="15" t="s">
        <v>11277</v>
      </c>
      <c r="E775" s="15" t="s">
        <v>1067</v>
      </c>
      <c r="F775" s="15" t="s">
        <v>1477</v>
      </c>
      <c r="G775" s="15" t="s">
        <v>11486</v>
      </c>
      <c r="H775" s="15">
        <v>24</v>
      </c>
      <c r="I775" s="15">
        <v>25</v>
      </c>
      <c r="J775" s="15">
        <v>48</v>
      </c>
      <c r="K775" s="15" t="str">
        <f t="shared" si="12"/>
        <v>bluefog</v>
      </c>
      <c r="L775" s="15" t="s">
        <v>14088</v>
      </c>
      <c r="M775" s="15">
        <v>2</v>
      </c>
      <c r="N775" s="15" t="s">
        <v>11223</v>
      </c>
      <c r="O775" s="15"/>
      <c r="P775" s="15"/>
      <c r="Q775" s="15" t="s">
        <v>11370</v>
      </c>
      <c r="R775" s="15" t="s">
        <v>11442</v>
      </c>
      <c r="S775" s="15"/>
      <c r="T775" s="15">
        <v>0</v>
      </c>
      <c r="U775" s="15"/>
      <c r="V775" s="15"/>
      <c r="W775" s="15"/>
      <c r="X775" s="15"/>
      <c r="Y775" s="15"/>
      <c r="Z775" s="15"/>
    </row>
    <row r="776" spans="1:26" x14ac:dyDescent="0.25">
      <c r="A776" s="15" t="s">
        <v>14910</v>
      </c>
      <c r="B776" s="15">
        <v>775</v>
      </c>
      <c r="C776" s="15" t="s">
        <v>11277</v>
      </c>
      <c r="D776" s="15" t="s">
        <v>11277</v>
      </c>
      <c r="E776" s="15" t="s">
        <v>1067</v>
      </c>
      <c r="F776" s="15" t="s">
        <v>1477</v>
      </c>
      <c r="G776" s="15" t="s">
        <v>11526</v>
      </c>
      <c r="H776" s="15">
        <v>24</v>
      </c>
      <c r="I776" s="15">
        <v>25</v>
      </c>
      <c r="J776" s="15">
        <v>50</v>
      </c>
      <c r="K776" s="15" t="str">
        <f t="shared" si="12"/>
        <v>bluefog</v>
      </c>
      <c r="L776" s="15" t="s">
        <v>14088</v>
      </c>
      <c r="M776" s="15">
        <v>3</v>
      </c>
      <c r="N776" s="15" t="s">
        <v>11223</v>
      </c>
      <c r="O776" s="15"/>
      <c r="P776" s="15"/>
      <c r="Q776" s="15" t="s">
        <v>11442</v>
      </c>
      <c r="R776" s="15"/>
      <c r="S776" s="15"/>
      <c r="T776" s="15">
        <v>1</v>
      </c>
      <c r="U776" s="15"/>
      <c r="V776" s="15"/>
      <c r="W776" s="15"/>
      <c r="X776" s="15"/>
      <c r="Y776" s="15"/>
      <c r="Z776" s="15"/>
    </row>
    <row r="777" spans="1:26" x14ac:dyDescent="0.25">
      <c r="A777" s="15" t="s">
        <v>14911</v>
      </c>
      <c r="B777" s="15">
        <v>776</v>
      </c>
      <c r="C777" s="15" t="s">
        <v>11277</v>
      </c>
      <c r="D777" s="15" t="s">
        <v>11277</v>
      </c>
      <c r="E777" s="15" t="s">
        <v>1067</v>
      </c>
      <c r="F777" s="15" t="s">
        <v>1477</v>
      </c>
      <c r="G777" s="15" t="s">
        <v>11527</v>
      </c>
      <c r="H777" s="15">
        <v>24</v>
      </c>
      <c r="I777" s="15">
        <v>25</v>
      </c>
      <c r="J777" s="15">
        <v>50</v>
      </c>
      <c r="K777" s="15" t="str">
        <f t="shared" si="12"/>
        <v>bluefog</v>
      </c>
      <c r="L777" s="15" t="s">
        <v>14088</v>
      </c>
      <c r="M777" s="15">
        <v>3</v>
      </c>
      <c r="N777" s="15" t="s">
        <v>11223</v>
      </c>
      <c r="O777" s="15" t="s">
        <v>14071</v>
      </c>
      <c r="P777" s="15"/>
      <c r="Q777" s="15" t="s">
        <v>11442</v>
      </c>
      <c r="R777" s="15"/>
      <c r="S777" s="15"/>
      <c r="T777" s="15">
        <v>3</v>
      </c>
      <c r="U777" s="15" t="s">
        <v>5908</v>
      </c>
      <c r="V777" s="15" t="s">
        <v>5914</v>
      </c>
      <c r="W777" s="15"/>
      <c r="X777" s="15"/>
      <c r="Y777" s="15"/>
      <c r="Z777" s="15"/>
    </row>
    <row r="778" spans="1:26" x14ac:dyDescent="0.25">
      <c r="A778" s="15" t="s">
        <v>14912</v>
      </c>
      <c r="B778" s="15">
        <v>777</v>
      </c>
      <c r="C778" s="15" t="s">
        <v>11277</v>
      </c>
      <c r="D778" s="15" t="s">
        <v>11277</v>
      </c>
      <c r="E778" s="15" t="s">
        <v>1067</v>
      </c>
      <c r="F778" s="15" t="s">
        <v>14913</v>
      </c>
      <c r="G778" s="15" t="s">
        <v>11307</v>
      </c>
      <c r="H778" s="15">
        <v>16</v>
      </c>
      <c r="I778" s="15">
        <v>20</v>
      </c>
      <c r="J778" s="15">
        <v>32</v>
      </c>
      <c r="K778" s="15" t="str">
        <f t="shared" si="12"/>
        <v>ceruleumfield</v>
      </c>
      <c r="L778" s="15" t="s">
        <v>11308</v>
      </c>
      <c r="M778" s="15">
        <v>1</v>
      </c>
      <c r="N778" s="15" t="s">
        <v>11222</v>
      </c>
      <c r="O778" s="15"/>
      <c r="P778" s="15"/>
      <c r="Q778" s="15"/>
      <c r="R778" s="15"/>
      <c r="S778" s="15"/>
      <c r="T778" s="15">
        <v>0</v>
      </c>
      <c r="U778" s="15"/>
      <c r="V778" s="15"/>
      <c r="W778" s="15"/>
      <c r="X778" s="15"/>
      <c r="Y778" s="15"/>
      <c r="Z778" s="15"/>
    </row>
    <row r="779" spans="1:26" x14ac:dyDescent="0.25">
      <c r="A779" s="15" t="s">
        <v>14914</v>
      </c>
      <c r="B779" s="15">
        <v>778</v>
      </c>
      <c r="C779" s="15" t="s">
        <v>11277</v>
      </c>
      <c r="D779" s="15" t="s">
        <v>11277</v>
      </c>
      <c r="E779" s="15" t="s">
        <v>1067</v>
      </c>
      <c r="F779" s="15" t="s">
        <v>14913</v>
      </c>
      <c r="G779" s="15" t="s">
        <v>11370</v>
      </c>
      <c r="H779" s="15">
        <v>16</v>
      </c>
      <c r="I779" s="15">
        <v>20</v>
      </c>
      <c r="J779" s="15">
        <v>36</v>
      </c>
      <c r="K779" s="15" t="str">
        <f t="shared" si="12"/>
        <v>ceruleumfield</v>
      </c>
      <c r="L779" s="15" t="s">
        <v>11355</v>
      </c>
      <c r="M779" s="15">
        <v>1</v>
      </c>
      <c r="N779" s="15" t="s">
        <v>11222</v>
      </c>
      <c r="O779" s="15"/>
      <c r="P779" s="15"/>
      <c r="Q779" s="15"/>
      <c r="R779" s="15"/>
      <c r="S779" s="15"/>
      <c r="T779" s="15">
        <v>0</v>
      </c>
      <c r="U779" s="15"/>
      <c r="V779" s="15"/>
      <c r="W779" s="15"/>
      <c r="X779" s="15"/>
      <c r="Y779" s="15"/>
      <c r="Z779" s="15"/>
    </row>
    <row r="780" spans="1:26" x14ac:dyDescent="0.25">
      <c r="A780" s="15" t="s">
        <v>14915</v>
      </c>
      <c r="B780" s="15">
        <v>779</v>
      </c>
      <c r="C780" s="15" t="s">
        <v>11277</v>
      </c>
      <c r="D780" s="15" t="s">
        <v>11277</v>
      </c>
      <c r="E780" s="15" t="s">
        <v>1067</v>
      </c>
      <c r="F780" s="15" t="s">
        <v>14913</v>
      </c>
      <c r="G780" s="15" t="s">
        <v>11488</v>
      </c>
      <c r="H780" s="15">
        <v>16</v>
      </c>
      <c r="I780" s="15">
        <v>20</v>
      </c>
      <c r="J780" s="15">
        <v>41</v>
      </c>
      <c r="K780" s="15" t="str">
        <f t="shared" si="12"/>
        <v>ceruleumfield</v>
      </c>
      <c r="L780" s="15" t="s">
        <v>11360</v>
      </c>
      <c r="M780" s="15">
        <v>1</v>
      </c>
      <c r="N780" s="15" t="s">
        <v>11222</v>
      </c>
      <c r="O780" s="15"/>
      <c r="P780" s="15"/>
      <c r="Q780" s="15"/>
      <c r="R780" s="15"/>
      <c r="S780" s="15"/>
      <c r="T780" s="15">
        <v>0</v>
      </c>
      <c r="U780" s="15"/>
      <c r="V780" s="15"/>
      <c r="W780" s="15"/>
      <c r="X780" s="15"/>
      <c r="Y780" s="15"/>
      <c r="Z780" s="15"/>
    </row>
    <row r="781" spans="1:26" x14ac:dyDescent="0.25">
      <c r="A781" s="15" t="s">
        <v>14916</v>
      </c>
      <c r="B781" s="15">
        <v>780</v>
      </c>
      <c r="C781" s="15" t="s">
        <v>11277</v>
      </c>
      <c r="D781" s="15" t="s">
        <v>11277</v>
      </c>
      <c r="E781" s="15" t="s">
        <v>1067</v>
      </c>
      <c r="F781" s="15" t="s">
        <v>14913</v>
      </c>
      <c r="G781" s="15" t="s">
        <v>11371</v>
      </c>
      <c r="H781" s="15">
        <v>16</v>
      </c>
      <c r="I781" s="15">
        <v>20</v>
      </c>
      <c r="J781" s="15">
        <v>44</v>
      </c>
      <c r="K781" s="15" t="str">
        <f t="shared" si="12"/>
        <v>ceruleumfield</v>
      </c>
      <c r="L781" s="15" t="s">
        <v>11360</v>
      </c>
      <c r="M781" s="15">
        <v>1</v>
      </c>
      <c r="N781" s="15" t="s">
        <v>11222</v>
      </c>
      <c r="O781" s="15"/>
      <c r="P781" s="15"/>
      <c r="Q781" s="15"/>
      <c r="R781" s="15"/>
      <c r="S781" s="15"/>
      <c r="T781" s="15">
        <v>0</v>
      </c>
      <c r="U781" s="15"/>
      <c r="V781" s="15"/>
      <c r="W781" s="15"/>
      <c r="X781" s="15"/>
      <c r="Y781" s="15"/>
      <c r="Z781" s="15"/>
    </row>
    <row r="782" spans="1:26" x14ac:dyDescent="0.25">
      <c r="A782" s="15" t="s">
        <v>14917</v>
      </c>
      <c r="B782" s="15">
        <v>781</v>
      </c>
      <c r="C782" s="15" t="s">
        <v>11277</v>
      </c>
      <c r="D782" s="15" t="s">
        <v>11277</v>
      </c>
      <c r="E782" s="15" t="s">
        <v>1067</v>
      </c>
      <c r="F782" s="15" t="s">
        <v>14913</v>
      </c>
      <c r="G782" s="15" t="s">
        <v>11489</v>
      </c>
      <c r="H782" s="15">
        <v>16</v>
      </c>
      <c r="I782" s="15">
        <v>20</v>
      </c>
      <c r="J782" s="15">
        <v>48</v>
      </c>
      <c r="K782" s="15" t="str">
        <f t="shared" si="12"/>
        <v>ceruleumfield</v>
      </c>
      <c r="L782" s="15" t="s">
        <v>14088</v>
      </c>
      <c r="M782" s="15">
        <v>2</v>
      </c>
      <c r="N782" s="15" t="s">
        <v>11223</v>
      </c>
      <c r="O782" s="15"/>
      <c r="P782" s="15"/>
      <c r="Q782" s="15" t="s">
        <v>11370</v>
      </c>
      <c r="R782" s="15"/>
      <c r="S782" s="15"/>
      <c r="T782" s="15">
        <v>0</v>
      </c>
      <c r="U782" s="15"/>
      <c r="V782" s="15"/>
      <c r="W782" s="15"/>
      <c r="X782" s="15"/>
      <c r="Y782" s="15"/>
      <c r="Z782" s="15"/>
    </row>
    <row r="783" spans="1:26" x14ac:dyDescent="0.25">
      <c r="A783" s="15" t="s">
        <v>14918</v>
      </c>
      <c r="B783" s="15">
        <v>782</v>
      </c>
      <c r="C783" s="15" t="s">
        <v>11277</v>
      </c>
      <c r="D783" s="15" t="s">
        <v>11277</v>
      </c>
      <c r="E783" s="15" t="s">
        <v>1067</v>
      </c>
      <c r="F783" s="15" t="s">
        <v>14913</v>
      </c>
      <c r="G783" s="15" t="s">
        <v>11490</v>
      </c>
      <c r="H783" s="15">
        <v>16</v>
      </c>
      <c r="I783" s="15">
        <v>20</v>
      </c>
      <c r="J783" s="15">
        <v>48</v>
      </c>
      <c r="K783" s="15" t="str">
        <f t="shared" si="12"/>
        <v>ceruleumfield</v>
      </c>
      <c r="L783" s="15" t="s">
        <v>11363</v>
      </c>
      <c r="M783" s="15">
        <v>2</v>
      </c>
      <c r="N783" s="15" t="s">
        <v>11223</v>
      </c>
      <c r="O783" s="15"/>
      <c r="P783" s="15"/>
      <c r="Q783" s="15"/>
      <c r="R783" s="15"/>
      <c r="S783" s="15"/>
      <c r="T783" s="15">
        <v>0</v>
      </c>
      <c r="U783" s="15"/>
      <c r="V783" s="15"/>
      <c r="W783" s="15"/>
      <c r="X783" s="15"/>
      <c r="Y783" s="15"/>
      <c r="Z783" s="15"/>
    </row>
    <row r="784" spans="1:26" x14ac:dyDescent="0.25">
      <c r="A784" s="15" t="s">
        <v>14919</v>
      </c>
      <c r="B784" s="15">
        <v>783</v>
      </c>
      <c r="C784" s="15" t="s">
        <v>11277</v>
      </c>
      <c r="D784" s="15" t="s">
        <v>11277</v>
      </c>
      <c r="E784" s="15" t="s">
        <v>1067</v>
      </c>
      <c r="F784" s="15" t="s">
        <v>14913</v>
      </c>
      <c r="G784" s="15" t="s">
        <v>11377</v>
      </c>
      <c r="H784" s="15">
        <v>16</v>
      </c>
      <c r="I784" s="15">
        <v>20</v>
      </c>
      <c r="J784" s="15">
        <v>50</v>
      </c>
      <c r="K784" s="15" t="str">
        <f t="shared" si="12"/>
        <v>ceruleumfield</v>
      </c>
      <c r="L784" s="15" t="s">
        <v>14088</v>
      </c>
      <c r="M784" s="15">
        <v>1</v>
      </c>
      <c r="N784" s="15" t="s">
        <v>11222</v>
      </c>
      <c r="O784" s="15"/>
      <c r="P784" s="15"/>
      <c r="Q784" s="15" t="s">
        <v>11370</v>
      </c>
      <c r="R784" s="15"/>
      <c r="S784" s="15"/>
      <c r="T784" s="15">
        <v>0</v>
      </c>
      <c r="U784" s="15"/>
      <c r="V784" s="15"/>
      <c r="W784" s="15"/>
      <c r="X784" s="15"/>
      <c r="Y784" s="15"/>
      <c r="Z784" s="15"/>
    </row>
    <row r="785" spans="1:26" x14ac:dyDescent="0.25">
      <c r="A785" s="15" t="s">
        <v>14920</v>
      </c>
      <c r="B785" s="15">
        <v>784</v>
      </c>
      <c r="C785" s="15" t="s">
        <v>11277</v>
      </c>
      <c r="D785" s="15" t="s">
        <v>11277</v>
      </c>
      <c r="E785" s="15" t="s">
        <v>1067</v>
      </c>
      <c r="F785" s="15" t="s">
        <v>14913</v>
      </c>
      <c r="G785" s="15" t="s">
        <v>11528</v>
      </c>
      <c r="H785" s="15">
        <v>16</v>
      </c>
      <c r="I785" s="15">
        <v>20</v>
      </c>
      <c r="J785" s="15">
        <v>50</v>
      </c>
      <c r="K785" s="15" t="str">
        <f t="shared" si="12"/>
        <v>ceruleumfield</v>
      </c>
      <c r="L785" s="15" t="s">
        <v>14088</v>
      </c>
      <c r="M785" s="15">
        <v>2</v>
      </c>
      <c r="N785" s="15" t="s">
        <v>11223</v>
      </c>
      <c r="O785" s="15"/>
      <c r="P785" s="15"/>
      <c r="Q785" s="15" t="s">
        <v>11377</v>
      </c>
      <c r="R785" s="15"/>
      <c r="S785" s="15"/>
      <c r="T785" s="15">
        <v>1</v>
      </c>
      <c r="U785" s="15"/>
      <c r="V785" s="15"/>
      <c r="W785" s="15"/>
      <c r="X785" s="15"/>
      <c r="Y785" s="15"/>
      <c r="Z785" s="15"/>
    </row>
    <row r="786" spans="1:26" x14ac:dyDescent="0.25">
      <c r="A786" s="15" t="s">
        <v>14921</v>
      </c>
      <c r="B786" s="15">
        <v>785</v>
      </c>
      <c r="C786" s="15" t="s">
        <v>11277</v>
      </c>
      <c r="D786" s="15" t="s">
        <v>11277</v>
      </c>
      <c r="E786" s="15" t="s">
        <v>1067</v>
      </c>
      <c r="F786" s="15" t="s">
        <v>14913</v>
      </c>
      <c r="G786" s="15" t="s">
        <v>11529</v>
      </c>
      <c r="H786" s="15">
        <v>16</v>
      </c>
      <c r="I786" s="15">
        <v>20</v>
      </c>
      <c r="J786" s="15">
        <v>50</v>
      </c>
      <c r="K786" s="15" t="str">
        <f t="shared" si="12"/>
        <v>ceruleumfield</v>
      </c>
      <c r="L786" s="15" t="s">
        <v>14088</v>
      </c>
      <c r="M786" s="15">
        <v>3</v>
      </c>
      <c r="N786" s="15" t="s">
        <v>11223</v>
      </c>
      <c r="O786" s="15" t="s">
        <v>11242</v>
      </c>
      <c r="P786" s="15"/>
      <c r="Q786" s="15" t="s">
        <v>11370</v>
      </c>
      <c r="R786" s="15"/>
      <c r="S786" s="15"/>
      <c r="T786" s="15">
        <v>3</v>
      </c>
      <c r="U786" s="15" t="s">
        <v>5893</v>
      </c>
      <c r="V786" s="15" t="s">
        <v>5892</v>
      </c>
      <c r="W786" s="15"/>
      <c r="X786" s="15" t="s">
        <v>5914</v>
      </c>
      <c r="Y786" s="15"/>
      <c r="Z786" s="15"/>
    </row>
    <row r="787" spans="1:26" x14ac:dyDescent="0.25">
      <c r="A787" s="15" t="s">
        <v>14922</v>
      </c>
      <c r="B787" s="15">
        <v>786</v>
      </c>
      <c r="C787" s="15" t="s">
        <v>11277</v>
      </c>
      <c r="D787" s="15" t="s">
        <v>11277</v>
      </c>
      <c r="E787" s="15" t="s">
        <v>1067</v>
      </c>
      <c r="F787" s="15" t="s">
        <v>14913</v>
      </c>
      <c r="G787" s="15" t="s">
        <v>11403</v>
      </c>
      <c r="H787" s="15">
        <v>16</v>
      </c>
      <c r="I787" s="15">
        <v>20</v>
      </c>
      <c r="J787" s="15">
        <v>41</v>
      </c>
      <c r="K787" s="15" t="str">
        <f t="shared" si="12"/>
        <v>ceruleumfield</v>
      </c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x14ac:dyDescent="0.25">
      <c r="A788" s="15" t="s">
        <v>14923</v>
      </c>
      <c r="B788" s="15">
        <v>787</v>
      </c>
      <c r="C788" s="15" t="s">
        <v>11277</v>
      </c>
      <c r="D788" s="15" t="s">
        <v>11277</v>
      </c>
      <c r="E788" s="15" t="s">
        <v>1067</v>
      </c>
      <c r="F788" s="15" t="s">
        <v>1355</v>
      </c>
      <c r="G788" s="15" t="s">
        <v>11411</v>
      </c>
      <c r="H788" s="15">
        <v>0</v>
      </c>
      <c r="I788" s="15">
        <v>0</v>
      </c>
      <c r="J788" s="15">
        <v>9</v>
      </c>
      <c r="K788" s="15" t="str">
        <f t="shared" si="12"/>
        <v>thegoblet</v>
      </c>
      <c r="L788" s="15" t="s">
        <v>11257</v>
      </c>
      <c r="M788" s="15">
        <v>1</v>
      </c>
      <c r="N788" s="15" t="s">
        <v>11222</v>
      </c>
      <c r="O788" s="15"/>
      <c r="P788" s="15"/>
      <c r="Q788" s="15"/>
      <c r="R788" s="15"/>
      <c r="S788" s="15"/>
      <c r="T788" s="15">
        <v>0</v>
      </c>
      <c r="U788" s="15"/>
      <c r="V788" s="15"/>
      <c r="W788" s="15"/>
      <c r="X788" s="15"/>
      <c r="Y788" s="15"/>
      <c r="Z788" s="15"/>
    </row>
    <row r="789" spans="1:26" x14ac:dyDescent="0.25">
      <c r="A789" s="15" t="s">
        <v>14924</v>
      </c>
      <c r="B789" s="15">
        <v>788</v>
      </c>
      <c r="C789" s="15" t="s">
        <v>11277</v>
      </c>
      <c r="D789" s="15" t="s">
        <v>11277</v>
      </c>
      <c r="E789" s="15" t="s">
        <v>1067</v>
      </c>
      <c r="F789" s="15" t="s">
        <v>1355</v>
      </c>
      <c r="G789" s="15" t="s">
        <v>11433</v>
      </c>
      <c r="H789" s="15">
        <v>0</v>
      </c>
      <c r="I789" s="15">
        <v>0</v>
      </c>
      <c r="J789" s="15">
        <v>25</v>
      </c>
      <c r="K789" s="15" t="str">
        <f t="shared" si="12"/>
        <v>thegoblet</v>
      </c>
      <c r="L789" s="15" t="s">
        <v>11274</v>
      </c>
      <c r="M789" s="15">
        <v>2</v>
      </c>
      <c r="N789" s="15" t="s">
        <v>11223</v>
      </c>
      <c r="O789" s="15"/>
      <c r="P789" s="15"/>
      <c r="Q789" s="15"/>
      <c r="R789" s="15"/>
      <c r="S789" s="15"/>
      <c r="T789" s="15">
        <v>0</v>
      </c>
      <c r="U789" s="15"/>
      <c r="V789" s="15"/>
      <c r="W789" s="15"/>
      <c r="X789" s="15"/>
      <c r="Y789" s="15"/>
      <c r="Z789" s="15"/>
    </row>
    <row r="790" spans="1:26" x14ac:dyDescent="0.25">
      <c r="A790" s="15" t="s">
        <v>14925</v>
      </c>
      <c r="B790" s="15">
        <v>789</v>
      </c>
      <c r="C790" s="15" t="s">
        <v>11277</v>
      </c>
      <c r="D790" s="15" t="s">
        <v>11277</v>
      </c>
      <c r="E790" s="15" t="s">
        <v>1067</v>
      </c>
      <c r="F790" s="15" t="s">
        <v>1355</v>
      </c>
      <c r="G790" s="15" t="s">
        <v>11270</v>
      </c>
      <c r="H790" s="15">
        <v>0</v>
      </c>
      <c r="I790" s="15">
        <v>0</v>
      </c>
      <c r="J790" s="15">
        <v>20</v>
      </c>
      <c r="K790" s="15" t="str">
        <f t="shared" si="12"/>
        <v>thegoblet</v>
      </c>
      <c r="L790" s="15" t="s">
        <v>11271</v>
      </c>
      <c r="M790" s="15">
        <v>1</v>
      </c>
      <c r="N790" s="15" t="s">
        <v>11222</v>
      </c>
      <c r="O790" s="15"/>
      <c r="P790" s="15"/>
      <c r="Q790" s="15"/>
      <c r="R790" s="15"/>
      <c r="S790" s="15"/>
      <c r="T790" s="15">
        <v>0</v>
      </c>
      <c r="U790" s="15"/>
      <c r="V790" s="15"/>
      <c r="W790" s="15"/>
      <c r="X790" s="15"/>
      <c r="Y790" s="15"/>
      <c r="Z790" s="15"/>
    </row>
    <row r="791" spans="1:26" x14ac:dyDescent="0.25">
      <c r="A791" s="15" t="s">
        <v>14926</v>
      </c>
      <c r="B791" s="15">
        <v>790</v>
      </c>
      <c r="C791" s="15" t="s">
        <v>11277</v>
      </c>
      <c r="D791" s="15" t="s">
        <v>11277</v>
      </c>
      <c r="E791" s="15" t="s">
        <v>1067</v>
      </c>
      <c r="F791" s="15" t="s">
        <v>1355</v>
      </c>
      <c r="G791" s="15" t="s">
        <v>11272</v>
      </c>
      <c r="H791" s="15">
        <v>0</v>
      </c>
      <c r="I791" s="15">
        <v>0</v>
      </c>
      <c r="J791" s="15">
        <v>22</v>
      </c>
      <c r="K791" s="15" t="str">
        <f t="shared" si="12"/>
        <v>thegoblet</v>
      </c>
      <c r="L791" s="15" t="s">
        <v>14088</v>
      </c>
      <c r="M791" s="15">
        <v>1</v>
      </c>
      <c r="N791" s="15" t="s">
        <v>11222</v>
      </c>
      <c r="O791" s="15"/>
      <c r="P791" s="15"/>
      <c r="Q791" s="15" t="s">
        <v>11270</v>
      </c>
      <c r="R791" s="15"/>
      <c r="S791" s="15"/>
      <c r="T791" s="15">
        <v>0</v>
      </c>
      <c r="U791" s="15"/>
      <c r="V791" s="15"/>
      <c r="W791" s="15"/>
      <c r="X791" s="15"/>
      <c r="Y791" s="15"/>
      <c r="Z791" s="15"/>
    </row>
    <row r="792" spans="1:26" x14ac:dyDescent="0.25">
      <c r="A792" s="15" t="s">
        <v>14927</v>
      </c>
      <c r="B792" s="15">
        <v>791</v>
      </c>
      <c r="C792" s="15" t="s">
        <v>11277</v>
      </c>
      <c r="D792" s="15" t="s">
        <v>11277</v>
      </c>
      <c r="E792" s="15" t="s">
        <v>1067</v>
      </c>
      <c r="F792" s="15" t="s">
        <v>1355</v>
      </c>
      <c r="G792" s="15" t="s">
        <v>11304</v>
      </c>
      <c r="H792" s="15">
        <v>0</v>
      </c>
      <c r="I792" s="15">
        <v>0</v>
      </c>
      <c r="J792" s="15">
        <v>17</v>
      </c>
      <c r="K792" s="15" t="str">
        <f t="shared" si="12"/>
        <v>thegoblet</v>
      </c>
      <c r="L792" s="15" t="s">
        <v>11254</v>
      </c>
      <c r="M792" s="15">
        <v>2</v>
      </c>
      <c r="N792" s="15" t="s">
        <v>11223</v>
      </c>
      <c r="O792" s="15"/>
      <c r="P792" s="15"/>
      <c r="Q792" s="15"/>
      <c r="R792" s="15"/>
      <c r="S792" s="15"/>
      <c r="T792" s="15">
        <v>0</v>
      </c>
      <c r="U792" s="15"/>
      <c r="V792" s="15"/>
      <c r="W792" s="15"/>
      <c r="X792" s="15"/>
      <c r="Y792" s="15"/>
      <c r="Z792" s="15"/>
    </row>
    <row r="793" spans="1:26" x14ac:dyDescent="0.25">
      <c r="A793" s="15" t="s">
        <v>14928</v>
      </c>
      <c r="B793" s="15">
        <v>792</v>
      </c>
      <c r="C793" s="15" t="s">
        <v>11277</v>
      </c>
      <c r="D793" s="15" t="s">
        <v>11277</v>
      </c>
      <c r="E793" s="15" t="s">
        <v>1067</v>
      </c>
      <c r="F793" s="15" t="s">
        <v>1355</v>
      </c>
      <c r="G793" s="15" t="s">
        <v>11357</v>
      </c>
      <c r="H793" s="15">
        <v>0</v>
      </c>
      <c r="I793" s="15">
        <v>0</v>
      </c>
      <c r="J793" s="15">
        <v>29</v>
      </c>
      <c r="K793" s="15" t="str">
        <f t="shared" si="12"/>
        <v>thegoblet</v>
      </c>
      <c r="L793" s="15" t="s">
        <v>14088</v>
      </c>
      <c r="M793" s="15">
        <v>1</v>
      </c>
      <c r="N793" s="15" t="s">
        <v>11222</v>
      </c>
      <c r="O793" s="15"/>
      <c r="P793" s="15" t="s">
        <v>14929</v>
      </c>
      <c r="Q793" s="15" t="s">
        <v>11270</v>
      </c>
      <c r="R793" s="15"/>
      <c r="S793" s="15"/>
      <c r="T793" s="15">
        <v>0</v>
      </c>
      <c r="U793" s="15"/>
      <c r="V793" s="15"/>
      <c r="W793" s="15"/>
      <c r="X793" s="15"/>
      <c r="Y793" s="15"/>
      <c r="Z793" s="15"/>
    </row>
    <row r="794" spans="1:26" x14ac:dyDescent="0.25">
      <c r="A794" s="15" t="s">
        <v>14930</v>
      </c>
      <c r="B794" s="15">
        <v>793</v>
      </c>
      <c r="C794" s="15" t="s">
        <v>11277</v>
      </c>
      <c r="D794" s="15" t="s">
        <v>11277</v>
      </c>
      <c r="E794" s="15" t="s">
        <v>1067</v>
      </c>
      <c r="F794" s="15" t="s">
        <v>1355</v>
      </c>
      <c r="G794" s="15" t="s">
        <v>11370</v>
      </c>
      <c r="H794" s="15">
        <v>0</v>
      </c>
      <c r="I794" s="15">
        <v>0</v>
      </c>
      <c r="J794" s="15">
        <v>36</v>
      </c>
      <c r="K794" s="15" t="str">
        <f t="shared" si="12"/>
        <v>thegoblet</v>
      </c>
      <c r="L794" s="15" t="s">
        <v>11355</v>
      </c>
      <c r="M794" s="15">
        <v>1</v>
      </c>
      <c r="N794" s="15" t="s">
        <v>11222</v>
      </c>
      <c r="O794" s="15"/>
      <c r="P794" s="15"/>
      <c r="Q794" s="15"/>
      <c r="R794" s="15"/>
      <c r="S794" s="15"/>
      <c r="T794" s="15">
        <v>0</v>
      </c>
      <c r="U794" s="15"/>
      <c r="V794" s="15"/>
      <c r="W794" s="15"/>
      <c r="X794" s="15"/>
      <c r="Y794" s="15"/>
      <c r="Z794" s="15"/>
    </row>
    <row r="795" spans="1:26" x14ac:dyDescent="0.25">
      <c r="A795" s="15" t="s">
        <v>14931</v>
      </c>
      <c r="B795" s="15">
        <v>794</v>
      </c>
      <c r="C795" s="15" t="s">
        <v>11277</v>
      </c>
      <c r="D795" s="15" t="s">
        <v>11277</v>
      </c>
      <c r="E795" s="15" t="s">
        <v>1067</v>
      </c>
      <c r="F795" s="15" t="s">
        <v>1355</v>
      </c>
      <c r="G795" s="15" t="s">
        <v>11377</v>
      </c>
      <c r="H795" s="15">
        <v>0</v>
      </c>
      <c r="I795" s="15">
        <v>0</v>
      </c>
      <c r="J795" s="15">
        <v>50</v>
      </c>
      <c r="K795" s="15" t="str">
        <f t="shared" si="12"/>
        <v>thegoblet</v>
      </c>
      <c r="L795" s="15" t="s">
        <v>14088</v>
      </c>
      <c r="M795" s="15">
        <v>1</v>
      </c>
      <c r="N795" s="15" t="s">
        <v>11222</v>
      </c>
      <c r="O795" s="15"/>
      <c r="P795" s="15"/>
      <c r="Q795" s="15" t="s">
        <v>11370</v>
      </c>
      <c r="R795" s="15"/>
      <c r="S795" s="15"/>
      <c r="T795" s="15">
        <v>0</v>
      </c>
      <c r="U795" s="15"/>
      <c r="V795" s="15"/>
      <c r="W795" s="15"/>
      <c r="X795" s="15"/>
      <c r="Y795" s="15"/>
      <c r="Z795" s="15"/>
    </row>
    <row r="796" spans="1:26" x14ac:dyDescent="0.25">
      <c r="A796" s="15" t="s">
        <v>14932</v>
      </c>
      <c r="B796" s="15">
        <v>795</v>
      </c>
      <c r="C796" s="15" t="s">
        <v>11277</v>
      </c>
      <c r="D796" s="15" t="s">
        <v>11277</v>
      </c>
      <c r="E796" s="15" t="s">
        <v>1067</v>
      </c>
      <c r="F796" s="15" t="s">
        <v>1355</v>
      </c>
      <c r="G796" s="15" t="s">
        <v>11530</v>
      </c>
      <c r="H796" s="15">
        <v>0</v>
      </c>
      <c r="I796" s="15">
        <v>0</v>
      </c>
      <c r="J796" s="15">
        <v>50</v>
      </c>
      <c r="K796" s="15" t="str">
        <f t="shared" si="12"/>
        <v>thegoblet</v>
      </c>
      <c r="L796" s="15" t="s">
        <v>11456</v>
      </c>
      <c r="M796" s="15">
        <v>3</v>
      </c>
      <c r="N796" s="15" t="s">
        <v>11222</v>
      </c>
      <c r="O796" s="15" t="s">
        <v>2826</v>
      </c>
      <c r="P796" s="15"/>
      <c r="Q796" s="15"/>
      <c r="R796" s="15"/>
      <c r="S796" s="15"/>
      <c r="T796" s="15">
        <v>3</v>
      </c>
      <c r="U796" s="15" t="s">
        <v>5908</v>
      </c>
      <c r="V796" s="15" t="s">
        <v>5914</v>
      </c>
      <c r="W796" s="15"/>
      <c r="X796" s="15"/>
      <c r="Y796" s="15"/>
      <c r="Z796" s="15"/>
    </row>
    <row r="797" spans="1:26" x14ac:dyDescent="0.25">
      <c r="A797" s="15" t="s">
        <v>14933</v>
      </c>
      <c r="B797" s="15">
        <v>796</v>
      </c>
      <c r="C797" s="15" t="s">
        <v>11277</v>
      </c>
      <c r="D797" s="15" t="s">
        <v>11277</v>
      </c>
      <c r="E797" s="15" t="s">
        <v>1067</v>
      </c>
      <c r="F797" s="15" t="s">
        <v>1557</v>
      </c>
      <c r="G797" s="15" t="s">
        <v>11410</v>
      </c>
      <c r="H797" s="15">
        <v>20</v>
      </c>
      <c r="I797" s="15">
        <v>30</v>
      </c>
      <c r="J797" s="15">
        <v>4</v>
      </c>
      <c r="K797" s="15" t="str">
        <f t="shared" si="12"/>
        <v>coerthasriver</v>
      </c>
      <c r="L797" s="15" t="s">
        <v>11253</v>
      </c>
      <c r="M797" s="15">
        <v>1</v>
      </c>
      <c r="N797" s="15" t="s">
        <v>11222</v>
      </c>
      <c r="O797" s="15"/>
      <c r="P797" s="15"/>
      <c r="Q797" s="15"/>
      <c r="R797" s="15"/>
      <c r="S797" s="15"/>
      <c r="T797" s="15">
        <v>0</v>
      </c>
      <c r="U797" s="15"/>
      <c r="V797" s="15"/>
      <c r="W797" s="15"/>
      <c r="X797" s="15"/>
      <c r="Y797" s="15"/>
      <c r="Z797" s="15"/>
    </row>
    <row r="798" spans="1:26" x14ac:dyDescent="0.25">
      <c r="A798" s="15" t="s">
        <v>14934</v>
      </c>
      <c r="B798" s="15">
        <v>797</v>
      </c>
      <c r="C798" s="15" t="s">
        <v>11277</v>
      </c>
      <c r="D798" s="15" t="s">
        <v>11277</v>
      </c>
      <c r="E798" s="15" t="s">
        <v>1067</v>
      </c>
      <c r="F798" s="15" t="s">
        <v>1557</v>
      </c>
      <c r="G798" s="15" t="s">
        <v>11265</v>
      </c>
      <c r="H798" s="15">
        <v>20</v>
      </c>
      <c r="I798" s="15">
        <v>30</v>
      </c>
      <c r="J798" s="15">
        <v>10</v>
      </c>
      <c r="K798" s="15" t="str">
        <f t="shared" si="12"/>
        <v>coerthasriver</v>
      </c>
      <c r="L798" s="15" t="s">
        <v>11440</v>
      </c>
      <c r="M798" s="15">
        <v>2</v>
      </c>
      <c r="N798" s="15" t="s">
        <v>11223</v>
      </c>
      <c r="O798" s="15"/>
      <c r="P798" s="15"/>
      <c r="Q798" s="15"/>
      <c r="R798" s="15"/>
      <c r="S798" s="15"/>
      <c r="T798" s="15">
        <v>0</v>
      </c>
      <c r="U798" s="15"/>
      <c r="V798" s="15"/>
      <c r="W798" s="15"/>
      <c r="X798" s="15"/>
      <c r="Y798" s="15"/>
      <c r="Z798" s="15"/>
    </row>
    <row r="799" spans="1:26" x14ac:dyDescent="0.25">
      <c r="A799" s="15" t="s">
        <v>14935</v>
      </c>
      <c r="B799" s="15">
        <v>798</v>
      </c>
      <c r="C799" s="15" t="s">
        <v>11277</v>
      </c>
      <c r="D799" s="15" t="s">
        <v>11277</v>
      </c>
      <c r="E799" s="15" t="s">
        <v>1067</v>
      </c>
      <c r="F799" s="15" t="s">
        <v>1557</v>
      </c>
      <c r="G799" s="15" t="s">
        <v>11429</v>
      </c>
      <c r="H799" s="15">
        <v>20</v>
      </c>
      <c r="I799" s="15">
        <v>30</v>
      </c>
      <c r="J799" s="15">
        <v>15</v>
      </c>
      <c r="K799" s="15" t="str">
        <f t="shared" si="12"/>
        <v>coerthasriver</v>
      </c>
      <c r="L799" s="15" t="s">
        <v>11254</v>
      </c>
      <c r="M799" s="15">
        <v>2</v>
      </c>
      <c r="N799" s="15" t="s">
        <v>11223</v>
      </c>
      <c r="O799" s="15"/>
      <c r="P799" s="15"/>
      <c r="Q799" s="15"/>
      <c r="R799" s="15"/>
      <c r="S799" s="15"/>
      <c r="T799" s="15">
        <v>0</v>
      </c>
      <c r="U799" s="15"/>
      <c r="V799" s="15"/>
      <c r="W799" s="15"/>
      <c r="X799" s="15"/>
      <c r="Y799" s="15"/>
      <c r="Z799" s="15"/>
    </row>
    <row r="800" spans="1:26" x14ac:dyDescent="0.25">
      <c r="A800" s="15" t="s">
        <v>14936</v>
      </c>
      <c r="B800" s="15">
        <v>799</v>
      </c>
      <c r="C800" s="15" t="s">
        <v>11277</v>
      </c>
      <c r="D800" s="15" t="s">
        <v>11277</v>
      </c>
      <c r="E800" s="15" t="s">
        <v>1067</v>
      </c>
      <c r="F800" s="15" t="s">
        <v>1557</v>
      </c>
      <c r="G800" s="15" t="s">
        <v>11425</v>
      </c>
      <c r="H800" s="15">
        <v>20</v>
      </c>
      <c r="I800" s="15">
        <v>30</v>
      </c>
      <c r="J800" s="15">
        <v>35</v>
      </c>
      <c r="K800" s="15" t="str">
        <f t="shared" si="12"/>
        <v>coerthasriver</v>
      </c>
      <c r="L800" s="15" t="s">
        <v>11440</v>
      </c>
      <c r="M800" s="15">
        <v>2</v>
      </c>
      <c r="N800" s="15" t="s">
        <v>11223</v>
      </c>
      <c r="O800" s="15"/>
      <c r="P800" s="15"/>
      <c r="Q800" s="15"/>
      <c r="R800" s="15"/>
      <c r="S800" s="15"/>
      <c r="T800" s="15">
        <v>0</v>
      </c>
      <c r="U800" s="15"/>
      <c r="V800" s="15"/>
      <c r="W800" s="15"/>
      <c r="X800" s="15"/>
      <c r="Y800" s="15"/>
      <c r="Z800" s="15"/>
    </row>
    <row r="801" spans="1:26" x14ac:dyDescent="0.25">
      <c r="A801" s="15" t="s">
        <v>14937</v>
      </c>
      <c r="B801" s="15">
        <v>800</v>
      </c>
      <c r="C801" s="15" t="s">
        <v>11277</v>
      </c>
      <c r="D801" s="15" t="s">
        <v>11277</v>
      </c>
      <c r="E801" s="15" t="s">
        <v>1067</v>
      </c>
      <c r="F801" s="15" t="s">
        <v>1557</v>
      </c>
      <c r="G801" s="15" t="s">
        <v>11365</v>
      </c>
      <c r="H801" s="15">
        <v>20</v>
      </c>
      <c r="I801" s="15">
        <v>30</v>
      </c>
      <c r="J801" s="15">
        <v>37</v>
      </c>
      <c r="K801" s="15" t="str">
        <f t="shared" si="12"/>
        <v>coerthasriver</v>
      </c>
      <c r="L801" s="15" t="s">
        <v>11355</v>
      </c>
      <c r="M801" s="15">
        <v>2</v>
      </c>
      <c r="N801" s="15" t="s">
        <v>11223</v>
      </c>
      <c r="O801" s="15"/>
      <c r="P801" s="15"/>
      <c r="Q801" s="15"/>
      <c r="R801" s="15"/>
      <c r="S801" s="15"/>
      <c r="T801" s="15">
        <v>0</v>
      </c>
      <c r="U801" s="15"/>
      <c r="V801" s="15"/>
      <c r="W801" s="15"/>
      <c r="X801" s="15"/>
      <c r="Y801" s="15"/>
      <c r="Z801" s="15"/>
    </row>
    <row r="802" spans="1:26" x14ac:dyDescent="0.25">
      <c r="A802" s="15" t="s">
        <v>14938</v>
      </c>
      <c r="B802" s="15">
        <v>801</v>
      </c>
      <c r="C802" s="15" t="s">
        <v>11277</v>
      </c>
      <c r="D802" s="15" t="s">
        <v>11277</v>
      </c>
      <c r="E802" s="15" t="s">
        <v>1067</v>
      </c>
      <c r="F802" s="15" t="s">
        <v>1557</v>
      </c>
      <c r="G802" s="15" t="s">
        <v>11531</v>
      </c>
      <c r="H802" s="15">
        <v>20</v>
      </c>
      <c r="I802" s="15">
        <v>30</v>
      </c>
      <c r="J802" s="15">
        <v>40</v>
      </c>
      <c r="K802" s="15" t="str">
        <f t="shared" si="12"/>
        <v>coerthasriver</v>
      </c>
      <c r="L802" s="15" t="s">
        <v>11367</v>
      </c>
      <c r="M802" s="15">
        <v>2</v>
      </c>
      <c r="N802" s="15" t="s">
        <v>11223</v>
      </c>
      <c r="O802" s="15"/>
      <c r="P802" s="15"/>
      <c r="Q802" s="15"/>
      <c r="R802" s="15"/>
      <c r="S802" s="15"/>
      <c r="T802" s="15">
        <v>0</v>
      </c>
      <c r="U802" s="15"/>
      <c r="V802" s="15"/>
      <c r="W802" s="15"/>
      <c r="X802" s="15"/>
      <c r="Y802" s="15"/>
      <c r="Z802" s="15"/>
    </row>
    <row r="803" spans="1:26" x14ac:dyDescent="0.25">
      <c r="A803" s="15" t="s">
        <v>14939</v>
      </c>
      <c r="B803" s="15">
        <v>802</v>
      </c>
      <c r="C803" s="15" t="s">
        <v>11277</v>
      </c>
      <c r="D803" s="15" t="s">
        <v>11277</v>
      </c>
      <c r="E803" s="15" t="s">
        <v>1067</v>
      </c>
      <c r="F803" s="15" t="s">
        <v>1557</v>
      </c>
      <c r="G803" s="15" t="s">
        <v>11532</v>
      </c>
      <c r="H803" s="15">
        <v>20</v>
      </c>
      <c r="I803" s="15">
        <v>30</v>
      </c>
      <c r="J803" s="15">
        <v>50</v>
      </c>
      <c r="K803" s="15" t="str">
        <f t="shared" si="12"/>
        <v>coerthasriver</v>
      </c>
      <c r="L803" s="15" t="s">
        <v>14088</v>
      </c>
      <c r="M803" s="15">
        <v>2</v>
      </c>
      <c r="N803" s="15" t="s">
        <v>11223</v>
      </c>
      <c r="O803" s="15"/>
      <c r="P803" s="15"/>
      <c r="Q803" s="15" t="s">
        <v>11410</v>
      </c>
      <c r="R803" s="15"/>
      <c r="S803" s="15"/>
      <c r="T803" s="15">
        <v>0</v>
      </c>
      <c r="U803" s="15"/>
      <c r="V803" s="15"/>
      <c r="W803" s="15"/>
      <c r="X803" s="15"/>
      <c r="Y803" s="15"/>
      <c r="Z803" s="15"/>
    </row>
    <row r="804" spans="1:26" x14ac:dyDescent="0.25">
      <c r="A804" s="15" t="s">
        <v>14940</v>
      </c>
      <c r="B804" s="15">
        <v>803</v>
      </c>
      <c r="C804" s="15" t="s">
        <v>11277</v>
      </c>
      <c r="D804" s="15" t="s">
        <v>11277</v>
      </c>
      <c r="E804" s="15" t="s">
        <v>1067</v>
      </c>
      <c r="F804" s="15" t="s">
        <v>1557</v>
      </c>
      <c r="G804" s="15" t="s">
        <v>11533</v>
      </c>
      <c r="H804" s="15">
        <v>20</v>
      </c>
      <c r="I804" s="15">
        <v>30</v>
      </c>
      <c r="J804" s="15">
        <v>50</v>
      </c>
      <c r="K804" s="15" t="str">
        <f t="shared" si="12"/>
        <v>coerthasriver</v>
      </c>
      <c r="L804" s="15" t="s">
        <v>11440</v>
      </c>
      <c r="M804" s="15">
        <v>3</v>
      </c>
      <c r="N804" s="15" t="s">
        <v>11223</v>
      </c>
      <c r="O804" s="15"/>
      <c r="P804" s="15"/>
      <c r="Q804" s="15"/>
      <c r="R804" s="15"/>
      <c r="S804" s="15"/>
      <c r="T804" s="15">
        <v>3</v>
      </c>
      <c r="U804" s="15" t="s">
        <v>6080</v>
      </c>
      <c r="V804" s="15"/>
      <c r="W804" s="15"/>
      <c r="X804" s="15"/>
      <c r="Y804" s="15"/>
      <c r="Z804" s="15"/>
    </row>
    <row r="805" spans="1:26" x14ac:dyDescent="0.25">
      <c r="A805" s="15" t="s">
        <v>14941</v>
      </c>
      <c r="B805" s="15">
        <v>804</v>
      </c>
      <c r="C805" s="15" t="s">
        <v>11277</v>
      </c>
      <c r="D805" s="15" t="s">
        <v>11277</v>
      </c>
      <c r="E805" s="15" t="s">
        <v>1067</v>
      </c>
      <c r="F805" s="15" t="s">
        <v>1525</v>
      </c>
      <c r="G805" s="15" t="s">
        <v>11410</v>
      </c>
      <c r="H805" s="15">
        <v>13</v>
      </c>
      <c r="I805" s="15">
        <v>23</v>
      </c>
      <c r="J805" s="15">
        <v>4</v>
      </c>
      <c r="K805" s="15" t="str">
        <f t="shared" si="12"/>
        <v>daniffenpass</v>
      </c>
      <c r="L805" s="15" t="s">
        <v>11253</v>
      </c>
      <c r="M805" s="15">
        <v>1</v>
      </c>
      <c r="N805" s="15" t="s">
        <v>11222</v>
      </c>
      <c r="O805" s="15"/>
      <c r="P805" s="15"/>
      <c r="Q805" s="15"/>
      <c r="R805" s="15"/>
      <c r="S805" s="15"/>
      <c r="T805" s="15">
        <v>0</v>
      </c>
      <c r="U805" s="15"/>
      <c r="V805" s="15"/>
      <c r="W805" s="15"/>
      <c r="X805" s="15"/>
      <c r="Y805" s="15"/>
      <c r="Z805" s="15"/>
    </row>
    <row r="806" spans="1:26" x14ac:dyDescent="0.25">
      <c r="A806" s="15" t="s">
        <v>14942</v>
      </c>
      <c r="B806" s="15">
        <v>805</v>
      </c>
      <c r="C806" s="15" t="s">
        <v>11277</v>
      </c>
      <c r="D806" s="15" t="s">
        <v>11277</v>
      </c>
      <c r="E806" s="15" t="s">
        <v>1067</v>
      </c>
      <c r="F806" s="15" t="s">
        <v>1525</v>
      </c>
      <c r="G806" s="15" t="s">
        <v>11322</v>
      </c>
      <c r="H806" s="15">
        <v>13</v>
      </c>
      <c r="I806" s="15">
        <v>23</v>
      </c>
      <c r="J806" s="15">
        <v>31</v>
      </c>
      <c r="K806" s="15" t="str">
        <f t="shared" si="12"/>
        <v>daniffenpass</v>
      </c>
      <c r="L806" s="15" t="s">
        <v>11323</v>
      </c>
      <c r="M806" s="15">
        <v>1</v>
      </c>
      <c r="N806" s="15" t="s">
        <v>11222</v>
      </c>
      <c r="O806" s="15"/>
      <c r="P806" s="15"/>
      <c r="Q806" s="15"/>
      <c r="R806" s="15"/>
      <c r="S806" s="15"/>
      <c r="T806" s="15">
        <v>0</v>
      </c>
      <c r="U806" s="15"/>
      <c r="V806" s="15"/>
      <c r="W806" s="15"/>
      <c r="X806" s="15"/>
      <c r="Y806" s="15"/>
      <c r="Z806" s="15"/>
    </row>
    <row r="807" spans="1:26" x14ac:dyDescent="0.25">
      <c r="A807" s="15" t="s">
        <v>14943</v>
      </c>
      <c r="B807" s="15">
        <v>806</v>
      </c>
      <c r="C807" s="15" t="s">
        <v>11277</v>
      </c>
      <c r="D807" s="15" t="s">
        <v>11277</v>
      </c>
      <c r="E807" s="15" t="s">
        <v>1067</v>
      </c>
      <c r="F807" s="15" t="s">
        <v>1525</v>
      </c>
      <c r="G807" s="15" t="s">
        <v>11324</v>
      </c>
      <c r="H807" s="15">
        <v>13</v>
      </c>
      <c r="I807" s="15">
        <v>23</v>
      </c>
      <c r="J807" s="15">
        <v>31</v>
      </c>
      <c r="K807" s="15" t="str">
        <f t="shared" si="12"/>
        <v>daniffenpass</v>
      </c>
      <c r="L807" s="15" t="s">
        <v>11308</v>
      </c>
      <c r="M807" s="15">
        <v>1</v>
      </c>
      <c r="N807" s="15" t="s">
        <v>11222</v>
      </c>
      <c r="O807" s="15"/>
      <c r="P807" s="15"/>
      <c r="Q807" s="15"/>
      <c r="R807" s="15"/>
      <c r="S807" s="15"/>
      <c r="T807" s="15">
        <v>0</v>
      </c>
      <c r="U807" s="15"/>
      <c r="V807" s="15"/>
      <c r="W807" s="15"/>
      <c r="X807" s="15"/>
      <c r="Y807" s="15"/>
      <c r="Z807" s="15"/>
    </row>
    <row r="808" spans="1:26" x14ac:dyDescent="0.25">
      <c r="A808" s="15" t="s">
        <v>14944</v>
      </c>
      <c r="B808" s="15">
        <v>807</v>
      </c>
      <c r="C808" s="15" t="s">
        <v>11277</v>
      </c>
      <c r="D808" s="15" t="s">
        <v>11277</v>
      </c>
      <c r="E808" s="15" t="s">
        <v>1067</v>
      </c>
      <c r="F808" s="15" t="s">
        <v>1525</v>
      </c>
      <c r="G808" s="15" t="s">
        <v>11534</v>
      </c>
      <c r="H808" s="15">
        <v>13</v>
      </c>
      <c r="I808" s="15">
        <v>23</v>
      </c>
      <c r="J808" s="15">
        <v>35</v>
      </c>
      <c r="K808" s="15" t="str">
        <f t="shared" si="12"/>
        <v>daniffenpass</v>
      </c>
      <c r="L808" s="15" t="s">
        <v>11376</v>
      </c>
      <c r="M808" s="15">
        <v>1</v>
      </c>
      <c r="N808" s="15" t="s">
        <v>11222</v>
      </c>
      <c r="O808" s="15"/>
      <c r="P808" s="15"/>
      <c r="Q808" s="15"/>
      <c r="R808" s="15"/>
      <c r="S808" s="15"/>
      <c r="T808" s="15">
        <v>0</v>
      </c>
      <c r="U808" s="15"/>
      <c r="V808" s="15"/>
      <c r="W808" s="15"/>
      <c r="X808" s="15"/>
      <c r="Y808" s="15"/>
      <c r="Z808" s="15"/>
    </row>
    <row r="809" spans="1:26" x14ac:dyDescent="0.25">
      <c r="A809" s="15" t="s">
        <v>14945</v>
      </c>
      <c r="B809" s="15">
        <v>808</v>
      </c>
      <c r="C809" s="15" t="s">
        <v>11277</v>
      </c>
      <c r="D809" s="15" t="s">
        <v>11277</v>
      </c>
      <c r="E809" s="15" t="s">
        <v>1067</v>
      </c>
      <c r="F809" s="15" t="s">
        <v>1525</v>
      </c>
      <c r="G809" s="15" t="s">
        <v>11465</v>
      </c>
      <c r="H809" s="15">
        <v>13</v>
      </c>
      <c r="I809" s="15">
        <v>23</v>
      </c>
      <c r="J809" s="15">
        <v>39</v>
      </c>
      <c r="K809" s="15" t="str">
        <f t="shared" si="12"/>
        <v>daniffenpass</v>
      </c>
      <c r="L809" s="15" t="s">
        <v>11363</v>
      </c>
      <c r="M809" s="15">
        <v>1</v>
      </c>
      <c r="N809" s="15" t="s">
        <v>11222</v>
      </c>
      <c r="O809" s="15"/>
      <c r="P809" s="15"/>
      <c r="Q809" s="15"/>
      <c r="R809" s="15"/>
      <c r="S809" s="15"/>
      <c r="T809" s="15">
        <v>0</v>
      </c>
      <c r="U809" s="15"/>
      <c r="V809" s="15"/>
      <c r="W809" s="15"/>
      <c r="X809" s="15"/>
      <c r="Y809" s="15"/>
      <c r="Z809" s="15"/>
    </row>
    <row r="810" spans="1:26" x14ac:dyDescent="0.25">
      <c r="A810" s="15" t="s">
        <v>14946</v>
      </c>
      <c r="B810" s="15">
        <v>809</v>
      </c>
      <c r="C810" s="15" t="s">
        <v>11277</v>
      </c>
      <c r="D810" s="15" t="s">
        <v>11277</v>
      </c>
      <c r="E810" s="15" t="s">
        <v>1067</v>
      </c>
      <c r="F810" s="15" t="s">
        <v>1525</v>
      </c>
      <c r="G810" s="15" t="s">
        <v>11535</v>
      </c>
      <c r="H810" s="15">
        <v>13</v>
      </c>
      <c r="I810" s="15">
        <v>23</v>
      </c>
      <c r="J810" s="15">
        <v>50</v>
      </c>
      <c r="K810" s="15" t="str">
        <f t="shared" si="12"/>
        <v>daniffenpass</v>
      </c>
      <c r="L810" s="15" t="s">
        <v>14088</v>
      </c>
      <c r="M810" s="15">
        <v>2</v>
      </c>
      <c r="N810" s="15" t="s">
        <v>11223</v>
      </c>
      <c r="O810" s="15"/>
      <c r="P810" s="15"/>
      <c r="Q810" s="15" t="s">
        <v>11410</v>
      </c>
      <c r="R810" s="15" t="s">
        <v>11534</v>
      </c>
      <c r="S810" s="15"/>
      <c r="T810" s="15">
        <v>0</v>
      </c>
      <c r="U810" s="15"/>
      <c r="V810" s="15"/>
      <c r="W810" s="15"/>
      <c r="X810" s="15"/>
      <c r="Y810" s="15"/>
      <c r="Z810" s="15"/>
    </row>
    <row r="811" spans="1:26" x14ac:dyDescent="0.25">
      <c r="A811" s="15" t="s">
        <v>14947</v>
      </c>
      <c r="B811" s="15">
        <v>810</v>
      </c>
      <c r="C811" s="15" t="s">
        <v>11277</v>
      </c>
      <c r="D811" s="15" t="s">
        <v>11277</v>
      </c>
      <c r="E811" s="15" t="s">
        <v>1067</v>
      </c>
      <c r="F811" s="15" t="s">
        <v>1525</v>
      </c>
      <c r="G811" s="15" t="s">
        <v>11536</v>
      </c>
      <c r="H811" s="15">
        <v>13</v>
      </c>
      <c r="I811" s="15">
        <v>23</v>
      </c>
      <c r="J811" s="15">
        <v>50</v>
      </c>
      <c r="K811" s="15" t="str">
        <f t="shared" si="12"/>
        <v>daniffenpass</v>
      </c>
      <c r="L811" s="15" t="s">
        <v>11376</v>
      </c>
      <c r="M811" s="15">
        <v>3</v>
      </c>
      <c r="N811" s="15" t="s">
        <v>11222</v>
      </c>
      <c r="O811" s="15" t="s">
        <v>14071</v>
      </c>
      <c r="P811" s="15"/>
      <c r="Q811" s="15"/>
      <c r="R811" s="15"/>
      <c r="S811" s="15"/>
      <c r="T811" s="15">
        <v>3</v>
      </c>
      <c r="U811" s="15"/>
      <c r="V811" s="15"/>
      <c r="W811" s="15"/>
      <c r="X811" s="15"/>
      <c r="Y811" s="15"/>
      <c r="Z811" s="15"/>
    </row>
    <row r="812" spans="1:26" x14ac:dyDescent="0.25">
      <c r="A812" s="15" t="s">
        <v>14948</v>
      </c>
      <c r="B812" s="15">
        <v>811</v>
      </c>
      <c r="C812" s="15" t="s">
        <v>11277</v>
      </c>
      <c r="D812" s="15" t="s">
        <v>11277</v>
      </c>
      <c r="E812" s="15" t="s">
        <v>1067</v>
      </c>
      <c r="F812" s="15" t="s">
        <v>6072</v>
      </c>
      <c r="G812" s="15" t="s">
        <v>11410</v>
      </c>
      <c r="H812" s="15">
        <v>16</v>
      </c>
      <c r="I812" s="15">
        <v>21</v>
      </c>
      <c r="J812" s="15">
        <v>4</v>
      </c>
      <c r="K812" s="15" t="str">
        <f t="shared" si="12"/>
        <v>thenail</v>
      </c>
      <c r="L812" s="15" t="s">
        <v>11253</v>
      </c>
      <c r="M812" s="15">
        <v>1</v>
      </c>
      <c r="N812" s="15" t="s">
        <v>11222</v>
      </c>
      <c r="O812" s="15"/>
      <c r="P812" s="15"/>
      <c r="Q812" s="15"/>
      <c r="R812" s="15"/>
      <c r="S812" s="15"/>
      <c r="T812" s="15">
        <v>0</v>
      </c>
      <c r="U812" s="15"/>
      <c r="V812" s="15"/>
      <c r="W812" s="15"/>
      <c r="X812" s="15"/>
      <c r="Y812" s="15"/>
      <c r="Z812" s="15"/>
    </row>
    <row r="813" spans="1:26" x14ac:dyDescent="0.25">
      <c r="A813" s="15" t="s">
        <v>14949</v>
      </c>
      <c r="B813" s="15">
        <v>812</v>
      </c>
      <c r="C813" s="15" t="s">
        <v>11277</v>
      </c>
      <c r="D813" s="15" t="s">
        <v>11277</v>
      </c>
      <c r="E813" s="15" t="s">
        <v>1067</v>
      </c>
      <c r="F813" s="15" t="s">
        <v>6072</v>
      </c>
      <c r="G813" s="15" t="s">
        <v>11534</v>
      </c>
      <c r="H813" s="15">
        <v>16</v>
      </c>
      <c r="I813" s="15">
        <v>21</v>
      </c>
      <c r="J813" s="15">
        <v>35</v>
      </c>
      <c r="K813" s="15" t="str">
        <f t="shared" si="12"/>
        <v>thenail</v>
      </c>
      <c r="L813" s="15" t="s">
        <v>11573</v>
      </c>
      <c r="M813" s="15">
        <v>1</v>
      </c>
      <c r="N813" s="15" t="s">
        <v>11222</v>
      </c>
      <c r="O813" s="15"/>
      <c r="P813" s="15"/>
      <c r="Q813" s="15"/>
      <c r="R813" s="15"/>
      <c r="S813" s="15"/>
      <c r="T813" s="15">
        <v>0</v>
      </c>
      <c r="U813" s="15"/>
      <c r="V813" s="15"/>
      <c r="W813" s="15"/>
      <c r="X813" s="15"/>
      <c r="Y813" s="15"/>
      <c r="Z813" s="15"/>
    </row>
    <row r="814" spans="1:26" x14ac:dyDescent="0.25">
      <c r="A814" s="15" t="s">
        <v>14950</v>
      </c>
      <c r="B814" s="15">
        <v>813</v>
      </c>
      <c r="C814" s="15" t="s">
        <v>11277</v>
      </c>
      <c r="D814" s="15" t="s">
        <v>11277</v>
      </c>
      <c r="E814" s="15" t="s">
        <v>1067</v>
      </c>
      <c r="F814" s="15" t="s">
        <v>6072</v>
      </c>
      <c r="G814" s="15" t="s">
        <v>11365</v>
      </c>
      <c r="H814" s="15">
        <v>16</v>
      </c>
      <c r="I814" s="15">
        <v>21</v>
      </c>
      <c r="J814" s="15">
        <v>37</v>
      </c>
      <c r="K814" s="15" t="str">
        <f t="shared" si="12"/>
        <v>thenail</v>
      </c>
      <c r="L814" s="15" t="s">
        <v>11355</v>
      </c>
      <c r="M814" s="15">
        <v>2</v>
      </c>
      <c r="N814" s="15" t="s">
        <v>11223</v>
      </c>
      <c r="O814" s="15"/>
      <c r="P814" s="15"/>
      <c r="Q814" s="15"/>
      <c r="R814" s="15"/>
      <c r="S814" s="15"/>
      <c r="T814" s="15">
        <v>0</v>
      </c>
      <c r="U814" s="15"/>
      <c r="V814" s="15"/>
      <c r="W814" s="15"/>
      <c r="X814" s="15"/>
      <c r="Y814" s="15"/>
      <c r="Z814" s="15"/>
    </row>
    <row r="815" spans="1:26" x14ac:dyDescent="0.25">
      <c r="A815" s="15" t="s">
        <v>14951</v>
      </c>
      <c r="B815" s="15">
        <v>814</v>
      </c>
      <c r="C815" s="15" t="s">
        <v>11277</v>
      </c>
      <c r="D815" s="15" t="s">
        <v>11277</v>
      </c>
      <c r="E815" s="15" t="s">
        <v>1067</v>
      </c>
      <c r="F815" s="15" t="s">
        <v>6072</v>
      </c>
      <c r="G815" s="15" t="s">
        <v>11531</v>
      </c>
      <c r="H815" s="15">
        <v>16</v>
      </c>
      <c r="I815" s="15">
        <v>21</v>
      </c>
      <c r="J815" s="15">
        <v>40</v>
      </c>
      <c r="K815" s="15" t="str">
        <f t="shared" si="12"/>
        <v>thenail</v>
      </c>
      <c r="L815" s="15" t="s">
        <v>11440</v>
      </c>
      <c r="M815" s="15">
        <v>2</v>
      </c>
      <c r="N815" s="15" t="s">
        <v>11223</v>
      </c>
      <c r="O815" s="15"/>
      <c r="P815" s="15"/>
      <c r="Q815" s="15"/>
      <c r="R815" s="15"/>
      <c r="S815" s="15"/>
      <c r="T815" s="15">
        <v>0</v>
      </c>
      <c r="U815" s="15"/>
      <c r="V815" s="15"/>
      <c r="W815" s="15"/>
      <c r="X815" s="15"/>
      <c r="Y815" s="15"/>
      <c r="Z815" s="15"/>
    </row>
    <row r="816" spans="1:26" x14ac:dyDescent="0.25">
      <c r="A816" s="15" t="s">
        <v>14952</v>
      </c>
      <c r="B816" s="15">
        <v>815</v>
      </c>
      <c r="C816" s="15" t="s">
        <v>11277</v>
      </c>
      <c r="D816" s="15" t="s">
        <v>11277</v>
      </c>
      <c r="E816" s="15" t="s">
        <v>1067</v>
      </c>
      <c r="F816" s="15" t="s">
        <v>6072</v>
      </c>
      <c r="G816" s="15" t="s">
        <v>11537</v>
      </c>
      <c r="H816" s="15">
        <v>16</v>
      </c>
      <c r="I816" s="15">
        <v>21</v>
      </c>
      <c r="J816" s="15">
        <v>41</v>
      </c>
      <c r="K816" s="15" t="str">
        <f t="shared" si="12"/>
        <v>thenail</v>
      </c>
      <c r="L816" s="15" t="s">
        <v>11310</v>
      </c>
      <c r="M816" s="15">
        <v>2</v>
      </c>
      <c r="N816" s="15" t="s">
        <v>11223</v>
      </c>
      <c r="O816" s="15"/>
      <c r="P816" s="15"/>
      <c r="Q816" s="15"/>
      <c r="R816" s="15"/>
      <c r="S816" s="15"/>
      <c r="T816" s="15">
        <v>0</v>
      </c>
      <c r="U816" s="15"/>
      <c r="V816" s="15"/>
      <c r="W816" s="15"/>
      <c r="X816" s="15"/>
      <c r="Y816" s="15"/>
      <c r="Z816" s="15"/>
    </row>
    <row r="817" spans="1:26" x14ac:dyDescent="0.25">
      <c r="A817" s="15" t="s">
        <v>14953</v>
      </c>
      <c r="B817" s="15">
        <v>816</v>
      </c>
      <c r="C817" s="15" t="s">
        <v>11277</v>
      </c>
      <c r="D817" s="15" t="s">
        <v>11277</v>
      </c>
      <c r="E817" s="15" t="s">
        <v>1067</v>
      </c>
      <c r="F817" s="15" t="s">
        <v>6072</v>
      </c>
      <c r="G817" s="15" t="s">
        <v>11538</v>
      </c>
      <c r="H817" s="15">
        <v>16</v>
      </c>
      <c r="I817" s="15">
        <v>21</v>
      </c>
      <c r="J817" s="15">
        <v>45</v>
      </c>
      <c r="K817" s="15" t="str">
        <f t="shared" si="12"/>
        <v>thenail</v>
      </c>
      <c r="L817" s="15" t="s">
        <v>11363</v>
      </c>
      <c r="M817" s="15">
        <v>2</v>
      </c>
      <c r="N817" s="15" t="s">
        <v>11223</v>
      </c>
      <c r="O817" s="15"/>
      <c r="P817" s="15"/>
      <c r="Q817" s="15"/>
      <c r="R817" s="15"/>
      <c r="S817" s="15"/>
      <c r="T817" s="15">
        <v>0</v>
      </c>
      <c r="U817" s="15"/>
      <c r="V817" s="15"/>
      <c r="W817" s="15"/>
      <c r="X817" s="15"/>
      <c r="Y817" s="15"/>
      <c r="Z817" s="15"/>
    </row>
    <row r="818" spans="1:26" x14ac:dyDescent="0.25">
      <c r="A818" s="15" t="s">
        <v>14954</v>
      </c>
      <c r="B818" s="15">
        <v>817</v>
      </c>
      <c r="C818" s="15" t="s">
        <v>11277</v>
      </c>
      <c r="D818" s="15" t="s">
        <v>11277</v>
      </c>
      <c r="E818" s="15" t="s">
        <v>1067</v>
      </c>
      <c r="F818" s="15" t="s">
        <v>6072</v>
      </c>
      <c r="G818" s="15" t="s">
        <v>11532</v>
      </c>
      <c r="H818" s="15">
        <v>16</v>
      </c>
      <c r="I818" s="15">
        <v>21</v>
      </c>
      <c r="J818" s="15">
        <v>50</v>
      </c>
      <c r="K818" s="15" t="str">
        <f t="shared" si="12"/>
        <v>thenail</v>
      </c>
      <c r="L818" s="15" t="s">
        <v>14088</v>
      </c>
      <c r="M818" s="15">
        <v>2</v>
      </c>
      <c r="N818" s="15" t="s">
        <v>11223</v>
      </c>
      <c r="O818" s="15"/>
      <c r="P818" s="15"/>
      <c r="Q818" s="15" t="s">
        <v>11410</v>
      </c>
      <c r="R818" s="15" t="s">
        <v>11534</v>
      </c>
      <c r="S818" s="15"/>
      <c r="T818" s="15">
        <v>0</v>
      </c>
      <c r="U818" s="15"/>
      <c r="V818" s="15"/>
      <c r="W818" s="15"/>
      <c r="X818" s="15"/>
      <c r="Y818" s="15"/>
      <c r="Z818" s="15"/>
    </row>
    <row r="819" spans="1:26" x14ac:dyDescent="0.25">
      <c r="A819" s="15" t="s">
        <v>14955</v>
      </c>
      <c r="B819" s="15">
        <v>818</v>
      </c>
      <c r="C819" s="15" t="s">
        <v>11277</v>
      </c>
      <c r="D819" s="15" t="s">
        <v>11277</v>
      </c>
      <c r="E819" s="15" t="s">
        <v>1067</v>
      </c>
      <c r="F819" s="15" t="s">
        <v>6072</v>
      </c>
      <c r="G819" s="15" t="s">
        <v>11539</v>
      </c>
      <c r="H819" s="15">
        <v>16</v>
      </c>
      <c r="I819" s="15">
        <v>21</v>
      </c>
      <c r="J819" s="15">
        <v>50</v>
      </c>
      <c r="K819" s="15" t="str">
        <f t="shared" si="12"/>
        <v>thenail</v>
      </c>
      <c r="L819" s="15" t="s">
        <v>14088</v>
      </c>
      <c r="M819" s="15">
        <v>2</v>
      </c>
      <c r="N819" s="15" t="s">
        <v>11223</v>
      </c>
      <c r="O819" s="15"/>
      <c r="P819" s="15"/>
      <c r="Q819" s="15" t="s">
        <v>11534</v>
      </c>
      <c r="R819" s="15" t="s">
        <v>11410</v>
      </c>
      <c r="S819" s="15"/>
      <c r="T819" s="15">
        <v>1</v>
      </c>
      <c r="U819" s="15"/>
      <c r="V819" s="15"/>
      <c r="W819" s="15"/>
      <c r="X819" s="15"/>
      <c r="Y819" s="15"/>
      <c r="Z819" s="15"/>
    </row>
    <row r="820" spans="1:26" x14ac:dyDescent="0.25">
      <c r="A820" s="15" t="s">
        <v>14956</v>
      </c>
      <c r="B820" s="15">
        <v>819</v>
      </c>
      <c r="C820" s="15" t="s">
        <v>11277</v>
      </c>
      <c r="D820" s="15" t="s">
        <v>11277</v>
      </c>
      <c r="E820" s="15" t="s">
        <v>1067</v>
      </c>
      <c r="F820" s="15" t="s">
        <v>6072</v>
      </c>
      <c r="G820" s="15" t="s">
        <v>11540</v>
      </c>
      <c r="H820" s="15">
        <v>16</v>
      </c>
      <c r="I820" s="15">
        <v>21</v>
      </c>
      <c r="J820" s="15">
        <v>50</v>
      </c>
      <c r="K820" s="15" t="str">
        <f t="shared" si="12"/>
        <v>thenail</v>
      </c>
      <c r="L820" s="15" t="s">
        <v>14088</v>
      </c>
      <c r="M820" s="15">
        <v>3</v>
      </c>
      <c r="N820" s="15" t="s">
        <v>11223</v>
      </c>
      <c r="O820" s="15" t="s">
        <v>14063</v>
      </c>
      <c r="P820" s="15"/>
      <c r="Q820" s="15" t="s">
        <v>11534</v>
      </c>
      <c r="R820" s="15"/>
      <c r="S820" s="15"/>
      <c r="T820" s="15">
        <v>3</v>
      </c>
      <c r="U820" s="15" t="s">
        <v>5893</v>
      </c>
      <c r="V820" s="15" t="s">
        <v>5892</v>
      </c>
      <c r="W820" s="15"/>
      <c r="X820" s="15"/>
      <c r="Y820" s="15"/>
      <c r="Z820" s="15"/>
    </row>
    <row r="821" spans="1:26" x14ac:dyDescent="0.25">
      <c r="A821" s="15" t="s">
        <v>14957</v>
      </c>
      <c r="B821" s="15">
        <v>820</v>
      </c>
      <c r="C821" s="15" t="s">
        <v>11277</v>
      </c>
      <c r="D821" s="15" t="s">
        <v>11277</v>
      </c>
      <c r="E821" s="15" t="s">
        <v>1067</v>
      </c>
      <c r="F821" s="15" t="s">
        <v>6072</v>
      </c>
      <c r="G821" s="15" t="s">
        <v>11468</v>
      </c>
      <c r="H821" s="15">
        <v>16</v>
      </c>
      <c r="I821" s="15">
        <v>21</v>
      </c>
      <c r="J821" s="15">
        <v>36</v>
      </c>
      <c r="K821" s="15" t="str">
        <f t="shared" si="12"/>
        <v>thenail</v>
      </c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25">
      <c r="A822" s="15" t="s">
        <v>14958</v>
      </c>
      <c r="B822" s="15">
        <v>821</v>
      </c>
      <c r="C822" s="15" t="s">
        <v>11277</v>
      </c>
      <c r="D822" s="15" t="s">
        <v>11277</v>
      </c>
      <c r="E822" s="15" t="s">
        <v>1067</v>
      </c>
      <c r="F822" s="15" t="s">
        <v>14959</v>
      </c>
      <c r="G822" s="15" t="s">
        <v>11410</v>
      </c>
      <c r="H822" s="15">
        <v>28</v>
      </c>
      <c r="I822" s="15">
        <v>17</v>
      </c>
      <c r="J822" s="15">
        <v>4</v>
      </c>
      <c r="K822" s="15" t="str">
        <f t="shared" si="12"/>
        <v>dragonheadlatrines</v>
      </c>
      <c r="L822" s="15" t="s">
        <v>11253</v>
      </c>
      <c r="M822" s="15">
        <v>1</v>
      </c>
      <c r="N822" s="15" t="s">
        <v>11222</v>
      </c>
      <c r="O822" s="15"/>
      <c r="P822" s="15"/>
      <c r="Q822" s="15"/>
      <c r="R822" s="15"/>
      <c r="S822" s="15"/>
      <c r="T822" s="15">
        <v>0</v>
      </c>
      <c r="U822" s="15"/>
      <c r="V822" s="15"/>
      <c r="W822" s="15"/>
      <c r="X822" s="15"/>
      <c r="Y822" s="15"/>
      <c r="Z822" s="15"/>
    </row>
    <row r="823" spans="1:26" x14ac:dyDescent="0.25">
      <c r="A823" s="15" t="s">
        <v>14960</v>
      </c>
      <c r="B823" s="15">
        <v>822</v>
      </c>
      <c r="C823" s="15" t="s">
        <v>11277</v>
      </c>
      <c r="D823" s="15" t="s">
        <v>11277</v>
      </c>
      <c r="E823" s="15" t="s">
        <v>1067</v>
      </c>
      <c r="F823" s="15" t="s">
        <v>14959</v>
      </c>
      <c r="G823" s="15" t="s">
        <v>11429</v>
      </c>
      <c r="H823" s="15">
        <v>28</v>
      </c>
      <c r="I823" s="15">
        <v>17</v>
      </c>
      <c r="J823" s="15">
        <v>15</v>
      </c>
      <c r="K823" s="15" t="str">
        <f t="shared" si="12"/>
        <v>dragonheadlatrines</v>
      </c>
      <c r="L823" s="15" t="s">
        <v>11274</v>
      </c>
      <c r="M823" s="15">
        <v>2</v>
      </c>
      <c r="N823" s="15" t="s">
        <v>11223</v>
      </c>
      <c r="O823" s="15"/>
      <c r="P823" s="15"/>
      <c r="Q823" s="15"/>
      <c r="R823" s="15"/>
      <c r="S823" s="15"/>
      <c r="T823" s="15">
        <v>0</v>
      </c>
      <c r="U823" s="15"/>
      <c r="V823" s="15"/>
      <c r="W823" s="15"/>
      <c r="X823" s="15"/>
      <c r="Y823" s="15"/>
      <c r="Z823" s="15"/>
    </row>
    <row r="824" spans="1:26" x14ac:dyDescent="0.25">
      <c r="A824" s="15" t="s">
        <v>14961</v>
      </c>
      <c r="B824" s="15">
        <v>823</v>
      </c>
      <c r="C824" s="15" t="s">
        <v>11277</v>
      </c>
      <c r="D824" s="15" t="s">
        <v>11277</v>
      </c>
      <c r="E824" s="15" t="s">
        <v>1067</v>
      </c>
      <c r="F824" s="15" t="s">
        <v>14959</v>
      </c>
      <c r="G824" s="15" t="s">
        <v>11534</v>
      </c>
      <c r="H824" s="15">
        <v>28</v>
      </c>
      <c r="I824" s="15">
        <v>17</v>
      </c>
      <c r="J824" s="15">
        <v>35</v>
      </c>
      <c r="K824" s="15" t="str">
        <f t="shared" si="12"/>
        <v>dragonheadlatrines</v>
      </c>
      <c r="L824" s="15" t="s">
        <v>11376</v>
      </c>
      <c r="M824" s="15">
        <v>1</v>
      </c>
      <c r="N824" s="15" t="s">
        <v>11222</v>
      </c>
      <c r="O824" s="15"/>
      <c r="P824" s="15"/>
      <c r="Q824" s="15"/>
      <c r="R824" s="15"/>
      <c r="S824" s="15"/>
      <c r="T824" s="15">
        <v>0</v>
      </c>
      <c r="U824" s="15"/>
      <c r="V824" s="15"/>
      <c r="W824" s="15"/>
      <c r="X824" s="15"/>
      <c r="Y824" s="15"/>
      <c r="Z824" s="15"/>
    </row>
    <row r="825" spans="1:26" x14ac:dyDescent="0.25">
      <c r="A825" s="15" t="s">
        <v>14962</v>
      </c>
      <c r="B825" s="15">
        <v>824</v>
      </c>
      <c r="C825" s="15" t="s">
        <v>11277</v>
      </c>
      <c r="D825" s="15" t="s">
        <v>11277</v>
      </c>
      <c r="E825" s="15" t="s">
        <v>1067</v>
      </c>
      <c r="F825" s="15" t="s">
        <v>14959</v>
      </c>
      <c r="G825" s="15" t="s">
        <v>11425</v>
      </c>
      <c r="H825" s="15">
        <v>28</v>
      </c>
      <c r="I825" s="15">
        <v>17</v>
      </c>
      <c r="J825" s="15">
        <v>35</v>
      </c>
      <c r="K825" s="15" t="str">
        <f t="shared" si="12"/>
        <v>dragonheadlatrines</v>
      </c>
      <c r="L825" s="15" t="s">
        <v>11440</v>
      </c>
      <c r="M825" s="15">
        <v>2</v>
      </c>
      <c r="N825" s="15" t="s">
        <v>11223</v>
      </c>
      <c r="O825" s="15"/>
      <c r="P825" s="15"/>
      <c r="Q825" s="15"/>
      <c r="R825" s="15"/>
      <c r="S825" s="15"/>
      <c r="T825" s="15">
        <v>0</v>
      </c>
      <c r="U825" s="15"/>
      <c r="V825" s="15"/>
      <c r="W825" s="15"/>
      <c r="X825" s="15"/>
      <c r="Y825" s="15"/>
      <c r="Z825" s="15"/>
    </row>
    <row r="826" spans="1:26" x14ac:dyDescent="0.25">
      <c r="A826" s="15" t="s">
        <v>14963</v>
      </c>
      <c r="B826" s="15">
        <v>825</v>
      </c>
      <c r="C826" s="15" t="s">
        <v>11277</v>
      </c>
      <c r="D826" s="15" t="s">
        <v>11277</v>
      </c>
      <c r="E826" s="15" t="s">
        <v>1067</v>
      </c>
      <c r="F826" s="15" t="s">
        <v>14959</v>
      </c>
      <c r="G826" s="15" t="s">
        <v>11531</v>
      </c>
      <c r="H826" s="15">
        <v>28</v>
      </c>
      <c r="I826" s="15">
        <v>17</v>
      </c>
      <c r="J826" s="15">
        <v>40</v>
      </c>
      <c r="K826" s="15" t="str">
        <f t="shared" si="12"/>
        <v>dragonheadlatrines</v>
      </c>
      <c r="L826" s="15" t="s">
        <v>11367</v>
      </c>
      <c r="M826" s="15">
        <v>2</v>
      </c>
      <c r="N826" s="15" t="s">
        <v>11223</v>
      </c>
      <c r="O826" s="15"/>
      <c r="P826" s="15"/>
      <c r="Q826" s="15"/>
      <c r="R826" s="15"/>
      <c r="S826" s="15"/>
      <c r="T826" s="15">
        <v>0</v>
      </c>
      <c r="U826" s="15"/>
      <c r="V826" s="15"/>
      <c r="W826" s="15"/>
      <c r="X826" s="15"/>
      <c r="Y826" s="15"/>
      <c r="Z826" s="15"/>
    </row>
    <row r="827" spans="1:26" x14ac:dyDescent="0.25">
      <c r="A827" s="15" t="s">
        <v>14964</v>
      </c>
      <c r="B827" s="15">
        <v>826</v>
      </c>
      <c r="C827" s="15" t="s">
        <v>11277</v>
      </c>
      <c r="D827" s="15" t="s">
        <v>11277</v>
      </c>
      <c r="E827" s="15" t="s">
        <v>1067</v>
      </c>
      <c r="F827" s="15" t="s">
        <v>14959</v>
      </c>
      <c r="G827" s="15" t="s">
        <v>11532</v>
      </c>
      <c r="H827" s="15">
        <v>28</v>
      </c>
      <c r="I827" s="15">
        <v>17</v>
      </c>
      <c r="J827" s="15">
        <v>50</v>
      </c>
      <c r="K827" s="15" t="str">
        <f t="shared" si="12"/>
        <v>dragonheadlatrines</v>
      </c>
      <c r="L827" s="15" t="s">
        <v>14088</v>
      </c>
      <c r="M827" s="15">
        <v>2</v>
      </c>
      <c r="N827" s="15" t="s">
        <v>11223</v>
      </c>
      <c r="O827" s="15"/>
      <c r="P827" s="15"/>
      <c r="Q827" s="15" t="s">
        <v>11410</v>
      </c>
      <c r="R827" s="15"/>
      <c r="S827" s="15"/>
      <c r="T827" s="15">
        <v>0</v>
      </c>
      <c r="U827" s="15"/>
      <c r="V827" s="15"/>
      <c r="W827" s="15"/>
      <c r="X827" s="15"/>
      <c r="Y827" s="15"/>
      <c r="Z827" s="15"/>
    </row>
    <row r="828" spans="1:26" x14ac:dyDescent="0.25">
      <c r="A828" s="15" t="s">
        <v>14965</v>
      </c>
      <c r="B828" s="15">
        <v>827</v>
      </c>
      <c r="C828" s="15" t="s">
        <v>11277</v>
      </c>
      <c r="D828" s="15" t="s">
        <v>11277</v>
      </c>
      <c r="E828" s="15" t="s">
        <v>1067</v>
      </c>
      <c r="F828" s="15" t="s">
        <v>14959</v>
      </c>
      <c r="G828" s="15" t="s">
        <v>11541</v>
      </c>
      <c r="H828" s="15">
        <v>28</v>
      </c>
      <c r="I828" s="15">
        <v>17</v>
      </c>
      <c r="J828" s="15">
        <v>50</v>
      </c>
      <c r="K828" s="15" t="str">
        <f t="shared" si="12"/>
        <v>dragonheadlatrines</v>
      </c>
      <c r="L828" s="15" t="s">
        <v>11440</v>
      </c>
      <c r="M828" s="15">
        <v>3</v>
      </c>
      <c r="N828" s="15" t="s">
        <v>11223</v>
      </c>
      <c r="O828" s="15" t="s">
        <v>11385</v>
      </c>
      <c r="P828" s="15"/>
      <c r="Q828" s="15"/>
      <c r="R828" s="15"/>
      <c r="S828" s="15"/>
      <c r="T828" s="15">
        <v>3</v>
      </c>
      <c r="U828" s="15" t="s">
        <v>5893</v>
      </c>
      <c r="V828" s="15" t="s">
        <v>5892</v>
      </c>
      <c r="W828" s="15"/>
      <c r="X828" s="15"/>
      <c r="Y828" s="15"/>
      <c r="Z828" s="15"/>
    </row>
    <row r="829" spans="1:26" x14ac:dyDescent="0.25">
      <c r="A829" s="15" t="s">
        <v>14966</v>
      </c>
      <c r="B829" s="15">
        <v>828</v>
      </c>
      <c r="C829" s="15" t="s">
        <v>11277</v>
      </c>
      <c r="D829" s="15" t="s">
        <v>11277</v>
      </c>
      <c r="E829" s="15" t="s">
        <v>1067</v>
      </c>
      <c r="F829" s="15" t="s">
        <v>14967</v>
      </c>
      <c r="G829" s="15" t="s">
        <v>11324</v>
      </c>
      <c r="H829" s="15">
        <v>6</v>
      </c>
      <c r="I829" s="15">
        <v>22</v>
      </c>
      <c r="J829" s="15">
        <v>31</v>
      </c>
      <c r="K829" s="15" t="str">
        <f t="shared" si="12"/>
        <v>exploratoryicehole</v>
      </c>
      <c r="L829" s="15" t="s">
        <v>11308</v>
      </c>
      <c r="M829" s="15">
        <v>1</v>
      </c>
      <c r="N829" s="15" t="s">
        <v>11222</v>
      </c>
      <c r="O829" s="15"/>
      <c r="P829" s="15"/>
      <c r="Q829" s="15"/>
      <c r="R829" s="15"/>
      <c r="S829" s="15"/>
      <c r="T829" s="15">
        <v>0</v>
      </c>
      <c r="U829" s="15"/>
      <c r="V829" s="15"/>
      <c r="W829" s="15"/>
      <c r="X829" s="15"/>
      <c r="Y829" s="15"/>
      <c r="Z829" s="15"/>
    </row>
    <row r="830" spans="1:26" x14ac:dyDescent="0.25">
      <c r="A830" s="15" t="s">
        <v>14968</v>
      </c>
      <c r="B830" s="15">
        <v>829</v>
      </c>
      <c r="C830" s="15" t="s">
        <v>11277</v>
      </c>
      <c r="D830" s="15" t="s">
        <v>11277</v>
      </c>
      <c r="E830" s="15" t="s">
        <v>1067</v>
      </c>
      <c r="F830" s="15" t="s">
        <v>14967</v>
      </c>
      <c r="G830" s="15" t="s">
        <v>11534</v>
      </c>
      <c r="H830" s="15">
        <v>6</v>
      </c>
      <c r="I830" s="15">
        <v>22</v>
      </c>
      <c r="J830" s="15">
        <v>35</v>
      </c>
      <c r="K830" s="15" t="str">
        <f t="shared" si="12"/>
        <v>exploratoryicehole</v>
      </c>
      <c r="L830" s="15" t="s">
        <v>11564</v>
      </c>
      <c r="M830" s="15">
        <v>1</v>
      </c>
      <c r="N830" s="15" t="s">
        <v>11222</v>
      </c>
      <c r="O830" s="15"/>
      <c r="P830" s="15"/>
      <c r="Q830" s="15"/>
      <c r="R830" s="15"/>
      <c r="S830" s="15"/>
      <c r="T830" s="15">
        <v>0</v>
      </c>
      <c r="U830" s="15"/>
      <c r="V830" s="15"/>
      <c r="W830" s="15"/>
      <c r="X830" s="15"/>
      <c r="Y830" s="15"/>
      <c r="Z830" s="15"/>
    </row>
    <row r="831" spans="1:26" x14ac:dyDescent="0.25">
      <c r="A831" s="15" t="s">
        <v>14969</v>
      </c>
      <c r="B831" s="15">
        <v>830</v>
      </c>
      <c r="C831" s="15" t="s">
        <v>11277</v>
      </c>
      <c r="D831" s="15" t="s">
        <v>11277</v>
      </c>
      <c r="E831" s="15" t="s">
        <v>1067</v>
      </c>
      <c r="F831" s="15" t="s">
        <v>14967</v>
      </c>
      <c r="G831" s="15" t="s">
        <v>11538</v>
      </c>
      <c r="H831" s="15">
        <v>6</v>
      </c>
      <c r="I831" s="15">
        <v>22</v>
      </c>
      <c r="J831" s="15">
        <v>45</v>
      </c>
      <c r="K831" s="15" t="str">
        <f t="shared" si="12"/>
        <v>exploratoryicehole</v>
      </c>
      <c r="L831" s="15" t="s">
        <v>11363</v>
      </c>
      <c r="M831" s="15">
        <v>2</v>
      </c>
      <c r="N831" s="15" t="s">
        <v>11223</v>
      </c>
      <c r="O831" s="15"/>
      <c r="P831" s="15"/>
      <c r="Q831" s="15"/>
      <c r="R831" s="15"/>
      <c r="S831" s="15"/>
      <c r="T831" s="15">
        <v>0</v>
      </c>
      <c r="U831" s="15"/>
      <c r="V831" s="15"/>
      <c r="W831" s="15"/>
      <c r="X831" s="15"/>
      <c r="Y831" s="15"/>
      <c r="Z831" s="15"/>
    </row>
    <row r="832" spans="1:26" x14ac:dyDescent="0.25">
      <c r="A832" s="15" t="s">
        <v>14970</v>
      </c>
      <c r="B832" s="15">
        <v>831</v>
      </c>
      <c r="C832" s="15" t="s">
        <v>11277</v>
      </c>
      <c r="D832" s="15" t="s">
        <v>11277</v>
      </c>
      <c r="E832" s="15" t="s">
        <v>1067</v>
      </c>
      <c r="F832" s="15" t="s">
        <v>14967</v>
      </c>
      <c r="G832" s="15" t="s">
        <v>11532</v>
      </c>
      <c r="H832" s="15">
        <v>6</v>
      </c>
      <c r="I832" s="15">
        <v>22</v>
      </c>
      <c r="J832" s="15">
        <v>50</v>
      </c>
      <c r="K832" s="15" t="str">
        <f t="shared" si="12"/>
        <v>exploratoryicehole</v>
      </c>
      <c r="L832" s="15" t="s">
        <v>14088</v>
      </c>
      <c r="M832" s="15">
        <v>2</v>
      </c>
      <c r="N832" s="15" t="s">
        <v>11223</v>
      </c>
      <c r="O832" s="15"/>
      <c r="P832" s="15"/>
      <c r="Q832" s="15" t="s">
        <v>11534</v>
      </c>
      <c r="R832" s="15"/>
      <c r="S832" s="15"/>
      <c r="T832" s="15">
        <v>0</v>
      </c>
      <c r="U832" s="15"/>
      <c r="V832" s="15"/>
      <c r="W832" s="15"/>
      <c r="X832" s="15"/>
      <c r="Y832" s="15"/>
      <c r="Z832" s="15"/>
    </row>
    <row r="833" spans="1:26" x14ac:dyDescent="0.25">
      <c r="A833" s="15" t="s">
        <v>14971</v>
      </c>
      <c r="B833" s="15">
        <v>832</v>
      </c>
      <c r="C833" s="15" t="s">
        <v>11277</v>
      </c>
      <c r="D833" s="15" t="s">
        <v>11277</v>
      </c>
      <c r="E833" s="15" t="s">
        <v>1067</v>
      </c>
      <c r="F833" s="15" t="s">
        <v>14967</v>
      </c>
      <c r="G833" s="15" t="s">
        <v>11542</v>
      </c>
      <c r="H833" s="15">
        <v>6</v>
      </c>
      <c r="I833" s="15">
        <v>22</v>
      </c>
      <c r="J833" s="15">
        <v>50</v>
      </c>
      <c r="K833" s="15" t="str">
        <f t="shared" si="12"/>
        <v>exploratoryicehole</v>
      </c>
      <c r="L833" s="15" t="s">
        <v>14088</v>
      </c>
      <c r="M833" s="15">
        <v>3</v>
      </c>
      <c r="N833" s="15" t="s">
        <v>11222</v>
      </c>
      <c r="O833" s="15"/>
      <c r="P833" s="15"/>
      <c r="Q833" s="15" t="s">
        <v>11534</v>
      </c>
      <c r="R833" s="15"/>
      <c r="S833" s="15"/>
      <c r="T833" s="15">
        <v>3</v>
      </c>
      <c r="U833" s="15"/>
      <c r="V833" s="15"/>
      <c r="W833" s="15"/>
      <c r="X833" s="15"/>
      <c r="Y833" s="15"/>
      <c r="Z833" s="15"/>
    </row>
    <row r="834" spans="1:26" x14ac:dyDescent="0.25">
      <c r="A834" s="15" t="s">
        <v>14972</v>
      </c>
      <c r="B834" s="15">
        <v>833</v>
      </c>
      <c r="C834" s="15" t="s">
        <v>11277</v>
      </c>
      <c r="D834" s="15" t="s">
        <v>11277</v>
      </c>
      <c r="E834" s="15" t="s">
        <v>1067</v>
      </c>
      <c r="F834" s="15" t="s">
        <v>1513</v>
      </c>
      <c r="G834" s="15" t="s">
        <v>11324</v>
      </c>
      <c r="H834" s="15">
        <v>31</v>
      </c>
      <c r="I834" s="15">
        <v>7</v>
      </c>
      <c r="J834" s="15">
        <v>31</v>
      </c>
      <c r="K834" s="15" t="str">
        <f t="shared" ref="K834:K897" si="13">LOWER(SUBSTITUTE(SUBSTITUTE(SUBSTITUTE(SUBSTITUTE(SUBSTITUTE(F834," ",""),"(",""),")",""),"'",""),"-",""))</f>
        <v>theweepingsaint</v>
      </c>
      <c r="L834" s="15" t="s">
        <v>11308</v>
      </c>
      <c r="M834" s="15">
        <v>1</v>
      </c>
      <c r="N834" s="15" t="s">
        <v>11222</v>
      </c>
      <c r="O834" s="15"/>
      <c r="P834" s="15"/>
      <c r="Q834" s="15"/>
      <c r="R834" s="15"/>
      <c r="S834" s="15"/>
      <c r="T834" s="15">
        <v>0</v>
      </c>
      <c r="U834" s="15"/>
      <c r="V834" s="15"/>
      <c r="W834" s="15"/>
      <c r="X834" s="15"/>
      <c r="Y834" s="15"/>
      <c r="Z834" s="15"/>
    </row>
    <row r="835" spans="1:26" x14ac:dyDescent="0.25">
      <c r="A835" s="15" t="s">
        <v>14973</v>
      </c>
      <c r="B835" s="15">
        <v>834</v>
      </c>
      <c r="C835" s="15" t="s">
        <v>11277</v>
      </c>
      <c r="D835" s="15" t="s">
        <v>11277</v>
      </c>
      <c r="E835" s="15" t="s">
        <v>1067</v>
      </c>
      <c r="F835" s="15" t="s">
        <v>1513</v>
      </c>
      <c r="G835" s="15" t="s">
        <v>11534</v>
      </c>
      <c r="H835" s="15">
        <v>31</v>
      </c>
      <c r="I835" s="15">
        <v>7</v>
      </c>
      <c r="J835" s="15">
        <v>35</v>
      </c>
      <c r="K835" s="15" t="str">
        <f t="shared" si="13"/>
        <v>theweepingsaint</v>
      </c>
      <c r="L835" s="15" t="s">
        <v>11573</v>
      </c>
      <c r="M835" s="15">
        <v>1</v>
      </c>
      <c r="N835" s="15" t="s">
        <v>11222</v>
      </c>
      <c r="O835" s="15"/>
      <c r="P835" s="15"/>
      <c r="Q835" s="15"/>
      <c r="R835" s="15"/>
      <c r="S835" s="15"/>
      <c r="T835" s="15">
        <v>0</v>
      </c>
      <c r="U835" s="15"/>
      <c r="V835" s="15"/>
      <c r="W835" s="15"/>
      <c r="X835" s="15"/>
      <c r="Y835" s="15"/>
      <c r="Z835" s="15"/>
    </row>
    <row r="836" spans="1:26" x14ac:dyDescent="0.25">
      <c r="A836" s="15" t="s">
        <v>14974</v>
      </c>
      <c r="B836" s="15">
        <v>835</v>
      </c>
      <c r="C836" s="15" t="s">
        <v>11277</v>
      </c>
      <c r="D836" s="15" t="s">
        <v>11277</v>
      </c>
      <c r="E836" s="15" t="s">
        <v>1067</v>
      </c>
      <c r="F836" s="15" t="s">
        <v>1513</v>
      </c>
      <c r="G836" s="15" t="s">
        <v>11365</v>
      </c>
      <c r="H836" s="15">
        <v>31</v>
      </c>
      <c r="I836" s="15">
        <v>7</v>
      </c>
      <c r="J836" s="15">
        <v>37</v>
      </c>
      <c r="K836" s="15" t="str">
        <f t="shared" si="13"/>
        <v>theweepingsaint</v>
      </c>
      <c r="L836" s="15" t="s">
        <v>11355</v>
      </c>
      <c r="M836" s="15">
        <v>2</v>
      </c>
      <c r="N836" s="15" t="s">
        <v>11223</v>
      </c>
      <c r="O836" s="15"/>
      <c r="P836" s="15"/>
      <c r="Q836" s="15"/>
      <c r="R836" s="15"/>
      <c r="S836" s="15"/>
      <c r="T836" s="15">
        <v>0</v>
      </c>
      <c r="U836" s="15"/>
      <c r="V836" s="15"/>
      <c r="W836" s="15"/>
      <c r="X836" s="15"/>
      <c r="Y836" s="15"/>
      <c r="Z836" s="15"/>
    </row>
    <row r="837" spans="1:26" x14ac:dyDescent="0.25">
      <c r="A837" s="15" t="s">
        <v>14975</v>
      </c>
      <c r="B837" s="15">
        <v>836</v>
      </c>
      <c r="C837" s="15" t="s">
        <v>11277</v>
      </c>
      <c r="D837" s="15" t="s">
        <v>11277</v>
      </c>
      <c r="E837" s="15" t="s">
        <v>1067</v>
      </c>
      <c r="F837" s="15" t="s">
        <v>1513</v>
      </c>
      <c r="G837" s="15" t="s">
        <v>11531</v>
      </c>
      <c r="H837" s="15">
        <v>31</v>
      </c>
      <c r="I837" s="15">
        <v>7</v>
      </c>
      <c r="J837" s="15">
        <v>40</v>
      </c>
      <c r="K837" s="15" t="str">
        <f t="shared" si="13"/>
        <v>theweepingsaint</v>
      </c>
      <c r="L837" s="15" t="s">
        <v>11440</v>
      </c>
      <c r="M837" s="15">
        <v>2</v>
      </c>
      <c r="N837" s="15" t="s">
        <v>11223</v>
      </c>
      <c r="O837" s="15"/>
      <c r="P837" s="15"/>
      <c r="Q837" s="15"/>
      <c r="R837" s="15"/>
      <c r="S837" s="15"/>
      <c r="T837" s="15">
        <v>0</v>
      </c>
      <c r="U837" s="15"/>
      <c r="V837" s="15"/>
      <c r="W837" s="15"/>
      <c r="X837" s="15"/>
      <c r="Y837" s="15"/>
      <c r="Z837" s="15"/>
    </row>
    <row r="838" spans="1:26" x14ac:dyDescent="0.25">
      <c r="A838" s="15" t="s">
        <v>14976</v>
      </c>
      <c r="B838" s="15">
        <v>837</v>
      </c>
      <c r="C838" s="15" t="s">
        <v>11277</v>
      </c>
      <c r="D838" s="15" t="s">
        <v>11277</v>
      </c>
      <c r="E838" s="15" t="s">
        <v>1067</v>
      </c>
      <c r="F838" s="15" t="s">
        <v>1513</v>
      </c>
      <c r="G838" s="15" t="s">
        <v>11442</v>
      </c>
      <c r="H838" s="15">
        <v>31</v>
      </c>
      <c r="I838" s="15">
        <v>7</v>
      </c>
      <c r="J838" s="15">
        <v>44</v>
      </c>
      <c r="K838" s="15" t="str">
        <f t="shared" si="13"/>
        <v>theweepingsaint</v>
      </c>
      <c r="L838" s="15" t="s">
        <v>11310</v>
      </c>
      <c r="M838" s="15">
        <v>1</v>
      </c>
      <c r="N838" s="15" t="s">
        <v>11222</v>
      </c>
      <c r="O838" s="15"/>
      <c r="P838" s="15"/>
      <c r="Q838" s="15"/>
      <c r="R838" s="15"/>
      <c r="S838" s="15"/>
      <c r="T838" s="15">
        <v>0</v>
      </c>
      <c r="U838" s="15"/>
      <c r="V838" s="15"/>
      <c r="W838" s="15"/>
      <c r="X838" s="15"/>
      <c r="Y838" s="15"/>
      <c r="Z838" s="15"/>
    </row>
    <row r="839" spans="1:26" x14ac:dyDescent="0.25">
      <c r="A839" s="15" t="s">
        <v>14977</v>
      </c>
      <c r="B839" s="15">
        <v>838</v>
      </c>
      <c r="C839" s="15" t="s">
        <v>11277</v>
      </c>
      <c r="D839" s="15" t="s">
        <v>11277</v>
      </c>
      <c r="E839" s="15" t="s">
        <v>1067</v>
      </c>
      <c r="F839" s="15" t="s">
        <v>1513</v>
      </c>
      <c r="G839" s="15" t="s">
        <v>11538</v>
      </c>
      <c r="H839" s="15">
        <v>31</v>
      </c>
      <c r="I839" s="15">
        <v>7</v>
      </c>
      <c r="J839" s="15">
        <v>45</v>
      </c>
      <c r="K839" s="15" t="str">
        <f t="shared" si="13"/>
        <v>theweepingsaint</v>
      </c>
      <c r="L839" s="15" t="s">
        <v>11363</v>
      </c>
      <c r="M839" s="15">
        <v>2</v>
      </c>
      <c r="N839" s="15" t="s">
        <v>11223</v>
      </c>
      <c r="O839" s="15"/>
      <c r="P839" s="15"/>
      <c r="Q839" s="15"/>
      <c r="R839" s="15"/>
      <c r="S839" s="15"/>
      <c r="T839" s="15">
        <v>0</v>
      </c>
      <c r="U839" s="15"/>
      <c r="V839" s="15"/>
      <c r="W839" s="15"/>
      <c r="X839" s="15"/>
      <c r="Y839" s="15"/>
      <c r="Z839" s="15"/>
    </row>
    <row r="840" spans="1:26" x14ac:dyDescent="0.25">
      <c r="A840" s="15" t="s">
        <v>14978</v>
      </c>
      <c r="B840" s="15">
        <v>839</v>
      </c>
      <c r="C840" s="15" t="s">
        <v>11277</v>
      </c>
      <c r="D840" s="15" t="s">
        <v>11277</v>
      </c>
      <c r="E840" s="15" t="s">
        <v>1067</v>
      </c>
      <c r="F840" s="15" t="s">
        <v>1513</v>
      </c>
      <c r="G840" s="15" t="s">
        <v>11543</v>
      </c>
      <c r="H840" s="15">
        <v>31</v>
      </c>
      <c r="I840" s="15">
        <v>7</v>
      </c>
      <c r="J840" s="15">
        <v>50</v>
      </c>
      <c r="K840" s="15" t="str">
        <f t="shared" si="13"/>
        <v>theweepingsaint</v>
      </c>
      <c r="L840" s="15" t="s">
        <v>14088</v>
      </c>
      <c r="M840" s="15">
        <v>2</v>
      </c>
      <c r="N840" s="15" t="s">
        <v>11223</v>
      </c>
      <c r="O840" s="15"/>
      <c r="P840" s="15"/>
      <c r="Q840" s="15" t="s">
        <v>11534</v>
      </c>
      <c r="R840" s="15" t="s">
        <v>11442</v>
      </c>
      <c r="S840" s="15"/>
      <c r="T840" s="15">
        <v>0</v>
      </c>
      <c r="U840" s="15"/>
      <c r="V840" s="15"/>
      <c r="W840" s="15"/>
      <c r="X840" s="15"/>
      <c r="Y840" s="15"/>
      <c r="Z840" s="15"/>
    </row>
    <row r="841" spans="1:26" x14ac:dyDescent="0.25">
      <c r="A841" s="15" t="s">
        <v>14979</v>
      </c>
      <c r="B841" s="15">
        <v>840</v>
      </c>
      <c r="C841" s="15" t="s">
        <v>11277</v>
      </c>
      <c r="D841" s="15" t="s">
        <v>11277</v>
      </c>
      <c r="E841" s="15" t="s">
        <v>1067</v>
      </c>
      <c r="F841" s="15" t="s">
        <v>1513</v>
      </c>
      <c r="G841" s="15" t="s">
        <v>11544</v>
      </c>
      <c r="H841" s="15">
        <v>31</v>
      </c>
      <c r="I841" s="15">
        <v>7</v>
      </c>
      <c r="J841" s="15">
        <v>50</v>
      </c>
      <c r="K841" s="15" t="str">
        <f t="shared" si="13"/>
        <v>theweepingsaint</v>
      </c>
      <c r="L841" s="15" t="s">
        <v>14088</v>
      </c>
      <c r="M841" s="15">
        <v>3</v>
      </c>
      <c r="N841" s="15" t="s">
        <v>11223</v>
      </c>
      <c r="O841" s="15" t="s">
        <v>14059</v>
      </c>
      <c r="P841" s="15" t="s">
        <v>14980</v>
      </c>
      <c r="Q841" s="15" t="s">
        <v>11534</v>
      </c>
      <c r="R841" s="15"/>
      <c r="S841" s="15"/>
      <c r="T841" s="15">
        <v>3</v>
      </c>
      <c r="U841" s="15" t="s">
        <v>14981</v>
      </c>
      <c r="V841" s="15" t="s">
        <v>6080</v>
      </c>
      <c r="W841" s="15"/>
      <c r="X841" s="15"/>
      <c r="Y841" s="15"/>
      <c r="Z841" s="15"/>
    </row>
    <row r="842" spans="1:26" x14ac:dyDescent="0.25">
      <c r="A842" s="15" t="s">
        <v>14982</v>
      </c>
      <c r="B842" s="15">
        <v>841</v>
      </c>
      <c r="C842" s="15" t="s">
        <v>11277</v>
      </c>
      <c r="D842" s="15" t="s">
        <v>11277</v>
      </c>
      <c r="E842" s="15" t="s">
        <v>1067</v>
      </c>
      <c r="F842" s="15" t="s">
        <v>1513</v>
      </c>
      <c r="G842" s="15" t="s">
        <v>11403</v>
      </c>
      <c r="H842" s="15">
        <v>31</v>
      </c>
      <c r="I842" s="15">
        <v>7</v>
      </c>
      <c r="J842" s="15">
        <v>41</v>
      </c>
      <c r="K842" s="15" t="str">
        <f t="shared" si="13"/>
        <v>theweepingsaint</v>
      </c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25">
      <c r="A843" s="15" t="s">
        <v>14983</v>
      </c>
      <c r="B843" s="15">
        <v>842</v>
      </c>
      <c r="C843" s="15" t="s">
        <v>11277</v>
      </c>
      <c r="D843" s="15" t="s">
        <v>11277</v>
      </c>
      <c r="E843" s="15" t="s">
        <v>1067</v>
      </c>
      <c r="F843" s="15" t="s">
        <v>693</v>
      </c>
      <c r="G843" s="15" t="s">
        <v>11429</v>
      </c>
      <c r="H843" s="15">
        <v>4</v>
      </c>
      <c r="I843" s="15">
        <v>21</v>
      </c>
      <c r="J843" s="15">
        <v>15</v>
      </c>
      <c r="K843" s="15" t="str">
        <f t="shared" si="13"/>
        <v>snowcloak</v>
      </c>
      <c r="L843" s="15" t="s">
        <v>11274</v>
      </c>
      <c r="M843" s="15">
        <v>2</v>
      </c>
      <c r="N843" s="15" t="s">
        <v>11223</v>
      </c>
      <c r="O843" s="15"/>
      <c r="P843" s="15"/>
      <c r="Q843" s="15"/>
      <c r="R843" s="15"/>
      <c r="S843" s="15"/>
      <c r="T843" s="15">
        <v>0</v>
      </c>
      <c r="U843" s="15"/>
      <c r="V843" s="15"/>
      <c r="W843" s="15"/>
      <c r="X843" s="15"/>
      <c r="Y843" s="15"/>
      <c r="Z843" s="15"/>
    </row>
    <row r="844" spans="1:26" x14ac:dyDescent="0.25">
      <c r="A844" s="15" t="s">
        <v>14984</v>
      </c>
      <c r="B844" s="15">
        <v>843</v>
      </c>
      <c r="C844" s="15" t="s">
        <v>11277</v>
      </c>
      <c r="D844" s="15" t="s">
        <v>11277</v>
      </c>
      <c r="E844" s="15" t="s">
        <v>1067</v>
      </c>
      <c r="F844" s="15" t="s">
        <v>693</v>
      </c>
      <c r="G844" s="15" t="s">
        <v>11425</v>
      </c>
      <c r="H844" s="15">
        <v>4</v>
      </c>
      <c r="I844" s="15">
        <v>21</v>
      </c>
      <c r="J844" s="15">
        <v>35</v>
      </c>
      <c r="K844" s="15" t="str">
        <f t="shared" si="13"/>
        <v>snowcloak</v>
      </c>
      <c r="L844" s="15" t="s">
        <v>11440</v>
      </c>
      <c r="M844" s="15">
        <v>2</v>
      </c>
      <c r="N844" s="15" t="s">
        <v>11223</v>
      </c>
      <c r="O844" s="15"/>
      <c r="P844" s="15"/>
      <c r="Q844" s="15"/>
      <c r="R844" s="15"/>
      <c r="S844" s="15"/>
      <c r="T844" s="15">
        <v>0</v>
      </c>
      <c r="U844" s="15"/>
      <c r="V844" s="15"/>
      <c r="W844" s="15"/>
      <c r="X844" s="15"/>
      <c r="Y844" s="15"/>
      <c r="Z844" s="15"/>
    </row>
    <row r="845" spans="1:26" x14ac:dyDescent="0.25">
      <c r="A845" s="15" t="s">
        <v>14985</v>
      </c>
      <c r="B845" s="15">
        <v>844</v>
      </c>
      <c r="C845" s="15" t="s">
        <v>11277</v>
      </c>
      <c r="D845" s="15" t="s">
        <v>11277</v>
      </c>
      <c r="E845" s="15" t="s">
        <v>1067</v>
      </c>
      <c r="F845" s="15" t="s">
        <v>693</v>
      </c>
      <c r="G845" s="15" t="s">
        <v>11531</v>
      </c>
      <c r="H845" s="15">
        <v>4</v>
      </c>
      <c r="I845" s="15">
        <v>21</v>
      </c>
      <c r="J845" s="15">
        <v>40</v>
      </c>
      <c r="K845" s="15" t="str">
        <f t="shared" si="13"/>
        <v>snowcloak</v>
      </c>
      <c r="L845" s="15" t="s">
        <v>11367</v>
      </c>
      <c r="M845" s="15">
        <v>2</v>
      </c>
      <c r="N845" s="15" t="s">
        <v>11223</v>
      </c>
      <c r="O845" s="15"/>
      <c r="P845" s="15"/>
      <c r="Q845" s="15"/>
      <c r="R845" s="15"/>
      <c r="S845" s="15"/>
      <c r="T845" s="15">
        <v>0</v>
      </c>
      <c r="U845" s="15"/>
      <c r="V845" s="15"/>
      <c r="W845" s="15"/>
      <c r="X845" s="15"/>
      <c r="Y845" s="15"/>
      <c r="Z845" s="15"/>
    </row>
    <row r="846" spans="1:26" x14ac:dyDescent="0.25">
      <c r="A846" s="15" t="s">
        <v>14986</v>
      </c>
      <c r="B846" s="15">
        <v>845</v>
      </c>
      <c r="C846" s="15" t="s">
        <v>11277</v>
      </c>
      <c r="D846" s="15" t="s">
        <v>11277</v>
      </c>
      <c r="E846" s="15" t="s">
        <v>1067</v>
      </c>
      <c r="F846" s="15" t="s">
        <v>693</v>
      </c>
      <c r="G846" s="15" t="s">
        <v>11545</v>
      </c>
      <c r="H846" s="15">
        <v>4</v>
      </c>
      <c r="I846" s="15">
        <v>21</v>
      </c>
      <c r="J846" s="15">
        <v>50</v>
      </c>
      <c r="K846" s="15" t="str">
        <f t="shared" si="13"/>
        <v>snowcloak</v>
      </c>
      <c r="L846" s="15" t="s">
        <v>11456</v>
      </c>
      <c r="M846" s="15">
        <v>2</v>
      </c>
      <c r="N846" s="15" t="s">
        <v>11223</v>
      </c>
      <c r="O846" s="15"/>
      <c r="P846" s="15"/>
      <c r="Q846" s="15"/>
      <c r="R846" s="15"/>
      <c r="S846" s="15"/>
      <c r="T846" s="15">
        <v>0</v>
      </c>
      <c r="U846" s="15"/>
      <c r="V846" s="15"/>
      <c r="W846" s="15"/>
      <c r="X846" s="15"/>
      <c r="Y846" s="15"/>
      <c r="Z846" s="15"/>
    </row>
    <row r="847" spans="1:26" x14ac:dyDescent="0.25">
      <c r="A847" s="15" t="s">
        <v>14987</v>
      </c>
      <c r="B847" s="15">
        <v>846</v>
      </c>
      <c r="C847" s="15" t="s">
        <v>11277</v>
      </c>
      <c r="D847" s="15" t="s">
        <v>11277</v>
      </c>
      <c r="E847" s="15" t="s">
        <v>1067</v>
      </c>
      <c r="F847" s="15" t="s">
        <v>693</v>
      </c>
      <c r="G847" s="15" t="s">
        <v>11546</v>
      </c>
      <c r="H847" s="15">
        <v>4</v>
      </c>
      <c r="I847" s="15">
        <v>21</v>
      </c>
      <c r="J847" s="15">
        <v>50</v>
      </c>
      <c r="K847" s="15" t="str">
        <f t="shared" si="13"/>
        <v>snowcloak</v>
      </c>
      <c r="L847" s="15" t="s">
        <v>11456</v>
      </c>
      <c r="M847" s="15">
        <v>3</v>
      </c>
      <c r="N847" s="15" t="s">
        <v>11222</v>
      </c>
      <c r="O847" s="15"/>
      <c r="P847" s="15"/>
      <c r="Q847" s="15"/>
      <c r="R847" s="15"/>
      <c r="S847" s="15"/>
      <c r="T847" s="15">
        <v>3</v>
      </c>
      <c r="U847" s="15" t="s">
        <v>14981</v>
      </c>
      <c r="V847" s="15" t="s">
        <v>6080</v>
      </c>
      <c r="W847" s="15"/>
      <c r="X847" s="15" t="s">
        <v>5893</v>
      </c>
      <c r="Y847" s="15" t="s">
        <v>5892</v>
      </c>
      <c r="Z847" s="15"/>
    </row>
    <row r="848" spans="1:26" x14ac:dyDescent="0.25">
      <c r="A848" s="15" t="s">
        <v>14988</v>
      </c>
      <c r="B848" s="15">
        <v>847</v>
      </c>
      <c r="C848" s="15" t="s">
        <v>11277</v>
      </c>
      <c r="D848" s="15" t="s">
        <v>11277</v>
      </c>
      <c r="E848" s="15" t="s">
        <v>1067</v>
      </c>
      <c r="F848" s="15" t="s">
        <v>693</v>
      </c>
      <c r="G848" s="15" t="s">
        <v>11403</v>
      </c>
      <c r="H848" s="15">
        <v>4</v>
      </c>
      <c r="I848" s="15">
        <v>21</v>
      </c>
      <c r="J848" s="15">
        <v>41</v>
      </c>
      <c r="K848" s="15" t="str">
        <f t="shared" si="13"/>
        <v>snowcloak</v>
      </c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25">
      <c r="A849" s="15" t="s">
        <v>14989</v>
      </c>
      <c r="B849" s="15">
        <v>848</v>
      </c>
      <c r="C849" s="15" t="s">
        <v>11277</v>
      </c>
      <c r="D849" s="15" t="s">
        <v>11277</v>
      </c>
      <c r="E849" s="15" t="s">
        <v>1067</v>
      </c>
      <c r="F849" s="15" t="s">
        <v>14990</v>
      </c>
      <c r="G849" s="15" t="s">
        <v>11547</v>
      </c>
      <c r="H849" s="15">
        <v>13</v>
      </c>
      <c r="I849" s="15">
        <v>14</v>
      </c>
      <c r="J849" s="15">
        <v>45</v>
      </c>
      <c r="K849" s="15" t="str">
        <f t="shared" si="13"/>
        <v>seaofclouds</v>
      </c>
      <c r="L849" s="15" t="s">
        <v>11548</v>
      </c>
      <c r="M849" s="15">
        <v>1</v>
      </c>
      <c r="N849" s="15" t="s">
        <v>11222</v>
      </c>
      <c r="O849" s="15"/>
      <c r="P849" s="15"/>
      <c r="Q849" s="15"/>
      <c r="R849" s="15"/>
      <c r="S849" s="15"/>
      <c r="T849" s="15">
        <v>0</v>
      </c>
      <c r="U849" s="15"/>
      <c r="V849" s="15"/>
      <c r="W849" s="15"/>
      <c r="X849" s="15"/>
      <c r="Y849" s="15"/>
      <c r="Z849" s="15"/>
    </row>
    <row r="850" spans="1:26" x14ac:dyDescent="0.25">
      <c r="A850" s="15" t="s">
        <v>14991</v>
      </c>
      <c r="B850" s="15">
        <v>849</v>
      </c>
      <c r="C850" s="15" t="s">
        <v>11277</v>
      </c>
      <c r="D850" s="15" t="s">
        <v>11277</v>
      </c>
      <c r="E850" s="15" t="s">
        <v>1067</v>
      </c>
      <c r="F850" s="15" t="s">
        <v>14990</v>
      </c>
      <c r="G850" s="15" t="s">
        <v>11549</v>
      </c>
      <c r="H850" s="15">
        <v>13</v>
      </c>
      <c r="I850" s="15">
        <v>14</v>
      </c>
      <c r="J850" s="15">
        <v>47</v>
      </c>
      <c r="K850" s="15" t="str">
        <f t="shared" si="13"/>
        <v>seaofclouds</v>
      </c>
      <c r="L850" s="15" t="s">
        <v>11548</v>
      </c>
      <c r="M850" s="15">
        <v>1</v>
      </c>
      <c r="N850" s="15" t="s">
        <v>11222</v>
      </c>
      <c r="O850" s="15"/>
      <c r="P850" s="15"/>
      <c r="Q850" s="15"/>
      <c r="R850" s="15"/>
      <c r="S850" s="15"/>
      <c r="T850" s="15">
        <v>0</v>
      </c>
      <c r="U850" s="15"/>
      <c r="V850" s="15"/>
      <c r="W850" s="15"/>
      <c r="X850" s="15"/>
      <c r="Y850" s="15"/>
      <c r="Z850" s="15"/>
    </row>
    <row r="851" spans="1:26" x14ac:dyDescent="0.25">
      <c r="A851" s="15" t="s">
        <v>14992</v>
      </c>
      <c r="B851" s="15">
        <v>850</v>
      </c>
      <c r="C851" s="15" t="s">
        <v>11277</v>
      </c>
      <c r="D851" s="15" t="s">
        <v>11277</v>
      </c>
      <c r="E851" s="15" t="s">
        <v>1067</v>
      </c>
      <c r="F851" s="15" t="s">
        <v>14990</v>
      </c>
      <c r="G851" s="15" t="s">
        <v>11550</v>
      </c>
      <c r="H851" s="15">
        <v>13</v>
      </c>
      <c r="I851" s="15">
        <v>14</v>
      </c>
      <c r="J851" s="15">
        <v>48</v>
      </c>
      <c r="K851" s="15" t="str">
        <f t="shared" si="13"/>
        <v>seaofclouds</v>
      </c>
      <c r="L851" s="15" t="s">
        <v>11551</v>
      </c>
      <c r="M851" s="15">
        <v>2</v>
      </c>
      <c r="N851" s="15" t="s">
        <v>11223</v>
      </c>
      <c r="O851" s="15"/>
      <c r="P851" s="15"/>
      <c r="Q851" s="15"/>
      <c r="R851" s="15"/>
      <c r="S851" s="15"/>
      <c r="T851" s="15">
        <v>0</v>
      </c>
      <c r="U851" s="15"/>
      <c r="V851" s="15"/>
      <c r="W851" s="15"/>
      <c r="X851" s="15"/>
      <c r="Y851" s="15"/>
      <c r="Z851" s="15"/>
    </row>
    <row r="852" spans="1:26" x14ac:dyDescent="0.25">
      <c r="A852" s="15" t="s">
        <v>14993</v>
      </c>
      <c r="B852" s="15">
        <v>851</v>
      </c>
      <c r="C852" s="15" t="s">
        <v>11277</v>
      </c>
      <c r="D852" s="15" t="s">
        <v>11277</v>
      </c>
      <c r="E852" s="15" t="s">
        <v>1067</v>
      </c>
      <c r="F852" s="15" t="s">
        <v>14990</v>
      </c>
      <c r="G852" s="15" t="s">
        <v>11552</v>
      </c>
      <c r="H852" s="15">
        <v>13</v>
      </c>
      <c r="I852" s="15">
        <v>14</v>
      </c>
      <c r="J852" s="15">
        <v>48</v>
      </c>
      <c r="K852" s="15" t="str">
        <f t="shared" si="13"/>
        <v>seaofclouds</v>
      </c>
      <c r="L852" s="15" t="s">
        <v>14088</v>
      </c>
      <c r="M852" s="15">
        <v>2</v>
      </c>
      <c r="N852" s="15" t="s">
        <v>11223</v>
      </c>
      <c r="O852" s="15"/>
      <c r="P852" s="15"/>
      <c r="Q852" s="15" t="s">
        <v>11550</v>
      </c>
      <c r="R852" s="15"/>
      <c r="S852" s="15"/>
      <c r="T852" s="15">
        <v>0</v>
      </c>
      <c r="U852" s="15"/>
      <c r="V852" s="15"/>
      <c r="W852" s="15"/>
      <c r="X852" s="15"/>
      <c r="Y852" s="15"/>
      <c r="Z852" s="15"/>
    </row>
    <row r="853" spans="1:26" x14ac:dyDescent="0.25">
      <c r="A853" s="15" t="s">
        <v>14994</v>
      </c>
      <c r="B853" s="15">
        <v>852</v>
      </c>
      <c r="C853" s="15" t="s">
        <v>11277</v>
      </c>
      <c r="D853" s="15" t="s">
        <v>11277</v>
      </c>
      <c r="E853" s="15" t="s">
        <v>1067</v>
      </c>
      <c r="F853" s="15" t="s">
        <v>14990</v>
      </c>
      <c r="G853" s="15" t="s">
        <v>11553</v>
      </c>
      <c r="H853" s="15">
        <v>13</v>
      </c>
      <c r="I853" s="15">
        <v>14</v>
      </c>
      <c r="J853" s="15">
        <v>49</v>
      </c>
      <c r="K853" s="15" t="str">
        <f t="shared" si="13"/>
        <v>seaofclouds</v>
      </c>
      <c r="L853" s="15" t="s">
        <v>11548</v>
      </c>
      <c r="M853" s="15">
        <v>1</v>
      </c>
      <c r="N853" s="15" t="s">
        <v>11222</v>
      </c>
      <c r="O853" s="15"/>
      <c r="P853" s="15"/>
      <c r="Q853" s="15"/>
      <c r="R853" s="15"/>
      <c r="S853" s="15"/>
      <c r="T853" s="15">
        <v>0</v>
      </c>
      <c r="U853" s="15"/>
      <c r="V853" s="15"/>
      <c r="W853" s="15"/>
      <c r="X853" s="15"/>
      <c r="Y853" s="15"/>
      <c r="Z853" s="15"/>
    </row>
    <row r="854" spans="1:26" x14ac:dyDescent="0.25">
      <c r="A854" s="15" t="s">
        <v>14995</v>
      </c>
      <c r="B854" s="15">
        <v>853</v>
      </c>
      <c r="C854" s="15" t="s">
        <v>11277</v>
      </c>
      <c r="D854" s="15" t="s">
        <v>11277</v>
      </c>
      <c r="E854" s="15" t="s">
        <v>1067</v>
      </c>
      <c r="F854" s="15" t="s">
        <v>14990</v>
      </c>
      <c r="G854" s="15" t="s">
        <v>11554</v>
      </c>
      <c r="H854" s="15">
        <v>13</v>
      </c>
      <c r="I854" s="15">
        <v>14</v>
      </c>
      <c r="J854" s="15">
        <v>50</v>
      </c>
      <c r="K854" s="15" t="str">
        <f t="shared" si="13"/>
        <v>seaofclouds</v>
      </c>
      <c r="L854" s="15" t="s">
        <v>14088</v>
      </c>
      <c r="M854" s="15">
        <v>3</v>
      </c>
      <c r="N854" s="15" t="s">
        <v>11223</v>
      </c>
      <c r="O854" s="15" t="s">
        <v>14016</v>
      </c>
      <c r="P854" s="15"/>
      <c r="Q854" s="15" t="s">
        <v>11550</v>
      </c>
      <c r="R854" s="15"/>
      <c r="S854" s="15"/>
      <c r="T854" s="15">
        <v>3</v>
      </c>
      <c r="U854" s="15" t="s">
        <v>5893</v>
      </c>
      <c r="V854" s="15" t="s">
        <v>5892</v>
      </c>
      <c r="W854" s="15"/>
      <c r="X854" s="15"/>
      <c r="Y854" s="15"/>
      <c r="Z854" s="15"/>
    </row>
    <row r="855" spans="1:26" x14ac:dyDescent="0.25">
      <c r="A855" s="15" t="s">
        <v>14996</v>
      </c>
      <c r="B855" s="15">
        <v>854</v>
      </c>
      <c r="C855" s="15" t="s">
        <v>11277</v>
      </c>
      <c r="D855" s="15" t="s">
        <v>11277</v>
      </c>
      <c r="E855" s="15" t="s">
        <v>1067</v>
      </c>
      <c r="F855" s="15" t="s">
        <v>14990</v>
      </c>
      <c r="G855" s="15" t="s">
        <v>11403</v>
      </c>
      <c r="H855" s="15">
        <v>13</v>
      </c>
      <c r="I855" s="15">
        <v>14</v>
      </c>
      <c r="J855" s="15">
        <v>41</v>
      </c>
      <c r="K855" s="15" t="str">
        <f t="shared" si="13"/>
        <v>seaofclouds</v>
      </c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25">
      <c r="A856" s="15" t="s">
        <v>14997</v>
      </c>
      <c r="B856" s="15">
        <v>855</v>
      </c>
      <c r="C856" s="15" t="s">
        <v>11277</v>
      </c>
      <c r="D856" s="15" t="s">
        <v>11277</v>
      </c>
      <c r="E856" s="15" t="s">
        <v>1067</v>
      </c>
      <c r="F856" s="15" t="s">
        <v>1507</v>
      </c>
      <c r="G856" s="15" t="s">
        <v>11547</v>
      </c>
      <c r="H856" s="15">
        <v>33.4</v>
      </c>
      <c r="I856" s="15">
        <v>19.2</v>
      </c>
      <c r="J856" s="15">
        <v>45</v>
      </c>
      <c r="K856" s="15" t="str">
        <f t="shared" si="13"/>
        <v>witchdrop</v>
      </c>
      <c r="L856" s="15" t="s">
        <v>11548</v>
      </c>
      <c r="M856" s="15">
        <v>1</v>
      </c>
      <c r="N856" s="15" t="s">
        <v>11222</v>
      </c>
      <c r="O856" s="15"/>
      <c r="P856" s="15"/>
      <c r="Q856" s="15"/>
      <c r="R856" s="15"/>
      <c r="S856" s="15"/>
      <c r="T856" s="15">
        <v>0</v>
      </c>
      <c r="U856" s="15"/>
      <c r="V856" s="15"/>
      <c r="W856" s="15"/>
      <c r="X856" s="15"/>
      <c r="Y856" s="15"/>
      <c r="Z856" s="15"/>
    </row>
    <row r="857" spans="1:26" x14ac:dyDescent="0.25">
      <c r="A857" s="15" t="s">
        <v>14998</v>
      </c>
      <c r="B857" s="15">
        <v>856</v>
      </c>
      <c r="C857" s="15" t="s">
        <v>11277</v>
      </c>
      <c r="D857" s="15" t="s">
        <v>11277</v>
      </c>
      <c r="E857" s="15" t="s">
        <v>1067</v>
      </c>
      <c r="F857" s="15" t="s">
        <v>1507</v>
      </c>
      <c r="G857" s="15" t="s">
        <v>11549</v>
      </c>
      <c r="H857" s="15">
        <v>33.4</v>
      </c>
      <c r="I857" s="15">
        <v>19.2</v>
      </c>
      <c r="J857" s="15">
        <v>47</v>
      </c>
      <c r="K857" s="15" t="str">
        <f t="shared" si="13"/>
        <v>witchdrop</v>
      </c>
      <c r="L857" s="15" t="s">
        <v>11548</v>
      </c>
      <c r="M857" s="15">
        <v>1</v>
      </c>
      <c r="N857" s="15" t="s">
        <v>11222</v>
      </c>
      <c r="O857" s="15"/>
      <c r="P857" s="15"/>
      <c r="Q857" s="15"/>
      <c r="R857" s="15"/>
      <c r="S857" s="15"/>
      <c r="T857" s="15">
        <v>0</v>
      </c>
      <c r="U857" s="15"/>
      <c r="V857" s="15"/>
      <c r="W857" s="15"/>
      <c r="X857" s="15"/>
      <c r="Y857" s="15"/>
      <c r="Z857" s="15"/>
    </row>
    <row r="858" spans="1:26" x14ac:dyDescent="0.25">
      <c r="A858" s="15" t="s">
        <v>14999</v>
      </c>
      <c r="B858" s="15">
        <v>857</v>
      </c>
      <c r="C858" s="15" t="s">
        <v>11277</v>
      </c>
      <c r="D858" s="15" t="s">
        <v>11277</v>
      </c>
      <c r="E858" s="15" t="s">
        <v>1067</v>
      </c>
      <c r="F858" s="15" t="s">
        <v>1507</v>
      </c>
      <c r="G858" s="15" t="s">
        <v>11550</v>
      </c>
      <c r="H858" s="15">
        <v>33.4</v>
      </c>
      <c r="I858" s="15">
        <v>19.2</v>
      </c>
      <c r="J858" s="15">
        <v>48</v>
      </c>
      <c r="K858" s="15" t="str">
        <f t="shared" si="13"/>
        <v>witchdrop</v>
      </c>
      <c r="L858" s="15" t="s">
        <v>11551</v>
      </c>
      <c r="M858" s="15">
        <v>2</v>
      </c>
      <c r="N858" s="15" t="s">
        <v>11223</v>
      </c>
      <c r="O858" s="15"/>
      <c r="P858" s="15"/>
      <c r="Q858" s="15"/>
      <c r="R858" s="15"/>
      <c r="S858" s="15"/>
      <c r="T858" s="15">
        <v>0</v>
      </c>
      <c r="U858" s="15"/>
      <c r="V858" s="15"/>
      <c r="W858" s="15"/>
      <c r="X858" s="15"/>
      <c r="Y858" s="15"/>
      <c r="Z858" s="15"/>
    </row>
    <row r="859" spans="1:26" x14ac:dyDescent="0.25">
      <c r="A859" s="15" t="s">
        <v>15000</v>
      </c>
      <c r="B859" s="15">
        <v>858</v>
      </c>
      <c r="C859" s="15" t="s">
        <v>11277</v>
      </c>
      <c r="D859" s="15" t="s">
        <v>11277</v>
      </c>
      <c r="E859" s="15" t="s">
        <v>1067</v>
      </c>
      <c r="F859" s="15" t="s">
        <v>1507</v>
      </c>
      <c r="G859" s="15" t="s">
        <v>11552</v>
      </c>
      <c r="H859" s="15">
        <v>33.4</v>
      </c>
      <c r="I859" s="15">
        <v>19.2</v>
      </c>
      <c r="J859" s="15">
        <v>48</v>
      </c>
      <c r="K859" s="15" t="str">
        <f t="shared" si="13"/>
        <v>witchdrop</v>
      </c>
      <c r="L859" s="15" t="s">
        <v>14088</v>
      </c>
      <c r="M859" s="15">
        <v>2</v>
      </c>
      <c r="N859" s="15" t="s">
        <v>11223</v>
      </c>
      <c r="O859" s="15"/>
      <c r="P859" s="15"/>
      <c r="Q859" s="15" t="s">
        <v>11550</v>
      </c>
      <c r="R859" s="15"/>
      <c r="S859" s="15"/>
      <c r="T859" s="15">
        <v>0</v>
      </c>
      <c r="U859" s="15"/>
      <c r="V859" s="15"/>
      <c r="W859" s="15"/>
      <c r="X859" s="15"/>
      <c r="Y859" s="15"/>
      <c r="Z859" s="15"/>
    </row>
    <row r="860" spans="1:26" x14ac:dyDescent="0.25">
      <c r="A860" s="15" t="s">
        <v>15001</v>
      </c>
      <c r="B860" s="15">
        <v>859</v>
      </c>
      <c r="C860" s="15" t="s">
        <v>11277</v>
      </c>
      <c r="D860" s="15" t="s">
        <v>11277</v>
      </c>
      <c r="E860" s="15" t="s">
        <v>1067</v>
      </c>
      <c r="F860" s="15" t="s">
        <v>1507</v>
      </c>
      <c r="G860" s="15" t="s">
        <v>11553</v>
      </c>
      <c r="H860" s="15">
        <v>33.4</v>
      </c>
      <c r="I860" s="15">
        <v>19.2</v>
      </c>
      <c r="J860" s="15">
        <v>49</v>
      </c>
      <c r="K860" s="15" t="str">
        <f t="shared" si="13"/>
        <v>witchdrop</v>
      </c>
      <c r="L860" s="15" t="s">
        <v>11548</v>
      </c>
      <c r="M860" s="15">
        <v>1</v>
      </c>
      <c r="N860" s="15" t="s">
        <v>11222</v>
      </c>
      <c r="O860" s="15"/>
      <c r="P860" s="15"/>
      <c r="Q860" s="15"/>
      <c r="R860" s="15"/>
      <c r="S860" s="15"/>
      <c r="T860" s="15">
        <v>0</v>
      </c>
      <c r="U860" s="15"/>
      <c r="V860" s="15"/>
      <c r="W860" s="15"/>
      <c r="X860" s="15"/>
      <c r="Y860" s="15"/>
      <c r="Z860" s="15"/>
    </row>
    <row r="861" spans="1:26" x14ac:dyDescent="0.25">
      <c r="A861" s="15" t="s">
        <v>15002</v>
      </c>
      <c r="B861" s="15">
        <v>860</v>
      </c>
      <c r="C861" s="15" t="s">
        <v>11277</v>
      </c>
      <c r="D861" s="15" t="s">
        <v>11277</v>
      </c>
      <c r="E861" s="15" t="s">
        <v>1067</v>
      </c>
      <c r="F861" s="15" t="s">
        <v>1507</v>
      </c>
      <c r="G861" s="15" t="s">
        <v>11555</v>
      </c>
      <c r="H861" s="15">
        <v>33.4</v>
      </c>
      <c r="I861" s="15">
        <v>19.2</v>
      </c>
      <c r="J861" s="15">
        <v>50</v>
      </c>
      <c r="K861" s="15" t="str">
        <f t="shared" si="13"/>
        <v>witchdrop</v>
      </c>
      <c r="L861" s="15" t="s">
        <v>14088</v>
      </c>
      <c r="M861" s="15">
        <v>1</v>
      </c>
      <c r="N861" s="15" t="s">
        <v>11222</v>
      </c>
      <c r="O861" s="15"/>
      <c r="P861" s="15"/>
      <c r="Q861" s="15" t="s">
        <v>11550</v>
      </c>
      <c r="R861" s="15"/>
      <c r="S861" s="15"/>
      <c r="T861" s="15">
        <v>0</v>
      </c>
      <c r="U861" s="15"/>
      <c r="V861" s="15"/>
      <c r="W861" s="15"/>
      <c r="X861" s="15"/>
      <c r="Y861" s="15"/>
      <c r="Z861" s="15"/>
    </row>
    <row r="862" spans="1:26" x14ac:dyDescent="0.25">
      <c r="A862" s="15" t="s">
        <v>15003</v>
      </c>
      <c r="B862" s="15">
        <v>861</v>
      </c>
      <c r="C862" s="15" t="s">
        <v>11277</v>
      </c>
      <c r="D862" s="15" t="s">
        <v>11277</v>
      </c>
      <c r="E862" s="15" t="s">
        <v>1067</v>
      </c>
      <c r="F862" s="15" t="s">
        <v>1507</v>
      </c>
      <c r="G862" s="15" t="s">
        <v>11556</v>
      </c>
      <c r="H862" s="15">
        <v>33.4</v>
      </c>
      <c r="I862" s="15">
        <v>19.2</v>
      </c>
      <c r="J862" s="15">
        <v>50</v>
      </c>
      <c r="K862" s="15" t="str">
        <f t="shared" si="13"/>
        <v>witchdrop</v>
      </c>
      <c r="L862" s="15" t="s">
        <v>14088</v>
      </c>
      <c r="M862" s="15">
        <v>3</v>
      </c>
      <c r="N862" s="15" t="s">
        <v>11223</v>
      </c>
      <c r="O862" s="15"/>
      <c r="P862" s="15"/>
      <c r="Q862" s="15" t="s">
        <v>11555</v>
      </c>
      <c r="R862" s="15"/>
      <c r="S862" s="15"/>
      <c r="T862" s="15">
        <v>2</v>
      </c>
      <c r="U862" s="15"/>
      <c r="V862" s="15"/>
      <c r="W862" s="15"/>
      <c r="X862" s="15"/>
      <c r="Y862" s="15"/>
      <c r="Z862" s="15"/>
    </row>
    <row r="863" spans="1:26" x14ac:dyDescent="0.25">
      <c r="A863" s="15" t="s">
        <v>15004</v>
      </c>
      <c r="B863" s="15">
        <v>862</v>
      </c>
      <c r="C863" s="15" t="s">
        <v>11277</v>
      </c>
      <c r="D863" s="15" t="s">
        <v>11277</v>
      </c>
      <c r="E863" s="15" t="s">
        <v>1067</v>
      </c>
      <c r="F863" s="15" t="s">
        <v>1507</v>
      </c>
      <c r="G863" s="15" t="s">
        <v>11557</v>
      </c>
      <c r="H863" s="15">
        <v>33.4</v>
      </c>
      <c r="I863" s="15">
        <v>19.2</v>
      </c>
      <c r="J863" s="15">
        <v>50</v>
      </c>
      <c r="K863" s="15" t="str">
        <f t="shared" si="13"/>
        <v>witchdrop</v>
      </c>
      <c r="L863" s="15" t="s">
        <v>14088</v>
      </c>
      <c r="M863" s="15">
        <v>3</v>
      </c>
      <c r="N863" s="15" t="s">
        <v>11223</v>
      </c>
      <c r="O863" s="15"/>
      <c r="P863" s="15"/>
      <c r="Q863" s="15" t="s">
        <v>11550</v>
      </c>
      <c r="R863" s="15"/>
      <c r="S863" s="15"/>
      <c r="T863" s="15">
        <v>3</v>
      </c>
      <c r="U863" s="15" t="s">
        <v>5893</v>
      </c>
      <c r="V863" s="15" t="s">
        <v>5892</v>
      </c>
      <c r="W863" s="15"/>
      <c r="X863" s="15" t="s">
        <v>6080</v>
      </c>
      <c r="Y863" s="15"/>
      <c r="Z863" s="15"/>
    </row>
    <row r="864" spans="1:26" x14ac:dyDescent="0.25">
      <c r="A864" s="15" t="s">
        <v>15005</v>
      </c>
      <c r="B864" s="15">
        <v>863</v>
      </c>
      <c r="C864" s="15" t="s">
        <v>11277</v>
      </c>
      <c r="D864" s="15" t="s">
        <v>11277</v>
      </c>
      <c r="E864" s="15" t="s">
        <v>1067</v>
      </c>
      <c r="F864" s="15" t="s">
        <v>1507</v>
      </c>
      <c r="G864" s="15" t="s">
        <v>11558</v>
      </c>
      <c r="H864" s="15">
        <v>33.4</v>
      </c>
      <c r="I864" s="15">
        <v>19.2</v>
      </c>
      <c r="J864" s="15">
        <v>50</v>
      </c>
      <c r="K864" s="15" t="str">
        <f t="shared" si="13"/>
        <v>witchdrop</v>
      </c>
      <c r="L864" s="15" t="s">
        <v>14088</v>
      </c>
      <c r="M864" s="15">
        <v>3</v>
      </c>
      <c r="N864" s="15" t="s">
        <v>11223</v>
      </c>
      <c r="O864" s="15"/>
      <c r="P864" s="15"/>
      <c r="Q864" s="15" t="s">
        <v>11557</v>
      </c>
      <c r="R864" s="15"/>
      <c r="S864" s="15"/>
      <c r="T864" s="15">
        <v>3</v>
      </c>
      <c r="U864" s="15" t="s">
        <v>5893</v>
      </c>
      <c r="V864" s="15" t="s">
        <v>5892</v>
      </c>
      <c r="W864" s="15"/>
      <c r="X864" s="15" t="s">
        <v>6080</v>
      </c>
      <c r="Y864" s="15"/>
      <c r="Z864" s="15"/>
    </row>
    <row r="865" spans="1:26" x14ac:dyDescent="0.25">
      <c r="A865" s="15" t="s">
        <v>15006</v>
      </c>
      <c r="B865" s="15">
        <v>864</v>
      </c>
      <c r="C865" s="15" t="s">
        <v>11277</v>
      </c>
      <c r="D865" s="15" t="s">
        <v>11277</v>
      </c>
      <c r="E865" s="15" t="s">
        <v>11</v>
      </c>
      <c r="F865" s="15" t="s">
        <v>1532</v>
      </c>
      <c r="G865" s="15" t="s">
        <v>11534</v>
      </c>
      <c r="H865" s="15">
        <v>32.6</v>
      </c>
      <c r="I865" s="15">
        <v>27.4</v>
      </c>
      <c r="J865" s="15">
        <v>35</v>
      </c>
      <c r="K865" s="15" t="str">
        <f t="shared" si="13"/>
        <v>riversmeet</v>
      </c>
      <c r="L865" s="15" t="s">
        <v>11573</v>
      </c>
      <c r="M865" s="15">
        <v>1</v>
      </c>
      <c r="N865" s="15" t="s">
        <v>11222</v>
      </c>
      <c r="O865" s="15"/>
      <c r="P865" s="15"/>
      <c r="Q865" s="15"/>
      <c r="R865" s="15"/>
      <c r="S865" s="15"/>
      <c r="T865" s="15">
        <v>0</v>
      </c>
      <c r="U865" s="15"/>
      <c r="V865" s="15"/>
      <c r="W865" s="15"/>
      <c r="X865" s="15"/>
      <c r="Y865" s="15"/>
      <c r="Z865" s="15"/>
    </row>
    <row r="866" spans="1:26" x14ac:dyDescent="0.25">
      <c r="A866" s="15" t="s">
        <v>15007</v>
      </c>
      <c r="B866" s="15">
        <v>865</v>
      </c>
      <c r="C866" s="15" t="s">
        <v>11277</v>
      </c>
      <c r="D866" s="15" t="s">
        <v>11277</v>
      </c>
      <c r="E866" s="15" t="s">
        <v>11</v>
      </c>
      <c r="F866" s="15" t="s">
        <v>1532</v>
      </c>
      <c r="G866" s="15" t="s">
        <v>11559</v>
      </c>
      <c r="H866" s="15">
        <v>32.6</v>
      </c>
      <c r="I866" s="15">
        <v>27.4</v>
      </c>
      <c r="J866" s="15">
        <v>52</v>
      </c>
      <c r="K866" s="15" t="str">
        <f t="shared" si="13"/>
        <v>riversmeet</v>
      </c>
      <c r="L866" s="15" t="s">
        <v>11560</v>
      </c>
      <c r="M866" s="15">
        <v>1</v>
      </c>
      <c r="N866" s="15" t="s">
        <v>11222</v>
      </c>
      <c r="O866" s="15"/>
      <c r="P866" s="15"/>
      <c r="Q866" s="15" t="s">
        <v>11534</v>
      </c>
      <c r="R866" s="15"/>
      <c r="S866" s="15"/>
      <c r="T866" s="15">
        <v>0</v>
      </c>
      <c r="U866" s="15"/>
      <c r="V866" s="15"/>
      <c r="W866" s="15"/>
      <c r="X866" s="15"/>
      <c r="Y866" s="15"/>
      <c r="Z866" s="15"/>
    </row>
    <row r="867" spans="1:26" x14ac:dyDescent="0.25">
      <c r="A867" s="15" t="s">
        <v>15008</v>
      </c>
      <c r="B867" s="15">
        <v>866</v>
      </c>
      <c r="C867" s="15" t="s">
        <v>11277</v>
      </c>
      <c r="D867" s="15" t="s">
        <v>11277</v>
      </c>
      <c r="E867" s="15" t="s">
        <v>11</v>
      </c>
      <c r="F867" s="15" t="s">
        <v>1532</v>
      </c>
      <c r="G867" s="15" t="s">
        <v>11561</v>
      </c>
      <c r="H867" s="15">
        <v>32.6</v>
      </c>
      <c r="I867" s="15">
        <v>27.4</v>
      </c>
      <c r="J867" s="15">
        <v>55</v>
      </c>
      <c r="K867" s="15" t="str">
        <f t="shared" si="13"/>
        <v>riversmeet</v>
      </c>
      <c r="L867" s="15" t="s">
        <v>11562</v>
      </c>
      <c r="M867" s="15">
        <v>1</v>
      </c>
      <c r="N867" s="15" t="s">
        <v>11222</v>
      </c>
      <c r="O867" s="15"/>
      <c r="P867" s="15"/>
      <c r="Q867" s="15"/>
      <c r="R867" s="15"/>
      <c r="S867" s="15"/>
      <c r="T867" s="15">
        <v>0</v>
      </c>
      <c r="U867" s="15" t="s">
        <v>14981</v>
      </c>
      <c r="V867" s="15" t="s">
        <v>6080</v>
      </c>
      <c r="W867" s="15"/>
      <c r="X867" s="15"/>
      <c r="Y867" s="15"/>
      <c r="Z867" s="15"/>
    </row>
    <row r="868" spans="1:26" x14ac:dyDescent="0.25">
      <c r="A868" s="15" t="s">
        <v>15009</v>
      </c>
      <c r="B868" s="15">
        <v>867</v>
      </c>
      <c r="C868" s="15" t="s">
        <v>11277</v>
      </c>
      <c r="D868" s="15" t="s">
        <v>11277</v>
      </c>
      <c r="E868" s="15" t="s">
        <v>11</v>
      </c>
      <c r="F868" s="15" t="s">
        <v>1532</v>
      </c>
      <c r="G868" s="15" t="s">
        <v>11563</v>
      </c>
      <c r="H868" s="15">
        <v>32.6</v>
      </c>
      <c r="I868" s="15">
        <v>27.4</v>
      </c>
      <c r="J868" s="15">
        <v>60</v>
      </c>
      <c r="K868" s="15" t="str">
        <f t="shared" si="13"/>
        <v>riversmeet</v>
      </c>
      <c r="L868" s="15" t="s">
        <v>11564</v>
      </c>
      <c r="M868" s="15">
        <v>3</v>
      </c>
      <c r="N868" s="15" t="s">
        <v>11222</v>
      </c>
      <c r="O868" s="15"/>
      <c r="P868" s="15"/>
      <c r="Q868" s="15"/>
      <c r="R868" s="15"/>
      <c r="S868" s="15"/>
      <c r="T868" s="15">
        <v>0</v>
      </c>
      <c r="U868" s="15"/>
      <c r="V868" s="15"/>
      <c r="W868" s="15"/>
      <c r="X868" s="15"/>
      <c r="Y868" s="15"/>
      <c r="Z868" s="15"/>
    </row>
    <row r="869" spans="1:26" x14ac:dyDescent="0.25">
      <c r="A869" s="15" t="s">
        <v>15010</v>
      </c>
      <c r="B869" s="15">
        <v>868</v>
      </c>
      <c r="C869" s="15" t="s">
        <v>11277</v>
      </c>
      <c r="D869" s="15" t="s">
        <v>11277</v>
      </c>
      <c r="E869" s="15" t="s">
        <v>11</v>
      </c>
      <c r="F869" s="15" t="s">
        <v>15011</v>
      </c>
      <c r="G869" s="15" t="s">
        <v>11565</v>
      </c>
      <c r="H869" s="15">
        <v>35</v>
      </c>
      <c r="I869" s="15">
        <v>27</v>
      </c>
      <c r="J869" s="15">
        <v>51</v>
      </c>
      <c r="K869" s="15" t="str">
        <f t="shared" si="13"/>
        <v>greytailfalls</v>
      </c>
      <c r="L869" s="15" t="s">
        <v>11548</v>
      </c>
      <c r="M869" s="15">
        <v>1</v>
      </c>
      <c r="N869" s="15" t="s">
        <v>11222</v>
      </c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25">
      <c r="A870" s="15" t="s">
        <v>15012</v>
      </c>
      <c r="B870" s="15">
        <v>869</v>
      </c>
      <c r="C870" s="15" t="s">
        <v>11277</v>
      </c>
      <c r="D870" s="15" t="s">
        <v>11277</v>
      </c>
      <c r="E870" s="15" t="s">
        <v>11</v>
      </c>
      <c r="F870" s="15" t="s">
        <v>15011</v>
      </c>
      <c r="G870" s="15" t="s">
        <v>11566</v>
      </c>
      <c r="H870" s="15">
        <v>35</v>
      </c>
      <c r="I870" s="15">
        <v>27</v>
      </c>
      <c r="J870" s="15">
        <v>51</v>
      </c>
      <c r="K870" s="15" t="str">
        <f t="shared" si="13"/>
        <v>greytailfalls</v>
      </c>
      <c r="L870" s="15" t="s">
        <v>11548</v>
      </c>
      <c r="M870" s="15">
        <v>1</v>
      </c>
      <c r="N870" s="15" t="s">
        <v>11222</v>
      </c>
      <c r="O870" s="15"/>
      <c r="P870" s="15"/>
      <c r="Q870" s="15"/>
      <c r="R870" s="15"/>
      <c r="S870" s="15"/>
      <c r="T870" s="15">
        <v>0</v>
      </c>
      <c r="U870" s="15"/>
      <c r="V870" s="15"/>
      <c r="W870" s="15"/>
      <c r="X870" s="15"/>
      <c r="Y870" s="15"/>
      <c r="Z870" s="15"/>
    </row>
    <row r="871" spans="1:26" x14ac:dyDescent="0.25">
      <c r="A871" s="15" t="s">
        <v>15013</v>
      </c>
      <c r="B871" s="15">
        <v>870</v>
      </c>
      <c r="C871" s="15" t="s">
        <v>11277</v>
      </c>
      <c r="D871" s="15" t="s">
        <v>11277</v>
      </c>
      <c r="E871" s="15" t="s">
        <v>11</v>
      </c>
      <c r="F871" s="15" t="s">
        <v>15011</v>
      </c>
      <c r="G871" s="15" t="s">
        <v>11567</v>
      </c>
      <c r="H871" s="15">
        <v>35</v>
      </c>
      <c r="I871" s="15">
        <v>27</v>
      </c>
      <c r="J871" s="15">
        <v>51</v>
      </c>
      <c r="K871" s="15" t="str">
        <f t="shared" si="13"/>
        <v>greytailfalls</v>
      </c>
      <c r="L871" s="15" t="s">
        <v>11568</v>
      </c>
      <c r="M871" s="15">
        <v>1</v>
      </c>
      <c r="N871" s="15" t="s">
        <v>11222</v>
      </c>
      <c r="O871" s="15"/>
      <c r="P871" s="15"/>
      <c r="Q871" s="15" t="s">
        <v>11566</v>
      </c>
      <c r="R871" s="15"/>
      <c r="S871" s="15"/>
      <c r="T871" s="15">
        <v>0</v>
      </c>
      <c r="U871" s="15" t="s">
        <v>14981</v>
      </c>
      <c r="V871" s="15" t="s">
        <v>6080</v>
      </c>
      <c r="W871" s="15"/>
      <c r="X871" s="15"/>
      <c r="Y871" s="15"/>
      <c r="Z871" s="15"/>
    </row>
    <row r="872" spans="1:26" x14ac:dyDescent="0.25">
      <c r="A872" s="15" t="s">
        <v>15014</v>
      </c>
      <c r="B872" s="15">
        <v>871</v>
      </c>
      <c r="C872" s="15" t="s">
        <v>11277</v>
      </c>
      <c r="D872" s="15" t="s">
        <v>11277</v>
      </c>
      <c r="E872" s="15" t="s">
        <v>11</v>
      </c>
      <c r="F872" s="15" t="s">
        <v>15011</v>
      </c>
      <c r="G872" s="15" t="s">
        <v>11569</v>
      </c>
      <c r="H872" s="15">
        <v>35</v>
      </c>
      <c r="I872" s="15">
        <v>27</v>
      </c>
      <c r="J872" s="15">
        <v>58</v>
      </c>
      <c r="K872" s="15" t="str">
        <f t="shared" si="13"/>
        <v>greytailfalls</v>
      </c>
      <c r="L872" s="15" t="s">
        <v>14088</v>
      </c>
      <c r="M872" s="15">
        <v>1</v>
      </c>
      <c r="N872" s="15" t="s">
        <v>11222</v>
      </c>
      <c r="O872" s="15"/>
      <c r="P872" s="15"/>
      <c r="Q872" s="15" t="s">
        <v>11566</v>
      </c>
      <c r="R872" s="15"/>
      <c r="S872" s="15"/>
      <c r="T872" s="15">
        <v>0</v>
      </c>
      <c r="U872" s="15" t="s">
        <v>5893</v>
      </c>
      <c r="V872" s="15" t="s">
        <v>5892</v>
      </c>
      <c r="W872" s="15"/>
      <c r="X872" s="15"/>
      <c r="Y872" s="15"/>
      <c r="Z872" s="15"/>
    </row>
    <row r="873" spans="1:26" x14ac:dyDescent="0.25">
      <c r="A873" s="15" t="s">
        <v>15015</v>
      </c>
      <c r="B873" s="15">
        <v>872</v>
      </c>
      <c r="C873" s="15" t="s">
        <v>11277</v>
      </c>
      <c r="D873" s="15" t="s">
        <v>11277</v>
      </c>
      <c r="E873" s="15" t="s">
        <v>11</v>
      </c>
      <c r="F873" s="15" t="s">
        <v>15011</v>
      </c>
      <c r="G873" s="15" t="s">
        <v>11570</v>
      </c>
      <c r="H873" s="15">
        <v>35</v>
      </c>
      <c r="I873" s="15">
        <v>27</v>
      </c>
      <c r="J873" s="15">
        <v>55</v>
      </c>
      <c r="K873" s="15" t="str">
        <f t="shared" si="13"/>
        <v>greytailfalls</v>
      </c>
      <c r="L873" s="15" t="s">
        <v>14088</v>
      </c>
      <c r="M873" s="15">
        <v>1</v>
      </c>
      <c r="N873" s="15" t="s">
        <v>11222</v>
      </c>
      <c r="O873" s="15"/>
      <c r="P873" s="15"/>
      <c r="Q873" s="15" t="s">
        <v>11567</v>
      </c>
      <c r="R873" s="15"/>
      <c r="S873" s="15"/>
      <c r="T873" s="15">
        <v>0</v>
      </c>
      <c r="U873" s="15" t="s">
        <v>14981</v>
      </c>
      <c r="V873" s="15" t="s">
        <v>6080</v>
      </c>
      <c r="W873" s="15"/>
      <c r="X873" s="15"/>
      <c r="Y873" s="15"/>
      <c r="Z873" s="15"/>
    </row>
    <row r="874" spans="1:26" x14ac:dyDescent="0.25">
      <c r="A874" s="15" t="s">
        <v>15016</v>
      </c>
      <c r="B874" s="15">
        <v>873</v>
      </c>
      <c r="C874" s="15" t="s">
        <v>11277</v>
      </c>
      <c r="D874" s="15" t="s">
        <v>11277</v>
      </c>
      <c r="E874" s="15" t="s">
        <v>11</v>
      </c>
      <c r="F874" s="15" t="s">
        <v>15011</v>
      </c>
      <c r="G874" s="15" t="s">
        <v>11571</v>
      </c>
      <c r="H874" s="15">
        <v>35</v>
      </c>
      <c r="I874" s="15">
        <v>27</v>
      </c>
      <c r="J874" s="15">
        <v>60</v>
      </c>
      <c r="K874" s="15" t="str">
        <f t="shared" si="13"/>
        <v>greytailfalls</v>
      </c>
      <c r="L874" s="15" t="s">
        <v>14088</v>
      </c>
      <c r="M874" s="15">
        <v>3</v>
      </c>
      <c r="N874" s="15" t="s">
        <v>11222</v>
      </c>
      <c r="O874" s="15"/>
      <c r="P874" s="15"/>
      <c r="Q874" s="15" t="s">
        <v>11567</v>
      </c>
      <c r="R874" s="15"/>
      <c r="S874" s="15"/>
      <c r="T874" s="15">
        <v>0</v>
      </c>
      <c r="U874" s="15" t="s">
        <v>6080</v>
      </c>
      <c r="V874" s="15"/>
      <c r="W874" s="15"/>
      <c r="X874" s="15"/>
      <c r="Y874" s="15"/>
      <c r="Z874" s="15"/>
    </row>
    <row r="875" spans="1:26" x14ac:dyDescent="0.25">
      <c r="A875" s="15" t="s">
        <v>15017</v>
      </c>
      <c r="B875" s="15">
        <v>874</v>
      </c>
      <c r="C875" s="15" t="s">
        <v>11277</v>
      </c>
      <c r="D875" s="15" t="s">
        <v>11277</v>
      </c>
      <c r="E875" s="15" t="s">
        <v>11</v>
      </c>
      <c r="F875" s="15" t="s">
        <v>15018</v>
      </c>
      <c r="G875" s="15" t="s">
        <v>11534</v>
      </c>
      <c r="H875" s="15">
        <v>28</v>
      </c>
      <c r="I875" s="15">
        <v>18</v>
      </c>
      <c r="J875" s="15">
        <v>35</v>
      </c>
      <c r="K875" s="15" t="str">
        <f t="shared" si="13"/>
        <v>unfrozenpond</v>
      </c>
      <c r="L875" s="15" t="s">
        <v>11355</v>
      </c>
      <c r="M875" s="15">
        <v>1</v>
      </c>
      <c r="N875" s="15" t="s">
        <v>11222</v>
      </c>
      <c r="O875" s="15"/>
      <c r="P875" s="15"/>
      <c r="Q875" s="15"/>
      <c r="R875" s="15"/>
      <c r="S875" s="15"/>
      <c r="T875" s="15">
        <v>0</v>
      </c>
      <c r="U875" s="15"/>
      <c r="V875" s="15"/>
      <c r="W875" s="15"/>
      <c r="X875" s="15"/>
      <c r="Y875" s="15"/>
      <c r="Z875" s="15"/>
    </row>
    <row r="876" spans="1:26" x14ac:dyDescent="0.25">
      <c r="A876" s="15" t="s">
        <v>15019</v>
      </c>
      <c r="B876" s="15">
        <v>875</v>
      </c>
      <c r="C876" s="15" t="s">
        <v>11277</v>
      </c>
      <c r="D876" s="15" t="s">
        <v>11277</v>
      </c>
      <c r="E876" s="15" t="s">
        <v>11</v>
      </c>
      <c r="F876" s="15" t="s">
        <v>15018</v>
      </c>
      <c r="G876" s="15" t="s">
        <v>11572</v>
      </c>
      <c r="H876" s="15">
        <v>28</v>
      </c>
      <c r="I876" s="15">
        <v>18</v>
      </c>
      <c r="J876" s="15">
        <v>51</v>
      </c>
      <c r="K876" s="15" t="str">
        <f t="shared" si="13"/>
        <v>unfrozenpond</v>
      </c>
      <c r="L876" s="15" t="s">
        <v>11573</v>
      </c>
      <c r="M876" s="15">
        <v>1</v>
      </c>
      <c r="N876" s="15" t="s">
        <v>11222</v>
      </c>
      <c r="O876" s="15"/>
      <c r="P876" s="15"/>
      <c r="Q876" s="15"/>
      <c r="R876" s="15"/>
      <c r="S876" s="15"/>
      <c r="T876" s="15">
        <v>0</v>
      </c>
      <c r="U876" s="15"/>
      <c r="V876" s="15"/>
      <c r="W876" s="15"/>
      <c r="X876" s="15"/>
      <c r="Y876" s="15"/>
      <c r="Z876" s="15"/>
    </row>
    <row r="877" spans="1:26" x14ac:dyDescent="0.25">
      <c r="A877" s="15" t="s">
        <v>15020</v>
      </c>
      <c r="B877" s="15">
        <v>876</v>
      </c>
      <c r="C877" s="15" t="s">
        <v>11277</v>
      </c>
      <c r="D877" s="15" t="s">
        <v>11277</v>
      </c>
      <c r="E877" s="15" t="s">
        <v>11</v>
      </c>
      <c r="F877" s="15" t="s">
        <v>15018</v>
      </c>
      <c r="G877" s="15" t="s">
        <v>11574</v>
      </c>
      <c r="H877" s="15">
        <v>28</v>
      </c>
      <c r="I877" s="15">
        <v>18</v>
      </c>
      <c r="J877" s="15">
        <v>51</v>
      </c>
      <c r="K877" s="15" t="str">
        <f t="shared" si="13"/>
        <v>unfrozenpond</v>
      </c>
      <c r="L877" s="15" t="s">
        <v>11562</v>
      </c>
      <c r="M877" s="15">
        <v>1</v>
      </c>
      <c r="N877" s="15" t="s">
        <v>11222</v>
      </c>
      <c r="O877" s="15"/>
      <c r="P877" s="15"/>
      <c r="Q877" s="15"/>
      <c r="R877" s="15"/>
      <c r="S877" s="15"/>
      <c r="T877" s="15">
        <v>0</v>
      </c>
      <c r="U877" s="15"/>
      <c r="V877" s="15"/>
      <c r="W877" s="15"/>
      <c r="X877" s="15"/>
      <c r="Y877" s="15"/>
      <c r="Z877" s="15"/>
    </row>
    <row r="878" spans="1:26" x14ac:dyDescent="0.25">
      <c r="A878" s="15" t="s">
        <v>15021</v>
      </c>
      <c r="B878" s="15">
        <v>877</v>
      </c>
      <c r="C878" s="15" t="s">
        <v>11277</v>
      </c>
      <c r="D878" s="15" t="s">
        <v>11277</v>
      </c>
      <c r="E878" s="15" t="s">
        <v>11</v>
      </c>
      <c r="F878" s="15" t="s">
        <v>15018</v>
      </c>
      <c r="G878" s="15" t="s">
        <v>11575</v>
      </c>
      <c r="H878" s="15">
        <v>28</v>
      </c>
      <c r="I878" s="15">
        <v>18</v>
      </c>
      <c r="J878" s="15">
        <v>52</v>
      </c>
      <c r="K878" s="15" t="str">
        <f t="shared" si="13"/>
        <v>unfrozenpond</v>
      </c>
      <c r="L878" s="15" t="s">
        <v>14088</v>
      </c>
      <c r="M878" s="15">
        <v>2</v>
      </c>
      <c r="N878" s="15" t="s">
        <v>11223</v>
      </c>
      <c r="O878" s="15" t="s">
        <v>14008</v>
      </c>
      <c r="P878" s="15"/>
      <c r="Q878" s="15" t="s">
        <v>11534</v>
      </c>
      <c r="R878" s="15" t="s">
        <v>11574</v>
      </c>
      <c r="S878" s="15"/>
      <c r="T878" s="15">
        <v>0</v>
      </c>
      <c r="U878" s="15"/>
      <c r="V878" s="15"/>
      <c r="W878" s="15"/>
      <c r="X878" s="15"/>
      <c r="Y878" s="15"/>
      <c r="Z878" s="15"/>
    </row>
    <row r="879" spans="1:26" x14ac:dyDescent="0.25">
      <c r="A879" s="15" t="s">
        <v>15022</v>
      </c>
      <c r="B879" s="15">
        <v>878</v>
      </c>
      <c r="C879" s="15" t="s">
        <v>11277</v>
      </c>
      <c r="D879" s="15" t="s">
        <v>11277</v>
      </c>
      <c r="E879" s="15" t="s">
        <v>11</v>
      </c>
      <c r="F879" s="15" t="s">
        <v>15018</v>
      </c>
      <c r="G879" s="15" t="s">
        <v>11576</v>
      </c>
      <c r="H879" s="15">
        <v>28</v>
      </c>
      <c r="I879" s="15">
        <v>18</v>
      </c>
      <c r="J879" s="15">
        <v>58</v>
      </c>
      <c r="K879" s="15" t="str">
        <f t="shared" si="13"/>
        <v>unfrozenpond</v>
      </c>
      <c r="L879" s="15" t="s">
        <v>14088</v>
      </c>
      <c r="M879" s="15">
        <v>2</v>
      </c>
      <c r="N879" s="15" t="s">
        <v>11223</v>
      </c>
      <c r="O879" s="15" t="s">
        <v>14007</v>
      </c>
      <c r="P879" s="15"/>
      <c r="Q879" s="15" t="s">
        <v>11534</v>
      </c>
      <c r="R879" s="15" t="s">
        <v>11574</v>
      </c>
      <c r="S879" s="15"/>
      <c r="T879" s="15">
        <v>0</v>
      </c>
      <c r="U879" s="15"/>
      <c r="V879" s="15"/>
      <c r="W879" s="15"/>
      <c r="X879" s="15"/>
      <c r="Y879" s="15"/>
      <c r="Z879" s="15"/>
    </row>
    <row r="880" spans="1:26" x14ac:dyDescent="0.25">
      <c r="A880" s="15" t="s">
        <v>15023</v>
      </c>
      <c r="B880" s="15">
        <v>879</v>
      </c>
      <c r="C880" s="15" t="s">
        <v>11277</v>
      </c>
      <c r="D880" s="15" t="s">
        <v>11277</v>
      </c>
      <c r="E880" s="15" t="s">
        <v>11</v>
      </c>
      <c r="F880" s="15" t="s">
        <v>15018</v>
      </c>
      <c r="G880" s="15" t="s">
        <v>11577</v>
      </c>
      <c r="H880" s="15">
        <v>28</v>
      </c>
      <c r="I880" s="15">
        <v>18</v>
      </c>
      <c r="J880" s="15">
        <v>60</v>
      </c>
      <c r="K880" s="15" t="str">
        <f t="shared" si="13"/>
        <v>unfrozenpond</v>
      </c>
      <c r="L880" s="15" t="s">
        <v>11564</v>
      </c>
      <c r="M880" s="15">
        <v>1</v>
      </c>
      <c r="N880" s="15" t="s">
        <v>11222</v>
      </c>
      <c r="O880" s="15" t="s">
        <v>2805</v>
      </c>
      <c r="P880" s="15"/>
      <c r="Q880" s="15" t="s">
        <v>11574</v>
      </c>
      <c r="R880" s="15" t="s">
        <v>11534</v>
      </c>
      <c r="S880" s="15"/>
      <c r="T880" s="15">
        <v>0</v>
      </c>
      <c r="U880" s="15" t="s">
        <v>6080</v>
      </c>
      <c r="V880" s="15"/>
      <c r="W880" s="15"/>
      <c r="X880" s="15"/>
      <c r="Y880" s="15"/>
      <c r="Z880" s="15"/>
    </row>
    <row r="881" spans="1:26" x14ac:dyDescent="0.25">
      <c r="A881" s="15" t="s">
        <v>15024</v>
      </c>
      <c r="B881" s="15">
        <v>880</v>
      </c>
      <c r="C881" s="15" t="s">
        <v>11277</v>
      </c>
      <c r="D881" s="15" t="s">
        <v>11277</v>
      </c>
      <c r="E881" s="15" t="s">
        <v>11</v>
      </c>
      <c r="F881" s="15" t="s">
        <v>15018</v>
      </c>
      <c r="G881" s="15" t="s">
        <v>11578</v>
      </c>
      <c r="H881" s="15">
        <v>28</v>
      </c>
      <c r="I881" s="15">
        <v>18</v>
      </c>
      <c r="J881" s="15">
        <v>60</v>
      </c>
      <c r="K881" s="15" t="str">
        <f t="shared" si="13"/>
        <v>unfrozenpond</v>
      </c>
      <c r="L881" s="15" t="s">
        <v>14088</v>
      </c>
      <c r="M881" s="15">
        <v>3</v>
      </c>
      <c r="N881" s="15" t="s">
        <v>11223</v>
      </c>
      <c r="O881" s="15" t="s">
        <v>14018</v>
      </c>
      <c r="P881" s="15"/>
      <c r="Q881" s="15" t="s">
        <v>11574</v>
      </c>
      <c r="R881" s="15"/>
      <c r="S881" s="15"/>
      <c r="T881" s="15">
        <v>0</v>
      </c>
      <c r="U881" s="15" t="s">
        <v>6080</v>
      </c>
      <c r="V881" s="15"/>
      <c r="W881" s="15"/>
      <c r="X881" s="15"/>
      <c r="Y881" s="15"/>
      <c r="Z881" s="15"/>
    </row>
    <row r="882" spans="1:26" x14ac:dyDescent="0.25">
      <c r="A882" s="15" t="s">
        <v>15025</v>
      </c>
      <c r="B882" s="15">
        <v>881</v>
      </c>
      <c r="C882" s="15" t="s">
        <v>11277</v>
      </c>
      <c r="D882" s="15" t="s">
        <v>11277</v>
      </c>
      <c r="E882" s="15" t="s">
        <v>11</v>
      </c>
      <c r="F882" s="15" t="s">
        <v>15026</v>
      </c>
      <c r="G882" s="15" t="s">
        <v>11534</v>
      </c>
      <c r="H882" s="15">
        <v>36</v>
      </c>
      <c r="I882" s="15">
        <v>6</v>
      </c>
      <c r="J882" s="15">
        <v>35</v>
      </c>
      <c r="K882" s="15" t="str">
        <f t="shared" si="13"/>
        <v>clearpool</v>
      </c>
      <c r="L882" s="15" t="s">
        <v>11573</v>
      </c>
      <c r="M882" s="15">
        <v>1</v>
      </c>
      <c r="N882" s="15" t="s">
        <v>11222</v>
      </c>
      <c r="O882" s="15"/>
      <c r="P882" s="15"/>
      <c r="Q882" s="15"/>
      <c r="R882" s="15"/>
      <c r="S882" s="15"/>
      <c r="T882" s="15">
        <v>0</v>
      </c>
      <c r="U882" s="15"/>
      <c r="V882" s="15"/>
      <c r="W882" s="15"/>
      <c r="X882" s="15"/>
      <c r="Y882" s="15"/>
      <c r="Z882" s="15"/>
    </row>
    <row r="883" spans="1:26" x14ac:dyDescent="0.25">
      <c r="A883" s="15" t="s">
        <v>15027</v>
      </c>
      <c r="B883" s="15">
        <v>882</v>
      </c>
      <c r="C883" s="15" t="s">
        <v>11277</v>
      </c>
      <c r="D883" s="15" t="s">
        <v>11277</v>
      </c>
      <c r="E883" s="15" t="s">
        <v>11</v>
      </c>
      <c r="F883" s="15" t="s">
        <v>15026</v>
      </c>
      <c r="G883" s="15" t="s">
        <v>11574</v>
      </c>
      <c r="H883" s="15">
        <v>36</v>
      </c>
      <c r="I883" s="15">
        <v>6</v>
      </c>
      <c r="J883" s="15">
        <v>51</v>
      </c>
      <c r="K883" s="15" t="str">
        <f t="shared" si="13"/>
        <v>clearpool</v>
      </c>
      <c r="L883" s="15" t="s">
        <v>11562</v>
      </c>
      <c r="M883" s="15">
        <v>1</v>
      </c>
      <c r="N883" s="15" t="s">
        <v>11222</v>
      </c>
      <c r="O883" s="15"/>
      <c r="P883" s="15"/>
      <c r="Q883" s="15"/>
      <c r="R883" s="15"/>
      <c r="S883" s="15"/>
      <c r="T883" s="15">
        <v>0</v>
      </c>
      <c r="U883" s="15"/>
      <c r="V883" s="15"/>
      <c r="W883" s="15"/>
      <c r="X883" s="15"/>
      <c r="Y883" s="15"/>
      <c r="Z883" s="15"/>
    </row>
    <row r="884" spans="1:26" x14ac:dyDescent="0.25">
      <c r="A884" s="15" t="s">
        <v>15028</v>
      </c>
      <c r="B884" s="15">
        <v>883</v>
      </c>
      <c r="C884" s="15" t="s">
        <v>11277</v>
      </c>
      <c r="D884" s="15" t="s">
        <v>11277</v>
      </c>
      <c r="E884" s="15" t="s">
        <v>11</v>
      </c>
      <c r="F884" s="15" t="s">
        <v>15026</v>
      </c>
      <c r="G884" s="15" t="s">
        <v>11559</v>
      </c>
      <c r="H884" s="15">
        <v>36</v>
      </c>
      <c r="I884" s="15">
        <v>6</v>
      </c>
      <c r="J884" s="15">
        <v>52</v>
      </c>
      <c r="K884" s="15" t="str">
        <f t="shared" si="13"/>
        <v>clearpool</v>
      </c>
      <c r="L884" s="15" t="s">
        <v>14088</v>
      </c>
      <c r="M884" s="15">
        <v>1</v>
      </c>
      <c r="N884" s="15" t="s">
        <v>11222</v>
      </c>
      <c r="O884" s="15"/>
      <c r="P884" s="15"/>
      <c r="Q884" s="15" t="s">
        <v>11534</v>
      </c>
      <c r="R884" s="15" t="s">
        <v>11574</v>
      </c>
      <c r="S884" s="15"/>
      <c r="T884" s="15">
        <v>0</v>
      </c>
      <c r="U884" s="15"/>
      <c r="V884" s="15"/>
      <c r="W884" s="15"/>
      <c r="X884" s="15"/>
      <c r="Y884" s="15"/>
      <c r="Z884" s="15"/>
    </row>
    <row r="885" spans="1:26" x14ac:dyDescent="0.25">
      <c r="A885" s="15" t="s">
        <v>15029</v>
      </c>
      <c r="B885" s="15">
        <v>884</v>
      </c>
      <c r="C885" s="15" t="s">
        <v>11277</v>
      </c>
      <c r="D885" s="15" t="s">
        <v>11277</v>
      </c>
      <c r="E885" s="15" t="s">
        <v>11</v>
      </c>
      <c r="F885" s="15" t="s">
        <v>15026</v>
      </c>
      <c r="G885" s="15" t="s">
        <v>11579</v>
      </c>
      <c r="H885" s="15">
        <v>36</v>
      </c>
      <c r="I885" s="15">
        <v>6</v>
      </c>
      <c r="J885" s="15">
        <v>52</v>
      </c>
      <c r="K885" s="15" t="str">
        <f t="shared" si="13"/>
        <v>clearpool</v>
      </c>
      <c r="L885" s="15" t="s">
        <v>14088</v>
      </c>
      <c r="M885" s="15">
        <v>2</v>
      </c>
      <c r="N885" s="15" t="s">
        <v>11223</v>
      </c>
      <c r="O885" s="15"/>
      <c r="P885" s="15"/>
      <c r="Q885" s="15" t="s">
        <v>11574</v>
      </c>
      <c r="R885" s="15" t="s">
        <v>11534</v>
      </c>
      <c r="S885" s="15"/>
      <c r="T885" s="15">
        <v>0</v>
      </c>
      <c r="U885" s="15" t="s">
        <v>6080</v>
      </c>
      <c r="V885" s="15" t="s">
        <v>14981</v>
      </c>
      <c r="W885" s="15"/>
      <c r="X885" s="15"/>
      <c r="Y885" s="15"/>
      <c r="Z885" s="15"/>
    </row>
    <row r="886" spans="1:26" x14ac:dyDescent="0.25">
      <c r="A886" s="15" t="s">
        <v>15030</v>
      </c>
      <c r="B886" s="15">
        <v>885</v>
      </c>
      <c r="C886" s="15" t="s">
        <v>11277</v>
      </c>
      <c r="D886" s="15" t="s">
        <v>11277</v>
      </c>
      <c r="E886" s="15" t="s">
        <v>11</v>
      </c>
      <c r="F886" s="15" t="s">
        <v>15026</v>
      </c>
      <c r="G886" s="15" t="s">
        <v>11580</v>
      </c>
      <c r="H886" s="15">
        <v>36</v>
      </c>
      <c r="I886" s="15">
        <v>6</v>
      </c>
      <c r="J886" s="15">
        <v>60</v>
      </c>
      <c r="K886" s="15" t="str">
        <f t="shared" si="13"/>
        <v>clearpool</v>
      </c>
      <c r="L886" s="15" t="s">
        <v>11564</v>
      </c>
      <c r="M886" s="15">
        <v>1</v>
      </c>
      <c r="N886" s="15" t="s">
        <v>11222</v>
      </c>
      <c r="O886" s="15" t="s">
        <v>11239</v>
      </c>
      <c r="P886" s="15"/>
      <c r="Q886" s="15"/>
      <c r="R886" s="15"/>
      <c r="S886" s="15"/>
      <c r="T886" s="15">
        <v>1</v>
      </c>
      <c r="U886" s="15"/>
      <c r="V886" s="15"/>
      <c r="W886" s="15"/>
      <c r="X886" s="15"/>
      <c r="Y886" s="15"/>
      <c r="Z886" s="15"/>
    </row>
    <row r="887" spans="1:26" x14ac:dyDescent="0.25">
      <c r="A887" s="15" t="s">
        <v>15031</v>
      </c>
      <c r="B887" s="15">
        <v>886</v>
      </c>
      <c r="C887" s="15" t="s">
        <v>11277</v>
      </c>
      <c r="D887" s="15" t="s">
        <v>11277</v>
      </c>
      <c r="E887" s="15" t="s">
        <v>11</v>
      </c>
      <c r="F887" s="15" t="s">
        <v>15026</v>
      </c>
      <c r="G887" s="15" t="s">
        <v>11581</v>
      </c>
      <c r="H887" s="15">
        <v>36</v>
      </c>
      <c r="I887" s="15">
        <v>6</v>
      </c>
      <c r="J887" s="15">
        <v>60</v>
      </c>
      <c r="K887" s="15" t="str">
        <f t="shared" si="13"/>
        <v>clearpool</v>
      </c>
      <c r="L887" s="15" t="s">
        <v>11564</v>
      </c>
      <c r="M887" s="15">
        <v>2</v>
      </c>
      <c r="N887" s="15" t="s">
        <v>11223</v>
      </c>
      <c r="O887" s="15"/>
      <c r="P887" s="15"/>
      <c r="Q887" s="15"/>
      <c r="R887" s="15"/>
      <c r="S887" s="15"/>
      <c r="T887" s="15">
        <v>1</v>
      </c>
      <c r="U887" s="15"/>
      <c r="V887" s="15"/>
      <c r="W887" s="15"/>
      <c r="X887" s="15"/>
      <c r="Y887" s="15"/>
      <c r="Z887" s="15"/>
    </row>
    <row r="888" spans="1:26" x14ac:dyDescent="0.25">
      <c r="A888" s="15" t="s">
        <v>15032</v>
      </c>
      <c r="B888" s="15">
        <v>887</v>
      </c>
      <c r="C888" s="15" t="s">
        <v>11277</v>
      </c>
      <c r="D888" s="15" t="s">
        <v>11277</v>
      </c>
      <c r="E888" s="15" t="s">
        <v>11</v>
      </c>
      <c r="F888" s="15" t="s">
        <v>15026</v>
      </c>
      <c r="G888" s="15" t="s">
        <v>11582</v>
      </c>
      <c r="H888" s="15">
        <v>36</v>
      </c>
      <c r="I888" s="15">
        <v>6</v>
      </c>
      <c r="J888" s="15">
        <v>58</v>
      </c>
      <c r="K888" s="15" t="str">
        <f t="shared" si="13"/>
        <v>clearpool</v>
      </c>
      <c r="L888" s="15" t="s">
        <v>11560</v>
      </c>
      <c r="M888" s="15">
        <v>1</v>
      </c>
      <c r="N888" s="15" t="s">
        <v>11222</v>
      </c>
      <c r="O888" s="15"/>
      <c r="P888" s="15"/>
      <c r="Q888" s="15"/>
      <c r="R888" s="15"/>
      <c r="S888" s="15"/>
      <c r="T888" s="15">
        <v>0</v>
      </c>
      <c r="U888" s="15"/>
      <c r="V888" s="15"/>
      <c r="W888" s="15"/>
      <c r="X888" s="15"/>
      <c r="Y888" s="15"/>
      <c r="Z888" s="15"/>
    </row>
    <row r="889" spans="1:26" x14ac:dyDescent="0.25">
      <c r="A889" s="15" t="s">
        <v>15033</v>
      </c>
      <c r="B889" s="15">
        <v>888</v>
      </c>
      <c r="C889" s="15" t="s">
        <v>11277</v>
      </c>
      <c r="D889" s="15" t="s">
        <v>11277</v>
      </c>
      <c r="E889" s="15" t="s">
        <v>11</v>
      </c>
      <c r="F889" s="15" t="s">
        <v>15026</v>
      </c>
      <c r="G889" s="15" t="s">
        <v>11583</v>
      </c>
      <c r="H889" s="15">
        <v>36</v>
      </c>
      <c r="I889" s="15">
        <v>6</v>
      </c>
      <c r="J889" s="15">
        <v>60</v>
      </c>
      <c r="K889" s="15" t="str">
        <f t="shared" si="13"/>
        <v>clearpool</v>
      </c>
      <c r="L889" s="15" t="s">
        <v>11564</v>
      </c>
      <c r="M889" s="15">
        <v>3</v>
      </c>
      <c r="N889" s="15" t="s">
        <v>11223</v>
      </c>
      <c r="O889" s="15" t="s">
        <v>14015</v>
      </c>
      <c r="P889" s="15"/>
      <c r="Q889" s="15"/>
      <c r="R889" s="15"/>
      <c r="S889" s="15"/>
      <c r="T889" s="15">
        <v>0</v>
      </c>
      <c r="U889" s="15" t="s">
        <v>5893</v>
      </c>
      <c r="V889" s="15"/>
      <c r="W889" s="15"/>
      <c r="X889" s="15"/>
      <c r="Y889" s="15"/>
      <c r="Z889" s="15"/>
    </row>
    <row r="890" spans="1:26" x14ac:dyDescent="0.25">
      <c r="A890" s="15" t="s">
        <v>15034</v>
      </c>
      <c r="B890" s="15">
        <v>889</v>
      </c>
      <c r="C890" s="15" t="s">
        <v>11277</v>
      </c>
      <c r="D890" s="15" t="s">
        <v>11277</v>
      </c>
      <c r="E890" s="15" t="s">
        <v>11</v>
      </c>
      <c r="F890" s="15" t="s">
        <v>15026</v>
      </c>
      <c r="G890" s="15" t="s">
        <v>11584</v>
      </c>
      <c r="H890" s="15">
        <v>36</v>
      </c>
      <c r="I890" s="15">
        <v>6</v>
      </c>
      <c r="J890" s="15">
        <v>60</v>
      </c>
      <c r="K890" s="15" t="str">
        <f t="shared" si="13"/>
        <v>clearpool</v>
      </c>
      <c r="L890" s="15" t="s">
        <v>14088</v>
      </c>
      <c r="M890" s="15">
        <v>3</v>
      </c>
      <c r="N890" s="15" t="s">
        <v>11222</v>
      </c>
      <c r="O890" s="15" t="s">
        <v>11221</v>
      </c>
      <c r="P890" s="15" t="s">
        <v>15035</v>
      </c>
      <c r="Q890" s="15" t="s">
        <v>11574</v>
      </c>
      <c r="R890" s="15"/>
      <c r="S890" s="15"/>
      <c r="T890" s="15">
        <v>0</v>
      </c>
      <c r="U890" s="15" t="s">
        <v>6080</v>
      </c>
      <c r="V890" s="15" t="s">
        <v>14981</v>
      </c>
      <c r="W890" s="15"/>
      <c r="X890" s="15"/>
      <c r="Y890" s="15"/>
      <c r="Z890" s="15"/>
    </row>
    <row r="891" spans="1:26" x14ac:dyDescent="0.25">
      <c r="A891" s="15" t="s">
        <v>15036</v>
      </c>
      <c r="B891" s="15">
        <v>890</v>
      </c>
      <c r="C891" s="15" t="s">
        <v>11277</v>
      </c>
      <c r="D891" s="15" t="s">
        <v>11277</v>
      </c>
      <c r="E891" s="15" t="s">
        <v>11</v>
      </c>
      <c r="F891" s="15" t="s">
        <v>1551</v>
      </c>
      <c r="G891" s="15" t="s">
        <v>11586</v>
      </c>
      <c r="H891" s="15">
        <v>8</v>
      </c>
      <c r="I891" s="15">
        <v>10</v>
      </c>
      <c r="J891" s="15">
        <v>56</v>
      </c>
      <c r="K891" s="15" t="str">
        <f t="shared" si="13"/>
        <v>dragonspit</v>
      </c>
      <c r="L891" s="15" t="s">
        <v>11573</v>
      </c>
      <c r="M891" s="15">
        <v>1</v>
      </c>
      <c r="N891" s="15" t="s">
        <v>11222</v>
      </c>
      <c r="O891" s="15"/>
      <c r="P891" s="15"/>
      <c r="Q891" s="15"/>
      <c r="R891" s="15"/>
      <c r="S891" s="15"/>
      <c r="T891" s="15">
        <v>0</v>
      </c>
      <c r="U891" s="15"/>
      <c r="V891" s="15"/>
      <c r="W891" s="15"/>
      <c r="X891" s="15"/>
      <c r="Y891" s="15"/>
      <c r="Z891" s="15"/>
    </row>
    <row r="892" spans="1:26" x14ac:dyDescent="0.25">
      <c r="A892" s="15" t="s">
        <v>15037</v>
      </c>
      <c r="B892" s="15">
        <v>891</v>
      </c>
      <c r="C892" s="15" t="s">
        <v>11277</v>
      </c>
      <c r="D892" s="15" t="s">
        <v>11277</v>
      </c>
      <c r="E892" s="15" t="s">
        <v>11</v>
      </c>
      <c r="F892" s="15" t="s">
        <v>1551</v>
      </c>
      <c r="G892" s="15" t="s">
        <v>11587</v>
      </c>
      <c r="H892" s="15">
        <v>8</v>
      </c>
      <c r="I892" s="15">
        <v>10</v>
      </c>
      <c r="J892" s="15">
        <v>59</v>
      </c>
      <c r="K892" s="15" t="str">
        <f t="shared" si="13"/>
        <v>dragonspit</v>
      </c>
      <c r="L892" s="15" t="s">
        <v>11588</v>
      </c>
      <c r="M892" s="15">
        <v>2</v>
      </c>
      <c r="N892" s="15" t="s">
        <v>11223</v>
      </c>
      <c r="O892" s="15"/>
      <c r="P892" s="15"/>
      <c r="Q892" s="15"/>
      <c r="R892" s="15"/>
      <c r="S892" s="15"/>
      <c r="T892" s="15">
        <v>0</v>
      </c>
      <c r="U892" s="15"/>
      <c r="V892" s="15"/>
      <c r="W892" s="15"/>
      <c r="X892" s="15"/>
      <c r="Y892" s="15"/>
      <c r="Z892" s="15"/>
    </row>
    <row r="893" spans="1:26" x14ac:dyDescent="0.25">
      <c r="A893" s="15" t="s">
        <v>15038</v>
      </c>
      <c r="B893" s="15">
        <v>892</v>
      </c>
      <c r="C893" s="15" t="s">
        <v>11277</v>
      </c>
      <c r="D893" s="15" t="s">
        <v>11277</v>
      </c>
      <c r="E893" s="15" t="s">
        <v>11</v>
      </c>
      <c r="F893" s="15" t="s">
        <v>1551</v>
      </c>
      <c r="G893" s="15" t="s">
        <v>11589</v>
      </c>
      <c r="H893" s="15">
        <v>8</v>
      </c>
      <c r="I893" s="15">
        <v>10</v>
      </c>
      <c r="J893" s="15">
        <v>58</v>
      </c>
      <c r="K893" s="15" t="str">
        <f t="shared" si="13"/>
        <v>dragonspit</v>
      </c>
      <c r="L893" s="15" t="s">
        <v>11562</v>
      </c>
      <c r="M893" s="15">
        <v>1</v>
      </c>
      <c r="N893" s="15" t="s">
        <v>11222</v>
      </c>
      <c r="O893" s="15"/>
      <c r="P893" s="15"/>
      <c r="Q893" s="15"/>
      <c r="R893" s="15"/>
      <c r="S893" s="15"/>
      <c r="T893" s="15">
        <v>0</v>
      </c>
      <c r="U893" s="15"/>
      <c r="V893" s="15"/>
      <c r="W893" s="15"/>
      <c r="X893" s="15"/>
      <c r="Y893" s="15"/>
      <c r="Z893" s="15"/>
    </row>
    <row r="894" spans="1:26" x14ac:dyDescent="0.25">
      <c r="A894" s="15" t="s">
        <v>15039</v>
      </c>
      <c r="B894" s="15">
        <v>893</v>
      </c>
      <c r="C894" s="15" t="s">
        <v>11277</v>
      </c>
      <c r="D894" s="15" t="s">
        <v>11277</v>
      </c>
      <c r="E894" s="15" t="s">
        <v>11</v>
      </c>
      <c r="F894" s="15" t="s">
        <v>1551</v>
      </c>
      <c r="G894" s="15" t="s">
        <v>11590</v>
      </c>
      <c r="H894" s="15">
        <v>8</v>
      </c>
      <c r="I894" s="15">
        <v>10</v>
      </c>
      <c r="J894" s="15">
        <v>60</v>
      </c>
      <c r="K894" s="15" t="str">
        <f t="shared" si="13"/>
        <v>dragonspit</v>
      </c>
      <c r="L894" s="15" t="s">
        <v>11564</v>
      </c>
      <c r="M894" s="15">
        <v>1</v>
      </c>
      <c r="N894" s="15" t="s">
        <v>11222</v>
      </c>
      <c r="O894" s="15"/>
      <c r="P894" s="15"/>
      <c r="Q894" s="15"/>
      <c r="R894" s="15"/>
      <c r="S894" s="15"/>
      <c r="T894" s="15">
        <v>1</v>
      </c>
      <c r="U894" s="15"/>
      <c r="V894" s="15"/>
      <c r="W894" s="15"/>
      <c r="X894" s="15"/>
      <c r="Y894" s="15"/>
      <c r="Z894" s="15"/>
    </row>
    <row r="895" spans="1:26" x14ac:dyDescent="0.25">
      <c r="A895" s="15" t="s">
        <v>15040</v>
      </c>
      <c r="B895" s="15">
        <v>894</v>
      </c>
      <c r="C895" s="15" t="s">
        <v>11277</v>
      </c>
      <c r="D895" s="15" t="s">
        <v>11277</v>
      </c>
      <c r="E895" s="15" t="s">
        <v>102</v>
      </c>
      <c r="F895" s="15" t="s">
        <v>1551</v>
      </c>
      <c r="G895" s="15" t="s">
        <v>11591</v>
      </c>
      <c r="H895" s="15">
        <v>8</v>
      </c>
      <c r="I895" s="15">
        <v>10</v>
      </c>
      <c r="J895" s="15">
        <v>80</v>
      </c>
      <c r="K895" s="15" t="str">
        <f t="shared" si="13"/>
        <v>dragonspit</v>
      </c>
      <c r="L895" s="15" t="s">
        <v>11592</v>
      </c>
      <c r="M895" s="15">
        <v>1</v>
      </c>
      <c r="N895" s="15" t="s">
        <v>11222</v>
      </c>
      <c r="O895" s="15"/>
      <c r="P895" s="15"/>
      <c r="Q895" s="15"/>
      <c r="R895" s="15"/>
      <c r="S895" s="15"/>
      <c r="T895" s="15">
        <v>0</v>
      </c>
      <c r="U895" s="15"/>
      <c r="V895" s="15"/>
      <c r="W895" s="15"/>
      <c r="X895" s="15"/>
      <c r="Y895" s="15"/>
      <c r="Z895" s="15"/>
    </row>
    <row r="896" spans="1:26" x14ac:dyDescent="0.25">
      <c r="A896" s="15" t="s">
        <v>15041</v>
      </c>
      <c r="B896" s="15">
        <v>895</v>
      </c>
      <c r="C896" s="15" t="s">
        <v>11277</v>
      </c>
      <c r="D896" s="15" t="s">
        <v>11277</v>
      </c>
      <c r="E896" s="15" t="s">
        <v>11</v>
      </c>
      <c r="F896" s="15" t="s">
        <v>1551</v>
      </c>
      <c r="G896" s="15" t="s">
        <v>11593</v>
      </c>
      <c r="H896" s="15">
        <v>8</v>
      </c>
      <c r="I896" s="15">
        <v>10</v>
      </c>
      <c r="J896" s="15">
        <v>60</v>
      </c>
      <c r="K896" s="15" t="str">
        <f t="shared" si="13"/>
        <v>dragonspit</v>
      </c>
      <c r="L896" s="15" t="s">
        <v>11564</v>
      </c>
      <c r="M896" s="15">
        <v>3</v>
      </c>
      <c r="N896" s="15" t="s">
        <v>11222</v>
      </c>
      <c r="O896" s="15"/>
      <c r="P896" s="15"/>
      <c r="Q896" s="15"/>
      <c r="R896" s="15"/>
      <c r="S896" s="15"/>
      <c r="T896" s="15">
        <v>0</v>
      </c>
      <c r="U896" s="15"/>
      <c r="V896" s="15"/>
      <c r="W896" s="15"/>
      <c r="X896" s="15"/>
      <c r="Y896" s="15"/>
      <c r="Z896" s="15"/>
    </row>
    <row r="897" spans="1:26" x14ac:dyDescent="0.25">
      <c r="A897" s="15" t="s">
        <v>15042</v>
      </c>
      <c r="B897" s="15">
        <v>896</v>
      </c>
      <c r="C897" s="15" t="s">
        <v>11277</v>
      </c>
      <c r="D897" s="15" t="s">
        <v>11277</v>
      </c>
      <c r="E897" s="15" t="s">
        <v>11</v>
      </c>
      <c r="F897" s="15" t="s">
        <v>15043</v>
      </c>
      <c r="G897" s="15" t="s">
        <v>11534</v>
      </c>
      <c r="H897" s="15">
        <v>21</v>
      </c>
      <c r="I897" s="15">
        <v>11</v>
      </c>
      <c r="J897" s="15">
        <v>35</v>
      </c>
      <c r="K897" s="15" t="str">
        <f t="shared" si="13"/>
        <v>southbanepool</v>
      </c>
      <c r="L897" s="15" t="s">
        <v>11355</v>
      </c>
      <c r="M897" s="15">
        <v>1</v>
      </c>
      <c r="N897" s="15" t="s">
        <v>11222</v>
      </c>
      <c r="O897" s="15"/>
      <c r="P897" s="15"/>
      <c r="Q897" s="15"/>
      <c r="R897" s="15"/>
      <c r="S897" s="15"/>
      <c r="T897" s="15">
        <v>0</v>
      </c>
      <c r="U897" s="15"/>
      <c r="V897" s="15"/>
      <c r="W897" s="15"/>
      <c r="X897" s="15"/>
      <c r="Y897" s="15"/>
      <c r="Z897" s="15"/>
    </row>
    <row r="898" spans="1:26" x14ac:dyDescent="0.25">
      <c r="A898" s="15" t="s">
        <v>15044</v>
      </c>
      <c r="B898" s="15">
        <v>897</v>
      </c>
      <c r="C898" s="15" t="s">
        <v>11277</v>
      </c>
      <c r="D898" s="15" t="s">
        <v>11277</v>
      </c>
      <c r="E898" s="15" t="s">
        <v>11</v>
      </c>
      <c r="F898" s="15" t="s">
        <v>15043</v>
      </c>
      <c r="G898" s="15" t="s">
        <v>11572</v>
      </c>
      <c r="H898" s="15">
        <v>21</v>
      </c>
      <c r="I898" s="15">
        <v>11</v>
      </c>
      <c r="J898" s="15">
        <v>51</v>
      </c>
      <c r="K898" s="15" t="str">
        <f t="shared" ref="K898:K961" si="14">LOWER(SUBSTITUTE(SUBSTITUTE(SUBSTITUTE(SUBSTITUTE(SUBSTITUTE(F898," ",""),"(",""),")",""),"'",""),"-",""))</f>
        <v>southbanepool</v>
      </c>
      <c r="L898" s="15" t="s">
        <v>11573</v>
      </c>
      <c r="M898" s="15">
        <v>1</v>
      </c>
      <c r="N898" s="15" t="s">
        <v>11222</v>
      </c>
      <c r="O898" s="15"/>
      <c r="P898" s="15"/>
      <c r="Q898" s="15"/>
      <c r="R898" s="15"/>
      <c r="S898" s="15"/>
      <c r="T898" s="15">
        <v>0</v>
      </c>
      <c r="U898" s="15"/>
      <c r="V898" s="15"/>
      <c r="W898" s="15"/>
      <c r="X898" s="15"/>
      <c r="Y898" s="15"/>
      <c r="Z898" s="15"/>
    </row>
    <row r="899" spans="1:26" x14ac:dyDescent="0.25">
      <c r="A899" s="15" t="s">
        <v>15045</v>
      </c>
      <c r="B899" s="15">
        <v>898</v>
      </c>
      <c r="C899" s="15" t="s">
        <v>11277</v>
      </c>
      <c r="D899" s="15" t="s">
        <v>11277</v>
      </c>
      <c r="E899" s="15" t="s">
        <v>11</v>
      </c>
      <c r="F899" s="15" t="s">
        <v>15043</v>
      </c>
      <c r="G899" s="15" t="s">
        <v>11574</v>
      </c>
      <c r="H899" s="15">
        <v>21</v>
      </c>
      <c r="I899" s="15">
        <v>11</v>
      </c>
      <c r="J899" s="15">
        <v>51</v>
      </c>
      <c r="K899" s="15" t="str">
        <f t="shared" si="14"/>
        <v>southbanepool</v>
      </c>
      <c r="L899" s="15" t="s">
        <v>11562</v>
      </c>
      <c r="M899" s="15">
        <v>1</v>
      </c>
      <c r="N899" s="15" t="s">
        <v>11222</v>
      </c>
      <c r="O899" s="15"/>
      <c r="P899" s="15"/>
      <c r="Q899" s="15"/>
      <c r="R899" s="15"/>
      <c r="S899" s="15"/>
      <c r="T899" s="15">
        <v>0</v>
      </c>
      <c r="U899" s="15"/>
      <c r="V899" s="15"/>
      <c r="W899" s="15"/>
      <c r="X899" s="15"/>
      <c r="Y899" s="15"/>
      <c r="Z899" s="15"/>
    </row>
    <row r="900" spans="1:26" x14ac:dyDescent="0.25">
      <c r="A900" s="15" t="s">
        <v>15046</v>
      </c>
      <c r="B900" s="15">
        <v>899</v>
      </c>
      <c r="C900" s="15" t="s">
        <v>11277</v>
      </c>
      <c r="D900" s="15" t="s">
        <v>11277</v>
      </c>
      <c r="E900" s="15" t="s">
        <v>11</v>
      </c>
      <c r="F900" s="15" t="s">
        <v>15043</v>
      </c>
      <c r="G900" s="15" t="s">
        <v>11594</v>
      </c>
      <c r="H900" s="15">
        <v>21</v>
      </c>
      <c r="I900" s="15">
        <v>11</v>
      </c>
      <c r="J900" s="15">
        <v>52</v>
      </c>
      <c r="K900" s="15" t="str">
        <f t="shared" si="14"/>
        <v>southbanepool</v>
      </c>
      <c r="L900" s="15" t="s">
        <v>11564</v>
      </c>
      <c r="M900" s="15">
        <v>1</v>
      </c>
      <c r="N900" s="15" t="s">
        <v>11222</v>
      </c>
      <c r="O900" s="15"/>
      <c r="P900" s="15"/>
      <c r="Q900" s="15" t="s">
        <v>11574</v>
      </c>
      <c r="R900" s="15"/>
      <c r="S900" s="15"/>
      <c r="T900" s="15">
        <v>0</v>
      </c>
      <c r="U900" s="15"/>
      <c r="V900" s="15"/>
      <c r="W900" s="15"/>
      <c r="X900" s="15"/>
      <c r="Y900" s="15"/>
      <c r="Z900" s="15"/>
    </row>
    <row r="901" spans="1:26" x14ac:dyDescent="0.25">
      <c r="A901" s="15" t="s">
        <v>15047</v>
      </c>
      <c r="B901" s="15">
        <v>900</v>
      </c>
      <c r="C901" s="15" t="s">
        <v>11277</v>
      </c>
      <c r="D901" s="15" t="s">
        <v>11277</v>
      </c>
      <c r="E901" s="15" t="s">
        <v>11</v>
      </c>
      <c r="F901" s="15" t="s">
        <v>15043</v>
      </c>
      <c r="G901" s="15" t="s">
        <v>11595</v>
      </c>
      <c r="H901" s="15">
        <v>21</v>
      </c>
      <c r="I901" s="15">
        <v>11</v>
      </c>
      <c r="J901" s="15">
        <v>54</v>
      </c>
      <c r="K901" s="15" t="str">
        <f t="shared" si="14"/>
        <v>southbanepool</v>
      </c>
      <c r="L901" s="15" t="s">
        <v>11564</v>
      </c>
      <c r="M901" s="15">
        <v>2</v>
      </c>
      <c r="N901" s="15" t="s">
        <v>11223</v>
      </c>
      <c r="O901" s="15"/>
      <c r="P901" s="15"/>
      <c r="Q901" s="15" t="s">
        <v>11534</v>
      </c>
      <c r="R901" s="15"/>
      <c r="S901" s="15"/>
      <c r="T901" s="15">
        <v>0</v>
      </c>
      <c r="U901" s="15"/>
      <c r="V901" s="15"/>
      <c r="W901" s="15"/>
      <c r="X901" s="15"/>
      <c r="Y901" s="15"/>
      <c r="Z901" s="15"/>
    </row>
    <row r="902" spans="1:26" x14ac:dyDescent="0.25">
      <c r="A902" s="15" t="s">
        <v>15048</v>
      </c>
      <c r="B902" s="15">
        <v>901</v>
      </c>
      <c r="C902" s="15" t="s">
        <v>11277</v>
      </c>
      <c r="D902" s="15" t="s">
        <v>11277</v>
      </c>
      <c r="E902" s="15" t="s">
        <v>11</v>
      </c>
      <c r="F902" s="15" t="s">
        <v>15043</v>
      </c>
      <c r="G902" s="15" t="s">
        <v>11596</v>
      </c>
      <c r="H902" s="15">
        <v>21</v>
      </c>
      <c r="I902" s="15">
        <v>11</v>
      </c>
      <c r="J902" s="15">
        <v>53</v>
      </c>
      <c r="K902" s="15" t="str">
        <f t="shared" si="14"/>
        <v>southbanepool</v>
      </c>
      <c r="L902" s="15" t="s">
        <v>11564</v>
      </c>
      <c r="M902" s="15">
        <v>2</v>
      </c>
      <c r="N902" s="15" t="s">
        <v>11223</v>
      </c>
      <c r="O902" s="15"/>
      <c r="P902" s="15"/>
      <c r="Q902" s="15" t="s">
        <v>11534</v>
      </c>
      <c r="R902" s="15"/>
      <c r="S902" s="15"/>
      <c r="T902" s="15">
        <v>0</v>
      </c>
      <c r="U902" s="15"/>
      <c r="V902" s="15"/>
      <c r="W902" s="15"/>
      <c r="X902" s="15"/>
      <c r="Y902" s="15"/>
      <c r="Z902" s="15"/>
    </row>
    <row r="903" spans="1:26" x14ac:dyDescent="0.25">
      <c r="A903" s="15" t="s">
        <v>15049</v>
      </c>
      <c r="B903" s="15">
        <v>902</v>
      </c>
      <c r="C903" s="15" t="s">
        <v>11277</v>
      </c>
      <c r="D903" s="15" t="s">
        <v>11277</v>
      </c>
      <c r="E903" s="15" t="s">
        <v>11</v>
      </c>
      <c r="F903" s="15" t="s">
        <v>15043</v>
      </c>
      <c r="G903" s="15" t="s">
        <v>11597</v>
      </c>
      <c r="H903" s="15">
        <v>21</v>
      </c>
      <c r="I903" s="15">
        <v>11</v>
      </c>
      <c r="J903" s="15">
        <v>52</v>
      </c>
      <c r="K903" s="15" t="str">
        <f t="shared" si="14"/>
        <v>southbanepool</v>
      </c>
      <c r="L903" s="15" t="s">
        <v>11564</v>
      </c>
      <c r="M903" s="15">
        <v>2</v>
      </c>
      <c r="N903" s="15" t="s">
        <v>11223</v>
      </c>
      <c r="O903" s="15"/>
      <c r="P903" s="15"/>
      <c r="Q903" s="15" t="s">
        <v>11534</v>
      </c>
      <c r="R903" s="15" t="s">
        <v>11574</v>
      </c>
      <c r="S903" s="15"/>
      <c r="T903" s="15">
        <v>0</v>
      </c>
      <c r="U903" s="15"/>
      <c r="V903" s="15"/>
      <c r="W903" s="15"/>
      <c r="X903" s="15"/>
      <c r="Y903" s="15"/>
      <c r="Z903" s="15"/>
    </row>
    <row r="904" spans="1:26" x14ac:dyDescent="0.25">
      <c r="A904" s="15" t="s">
        <v>15050</v>
      </c>
      <c r="B904" s="15">
        <v>903</v>
      </c>
      <c r="C904" s="15" t="s">
        <v>11277</v>
      </c>
      <c r="D904" s="15" t="s">
        <v>11277</v>
      </c>
      <c r="E904" s="15" t="s">
        <v>11</v>
      </c>
      <c r="F904" s="15" t="s">
        <v>15043</v>
      </c>
      <c r="G904" s="15" t="s">
        <v>11598</v>
      </c>
      <c r="H904" s="15">
        <v>21</v>
      </c>
      <c r="I904" s="15">
        <v>11</v>
      </c>
      <c r="J904" s="15">
        <v>60</v>
      </c>
      <c r="K904" s="15" t="str">
        <f t="shared" si="14"/>
        <v>southbanepool</v>
      </c>
      <c r="L904" s="15" t="s">
        <v>11564</v>
      </c>
      <c r="M904" s="15">
        <v>3</v>
      </c>
      <c r="N904" s="15" t="s">
        <v>11223</v>
      </c>
      <c r="O904" s="15"/>
      <c r="P904" s="15"/>
      <c r="Q904" s="15"/>
      <c r="R904" s="15"/>
      <c r="S904" s="15"/>
      <c r="T904" s="15">
        <v>1</v>
      </c>
      <c r="U904" s="15"/>
      <c r="V904" s="15"/>
      <c r="W904" s="15"/>
      <c r="X904" s="15"/>
      <c r="Y904" s="15"/>
      <c r="Z904" s="15"/>
    </row>
    <row r="905" spans="1:26" x14ac:dyDescent="0.25">
      <c r="A905" s="15" t="s">
        <v>15051</v>
      </c>
      <c r="B905" s="15">
        <v>904</v>
      </c>
      <c r="C905" s="15" t="s">
        <v>11277</v>
      </c>
      <c r="D905" s="15" t="s">
        <v>11277</v>
      </c>
      <c r="E905" s="15" t="s">
        <v>11</v>
      </c>
      <c r="F905" s="15" t="s">
        <v>15043</v>
      </c>
      <c r="G905" s="15" t="s">
        <v>11599</v>
      </c>
      <c r="H905" s="15">
        <v>21</v>
      </c>
      <c r="I905" s="15">
        <v>11</v>
      </c>
      <c r="J905" s="15">
        <v>60</v>
      </c>
      <c r="K905" s="15" t="str">
        <f t="shared" si="14"/>
        <v>southbanepool</v>
      </c>
      <c r="L905" s="15" t="s">
        <v>11564</v>
      </c>
      <c r="M905" s="15">
        <v>3</v>
      </c>
      <c r="N905" s="15" t="s">
        <v>11223</v>
      </c>
      <c r="O905" s="15"/>
      <c r="P905" s="15"/>
      <c r="Q905" s="15"/>
      <c r="R905" s="15"/>
      <c r="S905" s="15"/>
      <c r="T905" s="15">
        <v>1</v>
      </c>
      <c r="U905" s="15"/>
      <c r="V905" s="15"/>
      <c r="W905" s="15"/>
      <c r="X905" s="15"/>
      <c r="Y905" s="15"/>
      <c r="Z905" s="15"/>
    </row>
    <row r="906" spans="1:26" x14ac:dyDescent="0.25">
      <c r="A906" s="15" t="s">
        <v>15052</v>
      </c>
      <c r="B906" s="15">
        <v>905</v>
      </c>
      <c r="C906" s="15" t="s">
        <v>11277</v>
      </c>
      <c r="D906" s="15" t="s">
        <v>11277</v>
      </c>
      <c r="E906" s="15" t="s">
        <v>11</v>
      </c>
      <c r="F906" s="15" t="s">
        <v>15043</v>
      </c>
      <c r="G906" s="15" t="s">
        <v>11600</v>
      </c>
      <c r="H906" s="15">
        <v>21</v>
      </c>
      <c r="I906" s="15">
        <v>11</v>
      </c>
      <c r="J906" s="15">
        <v>60</v>
      </c>
      <c r="K906" s="15" t="str">
        <f t="shared" si="14"/>
        <v>southbanepool</v>
      </c>
      <c r="L906" s="15" t="s">
        <v>11564</v>
      </c>
      <c r="M906" s="15">
        <v>3</v>
      </c>
      <c r="N906" s="15" t="s">
        <v>11223</v>
      </c>
      <c r="O906" s="15"/>
      <c r="P906" s="15"/>
      <c r="Q906" s="15"/>
      <c r="R906" s="15"/>
      <c r="S906" s="15"/>
      <c r="T906" s="15">
        <v>0</v>
      </c>
      <c r="U906" s="15" t="s">
        <v>14981</v>
      </c>
      <c r="V906" s="15"/>
      <c r="W906" s="15"/>
      <c r="X906" s="15" t="s">
        <v>6080</v>
      </c>
      <c r="Y906" s="15"/>
      <c r="Z906" s="15"/>
    </row>
    <row r="907" spans="1:26" x14ac:dyDescent="0.25">
      <c r="A907" s="15" t="s">
        <v>15053</v>
      </c>
      <c r="B907" s="15">
        <v>906</v>
      </c>
      <c r="C907" s="15" t="s">
        <v>11277</v>
      </c>
      <c r="D907" s="15" t="s">
        <v>11277</v>
      </c>
      <c r="E907" s="15" t="s">
        <v>11</v>
      </c>
      <c r="F907" s="15" t="s">
        <v>15054</v>
      </c>
      <c r="G907" s="15" t="s">
        <v>11534</v>
      </c>
      <c r="H907" s="15">
        <v>14</v>
      </c>
      <c r="I907" s="15">
        <v>15</v>
      </c>
      <c r="J907" s="15">
        <v>35</v>
      </c>
      <c r="K907" s="15" t="str">
        <f t="shared" si="14"/>
        <v>ashpool</v>
      </c>
      <c r="L907" s="15" t="s">
        <v>11323</v>
      </c>
      <c r="M907" s="15">
        <v>1</v>
      </c>
      <c r="N907" s="15" t="s">
        <v>11222</v>
      </c>
      <c r="O907" s="15"/>
      <c r="P907" s="15"/>
      <c r="Q907" s="15"/>
      <c r="R907" s="15"/>
      <c r="S907" s="15"/>
      <c r="T907" s="15">
        <v>0</v>
      </c>
      <c r="U907" s="15"/>
      <c r="V907" s="15"/>
      <c r="W907" s="15"/>
      <c r="X907" s="15"/>
      <c r="Y907" s="15"/>
      <c r="Z907" s="15"/>
    </row>
    <row r="908" spans="1:26" x14ac:dyDescent="0.25">
      <c r="A908" s="15" t="s">
        <v>15055</v>
      </c>
      <c r="B908" s="15">
        <v>907</v>
      </c>
      <c r="C908" s="15" t="s">
        <v>11277</v>
      </c>
      <c r="D908" s="15" t="s">
        <v>11277</v>
      </c>
      <c r="E908" s="15" t="s">
        <v>11</v>
      </c>
      <c r="F908" s="15" t="s">
        <v>15054</v>
      </c>
      <c r="G908" s="15" t="s">
        <v>11574</v>
      </c>
      <c r="H908" s="15">
        <v>14</v>
      </c>
      <c r="I908" s="15">
        <v>15</v>
      </c>
      <c r="J908" s="15">
        <v>51</v>
      </c>
      <c r="K908" s="15" t="str">
        <f t="shared" si="14"/>
        <v>ashpool</v>
      </c>
      <c r="L908" s="15" t="s">
        <v>11562</v>
      </c>
      <c r="M908" s="15">
        <v>1</v>
      </c>
      <c r="N908" s="15" t="s">
        <v>11222</v>
      </c>
      <c r="O908" s="15"/>
      <c r="P908" s="15"/>
      <c r="Q908" s="15"/>
      <c r="R908" s="15"/>
      <c r="S908" s="15"/>
      <c r="T908" s="15">
        <v>0</v>
      </c>
      <c r="U908" s="15"/>
      <c r="V908" s="15"/>
      <c r="W908" s="15"/>
      <c r="X908" s="15"/>
      <c r="Y908" s="15"/>
      <c r="Z908" s="15"/>
    </row>
    <row r="909" spans="1:26" x14ac:dyDescent="0.25">
      <c r="A909" s="15" t="s">
        <v>15056</v>
      </c>
      <c r="B909" s="15">
        <v>908</v>
      </c>
      <c r="C909" s="15" t="s">
        <v>11277</v>
      </c>
      <c r="D909" s="15" t="s">
        <v>11277</v>
      </c>
      <c r="E909" s="15" t="s">
        <v>11</v>
      </c>
      <c r="F909" s="15" t="s">
        <v>15054</v>
      </c>
      <c r="G909" s="15" t="s">
        <v>11597</v>
      </c>
      <c r="H909" s="15">
        <v>14</v>
      </c>
      <c r="I909" s="15">
        <v>15</v>
      </c>
      <c r="J909" s="15">
        <v>52</v>
      </c>
      <c r="K909" s="15" t="str">
        <f t="shared" si="14"/>
        <v>ashpool</v>
      </c>
      <c r="L909" s="15" t="s">
        <v>11602</v>
      </c>
      <c r="M909" s="15">
        <v>2</v>
      </c>
      <c r="N909" s="15" t="s">
        <v>11223</v>
      </c>
      <c r="O909" s="15"/>
      <c r="P909" s="15"/>
      <c r="Q909" s="15" t="s">
        <v>11534</v>
      </c>
      <c r="R909" s="15" t="s">
        <v>11574</v>
      </c>
      <c r="S909" s="15"/>
      <c r="T909" s="15">
        <v>0</v>
      </c>
      <c r="U909" s="15"/>
      <c r="V909" s="15"/>
      <c r="W909" s="15"/>
      <c r="X909" s="15"/>
      <c r="Y909" s="15"/>
      <c r="Z909" s="15"/>
    </row>
    <row r="910" spans="1:26" x14ac:dyDescent="0.25">
      <c r="A910" s="15" t="s">
        <v>15057</v>
      </c>
      <c r="B910" s="15">
        <v>909</v>
      </c>
      <c r="C910" s="15" t="s">
        <v>11277</v>
      </c>
      <c r="D910" s="15" t="s">
        <v>11277</v>
      </c>
      <c r="E910" s="15" t="s">
        <v>11</v>
      </c>
      <c r="F910" s="15" t="s">
        <v>15054</v>
      </c>
      <c r="G910" s="15" t="s">
        <v>11594</v>
      </c>
      <c r="H910" s="15">
        <v>14</v>
      </c>
      <c r="I910" s="15">
        <v>15</v>
      </c>
      <c r="J910" s="15">
        <v>52</v>
      </c>
      <c r="K910" s="15" t="str">
        <f t="shared" si="14"/>
        <v>ashpool</v>
      </c>
      <c r="L910" s="15" t="s">
        <v>11564</v>
      </c>
      <c r="M910" s="15">
        <v>1</v>
      </c>
      <c r="N910" s="15" t="s">
        <v>11222</v>
      </c>
      <c r="O910" s="15"/>
      <c r="P910" s="15"/>
      <c r="Q910" s="15"/>
      <c r="R910" s="15"/>
      <c r="S910" s="15"/>
      <c r="T910" s="15">
        <v>0</v>
      </c>
      <c r="U910" s="15"/>
      <c r="V910" s="15"/>
      <c r="W910" s="15"/>
      <c r="X910" s="15"/>
      <c r="Y910" s="15"/>
      <c r="Z910" s="15"/>
    </row>
    <row r="911" spans="1:26" x14ac:dyDescent="0.25">
      <c r="A911" s="15" t="s">
        <v>15058</v>
      </c>
      <c r="B911" s="15">
        <v>910</v>
      </c>
      <c r="C911" s="15" t="s">
        <v>11277</v>
      </c>
      <c r="D911" s="15" t="s">
        <v>11277</v>
      </c>
      <c r="E911" s="15" t="s">
        <v>11</v>
      </c>
      <c r="F911" s="15" t="s">
        <v>15054</v>
      </c>
      <c r="G911" s="15" t="s">
        <v>11601</v>
      </c>
      <c r="H911" s="15">
        <v>14</v>
      </c>
      <c r="I911" s="15">
        <v>15</v>
      </c>
      <c r="J911" s="15">
        <v>55</v>
      </c>
      <c r="K911" s="15" t="str">
        <f t="shared" si="14"/>
        <v>ashpool</v>
      </c>
      <c r="L911" s="15" t="s">
        <v>11602</v>
      </c>
      <c r="M911" s="15">
        <v>2</v>
      </c>
      <c r="N911" s="15" t="s">
        <v>11223</v>
      </c>
      <c r="O911" s="15"/>
      <c r="P911" s="15"/>
      <c r="Q911" s="15" t="s">
        <v>11534</v>
      </c>
      <c r="R911" s="15"/>
      <c r="S911" s="15"/>
      <c r="T911" s="15">
        <v>0</v>
      </c>
      <c r="U911" s="15"/>
      <c r="V911" s="15"/>
      <c r="W911" s="15"/>
      <c r="X911" s="15"/>
      <c r="Y911" s="15"/>
      <c r="Z911" s="15"/>
    </row>
    <row r="912" spans="1:26" x14ac:dyDescent="0.25">
      <c r="A912" s="15" t="s">
        <v>15059</v>
      </c>
      <c r="B912" s="15">
        <v>911</v>
      </c>
      <c r="C912" s="15" t="s">
        <v>11277</v>
      </c>
      <c r="D912" s="15" t="s">
        <v>11277</v>
      </c>
      <c r="E912" s="15" t="s">
        <v>11</v>
      </c>
      <c r="F912" s="15" t="s">
        <v>15054</v>
      </c>
      <c r="G912" s="15" t="s">
        <v>11603</v>
      </c>
      <c r="H912" s="15">
        <v>14</v>
      </c>
      <c r="I912" s="15">
        <v>15</v>
      </c>
      <c r="J912" s="15">
        <v>59</v>
      </c>
      <c r="K912" s="15" t="str">
        <f t="shared" si="14"/>
        <v>ashpool</v>
      </c>
      <c r="L912" s="15" t="s">
        <v>14088</v>
      </c>
      <c r="M912" s="15">
        <v>3</v>
      </c>
      <c r="N912" s="15" t="s">
        <v>11223</v>
      </c>
      <c r="O912" s="15"/>
      <c r="P912" s="15"/>
      <c r="Q912" s="15" t="s">
        <v>11574</v>
      </c>
      <c r="R912" s="15" t="s">
        <v>11534</v>
      </c>
      <c r="S912" s="15"/>
      <c r="T912" s="15">
        <v>0</v>
      </c>
      <c r="U912" s="15"/>
      <c r="V912" s="15"/>
      <c r="W912" s="15"/>
      <c r="X912" s="15"/>
      <c r="Y912" s="15"/>
      <c r="Z912" s="15"/>
    </row>
    <row r="913" spans="1:26" x14ac:dyDescent="0.25">
      <c r="A913" s="15" t="s">
        <v>15060</v>
      </c>
      <c r="B913" s="15">
        <v>912</v>
      </c>
      <c r="C913" s="15" t="s">
        <v>11277</v>
      </c>
      <c r="D913" s="15" t="s">
        <v>11277</v>
      </c>
      <c r="E913" s="15" t="s">
        <v>73</v>
      </c>
      <c r="F913" s="15" t="s">
        <v>15054</v>
      </c>
      <c r="G913" s="15" t="s">
        <v>11604</v>
      </c>
      <c r="H913" s="15">
        <v>14</v>
      </c>
      <c r="I913" s="15">
        <v>15</v>
      </c>
      <c r="J913" s="15">
        <v>66</v>
      </c>
      <c r="K913" s="15" t="str">
        <f t="shared" si="14"/>
        <v>ashpool</v>
      </c>
      <c r="L913" s="15" t="s">
        <v>11560</v>
      </c>
      <c r="M913" s="15">
        <v>1</v>
      </c>
      <c r="N913" s="15" t="s">
        <v>11222</v>
      </c>
      <c r="O913" s="15"/>
      <c r="P913" s="15"/>
      <c r="Q913" s="15"/>
      <c r="R913" s="15"/>
      <c r="S913" s="15"/>
      <c r="T913" s="15">
        <v>0</v>
      </c>
      <c r="U913" s="15"/>
      <c r="V913" s="15"/>
      <c r="W913" s="15"/>
      <c r="X913" s="15"/>
      <c r="Y913" s="15"/>
      <c r="Z913" s="15"/>
    </row>
    <row r="914" spans="1:26" x14ac:dyDescent="0.25">
      <c r="A914" s="15" t="s">
        <v>15061</v>
      </c>
      <c r="B914" s="15">
        <v>913</v>
      </c>
      <c r="C914" s="15" t="s">
        <v>11277</v>
      </c>
      <c r="D914" s="15" t="s">
        <v>11277</v>
      </c>
      <c r="E914" s="15" t="s">
        <v>11</v>
      </c>
      <c r="F914" s="15" t="s">
        <v>15054</v>
      </c>
      <c r="G914" s="15" t="s">
        <v>11605</v>
      </c>
      <c r="H914" s="15">
        <v>14</v>
      </c>
      <c r="I914" s="15">
        <v>15</v>
      </c>
      <c r="J914" s="15">
        <v>60</v>
      </c>
      <c r="K914" s="15" t="str">
        <f t="shared" si="14"/>
        <v>ashpool</v>
      </c>
      <c r="L914" s="15" t="s">
        <v>11564</v>
      </c>
      <c r="M914" s="15">
        <v>3</v>
      </c>
      <c r="N914" s="15" t="s">
        <v>11223</v>
      </c>
      <c r="O914" s="15"/>
      <c r="P914" s="15"/>
      <c r="Q914" s="15"/>
      <c r="R914" s="15"/>
      <c r="S914" s="15"/>
      <c r="T914" s="15">
        <v>0</v>
      </c>
      <c r="U914" s="15"/>
      <c r="V914" s="15"/>
      <c r="W914" s="15"/>
      <c r="X914" s="15"/>
      <c r="Y914" s="15"/>
      <c r="Z914" s="15"/>
    </row>
    <row r="915" spans="1:26" x14ac:dyDescent="0.25">
      <c r="A915" s="15" t="s">
        <v>15062</v>
      </c>
      <c r="B915" s="15">
        <v>914</v>
      </c>
      <c r="C915" s="15" t="s">
        <v>11277</v>
      </c>
      <c r="D915" s="15" t="s">
        <v>11277</v>
      </c>
      <c r="E915" s="15" t="s">
        <v>11</v>
      </c>
      <c r="F915" s="15" t="s">
        <v>15063</v>
      </c>
      <c r="G915" s="15" t="s">
        <v>11597</v>
      </c>
      <c r="H915" s="15">
        <v>13</v>
      </c>
      <c r="I915" s="15">
        <v>8</v>
      </c>
      <c r="J915" s="15">
        <v>52</v>
      </c>
      <c r="K915" s="15" t="str">
        <f t="shared" si="14"/>
        <v>westbanepool</v>
      </c>
      <c r="L915" s="15" t="s">
        <v>11564</v>
      </c>
      <c r="M915" s="15">
        <v>2</v>
      </c>
      <c r="N915" s="15" t="s">
        <v>11223</v>
      </c>
      <c r="O915" s="15"/>
      <c r="P915" s="15"/>
      <c r="Q915" s="15" t="s">
        <v>11534</v>
      </c>
      <c r="R915" s="15" t="s">
        <v>11574</v>
      </c>
      <c r="S915" s="15"/>
      <c r="T915" s="15">
        <v>0</v>
      </c>
      <c r="U915" s="15"/>
      <c r="V915" s="15"/>
      <c r="W915" s="15"/>
      <c r="X915" s="15"/>
      <c r="Y915" s="15"/>
      <c r="Z915" s="15"/>
    </row>
    <row r="916" spans="1:26" x14ac:dyDescent="0.25">
      <c r="A916" s="15" t="s">
        <v>15064</v>
      </c>
      <c r="B916" s="15">
        <v>915</v>
      </c>
      <c r="C916" s="15" t="s">
        <v>11277</v>
      </c>
      <c r="D916" s="15" t="s">
        <v>11277</v>
      </c>
      <c r="E916" s="15" t="s">
        <v>11</v>
      </c>
      <c r="F916" s="15" t="s">
        <v>15063</v>
      </c>
      <c r="G916" s="15" t="s">
        <v>11594</v>
      </c>
      <c r="H916" s="15">
        <v>13</v>
      </c>
      <c r="I916" s="15">
        <v>8</v>
      </c>
      <c r="J916" s="15">
        <v>52</v>
      </c>
      <c r="K916" s="15" t="str">
        <f t="shared" si="14"/>
        <v>westbanepool</v>
      </c>
      <c r="L916" s="15" t="s">
        <v>11564</v>
      </c>
      <c r="M916" s="15">
        <v>1</v>
      </c>
      <c r="N916" s="15" t="s">
        <v>11222</v>
      </c>
      <c r="O916" s="15"/>
      <c r="P916" s="15"/>
      <c r="Q916" s="15"/>
      <c r="R916" s="15"/>
      <c r="S916" s="15"/>
      <c r="T916" s="15">
        <v>0</v>
      </c>
      <c r="U916" s="15"/>
      <c r="V916" s="15"/>
      <c r="W916" s="15"/>
      <c r="X916" s="15"/>
      <c r="Y916" s="15"/>
      <c r="Z916" s="15"/>
    </row>
    <row r="917" spans="1:26" x14ac:dyDescent="0.25">
      <c r="A917" s="15" t="s">
        <v>15065</v>
      </c>
      <c r="B917" s="15">
        <v>916</v>
      </c>
      <c r="C917" s="15" t="s">
        <v>11277</v>
      </c>
      <c r="D917" s="15" t="s">
        <v>11277</v>
      </c>
      <c r="E917" s="15" t="s">
        <v>11</v>
      </c>
      <c r="F917" s="15" t="s">
        <v>15063</v>
      </c>
      <c r="G917" s="15" t="s">
        <v>11574</v>
      </c>
      <c r="H917" s="15">
        <v>13</v>
      </c>
      <c r="I917" s="15">
        <v>8</v>
      </c>
      <c r="J917" s="15">
        <v>51</v>
      </c>
      <c r="K917" s="15" t="str">
        <f t="shared" si="14"/>
        <v>westbanepool</v>
      </c>
      <c r="L917" s="15" t="s">
        <v>11562</v>
      </c>
      <c r="M917" s="15">
        <v>1</v>
      </c>
      <c r="N917" s="15" t="s">
        <v>11222</v>
      </c>
      <c r="O917" s="15"/>
      <c r="P917" s="15"/>
      <c r="Q917" s="15"/>
      <c r="R917" s="15"/>
      <c r="S917" s="15"/>
      <c r="T917" s="15">
        <v>0</v>
      </c>
      <c r="U917" s="15"/>
      <c r="V917" s="15"/>
      <c r="W917" s="15"/>
      <c r="X917" s="15"/>
      <c r="Y917" s="15"/>
      <c r="Z917" s="15"/>
    </row>
    <row r="918" spans="1:26" x14ac:dyDescent="0.25">
      <c r="A918" s="15" t="s">
        <v>15066</v>
      </c>
      <c r="B918" s="15">
        <v>917</v>
      </c>
      <c r="C918" s="15" t="s">
        <v>11277</v>
      </c>
      <c r="D918" s="15" t="s">
        <v>11277</v>
      </c>
      <c r="E918" s="15" t="s">
        <v>11</v>
      </c>
      <c r="F918" s="15" t="s">
        <v>15063</v>
      </c>
      <c r="G918" s="15" t="s">
        <v>11606</v>
      </c>
      <c r="H918" s="15">
        <v>13</v>
      </c>
      <c r="I918" s="15">
        <v>8</v>
      </c>
      <c r="J918" s="15">
        <v>55</v>
      </c>
      <c r="K918" s="15" t="str">
        <f t="shared" si="14"/>
        <v>westbanepool</v>
      </c>
      <c r="L918" s="15" t="s">
        <v>11564</v>
      </c>
      <c r="M918" s="15">
        <v>2</v>
      </c>
      <c r="N918" s="15" t="s">
        <v>11223</v>
      </c>
      <c r="O918" s="15"/>
      <c r="P918" s="15"/>
      <c r="Q918" s="15" t="s">
        <v>11574</v>
      </c>
      <c r="R918" s="15"/>
      <c r="S918" s="15"/>
      <c r="T918" s="15">
        <v>0</v>
      </c>
      <c r="U918" s="15" t="s">
        <v>14981</v>
      </c>
      <c r="V918" s="15" t="s">
        <v>6080</v>
      </c>
      <c r="W918" s="15"/>
      <c r="X918" s="15"/>
      <c r="Y918" s="15"/>
      <c r="Z918" s="15"/>
    </row>
    <row r="919" spans="1:26" x14ac:dyDescent="0.25">
      <c r="A919" s="15" t="s">
        <v>15067</v>
      </c>
      <c r="B919" s="15">
        <v>918</v>
      </c>
      <c r="C919" s="15" t="s">
        <v>11277</v>
      </c>
      <c r="D919" s="15" t="s">
        <v>11277</v>
      </c>
      <c r="E919" s="15" t="s">
        <v>11</v>
      </c>
      <c r="F919" s="15" t="s">
        <v>15063</v>
      </c>
      <c r="G919" s="15" t="s">
        <v>11607</v>
      </c>
      <c r="H919" s="15">
        <v>13</v>
      </c>
      <c r="I919" s="15">
        <v>8</v>
      </c>
      <c r="J919" s="15">
        <v>55</v>
      </c>
      <c r="K919" s="15" t="str">
        <f t="shared" si="14"/>
        <v>westbanepool</v>
      </c>
      <c r="L919" s="15" t="s">
        <v>14088</v>
      </c>
      <c r="M919" s="15">
        <v>2</v>
      </c>
      <c r="N919" s="15" t="s">
        <v>11223</v>
      </c>
      <c r="O919" s="15"/>
      <c r="P919" s="15"/>
      <c r="Q919" s="15" t="s">
        <v>11574</v>
      </c>
      <c r="R919" s="15"/>
      <c r="S919" s="15"/>
      <c r="T919" s="15">
        <v>0</v>
      </c>
      <c r="U919" s="15" t="s">
        <v>14981</v>
      </c>
      <c r="V919" s="15" t="s">
        <v>6080</v>
      </c>
      <c r="W919" s="15"/>
      <c r="X919" s="15"/>
      <c r="Y919" s="15"/>
      <c r="Z919" s="15"/>
    </row>
    <row r="920" spans="1:26" x14ac:dyDescent="0.25">
      <c r="A920" s="15" t="s">
        <v>15068</v>
      </c>
      <c r="B920" s="15">
        <v>919</v>
      </c>
      <c r="C920" s="15" t="s">
        <v>11277</v>
      </c>
      <c r="D920" s="15" t="s">
        <v>11277</v>
      </c>
      <c r="E920" s="15" t="s">
        <v>11</v>
      </c>
      <c r="F920" s="15" t="s">
        <v>15063</v>
      </c>
      <c r="G920" s="15" t="s">
        <v>11608</v>
      </c>
      <c r="H920" s="15">
        <v>13</v>
      </c>
      <c r="I920" s="15">
        <v>8</v>
      </c>
      <c r="J920" s="15">
        <v>60</v>
      </c>
      <c r="K920" s="15" t="str">
        <f t="shared" si="14"/>
        <v>westbanepool</v>
      </c>
      <c r="L920" s="15" t="s">
        <v>11564</v>
      </c>
      <c r="M920" s="15">
        <v>1</v>
      </c>
      <c r="N920" s="15" t="s">
        <v>11222</v>
      </c>
      <c r="O920" s="15"/>
      <c r="P920" s="15"/>
      <c r="Q920" s="15"/>
      <c r="R920" s="15"/>
      <c r="S920" s="15"/>
      <c r="T920" s="15">
        <v>1</v>
      </c>
      <c r="U920" s="15"/>
      <c r="V920" s="15"/>
      <c r="W920" s="15"/>
      <c r="X920" s="15"/>
      <c r="Y920" s="15"/>
      <c r="Z920" s="15"/>
    </row>
    <row r="921" spans="1:26" x14ac:dyDescent="0.25">
      <c r="A921" s="15" t="s">
        <v>15069</v>
      </c>
      <c r="B921" s="15">
        <v>920</v>
      </c>
      <c r="C921" s="15" t="s">
        <v>11277</v>
      </c>
      <c r="D921" s="15" t="s">
        <v>11277</v>
      </c>
      <c r="E921" s="15" t="s">
        <v>73</v>
      </c>
      <c r="F921" s="15" t="s">
        <v>15063</v>
      </c>
      <c r="G921" s="15" t="s">
        <v>11609</v>
      </c>
      <c r="H921" s="15">
        <v>13</v>
      </c>
      <c r="I921" s="15">
        <v>8</v>
      </c>
      <c r="J921" s="15">
        <v>63</v>
      </c>
      <c r="K921" s="15" t="str">
        <f t="shared" si="14"/>
        <v>westbanepool</v>
      </c>
      <c r="L921" s="15" t="s">
        <v>11560</v>
      </c>
      <c r="M921" s="15">
        <v>2</v>
      </c>
      <c r="N921" s="15" t="s">
        <v>11223</v>
      </c>
      <c r="O921" s="15"/>
      <c r="P921" s="15"/>
      <c r="Q921" s="15"/>
      <c r="R921" s="15"/>
      <c r="S921" s="15"/>
      <c r="T921" s="15">
        <v>0</v>
      </c>
      <c r="U921" s="15"/>
      <c r="V921" s="15"/>
      <c r="W921" s="15"/>
      <c r="X921" s="15"/>
      <c r="Y921" s="15"/>
      <c r="Z921" s="15"/>
    </row>
    <row r="922" spans="1:26" x14ac:dyDescent="0.25">
      <c r="A922" s="15" t="s">
        <v>15070</v>
      </c>
      <c r="B922" s="15">
        <v>921</v>
      </c>
      <c r="C922" s="15" t="s">
        <v>11277</v>
      </c>
      <c r="D922" s="15" t="s">
        <v>11277</v>
      </c>
      <c r="E922" s="15" t="s">
        <v>11</v>
      </c>
      <c r="F922" s="15" t="s">
        <v>15063</v>
      </c>
      <c r="G922" s="15" t="s">
        <v>11610</v>
      </c>
      <c r="H922" s="15">
        <v>13</v>
      </c>
      <c r="I922" s="15">
        <v>8</v>
      </c>
      <c r="J922" s="15">
        <v>60</v>
      </c>
      <c r="K922" s="15" t="str">
        <f t="shared" si="14"/>
        <v>westbanepool</v>
      </c>
      <c r="L922" s="15" t="s">
        <v>14088</v>
      </c>
      <c r="M922" s="15">
        <v>3</v>
      </c>
      <c r="N922" s="15" t="s">
        <v>11223</v>
      </c>
      <c r="O922" s="15"/>
      <c r="P922" s="15"/>
      <c r="Q922" s="15" t="s">
        <v>11574</v>
      </c>
      <c r="R922" s="15"/>
      <c r="S922" s="15"/>
      <c r="T922" s="15">
        <v>0</v>
      </c>
      <c r="U922" s="15" t="s">
        <v>6080</v>
      </c>
      <c r="V922" s="15" t="s">
        <v>14981</v>
      </c>
      <c r="W922" s="15"/>
      <c r="X922" s="15"/>
      <c r="Y922" s="15"/>
      <c r="Z922" s="15"/>
    </row>
    <row r="923" spans="1:26" x14ac:dyDescent="0.25">
      <c r="A923" s="15" t="s">
        <v>15071</v>
      </c>
      <c r="B923" s="15">
        <v>922</v>
      </c>
      <c r="C923" s="15" t="s">
        <v>11277</v>
      </c>
      <c r="D923" s="15" t="s">
        <v>11277</v>
      </c>
      <c r="E923" s="15" t="s">
        <v>1067</v>
      </c>
      <c r="F923" s="15" t="s">
        <v>1583</v>
      </c>
      <c r="G923" s="15" t="s">
        <v>11324</v>
      </c>
      <c r="H923" s="15">
        <v>24</v>
      </c>
      <c r="I923" s="15">
        <v>12</v>
      </c>
      <c r="J923" s="15">
        <v>31</v>
      </c>
      <c r="K923" s="15" t="str">
        <f t="shared" si="14"/>
        <v>northsilvertear</v>
      </c>
      <c r="L923" s="15" t="s">
        <v>11308</v>
      </c>
      <c r="M923" s="15">
        <v>1</v>
      </c>
      <c r="N923" s="15" t="s">
        <v>11222</v>
      </c>
      <c r="O923" s="15"/>
      <c r="P923" s="15"/>
      <c r="Q923" s="15"/>
      <c r="R923" s="15"/>
      <c r="S923" s="15"/>
      <c r="T923" s="15">
        <v>0</v>
      </c>
      <c r="U923" s="15"/>
      <c r="V923" s="15"/>
      <c r="W923" s="15"/>
      <c r="X923" s="15"/>
      <c r="Y923" s="15"/>
      <c r="Z923" s="15"/>
    </row>
    <row r="924" spans="1:26" x14ac:dyDescent="0.25">
      <c r="A924" s="15" t="s">
        <v>15072</v>
      </c>
      <c r="B924" s="15">
        <v>923</v>
      </c>
      <c r="C924" s="15" t="s">
        <v>11277</v>
      </c>
      <c r="D924" s="15" t="s">
        <v>11277</v>
      </c>
      <c r="E924" s="15" t="s">
        <v>1067</v>
      </c>
      <c r="F924" s="15" t="s">
        <v>1583</v>
      </c>
      <c r="G924" s="15" t="s">
        <v>11370</v>
      </c>
      <c r="H924" s="15">
        <v>24</v>
      </c>
      <c r="I924" s="15">
        <v>12</v>
      </c>
      <c r="J924" s="15">
        <v>36</v>
      </c>
      <c r="K924" s="15" t="str">
        <f t="shared" si="14"/>
        <v>northsilvertear</v>
      </c>
      <c r="L924" s="15" t="s">
        <v>11355</v>
      </c>
      <c r="M924" s="15">
        <v>1</v>
      </c>
      <c r="N924" s="15" t="s">
        <v>11222</v>
      </c>
      <c r="O924" s="15"/>
      <c r="P924" s="15"/>
      <c r="Q924" s="15"/>
      <c r="R924" s="15"/>
      <c r="S924" s="15"/>
      <c r="T924" s="15">
        <v>0</v>
      </c>
      <c r="U924" s="15"/>
      <c r="V924" s="15"/>
      <c r="W924" s="15"/>
      <c r="X924" s="15"/>
      <c r="Y924" s="15"/>
      <c r="Z924" s="15"/>
    </row>
    <row r="925" spans="1:26" x14ac:dyDescent="0.25">
      <c r="A925" s="15" t="s">
        <v>15073</v>
      </c>
      <c r="B925" s="15">
        <v>924</v>
      </c>
      <c r="C925" s="15" t="s">
        <v>11277</v>
      </c>
      <c r="D925" s="15" t="s">
        <v>11277</v>
      </c>
      <c r="E925" s="15" t="s">
        <v>1067</v>
      </c>
      <c r="F925" s="15" t="s">
        <v>1583</v>
      </c>
      <c r="G925" s="15" t="s">
        <v>11488</v>
      </c>
      <c r="H925" s="15">
        <v>24</v>
      </c>
      <c r="I925" s="15">
        <v>12</v>
      </c>
      <c r="J925" s="15">
        <v>41</v>
      </c>
      <c r="K925" s="15" t="str">
        <f t="shared" si="14"/>
        <v>northsilvertear</v>
      </c>
      <c r="L925" s="15" t="s">
        <v>11360</v>
      </c>
      <c r="M925" s="15">
        <v>1</v>
      </c>
      <c r="N925" s="15" t="s">
        <v>11222</v>
      </c>
      <c r="O925" s="15"/>
      <c r="P925" s="15"/>
      <c r="Q925" s="15"/>
      <c r="R925" s="15"/>
      <c r="S925" s="15"/>
      <c r="T925" s="15">
        <v>0</v>
      </c>
      <c r="U925" s="15"/>
      <c r="V925" s="15"/>
      <c r="W925" s="15"/>
      <c r="X925" s="15"/>
      <c r="Y925" s="15"/>
      <c r="Z925" s="15"/>
    </row>
    <row r="926" spans="1:26" x14ac:dyDescent="0.25">
      <c r="A926" s="15" t="s">
        <v>15074</v>
      </c>
      <c r="B926" s="15">
        <v>925</v>
      </c>
      <c r="C926" s="15" t="s">
        <v>11277</v>
      </c>
      <c r="D926" s="15" t="s">
        <v>11277</v>
      </c>
      <c r="E926" s="15" t="s">
        <v>1067</v>
      </c>
      <c r="F926" s="15" t="s">
        <v>1583</v>
      </c>
      <c r="G926" s="15" t="s">
        <v>11371</v>
      </c>
      <c r="H926" s="15">
        <v>24</v>
      </c>
      <c r="I926" s="15">
        <v>12</v>
      </c>
      <c r="J926" s="15">
        <v>44</v>
      </c>
      <c r="K926" s="15" t="str">
        <f t="shared" si="14"/>
        <v>northsilvertear</v>
      </c>
      <c r="L926" s="15" t="s">
        <v>11360</v>
      </c>
      <c r="M926" s="15">
        <v>1</v>
      </c>
      <c r="N926" s="15" t="s">
        <v>11222</v>
      </c>
      <c r="O926" s="15"/>
      <c r="P926" s="15"/>
      <c r="Q926" s="15"/>
      <c r="R926" s="15"/>
      <c r="S926" s="15"/>
      <c r="T926" s="15">
        <v>0</v>
      </c>
      <c r="U926" s="15"/>
      <c r="V926" s="15"/>
      <c r="W926" s="15"/>
      <c r="X926" s="15"/>
      <c r="Y926" s="15"/>
      <c r="Z926" s="15"/>
    </row>
    <row r="927" spans="1:26" x14ac:dyDescent="0.25">
      <c r="A927" s="15" t="s">
        <v>15075</v>
      </c>
      <c r="B927" s="15">
        <v>926</v>
      </c>
      <c r="C927" s="15" t="s">
        <v>11277</v>
      </c>
      <c r="D927" s="15" t="s">
        <v>11277</v>
      </c>
      <c r="E927" s="15" t="s">
        <v>1067</v>
      </c>
      <c r="F927" s="15" t="s">
        <v>1583</v>
      </c>
      <c r="G927" s="15" t="s">
        <v>11469</v>
      </c>
      <c r="H927" s="15">
        <v>24</v>
      </c>
      <c r="I927" s="15">
        <v>12</v>
      </c>
      <c r="J927" s="15">
        <v>47</v>
      </c>
      <c r="K927" s="15" t="str">
        <f t="shared" si="14"/>
        <v>northsilvertear</v>
      </c>
      <c r="L927" s="15" t="s">
        <v>14088</v>
      </c>
      <c r="M927" s="15">
        <v>2</v>
      </c>
      <c r="N927" s="15" t="s">
        <v>11223</v>
      </c>
      <c r="O927" s="15"/>
      <c r="P927" s="15"/>
      <c r="Q927" s="15" t="s">
        <v>11370</v>
      </c>
      <c r="R927" s="15" t="s">
        <v>11377</v>
      </c>
      <c r="S927" s="15"/>
      <c r="T927" s="15">
        <v>0</v>
      </c>
      <c r="U927" s="15"/>
      <c r="V927" s="15"/>
      <c r="W927" s="15"/>
      <c r="X927" s="15"/>
      <c r="Y927" s="15"/>
      <c r="Z927" s="15"/>
    </row>
    <row r="928" spans="1:26" x14ac:dyDescent="0.25">
      <c r="A928" s="15" t="s">
        <v>15076</v>
      </c>
      <c r="B928" s="15">
        <v>927</v>
      </c>
      <c r="C928" s="15" t="s">
        <v>11277</v>
      </c>
      <c r="D928" s="15" t="s">
        <v>11277</v>
      </c>
      <c r="E928" s="15" t="s">
        <v>1067</v>
      </c>
      <c r="F928" s="15" t="s">
        <v>1583</v>
      </c>
      <c r="G928" s="15" t="s">
        <v>11490</v>
      </c>
      <c r="H928" s="15">
        <v>24</v>
      </c>
      <c r="I928" s="15">
        <v>12</v>
      </c>
      <c r="J928" s="15">
        <v>48</v>
      </c>
      <c r="K928" s="15" t="str">
        <f t="shared" si="14"/>
        <v>northsilvertear</v>
      </c>
      <c r="L928" s="15" t="s">
        <v>11376</v>
      </c>
      <c r="M928" s="15">
        <v>2</v>
      </c>
      <c r="N928" s="15" t="s">
        <v>11223</v>
      </c>
      <c r="O928" s="15"/>
      <c r="P928" s="15"/>
      <c r="Q928" s="15"/>
      <c r="R928" s="15"/>
      <c r="S928" s="15"/>
      <c r="T928" s="15">
        <v>0</v>
      </c>
      <c r="U928" s="15"/>
      <c r="V928" s="15"/>
      <c r="W928" s="15"/>
      <c r="X928" s="15"/>
      <c r="Y928" s="15"/>
      <c r="Z928" s="15"/>
    </row>
    <row r="929" spans="1:26" x14ac:dyDescent="0.25">
      <c r="A929" s="15" t="s">
        <v>15077</v>
      </c>
      <c r="B929" s="15">
        <v>928</v>
      </c>
      <c r="C929" s="15" t="s">
        <v>11277</v>
      </c>
      <c r="D929" s="15" t="s">
        <v>11277</v>
      </c>
      <c r="E929" s="15" t="s">
        <v>1067</v>
      </c>
      <c r="F929" s="15" t="s">
        <v>1583</v>
      </c>
      <c r="G929" s="15" t="s">
        <v>11377</v>
      </c>
      <c r="H929" s="15">
        <v>24</v>
      </c>
      <c r="I929" s="15">
        <v>12</v>
      </c>
      <c r="J929" s="15">
        <v>50</v>
      </c>
      <c r="K929" s="15" t="str">
        <f t="shared" si="14"/>
        <v>northsilvertear</v>
      </c>
      <c r="L929" s="15" t="s">
        <v>14088</v>
      </c>
      <c r="M929" s="15">
        <v>2</v>
      </c>
      <c r="N929" s="15" t="s">
        <v>11223</v>
      </c>
      <c r="O929" s="15"/>
      <c r="P929" s="15"/>
      <c r="Q929" s="15" t="s">
        <v>11370</v>
      </c>
      <c r="R929" s="15"/>
      <c r="S929" s="15"/>
      <c r="T929" s="15">
        <v>0</v>
      </c>
      <c r="U929" s="15"/>
      <c r="V929" s="15"/>
      <c r="W929" s="15"/>
      <c r="X929" s="15"/>
      <c r="Y929" s="15"/>
      <c r="Z929" s="15"/>
    </row>
    <row r="930" spans="1:26" x14ac:dyDescent="0.25">
      <c r="A930" s="15" t="s">
        <v>15078</v>
      </c>
      <c r="B930" s="15">
        <v>929</v>
      </c>
      <c r="C930" s="15" t="s">
        <v>11277</v>
      </c>
      <c r="D930" s="15" t="s">
        <v>11277</v>
      </c>
      <c r="E930" s="15" t="s">
        <v>1067</v>
      </c>
      <c r="F930" s="15" t="s">
        <v>1583</v>
      </c>
      <c r="G930" s="15" t="s">
        <v>11611</v>
      </c>
      <c r="H930" s="15">
        <v>24</v>
      </c>
      <c r="I930" s="15">
        <v>12</v>
      </c>
      <c r="J930" s="15">
        <v>50</v>
      </c>
      <c r="K930" s="15" t="str">
        <f t="shared" si="14"/>
        <v>northsilvertear</v>
      </c>
      <c r="L930" s="15" t="s">
        <v>11456</v>
      </c>
      <c r="M930" s="15">
        <v>2</v>
      </c>
      <c r="N930" s="15" t="s">
        <v>11223</v>
      </c>
      <c r="O930" s="15" t="s">
        <v>14040</v>
      </c>
      <c r="P930" s="15"/>
      <c r="Q930" s="15"/>
      <c r="R930" s="15"/>
      <c r="S930" s="15"/>
      <c r="T930" s="15">
        <v>2</v>
      </c>
      <c r="U930" s="15"/>
      <c r="V930" s="15"/>
      <c r="W930" s="15"/>
      <c r="X930" s="15"/>
      <c r="Y930" s="15"/>
      <c r="Z930" s="15"/>
    </row>
    <row r="931" spans="1:26" x14ac:dyDescent="0.25">
      <c r="A931" s="15" t="s">
        <v>15079</v>
      </c>
      <c r="B931" s="15">
        <v>930</v>
      </c>
      <c r="C931" s="15" t="s">
        <v>11277</v>
      </c>
      <c r="D931" s="15" t="s">
        <v>11277</v>
      </c>
      <c r="E931" s="15" t="s">
        <v>1067</v>
      </c>
      <c r="F931" s="15" t="s">
        <v>1583</v>
      </c>
      <c r="G931" s="15" t="s">
        <v>11612</v>
      </c>
      <c r="H931" s="15">
        <v>24</v>
      </c>
      <c r="I931" s="15">
        <v>12</v>
      </c>
      <c r="J931" s="15">
        <v>50</v>
      </c>
      <c r="K931" s="15" t="str">
        <f t="shared" si="14"/>
        <v>northsilvertear</v>
      </c>
      <c r="L931" s="15" t="s">
        <v>11376</v>
      </c>
      <c r="M931" s="15">
        <v>3</v>
      </c>
      <c r="N931" s="15" t="s">
        <v>11223</v>
      </c>
      <c r="O931" s="15" t="s">
        <v>11300</v>
      </c>
      <c r="P931" s="15"/>
      <c r="Q931" s="15"/>
      <c r="R931" s="15"/>
      <c r="S931" s="15"/>
      <c r="T931" s="15">
        <v>3</v>
      </c>
      <c r="U931" s="15" t="s">
        <v>6097</v>
      </c>
      <c r="V931" s="15"/>
      <c r="W931" s="15"/>
      <c r="X931" s="15"/>
      <c r="Y931" s="15"/>
      <c r="Z931" s="15"/>
    </row>
    <row r="932" spans="1:26" x14ac:dyDescent="0.25">
      <c r="A932" s="15" t="s">
        <v>15080</v>
      </c>
      <c r="B932" s="15">
        <v>931</v>
      </c>
      <c r="C932" s="15" t="s">
        <v>11277</v>
      </c>
      <c r="D932" s="15" t="s">
        <v>11277</v>
      </c>
      <c r="E932" s="15" t="s">
        <v>1067</v>
      </c>
      <c r="F932" s="15" t="s">
        <v>1583</v>
      </c>
      <c r="G932" s="15" t="s">
        <v>11403</v>
      </c>
      <c r="H932" s="15">
        <v>24</v>
      </c>
      <c r="I932" s="15">
        <v>12</v>
      </c>
      <c r="J932" s="15">
        <v>41</v>
      </c>
      <c r="K932" s="15" t="str">
        <f t="shared" si="14"/>
        <v>northsilvertear</v>
      </c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5">
      <c r="A933" s="15" t="s">
        <v>15081</v>
      </c>
      <c r="B933" s="15">
        <v>932</v>
      </c>
      <c r="C933" s="15" t="s">
        <v>11277</v>
      </c>
      <c r="D933" s="15" t="s">
        <v>11277</v>
      </c>
      <c r="E933" s="15" t="s">
        <v>1067</v>
      </c>
      <c r="F933" s="15" t="s">
        <v>15082</v>
      </c>
      <c r="G933" s="15" t="s">
        <v>11417</v>
      </c>
      <c r="H933" s="15">
        <v>12</v>
      </c>
      <c r="I933" s="15">
        <v>11</v>
      </c>
      <c r="J933" s="15">
        <v>16</v>
      </c>
      <c r="K933" s="15" t="str">
        <f t="shared" si="14"/>
        <v>thedeeptangle</v>
      </c>
      <c r="L933" s="15" t="s">
        <v>11254</v>
      </c>
      <c r="M933" s="15">
        <v>1</v>
      </c>
      <c r="N933" s="15" t="s">
        <v>11222</v>
      </c>
      <c r="O933" s="15"/>
      <c r="P933" s="15"/>
      <c r="Q933" s="15"/>
      <c r="R933" s="15"/>
      <c r="S933" s="15"/>
      <c r="T933" s="15">
        <v>0</v>
      </c>
      <c r="U933" s="15"/>
      <c r="V933" s="15"/>
      <c r="W933" s="15"/>
      <c r="X933" s="15"/>
      <c r="Y933" s="15"/>
      <c r="Z933" s="15"/>
    </row>
    <row r="934" spans="1:26" x14ac:dyDescent="0.25">
      <c r="A934" s="15" t="s">
        <v>15083</v>
      </c>
      <c r="B934" s="15">
        <v>933</v>
      </c>
      <c r="C934" s="15" t="s">
        <v>11277</v>
      </c>
      <c r="D934" s="15" t="s">
        <v>11277</v>
      </c>
      <c r="E934" s="15" t="s">
        <v>1067</v>
      </c>
      <c r="F934" s="15" t="s">
        <v>15082</v>
      </c>
      <c r="G934" s="15" t="s">
        <v>11433</v>
      </c>
      <c r="H934" s="15">
        <v>12</v>
      </c>
      <c r="I934" s="15">
        <v>11</v>
      </c>
      <c r="J934" s="15">
        <v>25</v>
      </c>
      <c r="K934" s="15" t="str">
        <f t="shared" si="14"/>
        <v>thedeeptangle</v>
      </c>
      <c r="L934" s="15" t="s">
        <v>11274</v>
      </c>
      <c r="M934" s="15">
        <v>2</v>
      </c>
      <c r="N934" s="15" t="s">
        <v>11223</v>
      </c>
      <c r="O934" s="15"/>
      <c r="P934" s="15"/>
      <c r="Q934" s="15"/>
      <c r="R934" s="15"/>
      <c r="S934" s="15"/>
      <c r="T934" s="15">
        <v>0</v>
      </c>
      <c r="U934" s="15"/>
      <c r="V934" s="15"/>
      <c r="W934" s="15"/>
      <c r="X934" s="15"/>
      <c r="Y934" s="15"/>
      <c r="Z934" s="15"/>
    </row>
    <row r="935" spans="1:26" x14ac:dyDescent="0.25">
      <c r="A935" s="15" t="s">
        <v>15084</v>
      </c>
      <c r="B935" s="15">
        <v>934</v>
      </c>
      <c r="C935" s="15" t="s">
        <v>11277</v>
      </c>
      <c r="D935" s="15" t="s">
        <v>11277</v>
      </c>
      <c r="E935" s="15" t="s">
        <v>1067</v>
      </c>
      <c r="F935" s="15" t="s">
        <v>15082</v>
      </c>
      <c r="G935" s="15" t="s">
        <v>11352</v>
      </c>
      <c r="H935" s="15">
        <v>12</v>
      </c>
      <c r="I935" s="15">
        <v>11</v>
      </c>
      <c r="J935" s="15">
        <v>34</v>
      </c>
      <c r="K935" s="15" t="str">
        <f t="shared" si="14"/>
        <v>thedeeptangle</v>
      </c>
      <c r="L935" s="15" t="s">
        <v>11355</v>
      </c>
      <c r="M935" s="15">
        <v>1</v>
      </c>
      <c r="N935" s="15" t="s">
        <v>11222</v>
      </c>
      <c r="O935" s="15"/>
      <c r="P935" s="15"/>
      <c r="Q935" s="15"/>
      <c r="R935" s="15"/>
      <c r="S935" s="15"/>
      <c r="T935" s="15">
        <v>0</v>
      </c>
      <c r="U935" s="15"/>
      <c r="V935" s="15"/>
      <c r="W935" s="15"/>
      <c r="X935" s="15"/>
      <c r="Y935" s="15"/>
      <c r="Z935" s="15"/>
    </row>
    <row r="936" spans="1:26" x14ac:dyDescent="0.25">
      <c r="A936" s="15" t="s">
        <v>15085</v>
      </c>
      <c r="B936" s="15">
        <v>935</v>
      </c>
      <c r="C936" s="15" t="s">
        <v>11277</v>
      </c>
      <c r="D936" s="15" t="s">
        <v>11277</v>
      </c>
      <c r="E936" s="15" t="s">
        <v>1067</v>
      </c>
      <c r="F936" s="15" t="s">
        <v>15082</v>
      </c>
      <c r="G936" s="15" t="s">
        <v>11365</v>
      </c>
      <c r="H936" s="15">
        <v>12</v>
      </c>
      <c r="I936" s="15">
        <v>11</v>
      </c>
      <c r="J936" s="15">
        <v>37</v>
      </c>
      <c r="K936" s="15" t="str">
        <f t="shared" si="14"/>
        <v>thedeeptangle</v>
      </c>
      <c r="L936" s="15" t="s">
        <v>11355</v>
      </c>
      <c r="M936" s="15">
        <v>2</v>
      </c>
      <c r="N936" s="15" t="s">
        <v>11223</v>
      </c>
      <c r="O936" s="15"/>
      <c r="P936" s="15"/>
      <c r="Q936" s="15"/>
      <c r="R936" s="15"/>
      <c r="S936" s="15"/>
      <c r="T936" s="15">
        <v>0</v>
      </c>
      <c r="U936" s="15"/>
      <c r="V936" s="15"/>
      <c r="W936" s="15"/>
      <c r="X936" s="15"/>
      <c r="Y936" s="15"/>
      <c r="Z936" s="15"/>
    </row>
    <row r="937" spans="1:26" x14ac:dyDescent="0.25">
      <c r="A937" s="15" t="s">
        <v>15086</v>
      </c>
      <c r="B937" s="15">
        <v>936</v>
      </c>
      <c r="C937" s="15" t="s">
        <v>11277</v>
      </c>
      <c r="D937" s="15" t="s">
        <v>11277</v>
      </c>
      <c r="E937" s="15" t="s">
        <v>1067</v>
      </c>
      <c r="F937" s="15" t="s">
        <v>15082</v>
      </c>
      <c r="G937" s="15" t="s">
        <v>11488</v>
      </c>
      <c r="H937" s="15">
        <v>12</v>
      </c>
      <c r="I937" s="15">
        <v>11</v>
      </c>
      <c r="J937" s="15">
        <v>41</v>
      </c>
      <c r="K937" s="15" t="str">
        <f t="shared" si="14"/>
        <v>thedeeptangle</v>
      </c>
      <c r="L937" s="15" t="s">
        <v>11360</v>
      </c>
      <c r="M937" s="15">
        <v>1</v>
      </c>
      <c r="N937" s="15" t="s">
        <v>11222</v>
      </c>
      <c r="O937" s="15"/>
      <c r="P937" s="15"/>
      <c r="Q937" s="15"/>
      <c r="R937" s="15"/>
      <c r="S937" s="15"/>
      <c r="T937" s="15">
        <v>0</v>
      </c>
      <c r="U937" s="15"/>
      <c r="V937" s="15"/>
      <c r="W937" s="15"/>
      <c r="X937" s="15"/>
      <c r="Y937" s="15"/>
      <c r="Z937" s="15"/>
    </row>
    <row r="938" spans="1:26" x14ac:dyDescent="0.25">
      <c r="A938" s="15" t="s">
        <v>15087</v>
      </c>
      <c r="B938" s="15">
        <v>937</v>
      </c>
      <c r="C938" s="15" t="s">
        <v>11277</v>
      </c>
      <c r="D938" s="15" t="s">
        <v>11277</v>
      </c>
      <c r="E938" s="15" t="s">
        <v>1067</v>
      </c>
      <c r="F938" s="15" t="s">
        <v>15082</v>
      </c>
      <c r="G938" s="15" t="s">
        <v>11375</v>
      </c>
      <c r="H938" s="15">
        <v>12</v>
      </c>
      <c r="I938" s="15">
        <v>11</v>
      </c>
      <c r="J938" s="15">
        <v>43</v>
      </c>
      <c r="K938" s="15" t="str">
        <f t="shared" si="14"/>
        <v>thedeeptangle</v>
      </c>
      <c r="L938" s="15" t="s">
        <v>11360</v>
      </c>
      <c r="M938" s="15">
        <v>2</v>
      </c>
      <c r="N938" s="15" t="s">
        <v>11223</v>
      </c>
      <c r="O938" s="15"/>
      <c r="P938" s="15"/>
      <c r="Q938" s="15"/>
      <c r="R938" s="15"/>
      <c r="S938" s="15"/>
      <c r="T938" s="15">
        <v>0</v>
      </c>
      <c r="U938" s="15"/>
      <c r="V938" s="15"/>
      <c r="W938" s="15"/>
      <c r="X938" s="15"/>
      <c r="Y938" s="15"/>
      <c r="Z938" s="15"/>
    </row>
    <row r="939" spans="1:26" x14ac:dyDescent="0.25">
      <c r="A939" s="15" t="s">
        <v>15088</v>
      </c>
      <c r="B939" s="15">
        <v>938</v>
      </c>
      <c r="C939" s="15" t="s">
        <v>11277</v>
      </c>
      <c r="D939" s="15" t="s">
        <v>11277</v>
      </c>
      <c r="E939" s="15" t="s">
        <v>1067</v>
      </c>
      <c r="F939" s="15" t="s">
        <v>15082</v>
      </c>
      <c r="G939" s="15" t="s">
        <v>11458</v>
      </c>
      <c r="H939" s="15">
        <v>12</v>
      </c>
      <c r="I939" s="15">
        <v>11</v>
      </c>
      <c r="J939" s="15">
        <v>49</v>
      </c>
      <c r="K939" s="15" t="str">
        <f t="shared" si="14"/>
        <v>thedeeptangle</v>
      </c>
      <c r="L939" s="15" t="s">
        <v>11376</v>
      </c>
      <c r="M939" s="15">
        <v>2</v>
      </c>
      <c r="N939" s="15" t="s">
        <v>11223</v>
      </c>
      <c r="O939" s="15"/>
      <c r="P939" s="15"/>
      <c r="Q939" s="15"/>
      <c r="R939" s="15"/>
      <c r="S939" s="15"/>
      <c r="T939" s="15">
        <v>0</v>
      </c>
      <c r="U939" s="15"/>
      <c r="V939" s="15"/>
      <c r="W939" s="15"/>
      <c r="X939" s="15"/>
      <c r="Y939" s="15"/>
      <c r="Z939" s="15"/>
    </row>
    <row r="940" spans="1:26" x14ac:dyDescent="0.25">
      <c r="A940" s="15" t="s">
        <v>15089</v>
      </c>
      <c r="B940" s="15">
        <v>939</v>
      </c>
      <c r="C940" s="15" t="s">
        <v>11277</v>
      </c>
      <c r="D940" s="15" t="s">
        <v>11277</v>
      </c>
      <c r="E940" s="15" t="s">
        <v>1067</v>
      </c>
      <c r="F940" s="15" t="s">
        <v>15082</v>
      </c>
      <c r="G940" s="15" t="s">
        <v>11358</v>
      </c>
      <c r="H940" s="15">
        <v>12</v>
      </c>
      <c r="I940" s="15">
        <v>11</v>
      </c>
      <c r="J940" s="15">
        <v>33</v>
      </c>
      <c r="K940" s="15" t="str">
        <f t="shared" si="14"/>
        <v>thedeeptangle</v>
      </c>
      <c r="L940" s="15" t="s">
        <v>14088</v>
      </c>
      <c r="M940" s="15">
        <v>1</v>
      </c>
      <c r="N940" s="15" t="s">
        <v>11222</v>
      </c>
      <c r="O940" s="15"/>
      <c r="P940" s="15"/>
      <c r="Q940" s="15" t="s">
        <v>11417</v>
      </c>
      <c r="R940" s="15"/>
      <c r="S940" s="15"/>
      <c r="T940" s="15">
        <v>0</v>
      </c>
      <c r="U940" s="15"/>
      <c r="V940" s="15"/>
      <c r="W940" s="15"/>
      <c r="X940" s="15"/>
      <c r="Y940" s="15"/>
      <c r="Z940" s="15"/>
    </row>
    <row r="941" spans="1:26" x14ac:dyDescent="0.25">
      <c r="A941" s="15" t="s">
        <v>15090</v>
      </c>
      <c r="B941" s="15">
        <v>940</v>
      </c>
      <c r="C941" s="15" t="s">
        <v>11277</v>
      </c>
      <c r="D941" s="15" t="s">
        <v>11277</v>
      </c>
      <c r="E941" s="15" t="s">
        <v>1067</v>
      </c>
      <c r="F941" s="15" t="s">
        <v>15082</v>
      </c>
      <c r="G941" s="15" t="s">
        <v>11613</v>
      </c>
      <c r="H941" s="15">
        <v>12</v>
      </c>
      <c r="I941" s="15">
        <v>11</v>
      </c>
      <c r="J941" s="15">
        <v>50</v>
      </c>
      <c r="K941" s="15" t="str">
        <f t="shared" si="14"/>
        <v>thedeeptangle</v>
      </c>
      <c r="L941" s="15" t="s">
        <v>11376</v>
      </c>
      <c r="M941" s="15">
        <v>3</v>
      </c>
      <c r="N941" s="15" t="s">
        <v>11222</v>
      </c>
      <c r="O941" s="15"/>
      <c r="P941" s="15"/>
      <c r="Q941" s="15"/>
      <c r="R941" s="15"/>
      <c r="S941" s="15"/>
      <c r="T941" s="15">
        <v>3</v>
      </c>
      <c r="U941" s="15" t="s">
        <v>6097</v>
      </c>
      <c r="V941" s="15"/>
      <c r="W941" s="15"/>
      <c r="X941" s="15" t="s">
        <v>5893</v>
      </c>
      <c r="Y941" s="15" t="s">
        <v>5892</v>
      </c>
      <c r="Z941" s="15"/>
    </row>
    <row r="942" spans="1:26" x14ac:dyDescent="0.25">
      <c r="A942" s="15" t="s">
        <v>15091</v>
      </c>
      <c r="B942" s="15">
        <v>941</v>
      </c>
      <c r="C942" s="15" t="s">
        <v>11277</v>
      </c>
      <c r="D942" s="15" t="s">
        <v>11277</v>
      </c>
      <c r="E942" s="15" t="s">
        <v>1067</v>
      </c>
      <c r="F942" s="15" t="s">
        <v>15082</v>
      </c>
      <c r="G942" s="15" t="s">
        <v>11403</v>
      </c>
      <c r="H942" s="15">
        <v>12</v>
      </c>
      <c r="I942" s="15">
        <v>11</v>
      </c>
      <c r="J942" s="15">
        <v>41</v>
      </c>
      <c r="K942" s="15" t="str">
        <f t="shared" si="14"/>
        <v>thedeeptangle</v>
      </c>
      <c r="L942" s="15"/>
      <c r="M942" s="15">
        <v>1</v>
      </c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25">
      <c r="A943" s="15" t="s">
        <v>15092</v>
      </c>
      <c r="B943" s="15">
        <v>942</v>
      </c>
      <c r="C943" s="15" t="s">
        <v>11277</v>
      </c>
      <c r="D943" s="15" t="s">
        <v>11277</v>
      </c>
      <c r="E943" s="15" t="s">
        <v>1067</v>
      </c>
      <c r="F943" s="15" t="s">
        <v>1584</v>
      </c>
      <c r="G943" s="15" t="s">
        <v>11369</v>
      </c>
      <c r="H943" s="15">
        <v>28</v>
      </c>
      <c r="I943" s="15">
        <v>10</v>
      </c>
      <c r="J943" s="15">
        <v>21</v>
      </c>
      <c r="K943" s="15" t="str">
        <f t="shared" si="14"/>
        <v>singingshards</v>
      </c>
      <c r="L943" s="15" t="s">
        <v>11376</v>
      </c>
      <c r="M943" s="15">
        <v>1</v>
      </c>
      <c r="N943" s="15" t="s">
        <v>11222</v>
      </c>
      <c r="O943" s="15"/>
      <c r="P943" s="15"/>
      <c r="Q943" s="15"/>
      <c r="R943" s="15"/>
      <c r="S943" s="15"/>
      <c r="T943" s="15">
        <v>0</v>
      </c>
      <c r="U943" s="15"/>
      <c r="V943" s="15"/>
      <c r="W943" s="15"/>
      <c r="X943" s="15"/>
      <c r="Y943" s="15"/>
      <c r="Z943" s="15"/>
    </row>
    <row r="944" spans="1:26" x14ac:dyDescent="0.25">
      <c r="A944" s="15" t="s">
        <v>15093</v>
      </c>
      <c r="B944" s="15">
        <v>943</v>
      </c>
      <c r="C944" s="15" t="s">
        <v>11277</v>
      </c>
      <c r="D944" s="15" t="s">
        <v>11277</v>
      </c>
      <c r="E944" s="15" t="s">
        <v>1067</v>
      </c>
      <c r="F944" s="15" t="s">
        <v>1584</v>
      </c>
      <c r="G944" s="15" t="s">
        <v>11324</v>
      </c>
      <c r="H944" s="15">
        <v>28</v>
      </c>
      <c r="I944" s="15">
        <v>10</v>
      </c>
      <c r="J944" s="15">
        <v>31</v>
      </c>
      <c r="K944" s="15" t="str">
        <f t="shared" si="14"/>
        <v>singingshards</v>
      </c>
      <c r="L944" s="15" t="s">
        <v>11376</v>
      </c>
      <c r="M944" s="15">
        <v>1</v>
      </c>
      <c r="N944" s="15" t="s">
        <v>11222</v>
      </c>
      <c r="O944" s="15"/>
      <c r="P944" s="15"/>
      <c r="Q944" s="15"/>
      <c r="R944" s="15"/>
      <c r="S944" s="15"/>
      <c r="T944" s="15">
        <v>0</v>
      </c>
      <c r="U944" s="15"/>
      <c r="V944" s="15"/>
      <c r="W944" s="15"/>
      <c r="X944" s="15"/>
      <c r="Y944" s="15"/>
      <c r="Z944" s="15"/>
    </row>
    <row r="945" spans="1:26" x14ac:dyDescent="0.25">
      <c r="A945" s="15" t="s">
        <v>15094</v>
      </c>
      <c r="B945" s="15">
        <v>944</v>
      </c>
      <c r="C945" s="15" t="s">
        <v>11277</v>
      </c>
      <c r="D945" s="15" t="s">
        <v>11277</v>
      </c>
      <c r="E945" s="15" t="s">
        <v>1067</v>
      </c>
      <c r="F945" s="15" t="s">
        <v>1584</v>
      </c>
      <c r="G945" s="15" t="s">
        <v>11420</v>
      </c>
      <c r="H945" s="15">
        <v>28</v>
      </c>
      <c r="I945" s="15">
        <v>10</v>
      </c>
      <c r="J945" s="15">
        <v>34</v>
      </c>
      <c r="K945" s="15" t="str">
        <f t="shared" si="14"/>
        <v>singingshards</v>
      </c>
      <c r="L945" s="15" t="s">
        <v>11376</v>
      </c>
      <c r="M945" s="15">
        <v>2</v>
      </c>
      <c r="N945" s="15" t="s">
        <v>11223</v>
      </c>
      <c r="O945" s="15"/>
      <c r="P945" s="15"/>
      <c r="Q945" s="15"/>
      <c r="R945" s="15"/>
      <c r="S945" s="15"/>
      <c r="T945" s="15">
        <v>0</v>
      </c>
      <c r="U945" s="15"/>
      <c r="V945" s="15"/>
      <c r="W945" s="15"/>
      <c r="X945" s="15"/>
      <c r="Y945" s="15"/>
      <c r="Z945" s="15"/>
    </row>
    <row r="946" spans="1:26" x14ac:dyDescent="0.25">
      <c r="A946" s="15" t="s">
        <v>15095</v>
      </c>
      <c r="B946" s="15">
        <v>945</v>
      </c>
      <c r="C946" s="15" t="s">
        <v>11277</v>
      </c>
      <c r="D946" s="15" t="s">
        <v>11277</v>
      </c>
      <c r="E946" s="15" t="s">
        <v>1067</v>
      </c>
      <c r="F946" s="15" t="s">
        <v>1584</v>
      </c>
      <c r="G946" s="15" t="s">
        <v>11370</v>
      </c>
      <c r="H946" s="15">
        <v>28</v>
      </c>
      <c r="I946" s="15">
        <v>10</v>
      </c>
      <c r="J946" s="15">
        <v>36</v>
      </c>
      <c r="K946" s="15" t="str">
        <f t="shared" si="14"/>
        <v>singingshards</v>
      </c>
      <c r="L946" s="15" t="s">
        <v>11355</v>
      </c>
      <c r="M946" s="15">
        <v>1</v>
      </c>
      <c r="N946" s="15" t="s">
        <v>11222</v>
      </c>
      <c r="O946" s="15"/>
      <c r="P946" s="15"/>
      <c r="Q946" s="15"/>
      <c r="R946" s="15"/>
      <c r="S946" s="15"/>
      <c r="T946" s="15">
        <v>0</v>
      </c>
      <c r="U946" s="15"/>
      <c r="V946" s="15"/>
      <c r="W946" s="15"/>
      <c r="X946" s="15"/>
      <c r="Y946" s="15"/>
      <c r="Z946" s="15"/>
    </row>
    <row r="947" spans="1:26" x14ac:dyDescent="0.25">
      <c r="A947" s="15" t="s">
        <v>15096</v>
      </c>
      <c r="B947" s="15">
        <v>946</v>
      </c>
      <c r="C947" s="15" t="s">
        <v>11277</v>
      </c>
      <c r="D947" s="15" t="s">
        <v>11277</v>
      </c>
      <c r="E947" s="15" t="s">
        <v>1067</v>
      </c>
      <c r="F947" s="15" t="s">
        <v>1584</v>
      </c>
      <c r="G947" s="15" t="s">
        <v>11365</v>
      </c>
      <c r="H947" s="15">
        <v>28</v>
      </c>
      <c r="I947" s="15">
        <v>10</v>
      </c>
      <c r="J947" s="15">
        <v>37</v>
      </c>
      <c r="K947" s="15" t="str">
        <f t="shared" si="14"/>
        <v>singingshards</v>
      </c>
      <c r="L947" s="15" t="s">
        <v>11355</v>
      </c>
      <c r="M947" s="15">
        <v>2</v>
      </c>
      <c r="N947" s="15" t="s">
        <v>11223</v>
      </c>
      <c r="O947" s="15"/>
      <c r="P947" s="15"/>
      <c r="Q947" s="15"/>
      <c r="R947" s="15"/>
      <c r="S947" s="15"/>
      <c r="T947" s="15">
        <v>0</v>
      </c>
      <c r="U947" s="15"/>
      <c r="V947" s="15"/>
      <c r="W947" s="15"/>
      <c r="X947" s="15"/>
      <c r="Y947" s="15"/>
      <c r="Z947" s="15"/>
    </row>
    <row r="948" spans="1:26" x14ac:dyDescent="0.25">
      <c r="A948" s="15" t="s">
        <v>15097</v>
      </c>
      <c r="B948" s="15">
        <v>947</v>
      </c>
      <c r="C948" s="15" t="s">
        <v>11277</v>
      </c>
      <c r="D948" s="15" t="s">
        <v>11277</v>
      </c>
      <c r="E948" s="15" t="s">
        <v>1067</v>
      </c>
      <c r="F948" s="15" t="s">
        <v>1584</v>
      </c>
      <c r="G948" s="15" t="s">
        <v>11375</v>
      </c>
      <c r="H948" s="15">
        <v>28</v>
      </c>
      <c r="I948" s="15">
        <v>10</v>
      </c>
      <c r="J948" s="15">
        <v>43</v>
      </c>
      <c r="K948" s="15" t="str">
        <f t="shared" si="14"/>
        <v>singingshards</v>
      </c>
      <c r="L948" s="15" t="s">
        <v>11360</v>
      </c>
      <c r="M948" s="15">
        <v>2</v>
      </c>
      <c r="N948" s="15" t="s">
        <v>11223</v>
      </c>
      <c r="O948" s="15"/>
      <c r="P948" s="15"/>
      <c r="Q948" s="15"/>
      <c r="R948" s="15"/>
      <c r="S948" s="15"/>
      <c r="T948" s="15">
        <v>0</v>
      </c>
      <c r="U948" s="15"/>
      <c r="V948" s="15"/>
      <c r="W948" s="15"/>
      <c r="X948" s="15"/>
      <c r="Y948" s="15"/>
      <c r="Z948" s="15"/>
    </row>
    <row r="949" spans="1:26" x14ac:dyDescent="0.25">
      <c r="A949" s="15" t="s">
        <v>15098</v>
      </c>
      <c r="B949" s="15">
        <v>948</v>
      </c>
      <c r="C949" s="15" t="s">
        <v>11277</v>
      </c>
      <c r="D949" s="15" t="s">
        <v>11277</v>
      </c>
      <c r="E949" s="15" t="s">
        <v>1067</v>
      </c>
      <c r="F949" s="15" t="s">
        <v>1584</v>
      </c>
      <c r="G949" s="15" t="s">
        <v>11486</v>
      </c>
      <c r="H949" s="15">
        <v>28</v>
      </c>
      <c r="I949" s="15">
        <v>10</v>
      </c>
      <c r="J949" s="15">
        <v>48</v>
      </c>
      <c r="K949" s="15" t="str">
        <f t="shared" si="14"/>
        <v>singingshards</v>
      </c>
      <c r="L949" s="15" t="s">
        <v>14088</v>
      </c>
      <c r="M949" s="15">
        <v>2</v>
      </c>
      <c r="N949" s="15" t="s">
        <v>11223</v>
      </c>
      <c r="O949" s="15"/>
      <c r="P949" s="15"/>
      <c r="Q949" s="15" t="s">
        <v>11370</v>
      </c>
      <c r="R949" s="15"/>
      <c r="S949" s="15"/>
      <c r="T949" s="15">
        <v>0</v>
      </c>
      <c r="U949" s="15"/>
      <c r="V949" s="15"/>
      <c r="W949" s="15"/>
      <c r="X949" s="15"/>
      <c r="Y949" s="15"/>
      <c r="Z949" s="15"/>
    </row>
    <row r="950" spans="1:26" x14ac:dyDescent="0.25">
      <c r="A950" s="15" t="s">
        <v>15099</v>
      </c>
      <c r="B950" s="15">
        <v>949</v>
      </c>
      <c r="C950" s="15" t="s">
        <v>11277</v>
      </c>
      <c r="D950" s="15" t="s">
        <v>11277</v>
      </c>
      <c r="E950" s="15" t="s">
        <v>1067</v>
      </c>
      <c r="F950" s="15" t="s">
        <v>1584</v>
      </c>
      <c r="G950" s="15" t="s">
        <v>11490</v>
      </c>
      <c r="H950" s="15">
        <v>28</v>
      </c>
      <c r="I950" s="15">
        <v>10</v>
      </c>
      <c r="J950" s="15">
        <v>48</v>
      </c>
      <c r="K950" s="15" t="str">
        <f t="shared" si="14"/>
        <v>singingshards</v>
      </c>
      <c r="L950" s="15" t="s">
        <v>11376</v>
      </c>
      <c r="M950" s="15">
        <v>2</v>
      </c>
      <c r="N950" s="15" t="s">
        <v>11223</v>
      </c>
      <c r="O950" s="15"/>
      <c r="P950" s="15"/>
      <c r="Q950" s="15"/>
      <c r="R950" s="15"/>
      <c r="S950" s="15"/>
      <c r="T950" s="15">
        <v>0</v>
      </c>
      <c r="U950" s="15"/>
      <c r="V950" s="15"/>
      <c r="W950" s="15"/>
      <c r="X950" s="15"/>
      <c r="Y950" s="15"/>
      <c r="Z950" s="15"/>
    </row>
    <row r="951" spans="1:26" x14ac:dyDescent="0.25">
      <c r="A951" s="15" t="s">
        <v>15100</v>
      </c>
      <c r="B951" s="15">
        <v>950</v>
      </c>
      <c r="C951" s="15" t="s">
        <v>11277</v>
      </c>
      <c r="D951" s="15" t="s">
        <v>11277</v>
      </c>
      <c r="E951" s="15" t="s">
        <v>1067</v>
      </c>
      <c r="F951" s="15" t="s">
        <v>1584</v>
      </c>
      <c r="G951" s="15" t="s">
        <v>11614</v>
      </c>
      <c r="H951" s="15">
        <v>28</v>
      </c>
      <c r="I951" s="15">
        <v>10</v>
      </c>
      <c r="J951" s="15">
        <v>50</v>
      </c>
      <c r="K951" s="15" t="str">
        <f t="shared" si="14"/>
        <v>singingshards</v>
      </c>
      <c r="L951" s="15" t="s">
        <v>14088</v>
      </c>
      <c r="M951" s="15">
        <v>3</v>
      </c>
      <c r="N951" s="15" t="s">
        <v>11223</v>
      </c>
      <c r="O951" s="15" t="s">
        <v>11383</v>
      </c>
      <c r="P951" s="15"/>
      <c r="Q951" s="15" t="s">
        <v>11370</v>
      </c>
      <c r="R951" s="15"/>
      <c r="S951" s="15"/>
      <c r="T951" s="15">
        <v>3</v>
      </c>
      <c r="U951" s="15" t="s">
        <v>5893</v>
      </c>
      <c r="V951" s="15" t="s">
        <v>5892</v>
      </c>
      <c r="W951" s="15"/>
      <c r="X951" s="15" t="s">
        <v>5914</v>
      </c>
      <c r="Y951" s="15"/>
      <c r="Z951" s="15"/>
    </row>
    <row r="952" spans="1:26" x14ac:dyDescent="0.25">
      <c r="A952" s="15" t="s">
        <v>15101</v>
      </c>
      <c r="B952" s="15">
        <v>951</v>
      </c>
      <c r="C952" s="15" t="s">
        <v>11277</v>
      </c>
      <c r="D952" s="15" t="s">
        <v>11277</v>
      </c>
      <c r="E952" s="15" t="s">
        <v>1067</v>
      </c>
      <c r="F952" s="15" t="s">
        <v>1584</v>
      </c>
      <c r="G952" s="15" t="s">
        <v>11403</v>
      </c>
      <c r="H952" s="15">
        <v>28</v>
      </c>
      <c r="I952" s="15">
        <v>10</v>
      </c>
      <c r="J952" s="15">
        <v>41</v>
      </c>
      <c r="K952" s="15" t="str">
        <f t="shared" si="14"/>
        <v>singingshards</v>
      </c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25">
      <c r="A953" s="15" t="s">
        <v>15102</v>
      </c>
      <c r="B953" s="15">
        <v>952</v>
      </c>
      <c r="C953" s="15" t="s">
        <v>11277</v>
      </c>
      <c r="D953" s="15" t="s">
        <v>11277</v>
      </c>
      <c r="E953" s="15" t="s">
        <v>1067</v>
      </c>
      <c r="F953" s="15" t="s">
        <v>1570</v>
      </c>
      <c r="G953" s="15" t="s">
        <v>11324</v>
      </c>
      <c r="H953" s="15">
        <v>18</v>
      </c>
      <c r="I953" s="15">
        <v>17</v>
      </c>
      <c r="J953" s="15">
        <v>31</v>
      </c>
      <c r="K953" s="15" t="str">
        <f t="shared" si="14"/>
        <v>rathefrost</v>
      </c>
      <c r="L953" s="15" t="s">
        <v>11376</v>
      </c>
      <c r="M953" s="15">
        <v>1</v>
      </c>
      <c r="N953" s="15" t="s">
        <v>11222</v>
      </c>
      <c r="O953" s="15"/>
      <c r="P953" s="15"/>
      <c r="Q953" s="15"/>
      <c r="R953" s="15"/>
      <c r="S953" s="15"/>
      <c r="T953" s="15">
        <v>0</v>
      </c>
      <c r="U953" s="15"/>
      <c r="V953" s="15"/>
      <c r="W953" s="15"/>
      <c r="X953" s="15"/>
      <c r="Y953" s="15"/>
      <c r="Z953" s="15"/>
    </row>
    <row r="954" spans="1:26" x14ac:dyDescent="0.25">
      <c r="A954" s="15" t="s">
        <v>15103</v>
      </c>
      <c r="B954" s="15">
        <v>953</v>
      </c>
      <c r="C954" s="15" t="s">
        <v>11277</v>
      </c>
      <c r="D954" s="15" t="s">
        <v>11277</v>
      </c>
      <c r="E954" s="15" t="s">
        <v>1067</v>
      </c>
      <c r="F954" s="15" t="s">
        <v>1570</v>
      </c>
      <c r="G954" s="15" t="s">
        <v>11370</v>
      </c>
      <c r="H954" s="15">
        <v>18</v>
      </c>
      <c r="I954" s="15">
        <v>17</v>
      </c>
      <c r="J954" s="15">
        <v>36</v>
      </c>
      <c r="K954" s="15" t="str">
        <f t="shared" si="14"/>
        <v>rathefrost</v>
      </c>
      <c r="L954" s="15" t="s">
        <v>11355</v>
      </c>
      <c r="M954" s="15">
        <v>1</v>
      </c>
      <c r="N954" s="15" t="s">
        <v>11222</v>
      </c>
      <c r="O954" s="15"/>
      <c r="P954" s="15"/>
      <c r="Q954" s="15"/>
      <c r="R954" s="15"/>
      <c r="S954" s="15"/>
      <c r="T954" s="15">
        <v>0</v>
      </c>
      <c r="U954" s="15"/>
      <c r="V954" s="15"/>
      <c r="W954" s="15"/>
      <c r="X954" s="15"/>
      <c r="Y954" s="15"/>
      <c r="Z954" s="15"/>
    </row>
    <row r="955" spans="1:26" x14ac:dyDescent="0.25">
      <c r="A955" s="15" t="s">
        <v>15104</v>
      </c>
      <c r="B955" s="15">
        <v>954</v>
      </c>
      <c r="C955" s="15" t="s">
        <v>11277</v>
      </c>
      <c r="D955" s="15" t="s">
        <v>11277</v>
      </c>
      <c r="E955" s="15" t="s">
        <v>1067</v>
      </c>
      <c r="F955" s="15" t="s">
        <v>1570</v>
      </c>
      <c r="G955" s="15" t="s">
        <v>11365</v>
      </c>
      <c r="H955" s="15">
        <v>18</v>
      </c>
      <c r="I955" s="15">
        <v>17</v>
      </c>
      <c r="J955" s="15">
        <v>37</v>
      </c>
      <c r="K955" s="15" t="str">
        <f t="shared" si="14"/>
        <v>rathefrost</v>
      </c>
      <c r="L955" s="15" t="s">
        <v>11355</v>
      </c>
      <c r="M955" s="15">
        <v>2</v>
      </c>
      <c r="N955" s="15" t="s">
        <v>11223</v>
      </c>
      <c r="O955" s="15"/>
      <c r="P955" s="15"/>
      <c r="Q955" s="15"/>
      <c r="R955" s="15"/>
      <c r="S955" s="15"/>
      <c r="T955" s="15">
        <v>0</v>
      </c>
      <c r="U955" s="15"/>
      <c r="V955" s="15"/>
      <c r="W955" s="15"/>
      <c r="X955" s="15"/>
      <c r="Y955" s="15"/>
      <c r="Z955" s="15"/>
    </row>
    <row r="956" spans="1:26" x14ac:dyDescent="0.25">
      <c r="A956" s="15" t="s">
        <v>15105</v>
      </c>
      <c r="B956" s="15">
        <v>955</v>
      </c>
      <c r="C956" s="15" t="s">
        <v>11277</v>
      </c>
      <c r="D956" s="15" t="s">
        <v>11277</v>
      </c>
      <c r="E956" s="15" t="s">
        <v>1067</v>
      </c>
      <c r="F956" s="15" t="s">
        <v>1570</v>
      </c>
      <c r="G956" s="15" t="s">
        <v>11488</v>
      </c>
      <c r="H956" s="15">
        <v>18</v>
      </c>
      <c r="I956" s="15">
        <v>17</v>
      </c>
      <c r="J956" s="15">
        <v>41</v>
      </c>
      <c r="K956" s="15" t="str">
        <f t="shared" si="14"/>
        <v>rathefrost</v>
      </c>
      <c r="L956" s="15" t="s">
        <v>11376</v>
      </c>
      <c r="M956" s="15">
        <v>1</v>
      </c>
      <c r="N956" s="15" t="s">
        <v>11222</v>
      </c>
      <c r="O956" s="15"/>
      <c r="P956" s="15"/>
      <c r="Q956" s="15"/>
      <c r="R956" s="15"/>
      <c r="S956" s="15"/>
      <c r="T956" s="15">
        <v>0</v>
      </c>
      <c r="U956" s="15"/>
      <c r="V956" s="15"/>
      <c r="W956" s="15"/>
      <c r="X956" s="15"/>
      <c r="Y956" s="15"/>
      <c r="Z956" s="15"/>
    </row>
    <row r="957" spans="1:26" x14ac:dyDescent="0.25">
      <c r="A957" s="15" t="s">
        <v>15106</v>
      </c>
      <c r="B957" s="15">
        <v>956</v>
      </c>
      <c r="C957" s="15" t="s">
        <v>11277</v>
      </c>
      <c r="D957" s="15" t="s">
        <v>11277</v>
      </c>
      <c r="E957" s="15" t="s">
        <v>1067</v>
      </c>
      <c r="F957" s="15" t="s">
        <v>1570</v>
      </c>
      <c r="G957" s="15" t="s">
        <v>11375</v>
      </c>
      <c r="H957" s="15">
        <v>18</v>
      </c>
      <c r="I957" s="15">
        <v>17</v>
      </c>
      <c r="J957" s="15">
        <v>43</v>
      </c>
      <c r="K957" s="15" t="str">
        <f t="shared" si="14"/>
        <v>rathefrost</v>
      </c>
      <c r="L957" s="15" t="s">
        <v>11376</v>
      </c>
      <c r="M957" s="15">
        <v>2</v>
      </c>
      <c r="N957" s="15" t="s">
        <v>11223</v>
      </c>
      <c r="O957" s="15"/>
      <c r="P957" s="15"/>
      <c r="Q957" s="15"/>
      <c r="R957" s="15"/>
      <c r="S957" s="15"/>
      <c r="T957" s="15">
        <v>0</v>
      </c>
      <c r="U957" s="15"/>
      <c r="V957" s="15"/>
      <c r="W957" s="15"/>
      <c r="X957" s="15"/>
      <c r="Y957" s="15"/>
      <c r="Z957" s="15"/>
    </row>
    <row r="958" spans="1:26" x14ac:dyDescent="0.25">
      <c r="A958" s="15" t="s">
        <v>15107</v>
      </c>
      <c r="B958" s="15">
        <v>957</v>
      </c>
      <c r="C958" s="15" t="s">
        <v>11277</v>
      </c>
      <c r="D958" s="15" t="s">
        <v>11277</v>
      </c>
      <c r="E958" s="15" t="s">
        <v>1067</v>
      </c>
      <c r="F958" s="15" t="s">
        <v>1570</v>
      </c>
      <c r="G958" s="15" t="s">
        <v>11469</v>
      </c>
      <c r="H958" s="15">
        <v>18</v>
      </c>
      <c r="I958" s="15">
        <v>17</v>
      </c>
      <c r="J958" s="15">
        <v>47</v>
      </c>
      <c r="K958" s="15" t="str">
        <f t="shared" si="14"/>
        <v>rathefrost</v>
      </c>
      <c r="L958" s="15" t="s">
        <v>14088</v>
      </c>
      <c r="M958" s="15">
        <v>2</v>
      </c>
      <c r="N958" s="15" t="s">
        <v>11223</v>
      </c>
      <c r="O958" s="15"/>
      <c r="P958" s="15"/>
      <c r="Q958" s="15" t="s">
        <v>11370</v>
      </c>
      <c r="R958" s="15" t="s">
        <v>11377</v>
      </c>
      <c r="S958" s="15"/>
      <c r="T958" s="15">
        <v>0</v>
      </c>
      <c r="U958" s="15"/>
      <c r="V958" s="15"/>
      <c r="W958" s="15"/>
      <c r="X958" s="15"/>
      <c r="Y958" s="15"/>
      <c r="Z958" s="15"/>
    </row>
    <row r="959" spans="1:26" x14ac:dyDescent="0.25">
      <c r="A959" s="15" t="s">
        <v>15108</v>
      </c>
      <c r="B959" s="15">
        <v>958</v>
      </c>
      <c r="C959" s="15" t="s">
        <v>11277</v>
      </c>
      <c r="D959" s="15" t="s">
        <v>11277</v>
      </c>
      <c r="E959" s="15" t="s">
        <v>1067</v>
      </c>
      <c r="F959" s="15" t="s">
        <v>1570</v>
      </c>
      <c r="G959" s="15" t="s">
        <v>11490</v>
      </c>
      <c r="H959" s="15">
        <v>18</v>
      </c>
      <c r="I959" s="15">
        <v>17</v>
      </c>
      <c r="J959" s="15">
        <v>48</v>
      </c>
      <c r="K959" s="15" t="str">
        <f t="shared" si="14"/>
        <v>rathefrost</v>
      </c>
      <c r="L959" s="15" t="s">
        <v>11376</v>
      </c>
      <c r="M959" s="15">
        <v>2</v>
      </c>
      <c r="N959" s="15" t="s">
        <v>11223</v>
      </c>
      <c r="O959" s="15"/>
      <c r="P959" s="15"/>
      <c r="Q959" s="15"/>
      <c r="R959" s="15"/>
      <c r="S959" s="15"/>
      <c r="T959" s="15">
        <v>0</v>
      </c>
      <c r="U959" s="15"/>
      <c r="V959" s="15"/>
      <c r="W959" s="15"/>
      <c r="X959" s="15"/>
      <c r="Y959" s="15"/>
      <c r="Z959" s="15"/>
    </row>
    <row r="960" spans="1:26" x14ac:dyDescent="0.25">
      <c r="A960" s="15" t="s">
        <v>15109</v>
      </c>
      <c r="B960" s="15">
        <v>959</v>
      </c>
      <c r="C960" s="15" t="s">
        <v>11277</v>
      </c>
      <c r="D960" s="15" t="s">
        <v>11277</v>
      </c>
      <c r="E960" s="15" t="s">
        <v>1067</v>
      </c>
      <c r="F960" s="15" t="s">
        <v>1570</v>
      </c>
      <c r="G960" s="15" t="s">
        <v>11377</v>
      </c>
      <c r="H960" s="15">
        <v>18</v>
      </c>
      <c r="I960" s="15">
        <v>17</v>
      </c>
      <c r="J960" s="15">
        <v>50</v>
      </c>
      <c r="K960" s="15" t="str">
        <f t="shared" si="14"/>
        <v>rathefrost</v>
      </c>
      <c r="L960" s="15" t="s">
        <v>14088</v>
      </c>
      <c r="M960" s="15">
        <v>1</v>
      </c>
      <c r="N960" s="15" t="s">
        <v>11222</v>
      </c>
      <c r="O960" s="15"/>
      <c r="P960" s="15"/>
      <c r="Q960" s="15" t="s">
        <v>11370</v>
      </c>
      <c r="R960" s="15"/>
      <c r="S960" s="15"/>
      <c r="T960" s="15">
        <v>0</v>
      </c>
      <c r="U960" s="15"/>
      <c r="V960" s="15"/>
      <c r="W960" s="15"/>
      <c r="X960" s="15"/>
      <c r="Y960" s="15"/>
      <c r="Z960" s="15"/>
    </row>
    <row r="961" spans="1:26" x14ac:dyDescent="0.25">
      <c r="A961" s="15" t="s">
        <v>15110</v>
      </c>
      <c r="B961" s="15">
        <v>960</v>
      </c>
      <c r="C961" s="15" t="s">
        <v>11277</v>
      </c>
      <c r="D961" s="15" t="s">
        <v>11277</v>
      </c>
      <c r="E961" s="15" t="s">
        <v>1067</v>
      </c>
      <c r="F961" s="15" t="s">
        <v>1570</v>
      </c>
      <c r="G961" s="15" t="s">
        <v>11615</v>
      </c>
      <c r="H961" s="15">
        <v>18</v>
      </c>
      <c r="I961" s="15">
        <v>17</v>
      </c>
      <c r="J961" s="15">
        <v>50</v>
      </c>
      <c r="K961" s="15" t="str">
        <f t="shared" si="14"/>
        <v>rathefrost</v>
      </c>
      <c r="L961" s="15" t="s">
        <v>14088</v>
      </c>
      <c r="M961" s="15">
        <v>2</v>
      </c>
      <c r="N961" s="15" t="s">
        <v>11223</v>
      </c>
      <c r="O961" s="15"/>
      <c r="P961" s="15"/>
      <c r="Q961" s="15" t="s">
        <v>11377</v>
      </c>
      <c r="R961" s="15"/>
      <c r="S961" s="15"/>
      <c r="T961" s="15">
        <v>1</v>
      </c>
      <c r="U961" s="15"/>
      <c r="V961" s="15"/>
      <c r="W961" s="15"/>
      <c r="X961" s="15"/>
      <c r="Y961" s="15"/>
      <c r="Z961" s="15"/>
    </row>
    <row r="962" spans="1:26" x14ac:dyDescent="0.25">
      <c r="A962" s="15" t="s">
        <v>15111</v>
      </c>
      <c r="B962" s="15">
        <v>961</v>
      </c>
      <c r="C962" s="15" t="s">
        <v>11277</v>
      </c>
      <c r="D962" s="15" t="s">
        <v>11277</v>
      </c>
      <c r="E962" s="15" t="s">
        <v>1067</v>
      </c>
      <c r="F962" s="15" t="s">
        <v>1570</v>
      </c>
      <c r="G962" s="15" t="s">
        <v>11616</v>
      </c>
      <c r="H962" s="15">
        <v>18</v>
      </c>
      <c r="I962" s="15">
        <v>17</v>
      </c>
      <c r="J962" s="15">
        <v>50</v>
      </c>
      <c r="K962" s="15" t="str">
        <f t="shared" ref="K962:K1025" si="15">LOWER(SUBSTITUTE(SUBSTITUTE(SUBSTITUTE(SUBSTITUTE(SUBSTITUTE(F962," ",""),"(",""),")",""),"'",""),"-",""))</f>
        <v>rathefrost</v>
      </c>
      <c r="L962" s="15" t="s">
        <v>11376</v>
      </c>
      <c r="M962" s="15">
        <v>3</v>
      </c>
      <c r="N962" s="15" t="s">
        <v>11223</v>
      </c>
      <c r="O962" s="15"/>
      <c r="P962" s="15"/>
      <c r="Q962" s="15"/>
      <c r="R962" s="15"/>
      <c r="S962" s="15"/>
      <c r="T962" s="15">
        <v>3</v>
      </c>
      <c r="U962" s="15" t="s">
        <v>5893</v>
      </c>
      <c r="V962" s="15" t="s">
        <v>5892</v>
      </c>
      <c r="W962" s="15"/>
      <c r="X962" s="15" t="s">
        <v>6097</v>
      </c>
      <c r="Y962" s="15"/>
      <c r="Z962" s="15"/>
    </row>
    <row r="963" spans="1:26" x14ac:dyDescent="0.25">
      <c r="A963" s="15" t="s">
        <v>15112</v>
      </c>
      <c r="B963" s="15">
        <v>962</v>
      </c>
      <c r="C963" s="15" t="s">
        <v>11277</v>
      </c>
      <c r="D963" s="15" t="s">
        <v>11277</v>
      </c>
      <c r="E963" s="15" t="s">
        <v>1067</v>
      </c>
      <c r="F963" s="15" t="s">
        <v>1570</v>
      </c>
      <c r="G963" s="15" t="s">
        <v>11617</v>
      </c>
      <c r="H963" s="15">
        <v>18</v>
      </c>
      <c r="I963" s="15">
        <v>17</v>
      </c>
      <c r="J963" s="15">
        <v>46</v>
      </c>
      <c r="K963" s="15" t="str">
        <f t="shared" si="15"/>
        <v>rathefrost</v>
      </c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25">
      <c r="A964" s="15" t="s">
        <v>15113</v>
      </c>
      <c r="B964" s="15">
        <v>963</v>
      </c>
      <c r="C964" s="15" t="s">
        <v>11277</v>
      </c>
      <c r="D964" s="15" t="s">
        <v>11277</v>
      </c>
      <c r="E964" s="15" t="s">
        <v>1067</v>
      </c>
      <c r="F964" s="15" t="s">
        <v>1568</v>
      </c>
      <c r="G964" s="15" t="s">
        <v>11321</v>
      </c>
      <c r="H964" s="15">
        <v>14</v>
      </c>
      <c r="I964" s="15">
        <v>13</v>
      </c>
      <c r="J964" s="15">
        <v>5</v>
      </c>
      <c r="K964" s="15" t="str">
        <f t="shared" si="15"/>
        <v>thetangle</v>
      </c>
      <c r="L964" s="15" t="s">
        <v>11253</v>
      </c>
      <c r="M964" s="15">
        <v>1</v>
      </c>
      <c r="N964" s="15" t="s">
        <v>11222</v>
      </c>
      <c r="O964" s="15"/>
      <c r="P964" s="15"/>
      <c r="Q964" s="15"/>
      <c r="R964" s="15"/>
      <c r="S964" s="15"/>
      <c r="T964" s="15">
        <v>0</v>
      </c>
      <c r="U964" s="15"/>
      <c r="V964" s="15"/>
      <c r="W964" s="15"/>
      <c r="X964" s="15"/>
      <c r="Y964" s="15"/>
      <c r="Z964" s="15"/>
    </row>
    <row r="965" spans="1:26" x14ac:dyDescent="0.25">
      <c r="A965" s="15" t="s">
        <v>15114</v>
      </c>
      <c r="B965" s="15">
        <v>964</v>
      </c>
      <c r="C965" s="15" t="s">
        <v>11277</v>
      </c>
      <c r="D965" s="15" t="s">
        <v>11277</v>
      </c>
      <c r="E965" s="15" t="s">
        <v>1067</v>
      </c>
      <c r="F965" s="15" t="s">
        <v>1568</v>
      </c>
      <c r="G965" s="15" t="s">
        <v>11417</v>
      </c>
      <c r="H965" s="15">
        <v>14</v>
      </c>
      <c r="I965" s="15">
        <v>13</v>
      </c>
      <c r="J965" s="15">
        <v>16</v>
      </c>
      <c r="K965" s="15" t="str">
        <f t="shared" si="15"/>
        <v>thetangle</v>
      </c>
      <c r="L965" s="15" t="s">
        <v>11254</v>
      </c>
      <c r="M965" s="15">
        <v>1</v>
      </c>
      <c r="N965" s="15" t="s">
        <v>11222</v>
      </c>
      <c r="O965" s="15"/>
      <c r="P965" s="15"/>
      <c r="Q965" s="15"/>
      <c r="R965" s="15"/>
      <c r="S965" s="15"/>
      <c r="T965" s="15">
        <v>0</v>
      </c>
      <c r="U965" s="15"/>
      <c r="V965" s="15"/>
      <c r="W965" s="15"/>
      <c r="X965" s="15"/>
      <c r="Y965" s="15"/>
      <c r="Z965" s="15"/>
    </row>
    <row r="966" spans="1:26" x14ac:dyDescent="0.25">
      <c r="A966" s="15" t="s">
        <v>15115</v>
      </c>
      <c r="B966" s="15">
        <v>965</v>
      </c>
      <c r="C966" s="15" t="s">
        <v>11277</v>
      </c>
      <c r="D966" s="15" t="s">
        <v>11277</v>
      </c>
      <c r="E966" s="15" t="s">
        <v>1067</v>
      </c>
      <c r="F966" s="15" t="s">
        <v>1568</v>
      </c>
      <c r="G966" s="15" t="s">
        <v>11370</v>
      </c>
      <c r="H966" s="15">
        <v>14</v>
      </c>
      <c r="I966" s="15">
        <v>13</v>
      </c>
      <c r="J966" s="15">
        <v>36</v>
      </c>
      <c r="K966" s="15" t="str">
        <f t="shared" si="15"/>
        <v>thetangle</v>
      </c>
      <c r="L966" s="15" t="s">
        <v>11355</v>
      </c>
      <c r="M966" s="15">
        <v>1</v>
      </c>
      <c r="N966" s="15" t="s">
        <v>11222</v>
      </c>
      <c r="O966" s="15"/>
      <c r="P966" s="15"/>
      <c r="Q966" s="15"/>
      <c r="R966" s="15"/>
      <c r="S966" s="15"/>
      <c r="T966" s="15">
        <v>0</v>
      </c>
      <c r="U966" s="15"/>
      <c r="V966" s="15"/>
      <c r="W966" s="15"/>
      <c r="X966" s="15"/>
      <c r="Y966" s="15"/>
      <c r="Z966" s="15"/>
    </row>
    <row r="967" spans="1:26" x14ac:dyDescent="0.25">
      <c r="A967" s="15" t="s">
        <v>15116</v>
      </c>
      <c r="B967" s="15">
        <v>966</v>
      </c>
      <c r="C967" s="15" t="s">
        <v>11277</v>
      </c>
      <c r="D967" s="15" t="s">
        <v>11277</v>
      </c>
      <c r="E967" s="15" t="s">
        <v>1067</v>
      </c>
      <c r="F967" s="15" t="s">
        <v>1568</v>
      </c>
      <c r="G967" s="15" t="s">
        <v>11371</v>
      </c>
      <c r="H967" s="15">
        <v>14</v>
      </c>
      <c r="I967" s="15">
        <v>13</v>
      </c>
      <c r="J967" s="15">
        <v>44</v>
      </c>
      <c r="K967" s="15" t="str">
        <f t="shared" si="15"/>
        <v>thetangle</v>
      </c>
      <c r="L967" s="15" t="s">
        <v>11360</v>
      </c>
      <c r="M967" s="15">
        <v>1</v>
      </c>
      <c r="N967" s="15" t="s">
        <v>11222</v>
      </c>
      <c r="O967" s="15"/>
      <c r="P967" s="15"/>
      <c r="Q967" s="15"/>
      <c r="R967" s="15"/>
      <c r="S967" s="15"/>
      <c r="T967" s="15">
        <v>0</v>
      </c>
      <c r="U967" s="15"/>
      <c r="V967" s="15"/>
      <c r="W967" s="15"/>
      <c r="X967" s="15"/>
      <c r="Y967" s="15"/>
      <c r="Z967" s="15"/>
    </row>
    <row r="968" spans="1:26" x14ac:dyDescent="0.25">
      <c r="A968" s="15" t="s">
        <v>15117</v>
      </c>
      <c r="B968" s="15">
        <v>967</v>
      </c>
      <c r="C968" s="15" t="s">
        <v>11277</v>
      </c>
      <c r="D968" s="15" t="s">
        <v>11277</v>
      </c>
      <c r="E968" s="15" t="s">
        <v>1067</v>
      </c>
      <c r="F968" s="15" t="s">
        <v>1568</v>
      </c>
      <c r="G968" s="15" t="s">
        <v>11469</v>
      </c>
      <c r="H968" s="15">
        <v>14</v>
      </c>
      <c r="I968" s="15">
        <v>13</v>
      </c>
      <c r="J968" s="15">
        <v>47</v>
      </c>
      <c r="K968" s="15" t="str">
        <f t="shared" si="15"/>
        <v>thetangle</v>
      </c>
      <c r="L968" s="15" t="s">
        <v>14088</v>
      </c>
      <c r="M968" s="15">
        <v>2</v>
      </c>
      <c r="N968" s="15" t="s">
        <v>11223</v>
      </c>
      <c r="O968" s="15"/>
      <c r="P968" s="15"/>
      <c r="Q968" s="15" t="s">
        <v>11370</v>
      </c>
      <c r="R968" s="15" t="s">
        <v>11417</v>
      </c>
      <c r="S968" s="15"/>
      <c r="T968" s="15">
        <v>0</v>
      </c>
      <c r="U968" s="15"/>
      <c r="V968" s="15"/>
      <c r="W968" s="15"/>
      <c r="X968" s="15"/>
      <c r="Y968" s="15"/>
      <c r="Z968" s="15"/>
    </row>
    <row r="969" spans="1:26" x14ac:dyDescent="0.25">
      <c r="A969" s="15" t="s">
        <v>15118</v>
      </c>
      <c r="B969" s="15">
        <v>968</v>
      </c>
      <c r="C969" s="15" t="s">
        <v>11277</v>
      </c>
      <c r="D969" s="15" t="s">
        <v>11277</v>
      </c>
      <c r="E969" s="15" t="s">
        <v>1067</v>
      </c>
      <c r="F969" s="15" t="s">
        <v>1568</v>
      </c>
      <c r="G969" s="15" t="s">
        <v>11489</v>
      </c>
      <c r="H969" s="15">
        <v>14</v>
      </c>
      <c r="I969" s="15">
        <v>13</v>
      </c>
      <c r="J969" s="15">
        <v>48</v>
      </c>
      <c r="K969" s="15" t="str">
        <f t="shared" si="15"/>
        <v>thetangle</v>
      </c>
      <c r="L969" s="15" t="s">
        <v>14088</v>
      </c>
      <c r="M969" s="15">
        <v>2</v>
      </c>
      <c r="N969" s="15" t="s">
        <v>11223</v>
      </c>
      <c r="O969" s="15"/>
      <c r="P969" s="15"/>
      <c r="Q969" s="15" t="s">
        <v>11370</v>
      </c>
      <c r="R969" s="15"/>
      <c r="S969" s="15"/>
      <c r="T969" s="15">
        <v>0</v>
      </c>
      <c r="U969" s="15"/>
      <c r="V969" s="15"/>
      <c r="W969" s="15"/>
      <c r="X969" s="15"/>
      <c r="Y969" s="15"/>
      <c r="Z969" s="15"/>
    </row>
    <row r="970" spans="1:26" x14ac:dyDescent="0.25">
      <c r="A970" s="15" t="s">
        <v>15119</v>
      </c>
      <c r="B970" s="15">
        <v>969</v>
      </c>
      <c r="C970" s="15" t="s">
        <v>11277</v>
      </c>
      <c r="D970" s="15" t="s">
        <v>11277</v>
      </c>
      <c r="E970" s="15" t="s">
        <v>1067</v>
      </c>
      <c r="F970" s="15" t="s">
        <v>1568</v>
      </c>
      <c r="G970" s="15" t="s">
        <v>11490</v>
      </c>
      <c r="H970" s="15">
        <v>14</v>
      </c>
      <c r="I970" s="15">
        <v>13</v>
      </c>
      <c r="J970" s="15">
        <v>48</v>
      </c>
      <c r="K970" s="15" t="str">
        <f t="shared" si="15"/>
        <v>thetangle</v>
      </c>
      <c r="L970" s="15" t="s">
        <v>11363</v>
      </c>
      <c r="M970" s="15">
        <v>2</v>
      </c>
      <c r="N970" s="15" t="s">
        <v>11223</v>
      </c>
      <c r="O970" s="15"/>
      <c r="P970" s="15"/>
      <c r="Q970" s="15"/>
      <c r="R970" s="15"/>
      <c r="S970" s="15"/>
      <c r="T970" s="15">
        <v>0</v>
      </c>
      <c r="U970" s="15"/>
      <c r="V970" s="15"/>
      <c r="W970" s="15"/>
      <c r="X970" s="15"/>
      <c r="Y970" s="15"/>
      <c r="Z970" s="15"/>
    </row>
    <row r="971" spans="1:26" x14ac:dyDescent="0.25">
      <c r="A971" s="15" t="s">
        <v>15120</v>
      </c>
      <c r="B971" s="15">
        <v>970</v>
      </c>
      <c r="C971" s="15" t="s">
        <v>11277</v>
      </c>
      <c r="D971" s="15" t="s">
        <v>11277</v>
      </c>
      <c r="E971" s="15" t="s">
        <v>1067</v>
      </c>
      <c r="F971" s="15" t="s">
        <v>1568</v>
      </c>
      <c r="G971" s="15" t="s">
        <v>11618</v>
      </c>
      <c r="H971" s="15">
        <v>14</v>
      </c>
      <c r="I971" s="15">
        <v>13</v>
      </c>
      <c r="J971" s="15">
        <v>50</v>
      </c>
      <c r="K971" s="15" t="str">
        <f t="shared" si="15"/>
        <v>thetangle</v>
      </c>
      <c r="L971" s="15" t="s">
        <v>11472</v>
      </c>
      <c r="M971" s="15">
        <v>2</v>
      </c>
      <c r="N971" s="15" t="s">
        <v>11223</v>
      </c>
      <c r="O971" s="15"/>
      <c r="P971" s="15"/>
      <c r="Q971" s="15"/>
      <c r="R971" s="15"/>
      <c r="S971" s="15"/>
      <c r="T971" s="15">
        <v>2</v>
      </c>
      <c r="U971" s="15" t="s">
        <v>6097</v>
      </c>
      <c r="V971" s="15"/>
      <c r="W971" s="15"/>
      <c r="X971" s="15"/>
      <c r="Y971" s="15"/>
      <c r="Z971" s="15"/>
    </row>
    <row r="972" spans="1:26" x14ac:dyDescent="0.25">
      <c r="A972" s="15" t="s">
        <v>15121</v>
      </c>
      <c r="B972" s="15">
        <v>971</v>
      </c>
      <c r="C972" s="15" t="s">
        <v>11277</v>
      </c>
      <c r="D972" s="15" t="s">
        <v>11277</v>
      </c>
      <c r="E972" s="15" t="s">
        <v>1067</v>
      </c>
      <c r="F972" s="15" t="s">
        <v>1568</v>
      </c>
      <c r="G972" s="15" t="s">
        <v>11619</v>
      </c>
      <c r="H972" s="15">
        <v>14</v>
      </c>
      <c r="I972" s="15">
        <v>13</v>
      </c>
      <c r="J972" s="15">
        <v>50</v>
      </c>
      <c r="K972" s="15" t="str">
        <f t="shared" si="15"/>
        <v>thetangle</v>
      </c>
      <c r="L972" s="15" t="s">
        <v>14088</v>
      </c>
      <c r="M972" s="15">
        <v>3</v>
      </c>
      <c r="N972" s="15" t="s">
        <v>11223</v>
      </c>
      <c r="O972" s="15" t="s">
        <v>14050</v>
      </c>
      <c r="P972" s="15"/>
      <c r="Q972" s="15" t="s">
        <v>11469</v>
      </c>
      <c r="R972" s="15"/>
      <c r="S972" s="15"/>
      <c r="T972" s="15">
        <v>3</v>
      </c>
      <c r="U972" s="15" t="s">
        <v>6097</v>
      </c>
      <c r="V972" s="15"/>
      <c r="W972" s="15"/>
      <c r="X972" s="15"/>
      <c r="Y972" s="15"/>
      <c r="Z972" s="15"/>
    </row>
    <row r="973" spans="1:26" x14ac:dyDescent="0.25">
      <c r="A973" s="15" t="s">
        <v>15122</v>
      </c>
      <c r="B973" s="15">
        <v>972</v>
      </c>
      <c r="C973" s="15" t="s">
        <v>11277</v>
      </c>
      <c r="D973" s="15" t="s">
        <v>11277</v>
      </c>
      <c r="E973" s="15" t="s">
        <v>1067</v>
      </c>
      <c r="F973" s="15" t="s">
        <v>1568</v>
      </c>
      <c r="G973" s="15" t="s">
        <v>11620</v>
      </c>
      <c r="H973" s="15">
        <v>14</v>
      </c>
      <c r="I973" s="15">
        <v>13</v>
      </c>
      <c r="J973" s="15">
        <v>50</v>
      </c>
      <c r="K973" s="15" t="str">
        <f t="shared" si="15"/>
        <v>thetangle</v>
      </c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25">
      <c r="A974" s="15" t="s">
        <v>15123</v>
      </c>
      <c r="B974" s="15">
        <v>973</v>
      </c>
      <c r="C974" s="15" t="s">
        <v>11277</v>
      </c>
      <c r="D974" s="15" t="s">
        <v>11277</v>
      </c>
      <c r="E974" s="15" t="s">
        <v>1067</v>
      </c>
      <c r="F974" s="15" t="s">
        <v>1568</v>
      </c>
      <c r="G974" s="15" t="s">
        <v>11473</v>
      </c>
      <c r="H974" s="15">
        <v>14</v>
      </c>
      <c r="I974" s="15">
        <v>13</v>
      </c>
      <c r="J974" s="15">
        <v>50</v>
      </c>
      <c r="K974" s="15" t="str">
        <f t="shared" si="15"/>
        <v>thetangle</v>
      </c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25">
      <c r="A975" s="15" t="s">
        <v>15124</v>
      </c>
      <c r="B975" s="15">
        <v>974</v>
      </c>
      <c r="C975" s="15" t="s">
        <v>11277</v>
      </c>
      <c r="D975" s="15" t="s">
        <v>11277</v>
      </c>
      <c r="E975" s="15" t="s">
        <v>1067</v>
      </c>
      <c r="F975" s="15" t="s">
        <v>15125</v>
      </c>
      <c r="G975" s="15" t="s">
        <v>11324</v>
      </c>
      <c r="H975" s="15">
        <v>31</v>
      </c>
      <c r="I975" s="15">
        <v>6</v>
      </c>
      <c r="J975" s="15">
        <v>31</v>
      </c>
      <c r="K975" s="15" t="str">
        <f t="shared" si="15"/>
        <v>thenorthshards</v>
      </c>
      <c r="L975" s="15" t="s">
        <v>11376</v>
      </c>
      <c r="M975" s="15">
        <v>1</v>
      </c>
      <c r="N975" s="15" t="s">
        <v>11222</v>
      </c>
      <c r="O975" s="15"/>
      <c r="P975" s="15"/>
      <c r="Q975" s="15"/>
      <c r="R975" s="15"/>
      <c r="S975" s="15"/>
      <c r="T975" s="15">
        <v>0</v>
      </c>
      <c r="U975" s="15"/>
      <c r="V975" s="15"/>
      <c r="W975" s="15"/>
      <c r="X975" s="15"/>
      <c r="Y975" s="15"/>
      <c r="Z975" s="15"/>
    </row>
    <row r="976" spans="1:26" x14ac:dyDescent="0.25">
      <c r="A976" s="15" t="s">
        <v>15126</v>
      </c>
      <c r="B976" s="15">
        <v>975</v>
      </c>
      <c r="C976" s="15" t="s">
        <v>11277</v>
      </c>
      <c r="D976" s="15" t="s">
        <v>11277</v>
      </c>
      <c r="E976" s="15" t="s">
        <v>1067</v>
      </c>
      <c r="F976" s="15" t="s">
        <v>15125</v>
      </c>
      <c r="G976" s="15" t="s">
        <v>11370</v>
      </c>
      <c r="H976" s="15">
        <v>31</v>
      </c>
      <c r="I976" s="15">
        <v>6</v>
      </c>
      <c r="J976" s="15">
        <v>36</v>
      </c>
      <c r="K976" s="15" t="str">
        <f t="shared" si="15"/>
        <v>thenorthshards</v>
      </c>
      <c r="L976" s="15" t="s">
        <v>11355</v>
      </c>
      <c r="M976" s="15">
        <v>1</v>
      </c>
      <c r="N976" s="15" t="s">
        <v>11222</v>
      </c>
      <c r="O976" s="15"/>
      <c r="P976" s="15"/>
      <c r="Q976" s="15"/>
      <c r="R976" s="15"/>
      <c r="S976" s="15"/>
      <c r="T976" s="15">
        <v>0</v>
      </c>
      <c r="U976" s="15"/>
      <c r="V976" s="15"/>
      <c r="W976" s="15"/>
      <c r="X976" s="15"/>
      <c r="Y976" s="15"/>
      <c r="Z976" s="15"/>
    </row>
    <row r="977" spans="1:26" x14ac:dyDescent="0.25">
      <c r="A977" s="15" t="s">
        <v>15127</v>
      </c>
      <c r="B977" s="15">
        <v>976</v>
      </c>
      <c r="C977" s="15" t="s">
        <v>11277</v>
      </c>
      <c r="D977" s="15" t="s">
        <v>11277</v>
      </c>
      <c r="E977" s="15" t="s">
        <v>1067</v>
      </c>
      <c r="F977" s="15" t="s">
        <v>15125</v>
      </c>
      <c r="G977" s="15" t="s">
        <v>11365</v>
      </c>
      <c r="H977" s="15">
        <v>31</v>
      </c>
      <c r="I977" s="15">
        <v>6</v>
      </c>
      <c r="J977" s="15">
        <v>37</v>
      </c>
      <c r="K977" s="15" t="str">
        <f t="shared" si="15"/>
        <v>thenorthshards</v>
      </c>
      <c r="L977" s="15" t="s">
        <v>11355</v>
      </c>
      <c r="M977" s="15">
        <v>2</v>
      </c>
      <c r="N977" s="15" t="s">
        <v>11223</v>
      </c>
      <c r="O977" s="15"/>
      <c r="P977" s="15"/>
      <c r="Q977" s="15"/>
      <c r="R977" s="15"/>
      <c r="S977" s="15"/>
      <c r="T977" s="15">
        <v>0</v>
      </c>
      <c r="U977" s="15"/>
      <c r="V977" s="15"/>
      <c r="W977" s="15"/>
      <c r="X977" s="15"/>
      <c r="Y977" s="15"/>
      <c r="Z977" s="15"/>
    </row>
    <row r="978" spans="1:26" x14ac:dyDescent="0.25">
      <c r="A978" s="15" t="s">
        <v>15128</v>
      </c>
      <c r="B978" s="15">
        <v>977</v>
      </c>
      <c r="C978" s="15" t="s">
        <v>11277</v>
      </c>
      <c r="D978" s="15" t="s">
        <v>11277</v>
      </c>
      <c r="E978" s="15" t="s">
        <v>1067</v>
      </c>
      <c r="F978" s="15" t="s">
        <v>15125</v>
      </c>
      <c r="G978" s="15" t="s">
        <v>11488</v>
      </c>
      <c r="H978" s="15">
        <v>31</v>
      </c>
      <c r="I978" s="15">
        <v>6</v>
      </c>
      <c r="J978" s="15">
        <v>41</v>
      </c>
      <c r="K978" s="15" t="str">
        <f t="shared" si="15"/>
        <v>thenorthshards</v>
      </c>
      <c r="L978" s="15" t="s">
        <v>11360</v>
      </c>
      <c r="M978" s="15">
        <v>1</v>
      </c>
      <c r="N978" s="15" t="s">
        <v>11222</v>
      </c>
      <c r="O978" s="15"/>
      <c r="P978" s="15"/>
      <c r="Q978" s="15"/>
      <c r="R978" s="15"/>
      <c r="S978" s="15"/>
      <c r="T978" s="15">
        <v>0</v>
      </c>
      <c r="U978" s="15"/>
      <c r="V978" s="15"/>
      <c r="W978" s="15"/>
      <c r="X978" s="15"/>
      <c r="Y978" s="15"/>
      <c r="Z978" s="15"/>
    </row>
    <row r="979" spans="1:26" x14ac:dyDescent="0.25">
      <c r="A979" s="15" t="s">
        <v>15129</v>
      </c>
      <c r="B979" s="15">
        <v>978</v>
      </c>
      <c r="C979" s="15" t="s">
        <v>11277</v>
      </c>
      <c r="D979" s="15" t="s">
        <v>11277</v>
      </c>
      <c r="E979" s="15" t="s">
        <v>1067</v>
      </c>
      <c r="F979" s="15" t="s">
        <v>15125</v>
      </c>
      <c r="G979" s="15" t="s">
        <v>11469</v>
      </c>
      <c r="H979" s="15">
        <v>31</v>
      </c>
      <c r="I979" s="15">
        <v>6</v>
      </c>
      <c r="J979" s="15">
        <v>47</v>
      </c>
      <c r="K979" s="15" t="str">
        <f t="shared" si="15"/>
        <v>thenorthshards</v>
      </c>
      <c r="L979" s="15" t="s">
        <v>14088</v>
      </c>
      <c r="M979" s="15">
        <v>2</v>
      </c>
      <c r="N979" s="15" t="s">
        <v>11223</v>
      </c>
      <c r="O979" s="15"/>
      <c r="P979" s="15"/>
      <c r="Q979" s="15" t="s">
        <v>11370</v>
      </c>
      <c r="R979" s="15" t="s">
        <v>11377</v>
      </c>
      <c r="S979" s="15"/>
      <c r="T979" s="15">
        <v>0</v>
      </c>
      <c r="U979" s="15"/>
      <c r="V979" s="15"/>
      <c r="W979" s="15"/>
      <c r="X979" s="15"/>
      <c r="Y979" s="15"/>
      <c r="Z979" s="15"/>
    </row>
    <row r="980" spans="1:26" x14ac:dyDescent="0.25">
      <c r="A980" s="15" t="s">
        <v>15130</v>
      </c>
      <c r="B980" s="15">
        <v>979</v>
      </c>
      <c r="C980" s="15" t="s">
        <v>11277</v>
      </c>
      <c r="D980" s="15" t="s">
        <v>11277</v>
      </c>
      <c r="E980" s="15" t="s">
        <v>1067</v>
      </c>
      <c r="F980" s="15" t="s">
        <v>15125</v>
      </c>
      <c r="G980" s="15" t="s">
        <v>11490</v>
      </c>
      <c r="H980" s="15">
        <v>31</v>
      </c>
      <c r="I980" s="15">
        <v>6</v>
      </c>
      <c r="J980" s="15">
        <v>48</v>
      </c>
      <c r="K980" s="15" t="str">
        <f t="shared" si="15"/>
        <v>thenorthshards</v>
      </c>
      <c r="L980" s="15" t="s">
        <v>11376</v>
      </c>
      <c r="M980" s="15">
        <v>2</v>
      </c>
      <c r="N980" s="15" t="s">
        <v>11223</v>
      </c>
      <c r="O980" s="15"/>
      <c r="P980" s="15"/>
      <c r="Q980" s="15"/>
      <c r="R980" s="15"/>
      <c r="S980" s="15"/>
      <c r="T980" s="15">
        <v>0</v>
      </c>
      <c r="U980" s="15"/>
      <c r="V980" s="15"/>
      <c r="W980" s="15"/>
      <c r="X980" s="15"/>
      <c r="Y980" s="15"/>
      <c r="Z980" s="15"/>
    </row>
    <row r="981" spans="1:26" x14ac:dyDescent="0.25">
      <c r="A981" s="15" t="s">
        <v>15131</v>
      </c>
      <c r="B981" s="15">
        <v>980</v>
      </c>
      <c r="C981" s="15" t="s">
        <v>11277</v>
      </c>
      <c r="D981" s="15" t="s">
        <v>11277</v>
      </c>
      <c r="E981" s="15" t="s">
        <v>1067</v>
      </c>
      <c r="F981" s="15" t="s">
        <v>15125</v>
      </c>
      <c r="G981" s="15" t="s">
        <v>11377</v>
      </c>
      <c r="H981" s="15">
        <v>31</v>
      </c>
      <c r="I981" s="15">
        <v>6</v>
      </c>
      <c r="J981" s="15">
        <v>50</v>
      </c>
      <c r="K981" s="15" t="str">
        <f t="shared" si="15"/>
        <v>thenorthshards</v>
      </c>
      <c r="L981" s="15" t="s">
        <v>14088</v>
      </c>
      <c r="M981" s="15">
        <v>1</v>
      </c>
      <c r="N981" s="15" t="s">
        <v>11222</v>
      </c>
      <c r="O981" s="15"/>
      <c r="P981" s="15"/>
      <c r="Q981" s="15" t="s">
        <v>11370</v>
      </c>
      <c r="R981" s="15"/>
      <c r="S981" s="15"/>
      <c r="T981" s="15">
        <v>0</v>
      </c>
      <c r="U981" s="15"/>
      <c r="V981" s="15"/>
      <c r="W981" s="15"/>
      <c r="X981" s="15"/>
      <c r="Y981" s="15"/>
      <c r="Z981" s="15"/>
    </row>
    <row r="982" spans="1:26" x14ac:dyDescent="0.25">
      <c r="A982" s="15" t="s">
        <v>15132</v>
      </c>
      <c r="B982" s="15">
        <v>981</v>
      </c>
      <c r="C982" s="15" t="s">
        <v>11277</v>
      </c>
      <c r="D982" s="15" t="s">
        <v>11277</v>
      </c>
      <c r="E982" s="15" t="s">
        <v>1067</v>
      </c>
      <c r="F982" s="15" t="s">
        <v>15125</v>
      </c>
      <c r="G982" s="15" t="s">
        <v>11621</v>
      </c>
      <c r="H982" s="15">
        <v>31</v>
      </c>
      <c r="I982" s="15">
        <v>6</v>
      </c>
      <c r="J982" s="15">
        <v>50</v>
      </c>
      <c r="K982" s="15" t="str">
        <f t="shared" si="15"/>
        <v>thenorthshards</v>
      </c>
      <c r="L982" s="15" t="s">
        <v>14088</v>
      </c>
      <c r="M982" s="15">
        <v>3</v>
      </c>
      <c r="N982" s="15" t="s">
        <v>11223</v>
      </c>
      <c r="O982" s="15"/>
      <c r="P982" s="15"/>
      <c r="Q982" s="15" t="s">
        <v>11377</v>
      </c>
      <c r="R982" s="15"/>
      <c r="S982" s="15"/>
      <c r="T982" s="15">
        <v>2</v>
      </c>
      <c r="U982" s="15"/>
      <c r="V982" s="15"/>
      <c r="W982" s="15"/>
      <c r="X982" s="15"/>
      <c r="Y982" s="15"/>
      <c r="Z982" s="15"/>
    </row>
    <row r="983" spans="1:26" x14ac:dyDescent="0.25">
      <c r="A983" s="15" t="s">
        <v>15133</v>
      </c>
      <c r="B983" s="15">
        <v>982</v>
      </c>
      <c r="C983" s="15" t="s">
        <v>11277</v>
      </c>
      <c r="D983" s="15" t="s">
        <v>11277</v>
      </c>
      <c r="E983" s="15" t="s">
        <v>1067</v>
      </c>
      <c r="F983" s="15" t="s">
        <v>15125</v>
      </c>
      <c r="G983" s="15" t="s">
        <v>11622</v>
      </c>
      <c r="H983" s="15">
        <v>31</v>
      </c>
      <c r="I983" s="15">
        <v>6</v>
      </c>
      <c r="J983" s="15">
        <v>50</v>
      </c>
      <c r="K983" s="15" t="str">
        <f t="shared" si="15"/>
        <v>thenorthshards</v>
      </c>
      <c r="L983" s="15" t="s">
        <v>14088</v>
      </c>
      <c r="M983" s="15">
        <v>3</v>
      </c>
      <c r="N983" s="15" t="s">
        <v>11223</v>
      </c>
      <c r="O983" s="15" t="s">
        <v>14007</v>
      </c>
      <c r="P983" s="15"/>
      <c r="Q983" s="15" t="s">
        <v>11377</v>
      </c>
      <c r="R983" s="15"/>
      <c r="S983" s="15"/>
      <c r="T983" s="15">
        <v>3</v>
      </c>
      <c r="U983" s="15" t="s">
        <v>6097</v>
      </c>
      <c r="V983" s="15"/>
      <c r="W983" s="15"/>
      <c r="X983" s="15"/>
      <c r="Y983" s="15"/>
      <c r="Z983" s="15"/>
    </row>
    <row r="984" spans="1:26" x14ac:dyDescent="0.25">
      <c r="A984" s="15" t="s">
        <v>15134</v>
      </c>
      <c r="B984" s="15">
        <v>983</v>
      </c>
      <c r="C984" s="15" t="s">
        <v>11277</v>
      </c>
      <c r="D984" s="15" t="s">
        <v>11277</v>
      </c>
      <c r="E984" s="15" t="s">
        <v>1067</v>
      </c>
      <c r="F984" s="15" t="s">
        <v>15125</v>
      </c>
      <c r="G984" s="15" t="s">
        <v>11623</v>
      </c>
      <c r="H984" s="15">
        <v>31</v>
      </c>
      <c r="I984" s="15">
        <v>6</v>
      </c>
      <c r="J984" s="15">
        <v>50</v>
      </c>
      <c r="K984" s="15" t="str">
        <f t="shared" si="15"/>
        <v>thenorthshards</v>
      </c>
      <c r="L984" s="15" t="s">
        <v>14088</v>
      </c>
      <c r="M984" s="15">
        <v>3</v>
      </c>
      <c r="N984" s="15" t="s">
        <v>11223</v>
      </c>
      <c r="O984" s="15"/>
      <c r="P984" s="15" t="s">
        <v>15135</v>
      </c>
      <c r="Q984" s="15" t="s">
        <v>11370</v>
      </c>
      <c r="R984" s="15" t="s">
        <v>11377</v>
      </c>
      <c r="S984" s="15" t="s">
        <v>11469</v>
      </c>
      <c r="T984" s="15">
        <v>3</v>
      </c>
      <c r="U984" s="15"/>
      <c r="V984" s="15"/>
      <c r="W984" s="15"/>
      <c r="X984" s="15"/>
      <c r="Y984" s="15"/>
      <c r="Z984" s="15"/>
    </row>
    <row r="985" spans="1:26" x14ac:dyDescent="0.25">
      <c r="A985" s="15" t="s">
        <v>15136</v>
      </c>
      <c r="B985" s="15">
        <v>984</v>
      </c>
      <c r="C985" s="15" t="s">
        <v>11277</v>
      </c>
      <c r="D985" s="15" t="s">
        <v>11277</v>
      </c>
      <c r="E985" s="15" t="s">
        <v>1067</v>
      </c>
      <c r="F985" s="15" t="s">
        <v>15125</v>
      </c>
      <c r="G985" s="15" t="s">
        <v>11473</v>
      </c>
      <c r="H985" s="15">
        <v>31</v>
      </c>
      <c r="I985" s="15">
        <v>6</v>
      </c>
      <c r="J985" s="15">
        <v>50</v>
      </c>
      <c r="K985" s="15" t="str">
        <f t="shared" si="15"/>
        <v>thenorthshards</v>
      </c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25">
      <c r="A986" s="15" t="s">
        <v>15137</v>
      </c>
      <c r="B986" s="15">
        <v>985</v>
      </c>
      <c r="C986" s="15" t="s">
        <v>11277</v>
      </c>
      <c r="D986" s="15" t="s">
        <v>11277</v>
      </c>
      <c r="E986" s="15" t="s">
        <v>11</v>
      </c>
      <c r="F986" s="15" t="s">
        <v>1605</v>
      </c>
      <c r="G986" s="15" t="s">
        <v>12135</v>
      </c>
      <c r="H986" s="15">
        <v>29</v>
      </c>
      <c r="I986" s="15">
        <v>35</v>
      </c>
      <c r="J986" s="15">
        <v>53</v>
      </c>
      <c r="K986" s="15" t="str">
        <f t="shared" si="15"/>
        <v>voorsiansiran</v>
      </c>
      <c r="L986" s="15" t="s">
        <v>11560</v>
      </c>
      <c r="M986" s="15">
        <v>1</v>
      </c>
      <c r="N986" s="15" t="s">
        <v>11222</v>
      </c>
      <c r="O986" s="15"/>
      <c r="P986" s="15"/>
      <c r="Q986" s="15"/>
      <c r="R986" s="15"/>
      <c r="S986" s="15"/>
      <c r="T986" s="15">
        <v>0</v>
      </c>
      <c r="U986" s="15"/>
      <c r="V986" s="15"/>
      <c r="W986" s="15"/>
      <c r="X986" s="15"/>
      <c r="Y986" s="15"/>
      <c r="Z986" s="15"/>
    </row>
    <row r="987" spans="1:26" x14ac:dyDescent="0.25">
      <c r="A987" s="15" t="s">
        <v>15138</v>
      </c>
      <c r="B987" s="15">
        <v>986</v>
      </c>
      <c r="C987" s="15" t="s">
        <v>11277</v>
      </c>
      <c r="D987" s="15" t="s">
        <v>11277</v>
      </c>
      <c r="E987" s="15" t="s">
        <v>11</v>
      </c>
      <c r="F987" s="15" t="s">
        <v>1605</v>
      </c>
      <c r="G987" s="15" t="s">
        <v>12136</v>
      </c>
      <c r="H987" s="15">
        <v>29</v>
      </c>
      <c r="I987" s="15">
        <v>35</v>
      </c>
      <c r="J987" s="15">
        <v>53</v>
      </c>
      <c r="K987" s="15" t="str">
        <f t="shared" si="15"/>
        <v>voorsiansiran</v>
      </c>
      <c r="L987" s="15" t="s">
        <v>11573</v>
      </c>
      <c r="M987" s="15">
        <v>1</v>
      </c>
      <c r="N987" s="15" t="s">
        <v>11222</v>
      </c>
      <c r="O987" s="15"/>
      <c r="P987" s="15"/>
      <c r="Q987" s="15"/>
      <c r="R987" s="15"/>
      <c r="S987" s="15"/>
      <c r="T987" s="15">
        <v>0</v>
      </c>
      <c r="U987" s="15"/>
      <c r="V987" s="15"/>
      <c r="W987" s="15"/>
      <c r="X987" s="15"/>
      <c r="Y987" s="15"/>
      <c r="Z987" s="15"/>
    </row>
    <row r="988" spans="1:26" x14ac:dyDescent="0.25">
      <c r="A988" s="15" t="s">
        <v>15139</v>
      </c>
      <c r="B988" s="15">
        <v>987</v>
      </c>
      <c r="C988" s="15" t="s">
        <v>11277</v>
      </c>
      <c r="D988" s="15" t="s">
        <v>11277</v>
      </c>
      <c r="E988" s="15" t="s">
        <v>11</v>
      </c>
      <c r="F988" s="15" t="s">
        <v>1605</v>
      </c>
      <c r="G988" s="15" t="s">
        <v>12137</v>
      </c>
      <c r="H988" s="15">
        <v>29</v>
      </c>
      <c r="I988" s="15">
        <v>35</v>
      </c>
      <c r="J988" s="15">
        <v>55</v>
      </c>
      <c r="K988" s="15" t="str">
        <f t="shared" si="15"/>
        <v>voorsiansiran</v>
      </c>
      <c r="L988" s="15" t="s">
        <v>11588</v>
      </c>
      <c r="M988" s="15">
        <v>1</v>
      </c>
      <c r="N988" s="15" t="s">
        <v>11222</v>
      </c>
      <c r="O988" s="15"/>
      <c r="P988" s="15"/>
      <c r="Q988" s="15" t="s">
        <v>12135</v>
      </c>
      <c r="R988" s="15" t="s">
        <v>12137</v>
      </c>
      <c r="S988" s="15"/>
      <c r="T988" s="15">
        <v>0</v>
      </c>
      <c r="U988" s="15"/>
      <c r="V988" s="15"/>
      <c r="W988" s="15"/>
      <c r="X988" s="15"/>
      <c r="Y988" s="15"/>
      <c r="Z988" s="15"/>
    </row>
    <row r="989" spans="1:26" x14ac:dyDescent="0.25">
      <c r="A989" s="15" t="s">
        <v>15140</v>
      </c>
      <c r="B989" s="15">
        <v>988</v>
      </c>
      <c r="C989" s="15" t="s">
        <v>11277</v>
      </c>
      <c r="D989" s="15" t="s">
        <v>11277</v>
      </c>
      <c r="E989" s="15" t="s">
        <v>11</v>
      </c>
      <c r="F989" s="15" t="s">
        <v>1605</v>
      </c>
      <c r="G989" s="15" t="s">
        <v>12138</v>
      </c>
      <c r="H989" s="15">
        <v>29</v>
      </c>
      <c r="I989" s="15">
        <v>35</v>
      </c>
      <c r="J989" s="15">
        <v>53</v>
      </c>
      <c r="K989" s="15" t="str">
        <f t="shared" si="15"/>
        <v>voorsiansiran</v>
      </c>
      <c r="L989" s="15" t="s">
        <v>11573</v>
      </c>
      <c r="M989" s="15">
        <v>1</v>
      </c>
      <c r="N989" s="15" t="s">
        <v>11222</v>
      </c>
      <c r="O989" s="15"/>
      <c r="P989" s="15"/>
      <c r="Q989" s="15"/>
      <c r="R989" s="15"/>
      <c r="S989" s="15"/>
      <c r="T989" s="15">
        <v>0</v>
      </c>
      <c r="U989" s="15"/>
      <c r="V989" s="15"/>
      <c r="W989" s="15"/>
      <c r="X989" s="15"/>
      <c r="Y989" s="15"/>
      <c r="Z989" s="15"/>
    </row>
    <row r="990" spans="1:26" x14ac:dyDescent="0.25">
      <c r="A990" s="15" t="s">
        <v>15141</v>
      </c>
      <c r="B990" s="15">
        <v>989</v>
      </c>
      <c r="C990" s="15" t="s">
        <v>11277</v>
      </c>
      <c r="D990" s="15" t="s">
        <v>11277</v>
      </c>
      <c r="E990" s="15" t="s">
        <v>11</v>
      </c>
      <c r="F990" s="15" t="s">
        <v>1605</v>
      </c>
      <c r="G990" s="15" t="s">
        <v>12139</v>
      </c>
      <c r="H990" s="15">
        <v>29</v>
      </c>
      <c r="I990" s="15">
        <v>35</v>
      </c>
      <c r="J990" s="15">
        <v>54</v>
      </c>
      <c r="K990" s="15" t="str">
        <f t="shared" si="15"/>
        <v>voorsiansiran</v>
      </c>
      <c r="L990" s="15" t="s">
        <v>11564</v>
      </c>
      <c r="M990" s="15">
        <v>2</v>
      </c>
      <c r="N990" s="15" t="s">
        <v>11223</v>
      </c>
      <c r="O990" s="15" t="s">
        <v>14018</v>
      </c>
      <c r="P990" s="15"/>
      <c r="Q990" s="15" t="s">
        <v>12135</v>
      </c>
      <c r="R990" s="15"/>
      <c r="S990" s="15"/>
      <c r="T990" s="15">
        <v>0</v>
      </c>
      <c r="U990" s="15"/>
      <c r="V990" s="15"/>
      <c r="W990" s="15"/>
      <c r="X990" s="15"/>
      <c r="Y990" s="15"/>
      <c r="Z990" s="15"/>
    </row>
    <row r="991" spans="1:26" x14ac:dyDescent="0.25">
      <c r="A991" s="15" t="s">
        <v>15142</v>
      </c>
      <c r="B991" s="15">
        <v>990</v>
      </c>
      <c r="C991" s="15" t="s">
        <v>11277</v>
      </c>
      <c r="D991" s="15" t="s">
        <v>11277</v>
      </c>
      <c r="E991" s="15" t="s">
        <v>11</v>
      </c>
      <c r="F991" s="15" t="s">
        <v>1605</v>
      </c>
      <c r="G991" s="15" t="s">
        <v>49</v>
      </c>
      <c r="H991" s="15">
        <v>29</v>
      </c>
      <c r="I991" s="15">
        <v>35</v>
      </c>
      <c r="J991" s="15">
        <v>58</v>
      </c>
      <c r="K991" s="15" t="str">
        <f t="shared" si="15"/>
        <v>voorsiansiran</v>
      </c>
      <c r="L991" s="15" t="s">
        <v>14088</v>
      </c>
      <c r="M991" s="15">
        <v>3</v>
      </c>
      <c r="N991" s="15" t="s">
        <v>11223</v>
      </c>
      <c r="O991" s="15" t="s">
        <v>2823</v>
      </c>
      <c r="P991" s="15"/>
      <c r="Q991" s="15" t="s">
        <v>12137</v>
      </c>
      <c r="R991" s="15"/>
      <c r="S991" s="15"/>
      <c r="T991" s="15">
        <v>0</v>
      </c>
      <c r="U991" s="15"/>
      <c r="V991" s="15"/>
      <c r="W991" s="15"/>
      <c r="X991" s="15"/>
      <c r="Y991" s="15"/>
      <c r="Z991" s="15"/>
    </row>
    <row r="992" spans="1:26" x14ac:dyDescent="0.25">
      <c r="A992" s="15" t="s">
        <v>15143</v>
      </c>
      <c r="B992" s="15">
        <v>991</v>
      </c>
      <c r="C992" s="15" t="s">
        <v>11277</v>
      </c>
      <c r="D992" s="15" t="s">
        <v>11277</v>
      </c>
      <c r="E992" s="15" t="s">
        <v>102</v>
      </c>
      <c r="F992" s="15" t="s">
        <v>1605</v>
      </c>
      <c r="G992" s="15" t="s">
        <v>12140</v>
      </c>
      <c r="H992" s="15">
        <v>29</v>
      </c>
      <c r="I992" s="15">
        <v>35</v>
      </c>
      <c r="J992" s="15">
        <v>72</v>
      </c>
      <c r="K992" s="15" t="str">
        <f t="shared" si="15"/>
        <v>voorsiansiran</v>
      </c>
      <c r="L992" s="15" t="s">
        <v>11560</v>
      </c>
      <c r="M992" s="15">
        <v>1</v>
      </c>
      <c r="N992" s="15" t="s">
        <v>11222</v>
      </c>
      <c r="O992" s="15"/>
      <c r="P992" s="15"/>
      <c r="Q992" s="15"/>
      <c r="R992" s="15"/>
      <c r="S992" s="15"/>
      <c r="T992" s="15">
        <v>0</v>
      </c>
      <c r="U992" s="15"/>
      <c r="V992" s="15"/>
      <c r="W992" s="15"/>
      <c r="X992" s="15"/>
      <c r="Y992" s="15"/>
      <c r="Z992" s="15"/>
    </row>
    <row r="993" spans="1:26" x14ac:dyDescent="0.25">
      <c r="A993" s="15" t="s">
        <v>15144</v>
      </c>
      <c r="B993" s="15">
        <v>992</v>
      </c>
      <c r="C993" s="15" t="s">
        <v>11277</v>
      </c>
      <c r="D993" s="15" t="s">
        <v>11277</v>
      </c>
      <c r="E993" s="15" t="s">
        <v>11</v>
      </c>
      <c r="F993" s="15" t="s">
        <v>1605</v>
      </c>
      <c r="G993" s="15" t="s">
        <v>12141</v>
      </c>
      <c r="H993" s="15">
        <v>29</v>
      </c>
      <c r="I993" s="15">
        <v>35</v>
      </c>
      <c r="J993" s="15">
        <v>60</v>
      </c>
      <c r="K993" s="15" t="str">
        <f t="shared" si="15"/>
        <v>voorsiansiran</v>
      </c>
      <c r="L993" s="15" t="s">
        <v>11564</v>
      </c>
      <c r="M993" s="15">
        <v>3</v>
      </c>
      <c r="N993" s="15" t="s">
        <v>11223</v>
      </c>
      <c r="O993" s="15" t="s">
        <v>14026</v>
      </c>
      <c r="P993" s="15"/>
      <c r="Q993" s="15"/>
      <c r="R993" s="15"/>
      <c r="S993" s="15"/>
      <c r="T993" s="15">
        <v>0</v>
      </c>
      <c r="U993" s="15"/>
      <c r="V993" s="15"/>
      <c r="W993" s="15"/>
      <c r="X993" s="15"/>
      <c r="Y993" s="15"/>
      <c r="Z993" s="15"/>
    </row>
    <row r="994" spans="1:26" x14ac:dyDescent="0.25">
      <c r="A994" s="15" t="s">
        <v>15145</v>
      </c>
      <c r="B994" s="15">
        <v>993</v>
      </c>
      <c r="C994" s="15" t="s">
        <v>11277</v>
      </c>
      <c r="D994" s="15" t="s">
        <v>11277</v>
      </c>
      <c r="E994" s="15" t="s">
        <v>11</v>
      </c>
      <c r="F994" s="15" t="s">
        <v>5827</v>
      </c>
      <c r="G994" s="15" t="s">
        <v>12135</v>
      </c>
      <c r="H994" s="15">
        <v>30</v>
      </c>
      <c r="I994" s="15">
        <v>39</v>
      </c>
      <c r="J994" s="15">
        <v>53</v>
      </c>
      <c r="K994" s="15" t="str">
        <f t="shared" si="15"/>
        <v>theeddies</v>
      </c>
      <c r="L994" s="15" t="s">
        <v>11573</v>
      </c>
      <c r="M994" s="15">
        <v>1</v>
      </c>
      <c r="N994" s="15" t="s">
        <v>11222</v>
      </c>
      <c r="O994" s="15"/>
      <c r="P994" s="15"/>
      <c r="Q994" s="15"/>
      <c r="R994" s="15"/>
      <c r="S994" s="15"/>
      <c r="T994" s="15">
        <v>0</v>
      </c>
      <c r="U994" s="15"/>
      <c r="V994" s="15"/>
      <c r="W994" s="15"/>
      <c r="X994" s="15"/>
      <c r="Y994" s="15"/>
      <c r="Z994" s="15"/>
    </row>
    <row r="995" spans="1:26" x14ac:dyDescent="0.25">
      <c r="A995" s="15" t="s">
        <v>15146</v>
      </c>
      <c r="B995" s="15">
        <v>994</v>
      </c>
      <c r="C995" s="15" t="s">
        <v>11277</v>
      </c>
      <c r="D995" s="15" t="s">
        <v>11277</v>
      </c>
      <c r="E995" s="15" t="s">
        <v>11</v>
      </c>
      <c r="F995" s="15" t="s">
        <v>5827</v>
      </c>
      <c r="G995" s="15" t="s">
        <v>12136</v>
      </c>
      <c r="H995" s="15">
        <v>30</v>
      </c>
      <c r="I995" s="15">
        <v>39</v>
      </c>
      <c r="J995" s="15">
        <v>53</v>
      </c>
      <c r="K995" s="15" t="str">
        <f t="shared" si="15"/>
        <v>theeddies</v>
      </c>
      <c r="L995" s="15" t="s">
        <v>11573</v>
      </c>
      <c r="M995" s="15">
        <v>1</v>
      </c>
      <c r="N995" s="15" t="s">
        <v>11222</v>
      </c>
      <c r="O995" s="15"/>
      <c r="P995" s="15"/>
      <c r="Q995" s="15"/>
      <c r="R995" s="15"/>
      <c r="S995" s="15"/>
      <c r="T995" s="15">
        <v>0</v>
      </c>
      <c r="U995" s="15"/>
      <c r="V995" s="15"/>
      <c r="W995" s="15"/>
      <c r="X995" s="15"/>
      <c r="Y995" s="15"/>
      <c r="Z995" s="15"/>
    </row>
    <row r="996" spans="1:26" x14ac:dyDescent="0.25">
      <c r="A996" s="15" t="s">
        <v>15147</v>
      </c>
      <c r="B996" s="15">
        <v>995</v>
      </c>
      <c r="C996" s="15" t="s">
        <v>11277</v>
      </c>
      <c r="D996" s="15" t="s">
        <v>11277</v>
      </c>
      <c r="E996" s="15" t="s">
        <v>11</v>
      </c>
      <c r="F996" s="15" t="s">
        <v>5827</v>
      </c>
      <c r="G996" s="15" t="s">
        <v>12137</v>
      </c>
      <c r="H996" s="15">
        <v>30</v>
      </c>
      <c r="I996" s="15">
        <v>39</v>
      </c>
      <c r="J996" s="15">
        <v>55</v>
      </c>
      <c r="K996" s="15" t="str">
        <f t="shared" si="15"/>
        <v>theeddies</v>
      </c>
      <c r="L996" s="15" t="s">
        <v>11588</v>
      </c>
      <c r="M996" s="15">
        <v>1</v>
      </c>
      <c r="N996" s="15" t="s">
        <v>11222</v>
      </c>
      <c r="O996" s="15"/>
      <c r="P996" s="15"/>
      <c r="Q996" s="15" t="s">
        <v>12135</v>
      </c>
      <c r="R996" s="15"/>
      <c r="S996" s="15"/>
      <c r="T996" s="15">
        <v>0</v>
      </c>
      <c r="U996" s="15"/>
      <c r="V996" s="15"/>
      <c r="W996" s="15"/>
      <c r="X996" s="15"/>
      <c r="Y996" s="15"/>
      <c r="Z996" s="15"/>
    </row>
    <row r="997" spans="1:26" x14ac:dyDescent="0.25">
      <c r="A997" s="15" t="s">
        <v>15148</v>
      </c>
      <c r="B997" s="15">
        <v>996</v>
      </c>
      <c r="C997" s="15" t="s">
        <v>11277</v>
      </c>
      <c r="D997" s="15" t="s">
        <v>11277</v>
      </c>
      <c r="E997" s="15" t="s">
        <v>11</v>
      </c>
      <c r="F997" s="15" t="s">
        <v>5827</v>
      </c>
      <c r="G997" s="15" t="s">
        <v>12142</v>
      </c>
      <c r="H997" s="15">
        <v>30</v>
      </c>
      <c r="I997" s="15">
        <v>39</v>
      </c>
      <c r="J997" s="15">
        <v>59</v>
      </c>
      <c r="K997" s="15" t="str">
        <f t="shared" si="15"/>
        <v>theeddies</v>
      </c>
      <c r="L997" s="15" t="s">
        <v>11564</v>
      </c>
      <c r="M997" s="15">
        <v>2</v>
      </c>
      <c r="N997" s="15" t="s">
        <v>11223</v>
      </c>
      <c r="O997" s="15"/>
      <c r="P997" s="15"/>
      <c r="Q997" s="15" t="s">
        <v>12137</v>
      </c>
      <c r="R997" s="15" t="s">
        <v>12135</v>
      </c>
      <c r="S997" s="15"/>
      <c r="T997" s="15">
        <v>0</v>
      </c>
      <c r="U997" s="15"/>
      <c r="V997" s="15"/>
      <c r="W997" s="15"/>
      <c r="X997" s="15"/>
      <c r="Y997" s="15"/>
      <c r="Z997" s="15"/>
    </row>
    <row r="998" spans="1:26" x14ac:dyDescent="0.25">
      <c r="A998" s="15" t="s">
        <v>15149</v>
      </c>
      <c r="B998" s="15">
        <v>997</v>
      </c>
      <c r="C998" s="15" t="s">
        <v>11277</v>
      </c>
      <c r="D998" s="15" t="s">
        <v>11277</v>
      </c>
      <c r="E998" s="15" t="s">
        <v>11</v>
      </c>
      <c r="F998" s="15" t="s">
        <v>5827</v>
      </c>
      <c r="G998" s="15" t="s">
        <v>12143</v>
      </c>
      <c r="H998" s="15">
        <v>30</v>
      </c>
      <c r="I998" s="15">
        <v>39</v>
      </c>
      <c r="J998" s="15">
        <v>55</v>
      </c>
      <c r="K998" s="15" t="str">
        <f t="shared" si="15"/>
        <v>theeddies</v>
      </c>
      <c r="L998" s="15" t="s">
        <v>11588</v>
      </c>
      <c r="M998" s="15">
        <v>2</v>
      </c>
      <c r="N998" s="15" t="s">
        <v>11223</v>
      </c>
      <c r="O998" s="15"/>
      <c r="P998" s="15"/>
      <c r="Q998" s="15" t="s">
        <v>12137</v>
      </c>
      <c r="R998" s="15"/>
      <c r="S998" s="15"/>
      <c r="T998" s="15">
        <v>0</v>
      </c>
      <c r="U998" s="15" t="s">
        <v>5893</v>
      </c>
      <c r="V998" s="15" t="s">
        <v>5892</v>
      </c>
      <c r="W998" s="15"/>
      <c r="X998" s="15"/>
      <c r="Y998" s="15"/>
      <c r="Z998" s="15"/>
    </row>
    <row r="999" spans="1:26" x14ac:dyDescent="0.25">
      <c r="A999" s="15" t="s">
        <v>15150</v>
      </c>
      <c r="B999" s="15">
        <v>998</v>
      </c>
      <c r="C999" s="15" t="s">
        <v>11277</v>
      </c>
      <c r="D999" s="15" t="s">
        <v>11277</v>
      </c>
      <c r="E999" s="15" t="s">
        <v>11</v>
      </c>
      <c r="F999" s="15" t="s">
        <v>5827</v>
      </c>
      <c r="G999" s="15" t="s">
        <v>12144</v>
      </c>
      <c r="H999" s="15">
        <v>30</v>
      </c>
      <c r="I999" s="15">
        <v>39</v>
      </c>
      <c r="J999" s="15">
        <v>60</v>
      </c>
      <c r="K999" s="15" t="str">
        <f t="shared" si="15"/>
        <v>theeddies</v>
      </c>
      <c r="L999" s="15" t="s">
        <v>11564</v>
      </c>
      <c r="M999" s="15">
        <v>3</v>
      </c>
      <c r="N999" s="15" t="s">
        <v>11223</v>
      </c>
      <c r="O999" s="15"/>
      <c r="P999" s="15"/>
      <c r="Q999" s="15" t="s">
        <v>15151</v>
      </c>
      <c r="R999" s="15"/>
      <c r="S999" s="15"/>
      <c r="T999" s="15">
        <v>0</v>
      </c>
      <c r="U999" s="15" t="s">
        <v>5893</v>
      </c>
      <c r="V999" s="15" t="s">
        <v>5892</v>
      </c>
      <c r="W999" s="15"/>
      <c r="X999" s="15"/>
      <c r="Y999" s="15"/>
      <c r="Z999" s="15"/>
    </row>
    <row r="1000" spans="1:26" x14ac:dyDescent="0.25">
      <c r="A1000" s="15" t="s">
        <v>15152</v>
      </c>
      <c r="B1000" s="15">
        <v>999</v>
      </c>
      <c r="C1000" s="15" t="s">
        <v>11277</v>
      </c>
      <c r="D1000" s="15" t="s">
        <v>11277</v>
      </c>
      <c r="E1000" s="15" t="s">
        <v>11</v>
      </c>
      <c r="F1000" s="15" t="s">
        <v>5827</v>
      </c>
      <c r="G1000" s="15" t="s">
        <v>12145</v>
      </c>
      <c r="H1000" s="15">
        <v>30</v>
      </c>
      <c r="I1000" s="15">
        <v>39</v>
      </c>
      <c r="J1000" s="15">
        <v>59</v>
      </c>
      <c r="K1000" s="15" t="str">
        <f t="shared" si="15"/>
        <v>theeddies</v>
      </c>
      <c r="L1000" s="15" t="s">
        <v>11560</v>
      </c>
      <c r="M1000" s="15">
        <v>1</v>
      </c>
      <c r="N1000" s="15" t="s">
        <v>11222</v>
      </c>
      <c r="O1000" s="15"/>
      <c r="P1000" s="15"/>
      <c r="Q1000" s="15"/>
      <c r="R1000" s="15"/>
      <c r="S1000" s="15"/>
      <c r="T1000" s="15">
        <v>0</v>
      </c>
      <c r="U1000" s="15"/>
      <c r="V1000" s="15"/>
      <c r="W1000" s="15"/>
      <c r="X1000" s="15"/>
      <c r="Y1000" s="15"/>
      <c r="Z1000" s="15"/>
    </row>
    <row r="1001" spans="1:26" x14ac:dyDescent="0.25">
      <c r="A1001" s="15" t="s">
        <v>12305</v>
      </c>
      <c r="B1001" s="15">
        <v>1000</v>
      </c>
      <c r="C1001" s="15" t="s">
        <v>11277</v>
      </c>
      <c r="D1001" s="15" t="s">
        <v>11277</v>
      </c>
      <c r="E1001" s="15" t="s">
        <v>11</v>
      </c>
      <c r="F1001" s="15" t="s">
        <v>5827</v>
      </c>
      <c r="G1001" s="15" t="s">
        <v>12146</v>
      </c>
      <c r="H1001" s="15">
        <v>30</v>
      </c>
      <c r="I1001" s="15">
        <v>39</v>
      </c>
      <c r="J1001" s="15">
        <v>60</v>
      </c>
      <c r="K1001" s="15" t="str">
        <f t="shared" si="15"/>
        <v>theeddies</v>
      </c>
      <c r="L1001" s="15" t="s">
        <v>14088</v>
      </c>
      <c r="M1001" s="15">
        <v>3</v>
      </c>
      <c r="N1001" s="15" t="s">
        <v>11223</v>
      </c>
      <c r="O1001" s="15" t="s">
        <v>2815</v>
      </c>
      <c r="P1001" s="15"/>
      <c r="Q1001" s="15" t="s">
        <v>12137</v>
      </c>
      <c r="R1001" s="15"/>
      <c r="S1001" s="15"/>
      <c r="T1001" s="15">
        <v>0</v>
      </c>
      <c r="U1001" s="15" t="s">
        <v>5914</v>
      </c>
      <c r="V1001" s="15"/>
      <c r="W1001" s="15"/>
      <c r="X1001" s="15" t="s">
        <v>5893</v>
      </c>
      <c r="Y1001" s="15"/>
      <c r="Z1001" s="15"/>
    </row>
    <row r="1002" spans="1:26" x14ac:dyDescent="0.25">
      <c r="A1002" s="15" t="s">
        <v>12307</v>
      </c>
      <c r="B1002" s="15">
        <v>1001</v>
      </c>
      <c r="C1002" s="15" t="s">
        <v>11277</v>
      </c>
      <c r="D1002" s="15" t="s">
        <v>11277</v>
      </c>
      <c r="E1002" s="15" t="s">
        <v>11</v>
      </c>
      <c r="F1002" s="15" t="s">
        <v>1592</v>
      </c>
      <c r="G1002" s="15" t="s">
        <v>12147</v>
      </c>
      <c r="H1002" s="15">
        <v>14</v>
      </c>
      <c r="I1002" s="15">
        <v>38</v>
      </c>
      <c r="J1002" s="15">
        <v>51</v>
      </c>
      <c r="K1002" s="15" t="str">
        <f t="shared" si="15"/>
        <v>cloudtop</v>
      </c>
      <c r="L1002" s="15" t="s">
        <v>11568</v>
      </c>
      <c r="M1002" s="15">
        <v>1</v>
      </c>
      <c r="N1002" s="15" t="s">
        <v>11222</v>
      </c>
      <c r="O1002" s="15"/>
      <c r="P1002" s="15"/>
      <c r="Q1002" s="15"/>
      <c r="R1002" s="15"/>
      <c r="S1002" s="15"/>
      <c r="T1002" s="15">
        <v>0</v>
      </c>
      <c r="U1002" s="15" t="s">
        <v>5893</v>
      </c>
      <c r="V1002" s="15" t="s">
        <v>5892</v>
      </c>
      <c r="W1002" s="15"/>
      <c r="X1002" s="15"/>
      <c r="Y1002" s="15"/>
      <c r="Z1002" s="15"/>
    </row>
    <row r="1003" spans="1:26" x14ac:dyDescent="0.25">
      <c r="A1003" s="15" t="s">
        <v>12309</v>
      </c>
      <c r="B1003" s="15">
        <v>1002</v>
      </c>
      <c r="C1003" s="15" t="s">
        <v>11277</v>
      </c>
      <c r="D1003" s="15" t="s">
        <v>11277</v>
      </c>
      <c r="E1003" s="15" t="s">
        <v>11</v>
      </c>
      <c r="F1003" s="15" t="s">
        <v>1592</v>
      </c>
      <c r="G1003" s="15" t="s">
        <v>12148</v>
      </c>
      <c r="H1003" s="15">
        <v>14</v>
      </c>
      <c r="I1003" s="15">
        <v>38</v>
      </c>
      <c r="J1003" s="15">
        <v>54</v>
      </c>
      <c r="K1003" s="15" t="str">
        <f t="shared" si="15"/>
        <v>cloudtop</v>
      </c>
      <c r="L1003" s="15" t="s">
        <v>11560</v>
      </c>
      <c r="M1003" s="15">
        <v>1</v>
      </c>
      <c r="N1003" s="15" t="s">
        <v>11222</v>
      </c>
      <c r="O1003" s="15"/>
      <c r="P1003" s="15"/>
      <c r="Q1003" s="15"/>
      <c r="R1003" s="15"/>
      <c r="S1003" s="15"/>
      <c r="T1003" s="15">
        <v>0</v>
      </c>
      <c r="U1003" s="15"/>
      <c r="V1003" s="15"/>
      <c r="W1003" s="15"/>
      <c r="X1003" s="15"/>
      <c r="Y1003" s="15"/>
      <c r="Z1003" s="15"/>
    </row>
    <row r="1004" spans="1:26" x14ac:dyDescent="0.25">
      <c r="A1004" s="15" t="s">
        <v>12311</v>
      </c>
      <c r="B1004" s="15">
        <v>1003</v>
      </c>
      <c r="C1004" s="15" t="s">
        <v>11277</v>
      </c>
      <c r="D1004" s="15" t="s">
        <v>11277</v>
      </c>
      <c r="E1004" s="15" t="s">
        <v>11</v>
      </c>
      <c r="F1004" s="15" t="s">
        <v>1592</v>
      </c>
      <c r="G1004" s="15" t="s">
        <v>12149</v>
      </c>
      <c r="H1004" s="15">
        <v>14</v>
      </c>
      <c r="I1004" s="15">
        <v>38</v>
      </c>
      <c r="J1004" s="15">
        <v>53</v>
      </c>
      <c r="K1004" s="15" t="str">
        <f t="shared" si="15"/>
        <v>cloudtop</v>
      </c>
      <c r="L1004" s="15" t="s">
        <v>11560</v>
      </c>
      <c r="M1004" s="15">
        <v>1</v>
      </c>
      <c r="N1004" s="15" t="s">
        <v>11222</v>
      </c>
      <c r="O1004" s="15"/>
      <c r="P1004" s="15"/>
      <c r="Q1004" s="15"/>
      <c r="R1004" s="15"/>
      <c r="S1004" s="15"/>
      <c r="T1004" s="15">
        <v>0</v>
      </c>
      <c r="U1004" s="15"/>
      <c r="V1004" s="15"/>
      <c r="W1004" s="15"/>
      <c r="X1004" s="15"/>
      <c r="Y1004" s="15"/>
      <c r="Z1004" s="15"/>
    </row>
    <row r="1005" spans="1:26" x14ac:dyDescent="0.25">
      <c r="A1005" s="15" t="s">
        <v>12313</v>
      </c>
      <c r="B1005" s="15">
        <v>1004</v>
      </c>
      <c r="C1005" s="15" t="s">
        <v>11277</v>
      </c>
      <c r="D1005" s="15" t="s">
        <v>11277</v>
      </c>
      <c r="E1005" s="15" t="s">
        <v>11</v>
      </c>
      <c r="F1005" s="15" t="s">
        <v>1592</v>
      </c>
      <c r="G1005" s="15" t="s">
        <v>12150</v>
      </c>
      <c r="H1005" s="15">
        <v>14</v>
      </c>
      <c r="I1005" s="15">
        <v>38</v>
      </c>
      <c r="J1005" s="15">
        <v>54</v>
      </c>
      <c r="K1005" s="15" t="str">
        <f t="shared" si="15"/>
        <v>cloudtop</v>
      </c>
      <c r="L1005" s="15" t="s">
        <v>11568</v>
      </c>
      <c r="M1005" s="15">
        <v>1</v>
      </c>
      <c r="N1005" s="15" t="s">
        <v>11222</v>
      </c>
      <c r="O1005" s="15"/>
      <c r="P1005" s="15"/>
      <c r="Q1005" s="15"/>
      <c r="R1005" s="15"/>
      <c r="S1005" s="15"/>
      <c r="T1005" s="15">
        <v>0</v>
      </c>
      <c r="U1005" s="15"/>
      <c r="V1005" s="15"/>
      <c r="W1005" s="15"/>
      <c r="X1005" s="15"/>
      <c r="Y1005" s="15"/>
      <c r="Z1005" s="15"/>
    </row>
    <row r="1006" spans="1:26" x14ac:dyDescent="0.25">
      <c r="A1006" s="15" t="s">
        <v>12315</v>
      </c>
      <c r="B1006" s="15">
        <v>1005</v>
      </c>
      <c r="C1006" s="15" t="s">
        <v>11277</v>
      </c>
      <c r="D1006" s="15" t="s">
        <v>11277</v>
      </c>
      <c r="E1006" s="15" t="s">
        <v>11</v>
      </c>
      <c r="F1006" s="15" t="s">
        <v>1592</v>
      </c>
      <c r="G1006" s="15" t="s">
        <v>12151</v>
      </c>
      <c r="H1006" s="15">
        <v>14</v>
      </c>
      <c r="I1006" s="15">
        <v>38</v>
      </c>
      <c r="J1006" s="15">
        <v>54</v>
      </c>
      <c r="K1006" s="15" t="str">
        <f t="shared" si="15"/>
        <v>cloudtop</v>
      </c>
      <c r="L1006" s="15" t="s">
        <v>11568</v>
      </c>
      <c r="M1006" s="15">
        <v>1</v>
      </c>
      <c r="N1006" s="15" t="s">
        <v>11222</v>
      </c>
      <c r="O1006" s="15"/>
      <c r="P1006" s="15"/>
      <c r="Q1006" s="15"/>
      <c r="R1006" s="15"/>
      <c r="S1006" s="15"/>
      <c r="T1006" s="15">
        <v>0</v>
      </c>
      <c r="U1006" s="15"/>
      <c r="V1006" s="15"/>
      <c r="W1006" s="15"/>
      <c r="X1006" s="15"/>
      <c r="Y1006" s="15"/>
      <c r="Z1006" s="15"/>
    </row>
    <row r="1007" spans="1:26" x14ac:dyDescent="0.25">
      <c r="A1007" s="15" t="s">
        <v>12317</v>
      </c>
      <c r="B1007" s="15">
        <v>1006</v>
      </c>
      <c r="C1007" s="15" t="s">
        <v>11277</v>
      </c>
      <c r="D1007" s="15" t="s">
        <v>11277</v>
      </c>
      <c r="E1007" s="15" t="s">
        <v>11</v>
      </c>
      <c r="F1007" s="15" t="s">
        <v>1592</v>
      </c>
      <c r="G1007" s="15" t="s">
        <v>12152</v>
      </c>
      <c r="H1007" s="15">
        <v>14</v>
      </c>
      <c r="I1007" s="15">
        <v>38</v>
      </c>
      <c r="J1007" s="15">
        <v>60</v>
      </c>
      <c r="K1007" s="15" t="str">
        <f t="shared" si="15"/>
        <v>cloudtop</v>
      </c>
      <c r="L1007" s="15" t="s">
        <v>12153</v>
      </c>
      <c r="M1007" s="15">
        <v>2</v>
      </c>
      <c r="N1007" s="15" t="s">
        <v>11223</v>
      </c>
      <c r="O1007" s="15"/>
      <c r="P1007" s="15"/>
      <c r="Q1007" s="15"/>
      <c r="R1007" s="15"/>
      <c r="S1007" s="15"/>
      <c r="T1007" s="15">
        <v>1</v>
      </c>
      <c r="U1007" s="15" t="s">
        <v>5893</v>
      </c>
      <c r="V1007" s="15" t="s">
        <v>5892</v>
      </c>
      <c r="W1007" s="15"/>
      <c r="X1007" s="15"/>
      <c r="Y1007" s="15"/>
      <c r="Z1007" s="15"/>
    </row>
    <row r="1008" spans="1:26" x14ac:dyDescent="0.25">
      <c r="A1008" s="15" t="s">
        <v>12319</v>
      </c>
      <c r="B1008" s="15">
        <v>1007</v>
      </c>
      <c r="C1008" s="15" t="s">
        <v>11277</v>
      </c>
      <c r="D1008" s="15" t="s">
        <v>11277</v>
      </c>
      <c r="E1008" s="15" t="s">
        <v>11</v>
      </c>
      <c r="F1008" s="15" t="s">
        <v>1592</v>
      </c>
      <c r="G1008" s="15" t="s">
        <v>12154</v>
      </c>
      <c r="H1008" s="15">
        <v>14</v>
      </c>
      <c r="I1008" s="15">
        <v>38</v>
      </c>
      <c r="J1008" s="15">
        <v>60</v>
      </c>
      <c r="K1008" s="15" t="str">
        <f t="shared" si="15"/>
        <v>cloudtop</v>
      </c>
      <c r="L1008" s="15" t="s">
        <v>12153</v>
      </c>
      <c r="M1008" s="15">
        <v>3</v>
      </c>
      <c r="N1008" s="15" t="s">
        <v>11223</v>
      </c>
      <c r="O1008" s="15" t="s">
        <v>2818</v>
      </c>
      <c r="P1008" s="15"/>
      <c r="Q1008" s="15"/>
      <c r="R1008" s="15"/>
      <c r="S1008" s="15"/>
      <c r="T1008" s="15">
        <v>0</v>
      </c>
      <c r="U1008" s="15" t="s">
        <v>5893</v>
      </c>
      <c r="V1008" s="15" t="s">
        <v>5892</v>
      </c>
      <c r="W1008" s="15"/>
      <c r="X1008" s="15"/>
      <c r="Y1008" s="15"/>
      <c r="Z1008" s="15"/>
    </row>
    <row r="1009" spans="1:26" x14ac:dyDescent="0.25">
      <c r="A1009" s="15" t="s">
        <v>12321</v>
      </c>
      <c r="B1009" s="15">
        <v>1008</v>
      </c>
      <c r="C1009" s="15" t="s">
        <v>11277</v>
      </c>
      <c r="D1009" s="15" t="s">
        <v>11277</v>
      </c>
      <c r="E1009" s="15" t="s">
        <v>11</v>
      </c>
      <c r="F1009" s="15" t="s">
        <v>1600</v>
      </c>
      <c r="G1009" s="15" t="s">
        <v>12148</v>
      </c>
      <c r="H1009" s="15">
        <v>7</v>
      </c>
      <c r="I1009" s="15">
        <v>11</v>
      </c>
      <c r="J1009" s="15">
        <v>54</v>
      </c>
      <c r="K1009" s="15" t="str">
        <f t="shared" si="15"/>
        <v>thebluewindow</v>
      </c>
      <c r="L1009" s="15" t="s">
        <v>11568</v>
      </c>
      <c r="M1009" s="15">
        <v>1</v>
      </c>
      <c r="N1009" s="15" t="s">
        <v>11222</v>
      </c>
      <c r="O1009" s="15"/>
      <c r="P1009" s="15"/>
      <c r="Q1009" s="15"/>
      <c r="R1009" s="15"/>
      <c r="S1009" s="15"/>
      <c r="T1009" s="15">
        <v>0</v>
      </c>
      <c r="U1009" s="15"/>
      <c r="V1009" s="15"/>
      <c r="W1009" s="15"/>
      <c r="X1009" s="15"/>
      <c r="Y1009" s="15"/>
      <c r="Z1009" s="15"/>
    </row>
    <row r="1010" spans="1:26" x14ac:dyDescent="0.25">
      <c r="A1010" s="15" t="s">
        <v>12323</v>
      </c>
      <c r="B1010" s="15">
        <v>1009</v>
      </c>
      <c r="C1010" s="15" t="s">
        <v>11277</v>
      </c>
      <c r="D1010" s="15" t="s">
        <v>11277</v>
      </c>
      <c r="E1010" s="15" t="s">
        <v>11</v>
      </c>
      <c r="F1010" s="15" t="s">
        <v>1600</v>
      </c>
      <c r="G1010" s="15" t="s">
        <v>12155</v>
      </c>
      <c r="H1010" s="15">
        <v>7</v>
      </c>
      <c r="I1010" s="15">
        <v>11</v>
      </c>
      <c r="J1010" s="15">
        <v>53</v>
      </c>
      <c r="K1010" s="15" t="str">
        <f t="shared" si="15"/>
        <v>thebluewindow</v>
      </c>
      <c r="L1010" s="15" t="s">
        <v>11568</v>
      </c>
      <c r="M1010" s="15">
        <v>1</v>
      </c>
      <c r="N1010" s="15" t="s">
        <v>11222</v>
      </c>
      <c r="O1010" s="15"/>
      <c r="P1010" s="15"/>
      <c r="Q1010" s="15"/>
      <c r="R1010" s="15"/>
      <c r="S1010" s="15"/>
      <c r="T1010" s="15">
        <v>0</v>
      </c>
      <c r="U1010" s="15"/>
      <c r="V1010" s="15"/>
      <c r="W1010" s="15"/>
      <c r="X1010" s="15"/>
      <c r="Y1010" s="15"/>
      <c r="Z1010" s="15"/>
    </row>
    <row r="1011" spans="1:26" x14ac:dyDescent="0.25">
      <c r="A1011" s="15" t="s">
        <v>12325</v>
      </c>
      <c r="B1011" s="15">
        <v>1010</v>
      </c>
      <c r="C1011" s="15" t="s">
        <v>11277</v>
      </c>
      <c r="D1011" s="15" t="s">
        <v>11277</v>
      </c>
      <c r="E1011" s="15" t="s">
        <v>11</v>
      </c>
      <c r="F1011" s="15" t="s">
        <v>1600</v>
      </c>
      <c r="G1011" s="15" t="s">
        <v>12156</v>
      </c>
      <c r="H1011" s="15">
        <v>7</v>
      </c>
      <c r="I1011" s="15">
        <v>11</v>
      </c>
      <c r="J1011" s="15">
        <v>53</v>
      </c>
      <c r="K1011" s="15" t="str">
        <f t="shared" si="15"/>
        <v>thebluewindow</v>
      </c>
      <c r="L1011" s="15" t="s">
        <v>11568</v>
      </c>
      <c r="M1011" s="15">
        <v>1</v>
      </c>
      <c r="N1011" s="15" t="s">
        <v>11222</v>
      </c>
      <c r="O1011" s="15"/>
      <c r="P1011" s="15"/>
      <c r="Q1011" s="15"/>
      <c r="R1011" s="15"/>
      <c r="S1011" s="15"/>
      <c r="T1011" s="15">
        <v>0</v>
      </c>
      <c r="U1011" s="15"/>
      <c r="V1011" s="15"/>
      <c r="W1011" s="15"/>
      <c r="X1011" s="15"/>
      <c r="Y1011" s="15"/>
      <c r="Z1011" s="15"/>
    </row>
    <row r="1012" spans="1:26" x14ac:dyDescent="0.25">
      <c r="A1012" s="15" t="s">
        <v>12327</v>
      </c>
      <c r="B1012" s="15">
        <v>1011</v>
      </c>
      <c r="C1012" s="15" t="s">
        <v>11277</v>
      </c>
      <c r="D1012" s="15" t="s">
        <v>11277</v>
      </c>
      <c r="E1012" s="15" t="s">
        <v>11</v>
      </c>
      <c r="F1012" s="15" t="s">
        <v>1600</v>
      </c>
      <c r="G1012" s="15" t="s">
        <v>12157</v>
      </c>
      <c r="H1012" s="15">
        <v>7</v>
      </c>
      <c r="I1012" s="15">
        <v>11</v>
      </c>
      <c r="J1012" s="15">
        <v>54</v>
      </c>
      <c r="K1012" s="15" t="str">
        <f t="shared" si="15"/>
        <v>thebluewindow</v>
      </c>
      <c r="L1012" s="15" t="s">
        <v>11568</v>
      </c>
      <c r="M1012" s="15">
        <v>1</v>
      </c>
      <c r="N1012" s="15" t="s">
        <v>11222</v>
      </c>
      <c r="O1012" s="15"/>
      <c r="P1012" s="15"/>
      <c r="Q1012" s="15"/>
      <c r="R1012" s="15"/>
      <c r="S1012" s="15"/>
      <c r="T1012" s="15">
        <v>0</v>
      </c>
      <c r="U1012" s="15" t="s">
        <v>14151</v>
      </c>
      <c r="V1012" s="15" t="s">
        <v>5908</v>
      </c>
      <c r="W1012" s="15" t="s">
        <v>5914</v>
      </c>
      <c r="X1012" s="15"/>
      <c r="Y1012" s="15"/>
      <c r="Z1012" s="15"/>
    </row>
    <row r="1013" spans="1:26" x14ac:dyDescent="0.25">
      <c r="A1013" s="15" t="s">
        <v>12329</v>
      </c>
      <c r="B1013" s="15">
        <v>1012</v>
      </c>
      <c r="C1013" s="15" t="s">
        <v>11277</v>
      </c>
      <c r="D1013" s="15" t="s">
        <v>11277</v>
      </c>
      <c r="E1013" s="15" t="s">
        <v>11</v>
      </c>
      <c r="F1013" s="15" t="s">
        <v>1600</v>
      </c>
      <c r="G1013" s="15" t="s">
        <v>12158</v>
      </c>
      <c r="H1013" s="15">
        <v>7</v>
      </c>
      <c r="I1013" s="15">
        <v>11</v>
      </c>
      <c r="J1013" s="15">
        <v>59</v>
      </c>
      <c r="K1013" s="15" t="str">
        <f t="shared" si="15"/>
        <v>thebluewindow</v>
      </c>
      <c r="L1013" s="15" t="s">
        <v>12153</v>
      </c>
      <c r="M1013" s="15">
        <v>2</v>
      </c>
      <c r="N1013" s="15" t="s">
        <v>11223</v>
      </c>
      <c r="O1013" s="15"/>
      <c r="P1013" s="15"/>
      <c r="Q1013" s="15" t="s">
        <v>12155</v>
      </c>
      <c r="R1013" s="15"/>
      <c r="S1013" s="15"/>
      <c r="T1013" s="15">
        <v>0</v>
      </c>
      <c r="U1013" s="15"/>
      <c r="V1013" s="15"/>
      <c r="W1013" s="15"/>
      <c r="X1013" s="15"/>
      <c r="Y1013" s="15"/>
      <c r="Z1013" s="15"/>
    </row>
    <row r="1014" spans="1:26" x14ac:dyDescent="0.25">
      <c r="A1014" s="15" t="s">
        <v>12331</v>
      </c>
      <c r="B1014" s="15">
        <v>1013</v>
      </c>
      <c r="C1014" s="15" t="s">
        <v>11277</v>
      </c>
      <c r="D1014" s="15" t="s">
        <v>11277</v>
      </c>
      <c r="E1014" s="15" t="s">
        <v>11</v>
      </c>
      <c r="F1014" s="15" t="s">
        <v>1600</v>
      </c>
      <c r="G1014" s="15" t="s">
        <v>12159</v>
      </c>
      <c r="H1014" s="15">
        <v>7</v>
      </c>
      <c r="I1014" s="15">
        <v>11</v>
      </c>
      <c r="J1014" s="15">
        <v>57</v>
      </c>
      <c r="K1014" s="15" t="str">
        <f t="shared" si="15"/>
        <v>thebluewindow</v>
      </c>
      <c r="L1014" s="15" t="s">
        <v>14088</v>
      </c>
      <c r="M1014" s="15">
        <v>2</v>
      </c>
      <c r="N1014" s="15" t="s">
        <v>11223</v>
      </c>
      <c r="O1014" s="15"/>
      <c r="P1014" s="15"/>
      <c r="Q1014" s="15" t="s">
        <v>12155</v>
      </c>
      <c r="R1014" s="15"/>
      <c r="S1014" s="15"/>
      <c r="T1014" s="15">
        <v>0</v>
      </c>
      <c r="U1014" s="15"/>
      <c r="V1014" s="15"/>
      <c r="W1014" s="15"/>
      <c r="X1014" s="15"/>
      <c r="Y1014" s="15"/>
      <c r="Z1014" s="15"/>
    </row>
    <row r="1015" spans="1:26" x14ac:dyDescent="0.25">
      <c r="A1015" s="15" t="s">
        <v>12333</v>
      </c>
      <c r="B1015" s="15">
        <v>1014</v>
      </c>
      <c r="C1015" s="15" t="s">
        <v>11277</v>
      </c>
      <c r="D1015" s="15" t="s">
        <v>11277</v>
      </c>
      <c r="E1015" s="15" t="s">
        <v>11</v>
      </c>
      <c r="F1015" s="15" t="s">
        <v>1600</v>
      </c>
      <c r="G1015" s="15" t="s">
        <v>12160</v>
      </c>
      <c r="H1015" s="15">
        <v>7</v>
      </c>
      <c r="I1015" s="15">
        <v>11</v>
      </c>
      <c r="J1015" s="15">
        <v>60</v>
      </c>
      <c r="K1015" s="15" t="str">
        <f t="shared" si="15"/>
        <v>thebluewindow</v>
      </c>
      <c r="L1015" s="15" t="s">
        <v>12153</v>
      </c>
      <c r="M1015" s="15">
        <v>2</v>
      </c>
      <c r="N1015" s="15" t="s">
        <v>11223</v>
      </c>
      <c r="O1015" s="15"/>
      <c r="P1015" s="15"/>
      <c r="Q1015" s="15" t="s">
        <v>12155</v>
      </c>
      <c r="R1015" s="15"/>
      <c r="S1015" s="15"/>
      <c r="T1015" s="15">
        <v>0</v>
      </c>
      <c r="U1015" s="15"/>
      <c r="V1015" s="15"/>
      <c r="W1015" s="15"/>
      <c r="X1015" s="15"/>
      <c r="Y1015" s="15"/>
      <c r="Z1015" s="15"/>
    </row>
    <row r="1016" spans="1:26" x14ac:dyDescent="0.25">
      <c r="A1016" s="15" t="s">
        <v>12335</v>
      </c>
      <c r="B1016" s="15">
        <v>1015</v>
      </c>
      <c r="C1016" s="15" t="s">
        <v>11277</v>
      </c>
      <c r="D1016" s="15" t="s">
        <v>11277</v>
      </c>
      <c r="E1016" s="15" t="s">
        <v>102</v>
      </c>
      <c r="F1016" s="15" t="s">
        <v>1600</v>
      </c>
      <c r="G1016" s="15" t="s">
        <v>12161</v>
      </c>
      <c r="H1016" s="15">
        <v>7</v>
      </c>
      <c r="I1016" s="15">
        <v>11</v>
      </c>
      <c r="J1016" s="15">
        <v>73</v>
      </c>
      <c r="K1016" s="15" t="str">
        <f t="shared" si="15"/>
        <v>thebluewindow</v>
      </c>
      <c r="L1016" s="15" t="s">
        <v>11560</v>
      </c>
      <c r="M1016" s="15">
        <v>1</v>
      </c>
      <c r="N1016" s="15" t="s">
        <v>11222</v>
      </c>
      <c r="O1016" s="15"/>
      <c r="P1016" s="15"/>
      <c r="Q1016" s="15"/>
      <c r="R1016" s="15"/>
      <c r="S1016" s="15"/>
      <c r="T1016" s="15">
        <v>0</v>
      </c>
      <c r="U1016" s="15"/>
      <c r="V1016" s="15"/>
      <c r="W1016" s="15"/>
      <c r="X1016" s="15"/>
      <c r="Y1016" s="15"/>
      <c r="Z1016" s="15"/>
    </row>
    <row r="1017" spans="1:26" x14ac:dyDescent="0.25">
      <c r="A1017" s="15" t="s">
        <v>12337</v>
      </c>
      <c r="B1017" s="15">
        <v>1016</v>
      </c>
      <c r="C1017" s="15" t="s">
        <v>11277</v>
      </c>
      <c r="D1017" s="15" t="s">
        <v>11277</v>
      </c>
      <c r="E1017" s="15" t="s">
        <v>11</v>
      </c>
      <c r="F1017" s="15" t="s">
        <v>1600</v>
      </c>
      <c r="G1017" s="15" t="s">
        <v>12162</v>
      </c>
      <c r="H1017" s="15">
        <v>7</v>
      </c>
      <c r="I1017" s="15">
        <v>11</v>
      </c>
      <c r="J1017" s="15">
        <v>60</v>
      </c>
      <c r="K1017" s="15" t="str">
        <f t="shared" si="15"/>
        <v>thebluewindow</v>
      </c>
      <c r="L1017" s="15" t="s">
        <v>12153</v>
      </c>
      <c r="M1017" s="15">
        <v>3</v>
      </c>
      <c r="N1017" s="15" t="s">
        <v>11223</v>
      </c>
      <c r="O1017" s="15"/>
      <c r="P1017" s="15"/>
      <c r="Q1017" s="15"/>
      <c r="R1017" s="15"/>
      <c r="S1017" s="15"/>
      <c r="T1017" s="15">
        <v>0</v>
      </c>
      <c r="U1017" s="15" t="s">
        <v>14151</v>
      </c>
      <c r="V1017" s="15"/>
      <c r="W1017" s="15"/>
      <c r="X1017" s="15"/>
      <c r="Y1017" s="15"/>
      <c r="Z1017" s="15"/>
    </row>
    <row r="1018" spans="1:26" x14ac:dyDescent="0.25">
      <c r="A1018" s="15" t="s">
        <v>12339</v>
      </c>
      <c r="B1018" s="15">
        <v>1017</v>
      </c>
      <c r="C1018" s="15" t="s">
        <v>11277</v>
      </c>
      <c r="D1018" s="15" t="s">
        <v>11277</v>
      </c>
      <c r="E1018" s="15" t="s">
        <v>11</v>
      </c>
      <c r="F1018" s="15" t="s">
        <v>1623</v>
      </c>
      <c r="G1018" s="15" t="s">
        <v>12147</v>
      </c>
      <c r="H1018" s="15">
        <v>15</v>
      </c>
      <c r="I1018" s="15">
        <v>7</v>
      </c>
      <c r="J1018" s="15">
        <v>51</v>
      </c>
      <c r="K1018" s="15" t="str">
        <f t="shared" si="15"/>
        <v>mokooglisland</v>
      </c>
      <c r="L1018" s="15" t="s">
        <v>11568</v>
      </c>
      <c r="M1018" s="15">
        <v>1</v>
      </c>
      <c r="N1018" s="15" t="s">
        <v>11222</v>
      </c>
      <c r="O1018" s="15"/>
      <c r="P1018" s="15"/>
      <c r="Q1018" s="15"/>
      <c r="R1018" s="15"/>
      <c r="S1018" s="15"/>
      <c r="T1018" s="15">
        <v>0</v>
      </c>
      <c r="U1018" s="15" t="s">
        <v>5893</v>
      </c>
      <c r="V1018" s="15" t="s">
        <v>5892</v>
      </c>
      <c r="W1018" s="15"/>
      <c r="X1018" s="15"/>
      <c r="Y1018" s="15"/>
      <c r="Z1018" s="15"/>
    </row>
    <row r="1019" spans="1:26" x14ac:dyDescent="0.25">
      <c r="A1019" s="15" t="s">
        <v>12341</v>
      </c>
      <c r="B1019" s="15">
        <v>1018</v>
      </c>
      <c r="C1019" s="15" t="s">
        <v>11277</v>
      </c>
      <c r="D1019" s="15" t="s">
        <v>11277</v>
      </c>
      <c r="E1019" s="15" t="s">
        <v>11</v>
      </c>
      <c r="F1019" s="15" t="s">
        <v>1623</v>
      </c>
      <c r="G1019" s="15" t="s">
        <v>12155</v>
      </c>
      <c r="H1019" s="15">
        <v>15</v>
      </c>
      <c r="I1019" s="15">
        <v>7</v>
      </c>
      <c r="J1019" s="15">
        <v>53</v>
      </c>
      <c r="K1019" s="15" t="str">
        <f t="shared" si="15"/>
        <v>mokooglisland</v>
      </c>
      <c r="L1019" s="15" t="s">
        <v>11560</v>
      </c>
      <c r="M1019" s="15">
        <v>1</v>
      </c>
      <c r="N1019" s="15" t="s">
        <v>11222</v>
      </c>
      <c r="O1019" s="15"/>
      <c r="P1019" s="15"/>
      <c r="Q1019" s="15"/>
      <c r="R1019" s="15"/>
      <c r="S1019" s="15"/>
      <c r="T1019" s="15">
        <v>0</v>
      </c>
      <c r="U1019" s="15"/>
      <c r="V1019" s="15"/>
      <c r="W1019" s="15"/>
      <c r="X1019" s="15"/>
      <c r="Y1019" s="15"/>
      <c r="Z1019" s="15"/>
    </row>
    <row r="1020" spans="1:26" x14ac:dyDescent="0.25">
      <c r="A1020" s="15" t="s">
        <v>12343</v>
      </c>
      <c r="B1020" s="15">
        <v>1019</v>
      </c>
      <c r="C1020" s="15" t="s">
        <v>11277</v>
      </c>
      <c r="D1020" s="15" t="s">
        <v>11277</v>
      </c>
      <c r="E1020" s="15" t="s">
        <v>11</v>
      </c>
      <c r="F1020" s="15" t="s">
        <v>1623</v>
      </c>
      <c r="G1020" s="15" t="s">
        <v>12163</v>
      </c>
      <c r="H1020" s="15">
        <v>15</v>
      </c>
      <c r="I1020" s="15">
        <v>7</v>
      </c>
      <c r="J1020" s="15">
        <v>58</v>
      </c>
      <c r="K1020" s="15" t="str">
        <f t="shared" si="15"/>
        <v>mokooglisland</v>
      </c>
      <c r="L1020" s="15" t="s">
        <v>11560</v>
      </c>
      <c r="M1020" s="15">
        <v>1</v>
      </c>
      <c r="N1020" s="15" t="s">
        <v>11222</v>
      </c>
      <c r="O1020" s="15"/>
      <c r="P1020" s="15"/>
      <c r="Q1020" s="15" t="s">
        <v>12155</v>
      </c>
      <c r="R1020" s="15"/>
      <c r="S1020" s="15"/>
      <c r="T1020" s="15">
        <v>0</v>
      </c>
      <c r="U1020" s="15"/>
      <c r="V1020" s="15"/>
      <c r="W1020" s="15"/>
      <c r="X1020" s="15"/>
      <c r="Y1020" s="15"/>
      <c r="Z1020" s="15"/>
    </row>
    <row r="1021" spans="1:26" x14ac:dyDescent="0.25">
      <c r="A1021" s="15" t="s">
        <v>12345</v>
      </c>
      <c r="B1021" s="15">
        <v>1020</v>
      </c>
      <c r="C1021" s="15" t="s">
        <v>11277</v>
      </c>
      <c r="D1021" s="15" t="s">
        <v>11277</v>
      </c>
      <c r="E1021" s="15" t="s">
        <v>11</v>
      </c>
      <c r="F1021" s="15" t="s">
        <v>1623</v>
      </c>
      <c r="G1021" s="15" t="s">
        <v>12164</v>
      </c>
      <c r="H1021" s="15">
        <v>15</v>
      </c>
      <c r="I1021" s="15">
        <v>7</v>
      </c>
      <c r="J1021" s="15">
        <v>59</v>
      </c>
      <c r="K1021" s="15" t="str">
        <f t="shared" si="15"/>
        <v>mokooglisland</v>
      </c>
      <c r="L1021" s="15" t="s">
        <v>12153</v>
      </c>
      <c r="M1021" s="15">
        <v>2</v>
      </c>
      <c r="N1021" s="15" t="s">
        <v>11223</v>
      </c>
      <c r="O1021" s="15"/>
      <c r="P1021" s="15"/>
      <c r="Q1021" s="15" t="s">
        <v>12155</v>
      </c>
      <c r="R1021" s="15"/>
      <c r="S1021" s="15"/>
      <c r="T1021" s="15">
        <v>0</v>
      </c>
      <c r="U1021" s="15"/>
      <c r="V1021" s="15"/>
      <c r="W1021" s="15"/>
      <c r="X1021" s="15"/>
      <c r="Y1021" s="15"/>
      <c r="Z1021" s="15"/>
    </row>
    <row r="1022" spans="1:26" x14ac:dyDescent="0.25">
      <c r="A1022" s="15" t="s">
        <v>12347</v>
      </c>
      <c r="B1022" s="15">
        <v>1021</v>
      </c>
      <c r="C1022" s="15" t="s">
        <v>11277</v>
      </c>
      <c r="D1022" s="15" t="s">
        <v>11277</v>
      </c>
      <c r="E1022" s="15" t="s">
        <v>11</v>
      </c>
      <c r="F1022" s="15" t="s">
        <v>1623</v>
      </c>
      <c r="G1022" s="15" t="s">
        <v>12165</v>
      </c>
      <c r="H1022" s="15">
        <v>15</v>
      </c>
      <c r="I1022" s="15">
        <v>7</v>
      </c>
      <c r="J1022" s="15">
        <v>60</v>
      </c>
      <c r="K1022" s="15" t="str">
        <f t="shared" si="15"/>
        <v>mokooglisland</v>
      </c>
      <c r="L1022" s="15" t="s">
        <v>12153</v>
      </c>
      <c r="M1022" s="15">
        <v>2</v>
      </c>
      <c r="N1022" s="15" t="s">
        <v>11223</v>
      </c>
      <c r="O1022" s="15"/>
      <c r="P1022" s="15"/>
      <c r="Q1022" s="15" t="s">
        <v>12155</v>
      </c>
      <c r="R1022" s="15"/>
      <c r="S1022" s="15"/>
      <c r="T1022" s="15">
        <v>0</v>
      </c>
      <c r="U1022" s="15"/>
      <c r="V1022" s="15"/>
      <c r="W1022" s="15"/>
      <c r="X1022" s="15"/>
      <c r="Y1022" s="15"/>
      <c r="Z1022" s="15"/>
    </row>
    <row r="1023" spans="1:26" x14ac:dyDescent="0.25">
      <c r="A1023" s="15" t="s">
        <v>12349</v>
      </c>
      <c r="B1023" s="15">
        <v>1022</v>
      </c>
      <c r="C1023" s="15" t="s">
        <v>11277</v>
      </c>
      <c r="D1023" s="15" t="s">
        <v>11277</v>
      </c>
      <c r="E1023" s="15" t="s">
        <v>11</v>
      </c>
      <c r="F1023" s="15" t="s">
        <v>1623</v>
      </c>
      <c r="G1023" s="15" t="s">
        <v>12166</v>
      </c>
      <c r="H1023" s="15">
        <v>15</v>
      </c>
      <c r="I1023" s="15">
        <v>7</v>
      </c>
      <c r="J1023" s="15">
        <v>60</v>
      </c>
      <c r="K1023" s="15" t="str">
        <f t="shared" si="15"/>
        <v>mokooglisland</v>
      </c>
      <c r="L1023" s="15" t="s">
        <v>12153</v>
      </c>
      <c r="M1023" s="15">
        <v>1</v>
      </c>
      <c r="N1023" s="15" t="s">
        <v>11222</v>
      </c>
      <c r="O1023" s="15" t="s">
        <v>11239</v>
      </c>
      <c r="P1023" s="15"/>
      <c r="Q1023" s="15"/>
      <c r="R1023" s="15"/>
      <c r="S1023" s="15"/>
      <c r="T1023" s="15">
        <v>0</v>
      </c>
      <c r="U1023" s="15" t="s">
        <v>5893</v>
      </c>
      <c r="V1023" s="15" t="s">
        <v>5892</v>
      </c>
      <c r="W1023" s="15"/>
      <c r="X1023" s="15"/>
      <c r="Y1023" s="15"/>
      <c r="Z1023" s="15"/>
    </row>
    <row r="1024" spans="1:26" x14ac:dyDescent="0.25">
      <c r="A1024" s="15" t="s">
        <v>12351</v>
      </c>
      <c r="B1024" s="15">
        <v>1023</v>
      </c>
      <c r="C1024" s="15" t="s">
        <v>11277</v>
      </c>
      <c r="D1024" s="15" t="s">
        <v>11277</v>
      </c>
      <c r="E1024" s="15" t="s">
        <v>11</v>
      </c>
      <c r="F1024" s="15" t="s">
        <v>1623</v>
      </c>
      <c r="G1024" s="15" t="s">
        <v>12167</v>
      </c>
      <c r="H1024" s="15">
        <v>15</v>
      </c>
      <c r="I1024" s="15">
        <v>7</v>
      </c>
      <c r="J1024" s="15">
        <v>60</v>
      </c>
      <c r="K1024" s="15" t="str">
        <f t="shared" si="15"/>
        <v>mokooglisland</v>
      </c>
      <c r="L1024" s="15" t="s">
        <v>14088</v>
      </c>
      <c r="M1024" s="15">
        <v>3</v>
      </c>
      <c r="N1024" s="15" t="s">
        <v>11223</v>
      </c>
      <c r="O1024" s="15"/>
      <c r="P1024" s="15"/>
      <c r="Q1024" s="15" t="s">
        <v>12155</v>
      </c>
      <c r="R1024" s="15"/>
      <c r="S1024" s="15"/>
      <c r="T1024" s="15">
        <v>0</v>
      </c>
      <c r="U1024" s="15" t="s">
        <v>5893</v>
      </c>
      <c r="V1024" s="15"/>
      <c r="W1024" s="15"/>
      <c r="X1024" s="15"/>
      <c r="Y1024" s="15"/>
      <c r="Z1024" s="15"/>
    </row>
    <row r="1025" spans="1:26" x14ac:dyDescent="0.25">
      <c r="A1025" s="15" t="s">
        <v>12353</v>
      </c>
      <c r="B1025" s="15">
        <v>1024</v>
      </c>
      <c r="C1025" s="15" t="s">
        <v>11277</v>
      </c>
      <c r="D1025" s="15" t="s">
        <v>11277</v>
      </c>
      <c r="E1025" s="15" t="s">
        <v>11</v>
      </c>
      <c r="F1025" s="15" t="s">
        <v>1623</v>
      </c>
      <c r="G1025" s="15" t="s">
        <v>12168</v>
      </c>
      <c r="H1025" s="15">
        <v>15</v>
      </c>
      <c r="I1025" s="15">
        <v>7</v>
      </c>
      <c r="J1025" s="15">
        <v>60</v>
      </c>
      <c r="K1025" s="15" t="str">
        <f t="shared" si="15"/>
        <v>mokooglisland</v>
      </c>
      <c r="L1025" s="15" t="s">
        <v>12153</v>
      </c>
      <c r="M1025" s="15">
        <v>3</v>
      </c>
      <c r="N1025" s="15" t="s">
        <v>11222</v>
      </c>
      <c r="O1025" s="15" t="s">
        <v>11385</v>
      </c>
      <c r="P1025" s="15" t="s">
        <v>15153</v>
      </c>
      <c r="Q1025" s="15"/>
      <c r="R1025" s="15"/>
      <c r="S1025" s="15"/>
      <c r="T1025" s="15">
        <v>0</v>
      </c>
      <c r="U1025" s="15" t="s">
        <v>5893</v>
      </c>
      <c r="V1025" s="15"/>
      <c r="W1025" s="15"/>
      <c r="X1025" s="15"/>
      <c r="Y1025" s="15"/>
      <c r="Z1025" s="15"/>
    </row>
    <row r="1026" spans="1:26" x14ac:dyDescent="0.25">
      <c r="A1026" s="15" t="s">
        <v>12355</v>
      </c>
      <c r="B1026" s="15">
        <v>1025</v>
      </c>
      <c r="C1026" s="15" t="s">
        <v>11277</v>
      </c>
      <c r="D1026" s="15" t="s">
        <v>11277</v>
      </c>
      <c r="E1026" s="15" t="s">
        <v>11</v>
      </c>
      <c r="F1026" s="15" t="s">
        <v>1628</v>
      </c>
      <c r="G1026" s="15" t="s">
        <v>12169</v>
      </c>
      <c r="H1026" s="15">
        <v>16</v>
      </c>
      <c r="I1026" s="15">
        <v>12</v>
      </c>
      <c r="J1026" s="15">
        <v>56</v>
      </c>
      <c r="K1026" s="15" t="str">
        <f t="shared" ref="K1026:K1089" si="16">LOWER(SUBSTITUTE(SUBSTITUTE(SUBSTITUTE(SUBSTITUTE(SUBSTITUTE(F1026," ",""),"(",""),")",""),"'",""),"-",""))</f>
        <v>alphaquadrant</v>
      </c>
      <c r="L1026" s="15" t="s">
        <v>12170</v>
      </c>
      <c r="M1026" s="15">
        <v>1</v>
      </c>
      <c r="N1026" s="15" t="s">
        <v>11222</v>
      </c>
      <c r="O1026" s="15"/>
      <c r="P1026" s="15"/>
      <c r="Q1026" s="15"/>
      <c r="R1026" s="15"/>
      <c r="S1026" s="15"/>
      <c r="T1026" s="15">
        <v>0</v>
      </c>
      <c r="U1026" s="15"/>
      <c r="V1026" s="15"/>
      <c r="W1026" s="15"/>
      <c r="X1026" s="15"/>
      <c r="Y1026" s="15"/>
      <c r="Z1026" s="15"/>
    </row>
    <row r="1027" spans="1:26" x14ac:dyDescent="0.25">
      <c r="A1027" s="15" t="s">
        <v>12357</v>
      </c>
      <c r="B1027" s="15">
        <v>1026</v>
      </c>
      <c r="C1027" s="15" t="s">
        <v>11277</v>
      </c>
      <c r="D1027" s="15" t="s">
        <v>11277</v>
      </c>
      <c r="E1027" s="15" t="s">
        <v>11</v>
      </c>
      <c r="F1027" s="15" t="s">
        <v>1628</v>
      </c>
      <c r="G1027" s="15" t="s">
        <v>12171</v>
      </c>
      <c r="H1027" s="15">
        <v>16</v>
      </c>
      <c r="I1027" s="15">
        <v>12</v>
      </c>
      <c r="J1027" s="15">
        <v>56</v>
      </c>
      <c r="K1027" s="15" t="str">
        <f t="shared" si="16"/>
        <v>alphaquadrant</v>
      </c>
      <c r="L1027" s="15" t="s">
        <v>11592</v>
      </c>
      <c r="M1027" s="15">
        <v>2</v>
      </c>
      <c r="N1027" s="15" t="s">
        <v>11223</v>
      </c>
      <c r="O1027" s="15"/>
      <c r="P1027" s="15"/>
      <c r="Q1027" s="15"/>
      <c r="R1027" s="15"/>
      <c r="S1027" s="15"/>
      <c r="T1027" s="15">
        <v>0</v>
      </c>
      <c r="U1027" s="15"/>
      <c r="V1027" s="15"/>
      <c r="W1027" s="15"/>
      <c r="X1027" s="15"/>
      <c r="Y1027" s="15"/>
      <c r="Z1027" s="15"/>
    </row>
    <row r="1028" spans="1:26" x14ac:dyDescent="0.25">
      <c r="A1028" s="15" t="s">
        <v>12359</v>
      </c>
      <c r="B1028" s="15">
        <v>1027</v>
      </c>
      <c r="C1028" s="15" t="s">
        <v>11277</v>
      </c>
      <c r="D1028" s="15" t="s">
        <v>11277</v>
      </c>
      <c r="E1028" s="15" t="s">
        <v>11</v>
      </c>
      <c r="F1028" s="15" t="s">
        <v>1628</v>
      </c>
      <c r="G1028" s="15" t="s">
        <v>12172</v>
      </c>
      <c r="H1028" s="15">
        <v>16</v>
      </c>
      <c r="I1028" s="15">
        <v>12</v>
      </c>
      <c r="J1028" s="15">
        <v>58</v>
      </c>
      <c r="K1028" s="15" t="str">
        <f t="shared" si="16"/>
        <v>alphaquadrant</v>
      </c>
      <c r="L1028" s="15" t="s">
        <v>12170</v>
      </c>
      <c r="M1028" s="15">
        <v>2</v>
      </c>
      <c r="N1028" s="15" t="s">
        <v>11223</v>
      </c>
      <c r="O1028" s="15"/>
      <c r="P1028" s="15"/>
      <c r="Q1028" s="15"/>
      <c r="R1028" s="15"/>
      <c r="S1028" s="15"/>
      <c r="T1028" s="15">
        <v>0</v>
      </c>
      <c r="U1028" s="15" t="s">
        <v>6010</v>
      </c>
      <c r="V1028" s="15"/>
      <c r="W1028" s="15"/>
      <c r="X1028" s="15"/>
      <c r="Y1028" s="15"/>
      <c r="Z1028" s="15"/>
    </row>
    <row r="1029" spans="1:26" x14ac:dyDescent="0.25">
      <c r="A1029" s="15" t="s">
        <v>12361</v>
      </c>
      <c r="B1029" s="15">
        <v>1028</v>
      </c>
      <c r="C1029" s="15" t="s">
        <v>11277</v>
      </c>
      <c r="D1029" s="15" t="s">
        <v>11277</v>
      </c>
      <c r="E1029" s="15" t="s">
        <v>11</v>
      </c>
      <c r="F1029" s="15" t="s">
        <v>1628</v>
      </c>
      <c r="G1029" s="15" t="s">
        <v>12173</v>
      </c>
      <c r="H1029" s="15">
        <v>16</v>
      </c>
      <c r="I1029" s="15">
        <v>12</v>
      </c>
      <c r="J1029" s="15">
        <v>56</v>
      </c>
      <c r="K1029" s="15" t="str">
        <f t="shared" si="16"/>
        <v>alphaquadrant</v>
      </c>
      <c r="L1029" s="15" t="s">
        <v>14088</v>
      </c>
      <c r="M1029" s="15">
        <v>2</v>
      </c>
      <c r="N1029" s="15" t="s">
        <v>11223</v>
      </c>
      <c r="O1029" s="15"/>
      <c r="P1029" s="15"/>
      <c r="Q1029" s="15" t="s">
        <v>12169</v>
      </c>
      <c r="R1029" s="15"/>
      <c r="S1029" s="15"/>
      <c r="T1029" s="15">
        <v>0</v>
      </c>
      <c r="U1029" s="15"/>
      <c r="V1029" s="15"/>
      <c r="W1029" s="15"/>
      <c r="X1029" s="15"/>
      <c r="Y1029" s="15"/>
      <c r="Z1029" s="15"/>
    </row>
    <row r="1030" spans="1:26" x14ac:dyDescent="0.25">
      <c r="A1030" s="15" t="s">
        <v>12363</v>
      </c>
      <c r="B1030" s="15">
        <v>1029</v>
      </c>
      <c r="C1030" s="15" t="s">
        <v>11277</v>
      </c>
      <c r="D1030" s="15" t="s">
        <v>11277</v>
      </c>
      <c r="E1030" s="15" t="s">
        <v>102</v>
      </c>
      <c r="F1030" s="15" t="s">
        <v>1628</v>
      </c>
      <c r="G1030" s="15" t="s">
        <v>12174</v>
      </c>
      <c r="H1030" s="15">
        <v>16</v>
      </c>
      <c r="I1030" s="15">
        <v>12</v>
      </c>
      <c r="J1030" s="15">
        <v>80</v>
      </c>
      <c r="K1030" s="15" t="str">
        <f t="shared" si="16"/>
        <v>alphaquadrant</v>
      </c>
      <c r="L1030" s="15" t="s">
        <v>11592</v>
      </c>
      <c r="M1030" s="15">
        <v>2</v>
      </c>
      <c r="N1030" s="15" t="s">
        <v>11223</v>
      </c>
      <c r="O1030" s="15"/>
      <c r="P1030" s="15"/>
      <c r="Q1030" s="15"/>
      <c r="R1030" s="15"/>
      <c r="S1030" s="15"/>
      <c r="T1030" s="15">
        <v>0</v>
      </c>
      <c r="U1030" s="15"/>
      <c r="V1030" s="15"/>
      <c r="W1030" s="15"/>
      <c r="X1030" s="15"/>
      <c r="Y1030" s="15"/>
      <c r="Z1030" s="15"/>
    </row>
    <row r="1031" spans="1:26" x14ac:dyDescent="0.25">
      <c r="A1031" s="15" t="s">
        <v>12365</v>
      </c>
      <c r="B1031" s="15">
        <v>1030</v>
      </c>
      <c r="C1031" s="15" t="s">
        <v>11277</v>
      </c>
      <c r="D1031" s="15" t="s">
        <v>11277</v>
      </c>
      <c r="E1031" s="15" t="s">
        <v>11</v>
      </c>
      <c r="F1031" s="15" t="s">
        <v>1628</v>
      </c>
      <c r="G1031" s="15" t="s">
        <v>12175</v>
      </c>
      <c r="H1031" s="15">
        <v>16</v>
      </c>
      <c r="I1031" s="15">
        <v>12</v>
      </c>
      <c r="J1031" s="15">
        <v>60</v>
      </c>
      <c r="K1031" s="15" t="str">
        <f t="shared" si="16"/>
        <v>alphaquadrant</v>
      </c>
      <c r="L1031" s="15" t="s">
        <v>14088</v>
      </c>
      <c r="M1031" s="15">
        <v>3</v>
      </c>
      <c r="N1031" s="15" t="s">
        <v>11223</v>
      </c>
      <c r="O1031" s="15"/>
      <c r="P1031" s="15"/>
      <c r="Q1031" s="15" t="s">
        <v>12169</v>
      </c>
      <c r="R1031" s="15"/>
      <c r="S1031" s="15"/>
      <c r="T1031" s="15">
        <v>0</v>
      </c>
      <c r="U1031" s="15" t="s">
        <v>5892</v>
      </c>
      <c r="V1031" s="15" t="s">
        <v>5908</v>
      </c>
      <c r="W1031" s="15" t="s">
        <v>5982</v>
      </c>
      <c r="X1031" s="15"/>
      <c r="Y1031" s="15"/>
      <c r="Z1031" s="15"/>
    </row>
    <row r="1032" spans="1:26" x14ac:dyDescent="0.25">
      <c r="A1032" s="15" t="s">
        <v>12367</v>
      </c>
      <c r="B1032" s="15">
        <v>1031</v>
      </c>
      <c r="C1032" s="15" t="s">
        <v>11277</v>
      </c>
      <c r="D1032" s="15" t="s">
        <v>11277</v>
      </c>
      <c r="E1032" s="15" t="s">
        <v>11</v>
      </c>
      <c r="F1032" s="15" t="s">
        <v>15154</v>
      </c>
      <c r="G1032" s="15" t="s">
        <v>12169</v>
      </c>
      <c r="H1032" s="15">
        <v>30</v>
      </c>
      <c r="I1032" s="15">
        <v>6</v>
      </c>
      <c r="J1032" s="15">
        <v>56</v>
      </c>
      <c r="K1032" s="15" t="str">
        <f t="shared" si="16"/>
        <v>aetherochemicalspill</v>
      </c>
      <c r="L1032" s="15" t="s">
        <v>11592</v>
      </c>
      <c r="M1032" s="15">
        <v>1</v>
      </c>
      <c r="N1032" s="15" t="s">
        <v>11222</v>
      </c>
      <c r="O1032" s="15"/>
      <c r="P1032" s="15"/>
      <c r="Q1032" s="15"/>
      <c r="R1032" s="15"/>
      <c r="S1032" s="15"/>
      <c r="T1032" s="15">
        <v>0</v>
      </c>
      <c r="U1032" s="15"/>
      <c r="V1032" s="15"/>
      <c r="W1032" s="15"/>
      <c r="X1032" s="15"/>
      <c r="Y1032" s="15"/>
      <c r="Z1032" s="15"/>
    </row>
    <row r="1033" spans="1:26" x14ac:dyDescent="0.25">
      <c r="A1033" s="15" t="s">
        <v>12369</v>
      </c>
      <c r="B1033" s="15">
        <v>1032</v>
      </c>
      <c r="C1033" s="15" t="s">
        <v>11277</v>
      </c>
      <c r="D1033" s="15" t="s">
        <v>11277</v>
      </c>
      <c r="E1033" s="15" t="s">
        <v>11</v>
      </c>
      <c r="F1033" s="15" t="s">
        <v>15154</v>
      </c>
      <c r="G1033" s="15" t="s">
        <v>12171</v>
      </c>
      <c r="H1033" s="15">
        <v>30</v>
      </c>
      <c r="I1033" s="15">
        <v>6</v>
      </c>
      <c r="J1033" s="15">
        <v>56</v>
      </c>
      <c r="K1033" s="15" t="str">
        <f t="shared" si="16"/>
        <v>aetherochemicalspill</v>
      </c>
      <c r="L1033" s="15" t="s">
        <v>11592</v>
      </c>
      <c r="M1033" s="15">
        <v>2</v>
      </c>
      <c r="N1033" s="15" t="s">
        <v>11223</v>
      </c>
      <c r="O1033" s="15"/>
      <c r="P1033" s="15"/>
      <c r="Q1033" s="15"/>
      <c r="R1033" s="15"/>
      <c r="S1033" s="15"/>
      <c r="T1033" s="15">
        <v>0</v>
      </c>
      <c r="U1033" s="15"/>
      <c r="V1033" s="15"/>
      <c r="W1033" s="15"/>
      <c r="X1033" s="15"/>
      <c r="Y1033" s="15"/>
      <c r="Z1033" s="15"/>
    </row>
    <row r="1034" spans="1:26" x14ac:dyDescent="0.25">
      <c r="A1034" s="15" t="s">
        <v>12371</v>
      </c>
      <c r="B1034" s="15">
        <v>1033</v>
      </c>
      <c r="C1034" s="15" t="s">
        <v>11277</v>
      </c>
      <c r="D1034" s="15" t="s">
        <v>11277</v>
      </c>
      <c r="E1034" s="15" t="s">
        <v>11</v>
      </c>
      <c r="F1034" s="15" t="s">
        <v>15154</v>
      </c>
      <c r="G1034" s="15" t="s">
        <v>12172</v>
      </c>
      <c r="H1034" s="15">
        <v>30</v>
      </c>
      <c r="I1034" s="15">
        <v>6</v>
      </c>
      <c r="J1034" s="15">
        <v>58</v>
      </c>
      <c r="K1034" s="15" t="str">
        <f t="shared" si="16"/>
        <v>aetherochemicalspill</v>
      </c>
      <c r="L1034" s="15" t="s">
        <v>12170</v>
      </c>
      <c r="M1034" s="15">
        <v>2</v>
      </c>
      <c r="N1034" s="15" t="s">
        <v>11223</v>
      </c>
      <c r="O1034" s="15"/>
      <c r="P1034" s="15"/>
      <c r="Q1034" s="15"/>
      <c r="R1034" s="15"/>
      <c r="S1034" s="15"/>
      <c r="T1034" s="15">
        <v>0</v>
      </c>
      <c r="U1034" s="15" t="s">
        <v>6010</v>
      </c>
      <c r="V1034" s="15"/>
      <c r="W1034" s="15"/>
      <c r="X1034" s="15"/>
      <c r="Y1034" s="15"/>
      <c r="Z1034" s="15"/>
    </row>
    <row r="1035" spans="1:26" x14ac:dyDescent="0.25">
      <c r="A1035" s="15" t="s">
        <v>12373</v>
      </c>
      <c r="B1035" s="15">
        <v>1034</v>
      </c>
      <c r="C1035" s="15" t="s">
        <v>11277</v>
      </c>
      <c r="D1035" s="15" t="s">
        <v>11277</v>
      </c>
      <c r="E1035" s="15" t="s">
        <v>11</v>
      </c>
      <c r="F1035" s="15" t="s">
        <v>15154</v>
      </c>
      <c r="G1035" s="15" t="s">
        <v>12176</v>
      </c>
      <c r="H1035" s="15">
        <v>30</v>
      </c>
      <c r="I1035" s="15">
        <v>6</v>
      </c>
      <c r="J1035" s="15">
        <v>57</v>
      </c>
      <c r="K1035" s="15" t="str">
        <f t="shared" si="16"/>
        <v>aetherochemicalspill</v>
      </c>
      <c r="L1035" s="15" t="s">
        <v>14088</v>
      </c>
      <c r="M1035" s="15">
        <v>1</v>
      </c>
      <c r="N1035" s="15" t="s">
        <v>11222</v>
      </c>
      <c r="O1035" s="15"/>
      <c r="P1035" s="15"/>
      <c r="Q1035" s="15" t="s">
        <v>12169</v>
      </c>
      <c r="R1035" s="15"/>
      <c r="S1035" s="15"/>
      <c r="T1035" s="15">
        <v>0</v>
      </c>
      <c r="U1035" s="15"/>
      <c r="V1035" s="15"/>
      <c r="W1035" s="15"/>
      <c r="X1035" s="15"/>
      <c r="Y1035" s="15"/>
      <c r="Z1035" s="15"/>
    </row>
    <row r="1036" spans="1:26" x14ac:dyDescent="0.25">
      <c r="A1036" s="15" t="s">
        <v>12375</v>
      </c>
      <c r="B1036" s="15">
        <v>1035</v>
      </c>
      <c r="C1036" s="15" t="s">
        <v>11277</v>
      </c>
      <c r="D1036" s="15" t="s">
        <v>11277</v>
      </c>
      <c r="E1036" s="15" t="s">
        <v>11</v>
      </c>
      <c r="F1036" s="15" t="s">
        <v>15154</v>
      </c>
      <c r="G1036" s="15" t="s">
        <v>12177</v>
      </c>
      <c r="H1036" s="15">
        <v>30</v>
      </c>
      <c r="I1036" s="15">
        <v>6</v>
      </c>
      <c r="J1036" s="15">
        <v>58</v>
      </c>
      <c r="K1036" s="15" t="str">
        <f t="shared" si="16"/>
        <v>aetherochemicalspill</v>
      </c>
      <c r="L1036" s="15" t="s">
        <v>14088</v>
      </c>
      <c r="M1036" s="15">
        <v>2</v>
      </c>
      <c r="N1036" s="15" t="s">
        <v>11223</v>
      </c>
      <c r="O1036" s="15"/>
      <c r="P1036" s="15"/>
      <c r="Q1036" s="15" t="s">
        <v>12169</v>
      </c>
      <c r="R1036" s="15"/>
      <c r="S1036" s="15"/>
      <c r="T1036" s="15">
        <v>0</v>
      </c>
      <c r="U1036" s="15"/>
      <c r="V1036" s="15"/>
      <c r="W1036" s="15"/>
      <c r="X1036" s="15"/>
      <c r="Y1036" s="15"/>
      <c r="Z1036" s="15"/>
    </row>
    <row r="1037" spans="1:26" x14ac:dyDescent="0.25">
      <c r="A1037" s="15" t="s">
        <v>12377</v>
      </c>
      <c r="B1037" s="15">
        <v>1036</v>
      </c>
      <c r="C1037" s="15" t="s">
        <v>11277</v>
      </c>
      <c r="D1037" s="15" t="s">
        <v>11277</v>
      </c>
      <c r="E1037" s="15" t="s">
        <v>11</v>
      </c>
      <c r="F1037" s="15" t="s">
        <v>15154</v>
      </c>
      <c r="G1037" s="15" t="s">
        <v>12178</v>
      </c>
      <c r="H1037" s="15">
        <v>30</v>
      </c>
      <c r="I1037" s="15">
        <v>6</v>
      </c>
      <c r="J1037" s="15">
        <v>60</v>
      </c>
      <c r="K1037" s="15" t="str">
        <f t="shared" si="16"/>
        <v>aetherochemicalspill</v>
      </c>
      <c r="L1037" s="15" t="s">
        <v>14088</v>
      </c>
      <c r="M1037" s="15">
        <v>3</v>
      </c>
      <c r="N1037" s="15" t="s">
        <v>11222</v>
      </c>
      <c r="O1037" s="15"/>
      <c r="P1037" s="15"/>
      <c r="Q1037" s="15" t="s">
        <v>12169</v>
      </c>
      <c r="R1037" s="15"/>
      <c r="S1037" s="15"/>
      <c r="T1037" s="15">
        <v>2</v>
      </c>
      <c r="U1037" s="15" t="s">
        <v>6010</v>
      </c>
      <c r="V1037" s="15" t="s">
        <v>5908</v>
      </c>
      <c r="W1037" s="15" t="s">
        <v>5892</v>
      </c>
      <c r="X1037" s="15"/>
      <c r="Y1037" s="15"/>
      <c r="Z1037" s="15"/>
    </row>
    <row r="1038" spans="1:26" x14ac:dyDescent="0.25">
      <c r="A1038" s="15" t="s">
        <v>12379</v>
      </c>
      <c r="B1038" s="15">
        <v>1037</v>
      </c>
      <c r="C1038" s="15" t="s">
        <v>11277</v>
      </c>
      <c r="D1038" s="15" t="s">
        <v>11277</v>
      </c>
      <c r="E1038" s="15" t="s">
        <v>11</v>
      </c>
      <c r="F1038" s="15" t="s">
        <v>15154</v>
      </c>
      <c r="G1038" s="15" t="s">
        <v>12179</v>
      </c>
      <c r="H1038" s="15">
        <v>30</v>
      </c>
      <c r="I1038" s="15">
        <v>6</v>
      </c>
      <c r="J1038" s="15">
        <v>60</v>
      </c>
      <c r="K1038" s="15" t="str">
        <f t="shared" si="16"/>
        <v>aetherochemicalspill</v>
      </c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x14ac:dyDescent="0.25">
      <c r="A1039" s="15" t="s">
        <v>12381</v>
      </c>
      <c r="B1039" s="15">
        <v>1038</v>
      </c>
      <c r="C1039" s="15" t="s">
        <v>11277</v>
      </c>
      <c r="D1039" s="15" t="s">
        <v>11277</v>
      </c>
      <c r="E1039" s="15" t="s">
        <v>11</v>
      </c>
      <c r="F1039" s="15" t="s">
        <v>1659</v>
      </c>
      <c r="G1039" s="15" t="s">
        <v>12169</v>
      </c>
      <c r="H1039" s="15">
        <v>6</v>
      </c>
      <c r="I1039" s="15">
        <v>16</v>
      </c>
      <c r="J1039" s="15">
        <v>56</v>
      </c>
      <c r="K1039" s="15" t="str">
        <f t="shared" si="16"/>
        <v>hyperstellardownconverter</v>
      </c>
      <c r="L1039" s="15" t="s">
        <v>12170</v>
      </c>
      <c r="M1039" s="15">
        <v>1</v>
      </c>
      <c r="N1039" s="15" t="s">
        <v>11222</v>
      </c>
      <c r="O1039" s="15"/>
      <c r="P1039" s="15"/>
      <c r="Q1039" s="15"/>
      <c r="R1039" s="15"/>
      <c r="S1039" s="15"/>
      <c r="T1039" s="15">
        <v>0</v>
      </c>
      <c r="U1039" s="15"/>
      <c r="V1039" s="15"/>
      <c r="W1039" s="15"/>
      <c r="X1039" s="15"/>
      <c r="Y1039" s="15"/>
      <c r="Z1039" s="15"/>
    </row>
    <row r="1040" spans="1:26" x14ac:dyDescent="0.25">
      <c r="A1040" s="15" t="s">
        <v>12383</v>
      </c>
      <c r="B1040" s="15">
        <v>1039</v>
      </c>
      <c r="C1040" s="15" t="s">
        <v>11277</v>
      </c>
      <c r="D1040" s="15" t="s">
        <v>11277</v>
      </c>
      <c r="E1040" s="15" t="s">
        <v>11</v>
      </c>
      <c r="F1040" s="15" t="s">
        <v>1659</v>
      </c>
      <c r="G1040" s="15" t="s">
        <v>12180</v>
      </c>
      <c r="H1040" s="15">
        <v>6</v>
      </c>
      <c r="I1040" s="15">
        <v>16</v>
      </c>
      <c r="J1040" s="15">
        <v>56</v>
      </c>
      <c r="K1040" s="15" t="str">
        <f t="shared" si="16"/>
        <v>hyperstellardownconverter</v>
      </c>
      <c r="L1040" s="15" t="s">
        <v>12170</v>
      </c>
      <c r="M1040" s="15">
        <v>1</v>
      </c>
      <c r="N1040" s="15" t="s">
        <v>11222</v>
      </c>
      <c r="O1040" s="15"/>
      <c r="P1040" s="15"/>
      <c r="Q1040" s="15"/>
      <c r="R1040" s="15"/>
      <c r="S1040" s="15"/>
      <c r="T1040" s="15">
        <v>0</v>
      </c>
      <c r="U1040" s="15"/>
      <c r="V1040" s="15"/>
      <c r="W1040" s="15"/>
      <c r="X1040" s="15"/>
      <c r="Y1040" s="15"/>
      <c r="Z1040" s="15"/>
    </row>
    <row r="1041" spans="1:26" x14ac:dyDescent="0.25">
      <c r="A1041" s="15" t="s">
        <v>12385</v>
      </c>
      <c r="B1041" s="15">
        <v>1040</v>
      </c>
      <c r="C1041" s="15" t="s">
        <v>11277</v>
      </c>
      <c r="D1041" s="15" t="s">
        <v>11277</v>
      </c>
      <c r="E1041" s="15" t="s">
        <v>11</v>
      </c>
      <c r="F1041" s="15" t="s">
        <v>1659</v>
      </c>
      <c r="G1041" s="15" t="s">
        <v>12181</v>
      </c>
      <c r="H1041" s="15">
        <v>6</v>
      </c>
      <c r="I1041" s="15">
        <v>16</v>
      </c>
      <c r="J1041" s="15">
        <v>59</v>
      </c>
      <c r="K1041" s="15" t="str">
        <f t="shared" si="16"/>
        <v>hyperstellardownconverter</v>
      </c>
      <c r="L1041" s="15" t="s">
        <v>14088</v>
      </c>
      <c r="M1041" s="15">
        <v>2</v>
      </c>
      <c r="N1041" s="15" t="s">
        <v>11223</v>
      </c>
      <c r="O1041" s="15"/>
      <c r="P1041" s="15"/>
      <c r="Q1041" s="15" t="s">
        <v>12169</v>
      </c>
      <c r="R1041" s="15"/>
      <c r="S1041" s="15"/>
      <c r="T1041" s="15">
        <v>0</v>
      </c>
      <c r="U1041" s="15" t="s">
        <v>6010</v>
      </c>
      <c r="V1041" s="15"/>
      <c r="W1041" s="15"/>
      <c r="X1041" s="15"/>
      <c r="Y1041" s="15"/>
      <c r="Z1041" s="15"/>
    </row>
    <row r="1042" spans="1:26" x14ac:dyDescent="0.25">
      <c r="A1042" s="15" t="s">
        <v>12387</v>
      </c>
      <c r="B1042" s="15">
        <v>1041</v>
      </c>
      <c r="C1042" s="15" t="s">
        <v>11277</v>
      </c>
      <c r="D1042" s="15" t="s">
        <v>11277</v>
      </c>
      <c r="E1042" s="15" t="s">
        <v>11</v>
      </c>
      <c r="F1042" s="15" t="s">
        <v>1659</v>
      </c>
      <c r="G1042" s="15" t="s">
        <v>12182</v>
      </c>
      <c r="H1042" s="15">
        <v>6</v>
      </c>
      <c r="I1042" s="15">
        <v>16</v>
      </c>
      <c r="J1042" s="15">
        <v>58</v>
      </c>
      <c r="K1042" s="15" t="str">
        <f t="shared" si="16"/>
        <v>hyperstellardownconverter</v>
      </c>
      <c r="L1042" s="15" t="s">
        <v>14088</v>
      </c>
      <c r="M1042" s="15">
        <v>2</v>
      </c>
      <c r="N1042" s="15" t="s">
        <v>11223</v>
      </c>
      <c r="O1042" s="15"/>
      <c r="P1042" s="15"/>
      <c r="Q1042" s="15" t="s">
        <v>12169</v>
      </c>
      <c r="R1042" s="15"/>
      <c r="S1042" s="15"/>
      <c r="T1042" s="15">
        <v>0</v>
      </c>
      <c r="U1042" s="15"/>
      <c r="V1042" s="15"/>
      <c r="W1042" s="15"/>
      <c r="X1042" s="15"/>
      <c r="Y1042" s="15"/>
      <c r="Z1042" s="15"/>
    </row>
    <row r="1043" spans="1:26" x14ac:dyDescent="0.25">
      <c r="A1043" s="15" t="s">
        <v>12389</v>
      </c>
      <c r="B1043" s="15">
        <v>1042</v>
      </c>
      <c r="C1043" s="15" t="s">
        <v>11277</v>
      </c>
      <c r="D1043" s="15" t="s">
        <v>11277</v>
      </c>
      <c r="E1043" s="15" t="s">
        <v>11</v>
      </c>
      <c r="F1043" s="15" t="s">
        <v>1659</v>
      </c>
      <c r="G1043" s="15" t="s">
        <v>12183</v>
      </c>
      <c r="H1043" s="15">
        <v>6</v>
      </c>
      <c r="I1043" s="15">
        <v>16</v>
      </c>
      <c r="J1043" s="15">
        <v>60</v>
      </c>
      <c r="K1043" s="15" t="str">
        <f t="shared" si="16"/>
        <v>hyperstellardownconverter</v>
      </c>
      <c r="L1043" s="15" t="s">
        <v>12170</v>
      </c>
      <c r="M1043" s="15">
        <v>1</v>
      </c>
      <c r="N1043" s="15" t="s">
        <v>11222</v>
      </c>
      <c r="O1043" s="15" t="s">
        <v>14055</v>
      </c>
      <c r="P1043" s="15"/>
      <c r="Q1043" s="15"/>
      <c r="R1043" s="15"/>
      <c r="S1043" s="15"/>
      <c r="T1043" s="15">
        <v>0</v>
      </c>
      <c r="U1043" s="15" t="s">
        <v>6010</v>
      </c>
      <c r="V1043" s="15"/>
      <c r="W1043" s="15"/>
      <c r="X1043" s="15"/>
      <c r="Y1043" s="15"/>
      <c r="Z1043" s="15"/>
    </row>
    <row r="1044" spans="1:26" x14ac:dyDescent="0.25">
      <c r="A1044" s="15" t="s">
        <v>12391</v>
      </c>
      <c r="B1044" s="15">
        <v>1043</v>
      </c>
      <c r="C1044" s="15" t="s">
        <v>11277</v>
      </c>
      <c r="D1044" s="15" t="s">
        <v>11277</v>
      </c>
      <c r="E1044" s="15" t="s">
        <v>11</v>
      </c>
      <c r="F1044" s="15" t="s">
        <v>1659</v>
      </c>
      <c r="G1044" s="15" t="s">
        <v>12184</v>
      </c>
      <c r="H1044" s="15">
        <v>6</v>
      </c>
      <c r="I1044" s="15">
        <v>16</v>
      </c>
      <c r="J1044" s="15">
        <v>60</v>
      </c>
      <c r="K1044" s="15" t="str">
        <f t="shared" si="16"/>
        <v>hyperstellardownconverter</v>
      </c>
      <c r="L1044" s="15" t="s">
        <v>12170</v>
      </c>
      <c r="M1044" s="15">
        <v>3</v>
      </c>
      <c r="N1044" s="15" t="s">
        <v>11222</v>
      </c>
      <c r="O1044" s="15" t="s">
        <v>14053</v>
      </c>
      <c r="P1044" s="15"/>
      <c r="Q1044" s="15"/>
      <c r="R1044" s="15"/>
      <c r="S1044" s="15"/>
      <c r="T1044" s="15">
        <v>0</v>
      </c>
      <c r="U1044" s="15" t="s">
        <v>5908</v>
      </c>
      <c r="V1044" s="15"/>
      <c r="W1044" s="15"/>
      <c r="X1044" s="15" t="s">
        <v>6010</v>
      </c>
      <c r="Y1044" s="15"/>
      <c r="Z1044" s="15"/>
    </row>
    <row r="1045" spans="1:26" x14ac:dyDescent="0.25">
      <c r="A1045" s="15" t="s">
        <v>12393</v>
      </c>
      <c r="B1045" s="15">
        <v>1044</v>
      </c>
      <c r="C1045" s="15" t="s">
        <v>11277</v>
      </c>
      <c r="D1045" s="15" t="s">
        <v>11277</v>
      </c>
      <c r="E1045" s="15" t="s">
        <v>11</v>
      </c>
      <c r="F1045" s="15" t="s">
        <v>1645</v>
      </c>
      <c r="G1045" s="15" t="s">
        <v>12185</v>
      </c>
      <c r="H1045" s="15">
        <v>10</v>
      </c>
      <c r="I1045" s="15">
        <v>31</v>
      </c>
      <c r="J1045" s="15">
        <v>58</v>
      </c>
      <c r="K1045" s="15" t="str">
        <f t="shared" si="16"/>
        <v>deltaquadrant</v>
      </c>
      <c r="L1045" s="15" t="s">
        <v>11592</v>
      </c>
      <c r="M1045" s="15">
        <v>2</v>
      </c>
      <c r="N1045" s="15" t="s">
        <v>11223</v>
      </c>
      <c r="O1045" s="15"/>
      <c r="P1045" s="15"/>
      <c r="Q1045" s="15"/>
      <c r="R1045" s="15"/>
      <c r="S1045" s="15"/>
      <c r="T1045" s="15">
        <v>0</v>
      </c>
      <c r="U1045" s="15"/>
      <c r="V1045" s="15"/>
      <c r="W1045" s="15"/>
      <c r="X1045" s="15"/>
      <c r="Y1045" s="15"/>
      <c r="Z1045" s="15"/>
    </row>
    <row r="1046" spans="1:26" x14ac:dyDescent="0.25">
      <c r="A1046" s="15" t="s">
        <v>12395</v>
      </c>
      <c r="B1046" s="15">
        <v>1045</v>
      </c>
      <c r="C1046" s="15" t="s">
        <v>11277</v>
      </c>
      <c r="D1046" s="15" t="s">
        <v>11277</v>
      </c>
      <c r="E1046" s="15" t="s">
        <v>11</v>
      </c>
      <c r="F1046" s="15" t="s">
        <v>1645</v>
      </c>
      <c r="G1046" s="15" t="s">
        <v>12186</v>
      </c>
      <c r="H1046" s="15">
        <v>10</v>
      </c>
      <c r="I1046" s="15">
        <v>31</v>
      </c>
      <c r="J1046" s="15">
        <v>58</v>
      </c>
      <c r="K1046" s="15" t="str">
        <f t="shared" si="16"/>
        <v>deltaquadrant</v>
      </c>
      <c r="L1046" s="15" t="s">
        <v>11562</v>
      </c>
      <c r="M1046" s="15">
        <v>1</v>
      </c>
      <c r="N1046" s="15" t="s">
        <v>11222</v>
      </c>
      <c r="O1046" s="15"/>
      <c r="P1046" s="15"/>
      <c r="Q1046" s="15"/>
      <c r="R1046" s="15"/>
      <c r="S1046" s="15"/>
      <c r="T1046" s="15">
        <v>0</v>
      </c>
      <c r="U1046" s="15"/>
      <c r="V1046" s="15"/>
      <c r="W1046" s="15"/>
      <c r="X1046" s="15"/>
      <c r="Y1046" s="15"/>
      <c r="Z1046" s="15"/>
    </row>
    <row r="1047" spans="1:26" x14ac:dyDescent="0.25">
      <c r="A1047" s="15" t="s">
        <v>12397</v>
      </c>
      <c r="B1047" s="15">
        <v>1046</v>
      </c>
      <c r="C1047" s="15" t="s">
        <v>11277</v>
      </c>
      <c r="D1047" s="15" t="s">
        <v>11277</v>
      </c>
      <c r="E1047" s="15" t="s">
        <v>11</v>
      </c>
      <c r="F1047" s="15" t="s">
        <v>1645</v>
      </c>
      <c r="G1047" s="15" t="s">
        <v>12187</v>
      </c>
      <c r="H1047" s="15">
        <v>10</v>
      </c>
      <c r="I1047" s="15">
        <v>31</v>
      </c>
      <c r="J1047" s="15">
        <v>56</v>
      </c>
      <c r="K1047" s="15" t="str">
        <f t="shared" si="16"/>
        <v>deltaquadrant</v>
      </c>
      <c r="L1047" s="15" t="s">
        <v>11562</v>
      </c>
      <c r="M1047" s="15">
        <v>1</v>
      </c>
      <c r="N1047" s="15" t="s">
        <v>11222</v>
      </c>
      <c r="O1047" s="15"/>
      <c r="P1047" s="15"/>
      <c r="Q1047" s="15"/>
      <c r="R1047" s="15"/>
      <c r="S1047" s="15"/>
      <c r="T1047" s="15">
        <v>0</v>
      </c>
      <c r="U1047" s="15"/>
      <c r="V1047" s="15"/>
      <c r="W1047" s="15"/>
      <c r="X1047" s="15"/>
      <c r="Y1047" s="15"/>
      <c r="Z1047" s="15"/>
    </row>
    <row r="1048" spans="1:26" x14ac:dyDescent="0.25">
      <c r="A1048" s="15" t="s">
        <v>12399</v>
      </c>
      <c r="B1048" s="15">
        <v>1047</v>
      </c>
      <c r="C1048" s="15" t="s">
        <v>11277</v>
      </c>
      <c r="D1048" s="15" t="s">
        <v>11277</v>
      </c>
      <c r="E1048" s="15" t="s">
        <v>11</v>
      </c>
      <c r="F1048" s="15" t="s">
        <v>1645</v>
      </c>
      <c r="G1048" s="15" t="s">
        <v>12142</v>
      </c>
      <c r="H1048" s="15">
        <v>10</v>
      </c>
      <c r="I1048" s="15">
        <v>31</v>
      </c>
      <c r="J1048" s="15">
        <v>59</v>
      </c>
      <c r="K1048" s="15" t="str">
        <f t="shared" si="16"/>
        <v>deltaquadrant</v>
      </c>
      <c r="L1048" s="15" t="s">
        <v>11564</v>
      </c>
      <c r="M1048" s="15">
        <v>2</v>
      </c>
      <c r="N1048" s="15" t="s">
        <v>11223</v>
      </c>
      <c r="O1048" s="15"/>
      <c r="P1048" s="15"/>
      <c r="Q1048" s="15" t="s">
        <v>12187</v>
      </c>
      <c r="R1048" s="15"/>
      <c r="S1048" s="15"/>
      <c r="T1048" s="15">
        <v>0</v>
      </c>
      <c r="U1048" s="15"/>
      <c r="V1048" s="15"/>
      <c r="W1048" s="15"/>
      <c r="X1048" s="15"/>
      <c r="Y1048" s="15"/>
      <c r="Z1048" s="15"/>
    </row>
    <row r="1049" spans="1:26" x14ac:dyDescent="0.25">
      <c r="A1049" s="15" t="s">
        <v>12401</v>
      </c>
      <c r="B1049" s="15">
        <v>1048</v>
      </c>
      <c r="C1049" s="15" t="s">
        <v>11277</v>
      </c>
      <c r="D1049" s="15" t="s">
        <v>11277</v>
      </c>
      <c r="E1049" s="15" t="s">
        <v>11</v>
      </c>
      <c r="F1049" s="15" t="s">
        <v>1645</v>
      </c>
      <c r="G1049" s="15" t="s">
        <v>12188</v>
      </c>
      <c r="H1049" s="15">
        <v>10</v>
      </c>
      <c r="I1049" s="15">
        <v>31</v>
      </c>
      <c r="J1049" s="15">
        <v>60</v>
      </c>
      <c r="K1049" s="15" t="str">
        <f t="shared" si="16"/>
        <v>deltaquadrant</v>
      </c>
      <c r="L1049" s="15" t="s">
        <v>11564</v>
      </c>
      <c r="M1049" s="15">
        <v>3</v>
      </c>
      <c r="N1049" s="15" t="s">
        <v>11223</v>
      </c>
      <c r="O1049" s="15" t="s">
        <v>14047</v>
      </c>
      <c r="P1049" s="15"/>
      <c r="Q1049" s="15" t="s">
        <v>12187</v>
      </c>
      <c r="R1049" s="15"/>
      <c r="S1049" s="15"/>
      <c r="T1049" s="15">
        <v>1</v>
      </c>
      <c r="U1049" s="15" t="s">
        <v>5908</v>
      </c>
      <c r="V1049" s="15"/>
      <c r="W1049" s="15"/>
      <c r="X1049" s="15"/>
      <c r="Y1049" s="15"/>
      <c r="Z1049" s="15"/>
    </row>
    <row r="1050" spans="1:26" x14ac:dyDescent="0.25">
      <c r="A1050" s="15" t="s">
        <v>12403</v>
      </c>
      <c r="B1050" s="15">
        <v>1049</v>
      </c>
      <c r="C1050" s="15" t="s">
        <v>11277</v>
      </c>
      <c r="D1050" s="15" t="s">
        <v>11277</v>
      </c>
      <c r="E1050" s="15" t="s">
        <v>102</v>
      </c>
      <c r="F1050" s="15" t="s">
        <v>1645</v>
      </c>
      <c r="G1050" s="15" t="s">
        <v>12189</v>
      </c>
      <c r="H1050" s="15">
        <v>10</v>
      </c>
      <c r="I1050" s="15">
        <v>31</v>
      </c>
      <c r="J1050" s="15">
        <v>80</v>
      </c>
      <c r="K1050" s="15" t="str">
        <f t="shared" si="16"/>
        <v>deltaquadrant</v>
      </c>
      <c r="L1050" s="15" t="s">
        <v>11592</v>
      </c>
      <c r="M1050" s="15">
        <v>1</v>
      </c>
      <c r="N1050" s="15" t="s">
        <v>11222</v>
      </c>
      <c r="O1050" s="15"/>
      <c r="P1050" s="15"/>
      <c r="Q1050" s="15"/>
      <c r="R1050" s="15"/>
      <c r="S1050" s="15"/>
      <c r="T1050" s="15">
        <v>3</v>
      </c>
      <c r="U1050" s="15"/>
      <c r="V1050" s="15"/>
      <c r="W1050" s="15"/>
      <c r="X1050" s="15"/>
      <c r="Y1050" s="15"/>
      <c r="Z1050" s="15"/>
    </row>
    <row r="1051" spans="1:26" x14ac:dyDescent="0.25">
      <c r="A1051" s="15" t="s">
        <v>12405</v>
      </c>
      <c r="B1051" s="15">
        <v>1050</v>
      </c>
      <c r="C1051" s="15" t="s">
        <v>11277</v>
      </c>
      <c r="D1051" s="15" t="s">
        <v>11277</v>
      </c>
      <c r="E1051" s="15" t="s">
        <v>11</v>
      </c>
      <c r="F1051" s="15" t="s">
        <v>1645</v>
      </c>
      <c r="G1051" s="15" t="s">
        <v>12190</v>
      </c>
      <c r="H1051" s="15">
        <v>10</v>
      </c>
      <c r="I1051" s="15">
        <v>31</v>
      </c>
      <c r="J1051" s="15">
        <v>60</v>
      </c>
      <c r="K1051" s="15" t="str">
        <f t="shared" si="16"/>
        <v>deltaquadrant</v>
      </c>
      <c r="L1051" s="15" t="s">
        <v>14088</v>
      </c>
      <c r="M1051" s="15">
        <v>3</v>
      </c>
      <c r="N1051" s="15" t="s">
        <v>11223</v>
      </c>
      <c r="O1051" s="15" t="s">
        <v>14066</v>
      </c>
      <c r="P1051" s="15"/>
      <c r="Q1051" s="15" t="s">
        <v>12187</v>
      </c>
      <c r="R1051" s="15"/>
      <c r="S1051" s="15"/>
      <c r="T1051" s="15">
        <v>0</v>
      </c>
      <c r="U1051" s="15" t="s">
        <v>5908</v>
      </c>
      <c r="V1051" s="15"/>
      <c r="W1051" s="15"/>
      <c r="X1051" s="15"/>
      <c r="Y1051" s="15"/>
      <c r="Z1051" s="15"/>
    </row>
    <row r="1052" spans="1:26" x14ac:dyDescent="0.25">
      <c r="A1052" s="15" t="s">
        <v>12407</v>
      </c>
      <c r="B1052" s="15">
        <v>1051</v>
      </c>
      <c r="C1052" s="15" t="s">
        <v>11277</v>
      </c>
      <c r="D1052" s="15" t="s">
        <v>11277</v>
      </c>
      <c r="E1052" s="15" t="s">
        <v>11</v>
      </c>
      <c r="F1052" s="15" t="s">
        <v>5833</v>
      </c>
      <c r="G1052" s="15" t="s">
        <v>12185</v>
      </c>
      <c r="H1052" s="15">
        <v>6</v>
      </c>
      <c r="I1052" s="15">
        <v>35</v>
      </c>
      <c r="J1052" s="15">
        <v>58</v>
      </c>
      <c r="K1052" s="15" t="str">
        <f t="shared" si="16"/>
        <v>thepappustree</v>
      </c>
      <c r="L1052" s="15" t="s">
        <v>11592</v>
      </c>
      <c r="M1052" s="15">
        <v>2</v>
      </c>
      <c r="N1052" s="15" t="s">
        <v>11223</v>
      </c>
      <c r="O1052" s="15"/>
      <c r="P1052" s="15"/>
      <c r="Q1052" s="15"/>
      <c r="R1052" s="15"/>
      <c r="S1052" s="15"/>
      <c r="T1052" s="15">
        <v>0</v>
      </c>
      <c r="U1052" s="15"/>
      <c r="V1052" s="15"/>
      <c r="W1052" s="15"/>
      <c r="X1052" s="15"/>
      <c r="Y1052" s="15"/>
      <c r="Z1052" s="15"/>
    </row>
    <row r="1053" spans="1:26" x14ac:dyDescent="0.25">
      <c r="A1053" s="15" t="s">
        <v>12409</v>
      </c>
      <c r="B1053" s="15">
        <v>1052</v>
      </c>
      <c r="C1053" s="15" t="s">
        <v>11277</v>
      </c>
      <c r="D1053" s="15" t="s">
        <v>11277</v>
      </c>
      <c r="E1053" s="15" t="s">
        <v>11</v>
      </c>
      <c r="F1053" s="15" t="s">
        <v>5833</v>
      </c>
      <c r="G1053" s="15" t="s">
        <v>12191</v>
      </c>
      <c r="H1053" s="15">
        <v>6</v>
      </c>
      <c r="I1053" s="15">
        <v>35</v>
      </c>
      <c r="J1053" s="15">
        <v>58</v>
      </c>
      <c r="K1053" s="15" t="str">
        <f t="shared" si="16"/>
        <v>thepappustree</v>
      </c>
      <c r="L1053" s="15" t="s">
        <v>11562</v>
      </c>
      <c r="M1053" s="15">
        <v>1</v>
      </c>
      <c r="N1053" s="15" t="s">
        <v>11222</v>
      </c>
      <c r="O1053" s="15"/>
      <c r="P1053" s="15"/>
      <c r="Q1053" s="15"/>
      <c r="R1053" s="15"/>
      <c r="S1053" s="15"/>
      <c r="T1053" s="15">
        <v>0</v>
      </c>
      <c r="U1053" s="15"/>
      <c r="V1053" s="15"/>
      <c r="W1053" s="15"/>
      <c r="X1053" s="15"/>
      <c r="Y1053" s="15"/>
      <c r="Z1053" s="15"/>
    </row>
    <row r="1054" spans="1:26" x14ac:dyDescent="0.25">
      <c r="A1054" s="15" t="s">
        <v>12411</v>
      </c>
      <c r="B1054" s="15">
        <v>1053</v>
      </c>
      <c r="C1054" s="15" t="s">
        <v>11277</v>
      </c>
      <c r="D1054" s="15" t="s">
        <v>11277</v>
      </c>
      <c r="E1054" s="15" t="s">
        <v>11</v>
      </c>
      <c r="F1054" s="15" t="s">
        <v>5833</v>
      </c>
      <c r="G1054" s="15" t="s">
        <v>12187</v>
      </c>
      <c r="H1054" s="15">
        <v>6</v>
      </c>
      <c r="I1054" s="15">
        <v>35</v>
      </c>
      <c r="J1054" s="15">
        <v>56</v>
      </c>
      <c r="K1054" s="15" t="str">
        <f t="shared" si="16"/>
        <v>thepappustree</v>
      </c>
      <c r="L1054" s="15" t="s">
        <v>11562</v>
      </c>
      <c r="M1054" s="15">
        <v>1</v>
      </c>
      <c r="N1054" s="15" t="s">
        <v>11222</v>
      </c>
      <c r="O1054" s="15"/>
      <c r="P1054" s="15"/>
      <c r="Q1054" s="15"/>
      <c r="R1054" s="15"/>
      <c r="S1054" s="15"/>
      <c r="T1054" s="15">
        <v>0</v>
      </c>
      <c r="U1054" s="15"/>
      <c r="V1054" s="15"/>
      <c r="W1054" s="15"/>
      <c r="X1054" s="15"/>
      <c r="Y1054" s="15"/>
      <c r="Z1054" s="15"/>
    </row>
    <row r="1055" spans="1:26" x14ac:dyDescent="0.25">
      <c r="A1055" s="15" t="s">
        <v>12413</v>
      </c>
      <c r="B1055" s="15">
        <v>1054</v>
      </c>
      <c r="C1055" s="15" t="s">
        <v>11277</v>
      </c>
      <c r="D1055" s="15" t="s">
        <v>11277</v>
      </c>
      <c r="E1055" s="15" t="s">
        <v>11</v>
      </c>
      <c r="F1055" s="15" t="s">
        <v>5833</v>
      </c>
      <c r="G1055" s="15" t="s">
        <v>12192</v>
      </c>
      <c r="H1055" s="15">
        <v>6</v>
      </c>
      <c r="I1055" s="15">
        <v>35</v>
      </c>
      <c r="J1055" s="15">
        <v>60</v>
      </c>
      <c r="K1055" s="15" t="str">
        <f t="shared" si="16"/>
        <v>thepappustree</v>
      </c>
      <c r="L1055" s="15" t="s">
        <v>11564</v>
      </c>
      <c r="M1055" s="15">
        <v>2</v>
      </c>
      <c r="N1055" s="15" t="s">
        <v>11223</v>
      </c>
      <c r="O1055" s="15"/>
      <c r="P1055" s="15"/>
      <c r="Q1055" s="15" t="s">
        <v>12187</v>
      </c>
      <c r="R1055" s="15"/>
      <c r="S1055" s="15"/>
      <c r="T1055" s="15">
        <v>1</v>
      </c>
      <c r="U1055" s="15" t="s">
        <v>5908</v>
      </c>
      <c r="V1055" s="15"/>
      <c r="W1055" s="15"/>
      <c r="X1055" s="15"/>
      <c r="Y1055" s="15"/>
      <c r="Z1055" s="15"/>
    </row>
    <row r="1056" spans="1:26" x14ac:dyDescent="0.25">
      <c r="A1056" s="15" t="s">
        <v>12415</v>
      </c>
      <c r="B1056" s="15">
        <v>1055</v>
      </c>
      <c r="C1056" s="15" t="s">
        <v>11277</v>
      </c>
      <c r="D1056" s="15" t="s">
        <v>11277</v>
      </c>
      <c r="E1056" s="15" t="s">
        <v>11</v>
      </c>
      <c r="F1056" s="15" t="s">
        <v>5833</v>
      </c>
      <c r="G1056" s="15" t="s">
        <v>12193</v>
      </c>
      <c r="H1056" s="15">
        <v>6</v>
      </c>
      <c r="I1056" s="15">
        <v>35</v>
      </c>
      <c r="J1056" s="15">
        <v>60</v>
      </c>
      <c r="K1056" s="15" t="str">
        <f t="shared" si="16"/>
        <v>thepappustree</v>
      </c>
      <c r="L1056" s="15" t="s">
        <v>11564</v>
      </c>
      <c r="M1056" s="15">
        <v>1</v>
      </c>
      <c r="N1056" s="15" t="s">
        <v>11222</v>
      </c>
      <c r="O1056" s="15" t="s">
        <v>2826</v>
      </c>
      <c r="P1056" s="15"/>
      <c r="Q1056" s="15" t="s">
        <v>12187</v>
      </c>
      <c r="R1056" s="15"/>
      <c r="S1056" s="15"/>
      <c r="T1056" s="15">
        <v>0</v>
      </c>
      <c r="U1056" s="15"/>
      <c r="V1056" s="15"/>
      <c r="W1056" s="15"/>
      <c r="X1056" s="15"/>
      <c r="Y1056" s="15"/>
      <c r="Z1056" s="15"/>
    </row>
    <row r="1057" spans="1:26" x14ac:dyDescent="0.25">
      <c r="A1057" s="15" t="s">
        <v>12417</v>
      </c>
      <c r="B1057" s="15">
        <v>1056</v>
      </c>
      <c r="C1057" s="15" t="s">
        <v>11277</v>
      </c>
      <c r="D1057" s="15" t="s">
        <v>11277</v>
      </c>
      <c r="E1057" s="15" t="s">
        <v>102</v>
      </c>
      <c r="F1057" s="15" t="s">
        <v>5833</v>
      </c>
      <c r="G1057" s="15" t="s">
        <v>12194</v>
      </c>
      <c r="H1057" s="15">
        <v>6</v>
      </c>
      <c r="I1057" s="15">
        <v>35</v>
      </c>
      <c r="J1057" s="15">
        <v>80</v>
      </c>
      <c r="K1057" s="15" t="str">
        <f t="shared" si="16"/>
        <v>thepappustree</v>
      </c>
      <c r="L1057" s="15" t="s">
        <v>11592</v>
      </c>
      <c r="M1057" s="15">
        <v>2</v>
      </c>
      <c r="N1057" s="15" t="s">
        <v>11223</v>
      </c>
      <c r="O1057" s="15"/>
      <c r="P1057" s="15"/>
      <c r="Q1057" s="15"/>
      <c r="R1057" s="15"/>
      <c r="S1057" s="15"/>
      <c r="T1057" s="15">
        <v>0</v>
      </c>
      <c r="U1057" s="15"/>
      <c r="V1057" s="15"/>
      <c r="W1057" s="15"/>
      <c r="X1057" s="15"/>
      <c r="Y1057" s="15"/>
      <c r="Z1057" s="15"/>
    </row>
    <row r="1058" spans="1:26" x14ac:dyDescent="0.25">
      <c r="A1058" s="15" t="s">
        <v>12419</v>
      </c>
      <c r="B1058" s="15">
        <v>1057</v>
      </c>
      <c r="C1058" s="15" t="s">
        <v>11277</v>
      </c>
      <c r="D1058" s="15" t="s">
        <v>11277</v>
      </c>
      <c r="E1058" s="15" t="s">
        <v>11</v>
      </c>
      <c r="F1058" s="15" t="s">
        <v>5833</v>
      </c>
      <c r="G1058" s="15" t="s">
        <v>12195</v>
      </c>
      <c r="H1058" s="15">
        <v>6</v>
      </c>
      <c r="I1058" s="15">
        <v>35</v>
      </c>
      <c r="J1058" s="15">
        <v>60</v>
      </c>
      <c r="K1058" s="15" t="str">
        <f t="shared" si="16"/>
        <v>thepappustree</v>
      </c>
      <c r="L1058" s="15" t="s">
        <v>14088</v>
      </c>
      <c r="M1058" s="15">
        <v>3</v>
      </c>
      <c r="N1058" s="15" t="s">
        <v>11222</v>
      </c>
      <c r="O1058" s="15" t="s">
        <v>11388</v>
      </c>
      <c r="P1058" s="15"/>
      <c r="Q1058" s="15" t="s">
        <v>12187</v>
      </c>
      <c r="R1058" s="15"/>
      <c r="S1058" s="15"/>
      <c r="T1058" s="15">
        <v>0</v>
      </c>
      <c r="U1058" s="15" t="s">
        <v>5892</v>
      </c>
      <c r="V1058" s="15" t="s">
        <v>5908</v>
      </c>
      <c r="W1058" s="15" t="s">
        <v>5982</v>
      </c>
      <c r="X1058" s="15"/>
      <c r="Y1058" s="15"/>
      <c r="Z1058" s="15"/>
    </row>
    <row r="1059" spans="1:26" x14ac:dyDescent="0.25">
      <c r="A1059" s="15" t="s">
        <v>12421</v>
      </c>
      <c r="B1059" s="15">
        <v>1058</v>
      </c>
      <c r="C1059" s="15" t="s">
        <v>11277</v>
      </c>
      <c r="D1059" s="15" t="s">
        <v>11277</v>
      </c>
      <c r="E1059" s="15" t="s">
        <v>11</v>
      </c>
      <c r="F1059" s="15" t="s">
        <v>1638</v>
      </c>
      <c r="G1059" s="15" t="s">
        <v>12155</v>
      </c>
      <c r="H1059" s="15">
        <v>40</v>
      </c>
      <c r="I1059" s="15">
        <v>18</v>
      </c>
      <c r="J1059" s="15">
        <v>53</v>
      </c>
      <c r="K1059" s="15" t="str">
        <f t="shared" si="16"/>
        <v>thehabisphere</v>
      </c>
      <c r="L1059" s="15" t="s">
        <v>11568</v>
      </c>
      <c r="M1059" s="15">
        <v>1</v>
      </c>
      <c r="N1059" s="15" t="s">
        <v>11222</v>
      </c>
      <c r="O1059" s="15"/>
      <c r="P1059" s="15"/>
      <c r="Q1059" s="15"/>
      <c r="R1059" s="15"/>
      <c r="S1059" s="15"/>
      <c r="T1059" s="15">
        <v>0</v>
      </c>
      <c r="U1059" s="15"/>
      <c r="V1059" s="15"/>
      <c r="W1059" s="15"/>
      <c r="X1059" s="15"/>
      <c r="Y1059" s="15"/>
      <c r="Z1059" s="15"/>
    </row>
    <row r="1060" spans="1:26" x14ac:dyDescent="0.25">
      <c r="A1060" s="15" t="s">
        <v>12423</v>
      </c>
      <c r="B1060" s="15">
        <v>1059</v>
      </c>
      <c r="C1060" s="15" t="s">
        <v>11277</v>
      </c>
      <c r="D1060" s="15" t="s">
        <v>11277</v>
      </c>
      <c r="E1060" s="15" t="s">
        <v>11</v>
      </c>
      <c r="F1060" s="15" t="s">
        <v>1638</v>
      </c>
      <c r="G1060" s="15" t="s">
        <v>12196</v>
      </c>
      <c r="H1060" s="15">
        <v>40</v>
      </c>
      <c r="I1060" s="15">
        <v>18</v>
      </c>
      <c r="J1060" s="15">
        <v>58</v>
      </c>
      <c r="K1060" s="15" t="str">
        <f t="shared" si="16"/>
        <v>thehabisphere</v>
      </c>
      <c r="L1060" s="15" t="s">
        <v>12153</v>
      </c>
      <c r="M1060" s="15">
        <v>2</v>
      </c>
      <c r="N1060" s="15" t="s">
        <v>11223</v>
      </c>
      <c r="O1060" s="15"/>
      <c r="P1060" s="15"/>
      <c r="Q1060" s="15" t="s">
        <v>12155</v>
      </c>
      <c r="R1060" s="15"/>
      <c r="S1060" s="15"/>
      <c r="T1060" s="15">
        <v>0</v>
      </c>
      <c r="U1060" s="15"/>
      <c r="V1060" s="15"/>
      <c r="W1060" s="15"/>
      <c r="X1060" s="15"/>
      <c r="Y1060" s="15"/>
      <c r="Z1060" s="15"/>
    </row>
    <row r="1061" spans="1:26" x14ac:dyDescent="0.25">
      <c r="A1061" s="15" t="s">
        <v>12425</v>
      </c>
      <c r="B1061" s="15">
        <v>1060</v>
      </c>
      <c r="C1061" s="15" t="s">
        <v>11277</v>
      </c>
      <c r="D1061" s="15" t="s">
        <v>11277</v>
      </c>
      <c r="E1061" s="15" t="s">
        <v>11</v>
      </c>
      <c r="F1061" s="15" t="s">
        <v>1638</v>
      </c>
      <c r="G1061" s="15" t="s">
        <v>12197</v>
      </c>
      <c r="H1061" s="15">
        <v>40</v>
      </c>
      <c r="I1061" s="15">
        <v>18</v>
      </c>
      <c r="J1061" s="15">
        <v>60</v>
      </c>
      <c r="K1061" s="15" t="str">
        <f t="shared" si="16"/>
        <v>thehabisphere</v>
      </c>
      <c r="L1061" s="15" t="s">
        <v>11568</v>
      </c>
      <c r="M1061" s="15">
        <v>1</v>
      </c>
      <c r="N1061" s="15" t="s">
        <v>11222</v>
      </c>
      <c r="O1061" s="15"/>
      <c r="P1061" s="15"/>
      <c r="Q1061" s="15"/>
      <c r="R1061" s="15"/>
      <c r="S1061" s="15"/>
      <c r="T1061" s="15">
        <v>0</v>
      </c>
      <c r="U1061" s="15"/>
      <c r="V1061" s="15"/>
      <c r="W1061" s="15"/>
      <c r="X1061" s="15"/>
      <c r="Y1061" s="15"/>
      <c r="Z1061" s="15"/>
    </row>
    <row r="1062" spans="1:26" x14ac:dyDescent="0.25">
      <c r="A1062" s="15" t="s">
        <v>12427</v>
      </c>
      <c r="B1062" s="15">
        <v>1061</v>
      </c>
      <c r="C1062" s="15" t="s">
        <v>11277</v>
      </c>
      <c r="D1062" s="15" t="s">
        <v>11277</v>
      </c>
      <c r="E1062" s="15" t="s">
        <v>11</v>
      </c>
      <c r="F1062" s="15" t="s">
        <v>1638</v>
      </c>
      <c r="G1062" s="15" t="s">
        <v>12198</v>
      </c>
      <c r="H1062" s="15">
        <v>40</v>
      </c>
      <c r="I1062" s="15">
        <v>18</v>
      </c>
      <c r="J1062" s="15">
        <v>59</v>
      </c>
      <c r="K1062" s="15" t="str">
        <f t="shared" si="16"/>
        <v>thehabisphere</v>
      </c>
      <c r="L1062" s="15" t="s">
        <v>11568</v>
      </c>
      <c r="M1062" s="15">
        <v>2</v>
      </c>
      <c r="N1062" s="15" t="s">
        <v>11223</v>
      </c>
      <c r="O1062" s="15"/>
      <c r="P1062" s="15"/>
      <c r="Q1062" s="15"/>
      <c r="R1062" s="15"/>
      <c r="S1062" s="15"/>
      <c r="T1062" s="15">
        <v>0</v>
      </c>
      <c r="U1062" s="15"/>
      <c r="V1062" s="15"/>
      <c r="W1062" s="15"/>
      <c r="X1062" s="15"/>
      <c r="Y1062" s="15"/>
      <c r="Z1062" s="15"/>
    </row>
    <row r="1063" spans="1:26" x14ac:dyDescent="0.25">
      <c r="A1063" s="15" t="s">
        <v>12429</v>
      </c>
      <c r="B1063" s="15">
        <v>1062</v>
      </c>
      <c r="C1063" s="15" t="s">
        <v>11277</v>
      </c>
      <c r="D1063" s="15" t="s">
        <v>11277</v>
      </c>
      <c r="E1063" s="15" t="s">
        <v>11</v>
      </c>
      <c r="F1063" s="15" t="s">
        <v>1638</v>
      </c>
      <c r="G1063" s="15" t="s">
        <v>12159</v>
      </c>
      <c r="H1063" s="15">
        <v>40</v>
      </c>
      <c r="I1063" s="15">
        <v>18</v>
      </c>
      <c r="J1063" s="15">
        <v>57</v>
      </c>
      <c r="K1063" s="15" t="str">
        <f t="shared" si="16"/>
        <v>thehabisphere</v>
      </c>
      <c r="L1063" s="15" t="s">
        <v>12153</v>
      </c>
      <c r="M1063" s="15">
        <v>2</v>
      </c>
      <c r="N1063" s="15" t="s">
        <v>11223</v>
      </c>
      <c r="O1063" s="15"/>
      <c r="P1063" s="15"/>
      <c r="Q1063" s="15" t="s">
        <v>12155</v>
      </c>
      <c r="R1063" s="15"/>
      <c r="S1063" s="15"/>
      <c r="T1063" s="15">
        <v>0</v>
      </c>
      <c r="U1063" s="15"/>
      <c r="V1063" s="15"/>
      <c r="W1063" s="15"/>
      <c r="X1063" s="15"/>
      <c r="Y1063" s="15"/>
      <c r="Z1063" s="15"/>
    </row>
    <row r="1064" spans="1:26" x14ac:dyDescent="0.25">
      <c r="A1064" s="15" t="s">
        <v>12431</v>
      </c>
      <c r="B1064" s="15">
        <v>1063</v>
      </c>
      <c r="C1064" s="15" t="s">
        <v>11277</v>
      </c>
      <c r="D1064" s="15" t="s">
        <v>11277</v>
      </c>
      <c r="E1064" s="15" t="s">
        <v>11</v>
      </c>
      <c r="F1064" s="15" t="s">
        <v>1638</v>
      </c>
      <c r="G1064" s="15" t="s">
        <v>66</v>
      </c>
      <c r="H1064" s="15">
        <v>40</v>
      </c>
      <c r="I1064" s="15">
        <v>18</v>
      </c>
      <c r="J1064" s="15">
        <v>60</v>
      </c>
      <c r="K1064" s="15" t="str">
        <f t="shared" si="16"/>
        <v>thehabisphere</v>
      </c>
      <c r="L1064" s="15" t="s">
        <v>11568</v>
      </c>
      <c r="M1064" s="15">
        <v>3</v>
      </c>
      <c r="N1064" s="15" t="s">
        <v>11223</v>
      </c>
      <c r="O1064" s="15" t="s">
        <v>14031</v>
      </c>
      <c r="P1064" s="15"/>
      <c r="Q1064" s="15" t="s">
        <v>12155</v>
      </c>
      <c r="R1064" s="15" t="s">
        <v>12196</v>
      </c>
      <c r="S1064" s="15"/>
      <c r="T1064" s="15">
        <v>0</v>
      </c>
      <c r="U1064" s="15" t="s">
        <v>5892</v>
      </c>
      <c r="V1064" s="15" t="s">
        <v>5908</v>
      </c>
      <c r="W1064" s="15" t="s">
        <v>5982</v>
      </c>
      <c r="X1064" s="15"/>
      <c r="Y1064" s="15"/>
      <c r="Z1064" s="15"/>
    </row>
    <row r="1065" spans="1:26" x14ac:dyDescent="0.25">
      <c r="A1065" s="15" t="s">
        <v>12433</v>
      </c>
      <c r="B1065" s="15">
        <v>1064</v>
      </c>
      <c r="C1065" s="15" t="s">
        <v>11277</v>
      </c>
      <c r="D1065" s="15" t="s">
        <v>11277</v>
      </c>
      <c r="E1065" s="15" t="s">
        <v>11</v>
      </c>
      <c r="F1065" s="15" t="s">
        <v>1638</v>
      </c>
      <c r="G1065" s="15" t="s">
        <v>12199</v>
      </c>
      <c r="H1065" s="15">
        <v>40</v>
      </c>
      <c r="I1065" s="15">
        <v>18</v>
      </c>
      <c r="J1065" s="15">
        <v>60</v>
      </c>
      <c r="K1065" s="15" t="str">
        <f t="shared" si="16"/>
        <v>thehabisphere</v>
      </c>
      <c r="L1065" s="15" t="s">
        <v>12153</v>
      </c>
      <c r="M1065" s="15">
        <v>3</v>
      </c>
      <c r="N1065" s="15" t="s">
        <v>11223</v>
      </c>
      <c r="O1065" s="15"/>
      <c r="P1065" s="15"/>
      <c r="Q1065" s="15" t="s">
        <v>12196</v>
      </c>
      <c r="R1065" s="15"/>
      <c r="S1065" s="15"/>
      <c r="T1065" s="15">
        <v>1</v>
      </c>
      <c r="U1065" s="15" t="s">
        <v>5892</v>
      </c>
      <c r="V1065" s="15" t="s">
        <v>5908</v>
      </c>
      <c r="W1065" s="15" t="s">
        <v>5982</v>
      </c>
      <c r="X1065" s="15"/>
      <c r="Y1065" s="15"/>
      <c r="Z1065" s="15"/>
    </row>
    <row r="1066" spans="1:26" x14ac:dyDescent="0.25">
      <c r="A1066" s="15" t="s">
        <v>12435</v>
      </c>
      <c r="B1066" s="15">
        <v>1065</v>
      </c>
      <c r="C1066" s="15" t="s">
        <v>11277</v>
      </c>
      <c r="D1066" s="15" t="s">
        <v>11277</v>
      </c>
      <c r="E1066" s="15" t="s">
        <v>11</v>
      </c>
      <c r="F1066" s="15" t="s">
        <v>1638</v>
      </c>
      <c r="G1066" s="15" t="s">
        <v>12200</v>
      </c>
      <c r="H1066" s="15">
        <v>40</v>
      </c>
      <c r="I1066" s="15">
        <v>18</v>
      </c>
      <c r="J1066" s="15">
        <v>59</v>
      </c>
      <c r="K1066" s="15" t="str">
        <f t="shared" si="16"/>
        <v>thehabisphere</v>
      </c>
      <c r="L1066" s="15" t="s">
        <v>12153</v>
      </c>
      <c r="M1066" s="15">
        <v>2</v>
      </c>
      <c r="N1066" s="15" t="s">
        <v>11223</v>
      </c>
      <c r="O1066" s="15"/>
      <c r="P1066" s="15"/>
      <c r="Q1066" s="15" t="s">
        <v>12196</v>
      </c>
      <c r="R1066" s="15"/>
      <c r="S1066" s="15"/>
      <c r="T1066" s="15">
        <v>0</v>
      </c>
      <c r="U1066" s="15"/>
      <c r="V1066" s="15"/>
      <c r="W1066" s="15"/>
      <c r="X1066" s="15"/>
      <c r="Y1066" s="15"/>
      <c r="Z1066" s="15"/>
    </row>
    <row r="1067" spans="1:26" x14ac:dyDescent="0.25">
      <c r="A1067" s="15" t="s">
        <v>12437</v>
      </c>
      <c r="B1067" s="15">
        <v>1066</v>
      </c>
      <c r="C1067" s="15" t="s">
        <v>11277</v>
      </c>
      <c r="D1067" s="15" t="s">
        <v>11277</v>
      </c>
      <c r="E1067" s="15" t="s">
        <v>11</v>
      </c>
      <c r="F1067" s="15" t="s">
        <v>1638</v>
      </c>
      <c r="G1067" s="15" t="s">
        <v>12201</v>
      </c>
      <c r="H1067" s="15">
        <v>40</v>
      </c>
      <c r="I1067" s="15">
        <v>18</v>
      </c>
      <c r="J1067" s="15">
        <v>60</v>
      </c>
      <c r="K1067" s="15" t="str">
        <f t="shared" si="16"/>
        <v>thehabisphere</v>
      </c>
      <c r="L1067" s="15" t="s">
        <v>14088</v>
      </c>
      <c r="M1067" s="15">
        <v>3</v>
      </c>
      <c r="N1067" s="15" t="s">
        <v>11223</v>
      </c>
      <c r="O1067" s="15"/>
      <c r="P1067" s="15"/>
      <c r="Q1067" s="15" t="s">
        <v>12196</v>
      </c>
      <c r="R1067" s="15"/>
      <c r="S1067" s="15"/>
      <c r="T1067" s="15">
        <v>0</v>
      </c>
      <c r="U1067" s="15" t="s">
        <v>6010</v>
      </c>
      <c r="V1067" s="15"/>
      <c r="W1067" s="15"/>
      <c r="X1067" s="15"/>
      <c r="Y1067" s="15"/>
      <c r="Z1067" s="15"/>
    </row>
    <row r="1068" spans="1:26" x14ac:dyDescent="0.25">
      <c r="A1068" s="15" t="s">
        <v>12439</v>
      </c>
      <c r="B1068" s="15">
        <v>1067</v>
      </c>
      <c r="C1068" s="15" t="s">
        <v>11277</v>
      </c>
      <c r="D1068" s="15" t="s">
        <v>11277</v>
      </c>
      <c r="E1068" s="15" t="s">
        <v>11</v>
      </c>
      <c r="F1068" s="15" t="s">
        <v>1650</v>
      </c>
      <c r="G1068" s="15" t="s">
        <v>12169</v>
      </c>
      <c r="H1068" s="15">
        <v>21</v>
      </c>
      <c r="I1068" s="15">
        <v>21</v>
      </c>
      <c r="J1068" s="15">
        <v>56</v>
      </c>
      <c r="K1068" s="15" t="str">
        <f t="shared" si="16"/>
        <v>theflagship</v>
      </c>
      <c r="L1068" s="15" t="s">
        <v>12170</v>
      </c>
      <c r="M1068" s="15">
        <v>1</v>
      </c>
      <c r="N1068" s="15" t="s">
        <v>11222</v>
      </c>
      <c r="O1068" s="15"/>
      <c r="P1068" s="15"/>
      <c r="Q1068" s="15"/>
      <c r="R1068" s="15"/>
      <c r="S1068" s="15"/>
      <c r="T1068" s="15">
        <v>0</v>
      </c>
      <c r="U1068" s="15"/>
      <c r="V1068" s="15"/>
      <c r="W1068" s="15"/>
      <c r="X1068" s="15"/>
      <c r="Y1068" s="15"/>
      <c r="Z1068" s="15"/>
    </row>
    <row r="1069" spans="1:26" x14ac:dyDescent="0.25">
      <c r="A1069" s="15" t="s">
        <v>12441</v>
      </c>
      <c r="B1069" s="15">
        <v>1068</v>
      </c>
      <c r="C1069" s="15" t="s">
        <v>11277</v>
      </c>
      <c r="D1069" s="15" t="s">
        <v>11277</v>
      </c>
      <c r="E1069" s="15" t="s">
        <v>11</v>
      </c>
      <c r="F1069" s="15" t="s">
        <v>1650</v>
      </c>
      <c r="G1069" s="15" t="s">
        <v>12180</v>
      </c>
      <c r="H1069" s="15">
        <v>21</v>
      </c>
      <c r="I1069" s="15">
        <v>21</v>
      </c>
      <c r="J1069" s="15">
        <v>56</v>
      </c>
      <c r="K1069" s="15" t="str">
        <f t="shared" si="16"/>
        <v>theflagship</v>
      </c>
      <c r="L1069" s="15" t="s">
        <v>12170</v>
      </c>
      <c r="M1069" s="15">
        <v>1</v>
      </c>
      <c r="N1069" s="15" t="s">
        <v>11222</v>
      </c>
      <c r="O1069" s="15"/>
      <c r="P1069" s="15"/>
      <c r="Q1069" s="15"/>
      <c r="R1069" s="15"/>
      <c r="S1069" s="15"/>
      <c r="T1069" s="15">
        <v>0</v>
      </c>
      <c r="U1069" s="15"/>
      <c r="V1069" s="15"/>
      <c r="W1069" s="15"/>
      <c r="X1069" s="15"/>
      <c r="Y1069" s="15"/>
      <c r="Z1069" s="15"/>
    </row>
    <row r="1070" spans="1:26" x14ac:dyDescent="0.25">
      <c r="A1070" s="15" t="s">
        <v>12443</v>
      </c>
      <c r="B1070" s="15">
        <v>1069</v>
      </c>
      <c r="C1070" s="15" t="s">
        <v>11277</v>
      </c>
      <c r="D1070" s="15" t="s">
        <v>11277</v>
      </c>
      <c r="E1070" s="15" t="s">
        <v>11</v>
      </c>
      <c r="F1070" s="15" t="s">
        <v>1650</v>
      </c>
      <c r="G1070" s="15" t="s">
        <v>12181</v>
      </c>
      <c r="H1070" s="15">
        <v>21</v>
      </c>
      <c r="I1070" s="15">
        <v>21</v>
      </c>
      <c r="J1070" s="15">
        <v>59</v>
      </c>
      <c r="K1070" s="15" t="str">
        <f t="shared" si="16"/>
        <v>theflagship</v>
      </c>
      <c r="L1070" s="15" t="s">
        <v>14088</v>
      </c>
      <c r="M1070" s="15">
        <v>2</v>
      </c>
      <c r="N1070" s="15" t="s">
        <v>11223</v>
      </c>
      <c r="O1070" s="15"/>
      <c r="P1070" s="15"/>
      <c r="Q1070" s="15" t="s">
        <v>12169</v>
      </c>
      <c r="R1070" s="15"/>
      <c r="S1070" s="15"/>
      <c r="T1070" s="15">
        <v>0</v>
      </c>
      <c r="U1070" s="15" t="s">
        <v>6010</v>
      </c>
      <c r="V1070" s="15"/>
      <c r="W1070" s="15"/>
      <c r="X1070" s="15"/>
      <c r="Y1070" s="15"/>
      <c r="Z1070" s="15"/>
    </row>
    <row r="1071" spans="1:26" x14ac:dyDescent="0.25">
      <c r="A1071" s="15" t="s">
        <v>12445</v>
      </c>
      <c r="B1071" s="15">
        <v>1070</v>
      </c>
      <c r="C1071" s="15" t="s">
        <v>11277</v>
      </c>
      <c r="D1071" s="15" t="s">
        <v>11277</v>
      </c>
      <c r="E1071" s="15" t="s">
        <v>11</v>
      </c>
      <c r="F1071" s="15" t="s">
        <v>1650</v>
      </c>
      <c r="G1071" s="15" t="s">
        <v>12202</v>
      </c>
      <c r="H1071" s="15">
        <v>21</v>
      </c>
      <c r="I1071" s="15">
        <v>21</v>
      </c>
      <c r="J1071" s="15">
        <v>59</v>
      </c>
      <c r="K1071" s="15" t="str">
        <f t="shared" si="16"/>
        <v>theflagship</v>
      </c>
      <c r="L1071" s="15" t="s">
        <v>12170</v>
      </c>
      <c r="M1071" s="15">
        <v>1</v>
      </c>
      <c r="N1071" s="15" t="s">
        <v>11222</v>
      </c>
      <c r="O1071" s="15" t="s">
        <v>14062</v>
      </c>
      <c r="P1071" s="15"/>
      <c r="Q1071" s="15" t="s">
        <v>12169</v>
      </c>
      <c r="R1071" s="15"/>
      <c r="S1071" s="15"/>
      <c r="T1071" s="15">
        <v>0</v>
      </c>
      <c r="U1071" s="15" t="s">
        <v>6010</v>
      </c>
      <c r="V1071" s="15" t="s">
        <v>5908</v>
      </c>
      <c r="W1071" s="15" t="s">
        <v>5892</v>
      </c>
      <c r="X1071" s="15"/>
      <c r="Y1071" s="15"/>
      <c r="Z1071" s="15"/>
    </row>
    <row r="1072" spans="1:26" x14ac:dyDescent="0.25">
      <c r="A1072" s="15" t="s">
        <v>12447</v>
      </c>
      <c r="B1072" s="15">
        <v>1071</v>
      </c>
      <c r="C1072" s="15" t="s">
        <v>11277</v>
      </c>
      <c r="D1072" s="15" t="s">
        <v>11277</v>
      </c>
      <c r="E1072" s="15" t="s">
        <v>11</v>
      </c>
      <c r="F1072" s="15" t="s">
        <v>1650</v>
      </c>
      <c r="G1072" s="15" t="s">
        <v>12203</v>
      </c>
      <c r="H1072" s="15">
        <v>21</v>
      </c>
      <c r="I1072" s="15">
        <v>21</v>
      </c>
      <c r="J1072" s="15">
        <v>60</v>
      </c>
      <c r="K1072" s="15" t="str">
        <f t="shared" si="16"/>
        <v>theflagship</v>
      </c>
      <c r="L1072" s="15" t="s">
        <v>14088</v>
      </c>
      <c r="M1072" s="15">
        <v>2</v>
      </c>
      <c r="N1072" s="15" t="s">
        <v>11223</v>
      </c>
      <c r="O1072" s="15"/>
      <c r="P1072" s="15"/>
      <c r="Q1072" s="15" t="s">
        <v>12169</v>
      </c>
      <c r="R1072" s="15"/>
      <c r="S1072" s="15"/>
      <c r="T1072" s="15">
        <v>1</v>
      </c>
      <c r="U1072" s="15" t="s">
        <v>6010</v>
      </c>
      <c r="V1072" s="15"/>
      <c r="W1072" s="15"/>
      <c r="X1072" s="15"/>
      <c r="Y1072" s="15"/>
      <c r="Z1072" s="15"/>
    </row>
    <row r="1073" spans="1:26" x14ac:dyDescent="0.25">
      <c r="A1073" s="15" t="s">
        <v>12449</v>
      </c>
      <c r="B1073" s="15">
        <v>1072</v>
      </c>
      <c r="C1073" s="15" t="s">
        <v>11277</v>
      </c>
      <c r="D1073" s="15" t="s">
        <v>11277</v>
      </c>
      <c r="E1073" s="15" t="s">
        <v>11</v>
      </c>
      <c r="F1073" s="15" t="s">
        <v>1650</v>
      </c>
      <c r="G1073" s="15" t="s">
        <v>12204</v>
      </c>
      <c r="H1073" s="15">
        <v>21</v>
      </c>
      <c r="I1073" s="15">
        <v>21</v>
      </c>
      <c r="J1073" s="15">
        <v>60</v>
      </c>
      <c r="K1073" s="15" t="str">
        <f t="shared" si="16"/>
        <v>theflagship</v>
      </c>
      <c r="L1073" s="15" t="s">
        <v>12170</v>
      </c>
      <c r="M1073" s="15">
        <v>2</v>
      </c>
      <c r="N1073" s="15" t="s">
        <v>11223</v>
      </c>
      <c r="O1073" s="15"/>
      <c r="P1073" s="15"/>
      <c r="Q1073" s="15" t="s">
        <v>12169</v>
      </c>
      <c r="R1073" s="15"/>
      <c r="S1073" s="15"/>
      <c r="T1073" s="15">
        <v>0</v>
      </c>
      <c r="U1073" s="15" t="s">
        <v>6010</v>
      </c>
      <c r="V1073" s="15"/>
      <c r="W1073" s="15"/>
      <c r="X1073" s="15"/>
      <c r="Y1073" s="15"/>
      <c r="Z1073" s="15"/>
    </row>
    <row r="1074" spans="1:26" x14ac:dyDescent="0.25">
      <c r="A1074" s="15" t="s">
        <v>12451</v>
      </c>
      <c r="B1074" s="15">
        <v>1073</v>
      </c>
      <c r="C1074" s="15" t="s">
        <v>11277</v>
      </c>
      <c r="D1074" s="15" t="s">
        <v>11277</v>
      </c>
      <c r="E1074" s="15" t="s">
        <v>11</v>
      </c>
      <c r="F1074" s="15" t="s">
        <v>1650</v>
      </c>
      <c r="G1074" s="15" t="s">
        <v>12205</v>
      </c>
      <c r="H1074" s="15">
        <v>21</v>
      </c>
      <c r="I1074" s="15">
        <v>21</v>
      </c>
      <c r="J1074" s="15">
        <v>60</v>
      </c>
      <c r="K1074" s="15" t="str">
        <f t="shared" si="16"/>
        <v>theflagship</v>
      </c>
      <c r="L1074" s="15" t="s">
        <v>14088</v>
      </c>
      <c r="M1074" s="15">
        <v>3</v>
      </c>
      <c r="N1074" s="15" t="s">
        <v>11223</v>
      </c>
      <c r="O1074" s="15"/>
      <c r="P1074" s="15"/>
      <c r="Q1074" s="15" t="s">
        <v>12169</v>
      </c>
      <c r="R1074" s="15"/>
      <c r="S1074" s="15"/>
      <c r="T1074" s="15">
        <v>0</v>
      </c>
      <c r="U1074" s="15" t="s">
        <v>5908</v>
      </c>
      <c r="V1074" s="15"/>
      <c r="W1074" s="15"/>
      <c r="X1074" s="15" t="s">
        <v>6010</v>
      </c>
      <c r="Y1074" s="15"/>
      <c r="Z1074" s="15"/>
    </row>
    <row r="1075" spans="1:26" x14ac:dyDescent="0.25">
      <c r="A1075" s="15" t="s">
        <v>12453</v>
      </c>
      <c r="B1075" s="15">
        <v>1074</v>
      </c>
      <c r="C1075" s="15" t="s">
        <v>11277</v>
      </c>
      <c r="D1075" s="15" t="s">
        <v>11277</v>
      </c>
      <c r="E1075" s="15" t="s">
        <v>11</v>
      </c>
      <c r="F1075" s="15" t="s">
        <v>1650</v>
      </c>
      <c r="G1075" s="15" t="s">
        <v>12206</v>
      </c>
      <c r="H1075" s="15">
        <v>21</v>
      </c>
      <c r="I1075" s="15">
        <v>21</v>
      </c>
      <c r="J1075" s="15">
        <v>60</v>
      </c>
      <c r="K1075" s="15" t="str">
        <f t="shared" si="16"/>
        <v>theflagship</v>
      </c>
      <c r="L1075" s="15" t="s">
        <v>14088</v>
      </c>
      <c r="M1075" s="15">
        <v>3</v>
      </c>
      <c r="N1075" s="15" t="s">
        <v>11222</v>
      </c>
      <c r="O1075" s="15"/>
      <c r="P1075" s="15" t="s">
        <v>15155</v>
      </c>
      <c r="Q1075" s="15" t="s">
        <v>12169</v>
      </c>
      <c r="R1075" s="15"/>
      <c r="S1075" s="15"/>
      <c r="T1075" s="15">
        <v>0</v>
      </c>
      <c r="U1075" s="15" t="s">
        <v>6010</v>
      </c>
      <c r="V1075" s="15"/>
      <c r="W1075" s="15"/>
      <c r="X1075" s="15"/>
      <c r="Y1075" s="15"/>
      <c r="Z1075" s="15"/>
    </row>
    <row r="1076" spans="1:26" x14ac:dyDescent="0.25">
      <c r="A1076" s="15" t="s">
        <v>12455</v>
      </c>
      <c r="B1076" s="15">
        <v>1075</v>
      </c>
      <c r="C1076" s="15" t="s">
        <v>11277</v>
      </c>
      <c r="D1076" s="15" t="s">
        <v>11277</v>
      </c>
      <c r="E1076" s="15" t="s">
        <v>11</v>
      </c>
      <c r="F1076" s="15" t="s">
        <v>1663</v>
      </c>
      <c r="G1076" s="15" t="s">
        <v>12207</v>
      </c>
      <c r="H1076" s="15">
        <v>31</v>
      </c>
      <c r="I1076" s="15">
        <v>10</v>
      </c>
      <c r="J1076" s="15">
        <v>52</v>
      </c>
      <c r="K1076" s="15" t="str">
        <f t="shared" si="16"/>
        <v>thehundredthroes</v>
      </c>
      <c r="L1076" s="15" t="s">
        <v>11573</v>
      </c>
      <c r="M1076" s="15">
        <v>2</v>
      </c>
      <c r="N1076" s="15" t="s">
        <v>11223</v>
      </c>
      <c r="O1076" s="15"/>
      <c r="P1076" s="15"/>
      <c r="Q1076" s="15" t="s">
        <v>12209</v>
      </c>
      <c r="R1076" s="15"/>
      <c r="S1076" s="15"/>
      <c r="T1076" s="15">
        <v>0</v>
      </c>
      <c r="U1076" s="15" t="s">
        <v>5908</v>
      </c>
      <c r="V1076" s="15" t="s">
        <v>5914</v>
      </c>
      <c r="W1076" s="15" t="s">
        <v>6034</v>
      </c>
      <c r="X1076" s="15"/>
      <c r="Y1076" s="15"/>
      <c r="Z1076" s="15"/>
    </row>
    <row r="1077" spans="1:26" x14ac:dyDescent="0.25">
      <c r="A1077" s="15" t="s">
        <v>12457</v>
      </c>
      <c r="B1077" s="15">
        <v>1076</v>
      </c>
      <c r="C1077" s="15" t="s">
        <v>11277</v>
      </c>
      <c r="D1077" s="15" t="s">
        <v>11277</v>
      </c>
      <c r="E1077" s="15" t="s">
        <v>11</v>
      </c>
      <c r="F1077" s="15" t="s">
        <v>1663</v>
      </c>
      <c r="G1077" s="15" t="s">
        <v>12208</v>
      </c>
      <c r="H1077" s="15">
        <v>31</v>
      </c>
      <c r="I1077" s="15">
        <v>10</v>
      </c>
      <c r="J1077" s="15">
        <v>58</v>
      </c>
      <c r="K1077" s="15" t="str">
        <f t="shared" si="16"/>
        <v>thehundredthroes</v>
      </c>
      <c r="L1077" s="15" t="s">
        <v>11564</v>
      </c>
      <c r="M1077" s="15">
        <v>2</v>
      </c>
      <c r="N1077" s="15" t="s">
        <v>11223</v>
      </c>
      <c r="O1077" s="15"/>
      <c r="P1077" s="15"/>
      <c r="Q1077" s="15" t="s">
        <v>12209</v>
      </c>
      <c r="R1077" s="15"/>
      <c r="S1077" s="15"/>
      <c r="T1077" s="15">
        <v>0</v>
      </c>
      <c r="U1077" s="15" t="s">
        <v>5908</v>
      </c>
      <c r="V1077" s="15" t="s">
        <v>5914</v>
      </c>
      <c r="W1077" s="15" t="s">
        <v>6034</v>
      </c>
      <c r="X1077" s="15"/>
      <c r="Y1077" s="15"/>
      <c r="Z1077" s="15"/>
    </row>
    <row r="1078" spans="1:26" x14ac:dyDescent="0.25">
      <c r="A1078" s="15" t="s">
        <v>12459</v>
      </c>
      <c r="B1078" s="15">
        <v>1077</v>
      </c>
      <c r="C1078" s="15" t="s">
        <v>11277</v>
      </c>
      <c r="D1078" s="15" t="s">
        <v>11277</v>
      </c>
      <c r="E1078" s="15" t="s">
        <v>11</v>
      </c>
      <c r="F1078" s="15" t="s">
        <v>1663</v>
      </c>
      <c r="G1078" s="15" t="s">
        <v>12209</v>
      </c>
      <c r="H1078" s="15">
        <v>31</v>
      </c>
      <c r="I1078" s="15">
        <v>10</v>
      </c>
      <c r="J1078" s="15">
        <v>52</v>
      </c>
      <c r="K1078" s="15" t="str">
        <f t="shared" si="16"/>
        <v>thehundredthroes</v>
      </c>
      <c r="L1078" s="15" t="s">
        <v>11573</v>
      </c>
      <c r="M1078" s="15">
        <v>1</v>
      </c>
      <c r="N1078" s="15" t="s">
        <v>11222</v>
      </c>
      <c r="O1078" s="15"/>
      <c r="P1078" s="15"/>
      <c r="Q1078" s="15"/>
      <c r="R1078" s="15"/>
      <c r="S1078" s="15"/>
      <c r="T1078" s="15">
        <v>0</v>
      </c>
      <c r="U1078" s="15"/>
      <c r="V1078" s="15"/>
      <c r="W1078" s="15"/>
      <c r="X1078" s="15"/>
      <c r="Y1078" s="15"/>
      <c r="Z1078" s="15"/>
    </row>
    <row r="1079" spans="1:26" x14ac:dyDescent="0.25">
      <c r="A1079" s="15" t="s">
        <v>12461</v>
      </c>
      <c r="B1079" s="15">
        <v>1078</v>
      </c>
      <c r="C1079" s="15" t="s">
        <v>11277</v>
      </c>
      <c r="D1079" s="15" t="s">
        <v>11277</v>
      </c>
      <c r="E1079" s="15" t="s">
        <v>11</v>
      </c>
      <c r="F1079" s="15" t="s">
        <v>1663</v>
      </c>
      <c r="G1079" s="15" t="s">
        <v>12210</v>
      </c>
      <c r="H1079" s="15">
        <v>31</v>
      </c>
      <c r="I1079" s="15">
        <v>10</v>
      </c>
      <c r="J1079" s="15">
        <v>53</v>
      </c>
      <c r="K1079" s="15" t="str">
        <f t="shared" si="16"/>
        <v>thehundredthroes</v>
      </c>
      <c r="L1079" s="15" t="s">
        <v>11564</v>
      </c>
      <c r="M1079" s="15">
        <v>2</v>
      </c>
      <c r="N1079" s="15" t="s">
        <v>11223</v>
      </c>
      <c r="O1079" s="15"/>
      <c r="P1079" s="15"/>
      <c r="Q1079" s="15"/>
      <c r="R1079" s="15"/>
      <c r="S1079" s="15"/>
      <c r="T1079" s="15">
        <v>0</v>
      </c>
      <c r="U1079" s="15" t="s">
        <v>5908</v>
      </c>
      <c r="V1079" s="15" t="s">
        <v>5914</v>
      </c>
      <c r="W1079" s="15" t="s">
        <v>6034</v>
      </c>
      <c r="X1079" s="15"/>
      <c r="Y1079" s="15"/>
      <c r="Z1079" s="15"/>
    </row>
    <row r="1080" spans="1:26" x14ac:dyDescent="0.25">
      <c r="A1080" s="15" t="s">
        <v>12463</v>
      </c>
      <c r="B1080" s="15">
        <v>1079</v>
      </c>
      <c r="C1080" s="15" t="s">
        <v>11277</v>
      </c>
      <c r="D1080" s="15" t="s">
        <v>11277</v>
      </c>
      <c r="E1080" s="15" t="s">
        <v>11</v>
      </c>
      <c r="F1080" s="15" t="s">
        <v>1663</v>
      </c>
      <c r="G1080" s="15" t="s">
        <v>12211</v>
      </c>
      <c r="H1080" s="15">
        <v>31</v>
      </c>
      <c r="I1080" s="15">
        <v>10</v>
      </c>
      <c r="J1080" s="15">
        <v>55</v>
      </c>
      <c r="K1080" s="15" t="str">
        <f t="shared" si="16"/>
        <v>thehundredthroes</v>
      </c>
      <c r="L1080" s="15" t="s">
        <v>11564</v>
      </c>
      <c r="M1080" s="15">
        <v>2</v>
      </c>
      <c r="N1080" s="15" t="s">
        <v>11223</v>
      </c>
      <c r="O1080" s="15"/>
      <c r="P1080" s="15"/>
      <c r="Q1080" s="15" t="s">
        <v>12209</v>
      </c>
      <c r="R1080" s="15"/>
      <c r="S1080" s="15"/>
      <c r="T1080" s="15">
        <v>0</v>
      </c>
      <c r="U1080" s="15"/>
      <c r="V1080" s="15"/>
      <c r="W1080" s="15"/>
      <c r="X1080" s="15"/>
      <c r="Y1080" s="15"/>
      <c r="Z1080" s="15"/>
    </row>
    <row r="1081" spans="1:26" x14ac:dyDescent="0.25">
      <c r="A1081" s="15" t="s">
        <v>12465</v>
      </c>
      <c r="B1081" s="15">
        <v>1080</v>
      </c>
      <c r="C1081" s="15" t="s">
        <v>11277</v>
      </c>
      <c r="D1081" s="15" t="s">
        <v>11277</v>
      </c>
      <c r="E1081" s="15" t="s">
        <v>11</v>
      </c>
      <c r="F1081" s="15" t="s">
        <v>1663</v>
      </c>
      <c r="G1081" s="15" t="s">
        <v>12212</v>
      </c>
      <c r="H1081" s="15">
        <v>31</v>
      </c>
      <c r="I1081" s="15">
        <v>10</v>
      </c>
      <c r="J1081" s="15">
        <v>60</v>
      </c>
      <c r="K1081" s="15" t="str">
        <f t="shared" si="16"/>
        <v>thehundredthroes</v>
      </c>
      <c r="L1081" s="15" t="s">
        <v>11564</v>
      </c>
      <c r="M1081" s="15">
        <v>1</v>
      </c>
      <c r="N1081" s="15" t="s">
        <v>11222</v>
      </c>
      <c r="O1081" s="15"/>
      <c r="P1081" s="15"/>
      <c r="Q1081" s="15"/>
      <c r="R1081" s="15"/>
      <c r="S1081" s="15"/>
      <c r="T1081" s="15">
        <v>0</v>
      </c>
      <c r="U1081" s="15"/>
      <c r="V1081" s="15"/>
      <c r="W1081" s="15"/>
      <c r="X1081" s="15"/>
      <c r="Y1081" s="15"/>
      <c r="Z1081" s="15"/>
    </row>
    <row r="1082" spans="1:26" x14ac:dyDescent="0.25">
      <c r="A1082" s="15" t="s">
        <v>12467</v>
      </c>
      <c r="B1082" s="15">
        <v>1081</v>
      </c>
      <c r="C1082" s="15" t="s">
        <v>11277</v>
      </c>
      <c r="D1082" s="15" t="s">
        <v>11277</v>
      </c>
      <c r="E1082" s="15" t="s">
        <v>11</v>
      </c>
      <c r="F1082" s="15" t="s">
        <v>1663</v>
      </c>
      <c r="G1082" s="15" t="s">
        <v>12213</v>
      </c>
      <c r="H1082" s="15">
        <v>31</v>
      </c>
      <c r="I1082" s="15">
        <v>10</v>
      </c>
      <c r="J1082" s="15">
        <v>60</v>
      </c>
      <c r="K1082" s="15" t="str">
        <f t="shared" si="16"/>
        <v>thehundredthroes</v>
      </c>
      <c r="L1082" s="15" t="s">
        <v>11560</v>
      </c>
      <c r="M1082" s="15">
        <v>1</v>
      </c>
      <c r="N1082" s="15" t="s">
        <v>11222</v>
      </c>
      <c r="O1082" s="15"/>
      <c r="P1082" s="15"/>
      <c r="Q1082" s="15"/>
      <c r="R1082" s="15"/>
      <c r="S1082" s="15"/>
      <c r="T1082" s="15">
        <v>0</v>
      </c>
      <c r="U1082" s="15"/>
      <c r="V1082" s="15"/>
      <c r="W1082" s="15"/>
      <c r="X1082" s="15"/>
      <c r="Y1082" s="15"/>
      <c r="Z1082" s="15"/>
    </row>
    <row r="1083" spans="1:26" x14ac:dyDescent="0.25">
      <c r="A1083" s="15" t="s">
        <v>12469</v>
      </c>
      <c r="B1083" s="15">
        <v>1082</v>
      </c>
      <c r="C1083" s="15" t="s">
        <v>11277</v>
      </c>
      <c r="D1083" s="15" t="s">
        <v>11277</v>
      </c>
      <c r="E1083" s="15" t="s">
        <v>11</v>
      </c>
      <c r="F1083" s="15" t="s">
        <v>1663</v>
      </c>
      <c r="G1083" s="15" t="s">
        <v>12214</v>
      </c>
      <c r="H1083" s="15">
        <v>31</v>
      </c>
      <c r="I1083" s="15">
        <v>10</v>
      </c>
      <c r="J1083" s="15">
        <v>60</v>
      </c>
      <c r="K1083" s="15" t="str">
        <f t="shared" si="16"/>
        <v>thehundredthroes</v>
      </c>
      <c r="L1083" s="15" t="s">
        <v>11564</v>
      </c>
      <c r="M1083" s="15">
        <v>3</v>
      </c>
      <c r="N1083" s="15" t="s">
        <v>11223</v>
      </c>
      <c r="O1083" s="15"/>
      <c r="P1083" s="15"/>
      <c r="Q1083" s="15"/>
      <c r="R1083" s="15"/>
      <c r="S1083" s="15"/>
      <c r="T1083" s="15">
        <v>0</v>
      </c>
      <c r="U1083" s="15" t="s">
        <v>5908</v>
      </c>
      <c r="V1083" s="15" t="s">
        <v>5914</v>
      </c>
      <c r="W1083" s="15" t="s">
        <v>6034</v>
      </c>
      <c r="X1083" s="15"/>
      <c r="Y1083" s="15"/>
      <c r="Z1083" s="15"/>
    </row>
    <row r="1084" spans="1:26" x14ac:dyDescent="0.25">
      <c r="A1084" s="15" t="s">
        <v>12471</v>
      </c>
      <c r="B1084" s="15">
        <v>1083</v>
      </c>
      <c r="C1084" s="15" t="s">
        <v>11277</v>
      </c>
      <c r="D1084" s="15" t="s">
        <v>11277</v>
      </c>
      <c r="E1084" s="15" t="s">
        <v>11</v>
      </c>
      <c r="F1084" s="15" t="s">
        <v>1663</v>
      </c>
      <c r="G1084" s="15" t="s">
        <v>12215</v>
      </c>
      <c r="H1084" s="15">
        <v>31</v>
      </c>
      <c r="I1084" s="15">
        <v>10</v>
      </c>
      <c r="J1084" s="15">
        <v>55</v>
      </c>
      <c r="K1084" s="15" t="str">
        <f t="shared" si="16"/>
        <v>thehundredthroes</v>
      </c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spans="1:26" x14ac:dyDescent="0.25">
      <c r="A1085" s="15" t="s">
        <v>12473</v>
      </c>
      <c r="B1085" s="15">
        <v>1084</v>
      </c>
      <c r="C1085" s="15" t="s">
        <v>11277</v>
      </c>
      <c r="D1085" s="15" t="s">
        <v>11277</v>
      </c>
      <c r="E1085" s="15" t="s">
        <v>11</v>
      </c>
      <c r="F1085" s="15" t="s">
        <v>5835</v>
      </c>
      <c r="G1085" s="15" t="s">
        <v>12207</v>
      </c>
      <c r="H1085" s="15">
        <v>30</v>
      </c>
      <c r="I1085" s="15">
        <v>14</v>
      </c>
      <c r="J1085" s="15">
        <v>52</v>
      </c>
      <c r="K1085" s="15" t="str">
        <f t="shared" si="16"/>
        <v>whilomriver</v>
      </c>
      <c r="L1085" s="15" t="s">
        <v>11562</v>
      </c>
      <c r="M1085" s="15">
        <v>2</v>
      </c>
      <c r="N1085" s="15" t="s">
        <v>11223</v>
      </c>
      <c r="O1085" s="15"/>
      <c r="P1085" s="15"/>
      <c r="Q1085" s="15" t="s">
        <v>12209</v>
      </c>
      <c r="R1085" s="15"/>
      <c r="S1085" s="15"/>
      <c r="T1085" s="15">
        <v>0</v>
      </c>
      <c r="U1085" s="15" t="s">
        <v>5908</v>
      </c>
      <c r="V1085" s="15" t="s">
        <v>5914</v>
      </c>
      <c r="W1085" s="15" t="s">
        <v>6034</v>
      </c>
      <c r="X1085" s="15"/>
      <c r="Y1085" s="15"/>
      <c r="Z1085" s="15"/>
    </row>
    <row r="1086" spans="1:26" x14ac:dyDescent="0.25">
      <c r="A1086" s="15" t="s">
        <v>12475</v>
      </c>
      <c r="B1086" s="15">
        <v>1085</v>
      </c>
      <c r="C1086" s="15" t="s">
        <v>11277</v>
      </c>
      <c r="D1086" s="15" t="s">
        <v>11277</v>
      </c>
      <c r="E1086" s="15" t="s">
        <v>11</v>
      </c>
      <c r="F1086" s="15" t="s">
        <v>5835</v>
      </c>
      <c r="G1086" s="15" t="s">
        <v>12216</v>
      </c>
      <c r="H1086" s="15">
        <v>30</v>
      </c>
      <c r="I1086" s="15">
        <v>14</v>
      </c>
      <c r="J1086" s="15">
        <v>55</v>
      </c>
      <c r="K1086" s="15" t="str">
        <f t="shared" si="16"/>
        <v>whilomriver</v>
      </c>
      <c r="L1086" s="15" t="s">
        <v>11602</v>
      </c>
      <c r="M1086" s="15">
        <v>1</v>
      </c>
      <c r="N1086" s="15" t="s">
        <v>11222</v>
      </c>
      <c r="O1086" s="15"/>
      <c r="P1086" s="15"/>
      <c r="Q1086" s="15"/>
      <c r="R1086" s="15"/>
      <c r="S1086" s="15"/>
      <c r="T1086" s="15">
        <v>0</v>
      </c>
      <c r="U1086" s="15"/>
      <c r="V1086" s="15"/>
      <c r="W1086" s="15"/>
      <c r="X1086" s="15"/>
      <c r="Y1086" s="15"/>
      <c r="Z1086" s="15"/>
    </row>
    <row r="1087" spans="1:26" x14ac:dyDescent="0.25">
      <c r="A1087" s="15" t="s">
        <v>12477</v>
      </c>
      <c r="B1087" s="15">
        <v>1086</v>
      </c>
      <c r="C1087" s="15" t="s">
        <v>11277</v>
      </c>
      <c r="D1087" s="15" t="s">
        <v>11277</v>
      </c>
      <c r="E1087" s="15" t="s">
        <v>11</v>
      </c>
      <c r="F1087" s="15" t="s">
        <v>5835</v>
      </c>
      <c r="G1087" s="15" t="s">
        <v>12208</v>
      </c>
      <c r="H1087" s="15">
        <v>30</v>
      </c>
      <c r="I1087" s="15">
        <v>14</v>
      </c>
      <c r="J1087" s="15">
        <v>58</v>
      </c>
      <c r="K1087" s="15" t="str">
        <f t="shared" si="16"/>
        <v>whilomriver</v>
      </c>
      <c r="L1087" s="15" t="s">
        <v>11564</v>
      </c>
      <c r="M1087" s="15">
        <v>2</v>
      </c>
      <c r="N1087" s="15" t="s">
        <v>11223</v>
      </c>
      <c r="O1087" s="15"/>
      <c r="P1087" s="15"/>
      <c r="Q1087" s="15" t="s">
        <v>12209</v>
      </c>
      <c r="R1087" s="15"/>
      <c r="S1087" s="15"/>
      <c r="T1087" s="15">
        <v>0</v>
      </c>
      <c r="U1087" s="15" t="s">
        <v>5908</v>
      </c>
      <c r="V1087" s="15" t="s">
        <v>5914</v>
      </c>
      <c r="W1087" s="15" t="s">
        <v>6034</v>
      </c>
      <c r="X1087" s="15"/>
      <c r="Y1087" s="15"/>
      <c r="Z1087" s="15"/>
    </row>
    <row r="1088" spans="1:26" x14ac:dyDescent="0.25">
      <c r="A1088" s="15" t="s">
        <v>12479</v>
      </c>
      <c r="B1088" s="15">
        <v>1087</v>
      </c>
      <c r="C1088" s="15" t="s">
        <v>11277</v>
      </c>
      <c r="D1088" s="15" t="s">
        <v>11277</v>
      </c>
      <c r="E1088" s="15" t="s">
        <v>11</v>
      </c>
      <c r="F1088" s="15" t="s">
        <v>5835</v>
      </c>
      <c r="G1088" s="15" t="s">
        <v>12217</v>
      </c>
      <c r="H1088" s="15">
        <v>30</v>
      </c>
      <c r="I1088" s="15">
        <v>14</v>
      </c>
      <c r="J1088" s="15">
        <v>53</v>
      </c>
      <c r="K1088" s="15" t="str">
        <f t="shared" si="16"/>
        <v>whilomriver</v>
      </c>
      <c r="L1088" s="15" t="s">
        <v>11588</v>
      </c>
      <c r="M1088" s="15">
        <v>2</v>
      </c>
      <c r="N1088" s="15" t="s">
        <v>11223</v>
      </c>
      <c r="O1088" s="15"/>
      <c r="P1088" s="15"/>
      <c r="Q1088" s="15"/>
      <c r="R1088" s="15"/>
      <c r="S1088" s="15"/>
      <c r="T1088" s="15">
        <v>0</v>
      </c>
      <c r="U1088" s="15"/>
      <c r="V1088" s="15"/>
      <c r="W1088" s="15"/>
      <c r="X1088" s="15"/>
      <c r="Y1088" s="15"/>
      <c r="Z1088" s="15"/>
    </row>
    <row r="1089" spans="1:26" x14ac:dyDescent="0.25">
      <c r="A1089" s="15" t="s">
        <v>12481</v>
      </c>
      <c r="B1089" s="15">
        <v>1088</v>
      </c>
      <c r="C1089" s="15" t="s">
        <v>11277</v>
      </c>
      <c r="D1089" s="15" t="s">
        <v>11277</v>
      </c>
      <c r="E1089" s="15" t="s">
        <v>11</v>
      </c>
      <c r="F1089" s="15" t="s">
        <v>5835</v>
      </c>
      <c r="G1089" s="15" t="s">
        <v>31</v>
      </c>
      <c r="H1089" s="15">
        <v>30</v>
      </c>
      <c r="I1089" s="15">
        <v>14</v>
      </c>
      <c r="J1089" s="15">
        <v>56</v>
      </c>
      <c r="K1089" s="15" t="str">
        <f t="shared" si="16"/>
        <v>whilomriver</v>
      </c>
      <c r="L1089" s="15" t="s">
        <v>14088</v>
      </c>
      <c r="M1089" s="15">
        <v>2</v>
      </c>
      <c r="N1089" s="15" t="s">
        <v>11223</v>
      </c>
      <c r="O1089" s="15" t="s">
        <v>11239</v>
      </c>
      <c r="P1089" s="15"/>
      <c r="Q1089" s="15" t="s">
        <v>12209</v>
      </c>
      <c r="R1089" s="15"/>
      <c r="S1089" s="15"/>
      <c r="T1089" s="15">
        <v>0</v>
      </c>
      <c r="U1089" s="15" t="s">
        <v>5908</v>
      </c>
      <c r="V1089" s="15" t="s">
        <v>5914</v>
      </c>
      <c r="W1089" s="15" t="s">
        <v>6034</v>
      </c>
      <c r="X1089" s="15"/>
      <c r="Y1089" s="15"/>
      <c r="Z1089" s="15"/>
    </row>
    <row r="1090" spans="1:26" x14ac:dyDescent="0.25">
      <c r="A1090" s="15" t="s">
        <v>12483</v>
      </c>
      <c r="B1090" s="15">
        <v>1089</v>
      </c>
      <c r="C1090" s="15" t="s">
        <v>11277</v>
      </c>
      <c r="D1090" s="15" t="s">
        <v>11277</v>
      </c>
      <c r="E1090" s="15" t="s">
        <v>11</v>
      </c>
      <c r="F1090" s="15" t="s">
        <v>5835</v>
      </c>
      <c r="G1090" s="15" t="s">
        <v>12209</v>
      </c>
      <c r="H1090" s="15">
        <v>30</v>
      </c>
      <c r="I1090" s="15">
        <v>14</v>
      </c>
      <c r="J1090" s="15">
        <v>52</v>
      </c>
      <c r="K1090" s="15" t="str">
        <f t="shared" ref="K1090:K1153" si="17">LOWER(SUBSTITUTE(SUBSTITUTE(SUBSTITUTE(SUBSTITUTE(SUBSTITUTE(F1090," ",""),"(",""),")",""),"'",""),"-",""))</f>
        <v>whilomriver</v>
      </c>
      <c r="L1090" s="15" t="s">
        <v>11573</v>
      </c>
      <c r="M1090" s="15">
        <v>1</v>
      </c>
      <c r="N1090" s="15" t="s">
        <v>11222</v>
      </c>
      <c r="O1090" s="15"/>
      <c r="P1090" s="15"/>
      <c r="Q1090" s="15"/>
      <c r="R1090" s="15"/>
      <c r="S1090" s="15"/>
      <c r="T1090" s="15">
        <v>0</v>
      </c>
      <c r="U1090" s="15"/>
      <c r="V1090" s="15"/>
      <c r="W1090" s="15"/>
      <c r="X1090" s="15"/>
      <c r="Y1090" s="15"/>
      <c r="Z1090" s="15"/>
    </row>
    <row r="1091" spans="1:26" x14ac:dyDescent="0.25">
      <c r="A1091" s="15" t="s">
        <v>12485</v>
      </c>
      <c r="B1091" s="15">
        <v>1090</v>
      </c>
      <c r="C1091" s="15" t="s">
        <v>11277</v>
      </c>
      <c r="D1091" s="15" t="s">
        <v>11277</v>
      </c>
      <c r="E1091" s="15" t="s">
        <v>11</v>
      </c>
      <c r="F1091" s="15" t="s">
        <v>5835</v>
      </c>
      <c r="G1091" s="15" t="s">
        <v>12218</v>
      </c>
      <c r="H1091" s="15">
        <v>30</v>
      </c>
      <c r="I1091" s="15">
        <v>14</v>
      </c>
      <c r="J1091" s="15">
        <v>60</v>
      </c>
      <c r="K1091" s="15" t="str">
        <f t="shared" si="17"/>
        <v>whilomriver</v>
      </c>
      <c r="L1091" s="15" t="s">
        <v>11564</v>
      </c>
      <c r="M1091" s="15">
        <v>3</v>
      </c>
      <c r="N1091" s="15" t="s">
        <v>11223</v>
      </c>
      <c r="O1091" s="15" t="s">
        <v>2819</v>
      </c>
      <c r="P1091" s="15"/>
      <c r="Q1091" s="15"/>
      <c r="R1091" s="15"/>
      <c r="S1091" s="15"/>
      <c r="T1091" s="15">
        <v>0</v>
      </c>
      <c r="U1091" s="15" t="s">
        <v>5908</v>
      </c>
      <c r="V1091" s="15" t="s">
        <v>6034</v>
      </c>
      <c r="W1091" s="15"/>
      <c r="X1091" s="15" t="s">
        <v>5893</v>
      </c>
      <c r="Y1091" s="15"/>
      <c r="Z1091" s="15"/>
    </row>
    <row r="1092" spans="1:26" x14ac:dyDescent="0.25">
      <c r="A1092" s="15" t="s">
        <v>12488</v>
      </c>
      <c r="B1092" s="15">
        <v>1091</v>
      </c>
      <c r="C1092" s="15" t="s">
        <v>11277</v>
      </c>
      <c r="D1092" s="15" t="s">
        <v>11277</v>
      </c>
      <c r="E1092" s="15" t="s">
        <v>11</v>
      </c>
      <c r="F1092" s="15" t="s">
        <v>1667</v>
      </c>
      <c r="G1092" s="15" t="s">
        <v>12207</v>
      </c>
      <c r="H1092" s="15">
        <v>26.6</v>
      </c>
      <c r="I1092" s="15">
        <v>26.1</v>
      </c>
      <c r="J1092" s="15">
        <v>52</v>
      </c>
      <c r="K1092" s="15" t="str">
        <f t="shared" si="17"/>
        <v>thesmolderingwastes</v>
      </c>
      <c r="L1092" s="15" t="s">
        <v>11573</v>
      </c>
      <c r="M1092" s="15">
        <v>2</v>
      </c>
      <c r="N1092" s="15" t="s">
        <v>11223</v>
      </c>
      <c r="O1092" s="15"/>
      <c r="P1092" s="15"/>
      <c r="Q1092" s="15" t="s">
        <v>12209</v>
      </c>
      <c r="R1092" s="15"/>
      <c r="S1092" s="15"/>
      <c r="T1092" s="15">
        <v>0</v>
      </c>
      <c r="U1092" s="15" t="s">
        <v>5908</v>
      </c>
      <c r="V1092" s="15" t="s">
        <v>5914</v>
      </c>
      <c r="W1092" s="15" t="s">
        <v>6034</v>
      </c>
      <c r="X1092" s="15"/>
      <c r="Y1092" s="15"/>
      <c r="Z1092" s="15"/>
    </row>
    <row r="1093" spans="1:26" x14ac:dyDescent="0.25">
      <c r="A1093" s="15" t="s">
        <v>12490</v>
      </c>
      <c r="B1093" s="15">
        <v>1092</v>
      </c>
      <c r="C1093" s="15" t="s">
        <v>11277</v>
      </c>
      <c r="D1093" s="15" t="s">
        <v>11277</v>
      </c>
      <c r="E1093" s="15" t="s">
        <v>11</v>
      </c>
      <c r="F1093" s="15" t="s">
        <v>1667</v>
      </c>
      <c r="G1093" s="15" t="s">
        <v>12216</v>
      </c>
      <c r="H1093" s="15">
        <v>26.6</v>
      </c>
      <c r="I1093" s="15">
        <v>26.1</v>
      </c>
      <c r="J1093" s="15">
        <v>55</v>
      </c>
      <c r="K1093" s="15" t="str">
        <f t="shared" si="17"/>
        <v>thesmolderingwastes</v>
      </c>
      <c r="L1093" s="15" t="s">
        <v>11573</v>
      </c>
      <c r="M1093" s="15">
        <v>1</v>
      </c>
      <c r="N1093" s="15" t="s">
        <v>11222</v>
      </c>
      <c r="O1093" s="15"/>
      <c r="P1093" s="15"/>
      <c r="Q1093" s="15"/>
      <c r="R1093" s="15"/>
      <c r="S1093" s="15"/>
      <c r="T1093" s="15">
        <v>0</v>
      </c>
      <c r="U1093" s="15"/>
      <c r="V1093" s="15"/>
      <c r="W1093" s="15"/>
      <c r="X1093" s="15"/>
      <c r="Y1093" s="15"/>
      <c r="Z1093" s="15"/>
    </row>
    <row r="1094" spans="1:26" x14ac:dyDescent="0.25">
      <c r="A1094" s="15" t="s">
        <v>12492</v>
      </c>
      <c r="B1094" s="15">
        <v>1093</v>
      </c>
      <c r="C1094" s="15" t="s">
        <v>11277</v>
      </c>
      <c r="D1094" s="15" t="s">
        <v>11277</v>
      </c>
      <c r="E1094" s="15" t="s">
        <v>11</v>
      </c>
      <c r="F1094" s="15" t="s">
        <v>1667</v>
      </c>
      <c r="G1094" s="15" t="s">
        <v>12209</v>
      </c>
      <c r="H1094" s="15">
        <v>26.6</v>
      </c>
      <c r="I1094" s="15">
        <v>26.1</v>
      </c>
      <c r="J1094" s="15">
        <v>52</v>
      </c>
      <c r="K1094" s="15" t="str">
        <f t="shared" si="17"/>
        <v>thesmolderingwastes</v>
      </c>
      <c r="L1094" s="15" t="s">
        <v>11573</v>
      </c>
      <c r="M1094" s="15">
        <v>1</v>
      </c>
      <c r="N1094" s="15" t="s">
        <v>11222</v>
      </c>
      <c r="O1094" s="15"/>
      <c r="P1094" s="15"/>
      <c r="Q1094" s="15"/>
      <c r="R1094" s="15"/>
      <c r="S1094" s="15"/>
      <c r="T1094" s="15">
        <v>0</v>
      </c>
      <c r="U1094" s="15"/>
      <c r="V1094" s="15"/>
      <c r="W1094" s="15"/>
      <c r="X1094" s="15"/>
      <c r="Y1094" s="15"/>
      <c r="Z1094" s="15"/>
    </row>
    <row r="1095" spans="1:26" x14ac:dyDescent="0.25">
      <c r="A1095" s="15" t="s">
        <v>12494</v>
      </c>
      <c r="B1095" s="15">
        <v>1094</v>
      </c>
      <c r="C1095" s="15" t="s">
        <v>11277</v>
      </c>
      <c r="D1095" s="15" t="s">
        <v>11277</v>
      </c>
      <c r="E1095" s="15" t="s">
        <v>11</v>
      </c>
      <c r="F1095" s="15" t="s">
        <v>1667</v>
      </c>
      <c r="G1095" s="15" t="s">
        <v>12217</v>
      </c>
      <c r="H1095" s="15">
        <v>26.6</v>
      </c>
      <c r="I1095" s="15">
        <v>26.1</v>
      </c>
      <c r="J1095" s="15">
        <v>53</v>
      </c>
      <c r="K1095" s="15" t="str">
        <f t="shared" si="17"/>
        <v>thesmolderingwastes</v>
      </c>
      <c r="L1095" s="15" t="s">
        <v>11564</v>
      </c>
      <c r="M1095" s="15">
        <v>2</v>
      </c>
      <c r="N1095" s="15" t="s">
        <v>11223</v>
      </c>
      <c r="O1095" s="15"/>
      <c r="P1095" s="15"/>
      <c r="Q1095" s="15"/>
      <c r="R1095" s="15"/>
      <c r="S1095" s="15"/>
      <c r="T1095" s="15">
        <v>0</v>
      </c>
      <c r="U1095" s="15"/>
      <c r="V1095" s="15"/>
      <c r="W1095" s="15"/>
      <c r="X1095" s="15"/>
      <c r="Y1095" s="15"/>
      <c r="Z1095" s="15"/>
    </row>
    <row r="1096" spans="1:26" x14ac:dyDescent="0.25">
      <c r="A1096" s="15" t="s">
        <v>12496</v>
      </c>
      <c r="B1096" s="15">
        <v>1095</v>
      </c>
      <c r="C1096" s="15" t="s">
        <v>11277</v>
      </c>
      <c r="D1096" s="15" t="s">
        <v>11277</v>
      </c>
      <c r="E1096" s="15" t="s">
        <v>11</v>
      </c>
      <c r="F1096" s="15" t="s">
        <v>1667</v>
      </c>
      <c r="G1096" s="15" t="s">
        <v>12219</v>
      </c>
      <c r="H1096" s="15">
        <v>26.6</v>
      </c>
      <c r="I1096" s="15">
        <v>26.1</v>
      </c>
      <c r="J1096" s="15">
        <v>56</v>
      </c>
      <c r="K1096" s="15" t="str">
        <f t="shared" si="17"/>
        <v>thesmolderingwastes</v>
      </c>
      <c r="L1096" s="15" t="s">
        <v>11564</v>
      </c>
      <c r="M1096" s="15">
        <v>2</v>
      </c>
      <c r="N1096" s="15" t="s">
        <v>11223</v>
      </c>
      <c r="O1096" s="15" t="s">
        <v>14067</v>
      </c>
      <c r="P1096" s="15"/>
      <c r="Q1096" s="15" t="s">
        <v>12209</v>
      </c>
      <c r="R1096" s="15"/>
      <c r="S1096" s="15"/>
      <c r="T1096" s="15">
        <v>0</v>
      </c>
      <c r="U1096" s="15"/>
      <c r="V1096" s="15"/>
      <c r="W1096" s="15"/>
      <c r="X1096" s="15"/>
      <c r="Y1096" s="15"/>
      <c r="Z1096" s="15"/>
    </row>
    <row r="1097" spans="1:26" x14ac:dyDescent="0.25">
      <c r="A1097" s="15" t="s">
        <v>12498</v>
      </c>
      <c r="B1097" s="15">
        <v>1096</v>
      </c>
      <c r="C1097" s="15" t="s">
        <v>11277</v>
      </c>
      <c r="D1097" s="15" t="s">
        <v>11277</v>
      </c>
      <c r="E1097" s="15" t="s">
        <v>11</v>
      </c>
      <c r="F1097" s="15" t="s">
        <v>1667</v>
      </c>
      <c r="G1097" s="15" t="s">
        <v>12220</v>
      </c>
      <c r="H1097" s="15">
        <v>26.6</v>
      </c>
      <c r="I1097" s="15">
        <v>26.1</v>
      </c>
      <c r="J1097" s="15">
        <v>55</v>
      </c>
      <c r="K1097" s="15" t="str">
        <f t="shared" si="17"/>
        <v>thesmolderingwastes</v>
      </c>
      <c r="L1097" s="15" t="s">
        <v>11564</v>
      </c>
      <c r="M1097" s="15">
        <v>2</v>
      </c>
      <c r="N1097" s="15" t="s">
        <v>11223</v>
      </c>
      <c r="O1097" s="15"/>
      <c r="P1097" s="15"/>
      <c r="Q1097" s="15"/>
      <c r="R1097" s="15"/>
      <c r="S1097" s="15"/>
      <c r="T1097" s="15">
        <v>0</v>
      </c>
      <c r="U1097" s="15"/>
      <c r="V1097" s="15"/>
      <c r="W1097" s="15"/>
      <c r="X1097" s="15"/>
      <c r="Y1097" s="15"/>
      <c r="Z1097" s="15"/>
    </row>
    <row r="1098" spans="1:26" x14ac:dyDescent="0.25">
      <c r="A1098" s="15" t="s">
        <v>12500</v>
      </c>
      <c r="B1098" s="15">
        <v>1097</v>
      </c>
      <c r="C1098" s="15" t="s">
        <v>11277</v>
      </c>
      <c r="D1098" s="15" t="s">
        <v>11277</v>
      </c>
      <c r="E1098" s="15" t="s">
        <v>11</v>
      </c>
      <c r="F1098" s="15" t="s">
        <v>1667</v>
      </c>
      <c r="G1098" s="15" t="s">
        <v>12221</v>
      </c>
      <c r="H1098" s="15">
        <v>26.6</v>
      </c>
      <c r="I1098" s="15">
        <v>26.1</v>
      </c>
      <c r="J1098" s="15">
        <v>60</v>
      </c>
      <c r="K1098" s="15" t="str">
        <f t="shared" si="17"/>
        <v>thesmolderingwastes</v>
      </c>
      <c r="L1098" s="15" t="s">
        <v>11564</v>
      </c>
      <c r="M1098" s="15">
        <v>3</v>
      </c>
      <c r="N1098" s="15" t="s">
        <v>11223</v>
      </c>
      <c r="O1098" s="15" t="s">
        <v>14069</v>
      </c>
      <c r="P1098" s="15"/>
      <c r="Q1098" s="15"/>
      <c r="R1098" s="15"/>
      <c r="S1098" s="15"/>
      <c r="T1098" s="15">
        <v>0</v>
      </c>
      <c r="U1098" s="15" t="s">
        <v>5908</v>
      </c>
      <c r="V1098" s="15" t="s">
        <v>5914</v>
      </c>
      <c r="W1098" s="15" t="s">
        <v>6034</v>
      </c>
      <c r="X1098" s="15"/>
      <c r="Y1098" s="15"/>
      <c r="Z1098" s="15"/>
    </row>
    <row r="1099" spans="1:26" x14ac:dyDescent="0.25">
      <c r="A1099" s="15" t="s">
        <v>12502</v>
      </c>
      <c r="B1099" s="15">
        <v>1098</v>
      </c>
      <c r="C1099" s="15" t="s">
        <v>11277</v>
      </c>
      <c r="D1099" s="15" t="s">
        <v>11277</v>
      </c>
      <c r="E1099" s="15" t="s">
        <v>11</v>
      </c>
      <c r="F1099" s="15" t="s">
        <v>1678</v>
      </c>
      <c r="G1099" s="15" t="s">
        <v>12208</v>
      </c>
      <c r="H1099" s="15">
        <v>31</v>
      </c>
      <c r="I1099" s="15">
        <v>5</v>
      </c>
      <c r="J1099" s="15">
        <v>58</v>
      </c>
      <c r="K1099" s="15" t="str">
        <f t="shared" si="17"/>
        <v>theironfeast</v>
      </c>
      <c r="L1099" s="15" t="s">
        <v>11602</v>
      </c>
      <c r="M1099" s="15">
        <v>2</v>
      </c>
      <c r="N1099" s="15" t="s">
        <v>11223</v>
      </c>
      <c r="O1099" s="15"/>
      <c r="P1099" s="15"/>
      <c r="Q1099" s="15" t="s">
        <v>12209</v>
      </c>
      <c r="R1099" s="15"/>
      <c r="S1099" s="15"/>
      <c r="T1099" s="15">
        <v>0</v>
      </c>
      <c r="U1099" s="15" t="s">
        <v>5908</v>
      </c>
      <c r="V1099" s="15" t="s">
        <v>5914</v>
      </c>
      <c r="W1099" s="15" t="s">
        <v>6034</v>
      </c>
      <c r="X1099" s="15"/>
      <c r="Y1099" s="15"/>
      <c r="Z1099" s="15"/>
    </row>
    <row r="1100" spans="1:26" x14ac:dyDescent="0.25">
      <c r="A1100" s="15" t="s">
        <v>12504</v>
      </c>
      <c r="B1100" s="15">
        <v>1099</v>
      </c>
      <c r="C1100" s="15" t="s">
        <v>11277</v>
      </c>
      <c r="D1100" s="15" t="s">
        <v>11277</v>
      </c>
      <c r="E1100" s="15" t="s">
        <v>11</v>
      </c>
      <c r="F1100" s="15" t="s">
        <v>1678</v>
      </c>
      <c r="G1100" s="15" t="s">
        <v>12209</v>
      </c>
      <c r="H1100" s="15">
        <v>31</v>
      </c>
      <c r="I1100" s="15">
        <v>5</v>
      </c>
      <c r="J1100" s="15">
        <v>52</v>
      </c>
      <c r="K1100" s="15" t="str">
        <f t="shared" si="17"/>
        <v>theironfeast</v>
      </c>
      <c r="L1100" s="15" t="s">
        <v>11573</v>
      </c>
      <c r="M1100" s="15">
        <v>1</v>
      </c>
      <c r="N1100" s="15" t="s">
        <v>11222</v>
      </c>
      <c r="O1100" s="15"/>
      <c r="P1100" s="15"/>
      <c r="Q1100" s="15"/>
      <c r="R1100" s="15"/>
      <c r="S1100" s="15"/>
      <c r="T1100" s="15">
        <v>0</v>
      </c>
      <c r="U1100" s="15"/>
      <c r="V1100" s="15"/>
      <c r="W1100" s="15"/>
      <c r="X1100" s="15"/>
      <c r="Y1100" s="15"/>
      <c r="Z1100" s="15"/>
    </row>
    <row r="1101" spans="1:26" x14ac:dyDescent="0.25">
      <c r="A1101" s="15" t="s">
        <v>12506</v>
      </c>
      <c r="B1101" s="15">
        <v>1100</v>
      </c>
      <c r="C1101" s="15" t="s">
        <v>11277</v>
      </c>
      <c r="D1101" s="15" t="s">
        <v>11277</v>
      </c>
      <c r="E1101" s="15" t="s">
        <v>11</v>
      </c>
      <c r="F1101" s="15" t="s">
        <v>1678</v>
      </c>
      <c r="G1101" s="15" t="s">
        <v>1501</v>
      </c>
      <c r="H1101" s="15">
        <v>31</v>
      </c>
      <c r="I1101" s="15">
        <v>5</v>
      </c>
      <c r="J1101" s="15">
        <v>55</v>
      </c>
      <c r="K1101" s="15" t="str">
        <f t="shared" si="17"/>
        <v>theironfeast</v>
      </c>
      <c r="L1101" s="15" t="s">
        <v>11562</v>
      </c>
      <c r="M1101" s="15">
        <v>1</v>
      </c>
      <c r="N1101" s="15" t="s">
        <v>11222</v>
      </c>
      <c r="O1101" s="15"/>
      <c r="P1101" s="15"/>
      <c r="Q1101" s="15"/>
      <c r="R1101" s="15"/>
      <c r="S1101" s="15"/>
      <c r="T1101" s="15">
        <v>0</v>
      </c>
      <c r="U1101" s="15"/>
      <c r="V1101" s="15"/>
      <c r="W1101" s="15"/>
      <c r="X1101" s="15"/>
      <c r="Y1101" s="15"/>
      <c r="Z1101" s="15"/>
    </row>
    <row r="1102" spans="1:26" x14ac:dyDescent="0.25">
      <c r="A1102" s="15" t="s">
        <v>12508</v>
      </c>
      <c r="B1102" s="15">
        <v>1101</v>
      </c>
      <c r="C1102" s="15" t="s">
        <v>11277</v>
      </c>
      <c r="D1102" s="15" t="s">
        <v>11277</v>
      </c>
      <c r="E1102" s="15" t="s">
        <v>11</v>
      </c>
      <c r="F1102" s="15" t="s">
        <v>1678</v>
      </c>
      <c r="G1102" s="15" t="s">
        <v>49</v>
      </c>
      <c r="H1102" s="15">
        <v>31</v>
      </c>
      <c r="I1102" s="15">
        <v>5</v>
      </c>
      <c r="J1102" s="15">
        <v>58</v>
      </c>
      <c r="K1102" s="15" t="str">
        <f t="shared" si="17"/>
        <v>theironfeast</v>
      </c>
      <c r="L1102" s="15" t="s">
        <v>14088</v>
      </c>
      <c r="M1102" s="15">
        <v>3</v>
      </c>
      <c r="N1102" s="15" t="s">
        <v>11223</v>
      </c>
      <c r="O1102" s="15" t="s">
        <v>14055</v>
      </c>
      <c r="P1102" s="15"/>
      <c r="Q1102" s="15" t="s">
        <v>12209</v>
      </c>
      <c r="R1102" s="15"/>
      <c r="S1102" s="15"/>
      <c r="T1102" s="15">
        <v>0</v>
      </c>
      <c r="U1102" s="15"/>
      <c r="V1102" s="15"/>
      <c r="W1102" s="15"/>
      <c r="X1102" s="15"/>
      <c r="Y1102" s="15"/>
      <c r="Z1102" s="15"/>
    </row>
    <row r="1103" spans="1:26" x14ac:dyDescent="0.25">
      <c r="A1103" s="15" t="s">
        <v>12510</v>
      </c>
      <c r="B1103" s="15">
        <v>1102</v>
      </c>
      <c r="C1103" s="15" t="s">
        <v>11277</v>
      </c>
      <c r="D1103" s="15" t="s">
        <v>11277</v>
      </c>
      <c r="E1103" s="15" t="s">
        <v>11</v>
      </c>
      <c r="F1103" s="15" t="s">
        <v>1678</v>
      </c>
      <c r="G1103" s="15" t="s">
        <v>12222</v>
      </c>
      <c r="H1103" s="15">
        <v>31</v>
      </c>
      <c r="I1103" s="15">
        <v>5</v>
      </c>
      <c r="J1103" s="15">
        <v>60</v>
      </c>
      <c r="K1103" s="15" t="str">
        <f t="shared" si="17"/>
        <v>theironfeast</v>
      </c>
      <c r="L1103" s="15" t="s">
        <v>11588</v>
      </c>
      <c r="M1103" s="15">
        <v>2</v>
      </c>
      <c r="N1103" s="15" t="s">
        <v>11223</v>
      </c>
      <c r="O1103" s="15" t="s">
        <v>14070</v>
      </c>
      <c r="P1103" s="15"/>
      <c r="Q1103" s="15" t="s">
        <v>12209</v>
      </c>
      <c r="R1103" s="15"/>
      <c r="S1103" s="15"/>
      <c r="T1103" s="15">
        <v>0</v>
      </c>
      <c r="U1103" s="15"/>
      <c r="V1103" s="15"/>
      <c r="W1103" s="15"/>
      <c r="X1103" s="15"/>
      <c r="Y1103" s="15"/>
      <c r="Z1103" s="15"/>
    </row>
    <row r="1104" spans="1:26" x14ac:dyDescent="0.25">
      <c r="A1104" s="15" t="s">
        <v>12512</v>
      </c>
      <c r="B1104" s="15">
        <v>1103</v>
      </c>
      <c r="C1104" s="15" t="s">
        <v>11277</v>
      </c>
      <c r="D1104" s="15" t="s">
        <v>11277</v>
      </c>
      <c r="E1104" s="15" t="s">
        <v>11</v>
      </c>
      <c r="F1104" s="15" t="s">
        <v>1678</v>
      </c>
      <c r="G1104" s="15" t="s">
        <v>12223</v>
      </c>
      <c r="H1104" s="15">
        <v>31</v>
      </c>
      <c r="I1104" s="15">
        <v>5</v>
      </c>
      <c r="J1104" s="15">
        <v>60</v>
      </c>
      <c r="K1104" s="15" t="str">
        <f t="shared" si="17"/>
        <v>theironfeast</v>
      </c>
      <c r="L1104" s="15" t="s">
        <v>11564</v>
      </c>
      <c r="M1104" s="15">
        <v>3</v>
      </c>
      <c r="N1104" s="15" t="s">
        <v>11223</v>
      </c>
      <c r="O1104" s="15" t="s">
        <v>11389</v>
      </c>
      <c r="P1104" s="15"/>
      <c r="Q1104" s="15"/>
      <c r="R1104" s="15"/>
      <c r="S1104" s="15"/>
      <c r="T1104" s="15">
        <v>1</v>
      </c>
      <c r="U1104" s="15"/>
      <c r="V1104" s="15"/>
      <c r="W1104" s="15"/>
      <c r="X1104" s="15"/>
      <c r="Y1104" s="15"/>
      <c r="Z1104" s="15"/>
    </row>
    <row r="1105" spans="1:26" x14ac:dyDescent="0.25">
      <c r="A1105" s="15" t="s">
        <v>12514</v>
      </c>
      <c r="B1105" s="15">
        <v>1104</v>
      </c>
      <c r="C1105" s="15" t="s">
        <v>11277</v>
      </c>
      <c r="D1105" s="15" t="s">
        <v>11277</v>
      </c>
      <c r="E1105" s="15" t="s">
        <v>11</v>
      </c>
      <c r="F1105" s="15" t="s">
        <v>1678</v>
      </c>
      <c r="G1105" s="15" t="s">
        <v>12224</v>
      </c>
      <c r="H1105" s="15">
        <v>31</v>
      </c>
      <c r="I1105" s="15">
        <v>5</v>
      </c>
      <c r="J1105" s="15">
        <v>60</v>
      </c>
      <c r="K1105" s="15" t="str">
        <f t="shared" si="17"/>
        <v>theironfeast</v>
      </c>
      <c r="L1105" s="15" t="s">
        <v>14088</v>
      </c>
      <c r="M1105" s="15">
        <v>3</v>
      </c>
      <c r="N1105" s="15" t="s">
        <v>11223</v>
      </c>
      <c r="O1105" s="15" t="s">
        <v>11387</v>
      </c>
      <c r="P1105" s="15"/>
      <c r="Q1105" s="15" t="s">
        <v>12209</v>
      </c>
      <c r="R1105" s="15"/>
      <c r="S1105" s="15"/>
      <c r="T1105" s="15">
        <v>0</v>
      </c>
      <c r="U1105" s="15" t="s">
        <v>6010</v>
      </c>
      <c r="V1105" s="15"/>
      <c r="W1105" s="15"/>
      <c r="X1105" s="15"/>
      <c r="Y1105" s="15"/>
      <c r="Z1105" s="15"/>
    </row>
    <row r="1106" spans="1:26" x14ac:dyDescent="0.25">
      <c r="A1106" s="15" t="s">
        <v>12516</v>
      </c>
      <c r="B1106" s="15">
        <v>1105</v>
      </c>
      <c r="C1106" s="15" t="s">
        <v>11277</v>
      </c>
      <c r="D1106" s="15" t="s">
        <v>11277</v>
      </c>
      <c r="E1106" s="15" t="s">
        <v>11</v>
      </c>
      <c r="F1106" s="15" t="s">
        <v>1678</v>
      </c>
      <c r="G1106" s="15" t="s">
        <v>12179</v>
      </c>
      <c r="H1106" s="15">
        <v>31</v>
      </c>
      <c r="I1106" s="15">
        <v>5</v>
      </c>
      <c r="J1106" s="15">
        <v>60</v>
      </c>
      <c r="K1106" s="15" t="str">
        <f t="shared" si="17"/>
        <v>theironfeast</v>
      </c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spans="1:26" x14ac:dyDescent="0.25">
      <c r="A1107" s="15" t="s">
        <v>12518</v>
      </c>
      <c r="B1107" s="15">
        <v>1106</v>
      </c>
      <c r="C1107" s="15" t="s">
        <v>11277</v>
      </c>
      <c r="D1107" s="15" t="s">
        <v>11277</v>
      </c>
      <c r="E1107" s="15" t="s">
        <v>11</v>
      </c>
      <c r="F1107" s="15" t="s">
        <v>1680</v>
      </c>
      <c r="G1107" s="15" t="s">
        <v>12225</v>
      </c>
      <c r="H1107" s="15">
        <v>13</v>
      </c>
      <c r="I1107" s="15">
        <v>13</v>
      </c>
      <c r="J1107" s="15">
        <v>54</v>
      </c>
      <c r="K1107" s="15" t="str">
        <f t="shared" si="17"/>
        <v>mourn</v>
      </c>
      <c r="L1107" s="15" t="s">
        <v>12226</v>
      </c>
      <c r="M1107" s="15">
        <v>2</v>
      </c>
      <c r="N1107" s="15" t="s">
        <v>11223</v>
      </c>
      <c r="O1107" s="15"/>
      <c r="P1107" s="15"/>
      <c r="Q1107" s="15"/>
      <c r="R1107" s="15"/>
      <c r="S1107" s="15"/>
      <c r="T1107" s="15">
        <v>0</v>
      </c>
      <c r="U1107" s="15"/>
      <c r="V1107" s="15"/>
      <c r="W1107" s="15"/>
      <c r="X1107" s="15"/>
      <c r="Y1107" s="15"/>
      <c r="Z1107" s="15"/>
    </row>
    <row r="1108" spans="1:26" x14ac:dyDescent="0.25">
      <c r="A1108" s="15" t="s">
        <v>12520</v>
      </c>
      <c r="B1108" s="15">
        <v>1107</v>
      </c>
      <c r="C1108" s="15" t="s">
        <v>11277</v>
      </c>
      <c r="D1108" s="15" t="s">
        <v>11277</v>
      </c>
      <c r="E1108" s="15" t="s">
        <v>11</v>
      </c>
      <c r="F1108" s="15" t="s">
        <v>1680</v>
      </c>
      <c r="G1108" s="15" t="s">
        <v>12227</v>
      </c>
      <c r="H1108" s="15">
        <v>13</v>
      </c>
      <c r="I1108" s="15">
        <v>13</v>
      </c>
      <c r="J1108" s="15">
        <v>55</v>
      </c>
      <c r="K1108" s="15" t="str">
        <f t="shared" si="17"/>
        <v>mourn</v>
      </c>
      <c r="L1108" s="15" t="s">
        <v>11560</v>
      </c>
      <c r="M1108" s="15">
        <v>1</v>
      </c>
      <c r="N1108" s="15" t="s">
        <v>11222</v>
      </c>
      <c r="O1108" s="15"/>
      <c r="P1108" s="15"/>
      <c r="Q1108" s="15"/>
      <c r="R1108" s="15"/>
      <c r="S1108" s="15"/>
      <c r="T1108" s="15">
        <v>0</v>
      </c>
      <c r="U1108" s="15"/>
      <c r="V1108" s="15"/>
      <c r="W1108" s="15"/>
      <c r="X1108" s="15"/>
      <c r="Y1108" s="15"/>
      <c r="Z1108" s="15"/>
    </row>
    <row r="1109" spans="1:26" x14ac:dyDescent="0.25">
      <c r="A1109" s="15" t="s">
        <v>12522</v>
      </c>
      <c r="B1109" s="15">
        <v>1108</v>
      </c>
      <c r="C1109" s="15" t="s">
        <v>11277</v>
      </c>
      <c r="D1109" s="15" t="s">
        <v>11277</v>
      </c>
      <c r="E1109" s="15" t="s">
        <v>11</v>
      </c>
      <c r="F1109" s="15" t="s">
        <v>1680</v>
      </c>
      <c r="G1109" s="15" t="s">
        <v>12228</v>
      </c>
      <c r="H1109" s="15">
        <v>13</v>
      </c>
      <c r="I1109" s="15">
        <v>13</v>
      </c>
      <c r="J1109" s="15">
        <v>56</v>
      </c>
      <c r="K1109" s="15" t="str">
        <f t="shared" si="17"/>
        <v>mourn</v>
      </c>
      <c r="L1109" s="15" t="s">
        <v>12226</v>
      </c>
      <c r="M1109" s="15">
        <v>1</v>
      </c>
      <c r="N1109" s="15" t="s">
        <v>11222</v>
      </c>
      <c r="O1109" s="15"/>
      <c r="P1109" s="15"/>
      <c r="Q1109" s="15"/>
      <c r="R1109" s="15"/>
      <c r="S1109" s="15"/>
      <c r="T1109" s="15">
        <v>0</v>
      </c>
      <c r="U1109" s="15"/>
      <c r="V1109" s="15"/>
      <c r="W1109" s="15"/>
      <c r="X1109" s="15"/>
      <c r="Y1109" s="15"/>
      <c r="Z1109" s="15"/>
    </row>
    <row r="1110" spans="1:26" x14ac:dyDescent="0.25">
      <c r="A1110" s="15" t="s">
        <v>12524</v>
      </c>
      <c r="B1110" s="15">
        <v>1109</v>
      </c>
      <c r="C1110" s="15" t="s">
        <v>11277</v>
      </c>
      <c r="D1110" s="15" t="s">
        <v>11277</v>
      </c>
      <c r="E1110" s="15" t="s">
        <v>11</v>
      </c>
      <c r="F1110" s="15" t="s">
        <v>1680</v>
      </c>
      <c r="G1110" s="15" t="s">
        <v>12229</v>
      </c>
      <c r="H1110" s="15">
        <v>13</v>
      </c>
      <c r="I1110" s="15">
        <v>13</v>
      </c>
      <c r="J1110" s="15">
        <v>57</v>
      </c>
      <c r="K1110" s="15" t="str">
        <f t="shared" si="17"/>
        <v>mourn</v>
      </c>
      <c r="L1110" s="15" t="s">
        <v>14088</v>
      </c>
      <c r="M1110" s="15">
        <v>2</v>
      </c>
      <c r="N1110" s="15" t="s">
        <v>11223</v>
      </c>
      <c r="O1110" s="15"/>
      <c r="P1110" s="15"/>
      <c r="Q1110" s="15" t="s">
        <v>12227</v>
      </c>
      <c r="R1110" s="15"/>
      <c r="S1110" s="15"/>
      <c r="T1110" s="15">
        <v>0</v>
      </c>
      <c r="U1110" s="15"/>
      <c r="V1110" s="15"/>
      <c r="W1110" s="15"/>
      <c r="X1110" s="15"/>
      <c r="Y1110" s="15"/>
      <c r="Z1110" s="15"/>
    </row>
    <row r="1111" spans="1:26" x14ac:dyDescent="0.25">
      <c r="A1111" s="15" t="s">
        <v>12526</v>
      </c>
      <c r="B1111" s="15">
        <v>1110</v>
      </c>
      <c r="C1111" s="15" t="s">
        <v>11277</v>
      </c>
      <c r="D1111" s="15" t="s">
        <v>11277</v>
      </c>
      <c r="E1111" s="15" t="s">
        <v>11</v>
      </c>
      <c r="F1111" s="15" t="s">
        <v>1680</v>
      </c>
      <c r="G1111" s="15" t="s">
        <v>12230</v>
      </c>
      <c r="H1111" s="15">
        <v>13</v>
      </c>
      <c r="I1111" s="15">
        <v>13</v>
      </c>
      <c r="J1111" s="15">
        <v>59</v>
      </c>
      <c r="K1111" s="15" t="str">
        <f t="shared" si="17"/>
        <v>mourn</v>
      </c>
      <c r="L1111" s="15" t="s">
        <v>14088</v>
      </c>
      <c r="M1111" s="15">
        <v>2</v>
      </c>
      <c r="N1111" s="15" t="s">
        <v>11223</v>
      </c>
      <c r="O1111" s="15"/>
      <c r="P1111" s="15"/>
      <c r="Q1111" s="15" t="s">
        <v>12227</v>
      </c>
      <c r="R1111" s="15"/>
      <c r="S1111" s="15"/>
      <c r="T1111" s="15">
        <v>0</v>
      </c>
      <c r="U1111" s="15"/>
      <c r="V1111" s="15"/>
      <c r="W1111" s="15"/>
      <c r="X1111" s="15"/>
      <c r="Y1111" s="15"/>
      <c r="Z1111" s="15"/>
    </row>
    <row r="1112" spans="1:26" x14ac:dyDescent="0.25">
      <c r="A1112" s="15" t="s">
        <v>12528</v>
      </c>
      <c r="B1112" s="15">
        <v>1111</v>
      </c>
      <c r="C1112" s="15" t="s">
        <v>11277</v>
      </c>
      <c r="D1112" s="15" t="s">
        <v>11277</v>
      </c>
      <c r="E1112" s="15" t="s">
        <v>11</v>
      </c>
      <c r="F1112" s="15" t="s">
        <v>1680</v>
      </c>
      <c r="G1112" s="15" t="s">
        <v>12231</v>
      </c>
      <c r="H1112" s="15">
        <v>13</v>
      </c>
      <c r="I1112" s="15">
        <v>13</v>
      </c>
      <c r="J1112" s="15">
        <v>60</v>
      </c>
      <c r="K1112" s="15" t="str">
        <f t="shared" si="17"/>
        <v>mourn</v>
      </c>
      <c r="L1112" s="15" t="s">
        <v>14088</v>
      </c>
      <c r="M1112" s="15">
        <v>3</v>
      </c>
      <c r="N1112" s="15" t="s">
        <v>11223</v>
      </c>
      <c r="O1112" s="15"/>
      <c r="P1112" s="15"/>
      <c r="Q1112" s="15" t="s">
        <v>12227</v>
      </c>
      <c r="R1112" s="15"/>
      <c r="S1112" s="15"/>
      <c r="T1112" s="15">
        <v>0</v>
      </c>
      <c r="U1112" s="15" t="s">
        <v>5893</v>
      </c>
      <c r="V1112" s="15" t="s">
        <v>5892</v>
      </c>
      <c r="W1112" s="15" t="s">
        <v>6034</v>
      </c>
      <c r="X1112" s="15"/>
      <c r="Y1112" s="15"/>
      <c r="Z1112" s="15"/>
    </row>
    <row r="1113" spans="1:26" x14ac:dyDescent="0.25">
      <c r="A1113" s="15" t="s">
        <v>12530</v>
      </c>
      <c r="B1113" s="15">
        <v>1112</v>
      </c>
      <c r="C1113" s="15" t="s">
        <v>11277</v>
      </c>
      <c r="D1113" s="15" t="s">
        <v>11277</v>
      </c>
      <c r="E1113" s="15" t="s">
        <v>11</v>
      </c>
      <c r="F1113" s="15" t="s">
        <v>15156</v>
      </c>
      <c r="G1113" s="15" t="s">
        <v>12227</v>
      </c>
      <c r="H1113" s="15">
        <v>9</v>
      </c>
      <c r="I1113" s="15">
        <v>7</v>
      </c>
      <c r="J1113" s="15">
        <v>55</v>
      </c>
      <c r="K1113" s="15" t="str">
        <f t="shared" si="17"/>
        <v>westmourn</v>
      </c>
      <c r="L1113" s="15" t="s">
        <v>11560</v>
      </c>
      <c r="M1113" s="15">
        <v>1</v>
      </c>
      <c r="N1113" s="15" t="s">
        <v>11222</v>
      </c>
      <c r="O1113" s="15"/>
      <c r="P1113" s="15"/>
      <c r="Q1113" s="15"/>
      <c r="R1113" s="15"/>
      <c r="S1113" s="15"/>
      <c r="T1113" s="15">
        <v>0</v>
      </c>
      <c r="U1113" s="15"/>
      <c r="V1113" s="15"/>
      <c r="W1113" s="15"/>
      <c r="X1113" s="15"/>
      <c r="Y1113" s="15"/>
      <c r="Z1113" s="15"/>
    </row>
    <row r="1114" spans="1:26" x14ac:dyDescent="0.25">
      <c r="A1114" s="15" t="s">
        <v>12532</v>
      </c>
      <c r="B1114" s="15">
        <v>1113</v>
      </c>
      <c r="C1114" s="15" t="s">
        <v>11277</v>
      </c>
      <c r="D1114" s="15" t="s">
        <v>11277</v>
      </c>
      <c r="E1114" s="15" t="s">
        <v>11</v>
      </c>
      <c r="F1114" s="15" t="s">
        <v>15156</v>
      </c>
      <c r="G1114" s="15" t="s">
        <v>12232</v>
      </c>
      <c r="H1114" s="15">
        <v>9</v>
      </c>
      <c r="I1114" s="15">
        <v>7</v>
      </c>
      <c r="J1114" s="15">
        <v>55</v>
      </c>
      <c r="K1114" s="15" t="str">
        <f t="shared" si="17"/>
        <v>westmourn</v>
      </c>
      <c r="L1114" s="15" t="s">
        <v>12226</v>
      </c>
      <c r="M1114" s="15">
        <v>1</v>
      </c>
      <c r="N1114" s="15" t="s">
        <v>11222</v>
      </c>
      <c r="O1114" s="15"/>
      <c r="P1114" s="15"/>
      <c r="Q1114" s="15"/>
      <c r="R1114" s="15"/>
      <c r="S1114" s="15"/>
      <c r="T1114" s="15">
        <v>0</v>
      </c>
      <c r="U1114" s="15"/>
      <c r="V1114" s="15"/>
      <c r="W1114" s="15"/>
      <c r="X1114" s="15"/>
      <c r="Y1114" s="15"/>
      <c r="Z1114" s="15"/>
    </row>
    <row r="1115" spans="1:26" x14ac:dyDescent="0.25">
      <c r="A1115" s="15" t="s">
        <v>12534</v>
      </c>
      <c r="B1115" s="15">
        <v>1114</v>
      </c>
      <c r="C1115" s="15" t="s">
        <v>11277</v>
      </c>
      <c r="D1115" s="15" t="s">
        <v>11277</v>
      </c>
      <c r="E1115" s="15" t="s">
        <v>11</v>
      </c>
      <c r="F1115" s="15" t="s">
        <v>15156</v>
      </c>
      <c r="G1115" s="15" t="s">
        <v>12233</v>
      </c>
      <c r="H1115" s="15">
        <v>9</v>
      </c>
      <c r="I1115" s="15">
        <v>7</v>
      </c>
      <c r="J1115" s="15">
        <v>55</v>
      </c>
      <c r="K1115" s="15" t="str">
        <f t="shared" si="17"/>
        <v>westmourn</v>
      </c>
      <c r="L1115" s="15" t="s">
        <v>12226</v>
      </c>
      <c r="M1115" s="15">
        <v>1</v>
      </c>
      <c r="N1115" s="15" t="s">
        <v>11222</v>
      </c>
      <c r="O1115" s="15"/>
      <c r="P1115" s="15"/>
      <c r="Q1115" s="15"/>
      <c r="R1115" s="15"/>
      <c r="S1115" s="15"/>
      <c r="T1115" s="15">
        <v>0</v>
      </c>
      <c r="U1115" s="15"/>
      <c r="V1115" s="15"/>
      <c r="W1115" s="15"/>
      <c r="X1115" s="15"/>
      <c r="Y1115" s="15"/>
      <c r="Z1115" s="15"/>
    </row>
    <row r="1116" spans="1:26" x14ac:dyDescent="0.25">
      <c r="A1116" s="15" t="s">
        <v>12536</v>
      </c>
      <c r="B1116" s="15">
        <v>1115</v>
      </c>
      <c r="C1116" s="15" t="s">
        <v>11277</v>
      </c>
      <c r="D1116" s="15" t="s">
        <v>11277</v>
      </c>
      <c r="E1116" s="15" t="s">
        <v>11</v>
      </c>
      <c r="F1116" s="15" t="s">
        <v>15156</v>
      </c>
      <c r="G1116" s="15" t="s">
        <v>12228</v>
      </c>
      <c r="H1116" s="15">
        <v>9</v>
      </c>
      <c r="I1116" s="15">
        <v>7</v>
      </c>
      <c r="J1116" s="15">
        <v>56</v>
      </c>
      <c r="K1116" s="15" t="str">
        <f t="shared" si="17"/>
        <v>westmourn</v>
      </c>
      <c r="L1116" s="15" t="s">
        <v>12226</v>
      </c>
      <c r="M1116" s="15">
        <v>1</v>
      </c>
      <c r="N1116" s="15" t="s">
        <v>11222</v>
      </c>
      <c r="O1116" s="15"/>
      <c r="P1116" s="15"/>
      <c r="Q1116" s="15"/>
      <c r="R1116" s="15"/>
      <c r="S1116" s="15"/>
      <c r="T1116" s="15">
        <v>0</v>
      </c>
      <c r="U1116" s="15"/>
      <c r="V1116" s="15"/>
      <c r="W1116" s="15"/>
      <c r="X1116" s="15"/>
      <c r="Y1116" s="15"/>
      <c r="Z1116" s="15"/>
    </row>
    <row r="1117" spans="1:26" x14ac:dyDescent="0.25">
      <c r="A1117" s="15" t="s">
        <v>12538</v>
      </c>
      <c r="B1117" s="15">
        <v>1116</v>
      </c>
      <c r="C1117" s="15" t="s">
        <v>11277</v>
      </c>
      <c r="D1117" s="15" t="s">
        <v>11277</v>
      </c>
      <c r="E1117" s="15" t="s">
        <v>11</v>
      </c>
      <c r="F1117" s="15" t="s">
        <v>15156</v>
      </c>
      <c r="G1117" s="15" t="s">
        <v>12234</v>
      </c>
      <c r="H1117" s="15">
        <v>9</v>
      </c>
      <c r="I1117" s="15">
        <v>7</v>
      </c>
      <c r="J1117" s="15">
        <v>60</v>
      </c>
      <c r="K1117" s="15" t="str">
        <f t="shared" si="17"/>
        <v>westmourn</v>
      </c>
      <c r="L1117" s="15" t="s">
        <v>14088</v>
      </c>
      <c r="M1117" s="15">
        <v>2</v>
      </c>
      <c r="N1117" s="15" t="s">
        <v>11223</v>
      </c>
      <c r="O1117" s="15"/>
      <c r="P1117" s="15"/>
      <c r="Q1117" s="15" t="s">
        <v>12227</v>
      </c>
      <c r="R1117" s="15"/>
      <c r="S1117" s="15"/>
      <c r="T1117" s="15">
        <v>0</v>
      </c>
      <c r="U1117" s="15"/>
      <c r="V1117" s="15"/>
      <c r="W1117" s="15"/>
      <c r="X1117" s="15"/>
      <c r="Y1117" s="15"/>
      <c r="Z1117" s="15"/>
    </row>
    <row r="1118" spans="1:26" x14ac:dyDescent="0.25">
      <c r="A1118" s="15" t="s">
        <v>12540</v>
      </c>
      <c r="B1118" s="15">
        <v>1117</v>
      </c>
      <c r="C1118" s="15" t="s">
        <v>11277</v>
      </c>
      <c r="D1118" s="15" t="s">
        <v>11277</v>
      </c>
      <c r="E1118" s="15" t="s">
        <v>11</v>
      </c>
      <c r="F1118" s="15" t="s">
        <v>15156</v>
      </c>
      <c r="G1118" s="15" t="s">
        <v>12235</v>
      </c>
      <c r="H1118" s="15">
        <v>9</v>
      </c>
      <c r="I1118" s="15">
        <v>7</v>
      </c>
      <c r="J1118" s="15">
        <v>60</v>
      </c>
      <c r="K1118" s="15" t="str">
        <f t="shared" si="17"/>
        <v>westmourn</v>
      </c>
      <c r="L1118" s="15" t="s">
        <v>12226</v>
      </c>
      <c r="M1118" s="15">
        <v>3</v>
      </c>
      <c r="N1118" s="15" t="s">
        <v>11222</v>
      </c>
      <c r="O1118" s="15" t="s">
        <v>11296</v>
      </c>
      <c r="P1118" s="15"/>
      <c r="Q1118" s="15"/>
      <c r="R1118" s="15"/>
      <c r="S1118" s="15"/>
      <c r="T1118" s="15">
        <v>0</v>
      </c>
      <c r="U1118" s="15"/>
      <c r="V1118" s="15"/>
      <c r="W1118" s="15"/>
      <c r="X1118" s="15"/>
      <c r="Y1118" s="15"/>
      <c r="Z1118" s="15"/>
    </row>
    <row r="1119" spans="1:26" x14ac:dyDescent="0.25">
      <c r="A1119" s="15" t="s">
        <v>12542</v>
      </c>
      <c r="B1119" s="15">
        <v>1118</v>
      </c>
      <c r="C1119" s="15" t="s">
        <v>11277</v>
      </c>
      <c r="D1119" s="15" t="s">
        <v>11277</v>
      </c>
      <c r="E1119" s="15" t="s">
        <v>11</v>
      </c>
      <c r="F1119" s="15" t="s">
        <v>1683</v>
      </c>
      <c r="G1119" s="15" t="s">
        <v>12225</v>
      </c>
      <c r="H1119" s="15">
        <v>18</v>
      </c>
      <c r="I1119" s="15">
        <v>11</v>
      </c>
      <c r="J1119" s="15">
        <v>54</v>
      </c>
      <c r="K1119" s="15" t="str">
        <f t="shared" si="17"/>
        <v>anyxold</v>
      </c>
      <c r="L1119" s="15" t="s">
        <v>12226</v>
      </c>
      <c r="M1119" s="15">
        <v>2</v>
      </c>
      <c r="N1119" s="15" t="s">
        <v>11223</v>
      </c>
      <c r="O1119" s="15"/>
      <c r="P1119" s="15"/>
      <c r="Q1119" s="15"/>
      <c r="R1119" s="15"/>
      <c r="S1119" s="15"/>
      <c r="T1119" s="15">
        <v>0</v>
      </c>
      <c r="U1119" s="15"/>
      <c r="V1119" s="15"/>
      <c r="W1119" s="15"/>
      <c r="X1119" s="15"/>
      <c r="Y1119" s="15"/>
      <c r="Z1119" s="15"/>
    </row>
    <row r="1120" spans="1:26" x14ac:dyDescent="0.25">
      <c r="A1120" s="15" t="s">
        <v>12544</v>
      </c>
      <c r="B1120" s="15">
        <v>1119</v>
      </c>
      <c r="C1120" s="15" t="s">
        <v>11277</v>
      </c>
      <c r="D1120" s="15" t="s">
        <v>11277</v>
      </c>
      <c r="E1120" s="15" t="s">
        <v>11</v>
      </c>
      <c r="F1120" s="15" t="s">
        <v>1683</v>
      </c>
      <c r="G1120" s="15" t="s">
        <v>12227</v>
      </c>
      <c r="H1120" s="15">
        <v>18</v>
      </c>
      <c r="I1120" s="15">
        <v>11</v>
      </c>
      <c r="J1120" s="15">
        <v>55</v>
      </c>
      <c r="K1120" s="15" t="str">
        <f t="shared" si="17"/>
        <v>anyxold</v>
      </c>
      <c r="L1120" s="15" t="s">
        <v>12226</v>
      </c>
      <c r="M1120" s="15">
        <v>1</v>
      </c>
      <c r="N1120" s="15" t="s">
        <v>11222</v>
      </c>
      <c r="O1120" s="15"/>
      <c r="P1120" s="15"/>
      <c r="Q1120" s="15"/>
      <c r="R1120" s="15"/>
      <c r="S1120" s="15"/>
      <c r="T1120" s="15">
        <v>0</v>
      </c>
      <c r="U1120" s="15"/>
      <c r="V1120" s="15"/>
      <c r="W1120" s="15"/>
      <c r="X1120" s="15"/>
      <c r="Y1120" s="15"/>
      <c r="Z1120" s="15"/>
    </row>
    <row r="1121" spans="1:26" x14ac:dyDescent="0.25">
      <c r="A1121" s="15" t="s">
        <v>12546</v>
      </c>
      <c r="B1121" s="15">
        <v>1120</v>
      </c>
      <c r="C1121" s="15" t="s">
        <v>11277</v>
      </c>
      <c r="D1121" s="15" t="s">
        <v>11277</v>
      </c>
      <c r="E1121" s="15" t="s">
        <v>11</v>
      </c>
      <c r="F1121" s="15" t="s">
        <v>1683</v>
      </c>
      <c r="G1121" s="15" t="s">
        <v>12228</v>
      </c>
      <c r="H1121" s="15">
        <v>18</v>
      </c>
      <c r="I1121" s="15">
        <v>11</v>
      </c>
      <c r="J1121" s="15">
        <v>56</v>
      </c>
      <c r="K1121" s="15" t="str">
        <f t="shared" si="17"/>
        <v>anyxold</v>
      </c>
      <c r="L1121" s="15" t="s">
        <v>12226</v>
      </c>
      <c r="M1121" s="15">
        <v>1</v>
      </c>
      <c r="N1121" s="15" t="s">
        <v>11222</v>
      </c>
      <c r="O1121" s="15"/>
      <c r="P1121" s="15"/>
      <c r="Q1121" s="15"/>
      <c r="R1121" s="15"/>
      <c r="S1121" s="15"/>
      <c r="T1121" s="15">
        <v>0</v>
      </c>
      <c r="U1121" s="15"/>
      <c r="V1121" s="15"/>
      <c r="W1121" s="15"/>
      <c r="X1121" s="15"/>
      <c r="Y1121" s="15"/>
      <c r="Z1121" s="15"/>
    </row>
    <row r="1122" spans="1:26" x14ac:dyDescent="0.25">
      <c r="A1122" s="15" t="s">
        <v>12548</v>
      </c>
      <c r="B1122" s="15">
        <v>1121</v>
      </c>
      <c r="C1122" s="15" t="s">
        <v>11277</v>
      </c>
      <c r="D1122" s="15" t="s">
        <v>11277</v>
      </c>
      <c r="E1122" s="15" t="s">
        <v>11</v>
      </c>
      <c r="F1122" s="15" t="s">
        <v>1683</v>
      </c>
      <c r="G1122" s="15" t="s">
        <v>12232</v>
      </c>
      <c r="H1122" s="15">
        <v>18</v>
      </c>
      <c r="I1122" s="15">
        <v>11</v>
      </c>
      <c r="J1122" s="15">
        <v>55</v>
      </c>
      <c r="K1122" s="15" t="str">
        <f t="shared" si="17"/>
        <v>anyxold</v>
      </c>
      <c r="L1122" s="15" t="s">
        <v>12226</v>
      </c>
      <c r="M1122" s="15">
        <v>1</v>
      </c>
      <c r="N1122" s="15" t="s">
        <v>11222</v>
      </c>
      <c r="O1122" s="15"/>
      <c r="P1122" s="15"/>
      <c r="Q1122" s="15"/>
      <c r="R1122" s="15"/>
      <c r="S1122" s="15"/>
      <c r="T1122" s="15">
        <v>0</v>
      </c>
      <c r="U1122" s="15"/>
      <c r="V1122" s="15"/>
      <c r="W1122" s="15"/>
      <c r="X1122" s="15"/>
      <c r="Y1122" s="15"/>
      <c r="Z1122" s="15"/>
    </row>
    <row r="1123" spans="1:26" x14ac:dyDescent="0.25">
      <c r="A1123" s="15" t="s">
        <v>12550</v>
      </c>
      <c r="B1123" s="15">
        <v>1122</v>
      </c>
      <c r="C1123" s="15" t="s">
        <v>11277</v>
      </c>
      <c r="D1123" s="15" t="s">
        <v>11277</v>
      </c>
      <c r="E1123" s="15" t="s">
        <v>11</v>
      </c>
      <c r="F1123" s="15" t="s">
        <v>1683</v>
      </c>
      <c r="G1123" s="15" t="s">
        <v>12229</v>
      </c>
      <c r="H1123" s="15">
        <v>18</v>
      </c>
      <c r="I1123" s="15">
        <v>11</v>
      </c>
      <c r="J1123" s="15">
        <v>57</v>
      </c>
      <c r="K1123" s="15" t="str">
        <f t="shared" si="17"/>
        <v>anyxold</v>
      </c>
      <c r="L1123" s="15" t="s">
        <v>14088</v>
      </c>
      <c r="M1123" s="15">
        <v>2</v>
      </c>
      <c r="N1123" s="15" t="s">
        <v>11223</v>
      </c>
      <c r="O1123" s="15"/>
      <c r="P1123" s="15"/>
      <c r="Q1123" s="15" t="s">
        <v>12227</v>
      </c>
      <c r="R1123" s="15"/>
      <c r="S1123" s="15"/>
      <c r="T1123" s="15">
        <v>0</v>
      </c>
      <c r="U1123" s="15"/>
      <c r="V1123" s="15"/>
      <c r="W1123" s="15"/>
      <c r="X1123" s="15"/>
      <c r="Y1123" s="15"/>
      <c r="Z1123" s="15"/>
    </row>
    <row r="1124" spans="1:26" x14ac:dyDescent="0.25">
      <c r="A1124" s="15" t="s">
        <v>12552</v>
      </c>
      <c r="B1124" s="15">
        <v>1123</v>
      </c>
      <c r="C1124" s="15" t="s">
        <v>11277</v>
      </c>
      <c r="D1124" s="15" t="s">
        <v>11277</v>
      </c>
      <c r="E1124" s="15" t="s">
        <v>11</v>
      </c>
      <c r="F1124" s="15" t="s">
        <v>1683</v>
      </c>
      <c r="G1124" s="15" t="s">
        <v>12236</v>
      </c>
      <c r="H1124" s="15">
        <v>18</v>
      </c>
      <c r="I1124" s="15">
        <v>11</v>
      </c>
      <c r="J1124" s="15">
        <v>57</v>
      </c>
      <c r="K1124" s="15" t="str">
        <f t="shared" si="17"/>
        <v>anyxold</v>
      </c>
      <c r="L1124" s="15" t="s">
        <v>14088</v>
      </c>
      <c r="M1124" s="15">
        <v>2</v>
      </c>
      <c r="N1124" s="15" t="s">
        <v>11223</v>
      </c>
      <c r="O1124" s="15" t="s">
        <v>14049</v>
      </c>
      <c r="P1124" s="15"/>
      <c r="Q1124" s="15" t="s">
        <v>12227</v>
      </c>
      <c r="R1124" s="15"/>
      <c r="S1124" s="15"/>
      <c r="T1124" s="15">
        <v>0</v>
      </c>
      <c r="U1124" s="15"/>
      <c r="V1124" s="15"/>
      <c r="W1124" s="15"/>
      <c r="X1124" s="15"/>
      <c r="Y1124" s="15"/>
      <c r="Z1124" s="15"/>
    </row>
    <row r="1125" spans="1:26" x14ac:dyDescent="0.25">
      <c r="A1125" s="15" t="s">
        <v>12554</v>
      </c>
      <c r="B1125" s="15">
        <v>1124</v>
      </c>
      <c r="C1125" s="15" t="s">
        <v>11277</v>
      </c>
      <c r="D1125" s="15" t="s">
        <v>11277</v>
      </c>
      <c r="E1125" s="15" t="s">
        <v>102</v>
      </c>
      <c r="F1125" s="15" t="s">
        <v>1683</v>
      </c>
      <c r="G1125" s="15" t="s">
        <v>12237</v>
      </c>
      <c r="H1125" s="15">
        <v>18</v>
      </c>
      <c r="I1125" s="15">
        <v>11</v>
      </c>
      <c r="J1125" s="15">
        <v>71</v>
      </c>
      <c r="K1125" s="15" t="str">
        <f t="shared" si="17"/>
        <v>anyxold</v>
      </c>
      <c r="L1125" s="15" t="s">
        <v>11560</v>
      </c>
      <c r="M1125" s="15">
        <v>2</v>
      </c>
      <c r="N1125" s="15" t="s">
        <v>11223</v>
      </c>
      <c r="O1125" s="15"/>
      <c r="P1125" s="15"/>
      <c r="Q1125" s="15"/>
      <c r="R1125" s="15"/>
      <c r="S1125" s="15"/>
      <c r="T1125" s="15">
        <v>0</v>
      </c>
      <c r="U1125" s="15"/>
      <c r="V1125" s="15"/>
      <c r="W1125" s="15"/>
      <c r="X1125" s="15"/>
      <c r="Y1125" s="15"/>
      <c r="Z1125" s="15"/>
    </row>
    <row r="1126" spans="1:26" x14ac:dyDescent="0.25">
      <c r="A1126" s="15" t="s">
        <v>12556</v>
      </c>
      <c r="B1126" s="15">
        <v>1125</v>
      </c>
      <c r="C1126" s="15" t="s">
        <v>11277</v>
      </c>
      <c r="D1126" s="15" t="s">
        <v>11277</v>
      </c>
      <c r="E1126" s="15" t="s">
        <v>11</v>
      </c>
      <c r="F1126" s="15" t="s">
        <v>1683</v>
      </c>
      <c r="G1126" s="15" t="s">
        <v>12238</v>
      </c>
      <c r="H1126" s="15">
        <v>18</v>
      </c>
      <c r="I1126" s="15">
        <v>11</v>
      </c>
      <c r="J1126" s="15">
        <v>60</v>
      </c>
      <c r="K1126" s="15" t="str">
        <f t="shared" si="17"/>
        <v>anyxold</v>
      </c>
      <c r="L1126" s="15" t="s">
        <v>14088</v>
      </c>
      <c r="M1126" s="15">
        <v>3</v>
      </c>
      <c r="N1126" s="15" t="s">
        <v>11223</v>
      </c>
      <c r="O1126" s="15" t="s">
        <v>14006</v>
      </c>
      <c r="P1126" s="15"/>
      <c r="Q1126" s="15" t="s">
        <v>12227</v>
      </c>
      <c r="R1126" s="15"/>
      <c r="S1126" s="15"/>
      <c r="T1126" s="15">
        <v>0</v>
      </c>
      <c r="U1126" s="15" t="s">
        <v>5893</v>
      </c>
      <c r="V1126" s="15"/>
      <c r="W1126" s="15"/>
      <c r="X1126" s="15" t="s">
        <v>5893</v>
      </c>
      <c r="Y1126" s="15"/>
      <c r="Z1126" s="15"/>
    </row>
    <row r="1127" spans="1:26" x14ac:dyDescent="0.25">
      <c r="A1127" s="15" t="s">
        <v>12558</v>
      </c>
      <c r="B1127" s="15">
        <v>1126</v>
      </c>
      <c r="C1127" s="15" t="s">
        <v>11277</v>
      </c>
      <c r="D1127" s="15" t="s">
        <v>11277</v>
      </c>
      <c r="E1127" s="15" t="s">
        <v>11</v>
      </c>
      <c r="F1127" s="15" t="s">
        <v>1681</v>
      </c>
      <c r="G1127" s="15" t="s">
        <v>12227</v>
      </c>
      <c r="H1127" s="15">
        <v>7</v>
      </c>
      <c r="I1127" s="15">
        <v>5</v>
      </c>
      <c r="J1127" s="15">
        <v>55</v>
      </c>
      <c r="K1127" s="15" t="str">
        <f t="shared" si="17"/>
        <v>halo</v>
      </c>
      <c r="L1127" s="15" t="s">
        <v>11560</v>
      </c>
      <c r="M1127" s="15">
        <v>1</v>
      </c>
      <c r="N1127" s="15" t="s">
        <v>11222</v>
      </c>
      <c r="O1127" s="15"/>
      <c r="P1127" s="15"/>
      <c r="Q1127" s="15"/>
      <c r="R1127" s="15"/>
      <c r="S1127" s="15"/>
      <c r="T1127" s="15">
        <v>0</v>
      </c>
      <c r="U1127" s="15"/>
      <c r="V1127" s="15"/>
      <c r="W1127" s="15"/>
      <c r="X1127" s="15"/>
      <c r="Y1127" s="15"/>
      <c r="Z1127" s="15"/>
    </row>
    <row r="1128" spans="1:26" x14ac:dyDescent="0.25">
      <c r="A1128" s="15" t="s">
        <v>12560</v>
      </c>
      <c r="B1128" s="15">
        <v>1127</v>
      </c>
      <c r="C1128" s="15" t="s">
        <v>11277</v>
      </c>
      <c r="D1128" s="15" t="s">
        <v>11277</v>
      </c>
      <c r="E1128" s="15" t="s">
        <v>11</v>
      </c>
      <c r="F1128" s="15" t="s">
        <v>1681</v>
      </c>
      <c r="G1128" s="15" t="s">
        <v>12233</v>
      </c>
      <c r="H1128" s="15">
        <v>7</v>
      </c>
      <c r="I1128" s="15">
        <v>5</v>
      </c>
      <c r="J1128" s="15">
        <v>55</v>
      </c>
      <c r="K1128" s="15" t="str">
        <f t="shared" si="17"/>
        <v>halo</v>
      </c>
      <c r="L1128" s="15" t="s">
        <v>12226</v>
      </c>
      <c r="M1128" s="15">
        <v>1</v>
      </c>
      <c r="N1128" s="15" t="s">
        <v>11222</v>
      </c>
      <c r="O1128" s="15"/>
      <c r="P1128" s="15"/>
      <c r="Q1128" s="15"/>
      <c r="R1128" s="15"/>
      <c r="S1128" s="15"/>
      <c r="T1128" s="15">
        <v>0</v>
      </c>
      <c r="U1128" s="15"/>
      <c r="V1128" s="15"/>
      <c r="W1128" s="15"/>
      <c r="X1128" s="15"/>
      <c r="Y1128" s="15"/>
      <c r="Z1128" s="15"/>
    </row>
    <row r="1129" spans="1:26" x14ac:dyDescent="0.25">
      <c r="A1129" s="15" t="s">
        <v>12562</v>
      </c>
      <c r="B1129" s="15">
        <v>1128</v>
      </c>
      <c r="C1129" s="15" t="s">
        <v>11277</v>
      </c>
      <c r="D1129" s="15" t="s">
        <v>11277</v>
      </c>
      <c r="E1129" s="15" t="s">
        <v>11</v>
      </c>
      <c r="F1129" s="15" t="s">
        <v>1681</v>
      </c>
      <c r="G1129" s="15" t="s">
        <v>12229</v>
      </c>
      <c r="H1129" s="15">
        <v>7</v>
      </c>
      <c r="I1129" s="15">
        <v>5</v>
      </c>
      <c r="J1129" s="15">
        <v>57</v>
      </c>
      <c r="K1129" s="15" t="str">
        <f t="shared" si="17"/>
        <v>halo</v>
      </c>
      <c r="L1129" s="15" t="s">
        <v>14088</v>
      </c>
      <c r="M1129" s="15">
        <v>2</v>
      </c>
      <c r="N1129" s="15" t="s">
        <v>11223</v>
      </c>
      <c r="O1129" s="15"/>
      <c r="P1129" s="15"/>
      <c r="Q1129" s="15" t="s">
        <v>12227</v>
      </c>
      <c r="R1129" s="15"/>
      <c r="S1129" s="15"/>
      <c r="T1129" s="15">
        <v>0</v>
      </c>
      <c r="U1129" s="15"/>
      <c r="V1129" s="15"/>
      <c r="W1129" s="15"/>
      <c r="X1129" s="15"/>
      <c r="Y1129" s="15"/>
      <c r="Z1129" s="15"/>
    </row>
    <row r="1130" spans="1:26" x14ac:dyDescent="0.25">
      <c r="A1130" s="15" t="s">
        <v>12564</v>
      </c>
      <c r="B1130" s="15">
        <v>1129</v>
      </c>
      <c r="C1130" s="15" t="s">
        <v>11277</v>
      </c>
      <c r="D1130" s="15" t="s">
        <v>11277</v>
      </c>
      <c r="E1130" s="15" t="s">
        <v>11</v>
      </c>
      <c r="F1130" s="15" t="s">
        <v>1681</v>
      </c>
      <c r="G1130" s="15" t="s">
        <v>12239</v>
      </c>
      <c r="H1130" s="15">
        <v>7</v>
      </c>
      <c r="I1130" s="15">
        <v>5</v>
      </c>
      <c r="J1130" s="15">
        <v>58</v>
      </c>
      <c r="K1130" s="15" t="str">
        <f t="shared" si="17"/>
        <v>halo</v>
      </c>
      <c r="L1130" s="15" t="s">
        <v>12226</v>
      </c>
      <c r="M1130" s="15">
        <v>2</v>
      </c>
      <c r="N1130" s="15" t="s">
        <v>11223</v>
      </c>
      <c r="O1130" s="15"/>
      <c r="P1130" s="15"/>
      <c r="Q1130" s="15"/>
      <c r="R1130" s="15"/>
      <c r="S1130" s="15"/>
      <c r="T1130" s="15">
        <v>0</v>
      </c>
      <c r="U1130" s="15"/>
      <c r="V1130" s="15"/>
      <c r="W1130" s="15"/>
      <c r="X1130" s="15"/>
      <c r="Y1130" s="15"/>
      <c r="Z1130" s="15"/>
    </row>
    <row r="1131" spans="1:26" x14ac:dyDescent="0.25">
      <c r="A1131" s="15" t="s">
        <v>12566</v>
      </c>
      <c r="B1131" s="15">
        <v>1130</v>
      </c>
      <c r="C1131" s="15" t="s">
        <v>11277</v>
      </c>
      <c r="D1131" s="15" t="s">
        <v>11277</v>
      </c>
      <c r="E1131" s="15" t="s">
        <v>11</v>
      </c>
      <c r="F1131" s="15" t="s">
        <v>1681</v>
      </c>
      <c r="G1131" s="15" t="s">
        <v>12240</v>
      </c>
      <c r="H1131" s="15">
        <v>7</v>
      </c>
      <c r="I1131" s="15">
        <v>5</v>
      </c>
      <c r="J1131" s="15">
        <v>60</v>
      </c>
      <c r="K1131" s="15" t="str">
        <f t="shared" si="17"/>
        <v>halo</v>
      </c>
      <c r="L1131" s="15" t="s">
        <v>14088</v>
      </c>
      <c r="M1131" s="15">
        <v>3</v>
      </c>
      <c r="N1131" s="15" t="s">
        <v>11223</v>
      </c>
      <c r="O1131" s="15" t="s">
        <v>14013</v>
      </c>
      <c r="P1131" s="15"/>
      <c r="Q1131" s="15" t="s">
        <v>12227</v>
      </c>
      <c r="R1131" s="15"/>
      <c r="S1131" s="15"/>
      <c r="T1131" s="15">
        <v>1</v>
      </c>
      <c r="U1131" s="15" t="s">
        <v>5893</v>
      </c>
      <c r="V1131" s="15" t="s">
        <v>5892</v>
      </c>
      <c r="W1131" s="15"/>
      <c r="X1131" s="15"/>
      <c r="Y1131" s="15"/>
      <c r="Z1131" s="15"/>
    </row>
    <row r="1132" spans="1:26" x14ac:dyDescent="0.25">
      <c r="A1132" s="15" t="s">
        <v>12568</v>
      </c>
      <c r="B1132" s="15">
        <v>1131</v>
      </c>
      <c r="C1132" s="15" t="s">
        <v>11277</v>
      </c>
      <c r="D1132" s="15" t="s">
        <v>11277</v>
      </c>
      <c r="E1132" s="15" t="s">
        <v>11</v>
      </c>
      <c r="F1132" s="15" t="s">
        <v>1681</v>
      </c>
      <c r="G1132" s="15" t="s">
        <v>12241</v>
      </c>
      <c r="H1132" s="15">
        <v>7</v>
      </c>
      <c r="I1132" s="15">
        <v>5</v>
      </c>
      <c r="J1132" s="15">
        <v>60</v>
      </c>
      <c r="K1132" s="15" t="str">
        <f t="shared" si="17"/>
        <v>halo</v>
      </c>
      <c r="L1132" s="15" t="s">
        <v>12226</v>
      </c>
      <c r="M1132" s="15">
        <v>1</v>
      </c>
      <c r="N1132" s="15" t="s">
        <v>11222</v>
      </c>
      <c r="O1132" s="15"/>
      <c r="P1132" s="15"/>
      <c r="Q1132" s="15"/>
      <c r="R1132" s="15"/>
      <c r="S1132" s="15"/>
      <c r="T1132" s="15">
        <v>0</v>
      </c>
      <c r="U1132" s="15" t="s">
        <v>5893</v>
      </c>
      <c r="V1132" s="15" t="s">
        <v>5892</v>
      </c>
      <c r="W1132" s="15"/>
      <c r="X1132" s="15"/>
      <c r="Y1132" s="15"/>
      <c r="Z1132" s="15"/>
    </row>
    <row r="1133" spans="1:26" x14ac:dyDescent="0.25">
      <c r="A1133" s="15" t="s">
        <v>12570</v>
      </c>
      <c r="B1133" s="15">
        <v>1132</v>
      </c>
      <c r="C1133" s="15" t="s">
        <v>11277</v>
      </c>
      <c r="D1133" s="15" t="s">
        <v>11277</v>
      </c>
      <c r="E1133" s="15" t="s">
        <v>11</v>
      </c>
      <c r="F1133" s="15" t="s">
        <v>1681</v>
      </c>
      <c r="G1133" s="15" t="s">
        <v>12242</v>
      </c>
      <c r="H1133" s="15">
        <v>7</v>
      </c>
      <c r="I1133" s="15">
        <v>5</v>
      </c>
      <c r="J1133" s="15">
        <v>60</v>
      </c>
      <c r="K1133" s="15" t="str">
        <f t="shared" si="17"/>
        <v>halo</v>
      </c>
      <c r="L1133" s="15" t="s">
        <v>14088</v>
      </c>
      <c r="M1133" s="15">
        <v>3</v>
      </c>
      <c r="N1133" s="15" t="s">
        <v>11223</v>
      </c>
      <c r="O1133" s="15" t="s">
        <v>14006</v>
      </c>
      <c r="P1133" s="15"/>
      <c r="Q1133" s="15" t="s">
        <v>12227</v>
      </c>
      <c r="R1133" s="15"/>
      <c r="S1133" s="15"/>
      <c r="T1133" s="15">
        <v>0</v>
      </c>
      <c r="U1133" s="15" t="s">
        <v>5908</v>
      </c>
      <c r="V1133" s="15" t="s">
        <v>5914</v>
      </c>
      <c r="W1133" s="15" t="s">
        <v>6034</v>
      </c>
      <c r="X1133" s="15" t="s">
        <v>5893</v>
      </c>
      <c r="Y1133" s="15" t="s">
        <v>5892</v>
      </c>
      <c r="Z1133" s="15"/>
    </row>
    <row r="1134" spans="1:26" x14ac:dyDescent="0.25">
      <c r="A1134" s="15" t="s">
        <v>12572</v>
      </c>
      <c r="B1134" s="15">
        <v>1133</v>
      </c>
      <c r="C1134" s="15" t="s">
        <v>11277</v>
      </c>
      <c r="D1134" s="15" t="s">
        <v>11277</v>
      </c>
      <c r="E1134" s="15" t="s">
        <v>11</v>
      </c>
      <c r="F1134" s="15" t="s">
        <v>1681</v>
      </c>
      <c r="G1134" s="15" t="s">
        <v>12243</v>
      </c>
      <c r="H1134" s="15">
        <v>7</v>
      </c>
      <c r="I1134" s="15">
        <v>5</v>
      </c>
      <c r="J1134" s="15">
        <v>60</v>
      </c>
      <c r="K1134" s="15" t="str">
        <f t="shared" si="17"/>
        <v>halo</v>
      </c>
      <c r="L1134" s="15" t="s">
        <v>14088</v>
      </c>
      <c r="M1134" s="15">
        <v>3</v>
      </c>
      <c r="N1134" s="15" t="s">
        <v>11223</v>
      </c>
      <c r="O1134" s="15" t="s">
        <v>14016</v>
      </c>
      <c r="P1134" s="15" t="s">
        <v>15157</v>
      </c>
      <c r="Q1134" s="15" t="s">
        <v>12227</v>
      </c>
      <c r="R1134" s="15"/>
      <c r="S1134" s="15"/>
      <c r="T1134" s="15">
        <v>0</v>
      </c>
      <c r="U1134" s="15" t="s">
        <v>5893</v>
      </c>
      <c r="V1134" s="15" t="s">
        <v>5892</v>
      </c>
      <c r="W1134" s="15"/>
      <c r="X1134" s="15"/>
      <c r="Y1134" s="15"/>
      <c r="Z1134" s="15"/>
    </row>
    <row r="1135" spans="1:26" x14ac:dyDescent="0.25">
      <c r="A1135" s="15" t="s">
        <v>12574</v>
      </c>
      <c r="B1135" s="15">
        <v>1134</v>
      </c>
      <c r="C1135" s="15" t="s">
        <v>11277</v>
      </c>
      <c r="D1135" s="15" t="s">
        <v>11277</v>
      </c>
      <c r="E1135" s="15" t="s">
        <v>11</v>
      </c>
      <c r="F1135" s="15" t="s">
        <v>15158</v>
      </c>
      <c r="G1135" s="15" t="s">
        <v>12135</v>
      </c>
      <c r="H1135" s="15">
        <v>23</v>
      </c>
      <c r="I1135" s="15">
        <v>23</v>
      </c>
      <c r="J1135" s="15">
        <v>53</v>
      </c>
      <c r="K1135" s="15" t="str">
        <f t="shared" si="17"/>
        <v>thaliakriver</v>
      </c>
      <c r="L1135" s="15" t="s">
        <v>11573</v>
      </c>
      <c r="M1135" s="15">
        <v>1</v>
      </c>
      <c r="N1135" s="15" t="s">
        <v>11222</v>
      </c>
      <c r="O1135" s="15"/>
      <c r="P1135" s="15"/>
      <c r="Q1135" s="15"/>
      <c r="R1135" s="15"/>
      <c r="S1135" s="15"/>
      <c r="T1135" s="15">
        <v>0</v>
      </c>
      <c r="U1135" s="15"/>
      <c r="V1135" s="15"/>
      <c r="W1135" s="15"/>
      <c r="X1135" s="15"/>
      <c r="Y1135" s="15"/>
      <c r="Z1135" s="15"/>
    </row>
    <row r="1136" spans="1:26" x14ac:dyDescent="0.25">
      <c r="A1136" s="15" t="s">
        <v>12576</v>
      </c>
      <c r="B1136" s="15">
        <v>1135</v>
      </c>
      <c r="C1136" s="15" t="s">
        <v>11277</v>
      </c>
      <c r="D1136" s="15" t="s">
        <v>11277</v>
      </c>
      <c r="E1136" s="15" t="s">
        <v>11</v>
      </c>
      <c r="F1136" s="15" t="s">
        <v>15158</v>
      </c>
      <c r="G1136" s="15" t="s">
        <v>12244</v>
      </c>
      <c r="H1136" s="15">
        <v>23</v>
      </c>
      <c r="I1136" s="15">
        <v>23</v>
      </c>
      <c r="J1136" s="15">
        <v>55</v>
      </c>
      <c r="K1136" s="15" t="str">
        <f t="shared" si="17"/>
        <v>thaliakriver</v>
      </c>
      <c r="L1136" s="15" t="s">
        <v>11588</v>
      </c>
      <c r="M1136" s="15">
        <v>2</v>
      </c>
      <c r="N1136" s="15" t="s">
        <v>11223</v>
      </c>
      <c r="O1136" s="15"/>
      <c r="P1136" s="15"/>
      <c r="Q1136" s="15" t="s">
        <v>12244</v>
      </c>
      <c r="R1136" s="15"/>
      <c r="S1136" s="15"/>
      <c r="T1136" s="15">
        <v>0</v>
      </c>
      <c r="U1136" s="15"/>
      <c r="V1136" s="15"/>
      <c r="W1136" s="15"/>
      <c r="X1136" s="15"/>
      <c r="Y1136" s="15"/>
      <c r="Z1136" s="15"/>
    </row>
    <row r="1137" spans="1:26" x14ac:dyDescent="0.25">
      <c r="A1137" s="15" t="s">
        <v>12578</v>
      </c>
      <c r="B1137" s="15">
        <v>1136</v>
      </c>
      <c r="C1137" s="15" t="s">
        <v>11277</v>
      </c>
      <c r="D1137" s="15" t="s">
        <v>11277</v>
      </c>
      <c r="E1137" s="15" t="s">
        <v>11</v>
      </c>
      <c r="F1137" s="15" t="s">
        <v>15158</v>
      </c>
      <c r="G1137" s="15" t="s">
        <v>12245</v>
      </c>
      <c r="H1137" s="15">
        <v>23</v>
      </c>
      <c r="I1137" s="15">
        <v>23</v>
      </c>
      <c r="J1137" s="15">
        <v>57</v>
      </c>
      <c r="K1137" s="15" t="str">
        <f t="shared" si="17"/>
        <v>thaliakriver</v>
      </c>
      <c r="L1137" s="15" t="s">
        <v>11602</v>
      </c>
      <c r="M1137" s="15">
        <v>1</v>
      </c>
      <c r="N1137" s="15" t="s">
        <v>11222</v>
      </c>
      <c r="O1137" s="15"/>
      <c r="P1137" s="15"/>
      <c r="Q1137" s="15"/>
      <c r="R1137" s="15"/>
      <c r="S1137" s="15"/>
      <c r="T1137" s="15">
        <v>0</v>
      </c>
      <c r="U1137" s="15"/>
      <c r="V1137" s="15"/>
      <c r="W1137" s="15"/>
      <c r="X1137" s="15"/>
      <c r="Y1137" s="15"/>
      <c r="Z1137" s="15"/>
    </row>
    <row r="1138" spans="1:26" x14ac:dyDescent="0.25">
      <c r="A1138" s="15" t="s">
        <v>12580</v>
      </c>
      <c r="B1138" s="15">
        <v>1137</v>
      </c>
      <c r="C1138" s="15" t="s">
        <v>11277</v>
      </c>
      <c r="D1138" s="15" t="s">
        <v>11277</v>
      </c>
      <c r="E1138" s="15" t="s">
        <v>11</v>
      </c>
      <c r="F1138" s="15" t="s">
        <v>15158</v>
      </c>
      <c r="G1138" s="15" t="s">
        <v>12246</v>
      </c>
      <c r="H1138" s="15">
        <v>23</v>
      </c>
      <c r="I1138" s="15">
        <v>23</v>
      </c>
      <c r="J1138" s="15">
        <v>55</v>
      </c>
      <c r="K1138" s="15" t="str">
        <f t="shared" si="17"/>
        <v>thaliakriver</v>
      </c>
      <c r="L1138" s="15" t="s">
        <v>11592</v>
      </c>
      <c r="M1138" s="15">
        <v>1</v>
      </c>
      <c r="N1138" s="15" t="s">
        <v>11222</v>
      </c>
      <c r="O1138" s="15"/>
      <c r="P1138" s="15"/>
      <c r="Q1138" s="15"/>
      <c r="R1138" s="15"/>
      <c r="S1138" s="15"/>
      <c r="T1138" s="15">
        <v>0</v>
      </c>
      <c r="U1138" s="15"/>
      <c r="V1138" s="15"/>
      <c r="W1138" s="15"/>
      <c r="X1138" s="15"/>
      <c r="Y1138" s="15"/>
      <c r="Z1138" s="15"/>
    </row>
    <row r="1139" spans="1:26" x14ac:dyDescent="0.25">
      <c r="A1139" s="15" t="s">
        <v>12582</v>
      </c>
      <c r="B1139" s="15">
        <v>1138</v>
      </c>
      <c r="C1139" s="15" t="s">
        <v>11277</v>
      </c>
      <c r="D1139" s="15" t="s">
        <v>11277</v>
      </c>
      <c r="E1139" s="15" t="s">
        <v>11</v>
      </c>
      <c r="F1139" s="15" t="s">
        <v>15158</v>
      </c>
      <c r="G1139" s="15" t="s">
        <v>12247</v>
      </c>
      <c r="H1139" s="15">
        <v>23</v>
      </c>
      <c r="I1139" s="15">
        <v>23</v>
      </c>
      <c r="J1139" s="15">
        <v>57</v>
      </c>
      <c r="K1139" s="15" t="str">
        <f t="shared" si="17"/>
        <v>thaliakriver</v>
      </c>
      <c r="L1139" s="15" t="s">
        <v>11592</v>
      </c>
      <c r="M1139" s="15">
        <v>1</v>
      </c>
      <c r="N1139" s="15" t="s">
        <v>11222</v>
      </c>
      <c r="O1139" s="15"/>
      <c r="P1139" s="15"/>
      <c r="Q1139" s="15" t="s">
        <v>12135</v>
      </c>
      <c r="R1139" s="15"/>
      <c r="S1139" s="15"/>
      <c r="T1139" s="15">
        <v>0</v>
      </c>
      <c r="U1139" s="15"/>
      <c r="V1139" s="15"/>
      <c r="W1139" s="15"/>
      <c r="X1139" s="15"/>
      <c r="Y1139" s="15"/>
      <c r="Z1139" s="15"/>
    </row>
    <row r="1140" spans="1:26" x14ac:dyDescent="0.25">
      <c r="A1140" s="15" t="s">
        <v>12584</v>
      </c>
      <c r="B1140" s="15">
        <v>1139</v>
      </c>
      <c r="C1140" s="15" t="s">
        <v>11277</v>
      </c>
      <c r="D1140" s="15" t="s">
        <v>11277</v>
      </c>
      <c r="E1140" s="15" t="s">
        <v>11</v>
      </c>
      <c r="F1140" s="15" t="s">
        <v>15158</v>
      </c>
      <c r="G1140" s="15" t="s">
        <v>12248</v>
      </c>
      <c r="H1140" s="15">
        <v>23</v>
      </c>
      <c r="I1140" s="15">
        <v>23</v>
      </c>
      <c r="J1140" s="15">
        <v>58</v>
      </c>
      <c r="K1140" s="15" t="str">
        <f t="shared" si="17"/>
        <v>thaliakriver</v>
      </c>
      <c r="L1140" s="15" t="s">
        <v>11602</v>
      </c>
      <c r="M1140" s="15">
        <v>2</v>
      </c>
      <c r="N1140" s="15" t="s">
        <v>11223</v>
      </c>
      <c r="O1140" s="15"/>
      <c r="P1140" s="15"/>
      <c r="Q1140" s="15" t="s">
        <v>12135</v>
      </c>
      <c r="R1140" s="15" t="s">
        <v>12244</v>
      </c>
      <c r="S1140" s="15"/>
      <c r="T1140" s="15">
        <v>0</v>
      </c>
      <c r="U1140" s="15"/>
      <c r="V1140" s="15"/>
      <c r="W1140" s="15"/>
      <c r="X1140" s="15"/>
      <c r="Y1140" s="15"/>
      <c r="Z1140" s="15"/>
    </row>
    <row r="1141" spans="1:26" x14ac:dyDescent="0.25">
      <c r="A1141" s="15" t="s">
        <v>12586</v>
      </c>
      <c r="B1141" s="15">
        <v>1140</v>
      </c>
      <c r="C1141" s="15" t="s">
        <v>11277</v>
      </c>
      <c r="D1141" s="15" t="s">
        <v>11277</v>
      </c>
      <c r="E1141" s="15" t="s">
        <v>11</v>
      </c>
      <c r="F1141" s="15" t="s">
        <v>15158</v>
      </c>
      <c r="G1141" s="15" t="s">
        <v>12249</v>
      </c>
      <c r="H1141" s="15">
        <v>23</v>
      </c>
      <c r="I1141" s="15">
        <v>23</v>
      </c>
      <c r="J1141" s="15">
        <v>60</v>
      </c>
      <c r="K1141" s="15" t="str">
        <f t="shared" si="17"/>
        <v>thaliakriver</v>
      </c>
      <c r="L1141" s="15" t="s">
        <v>11588</v>
      </c>
      <c r="M1141" s="15">
        <v>3</v>
      </c>
      <c r="N1141" s="15" t="s">
        <v>11223</v>
      </c>
      <c r="O1141" s="15"/>
      <c r="P1141" s="15"/>
      <c r="Q1141" s="15" t="s">
        <v>12244</v>
      </c>
      <c r="R1141" s="15"/>
      <c r="S1141" s="15"/>
      <c r="T1141" s="15">
        <v>0</v>
      </c>
      <c r="U1141" s="15"/>
      <c r="V1141" s="15"/>
      <c r="W1141" s="15"/>
      <c r="X1141" s="15"/>
      <c r="Y1141" s="15"/>
      <c r="Z1141" s="15"/>
    </row>
    <row r="1142" spans="1:26" x14ac:dyDescent="0.25">
      <c r="A1142" s="15" t="s">
        <v>12588</v>
      </c>
      <c r="B1142" s="15">
        <v>1141</v>
      </c>
      <c r="C1142" s="15" t="s">
        <v>11277</v>
      </c>
      <c r="D1142" s="15" t="s">
        <v>11277</v>
      </c>
      <c r="E1142" s="15" t="s">
        <v>102</v>
      </c>
      <c r="F1142" s="15" t="s">
        <v>15158</v>
      </c>
      <c r="G1142" s="15" t="s">
        <v>12250</v>
      </c>
      <c r="H1142" s="15">
        <v>23</v>
      </c>
      <c r="I1142" s="15">
        <v>23</v>
      </c>
      <c r="J1142" s="15">
        <v>80</v>
      </c>
      <c r="K1142" s="15" t="str">
        <f t="shared" si="17"/>
        <v>thaliakriver</v>
      </c>
      <c r="L1142" s="15" t="s">
        <v>11592</v>
      </c>
      <c r="M1142" s="15">
        <v>1</v>
      </c>
      <c r="N1142" s="15" t="s">
        <v>11222</v>
      </c>
      <c r="O1142" s="15"/>
      <c r="P1142" s="15"/>
      <c r="Q1142" s="15"/>
      <c r="R1142" s="15"/>
      <c r="S1142" s="15"/>
      <c r="T1142" s="15">
        <v>0</v>
      </c>
      <c r="U1142" s="15"/>
      <c r="V1142" s="15"/>
      <c r="W1142" s="15"/>
      <c r="X1142" s="15"/>
      <c r="Y1142" s="15"/>
      <c r="Z1142" s="15"/>
    </row>
    <row r="1143" spans="1:26" x14ac:dyDescent="0.25">
      <c r="A1143" s="15" t="s">
        <v>12590</v>
      </c>
      <c r="B1143" s="15">
        <v>1142</v>
      </c>
      <c r="C1143" s="15" t="s">
        <v>11277</v>
      </c>
      <c r="D1143" s="15" t="s">
        <v>11277</v>
      </c>
      <c r="E1143" s="15" t="s">
        <v>11</v>
      </c>
      <c r="F1143" s="15" t="s">
        <v>15158</v>
      </c>
      <c r="G1143" s="15" t="s">
        <v>12251</v>
      </c>
      <c r="H1143" s="15">
        <v>23</v>
      </c>
      <c r="I1143" s="15">
        <v>23</v>
      </c>
      <c r="J1143" s="15">
        <v>60</v>
      </c>
      <c r="K1143" s="15" t="str">
        <f t="shared" si="17"/>
        <v>thaliakriver</v>
      </c>
      <c r="L1143" s="15" t="s">
        <v>14088</v>
      </c>
      <c r="M1143" s="15">
        <v>3</v>
      </c>
      <c r="N1143" s="15" t="s">
        <v>11223</v>
      </c>
      <c r="O1143" s="15"/>
      <c r="P1143" s="15"/>
      <c r="Q1143" s="15" t="s">
        <v>12244</v>
      </c>
      <c r="R1143" s="15"/>
      <c r="S1143" s="15"/>
      <c r="T1143" s="15">
        <v>0</v>
      </c>
      <c r="U1143" s="15"/>
      <c r="V1143" s="15"/>
      <c r="W1143" s="15"/>
      <c r="X1143" s="15"/>
      <c r="Y1143" s="15"/>
      <c r="Z1143" s="15"/>
    </row>
    <row r="1144" spans="1:26" x14ac:dyDescent="0.25">
      <c r="A1144" s="15" t="s">
        <v>12592</v>
      </c>
      <c r="B1144" s="15">
        <v>1143</v>
      </c>
      <c r="C1144" s="15" t="s">
        <v>11277</v>
      </c>
      <c r="D1144" s="15" t="s">
        <v>11277</v>
      </c>
      <c r="E1144" s="15" t="s">
        <v>11</v>
      </c>
      <c r="F1144" s="15" t="s">
        <v>1696</v>
      </c>
      <c r="G1144" s="15" t="s">
        <v>12209</v>
      </c>
      <c r="H1144" s="15">
        <v>11</v>
      </c>
      <c r="I1144" s="15">
        <v>24</v>
      </c>
      <c r="J1144" s="15">
        <v>52</v>
      </c>
      <c r="K1144" s="15" t="str">
        <f t="shared" si="17"/>
        <v>quickspilldelta</v>
      </c>
      <c r="L1144" s="15" t="s">
        <v>11573</v>
      </c>
      <c r="M1144" s="15">
        <v>1</v>
      </c>
      <c r="N1144" s="15" t="s">
        <v>11222</v>
      </c>
      <c r="O1144" s="15"/>
      <c r="P1144" s="15"/>
      <c r="Q1144" s="15"/>
      <c r="R1144" s="15"/>
      <c r="S1144" s="15"/>
      <c r="T1144" s="15">
        <v>0</v>
      </c>
      <c r="U1144" s="15"/>
      <c r="V1144" s="15"/>
      <c r="W1144" s="15"/>
      <c r="X1144" s="15"/>
      <c r="Y1144" s="15"/>
      <c r="Z1144" s="15"/>
    </row>
    <row r="1145" spans="1:26" x14ac:dyDescent="0.25">
      <c r="A1145" s="15" t="s">
        <v>12594</v>
      </c>
      <c r="B1145" s="15">
        <v>1144</v>
      </c>
      <c r="C1145" s="15" t="s">
        <v>11277</v>
      </c>
      <c r="D1145" s="15" t="s">
        <v>11277</v>
      </c>
      <c r="E1145" s="15" t="s">
        <v>11</v>
      </c>
      <c r="F1145" s="15" t="s">
        <v>1696</v>
      </c>
      <c r="G1145" s="15" t="s">
        <v>12137</v>
      </c>
      <c r="H1145" s="15">
        <v>11</v>
      </c>
      <c r="I1145" s="15">
        <v>24</v>
      </c>
      <c r="J1145" s="15">
        <v>55</v>
      </c>
      <c r="K1145" s="15" t="str">
        <f t="shared" si="17"/>
        <v>quickspilldelta</v>
      </c>
      <c r="L1145" s="15" t="s">
        <v>11588</v>
      </c>
      <c r="M1145" s="15">
        <v>1</v>
      </c>
      <c r="N1145" s="15" t="s">
        <v>11222</v>
      </c>
      <c r="O1145" s="15"/>
      <c r="P1145" s="15"/>
      <c r="Q1145" s="15" t="s">
        <v>12209</v>
      </c>
      <c r="R1145" s="15" t="s">
        <v>12135</v>
      </c>
      <c r="S1145" s="15"/>
      <c r="T1145" s="15">
        <v>0</v>
      </c>
      <c r="U1145" s="15"/>
      <c r="V1145" s="15"/>
      <c r="W1145" s="15"/>
      <c r="X1145" s="15"/>
      <c r="Y1145" s="15"/>
      <c r="Z1145" s="15"/>
    </row>
    <row r="1146" spans="1:26" x14ac:dyDescent="0.25">
      <c r="A1146" s="15" t="s">
        <v>12596</v>
      </c>
      <c r="B1146" s="15">
        <v>1145</v>
      </c>
      <c r="C1146" s="15" t="s">
        <v>11277</v>
      </c>
      <c r="D1146" s="15" t="s">
        <v>11277</v>
      </c>
      <c r="E1146" s="15" t="s">
        <v>11</v>
      </c>
      <c r="F1146" s="15" t="s">
        <v>1696</v>
      </c>
      <c r="G1146" s="15" t="s">
        <v>12135</v>
      </c>
      <c r="H1146" s="15">
        <v>11</v>
      </c>
      <c r="I1146" s="15">
        <v>24</v>
      </c>
      <c r="J1146" s="15">
        <v>53</v>
      </c>
      <c r="K1146" s="15" t="str">
        <f t="shared" si="17"/>
        <v>quickspilldelta</v>
      </c>
      <c r="L1146" s="15" t="s">
        <v>11562</v>
      </c>
      <c r="M1146" s="15">
        <v>1</v>
      </c>
      <c r="N1146" s="15" t="s">
        <v>11222</v>
      </c>
      <c r="O1146" s="15"/>
      <c r="P1146" s="15"/>
      <c r="Q1146" s="15"/>
      <c r="R1146" s="15"/>
      <c r="S1146" s="15"/>
      <c r="T1146" s="15">
        <v>0</v>
      </c>
      <c r="U1146" s="15"/>
      <c r="V1146" s="15"/>
      <c r="W1146" s="15"/>
      <c r="X1146" s="15"/>
      <c r="Y1146" s="15"/>
      <c r="Z1146" s="15"/>
    </row>
    <row r="1147" spans="1:26" x14ac:dyDescent="0.25">
      <c r="A1147" s="15" t="s">
        <v>12598</v>
      </c>
      <c r="B1147" s="15">
        <v>1146</v>
      </c>
      <c r="C1147" s="15" t="s">
        <v>11277</v>
      </c>
      <c r="D1147" s="15" t="s">
        <v>11277</v>
      </c>
      <c r="E1147" s="15" t="s">
        <v>11</v>
      </c>
      <c r="F1147" s="15" t="s">
        <v>1696</v>
      </c>
      <c r="G1147" s="15" t="s">
        <v>12142</v>
      </c>
      <c r="H1147" s="15">
        <v>11</v>
      </c>
      <c r="I1147" s="15">
        <v>24</v>
      </c>
      <c r="J1147" s="15">
        <v>59</v>
      </c>
      <c r="K1147" s="15" t="str">
        <f t="shared" si="17"/>
        <v>quickspilldelta</v>
      </c>
      <c r="L1147" s="15" t="s">
        <v>11564</v>
      </c>
      <c r="M1147" s="15">
        <v>2</v>
      </c>
      <c r="N1147" s="15" t="s">
        <v>11223</v>
      </c>
      <c r="O1147" s="15"/>
      <c r="P1147" s="15"/>
      <c r="Q1147" s="15" t="s">
        <v>12209</v>
      </c>
      <c r="R1147" s="15" t="s">
        <v>12137</v>
      </c>
      <c r="S1147" s="15" t="s">
        <v>12135</v>
      </c>
      <c r="T1147" s="15">
        <v>0</v>
      </c>
      <c r="U1147" s="15"/>
      <c r="V1147" s="15"/>
      <c r="W1147" s="15"/>
      <c r="X1147" s="15"/>
      <c r="Y1147" s="15"/>
      <c r="Z1147" s="15"/>
    </row>
    <row r="1148" spans="1:26" x14ac:dyDescent="0.25">
      <c r="A1148" s="15" t="s">
        <v>12600</v>
      </c>
      <c r="B1148" s="15">
        <v>1147</v>
      </c>
      <c r="C1148" s="15" t="s">
        <v>11277</v>
      </c>
      <c r="D1148" s="15" t="s">
        <v>11277</v>
      </c>
      <c r="E1148" s="15" t="s">
        <v>11</v>
      </c>
      <c r="F1148" s="15" t="s">
        <v>1696</v>
      </c>
      <c r="G1148" s="15" t="s">
        <v>12252</v>
      </c>
      <c r="H1148" s="15">
        <v>11</v>
      </c>
      <c r="I1148" s="15">
        <v>24</v>
      </c>
      <c r="J1148" s="15">
        <v>57</v>
      </c>
      <c r="K1148" s="15" t="str">
        <f t="shared" si="17"/>
        <v>quickspilldelta</v>
      </c>
      <c r="L1148" s="15" t="s">
        <v>11562</v>
      </c>
      <c r="M1148" s="15">
        <v>2</v>
      </c>
      <c r="N1148" s="15" t="s">
        <v>11223</v>
      </c>
      <c r="O1148" s="15"/>
      <c r="P1148" s="15"/>
      <c r="Q1148" s="15" t="s">
        <v>12135</v>
      </c>
      <c r="R1148" s="15"/>
      <c r="S1148" s="15"/>
      <c r="T1148" s="15">
        <v>0</v>
      </c>
      <c r="U1148" s="15"/>
      <c r="V1148" s="15"/>
      <c r="W1148" s="15"/>
      <c r="X1148" s="15"/>
      <c r="Y1148" s="15"/>
      <c r="Z1148" s="15"/>
    </row>
    <row r="1149" spans="1:26" x14ac:dyDescent="0.25">
      <c r="A1149" s="15" t="s">
        <v>12602</v>
      </c>
      <c r="B1149" s="15">
        <v>1148</v>
      </c>
      <c r="C1149" s="15" t="s">
        <v>11277</v>
      </c>
      <c r="D1149" s="15" t="s">
        <v>11277</v>
      </c>
      <c r="E1149" s="15" t="s">
        <v>11</v>
      </c>
      <c r="F1149" s="15" t="s">
        <v>1696</v>
      </c>
      <c r="G1149" s="15" t="s">
        <v>12253</v>
      </c>
      <c r="H1149" s="15">
        <v>11</v>
      </c>
      <c r="I1149" s="15">
        <v>24</v>
      </c>
      <c r="J1149" s="15">
        <v>55</v>
      </c>
      <c r="K1149" s="15" t="str">
        <f t="shared" si="17"/>
        <v>quickspilldelta</v>
      </c>
      <c r="L1149" s="15" t="s">
        <v>11564</v>
      </c>
      <c r="M1149" s="15">
        <v>2</v>
      </c>
      <c r="N1149" s="15" t="s">
        <v>11223</v>
      </c>
      <c r="O1149" s="15"/>
      <c r="P1149" s="15"/>
      <c r="Q1149" s="15" t="s">
        <v>12137</v>
      </c>
      <c r="R1149" s="15"/>
      <c r="S1149" s="15"/>
      <c r="T1149" s="15">
        <v>0</v>
      </c>
      <c r="U1149" s="15"/>
      <c r="V1149" s="15"/>
      <c r="W1149" s="15"/>
      <c r="X1149" s="15"/>
      <c r="Y1149" s="15"/>
      <c r="Z1149" s="15"/>
    </row>
    <row r="1150" spans="1:26" x14ac:dyDescent="0.25">
      <c r="A1150" s="15" t="s">
        <v>12604</v>
      </c>
      <c r="B1150" s="15">
        <v>1149</v>
      </c>
      <c r="C1150" s="15" t="s">
        <v>11277</v>
      </c>
      <c r="D1150" s="15" t="s">
        <v>11277</v>
      </c>
      <c r="E1150" s="15" t="s">
        <v>11</v>
      </c>
      <c r="F1150" s="15" t="s">
        <v>1696</v>
      </c>
      <c r="G1150" s="15" t="s">
        <v>12254</v>
      </c>
      <c r="H1150" s="15">
        <v>11</v>
      </c>
      <c r="I1150" s="15">
        <v>24</v>
      </c>
      <c r="J1150" s="15">
        <v>60</v>
      </c>
      <c r="K1150" s="15" t="str">
        <f t="shared" si="17"/>
        <v>quickspilldelta</v>
      </c>
      <c r="L1150" s="15" t="s">
        <v>11562</v>
      </c>
      <c r="M1150" s="15">
        <v>1</v>
      </c>
      <c r="N1150" s="15" t="s">
        <v>11222</v>
      </c>
      <c r="O1150" s="15"/>
      <c r="P1150" s="15"/>
      <c r="Q1150" s="15"/>
      <c r="R1150" s="15"/>
      <c r="S1150" s="15"/>
      <c r="T1150" s="15">
        <v>0</v>
      </c>
      <c r="U1150" s="15"/>
      <c r="V1150" s="15"/>
      <c r="W1150" s="15"/>
      <c r="X1150" s="15"/>
      <c r="Y1150" s="15"/>
      <c r="Z1150" s="15"/>
    </row>
    <row r="1151" spans="1:26" x14ac:dyDescent="0.25">
      <c r="A1151" s="15" t="s">
        <v>12606</v>
      </c>
      <c r="B1151" s="15">
        <v>1150</v>
      </c>
      <c r="C1151" s="15" t="s">
        <v>11277</v>
      </c>
      <c r="D1151" s="15" t="s">
        <v>11277</v>
      </c>
      <c r="E1151" s="15" t="s">
        <v>102</v>
      </c>
      <c r="F1151" s="15" t="s">
        <v>1696</v>
      </c>
      <c r="G1151" s="15" t="s">
        <v>12255</v>
      </c>
      <c r="H1151" s="15">
        <v>11</v>
      </c>
      <c r="I1151" s="15">
        <v>24</v>
      </c>
      <c r="J1151" s="15">
        <v>71</v>
      </c>
      <c r="K1151" s="15" t="str">
        <f t="shared" si="17"/>
        <v>quickspilldelta</v>
      </c>
      <c r="L1151" s="15" t="s">
        <v>11560</v>
      </c>
      <c r="M1151" s="15">
        <v>1</v>
      </c>
      <c r="N1151" s="15" t="s">
        <v>11222</v>
      </c>
      <c r="O1151" s="15"/>
      <c r="P1151" s="15"/>
      <c r="Q1151" s="15"/>
      <c r="R1151" s="15"/>
      <c r="S1151" s="15"/>
      <c r="T1151" s="15">
        <v>0</v>
      </c>
      <c r="U1151" s="15"/>
      <c r="V1151" s="15"/>
      <c r="W1151" s="15"/>
      <c r="X1151" s="15"/>
      <c r="Y1151" s="15"/>
      <c r="Z1151" s="15"/>
    </row>
    <row r="1152" spans="1:26" x14ac:dyDescent="0.25">
      <c r="A1152" s="15" t="s">
        <v>12608</v>
      </c>
      <c r="B1152" s="15">
        <v>1151</v>
      </c>
      <c r="C1152" s="15" t="s">
        <v>11277</v>
      </c>
      <c r="D1152" s="15" t="s">
        <v>11277</v>
      </c>
      <c r="E1152" s="15" t="s">
        <v>11</v>
      </c>
      <c r="F1152" s="15" t="s">
        <v>1696</v>
      </c>
      <c r="G1152" s="15" t="s">
        <v>12256</v>
      </c>
      <c r="H1152" s="15">
        <v>11</v>
      </c>
      <c r="I1152" s="15">
        <v>24</v>
      </c>
      <c r="J1152" s="15">
        <v>60</v>
      </c>
      <c r="K1152" s="15" t="str">
        <f t="shared" si="17"/>
        <v>quickspilldelta</v>
      </c>
      <c r="L1152" s="15" t="s">
        <v>14088</v>
      </c>
      <c r="M1152" s="15">
        <v>3</v>
      </c>
      <c r="N1152" s="15" t="s">
        <v>11223</v>
      </c>
      <c r="O1152" s="15" t="s">
        <v>14066</v>
      </c>
      <c r="P1152" s="15"/>
      <c r="Q1152" s="15" t="s">
        <v>12135</v>
      </c>
      <c r="R1152" s="15"/>
      <c r="S1152" s="15"/>
      <c r="T1152" s="15">
        <v>0</v>
      </c>
      <c r="U1152" s="15" t="s">
        <v>5893</v>
      </c>
      <c r="V1152" s="15"/>
      <c r="W1152" s="15"/>
      <c r="X1152" s="15"/>
      <c r="Y1152" s="15"/>
      <c r="Z1152" s="15"/>
    </row>
    <row r="1153" spans="1:26" x14ac:dyDescent="0.25">
      <c r="A1153" s="15" t="s">
        <v>12610</v>
      </c>
      <c r="B1153" s="15">
        <v>1152</v>
      </c>
      <c r="C1153" s="15" t="s">
        <v>11277</v>
      </c>
      <c r="D1153" s="15" t="s">
        <v>11277</v>
      </c>
      <c r="E1153" s="15" t="s">
        <v>11</v>
      </c>
      <c r="F1153" s="15" t="s">
        <v>15159</v>
      </c>
      <c r="G1153" s="15" t="s">
        <v>12135</v>
      </c>
      <c r="H1153" s="15">
        <v>24</v>
      </c>
      <c r="I1153" s="15">
        <v>37</v>
      </c>
      <c r="J1153" s="15">
        <v>53</v>
      </c>
      <c r="K1153" s="15" t="str">
        <f t="shared" si="17"/>
        <v>upperthaliakriver</v>
      </c>
      <c r="L1153" s="15" t="s">
        <v>11562</v>
      </c>
      <c r="M1153" s="15">
        <v>1</v>
      </c>
      <c r="N1153" s="15" t="s">
        <v>11222</v>
      </c>
      <c r="O1153" s="15"/>
      <c r="P1153" s="15"/>
      <c r="Q1153" s="15"/>
      <c r="R1153" s="15"/>
      <c r="S1153" s="15"/>
      <c r="T1153" s="15">
        <v>0</v>
      </c>
      <c r="U1153" s="15"/>
      <c r="V1153" s="15"/>
      <c r="W1153" s="15"/>
      <c r="X1153" s="15"/>
      <c r="Y1153" s="15"/>
      <c r="Z1153" s="15"/>
    </row>
    <row r="1154" spans="1:26" x14ac:dyDescent="0.25">
      <c r="A1154" s="15" t="s">
        <v>12612</v>
      </c>
      <c r="B1154" s="15">
        <v>1153</v>
      </c>
      <c r="C1154" s="15" t="s">
        <v>11277</v>
      </c>
      <c r="D1154" s="15" t="s">
        <v>11277</v>
      </c>
      <c r="E1154" s="15" t="s">
        <v>11</v>
      </c>
      <c r="F1154" s="15" t="s">
        <v>15159</v>
      </c>
      <c r="G1154" s="15" t="s">
        <v>12257</v>
      </c>
      <c r="H1154" s="15">
        <v>24</v>
      </c>
      <c r="I1154" s="15">
        <v>37</v>
      </c>
      <c r="J1154" s="15">
        <v>54</v>
      </c>
      <c r="K1154" s="15" t="str">
        <f t="shared" ref="K1154:K1217" si="18">LOWER(SUBSTITUTE(SUBSTITUTE(SUBSTITUTE(SUBSTITUTE(SUBSTITUTE(F1154," ",""),"(",""),")",""),"'",""),"-",""))</f>
        <v>upperthaliakriver</v>
      </c>
      <c r="L1154" s="15" t="s">
        <v>11562</v>
      </c>
      <c r="M1154" s="15">
        <v>2</v>
      </c>
      <c r="N1154" s="15" t="s">
        <v>11223</v>
      </c>
      <c r="O1154" s="15"/>
      <c r="P1154" s="15"/>
      <c r="Q1154" s="15" t="s">
        <v>12135</v>
      </c>
      <c r="R1154" s="15"/>
      <c r="S1154" s="15"/>
      <c r="T1154" s="15">
        <v>0</v>
      </c>
      <c r="U1154" s="15"/>
      <c r="V1154" s="15"/>
      <c r="W1154" s="15"/>
      <c r="X1154" s="15"/>
      <c r="Y1154" s="15"/>
      <c r="Z1154" s="15"/>
    </row>
    <row r="1155" spans="1:26" x14ac:dyDescent="0.25">
      <c r="A1155" s="15" t="s">
        <v>12614</v>
      </c>
      <c r="B1155" s="15">
        <v>1154</v>
      </c>
      <c r="C1155" s="15" t="s">
        <v>11277</v>
      </c>
      <c r="D1155" s="15" t="s">
        <v>11277</v>
      </c>
      <c r="E1155" s="15" t="s">
        <v>11</v>
      </c>
      <c r="F1155" s="15" t="s">
        <v>15159</v>
      </c>
      <c r="G1155" s="15" t="s">
        <v>12244</v>
      </c>
      <c r="H1155" s="15">
        <v>24</v>
      </c>
      <c r="I1155" s="15">
        <v>37</v>
      </c>
      <c r="J1155" s="15">
        <v>55</v>
      </c>
      <c r="K1155" s="15" t="str">
        <f t="shared" si="18"/>
        <v>upperthaliakriver</v>
      </c>
      <c r="L1155" s="15" t="s">
        <v>11588</v>
      </c>
      <c r="M1155" s="15">
        <v>2</v>
      </c>
      <c r="N1155" s="15" t="s">
        <v>11223</v>
      </c>
      <c r="O1155" s="15"/>
      <c r="P1155" s="15"/>
      <c r="Q1155" s="15" t="s">
        <v>12244</v>
      </c>
      <c r="R1155" s="15"/>
      <c r="S1155" s="15"/>
      <c r="T1155" s="15">
        <v>0</v>
      </c>
      <c r="U1155" s="15"/>
      <c r="V1155" s="15"/>
      <c r="W1155" s="15"/>
      <c r="X1155" s="15"/>
      <c r="Y1155" s="15"/>
      <c r="Z1155" s="15"/>
    </row>
    <row r="1156" spans="1:26" x14ac:dyDescent="0.25">
      <c r="A1156" s="15" t="s">
        <v>12616</v>
      </c>
      <c r="B1156" s="15">
        <v>1155</v>
      </c>
      <c r="C1156" s="15" t="s">
        <v>11277</v>
      </c>
      <c r="D1156" s="15" t="s">
        <v>11277</v>
      </c>
      <c r="E1156" s="15" t="s">
        <v>11</v>
      </c>
      <c r="F1156" s="15" t="s">
        <v>15159</v>
      </c>
      <c r="G1156" s="15" t="s">
        <v>12246</v>
      </c>
      <c r="H1156" s="15">
        <v>24</v>
      </c>
      <c r="I1156" s="15">
        <v>37</v>
      </c>
      <c r="J1156" s="15">
        <v>55</v>
      </c>
      <c r="K1156" s="15" t="str">
        <f t="shared" si="18"/>
        <v>upperthaliakriver</v>
      </c>
      <c r="L1156" s="15" t="s">
        <v>11592</v>
      </c>
      <c r="M1156" s="15">
        <v>1</v>
      </c>
      <c r="N1156" s="15" t="s">
        <v>11222</v>
      </c>
      <c r="O1156" s="15"/>
      <c r="P1156" s="15"/>
      <c r="Q1156" s="15"/>
      <c r="R1156" s="15"/>
      <c r="S1156" s="15"/>
      <c r="T1156" s="15">
        <v>0</v>
      </c>
      <c r="U1156" s="15"/>
      <c r="V1156" s="15"/>
      <c r="W1156" s="15"/>
      <c r="X1156" s="15"/>
      <c r="Y1156" s="15"/>
      <c r="Z1156" s="15"/>
    </row>
    <row r="1157" spans="1:26" x14ac:dyDescent="0.25">
      <c r="A1157" s="15" t="s">
        <v>12618</v>
      </c>
      <c r="B1157" s="15">
        <v>1156</v>
      </c>
      <c r="C1157" s="15" t="s">
        <v>11277</v>
      </c>
      <c r="D1157" s="15" t="s">
        <v>11277</v>
      </c>
      <c r="E1157" s="15" t="s">
        <v>11</v>
      </c>
      <c r="F1157" s="15" t="s">
        <v>15159</v>
      </c>
      <c r="G1157" s="15" t="s">
        <v>12142</v>
      </c>
      <c r="H1157" s="15">
        <v>24</v>
      </c>
      <c r="I1157" s="15">
        <v>37</v>
      </c>
      <c r="J1157" s="15">
        <v>59</v>
      </c>
      <c r="K1157" s="15" t="str">
        <f t="shared" si="18"/>
        <v>upperthaliakriver</v>
      </c>
      <c r="L1157" s="15" t="s">
        <v>11564</v>
      </c>
      <c r="M1157" s="15">
        <v>2</v>
      </c>
      <c r="N1157" s="15" t="s">
        <v>11223</v>
      </c>
      <c r="O1157" s="15"/>
      <c r="P1157" s="15"/>
      <c r="Q1157" s="15" t="s">
        <v>12135</v>
      </c>
      <c r="R1157" s="15" t="s">
        <v>12244</v>
      </c>
      <c r="S1157" s="15"/>
      <c r="T1157" s="15">
        <v>0</v>
      </c>
      <c r="U1157" s="15"/>
      <c r="V1157" s="15"/>
      <c r="W1157" s="15"/>
      <c r="X1157" s="15"/>
      <c r="Y1157" s="15"/>
      <c r="Z1157" s="15"/>
    </row>
    <row r="1158" spans="1:26" x14ac:dyDescent="0.25">
      <c r="A1158" s="15" t="s">
        <v>12620</v>
      </c>
      <c r="B1158" s="15">
        <v>1157</v>
      </c>
      <c r="C1158" s="15" t="s">
        <v>11277</v>
      </c>
      <c r="D1158" s="15" t="s">
        <v>11277</v>
      </c>
      <c r="E1158" s="15" t="s">
        <v>11</v>
      </c>
      <c r="F1158" s="15" t="s">
        <v>15159</v>
      </c>
      <c r="G1158" s="15" t="s">
        <v>12258</v>
      </c>
      <c r="H1158" s="15">
        <v>24</v>
      </c>
      <c r="I1158" s="15">
        <v>37</v>
      </c>
      <c r="J1158" s="15">
        <v>60</v>
      </c>
      <c r="K1158" s="15" t="str">
        <f t="shared" si="18"/>
        <v>upperthaliakriver</v>
      </c>
      <c r="L1158" s="15" t="s">
        <v>11564</v>
      </c>
      <c r="M1158" s="15">
        <v>3</v>
      </c>
      <c r="N1158" s="15" t="s">
        <v>11223</v>
      </c>
      <c r="O1158" s="15" t="s">
        <v>14025</v>
      </c>
      <c r="P1158" s="15"/>
      <c r="Q1158" s="15" t="s">
        <v>12244</v>
      </c>
      <c r="R1158" s="15" t="s">
        <v>12135</v>
      </c>
      <c r="S1158" s="15"/>
      <c r="T1158" s="15">
        <v>1</v>
      </c>
      <c r="U1158" s="15"/>
      <c r="V1158" s="15"/>
      <c r="W1158" s="15"/>
      <c r="X1158" s="15"/>
      <c r="Y1158" s="15"/>
      <c r="Z1158" s="15"/>
    </row>
    <row r="1159" spans="1:26" x14ac:dyDescent="0.25">
      <c r="A1159" s="15" t="s">
        <v>12622</v>
      </c>
      <c r="B1159" s="15">
        <v>1158</v>
      </c>
      <c r="C1159" s="15" t="s">
        <v>11277</v>
      </c>
      <c r="D1159" s="15" t="s">
        <v>11277</v>
      </c>
      <c r="E1159" s="15" t="s">
        <v>11</v>
      </c>
      <c r="F1159" s="15" t="s">
        <v>15159</v>
      </c>
      <c r="G1159" s="15" t="s">
        <v>12259</v>
      </c>
      <c r="H1159" s="15">
        <v>24</v>
      </c>
      <c r="I1159" s="15">
        <v>37</v>
      </c>
      <c r="J1159" s="15">
        <v>60</v>
      </c>
      <c r="K1159" s="15" t="str">
        <f t="shared" si="18"/>
        <v>upperthaliakriver</v>
      </c>
      <c r="L1159" s="15" t="s">
        <v>11564</v>
      </c>
      <c r="M1159" s="15">
        <v>2</v>
      </c>
      <c r="N1159" s="15" t="s">
        <v>11223</v>
      </c>
      <c r="O1159" s="15"/>
      <c r="P1159" s="15"/>
      <c r="Q1159" s="15"/>
      <c r="R1159" s="15"/>
      <c r="S1159" s="15"/>
      <c r="T1159" s="15">
        <v>0</v>
      </c>
      <c r="U1159" s="15" t="s">
        <v>5908</v>
      </c>
      <c r="V1159" s="15" t="s">
        <v>5914</v>
      </c>
      <c r="W1159" s="15"/>
      <c r="X1159" s="15"/>
      <c r="Y1159" s="15"/>
      <c r="Z1159" s="15"/>
    </row>
    <row r="1160" spans="1:26" x14ac:dyDescent="0.25">
      <c r="A1160" s="15" t="s">
        <v>12624</v>
      </c>
      <c r="B1160" s="15">
        <v>1159</v>
      </c>
      <c r="C1160" s="15" t="s">
        <v>11277</v>
      </c>
      <c r="D1160" s="15" t="s">
        <v>11277</v>
      </c>
      <c r="E1160" s="15" t="s">
        <v>11</v>
      </c>
      <c r="F1160" s="15" t="s">
        <v>15159</v>
      </c>
      <c r="G1160" s="15" t="s">
        <v>12260</v>
      </c>
      <c r="H1160" s="15">
        <v>24</v>
      </c>
      <c r="I1160" s="15">
        <v>37</v>
      </c>
      <c r="J1160" s="15">
        <v>57</v>
      </c>
      <c r="K1160" s="15" t="str">
        <f t="shared" si="18"/>
        <v>upperthaliakriver</v>
      </c>
      <c r="L1160" s="15" t="s">
        <v>11573</v>
      </c>
      <c r="M1160" s="15">
        <v>2</v>
      </c>
      <c r="N1160" s="15" t="s">
        <v>11223</v>
      </c>
      <c r="O1160" s="15"/>
      <c r="P1160" s="15"/>
      <c r="Q1160" s="15"/>
      <c r="R1160" s="15"/>
      <c r="S1160" s="15"/>
      <c r="T1160" s="15">
        <v>0</v>
      </c>
      <c r="U1160" s="15"/>
      <c r="V1160" s="15"/>
      <c r="W1160" s="15"/>
      <c r="X1160" s="15"/>
      <c r="Y1160" s="15"/>
      <c r="Z1160" s="15"/>
    </row>
    <row r="1161" spans="1:26" x14ac:dyDescent="0.25">
      <c r="A1161" s="15" t="s">
        <v>12626</v>
      </c>
      <c r="B1161" s="15">
        <v>1160</v>
      </c>
      <c r="C1161" s="15" t="s">
        <v>11277</v>
      </c>
      <c r="D1161" s="15" t="s">
        <v>11277</v>
      </c>
      <c r="E1161" s="15" t="s">
        <v>11</v>
      </c>
      <c r="F1161" s="15" t="s">
        <v>15159</v>
      </c>
      <c r="G1161" s="15" t="s">
        <v>12261</v>
      </c>
      <c r="H1161" s="15">
        <v>24</v>
      </c>
      <c r="I1161" s="15">
        <v>37</v>
      </c>
      <c r="J1161" s="15">
        <v>60</v>
      </c>
      <c r="K1161" s="15" t="str">
        <f t="shared" si="18"/>
        <v>upperthaliakriver</v>
      </c>
      <c r="L1161" s="15" t="s">
        <v>14088</v>
      </c>
      <c r="M1161" s="15">
        <v>3</v>
      </c>
      <c r="N1161" s="15" t="s">
        <v>11223</v>
      </c>
      <c r="O1161" s="15"/>
      <c r="P1161" s="15"/>
      <c r="Q1161" s="15" t="s">
        <v>12135</v>
      </c>
      <c r="R1161" s="15"/>
      <c r="S1161" s="15"/>
      <c r="T1161" s="15">
        <v>0</v>
      </c>
      <c r="U1161" s="15" t="s">
        <v>5901</v>
      </c>
      <c r="V1161" s="15"/>
      <c r="W1161" s="15"/>
      <c r="X1161" s="15"/>
      <c r="Y1161" s="15"/>
      <c r="Z1161" s="15"/>
    </row>
    <row r="1162" spans="1:26" x14ac:dyDescent="0.25">
      <c r="A1162" s="15" t="s">
        <v>12628</v>
      </c>
      <c r="B1162" s="15">
        <v>1161</v>
      </c>
      <c r="C1162" s="15" t="s">
        <v>11277</v>
      </c>
      <c r="D1162" s="15" t="s">
        <v>11277</v>
      </c>
      <c r="E1162" s="15" t="s">
        <v>11</v>
      </c>
      <c r="F1162" s="15" t="s">
        <v>15159</v>
      </c>
      <c r="G1162" s="15" t="s">
        <v>12262</v>
      </c>
      <c r="H1162" s="15">
        <v>24</v>
      </c>
      <c r="I1162" s="15">
        <v>37</v>
      </c>
      <c r="J1162" s="15">
        <v>60</v>
      </c>
      <c r="K1162" s="15" t="str">
        <f t="shared" si="18"/>
        <v>upperthaliakriver</v>
      </c>
      <c r="L1162" s="15" t="s">
        <v>14088</v>
      </c>
      <c r="M1162" s="15">
        <v>3</v>
      </c>
      <c r="N1162" s="15" t="s">
        <v>11222</v>
      </c>
      <c r="O1162" s="15" t="s">
        <v>2806</v>
      </c>
      <c r="P1162" s="15" t="s">
        <v>15160</v>
      </c>
      <c r="Q1162" s="15" t="s">
        <v>12135</v>
      </c>
      <c r="R1162" s="15"/>
      <c r="S1162" s="15"/>
      <c r="T1162" s="15">
        <v>0</v>
      </c>
      <c r="U1162" s="15" t="s">
        <v>5893</v>
      </c>
      <c r="V1162" s="15"/>
      <c r="W1162" s="15"/>
      <c r="X1162" s="15"/>
      <c r="Y1162" s="15"/>
      <c r="Z1162" s="15"/>
    </row>
    <row r="1163" spans="1:26" x14ac:dyDescent="0.25">
      <c r="A1163" s="15" t="s">
        <v>12630</v>
      </c>
      <c r="B1163" s="15">
        <v>1162</v>
      </c>
      <c r="C1163" s="15" t="s">
        <v>11277</v>
      </c>
      <c r="D1163" s="15" t="s">
        <v>11277</v>
      </c>
      <c r="E1163" s="15" t="s">
        <v>11</v>
      </c>
      <c r="F1163" s="15" t="s">
        <v>15161</v>
      </c>
      <c r="G1163" s="15" t="s">
        <v>12245</v>
      </c>
      <c r="H1163" s="15">
        <v>20</v>
      </c>
      <c r="I1163" s="15">
        <v>25</v>
      </c>
      <c r="J1163" s="15">
        <v>57</v>
      </c>
      <c r="K1163" s="15" t="str">
        <f t="shared" si="18"/>
        <v>middlethaliakriver</v>
      </c>
      <c r="L1163" s="15" t="s">
        <v>11602</v>
      </c>
      <c r="M1163" s="15">
        <v>1</v>
      </c>
      <c r="N1163" s="15" t="s">
        <v>11222</v>
      </c>
      <c r="O1163" s="15"/>
      <c r="P1163" s="15"/>
      <c r="Q1163" s="15"/>
      <c r="R1163" s="15"/>
      <c r="S1163" s="15"/>
      <c r="T1163" s="15">
        <v>0</v>
      </c>
      <c r="U1163" s="15"/>
      <c r="V1163" s="15"/>
      <c r="W1163" s="15"/>
      <c r="X1163" s="15"/>
      <c r="Y1163" s="15"/>
      <c r="Z1163" s="15"/>
    </row>
    <row r="1164" spans="1:26" x14ac:dyDescent="0.25">
      <c r="A1164" s="15" t="s">
        <v>12632</v>
      </c>
      <c r="B1164" s="15">
        <v>1163</v>
      </c>
      <c r="C1164" s="15" t="s">
        <v>11277</v>
      </c>
      <c r="D1164" s="15" t="s">
        <v>11277</v>
      </c>
      <c r="E1164" s="15" t="s">
        <v>11</v>
      </c>
      <c r="F1164" s="15" t="s">
        <v>15161</v>
      </c>
      <c r="G1164" s="15" t="s">
        <v>12257</v>
      </c>
      <c r="H1164" s="15">
        <v>20</v>
      </c>
      <c r="I1164" s="15">
        <v>25</v>
      </c>
      <c r="J1164" s="15">
        <v>54</v>
      </c>
      <c r="K1164" s="15" t="str">
        <f t="shared" si="18"/>
        <v>middlethaliakriver</v>
      </c>
      <c r="L1164" s="15" t="s">
        <v>11562</v>
      </c>
      <c r="M1164" s="15">
        <v>2</v>
      </c>
      <c r="N1164" s="15" t="s">
        <v>11223</v>
      </c>
      <c r="O1164" s="15"/>
      <c r="P1164" s="15"/>
      <c r="Q1164" s="15" t="s">
        <v>12135</v>
      </c>
      <c r="R1164" s="15"/>
      <c r="S1164" s="15"/>
      <c r="T1164" s="15">
        <v>0</v>
      </c>
      <c r="U1164" s="15"/>
      <c r="V1164" s="15"/>
      <c r="W1164" s="15"/>
      <c r="X1164" s="15"/>
      <c r="Y1164" s="15"/>
      <c r="Z1164" s="15"/>
    </row>
    <row r="1165" spans="1:26" x14ac:dyDescent="0.25">
      <c r="A1165" s="15" t="s">
        <v>12634</v>
      </c>
      <c r="B1165" s="15">
        <v>1164</v>
      </c>
      <c r="C1165" s="15" t="s">
        <v>11277</v>
      </c>
      <c r="D1165" s="15" t="s">
        <v>11277</v>
      </c>
      <c r="E1165" s="15" t="s">
        <v>11</v>
      </c>
      <c r="F1165" s="15" t="s">
        <v>15161</v>
      </c>
      <c r="G1165" s="15" t="s">
        <v>12244</v>
      </c>
      <c r="H1165" s="15">
        <v>20</v>
      </c>
      <c r="I1165" s="15">
        <v>25</v>
      </c>
      <c r="J1165" s="15">
        <v>55</v>
      </c>
      <c r="K1165" s="15" t="str">
        <f t="shared" si="18"/>
        <v>middlethaliakriver</v>
      </c>
      <c r="L1165" s="15" t="s">
        <v>11588</v>
      </c>
      <c r="M1165" s="15">
        <v>2</v>
      </c>
      <c r="N1165" s="15" t="s">
        <v>11223</v>
      </c>
      <c r="O1165" s="15"/>
      <c r="P1165" s="15"/>
      <c r="Q1165" s="15" t="s">
        <v>12244</v>
      </c>
      <c r="R1165" s="15"/>
      <c r="S1165" s="15"/>
      <c r="T1165" s="15">
        <v>0</v>
      </c>
      <c r="U1165" s="15"/>
      <c r="V1165" s="15"/>
      <c r="W1165" s="15"/>
      <c r="X1165" s="15"/>
      <c r="Y1165" s="15"/>
      <c r="Z1165" s="15"/>
    </row>
    <row r="1166" spans="1:26" x14ac:dyDescent="0.25">
      <c r="A1166" s="15" t="s">
        <v>12636</v>
      </c>
      <c r="B1166" s="15">
        <v>1165</v>
      </c>
      <c r="C1166" s="15" t="s">
        <v>11277</v>
      </c>
      <c r="D1166" s="15" t="s">
        <v>11277</v>
      </c>
      <c r="E1166" s="15" t="s">
        <v>11</v>
      </c>
      <c r="F1166" s="15" t="s">
        <v>15161</v>
      </c>
      <c r="G1166" s="15" t="s">
        <v>12135</v>
      </c>
      <c r="H1166" s="15">
        <v>20</v>
      </c>
      <c r="I1166" s="15">
        <v>25</v>
      </c>
      <c r="J1166" s="15">
        <v>53</v>
      </c>
      <c r="K1166" s="15" t="str">
        <f t="shared" si="18"/>
        <v>middlethaliakriver</v>
      </c>
      <c r="L1166" s="15" t="s">
        <v>11562</v>
      </c>
      <c r="M1166" s="15">
        <v>1</v>
      </c>
      <c r="N1166" s="15" t="s">
        <v>11222</v>
      </c>
      <c r="O1166" s="15"/>
      <c r="P1166" s="15"/>
      <c r="Q1166" s="15"/>
      <c r="R1166" s="15"/>
      <c r="S1166" s="15"/>
      <c r="T1166" s="15">
        <v>0</v>
      </c>
      <c r="U1166" s="15"/>
      <c r="V1166" s="15"/>
      <c r="W1166" s="15"/>
      <c r="X1166" s="15"/>
      <c r="Y1166" s="15"/>
      <c r="Z1166" s="15"/>
    </row>
    <row r="1167" spans="1:26" x14ac:dyDescent="0.25">
      <c r="A1167" s="15" t="s">
        <v>12638</v>
      </c>
      <c r="B1167" s="15">
        <v>1166</v>
      </c>
      <c r="C1167" s="15" t="s">
        <v>11277</v>
      </c>
      <c r="D1167" s="15" t="s">
        <v>11277</v>
      </c>
      <c r="E1167" s="15" t="s">
        <v>11</v>
      </c>
      <c r="F1167" s="15" t="s">
        <v>15161</v>
      </c>
      <c r="G1167" s="15" t="s">
        <v>12137</v>
      </c>
      <c r="H1167" s="15">
        <v>20</v>
      </c>
      <c r="I1167" s="15">
        <v>25</v>
      </c>
      <c r="J1167" s="15">
        <v>55</v>
      </c>
      <c r="K1167" s="15" t="str">
        <f t="shared" si="18"/>
        <v>middlethaliakriver</v>
      </c>
      <c r="L1167" s="15" t="s">
        <v>11588</v>
      </c>
      <c r="M1167" s="15">
        <v>1</v>
      </c>
      <c r="N1167" s="15" t="s">
        <v>11222</v>
      </c>
      <c r="O1167" s="15"/>
      <c r="P1167" s="15"/>
      <c r="Q1167" s="15" t="s">
        <v>12135</v>
      </c>
      <c r="R1167" s="15"/>
      <c r="S1167" s="15"/>
      <c r="T1167" s="15">
        <v>0</v>
      </c>
      <c r="U1167" s="15"/>
      <c r="V1167" s="15"/>
      <c r="W1167" s="15"/>
      <c r="X1167" s="15"/>
      <c r="Y1167" s="15"/>
      <c r="Z1167" s="15"/>
    </row>
    <row r="1168" spans="1:26" x14ac:dyDescent="0.25">
      <c r="A1168" s="15" t="s">
        <v>12640</v>
      </c>
      <c r="B1168" s="15">
        <v>1167</v>
      </c>
      <c r="C1168" s="15" t="s">
        <v>11277</v>
      </c>
      <c r="D1168" s="15" t="s">
        <v>11277</v>
      </c>
      <c r="E1168" s="15" t="s">
        <v>11</v>
      </c>
      <c r="F1168" s="15" t="s">
        <v>15161</v>
      </c>
      <c r="G1168" s="15" t="s">
        <v>63</v>
      </c>
      <c r="H1168" s="15">
        <v>20</v>
      </c>
      <c r="I1168" s="15">
        <v>25</v>
      </c>
      <c r="J1168" s="15">
        <v>60</v>
      </c>
      <c r="K1168" s="15" t="str">
        <f t="shared" si="18"/>
        <v>middlethaliakriver</v>
      </c>
      <c r="L1168" s="15" t="s">
        <v>14088</v>
      </c>
      <c r="M1168" s="15">
        <v>3</v>
      </c>
      <c r="N1168" s="15" t="s">
        <v>11223</v>
      </c>
      <c r="O1168" s="15" t="s">
        <v>14031</v>
      </c>
      <c r="P1168" s="15"/>
      <c r="Q1168" s="15" t="s">
        <v>12137</v>
      </c>
      <c r="R1168" s="15" t="s">
        <v>12244</v>
      </c>
      <c r="S1168" s="15"/>
      <c r="T1168" s="15">
        <v>0</v>
      </c>
      <c r="U1168" s="15"/>
      <c r="V1168" s="15"/>
      <c r="W1168" s="15"/>
      <c r="X1168" s="15"/>
      <c r="Y1168" s="15"/>
      <c r="Z1168" s="15"/>
    </row>
    <row r="1169" spans="1:26" x14ac:dyDescent="0.25">
      <c r="A1169" s="15" t="s">
        <v>12642</v>
      </c>
      <c r="B1169" s="15">
        <v>1168</v>
      </c>
      <c r="C1169" s="15" t="s">
        <v>11277</v>
      </c>
      <c r="D1169" s="15" t="s">
        <v>11277</v>
      </c>
      <c r="E1169" s="15" t="s">
        <v>11</v>
      </c>
      <c r="F1169" s="15" t="s">
        <v>15161</v>
      </c>
      <c r="G1169" s="15" t="s">
        <v>12263</v>
      </c>
      <c r="H1169" s="15">
        <v>20</v>
      </c>
      <c r="I1169" s="15">
        <v>25</v>
      </c>
      <c r="J1169" s="15">
        <v>60</v>
      </c>
      <c r="K1169" s="15" t="str">
        <f t="shared" si="18"/>
        <v>middlethaliakriver</v>
      </c>
      <c r="L1169" s="15" t="s">
        <v>11564</v>
      </c>
      <c r="M1169" s="15">
        <v>2</v>
      </c>
      <c r="N1169" s="15" t="s">
        <v>11223</v>
      </c>
      <c r="O1169" s="15"/>
      <c r="P1169" s="15"/>
      <c r="Q1169" s="15" t="s">
        <v>12137</v>
      </c>
      <c r="R1169" s="15" t="s">
        <v>12135</v>
      </c>
      <c r="S1169" s="15"/>
      <c r="T1169" s="15">
        <v>1</v>
      </c>
      <c r="U1169" s="15" t="s">
        <v>5893</v>
      </c>
      <c r="V1169" s="15" t="s">
        <v>5892</v>
      </c>
      <c r="W1169" s="15"/>
      <c r="X1169" s="15"/>
      <c r="Y1169" s="15"/>
      <c r="Z1169" s="15"/>
    </row>
    <row r="1170" spans="1:26" x14ac:dyDescent="0.25">
      <c r="A1170" s="15" t="s">
        <v>12644</v>
      </c>
      <c r="B1170" s="15">
        <v>1169</v>
      </c>
      <c r="C1170" s="15" t="s">
        <v>11277</v>
      </c>
      <c r="D1170" s="15" t="s">
        <v>11277</v>
      </c>
      <c r="E1170" s="15" t="s">
        <v>11</v>
      </c>
      <c r="F1170" s="15" t="s">
        <v>15161</v>
      </c>
      <c r="G1170" s="15" t="s">
        <v>12264</v>
      </c>
      <c r="H1170" s="15">
        <v>20</v>
      </c>
      <c r="I1170" s="15">
        <v>25</v>
      </c>
      <c r="J1170" s="15">
        <v>60</v>
      </c>
      <c r="K1170" s="15" t="str">
        <f t="shared" si="18"/>
        <v>middlethaliakriver</v>
      </c>
      <c r="L1170" s="15" t="s">
        <v>11564</v>
      </c>
      <c r="M1170" s="15">
        <v>2</v>
      </c>
      <c r="N1170" s="15" t="s">
        <v>11223</v>
      </c>
      <c r="O1170" s="15" t="s">
        <v>11239</v>
      </c>
      <c r="P1170" s="15"/>
      <c r="Q1170" s="15" t="s">
        <v>12244</v>
      </c>
      <c r="R1170" s="15"/>
      <c r="S1170" s="15"/>
      <c r="T1170" s="15">
        <v>0</v>
      </c>
      <c r="U1170" s="15" t="s">
        <v>5908</v>
      </c>
      <c r="V1170" s="15" t="s">
        <v>5914</v>
      </c>
      <c r="W1170" s="15"/>
      <c r="X1170" s="15"/>
      <c r="Y1170" s="15"/>
      <c r="Z1170" s="15"/>
    </row>
    <row r="1171" spans="1:26" x14ac:dyDescent="0.25">
      <c r="A1171" s="15" t="s">
        <v>12646</v>
      </c>
      <c r="B1171" s="15">
        <v>1170</v>
      </c>
      <c r="C1171" s="15" t="s">
        <v>11277</v>
      </c>
      <c r="D1171" s="15" t="s">
        <v>11277</v>
      </c>
      <c r="E1171" s="15" t="s">
        <v>102</v>
      </c>
      <c r="F1171" s="15" t="s">
        <v>15161</v>
      </c>
      <c r="G1171" s="15" t="s">
        <v>12265</v>
      </c>
      <c r="H1171" s="15">
        <v>20</v>
      </c>
      <c r="I1171" s="15">
        <v>25</v>
      </c>
      <c r="J1171" s="15">
        <v>75</v>
      </c>
      <c r="K1171" s="15" t="str">
        <f t="shared" si="18"/>
        <v>middlethaliakriver</v>
      </c>
      <c r="L1171" s="15" t="s">
        <v>11560</v>
      </c>
      <c r="M1171" s="15">
        <v>1</v>
      </c>
      <c r="N1171" s="15" t="s">
        <v>11222</v>
      </c>
      <c r="O1171" s="15"/>
      <c r="P1171" s="15"/>
      <c r="Q1171" s="15"/>
      <c r="R1171" s="15"/>
      <c r="S1171" s="15"/>
      <c r="T1171" s="15">
        <v>0</v>
      </c>
      <c r="U1171" s="15"/>
      <c r="V1171" s="15"/>
      <c r="W1171" s="15"/>
      <c r="X1171" s="15"/>
      <c r="Y1171" s="15"/>
      <c r="Z1171" s="15"/>
    </row>
    <row r="1172" spans="1:26" x14ac:dyDescent="0.25">
      <c r="A1172" s="15" t="s">
        <v>12648</v>
      </c>
      <c r="B1172" s="15">
        <v>1171</v>
      </c>
      <c r="C1172" s="15" t="s">
        <v>11277</v>
      </c>
      <c r="D1172" s="15" t="s">
        <v>11277</v>
      </c>
      <c r="E1172" s="15" t="s">
        <v>11</v>
      </c>
      <c r="F1172" s="15" t="s">
        <v>15161</v>
      </c>
      <c r="G1172" s="15" t="s">
        <v>12266</v>
      </c>
      <c r="H1172" s="15">
        <v>20</v>
      </c>
      <c r="I1172" s="15">
        <v>25</v>
      </c>
      <c r="J1172" s="15">
        <v>60</v>
      </c>
      <c r="K1172" s="15" t="str">
        <f t="shared" si="18"/>
        <v>middlethaliakriver</v>
      </c>
      <c r="L1172" s="15" t="s">
        <v>14088</v>
      </c>
      <c r="M1172" s="15">
        <v>3</v>
      </c>
      <c r="N1172" s="15" t="s">
        <v>11223</v>
      </c>
      <c r="O1172" s="15" t="s">
        <v>11296</v>
      </c>
      <c r="P1172" s="15"/>
      <c r="Q1172" s="15" t="s">
        <v>12244</v>
      </c>
      <c r="R1172" s="15"/>
      <c r="S1172" s="15"/>
      <c r="T1172" s="15">
        <v>0</v>
      </c>
      <c r="U1172" s="15" t="s">
        <v>5900</v>
      </c>
      <c r="V1172" s="15" t="s">
        <v>5901</v>
      </c>
      <c r="W1172" s="15"/>
      <c r="X1172" s="15"/>
      <c r="Y1172" s="15"/>
      <c r="Z1172" s="15"/>
    </row>
    <row r="1173" spans="1:26" x14ac:dyDescent="0.25">
      <c r="A1173" s="15" t="s">
        <v>12650</v>
      </c>
      <c r="B1173" s="15">
        <v>1172</v>
      </c>
      <c r="C1173" s="15" t="s">
        <v>11277</v>
      </c>
      <c r="D1173" s="15" t="s">
        <v>11277</v>
      </c>
      <c r="E1173" s="15" t="s">
        <v>11</v>
      </c>
      <c r="F1173" s="15" t="s">
        <v>15161</v>
      </c>
      <c r="G1173" s="15" t="s">
        <v>11585</v>
      </c>
      <c r="H1173" s="15">
        <v>20</v>
      </c>
      <c r="I1173" s="15">
        <v>25</v>
      </c>
      <c r="J1173" s="15">
        <v>60</v>
      </c>
      <c r="K1173" s="15" t="str">
        <f t="shared" si="18"/>
        <v>middlethaliakriver</v>
      </c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spans="1:26" x14ac:dyDescent="0.25">
      <c r="A1174" s="15" t="s">
        <v>12652</v>
      </c>
      <c r="B1174" s="15">
        <v>1173</v>
      </c>
      <c r="C1174" s="15" t="s">
        <v>11277</v>
      </c>
      <c r="D1174" s="15" t="s">
        <v>11277</v>
      </c>
      <c r="E1174" s="15" t="s">
        <v>11</v>
      </c>
      <c r="F1174" s="15" t="s">
        <v>1706</v>
      </c>
      <c r="G1174" s="15" t="s">
        <v>12136</v>
      </c>
      <c r="H1174" s="15">
        <v>36</v>
      </c>
      <c r="I1174" s="15">
        <v>30</v>
      </c>
      <c r="J1174" s="15">
        <v>53</v>
      </c>
      <c r="K1174" s="15" t="str">
        <f t="shared" si="18"/>
        <v>eiltohm</v>
      </c>
      <c r="L1174" s="15" t="s">
        <v>11573</v>
      </c>
      <c r="M1174" s="15">
        <v>1</v>
      </c>
      <c r="N1174" s="15" t="s">
        <v>11222</v>
      </c>
      <c r="O1174" s="15"/>
      <c r="P1174" s="15"/>
      <c r="Q1174" s="15"/>
      <c r="R1174" s="15"/>
      <c r="S1174" s="15"/>
      <c r="T1174" s="15">
        <v>0</v>
      </c>
      <c r="U1174" s="15"/>
      <c r="V1174" s="15"/>
      <c r="W1174" s="15"/>
      <c r="X1174" s="15"/>
      <c r="Y1174" s="15"/>
      <c r="Z1174" s="15"/>
    </row>
    <row r="1175" spans="1:26" x14ac:dyDescent="0.25">
      <c r="A1175" s="15" t="s">
        <v>12654</v>
      </c>
      <c r="B1175" s="15">
        <v>1174</v>
      </c>
      <c r="C1175" s="15" t="s">
        <v>11277</v>
      </c>
      <c r="D1175" s="15" t="s">
        <v>11277</v>
      </c>
      <c r="E1175" s="15" t="s">
        <v>11</v>
      </c>
      <c r="F1175" s="15" t="s">
        <v>1706</v>
      </c>
      <c r="G1175" s="15" t="s">
        <v>11324</v>
      </c>
      <c r="H1175" s="15">
        <v>36</v>
      </c>
      <c r="I1175" s="15">
        <v>30</v>
      </c>
      <c r="J1175" s="15">
        <v>31</v>
      </c>
      <c r="K1175" s="15" t="str">
        <f t="shared" si="18"/>
        <v>eiltohm</v>
      </c>
      <c r="L1175" s="15" t="s">
        <v>11355</v>
      </c>
      <c r="M1175" s="15">
        <v>1</v>
      </c>
      <c r="N1175" s="15" t="s">
        <v>11222</v>
      </c>
      <c r="O1175" s="15"/>
      <c r="P1175" s="15"/>
      <c r="Q1175" s="15"/>
      <c r="R1175" s="15"/>
      <c r="S1175" s="15"/>
      <c r="T1175" s="15">
        <v>0</v>
      </c>
      <c r="U1175" s="15"/>
      <c r="V1175" s="15"/>
      <c r="W1175" s="15"/>
      <c r="X1175" s="15"/>
      <c r="Y1175" s="15"/>
      <c r="Z1175" s="15"/>
    </row>
    <row r="1176" spans="1:26" x14ac:dyDescent="0.25">
      <c r="A1176" s="15" t="s">
        <v>12656</v>
      </c>
      <c r="B1176" s="15">
        <v>1175</v>
      </c>
      <c r="C1176" s="15" t="s">
        <v>11277</v>
      </c>
      <c r="D1176" s="15" t="s">
        <v>11277</v>
      </c>
      <c r="E1176" s="15" t="s">
        <v>11</v>
      </c>
      <c r="F1176" s="15" t="s">
        <v>1706</v>
      </c>
      <c r="G1176" s="15" t="s">
        <v>12267</v>
      </c>
      <c r="H1176" s="15">
        <v>36</v>
      </c>
      <c r="I1176" s="15">
        <v>30</v>
      </c>
      <c r="J1176" s="15">
        <v>54</v>
      </c>
      <c r="K1176" s="15" t="str">
        <f t="shared" si="18"/>
        <v>eiltohm</v>
      </c>
      <c r="L1176" s="15" t="s">
        <v>11564</v>
      </c>
      <c r="M1176" s="15">
        <v>1</v>
      </c>
      <c r="N1176" s="15" t="s">
        <v>11222</v>
      </c>
      <c r="O1176" s="15" t="s">
        <v>14014</v>
      </c>
      <c r="P1176" s="15"/>
      <c r="Q1176" s="15"/>
      <c r="R1176" s="15"/>
      <c r="S1176" s="15"/>
      <c r="T1176" s="15">
        <v>0</v>
      </c>
      <c r="U1176" s="15"/>
      <c r="V1176" s="15"/>
      <c r="W1176" s="15"/>
      <c r="X1176" s="15"/>
      <c r="Y1176" s="15"/>
      <c r="Z1176" s="15"/>
    </row>
    <row r="1177" spans="1:26" x14ac:dyDescent="0.25">
      <c r="A1177" s="15" t="s">
        <v>12658</v>
      </c>
      <c r="B1177" s="15">
        <v>1176</v>
      </c>
      <c r="C1177" s="15" t="s">
        <v>11277</v>
      </c>
      <c r="D1177" s="15" t="s">
        <v>11277</v>
      </c>
      <c r="E1177" s="15" t="s">
        <v>11</v>
      </c>
      <c r="F1177" s="15" t="s">
        <v>1706</v>
      </c>
      <c r="G1177" s="15" t="s">
        <v>12268</v>
      </c>
      <c r="H1177" s="15">
        <v>36</v>
      </c>
      <c r="I1177" s="15">
        <v>30</v>
      </c>
      <c r="J1177" s="15">
        <v>56</v>
      </c>
      <c r="K1177" s="15" t="str">
        <f t="shared" si="18"/>
        <v>eiltohm</v>
      </c>
      <c r="L1177" s="15" t="s">
        <v>11564</v>
      </c>
      <c r="M1177" s="15">
        <v>2</v>
      </c>
      <c r="N1177" s="15" t="s">
        <v>11223</v>
      </c>
      <c r="O1177" s="15"/>
      <c r="P1177" s="15"/>
      <c r="Q1177" s="15"/>
      <c r="R1177" s="15"/>
      <c r="S1177" s="15"/>
      <c r="T1177" s="15">
        <v>0</v>
      </c>
      <c r="U1177" s="15"/>
      <c r="V1177" s="15"/>
      <c r="W1177" s="15"/>
      <c r="X1177" s="15"/>
      <c r="Y1177" s="15"/>
      <c r="Z1177" s="15"/>
    </row>
    <row r="1178" spans="1:26" x14ac:dyDescent="0.25">
      <c r="A1178" s="15" t="s">
        <v>12660</v>
      </c>
      <c r="B1178" s="15">
        <v>1177</v>
      </c>
      <c r="C1178" s="15" t="s">
        <v>11277</v>
      </c>
      <c r="D1178" s="15" t="s">
        <v>11277</v>
      </c>
      <c r="E1178" s="15" t="s">
        <v>11</v>
      </c>
      <c r="F1178" s="15" t="s">
        <v>1706</v>
      </c>
      <c r="G1178" s="15" t="s">
        <v>12269</v>
      </c>
      <c r="H1178" s="15">
        <v>36</v>
      </c>
      <c r="I1178" s="15">
        <v>30</v>
      </c>
      <c r="J1178" s="15">
        <v>60</v>
      </c>
      <c r="K1178" s="15" t="str">
        <f t="shared" si="18"/>
        <v>eiltohm</v>
      </c>
      <c r="L1178" s="15" t="s">
        <v>11564</v>
      </c>
      <c r="M1178" s="15">
        <v>3</v>
      </c>
      <c r="N1178" s="15" t="s">
        <v>11223</v>
      </c>
      <c r="O1178" s="15" t="s">
        <v>14003</v>
      </c>
      <c r="P1178" s="15"/>
      <c r="Q1178" s="15"/>
      <c r="R1178" s="15"/>
      <c r="S1178" s="15"/>
      <c r="T1178" s="15">
        <v>0</v>
      </c>
      <c r="U1178" s="15"/>
      <c r="V1178" s="15"/>
      <c r="W1178" s="15"/>
      <c r="X1178" s="15"/>
      <c r="Y1178" s="15"/>
      <c r="Z1178" s="15"/>
    </row>
    <row r="1179" spans="1:26" x14ac:dyDescent="0.25">
      <c r="A1179" s="15" t="s">
        <v>12662</v>
      </c>
      <c r="B1179" s="15">
        <v>1178</v>
      </c>
      <c r="C1179" s="15" t="s">
        <v>11277</v>
      </c>
      <c r="D1179" s="15" t="s">
        <v>11277</v>
      </c>
      <c r="E1179" s="15" t="s">
        <v>11</v>
      </c>
      <c r="F1179" s="15" t="s">
        <v>1723</v>
      </c>
      <c r="G1179" s="15" t="s">
        <v>12270</v>
      </c>
      <c r="H1179" s="15">
        <v>8</v>
      </c>
      <c r="I1179" s="15">
        <v>34</v>
      </c>
      <c r="J1179" s="15">
        <v>55</v>
      </c>
      <c r="K1179" s="15" t="str">
        <f t="shared" si="18"/>
        <v>greensward</v>
      </c>
      <c r="L1179" s="15" t="s">
        <v>11602</v>
      </c>
      <c r="M1179" s="15">
        <v>1</v>
      </c>
      <c r="N1179" s="15" t="s">
        <v>11222</v>
      </c>
      <c r="O1179" s="15"/>
      <c r="P1179" s="15"/>
      <c r="Q1179" s="15"/>
      <c r="R1179" s="15"/>
      <c r="S1179" s="15"/>
      <c r="T1179" s="15">
        <v>0</v>
      </c>
      <c r="U1179" s="15"/>
      <c r="V1179" s="15"/>
      <c r="W1179" s="15"/>
      <c r="X1179" s="15"/>
      <c r="Y1179" s="15"/>
      <c r="Z1179" s="15"/>
    </row>
    <row r="1180" spans="1:26" x14ac:dyDescent="0.25">
      <c r="A1180" s="15" t="s">
        <v>12664</v>
      </c>
      <c r="B1180" s="15">
        <v>1179</v>
      </c>
      <c r="C1180" s="15" t="s">
        <v>11277</v>
      </c>
      <c r="D1180" s="15" t="s">
        <v>11277</v>
      </c>
      <c r="E1180" s="15" t="s">
        <v>11</v>
      </c>
      <c r="F1180" s="15" t="s">
        <v>1723</v>
      </c>
      <c r="G1180" s="15" t="s">
        <v>12271</v>
      </c>
      <c r="H1180" s="15">
        <v>8</v>
      </c>
      <c r="I1180" s="15">
        <v>34</v>
      </c>
      <c r="J1180" s="15">
        <v>60</v>
      </c>
      <c r="K1180" s="15" t="str">
        <f t="shared" si="18"/>
        <v>greensward</v>
      </c>
      <c r="L1180" s="15" t="s">
        <v>11564</v>
      </c>
      <c r="M1180" s="15">
        <v>3</v>
      </c>
      <c r="N1180" s="15" t="s">
        <v>11222</v>
      </c>
      <c r="O1180" s="15" t="s">
        <v>2818</v>
      </c>
      <c r="P1180" s="15"/>
      <c r="Q1180" s="15"/>
      <c r="R1180" s="15"/>
      <c r="S1180" s="15"/>
      <c r="T1180" s="15">
        <v>0</v>
      </c>
      <c r="U1180" s="15" t="s">
        <v>5970</v>
      </c>
      <c r="V1180" s="15"/>
      <c r="W1180" s="15"/>
      <c r="X1180" s="15" t="s">
        <v>5893</v>
      </c>
      <c r="Y1180" s="15"/>
      <c r="Z1180" s="15"/>
    </row>
    <row r="1181" spans="1:26" x14ac:dyDescent="0.25">
      <c r="A1181" s="15" t="s">
        <v>12666</v>
      </c>
      <c r="B1181" s="15">
        <v>1180</v>
      </c>
      <c r="C1181" s="15" t="s">
        <v>11277</v>
      </c>
      <c r="D1181" s="15" t="s">
        <v>11277</v>
      </c>
      <c r="E1181" s="15" t="s">
        <v>133</v>
      </c>
      <c r="F1181" s="15" t="s">
        <v>1723</v>
      </c>
      <c r="G1181" s="15" t="s">
        <v>12272</v>
      </c>
      <c r="H1181" s="15">
        <v>8</v>
      </c>
      <c r="I1181" s="15">
        <v>34</v>
      </c>
      <c r="J1181" s="15">
        <v>82</v>
      </c>
      <c r="K1181" s="15" t="str">
        <f t="shared" si="18"/>
        <v>greensward</v>
      </c>
      <c r="L1181" s="15" t="s">
        <v>11560</v>
      </c>
      <c r="M1181" s="15">
        <v>2</v>
      </c>
      <c r="N1181" s="15" t="s">
        <v>11223</v>
      </c>
      <c r="O1181" s="15"/>
      <c r="P1181" s="15"/>
      <c r="Q1181" s="15"/>
      <c r="R1181" s="15"/>
      <c r="S1181" s="15"/>
      <c r="T1181" s="15">
        <v>0</v>
      </c>
      <c r="U1181" s="15"/>
      <c r="V1181" s="15"/>
      <c r="W1181" s="15"/>
      <c r="X1181" s="15"/>
      <c r="Y1181" s="15"/>
      <c r="Z1181" s="15"/>
    </row>
    <row r="1182" spans="1:26" x14ac:dyDescent="0.25">
      <c r="A1182" s="15" t="s">
        <v>12668</v>
      </c>
      <c r="B1182" s="15">
        <v>1181</v>
      </c>
      <c r="C1182" s="15" t="s">
        <v>11277</v>
      </c>
      <c r="D1182" s="15" t="s">
        <v>11277</v>
      </c>
      <c r="E1182" s="15" t="s">
        <v>11</v>
      </c>
      <c r="F1182" s="15" t="s">
        <v>1717</v>
      </c>
      <c r="G1182" s="15" t="s">
        <v>12136</v>
      </c>
      <c r="H1182" s="15">
        <v>9</v>
      </c>
      <c r="I1182" s="15">
        <v>8</v>
      </c>
      <c r="J1182" s="15">
        <v>53</v>
      </c>
      <c r="K1182" s="15" t="str">
        <f t="shared" si="18"/>
        <v>westonwaters</v>
      </c>
      <c r="L1182" s="15" t="s">
        <v>11573</v>
      </c>
      <c r="M1182" s="15">
        <v>1</v>
      </c>
      <c r="N1182" s="15" t="s">
        <v>11222</v>
      </c>
      <c r="O1182" s="15"/>
      <c r="P1182" s="15"/>
      <c r="Q1182" s="15"/>
      <c r="R1182" s="15"/>
      <c r="S1182" s="15"/>
      <c r="T1182" s="15">
        <v>0</v>
      </c>
      <c r="U1182" s="15"/>
      <c r="V1182" s="15"/>
      <c r="W1182" s="15"/>
      <c r="X1182" s="15"/>
      <c r="Y1182" s="15"/>
      <c r="Z1182" s="15"/>
    </row>
    <row r="1183" spans="1:26" x14ac:dyDescent="0.25">
      <c r="A1183" s="15" t="s">
        <v>12670</v>
      </c>
      <c r="B1183" s="15">
        <v>1182</v>
      </c>
      <c r="C1183" s="15" t="s">
        <v>11277</v>
      </c>
      <c r="D1183" s="15" t="s">
        <v>11277</v>
      </c>
      <c r="E1183" s="15" t="s">
        <v>11</v>
      </c>
      <c r="F1183" s="15" t="s">
        <v>1717</v>
      </c>
      <c r="G1183" s="15" t="s">
        <v>12273</v>
      </c>
      <c r="H1183" s="15">
        <v>9</v>
      </c>
      <c r="I1183" s="15">
        <v>8</v>
      </c>
      <c r="J1183" s="15">
        <v>54</v>
      </c>
      <c r="K1183" s="15" t="str">
        <f t="shared" si="18"/>
        <v>westonwaters</v>
      </c>
      <c r="L1183" s="15" t="s">
        <v>11573</v>
      </c>
      <c r="M1183" s="15">
        <v>1</v>
      </c>
      <c r="N1183" s="15" t="s">
        <v>11222</v>
      </c>
      <c r="O1183" s="15" t="s">
        <v>14033</v>
      </c>
      <c r="P1183" s="15"/>
      <c r="Q1183" s="15"/>
      <c r="R1183" s="15"/>
      <c r="S1183" s="15"/>
      <c r="T1183" s="15">
        <v>0</v>
      </c>
      <c r="U1183" s="15"/>
      <c r="V1183" s="15"/>
      <c r="W1183" s="15"/>
      <c r="X1183" s="15"/>
      <c r="Y1183" s="15"/>
      <c r="Z1183" s="15"/>
    </row>
    <row r="1184" spans="1:26" x14ac:dyDescent="0.25">
      <c r="A1184" s="15" t="s">
        <v>12672</v>
      </c>
      <c r="B1184" s="15">
        <v>1183</v>
      </c>
      <c r="C1184" s="15" t="s">
        <v>11277</v>
      </c>
      <c r="D1184" s="15" t="s">
        <v>11277</v>
      </c>
      <c r="E1184" s="15" t="s">
        <v>11</v>
      </c>
      <c r="F1184" s="15" t="s">
        <v>1717</v>
      </c>
      <c r="G1184" s="15" t="s">
        <v>12274</v>
      </c>
      <c r="H1184" s="15">
        <v>9</v>
      </c>
      <c r="I1184" s="15">
        <v>8</v>
      </c>
      <c r="J1184" s="15">
        <v>58</v>
      </c>
      <c r="K1184" s="15" t="str">
        <f t="shared" si="18"/>
        <v>westonwaters</v>
      </c>
      <c r="L1184" s="15" t="s">
        <v>11602</v>
      </c>
      <c r="M1184" s="15">
        <v>2</v>
      </c>
      <c r="N1184" s="15" t="s">
        <v>11223</v>
      </c>
      <c r="O1184" s="15" t="s">
        <v>2815</v>
      </c>
      <c r="P1184" s="15"/>
      <c r="Q1184" s="15"/>
      <c r="R1184" s="15"/>
      <c r="S1184" s="15"/>
      <c r="T1184" s="15">
        <v>0</v>
      </c>
      <c r="U1184" s="15"/>
      <c r="V1184" s="15"/>
      <c r="W1184" s="15"/>
      <c r="X1184" s="15"/>
      <c r="Y1184" s="15"/>
      <c r="Z1184" s="15"/>
    </row>
    <row r="1185" spans="1:26" x14ac:dyDescent="0.25">
      <c r="A1185" s="15" t="s">
        <v>12674</v>
      </c>
      <c r="B1185" s="15">
        <v>1184</v>
      </c>
      <c r="C1185" s="15" t="s">
        <v>11277</v>
      </c>
      <c r="D1185" s="15" t="s">
        <v>11277</v>
      </c>
      <c r="E1185" s="15" t="s">
        <v>11</v>
      </c>
      <c r="F1185" s="15" t="s">
        <v>1717</v>
      </c>
      <c r="G1185" s="15" t="s">
        <v>12275</v>
      </c>
      <c r="H1185" s="15">
        <v>9</v>
      </c>
      <c r="I1185" s="15">
        <v>8</v>
      </c>
      <c r="J1185" s="15">
        <v>57</v>
      </c>
      <c r="K1185" s="15" t="str">
        <f t="shared" si="18"/>
        <v>westonwaters</v>
      </c>
      <c r="L1185" s="15" t="s">
        <v>11573</v>
      </c>
      <c r="M1185" s="15">
        <v>2</v>
      </c>
      <c r="N1185" s="15" t="s">
        <v>11223</v>
      </c>
      <c r="O1185" s="15"/>
      <c r="P1185" s="15"/>
      <c r="Q1185" s="15"/>
      <c r="R1185" s="15"/>
      <c r="S1185" s="15"/>
      <c r="T1185" s="15">
        <v>0</v>
      </c>
      <c r="U1185" s="15"/>
      <c r="V1185" s="15"/>
      <c r="W1185" s="15"/>
      <c r="X1185" s="15"/>
      <c r="Y1185" s="15"/>
      <c r="Z1185" s="15"/>
    </row>
    <row r="1186" spans="1:26" x14ac:dyDescent="0.25">
      <c r="A1186" s="15" t="s">
        <v>12676</v>
      </c>
      <c r="B1186" s="15">
        <v>1185</v>
      </c>
      <c r="C1186" s="15" t="s">
        <v>11277</v>
      </c>
      <c r="D1186" s="15" t="s">
        <v>11277</v>
      </c>
      <c r="E1186" s="15" t="s">
        <v>11</v>
      </c>
      <c r="F1186" s="15" t="s">
        <v>1717</v>
      </c>
      <c r="G1186" s="15" t="s">
        <v>12276</v>
      </c>
      <c r="H1186" s="15">
        <v>9</v>
      </c>
      <c r="I1186" s="15">
        <v>8</v>
      </c>
      <c r="J1186" s="15">
        <v>60</v>
      </c>
      <c r="K1186" s="15" t="str">
        <f t="shared" si="18"/>
        <v>westonwaters</v>
      </c>
      <c r="L1186" s="15" t="s">
        <v>11560</v>
      </c>
      <c r="M1186" s="15">
        <v>1</v>
      </c>
      <c r="N1186" s="15" t="s">
        <v>11222</v>
      </c>
      <c r="O1186" s="15"/>
      <c r="P1186" s="15"/>
      <c r="Q1186" s="15"/>
      <c r="R1186" s="15"/>
      <c r="S1186" s="15"/>
      <c r="T1186" s="15">
        <v>0</v>
      </c>
      <c r="U1186" s="15"/>
      <c r="V1186" s="15"/>
      <c r="W1186" s="15"/>
      <c r="X1186" s="15"/>
      <c r="Y1186" s="15"/>
      <c r="Z1186" s="15"/>
    </row>
    <row r="1187" spans="1:26" x14ac:dyDescent="0.25">
      <c r="A1187" s="15" t="s">
        <v>12678</v>
      </c>
      <c r="B1187" s="15">
        <v>1186</v>
      </c>
      <c r="C1187" s="15" t="s">
        <v>11277</v>
      </c>
      <c r="D1187" s="15" t="s">
        <v>11277</v>
      </c>
      <c r="E1187" s="15" t="s">
        <v>73</v>
      </c>
      <c r="F1187" s="15" t="s">
        <v>1717</v>
      </c>
      <c r="G1187" s="15" t="s">
        <v>12277</v>
      </c>
      <c r="H1187" s="15">
        <v>9</v>
      </c>
      <c r="I1187" s="15">
        <v>8</v>
      </c>
      <c r="J1187" s="15">
        <v>65</v>
      </c>
      <c r="K1187" s="15" t="str">
        <f t="shared" si="18"/>
        <v>westonwaters</v>
      </c>
      <c r="L1187" s="15" t="s">
        <v>11560</v>
      </c>
      <c r="M1187" s="15">
        <v>2</v>
      </c>
      <c r="N1187" s="15" t="s">
        <v>11223</v>
      </c>
      <c r="O1187" s="15"/>
      <c r="P1187" s="15"/>
      <c r="Q1187" s="15"/>
      <c r="R1187" s="15"/>
      <c r="S1187" s="15"/>
      <c r="T1187" s="15">
        <v>0</v>
      </c>
      <c r="U1187" s="15"/>
      <c r="V1187" s="15"/>
      <c r="W1187" s="15"/>
      <c r="X1187" s="15"/>
      <c r="Y1187" s="15"/>
      <c r="Z1187" s="15"/>
    </row>
    <row r="1188" spans="1:26" x14ac:dyDescent="0.25">
      <c r="A1188" s="15" t="s">
        <v>12680</v>
      </c>
      <c r="B1188" s="15">
        <v>1187</v>
      </c>
      <c r="C1188" s="15" t="s">
        <v>11277</v>
      </c>
      <c r="D1188" s="15" t="s">
        <v>11277</v>
      </c>
      <c r="E1188" s="15" t="s">
        <v>11</v>
      </c>
      <c r="F1188" s="15" t="s">
        <v>1717</v>
      </c>
      <c r="G1188" s="15" t="s">
        <v>12278</v>
      </c>
      <c r="H1188" s="15">
        <v>9</v>
      </c>
      <c r="I1188" s="15">
        <v>8</v>
      </c>
      <c r="J1188" s="15">
        <v>60</v>
      </c>
      <c r="K1188" s="15" t="str">
        <f t="shared" si="18"/>
        <v>westonwaters</v>
      </c>
      <c r="L1188" s="15" t="s">
        <v>11564</v>
      </c>
      <c r="M1188" s="15">
        <v>3</v>
      </c>
      <c r="N1188" s="15" t="s">
        <v>11223</v>
      </c>
      <c r="O1188" s="15"/>
      <c r="P1188" s="15"/>
      <c r="Q1188" s="15"/>
      <c r="R1188" s="15"/>
      <c r="S1188" s="15"/>
      <c r="T1188" s="15">
        <v>0</v>
      </c>
      <c r="U1188" s="15" t="s">
        <v>5908</v>
      </c>
      <c r="V1188" s="15"/>
      <c r="W1188" s="15"/>
      <c r="X1188" s="15" t="s">
        <v>5970</v>
      </c>
      <c r="Y1188" s="15"/>
      <c r="Z1188" s="15"/>
    </row>
    <row r="1189" spans="1:26" x14ac:dyDescent="0.25">
      <c r="A1189" s="15" t="s">
        <v>12682</v>
      </c>
      <c r="B1189" s="15">
        <v>1188</v>
      </c>
      <c r="C1189" s="15" t="s">
        <v>11277</v>
      </c>
      <c r="D1189" s="15" t="s">
        <v>11277</v>
      </c>
      <c r="E1189" s="15" t="s">
        <v>11</v>
      </c>
      <c r="F1189" s="15" t="s">
        <v>1728</v>
      </c>
      <c r="G1189" s="15" t="s">
        <v>12155</v>
      </c>
      <c r="H1189" s="15">
        <v>29</v>
      </c>
      <c r="I1189" s="15">
        <v>25</v>
      </c>
      <c r="J1189" s="15">
        <v>53</v>
      </c>
      <c r="K1189" s="15" t="str">
        <f t="shared" si="18"/>
        <v>landlordcolony</v>
      </c>
      <c r="L1189" s="15" t="s">
        <v>11560</v>
      </c>
      <c r="M1189" s="15">
        <v>1</v>
      </c>
      <c r="N1189" s="15" t="s">
        <v>11222</v>
      </c>
      <c r="O1189" s="15"/>
      <c r="P1189" s="15"/>
      <c r="Q1189" s="15"/>
      <c r="R1189" s="15"/>
      <c r="S1189" s="15"/>
      <c r="T1189" s="15">
        <v>0</v>
      </c>
      <c r="U1189" s="15"/>
      <c r="V1189" s="15"/>
      <c r="W1189" s="15"/>
      <c r="X1189" s="15"/>
      <c r="Y1189" s="15"/>
      <c r="Z1189" s="15"/>
    </row>
    <row r="1190" spans="1:26" x14ac:dyDescent="0.25">
      <c r="A1190" s="15" t="s">
        <v>12684</v>
      </c>
      <c r="B1190" s="15">
        <v>1189</v>
      </c>
      <c r="C1190" s="15" t="s">
        <v>11277</v>
      </c>
      <c r="D1190" s="15" t="s">
        <v>11277</v>
      </c>
      <c r="E1190" s="15" t="s">
        <v>11</v>
      </c>
      <c r="F1190" s="15" t="s">
        <v>1728</v>
      </c>
      <c r="G1190" s="15" t="s">
        <v>12279</v>
      </c>
      <c r="H1190" s="15">
        <v>29</v>
      </c>
      <c r="I1190" s="15">
        <v>25</v>
      </c>
      <c r="J1190" s="15">
        <v>58</v>
      </c>
      <c r="K1190" s="15" t="str">
        <f t="shared" si="18"/>
        <v>landlordcolony</v>
      </c>
      <c r="L1190" s="15" t="s">
        <v>11568</v>
      </c>
      <c r="M1190" s="15">
        <v>1</v>
      </c>
      <c r="N1190" s="15" t="s">
        <v>11222</v>
      </c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spans="1:26" x14ac:dyDescent="0.25">
      <c r="A1191" s="15" t="s">
        <v>12686</v>
      </c>
      <c r="B1191" s="15">
        <v>1190</v>
      </c>
      <c r="C1191" s="15" t="s">
        <v>11277</v>
      </c>
      <c r="D1191" s="15" t="s">
        <v>11277</v>
      </c>
      <c r="E1191" s="15" t="s">
        <v>11</v>
      </c>
      <c r="F1191" s="15" t="s">
        <v>1728</v>
      </c>
      <c r="G1191" s="15" t="s">
        <v>12280</v>
      </c>
      <c r="H1191" s="15">
        <v>29</v>
      </c>
      <c r="I1191" s="15">
        <v>25</v>
      </c>
      <c r="J1191" s="15">
        <v>55</v>
      </c>
      <c r="K1191" s="15" t="str">
        <f t="shared" si="18"/>
        <v>landlordcolony</v>
      </c>
      <c r="L1191" s="15" t="s">
        <v>11568</v>
      </c>
      <c r="M1191" s="15">
        <v>2</v>
      </c>
      <c r="N1191" s="15" t="s">
        <v>11223</v>
      </c>
      <c r="O1191" s="15"/>
      <c r="P1191" s="15"/>
      <c r="Q1191" s="15" t="s">
        <v>12155</v>
      </c>
      <c r="R1191" s="15"/>
      <c r="S1191" s="15"/>
      <c r="T1191" s="15">
        <v>0</v>
      </c>
      <c r="U1191" s="15"/>
      <c r="V1191" s="15"/>
      <c r="W1191" s="15"/>
      <c r="X1191" s="15"/>
      <c r="Y1191" s="15"/>
      <c r="Z1191" s="15"/>
    </row>
    <row r="1192" spans="1:26" x14ac:dyDescent="0.25">
      <c r="A1192" s="15" t="s">
        <v>12688</v>
      </c>
      <c r="B1192" s="15">
        <v>1191</v>
      </c>
      <c r="C1192" s="15" t="s">
        <v>11277</v>
      </c>
      <c r="D1192" s="15" t="s">
        <v>11277</v>
      </c>
      <c r="E1192" s="15" t="s">
        <v>11</v>
      </c>
      <c r="F1192" s="15" t="s">
        <v>1728</v>
      </c>
      <c r="G1192" s="15" t="s">
        <v>15162</v>
      </c>
      <c r="H1192" s="15">
        <v>29</v>
      </c>
      <c r="I1192" s="15">
        <v>25</v>
      </c>
      <c r="J1192" s="15">
        <v>56</v>
      </c>
      <c r="K1192" s="15" t="str">
        <f t="shared" si="18"/>
        <v>landlordcolony</v>
      </c>
      <c r="L1192" s="15" t="s">
        <v>11568</v>
      </c>
      <c r="M1192" s="15">
        <v>1</v>
      </c>
      <c r="N1192" s="15" t="s">
        <v>11222</v>
      </c>
      <c r="O1192" s="15"/>
      <c r="P1192" s="15"/>
      <c r="Q1192" s="15" t="s">
        <v>12155</v>
      </c>
      <c r="R1192" s="15"/>
      <c r="S1192" s="15"/>
      <c r="T1192" s="15">
        <v>0</v>
      </c>
      <c r="U1192" s="15"/>
      <c r="V1192" s="15"/>
      <c r="W1192" s="15"/>
      <c r="X1192" s="15"/>
      <c r="Y1192" s="15"/>
      <c r="Z1192" s="15"/>
    </row>
    <row r="1193" spans="1:26" x14ac:dyDescent="0.25">
      <c r="A1193" s="15" t="s">
        <v>12690</v>
      </c>
      <c r="B1193" s="15">
        <v>1192</v>
      </c>
      <c r="C1193" s="15" t="s">
        <v>11277</v>
      </c>
      <c r="D1193" s="15" t="s">
        <v>11277</v>
      </c>
      <c r="E1193" s="15" t="s">
        <v>11</v>
      </c>
      <c r="F1193" s="15" t="s">
        <v>1728</v>
      </c>
      <c r="G1193" s="15" t="s">
        <v>12281</v>
      </c>
      <c r="H1193" s="15">
        <v>29</v>
      </c>
      <c r="I1193" s="15">
        <v>25</v>
      </c>
      <c r="J1193" s="15">
        <v>58</v>
      </c>
      <c r="K1193" s="15" t="str">
        <f t="shared" si="18"/>
        <v>landlordcolony</v>
      </c>
      <c r="L1193" s="15" t="s">
        <v>12153</v>
      </c>
      <c r="M1193" s="15">
        <v>2</v>
      </c>
      <c r="N1193" s="15" t="s">
        <v>11223</v>
      </c>
      <c r="O1193" s="15"/>
      <c r="P1193" s="15"/>
      <c r="Q1193" s="15" t="s">
        <v>12155</v>
      </c>
      <c r="R1193" s="15"/>
      <c r="S1193" s="15"/>
      <c r="T1193" s="15">
        <v>0</v>
      </c>
      <c r="U1193" s="15"/>
      <c r="V1193" s="15"/>
      <c r="W1193" s="15"/>
      <c r="X1193" s="15"/>
      <c r="Y1193" s="15"/>
      <c r="Z1193" s="15"/>
    </row>
    <row r="1194" spans="1:26" x14ac:dyDescent="0.25">
      <c r="A1194" s="15" t="s">
        <v>12692</v>
      </c>
      <c r="B1194" s="15">
        <v>1193</v>
      </c>
      <c r="C1194" s="15" t="s">
        <v>11277</v>
      </c>
      <c r="D1194" s="15" t="s">
        <v>11277</v>
      </c>
      <c r="E1194" s="15" t="s">
        <v>11</v>
      </c>
      <c r="F1194" s="15" t="s">
        <v>1728</v>
      </c>
      <c r="G1194" s="15" t="s">
        <v>12282</v>
      </c>
      <c r="H1194" s="15">
        <v>29</v>
      </c>
      <c r="I1194" s="15">
        <v>25</v>
      </c>
      <c r="J1194" s="15">
        <v>58</v>
      </c>
      <c r="K1194" s="15" t="str">
        <f t="shared" si="18"/>
        <v>landlordcolony</v>
      </c>
      <c r="L1194" s="15" t="s">
        <v>12153</v>
      </c>
      <c r="M1194" s="15">
        <v>1</v>
      </c>
      <c r="N1194" s="15" t="s">
        <v>11222</v>
      </c>
      <c r="O1194" s="15"/>
      <c r="P1194" s="15"/>
      <c r="Q1194" s="15" t="s">
        <v>12155</v>
      </c>
      <c r="R1194" s="15"/>
      <c r="S1194" s="15"/>
      <c r="T1194" s="15">
        <v>0</v>
      </c>
      <c r="U1194" s="15"/>
      <c r="V1194" s="15"/>
      <c r="W1194" s="15"/>
      <c r="X1194" s="15"/>
      <c r="Y1194" s="15"/>
      <c r="Z1194" s="15"/>
    </row>
    <row r="1195" spans="1:26" x14ac:dyDescent="0.25">
      <c r="A1195" s="15" t="s">
        <v>12694</v>
      </c>
      <c r="B1195" s="15">
        <v>1194</v>
      </c>
      <c r="C1195" s="15" t="s">
        <v>11277</v>
      </c>
      <c r="D1195" s="15" t="s">
        <v>11277</v>
      </c>
      <c r="E1195" s="15" t="s">
        <v>11</v>
      </c>
      <c r="F1195" s="15" t="s">
        <v>1728</v>
      </c>
      <c r="G1195" s="15" t="s">
        <v>12283</v>
      </c>
      <c r="H1195" s="15">
        <v>29</v>
      </c>
      <c r="I1195" s="15">
        <v>25</v>
      </c>
      <c r="J1195" s="15">
        <v>60</v>
      </c>
      <c r="K1195" s="15" t="str">
        <f t="shared" si="18"/>
        <v>landlordcolony</v>
      </c>
      <c r="L1195" s="15" t="s">
        <v>12153</v>
      </c>
      <c r="M1195" s="15">
        <v>2</v>
      </c>
      <c r="N1195" s="15" t="s">
        <v>11223</v>
      </c>
      <c r="O1195" s="15" t="s">
        <v>14030</v>
      </c>
      <c r="P1195" s="15"/>
      <c r="Q1195" s="15"/>
      <c r="R1195" s="15"/>
      <c r="S1195" s="15"/>
      <c r="T1195" s="15">
        <v>0</v>
      </c>
      <c r="U1195" s="15" t="s">
        <v>5893</v>
      </c>
      <c r="V1195" s="15" t="s">
        <v>5892</v>
      </c>
      <c r="W1195" s="15"/>
      <c r="X1195" s="15"/>
      <c r="Y1195" s="15"/>
      <c r="Z1195" s="15"/>
    </row>
    <row r="1196" spans="1:26" x14ac:dyDescent="0.25">
      <c r="A1196" s="15" t="s">
        <v>12696</v>
      </c>
      <c r="B1196" s="15">
        <v>1195</v>
      </c>
      <c r="C1196" s="15" t="s">
        <v>11277</v>
      </c>
      <c r="D1196" s="15" t="s">
        <v>11277</v>
      </c>
      <c r="E1196" s="15" t="s">
        <v>11</v>
      </c>
      <c r="F1196" s="15" t="s">
        <v>1728</v>
      </c>
      <c r="G1196" s="15" t="s">
        <v>12284</v>
      </c>
      <c r="H1196" s="15">
        <v>29</v>
      </c>
      <c r="I1196" s="15">
        <v>25</v>
      </c>
      <c r="J1196" s="15">
        <v>60</v>
      </c>
      <c r="K1196" s="15" t="str">
        <f t="shared" si="18"/>
        <v>landlordcolony</v>
      </c>
      <c r="L1196" s="15" t="s">
        <v>12153</v>
      </c>
      <c r="M1196" s="15">
        <v>3</v>
      </c>
      <c r="N1196" s="15" t="s">
        <v>11222</v>
      </c>
      <c r="O1196" s="15" t="s">
        <v>11302</v>
      </c>
      <c r="P1196" s="15"/>
      <c r="Q1196" s="15"/>
      <c r="R1196" s="15"/>
      <c r="S1196" s="15"/>
      <c r="T1196" s="15">
        <v>0</v>
      </c>
      <c r="U1196" s="15" t="s">
        <v>5893</v>
      </c>
      <c r="V1196" s="15" t="s">
        <v>5892</v>
      </c>
      <c r="W1196" s="15"/>
      <c r="X1196" s="15"/>
      <c r="Y1196" s="15"/>
      <c r="Z1196" s="15"/>
    </row>
    <row r="1197" spans="1:26" x14ac:dyDescent="0.25">
      <c r="A1197" s="15" t="s">
        <v>12698</v>
      </c>
      <c r="B1197" s="15">
        <v>1196</v>
      </c>
      <c r="C1197" s="15" t="s">
        <v>11277</v>
      </c>
      <c r="D1197" s="15" t="s">
        <v>11277</v>
      </c>
      <c r="E1197" s="15" t="s">
        <v>11</v>
      </c>
      <c r="F1197" s="15" t="s">
        <v>15163</v>
      </c>
      <c r="G1197" s="15" t="s">
        <v>12155</v>
      </c>
      <c r="H1197" s="15">
        <v>18</v>
      </c>
      <c r="I1197" s="15">
        <v>39</v>
      </c>
      <c r="J1197" s="15">
        <v>53</v>
      </c>
      <c r="K1197" s="15" t="str">
        <f t="shared" si="18"/>
        <v>sohmalsummit</v>
      </c>
      <c r="L1197" s="15" t="s">
        <v>11568</v>
      </c>
      <c r="M1197" s="15">
        <v>1</v>
      </c>
      <c r="N1197" s="15" t="s">
        <v>11222</v>
      </c>
      <c r="O1197" s="15"/>
      <c r="P1197" s="15"/>
      <c r="Q1197" s="15"/>
      <c r="R1197" s="15"/>
      <c r="S1197" s="15"/>
      <c r="T1197" s="15">
        <v>0</v>
      </c>
      <c r="U1197" s="15"/>
      <c r="V1197" s="15"/>
      <c r="W1197" s="15"/>
      <c r="X1197" s="15"/>
      <c r="Y1197" s="15"/>
      <c r="Z1197" s="15"/>
    </row>
    <row r="1198" spans="1:26" x14ac:dyDescent="0.25">
      <c r="A1198" s="15" t="s">
        <v>12700</v>
      </c>
      <c r="B1198" s="15">
        <v>1197</v>
      </c>
      <c r="C1198" s="15" t="s">
        <v>11277</v>
      </c>
      <c r="D1198" s="15" t="s">
        <v>11277</v>
      </c>
      <c r="E1198" s="15" t="s">
        <v>11</v>
      </c>
      <c r="F1198" s="15" t="s">
        <v>15163</v>
      </c>
      <c r="G1198" s="15" t="s">
        <v>12279</v>
      </c>
      <c r="H1198" s="15">
        <v>18</v>
      </c>
      <c r="I1198" s="15">
        <v>39</v>
      </c>
      <c r="J1198" s="15">
        <v>58</v>
      </c>
      <c r="K1198" s="15" t="str">
        <f t="shared" si="18"/>
        <v>sohmalsummit</v>
      </c>
      <c r="L1198" s="15" t="s">
        <v>11568</v>
      </c>
      <c r="M1198" s="15">
        <v>1</v>
      </c>
      <c r="N1198" s="15" t="s">
        <v>11222</v>
      </c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spans="1:26" x14ac:dyDescent="0.25">
      <c r="A1199" s="15" t="s">
        <v>12702</v>
      </c>
      <c r="B1199" s="15">
        <v>1198</v>
      </c>
      <c r="C1199" s="15" t="s">
        <v>11277</v>
      </c>
      <c r="D1199" s="15" t="s">
        <v>11277</v>
      </c>
      <c r="E1199" s="15" t="s">
        <v>11</v>
      </c>
      <c r="F1199" s="15" t="s">
        <v>15163</v>
      </c>
      <c r="G1199" s="15" t="s">
        <v>12280</v>
      </c>
      <c r="H1199" s="15">
        <v>18</v>
      </c>
      <c r="I1199" s="15">
        <v>39</v>
      </c>
      <c r="J1199" s="15">
        <v>55</v>
      </c>
      <c r="K1199" s="15" t="str">
        <f t="shared" si="18"/>
        <v>sohmalsummit</v>
      </c>
      <c r="L1199" s="15" t="s">
        <v>11568</v>
      </c>
      <c r="M1199" s="15">
        <v>2</v>
      </c>
      <c r="N1199" s="15" t="s">
        <v>11223</v>
      </c>
      <c r="O1199" s="15"/>
      <c r="P1199" s="15"/>
      <c r="Q1199" s="15"/>
      <c r="R1199" s="15"/>
      <c r="S1199" s="15"/>
      <c r="T1199" s="15">
        <v>0</v>
      </c>
      <c r="U1199" s="15"/>
      <c r="V1199" s="15"/>
      <c r="W1199" s="15"/>
      <c r="X1199" s="15"/>
      <c r="Y1199" s="15"/>
      <c r="Z1199" s="15"/>
    </row>
    <row r="1200" spans="1:26" x14ac:dyDescent="0.25">
      <c r="A1200" s="15" t="s">
        <v>12704</v>
      </c>
      <c r="B1200" s="15">
        <v>1199</v>
      </c>
      <c r="C1200" s="15" t="s">
        <v>11277</v>
      </c>
      <c r="D1200" s="15" t="s">
        <v>11277</v>
      </c>
      <c r="E1200" s="15" t="s">
        <v>11</v>
      </c>
      <c r="F1200" s="15" t="s">
        <v>15163</v>
      </c>
      <c r="G1200" s="15" t="s">
        <v>12196</v>
      </c>
      <c r="H1200" s="15">
        <v>18</v>
      </c>
      <c r="I1200" s="15">
        <v>39</v>
      </c>
      <c r="J1200" s="15">
        <v>58</v>
      </c>
      <c r="K1200" s="15" t="str">
        <f t="shared" si="18"/>
        <v>sohmalsummit</v>
      </c>
      <c r="L1200" s="15" t="s">
        <v>12153</v>
      </c>
      <c r="M1200" s="15">
        <v>2</v>
      </c>
      <c r="N1200" s="15" t="s">
        <v>11223</v>
      </c>
      <c r="O1200" s="15"/>
      <c r="P1200" s="15"/>
      <c r="Q1200" s="15" t="s">
        <v>12155</v>
      </c>
      <c r="R1200" s="15"/>
      <c r="S1200" s="15"/>
      <c r="T1200" s="15">
        <v>0</v>
      </c>
      <c r="U1200" s="15"/>
      <c r="V1200" s="15"/>
      <c r="W1200" s="15"/>
      <c r="X1200" s="15"/>
      <c r="Y1200" s="15"/>
      <c r="Z1200" s="15"/>
    </row>
    <row r="1201" spans="1:26" x14ac:dyDescent="0.25">
      <c r="A1201" s="15" t="s">
        <v>12706</v>
      </c>
      <c r="B1201" s="15">
        <v>1200</v>
      </c>
      <c r="C1201" s="15" t="s">
        <v>11277</v>
      </c>
      <c r="D1201" s="15" t="s">
        <v>11277</v>
      </c>
      <c r="E1201" s="15" t="s">
        <v>11</v>
      </c>
      <c r="F1201" s="15" t="s">
        <v>15163</v>
      </c>
      <c r="G1201" s="15" t="s">
        <v>12285</v>
      </c>
      <c r="H1201" s="15">
        <v>18</v>
      </c>
      <c r="I1201" s="15">
        <v>39</v>
      </c>
      <c r="J1201" s="15">
        <v>56</v>
      </c>
      <c r="K1201" s="15" t="str">
        <f t="shared" si="18"/>
        <v>sohmalsummit</v>
      </c>
      <c r="L1201" s="15" t="s">
        <v>12153</v>
      </c>
      <c r="M1201" s="15">
        <v>1</v>
      </c>
      <c r="N1201" s="15" t="s">
        <v>11222</v>
      </c>
      <c r="O1201" s="15"/>
      <c r="P1201" s="15"/>
      <c r="Q1201" s="15" t="s">
        <v>12196</v>
      </c>
      <c r="R1201" s="15"/>
      <c r="S1201" s="15"/>
      <c r="T1201" s="15">
        <v>0</v>
      </c>
      <c r="U1201" s="15"/>
      <c r="V1201" s="15"/>
      <c r="W1201" s="15"/>
      <c r="X1201" s="15"/>
      <c r="Y1201" s="15"/>
      <c r="Z1201" s="15"/>
    </row>
    <row r="1202" spans="1:26" x14ac:dyDescent="0.25">
      <c r="A1202" s="15" t="s">
        <v>12708</v>
      </c>
      <c r="B1202" s="15">
        <v>1201</v>
      </c>
      <c r="C1202" s="15" t="s">
        <v>11277</v>
      </c>
      <c r="D1202" s="15" t="s">
        <v>11277</v>
      </c>
      <c r="E1202" s="15" t="s">
        <v>11</v>
      </c>
      <c r="F1202" s="15" t="s">
        <v>15163</v>
      </c>
      <c r="G1202" s="15" t="s">
        <v>12286</v>
      </c>
      <c r="H1202" s="15">
        <v>18</v>
      </c>
      <c r="I1202" s="15">
        <v>39</v>
      </c>
      <c r="J1202" s="15">
        <v>58</v>
      </c>
      <c r="K1202" s="15" t="str">
        <f t="shared" si="18"/>
        <v>sohmalsummit</v>
      </c>
      <c r="L1202" s="15" t="s">
        <v>12153</v>
      </c>
      <c r="M1202" s="15">
        <v>1</v>
      </c>
      <c r="N1202" s="15" t="s">
        <v>11222</v>
      </c>
      <c r="O1202" s="15"/>
      <c r="P1202" s="15"/>
      <c r="Q1202" s="15" t="s">
        <v>12155</v>
      </c>
      <c r="R1202" s="15" t="s">
        <v>12196</v>
      </c>
      <c r="S1202" s="15"/>
      <c r="T1202" s="15">
        <v>0</v>
      </c>
      <c r="U1202" s="15"/>
      <c r="V1202" s="15"/>
      <c r="W1202" s="15"/>
      <c r="X1202" s="15"/>
      <c r="Y1202" s="15"/>
      <c r="Z1202" s="15"/>
    </row>
    <row r="1203" spans="1:26" x14ac:dyDescent="0.25">
      <c r="A1203" s="15" t="s">
        <v>12710</v>
      </c>
      <c r="B1203" s="15">
        <v>1202</v>
      </c>
      <c r="C1203" s="15" t="s">
        <v>11277</v>
      </c>
      <c r="D1203" s="15" t="s">
        <v>11277</v>
      </c>
      <c r="E1203" s="15" t="s">
        <v>11</v>
      </c>
      <c r="F1203" s="15" t="s">
        <v>15163</v>
      </c>
      <c r="G1203" s="15" t="s">
        <v>51</v>
      </c>
      <c r="H1203" s="15">
        <v>18</v>
      </c>
      <c r="I1203" s="15">
        <v>39</v>
      </c>
      <c r="J1203" s="15">
        <v>58</v>
      </c>
      <c r="K1203" s="15" t="str">
        <f t="shared" si="18"/>
        <v>sohmalsummit</v>
      </c>
      <c r="L1203" s="15" t="s">
        <v>12153</v>
      </c>
      <c r="M1203" s="15">
        <v>3</v>
      </c>
      <c r="N1203" s="15" t="s">
        <v>11223</v>
      </c>
      <c r="O1203" s="15" t="s">
        <v>14013</v>
      </c>
      <c r="P1203" s="15"/>
      <c r="Q1203" s="15" t="s">
        <v>12155</v>
      </c>
      <c r="R1203" s="15" t="s">
        <v>12196</v>
      </c>
      <c r="S1203" s="15"/>
      <c r="T1203" s="15">
        <v>0</v>
      </c>
      <c r="U1203" s="15"/>
      <c r="V1203" s="15"/>
      <c r="W1203" s="15"/>
      <c r="X1203" s="15"/>
      <c r="Y1203" s="15"/>
      <c r="Z1203" s="15"/>
    </row>
    <row r="1204" spans="1:26" x14ac:dyDescent="0.25">
      <c r="A1204" s="15" t="s">
        <v>12712</v>
      </c>
      <c r="B1204" s="15">
        <v>1203</v>
      </c>
      <c r="C1204" s="15" t="s">
        <v>11277</v>
      </c>
      <c r="D1204" s="15" t="s">
        <v>11277</v>
      </c>
      <c r="E1204" s="15" t="s">
        <v>11</v>
      </c>
      <c r="F1204" s="15" t="s">
        <v>15163</v>
      </c>
      <c r="G1204" s="15" t="s">
        <v>12287</v>
      </c>
      <c r="H1204" s="15">
        <v>18</v>
      </c>
      <c r="I1204" s="15">
        <v>39</v>
      </c>
      <c r="J1204" s="15">
        <v>60</v>
      </c>
      <c r="K1204" s="15" t="str">
        <f t="shared" si="18"/>
        <v>sohmalsummit</v>
      </c>
      <c r="L1204" s="15" t="s">
        <v>14088</v>
      </c>
      <c r="M1204" s="15">
        <v>3</v>
      </c>
      <c r="N1204" s="15" t="s">
        <v>11223</v>
      </c>
      <c r="O1204" s="15"/>
      <c r="P1204" s="15"/>
      <c r="Q1204" s="15" t="s">
        <v>12196</v>
      </c>
      <c r="R1204" s="15"/>
      <c r="S1204" s="15"/>
      <c r="T1204" s="15">
        <v>0</v>
      </c>
      <c r="U1204" s="15" t="s">
        <v>5970</v>
      </c>
      <c r="V1204" s="15"/>
      <c r="W1204" s="15"/>
      <c r="X1204" s="15"/>
      <c r="Y1204" s="15"/>
      <c r="Z1204" s="15"/>
    </row>
    <row r="1205" spans="1:26" x14ac:dyDescent="0.25">
      <c r="A1205" s="15" t="s">
        <v>12714</v>
      </c>
      <c r="B1205" s="15">
        <v>1204</v>
      </c>
      <c r="C1205" s="15" t="s">
        <v>11277</v>
      </c>
      <c r="D1205" s="15" t="s">
        <v>11277</v>
      </c>
      <c r="E1205" s="15" t="s">
        <v>11</v>
      </c>
      <c r="F1205" s="15" t="s">
        <v>5838</v>
      </c>
      <c r="G1205" s="15" t="s">
        <v>12155</v>
      </c>
      <c r="H1205" s="15">
        <v>20</v>
      </c>
      <c r="I1205" s="15">
        <v>6</v>
      </c>
      <c r="J1205" s="15">
        <v>53</v>
      </c>
      <c r="K1205" s="15" t="str">
        <f t="shared" si="18"/>
        <v>tharloomkhash</v>
      </c>
      <c r="L1205" s="15" t="s">
        <v>11560</v>
      </c>
      <c r="M1205" s="15">
        <v>1</v>
      </c>
      <c r="N1205" s="15" t="s">
        <v>11222</v>
      </c>
      <c r="O1205" s="15"/>
      <c r="P1205" s="15"/>
      <c r="Q1205" s="15"/>
      <c r="R1205" s="15"/>
      <c r="S1205" s="15"/>
      <c r="T1205" s="15">
        <v>0</v>
      </c>
      <c r="U1205" s="15"/>
      <c r="V1205" s="15"/>
      <c r="W1205" s="15"/>
      <c r="X1205" s="15"/>
      <c r="Y1205" s="15"/>
      <c r="Z1205" s="15"/>
    </row>
    <row r="1206" spans="1:26" x14ac:dyDescent="0.25">
      <c r="A1206" s="15" t="s">
        <v>12716</v>
      </c>
      <c r="B1206" s="15">
        <v>1205</v>
      </c>
      <c r="C1206" s="15" t="s">
        <v>11277</v>
      </c>
      <c r="D1206" s="15" t="s">
        <v>11277</v>
      </c>
      <c r="E1206" s="15" t="s">
        <v>11</v>
      </c>
      <c r="F1206" s="15" t="s">
        <v>5838</v>
      </c>
      <c r="G1206" s="15" t="s">
        <v>12280</v>
      </c>
      <c r="H1206" s="15">
        <v>20</v>
      </c>
      <c r="I1206" s="15">
        <v>6</v>
      </c>
      <c r="J1206" s="15">
        <v>55</v>
      </c>
      <c r="K1206" s="15" t="str">
        <f t="shared" si="18"/>
        <v>tharloomkhash</v>
      </c>
      <c r="L1206" s="15" t="s">
        <v>11568</v>
      </c>
      <c r="M1206" s="15">
        <v>2</v>
      </c>
      <c r="N1206" s="15" t="s">
        <v>11223</v>
      </c>
      <c r="O1206" s="15"/>
      <c r="P1206" s="15"/>
      <c r="Q1206" s="15" t="s">
        <v>12155</v>
      </c>
      <c r="R1206" s="15"/>
      <c r="S1206" s="15"/>
      <c r="T1206" s="15">
        <v>0</v>
      </c>
      <c r="U1206" s="15"/>
      <c r="V1206" s="15"/>
      <c r="W1206" s="15"/>
      <c r="X1206" s="15"/>
      <c r="Y1206" s="15"/>
      <c r="Z1206" s="15"/>
    </row>
    <row r="1207" spans="1:26" x14ac:dyDescent="0.25">
      <c r="A1207" s="15" t="s">
        <v>12718</v>
      </c>
      <c r="B1207" s="15">
        <v>1206</v>
      </c>
      <c r="C1207" s="15" t="s">
        <v>11277</v>
      </c>
      <c r="D1207" s="15" t="s">
        <v>11277</v>
      </c>
      <c r="E1207" s="15" t="s">
        <v>11</v>
      </c>
      <c r="F1207" s="15" t="s">
        <v>5838</v>
      </c>
      <c r="G1207" s="15" t="s">
        <v>12196</v>
      </c>
      <c r="H1207" s="15">
        <v>20</v>
      </c>
      <c r="I1207" s="15">
        <v>6</v>
      </c>
      <c r="J1207" s="15">
        <v>58</v>
      </c>
      <c r="K1207" s="15" t="str">
        <f t="shared" si="18"/>
        <v>tharloomkhash</v>
      </c>
      <c r="L1207" s="15" t="s">
        <v>12153</v>
      </c>
      <c r="M1207" s="15">
        <v>2</v>
      </c>
      <c r="N1207" s="15" t="s">
        <v>11223</v>
      </c>
      <c r="O1207" s="15"/>
      <c r="P1207" s="15"/>
      <c r="Q1207" s="15" t="s">
        <v>12155</v>
      </c>
      <c r="R1207" s="15"/>
      <c r="S1207" s="15"/>
      <c r="T1207" s="15">
        <v>0</v>
      </c>
      <c r="U1207" s="15"/>
      <c r="V1207" s="15"/>
      <c r="W1207" s="15"/>
      <c r="X1207" s="15"/>
      <c r="Y1207" s="15"/>
      <c r="Z1207" s="15"/>
    </row>
    <row r="1208" spans="1:26" x14ac:dyDescent="0.25">
      <c r="A1208" s="15" t="s">
        <v>12720</v>
      </c>
      <c r="B1208" s="15">
        <v>1207</v>
      </c>
      <c r="C1208" s="15" t="s">
        <v>11277</v>
      </c>
      <c r="D1208" s="15" t="s">
        <v>11277</v>
      </c>
      <c r="E1208" s="15" t="s">
        <v>11</v>
      </c>
      <c r="F1208" s="15" t="s">
        <v>5838</v>
      </c>
      <c r="G1208" s="15" t="s">
        <v>36</v>
      </c>
      <c r="H1208" s="15">
        <v>20</v>
      </c>
      <c r="I1208" s="15">
        <v>6</v>
      </c>
      <c r="J1208" s="15">
        <v>56</v>
      </c>
      <c r="K1208" s="15" t="str">
        <f t="shared" si="18"/>
        <v>tharloomkhash</v>
      </c>
      <c r="L1208" s="15" t="s">
        <v>14088</v>
      </c>
      <c r="M1208" s="15">
        <v>2</v>
      </c>
      <c r="N1208" s="15" t="s">
        <v>11223</v>
      </c>
      <c r="O1208" s="15" t="s">
        <v>14015</v>
      </c>
      <c r="P1208" s="15"/>
      <c r="Q1208" s="15" t="s">
        <v>12155</v>
      </c>
      <c r="R1208" s="15" t="s">
        <v>12196</v>
      </c>
      <c r="S1208" s="15"/>
      <c r="T1208" s="15">
        <v>0</v>
      </c>
      <c r="U1208" s="15"/>
      <c r="V1208" s="15"/>
      <c r="W1208" s="15"/>
      <c r="X1208" s="15"/>
      <c r="Y1208" s="15"/>
      <c r="Z1208" s="15"/>
    </row>
    <row r="1209" spans="1:26" x14ac:dyDescent="0.25">
      <c r="A1209" s="15" t="s">
        <v>12722</v>
      </c>
      <c r="B1209" s="15">
        <v>1208</v>
      </c>
      <c r="C1209" s="15" t="s">
        <v>11277</v>
      </c>
      <c r="D1209" s="15" t="s">
        <v>11277</v>
      </c>
      <c r="E1209" s="15" t="s">
        <v>11</v>
      </c>
      <c r="F1209" s="15" t="s">
        <v>5838</v>
      </c>
      <c r="G1209" s="15" t="s">
        <v>12288</v>
      </c>
      <c r="H1209" s="15">
        <v>20</v>
      </c>
      <c r="I1209" s="15">
        <v>6</v>
      </c>
      <c r="J1209" s="15">
        <v>57</v>
      </c>
      <c r="K1209" s="15" t="str">
        <f t="shared" si="18"/>
        <v>tharloomkhash</v>
      </c>
      <c r="L1209" s="15" t="s">
        <v>11568</v>
      </c>
      <c r="M1209" s="15">
        <v>2</v>
      </c>
      <c r="N1209" s="15" t="s">
        <v>11223</v>
      </c>
      <c r="O1209" s="15"/>
      <c r="P1209" s="15"/>
      <c r="Q1209" s="15" t="s">
        <v>12196</v>
      </c>
      <c r="R1209" s="15"/>
      <c r="S1209" s="15"/>
      <c r="T1209" s="15">
        <v>0</v>
      </c>
      <c r="U1209" s="15" t="s">
        <v>5908</v>
      </c>
      <c r="V1209" s="15"/>
      <c r="W1209" s="15"/>
      <c r="X1209" s="15"/>
      <c r="Y1209" s="15"/>
      <c r="Z1209" s="15"/>
    </row>
    <row r="1210" spans="1:26" x14ac:dyDescent="0.25">
      <c r="A1210" s="15" t="s">
        <v>12724</v>
      </c>
      <c r="B1210" s="15">
        <v>1209</v>
      </c>
      <c r="C1210" s="15" t="s">
        <v>11277</v>
      </c>
      <c r="D1210" s="15" t="s">
        <v>11277</v>
      </c>
      <c r="E1210" s="15" t="s">
        <v>11</v>
      </c>
      <c r="F1210" s="15" t="s">
        <v>5838</v>
      </c>
      <c r="G1210" s="15" t="s">
        <v>12200</v>
      </c>
      <c r="H1210" s="15">
        <v>20</v>
      </c>
      <c r="I1210" s="15">
        <v>6</v>
      </c>
      <c r="J1210" s="15">
        <v>59</v>
      </c>
      <c r="K1210" s="15" t="str">
        <f t="shared" si="18"/>
        <v>tharloomkhash</v>
      </c>
      <c r="L1210" s="15" t="s">
        <v>14088</v>
      </c>
      <c r="M1210" s="15">
        <v>2</v>
      </c>
      <c r="N1210" s="15" t="s">
        <v>11223</v>
      </c>
      <c r="O1210" s="15"/>
      <c r="P1210" s="15"/>
      <c r="Q1210" s="15" t="s">
        <v>12196</v>
      </c>
      <c r="R1210" s="15"/>
      <c r="S1210" s="15"/>
      <c r="T1210" s="15">
        <v>0</v>
      </c>
      <c r="U1210" s="15"/>
      <c r="V1210" s="15"/>
      <c r="W1210" s="15"/>
      <c r="X1210" s="15"/>
      <c r="Y1210" s="15"/>
      <c r="Z1210" s="15"/>
    </row>
    <row r="1211" spans="1:26" x14ac:dyDescent="0.25">
      <c r="A1211" s="15" t="s">
        <v>12726</v>
      </c>
      <c r="B1211" s="15">
        <v>1210</v>
      </c>
      <c r="C1211" s="15" t="s">
        <v>11277</v>
      </c>
      <c r="D1211" s="15" t="s">
        <v>11277</v>
      </c>
      <c r="E1211" s="15" t="s">
        <v>11</v>
      </c>
      <c r="F1211" s="15" t="s">
        <v>5838</v>
      </c>
      <c r="G1211" s="15" t="s">
        <v>12289</v>
      </c>
      <c r="H1211" s="15">
        <v>20</v>
      </c>
      <c r="I1211" s="15">
        <v>6</v>
      </c>
      <c r="J1211" s="15">
        <v>60</v>
      </c>
      <c r="K1211" s="15" t="str">
        <f t="shared" si="18"/>
        <v>tharloomkhash</v>
      </c>
      <c r="L1211" s="15" t="s">
        <v>12153</v>
      </c>
      <c r="M1211" s="15">
        <v>3</v>
      </c>
      <c r="N1211" s="15" t="s">
        <v>11223</v>
      </c>
      <c r="O1211" s="15"/>
      <c r="P1211" s="15"/>
      <c r="Q1211" s="15" t="s">
        <v>12196</v>
      </c>
      <c r="R1211" s="15"/>
      <c r="S1211" s="15"/>
      <c r="T1211" s="15">
        <v>1</v>
      </c>
      <c r="U1211" s="15"/>
      <c r="V1211" s="15"/>
      <c r="W1211" s="15"/>
      <c r="X1211" s="15"/>
      <c r="Y1211" s="15"/>
      <c r="Z1211" s="15"/>
    </row>
    <row r="1212" spans="1:26" x14ac:dyDescent="0.25">
      <c r="A1212" s="15" t="s">
        <v>12728</v>
      </c>
      <c r="B1212" s="15">
        <v>1211</v>
      </c>
      <c r="C1212" s="15" t="s">
        <v>11277</v>
      </c>
      <c r="D1212" s="15" t="s">
        <v>11277</v>
      </c>
      <c r="E1212" s="15" t="s">
        <v>11</v>
      </c>
      <c r="F1212" s="15" t="s">
        <v>5838</v>
      </c>
      <c r="G1212" s="15" t="s">
        <v>12290</v>
      </c>
      <c r="H1212" s="15">
        <v>20</v>
      </c>
      <c r="I1212" s="15">
        <v>6</v>
      </c>
      <c r="J1212" s="15">
        <v>60</v>
      </c>
      <c r="K1212" s="15" t="str">
        <f t="shared" si="18"/>
        <v>tharloomkhash</v>
      </c>
      <c r="L1212" s="15" t="s">
        <v>12153</v>
      </c>
      <c r="M1212" s="15">
        <v>3</v>
      </c>
      <c r="N1212" s="15" t="s">
        <v>11223</v>
      </c>
      <c r="O1212" s="15"/>
      <c r="P1212" s="15"/>
      <c r="Q1212" s="15"/>
      <c r="R1212" s="15"/>
      <c r="S1212" s="15"/>
      <c r="T1212" s="15">
        <v>1</v>
      </c>
      <c r="U1212" s="15"/>
      <c r="V1212" s="15"/>
      <c r="W1212" s="15"/>
      <c r="X1212" s="15"/>
      <c r="Y1212" s="15"/>
      <c r="Z1212" s="15"/>
    </row>
    <row r="1213" spans="1:26" x14ac:dyDescent="0.25">
      <c r="A1213" s="15" t="s">
        <v>12730</v>
      </c>
      <c r="B1213" s="15">
        <v>1212</v>
      </c>
      <c r="C1213" s="15" t="s">
        <v>11277</v>
      </c>
      <c r="D1213" s="15" t="s">
        <v>11277</v>
      </c>
      <c r="E1213" s="15" t="s">
        <v>11</v>
      </c>
      <c r="F1213" s="15" t="s">
        <v>5838</v>
      </c>
      <c r="G1213" s="15" t="s">
        <v>12291</v>
      </c>
      <c r="H1213" s="15">
        <v>20</v>
      </c>
      <c r="I1213" s="15">
        <v>6</v>
      </c>
      <c r="J1213" s="15">
        <v>60</v>
      </c>
      <c r="K1213" s="15" t="str">
        <f t="shared" si="18"/>
        <v>tharloomkhash</v>
      </c>
      <c r="L1213" s="15" t="s">
        <v>12153</v>
      </c>
      <c r="M1213" s="15">
        <v>3</v>
      </c>
      <c r="N1213" s="15" t="s">
        <v>11223</v>
      </c>
      <c r="O1213" s="15"/>
      <c r="P1213" s="15"/>
      <c r="Q1213" s="15"/>
      <c r="R1213" s="15"/>
      <c r="S1213" s="15"/>
      <c r="T1213" s="15">
        <v>0</v>
      </c>
      <c r="U1213" s="15" t="s">
        <v>5970</v>
      </c>
      <c r="V1213" s="15"/>
      <c r="W1213" s="15"/>
      <c r="X1213" s="15"/>
      <c r="Y1213" s="15"/>
      <c r="Z1213" s="15"/>
    </row>
    <row r="1214" spans="1:26" x14ac:dyDescent="0.25">
      <c r="A1214" s="15" t="s">
        <v>12732</v>
      </c>
      <c r="B1214" s="15">
        <v>1213</v>
      </c>
      <c r="C1214" s="15" t="s">
        <v>11277</v>
      </c>
      <c r="D1214" s="15" t="s">
        <v>11277</v>
      </c>
      <c r="E1214" s="15" t="s">
        <v>11</v>
      </c>
      <c r="F1214" s="15" t="s">
        <v>5838</v>
      </c>
      <c r="G1214" s="15" t="s">
        <v>12292</v>
      </c>
      <c r="H1214" s="15">
        <v>20</v>
      </c>
      <c r="I1214" s="15">
        <v>6</v>
      </c>
      <c r="J1214" s="15">
        <v>60</v>
      </c>
      <c r="K1214" s="15" t="str">
        <f t="shared" si="18"/>
        <v>tharloomkhash</v>
      </c>
      <c r="L1214" s="15" t="s">
        <v>14088</v>
      </c>
      <c r="M1214" s="15">
        <v>3</v>
      </c>
      <c r="N1214" s="15" t="s">
        <v>11223</v>
      </c>
      <c r="O1214" s="15" t="s">
        <v>2811</v>
      </c>
      <c r="P1214" s="15" t="s">
        <v>15164</v>
      </c>
      <c r="Q1214" s="15" t="s">
        <v>12196</v>
      </c>
      <c r="R1214" s="15"/>
      <c r="S1214" s="15"/>
      <c r="T1214" s="15">
        <v>0</v>
      </c>
      <c r="U1214" s="15" t="s">
        <v>5970</v>
      </c>
      <c r="V1214" s="15"/>
      <c r="W1214" s="15"/>
      <c r="X1214" s="15"/>
      <c r="Y1214" s="15"/>
      <c r="Z1214" s="15"/>
    </row>
    <row r="1215" spans="1:26" x14ac:dyDescent="0.25">
      <c r="A1215" s="15" t="s">
        <v>12734</v>
      </c>
      <c r="B1215" s="15">
        <v>1214</v>
      </c>
      <c r="C1215" s="15" t="s">
        <v>11277</v>
      </c>
      <c r="D1215" s="15" t="s">
        <v>11277</v>
      </c>
      <c r="E1215" s="15" t="s">
        <v>73</v>
      </c>
      <c r="F1215" s="15" t="s">
        <v>15165</v>
      </c>
      <c r="G1215" s="15" t="s">
        <v>12808</v>
      </c>
      <c r="H1215" s="15">
        <v>11</v>
      </c>
      <c r="I1215" s="15">
        <v>14</v>
      </c>
      <c r="J1215" s="15">
        <v>61</v>
      </c>
      <c r="K1215" s="15" t="str">
        <f t="shared" si="18"/>
        <v>uppermiragecreek</v>
      </c>
      <c r="L1215" s="15" t="s">
        <v>12809</v>
      </c>
      <c r="M1215" s="15">
        <v>1</v>
      </c>
      <c r="N1215" s="15" t="s">
        <v>11222</v>
      </c>
      <c r="O1215" s="15"/>
      <c r="P1215" s="15"/>
      <c r="Q1215" s="15"/>
      <c r="R1215" s="15"/>
      <c r="S1215" s="15"/>
      <c r="T1215" s="15">
        <v>0</v>
      </c>
      <c r="U1215" s="15"/>
      <c r="V1215" s="15"/>
      <c r="W1215" s="15"/>
      <c r="X1215" s="15"/>
      <c r="Y1215" s="15"/>
      <c r="Z1215" s="15"/>
    </row>
    <row r="1216" spans="1:26" x14ac:dyDescent="0.25">
      <c r="A1216" s="15" t="s">
        <v>12736</v>
      </c>
      <c r="B1216" s="15">
        <v>1215</v>
      </c>
      <c r="C1216" s="15" t="s">
        <v>11277</v>
      </c>
      <c r="D1216" s="15" t="s">
        <v>11277</v>
      </c>
      <c r="E1216" s="15" t="s">
        <v>73</v>
      </c>
      <c r="F1216" s="15" t="s">
        <v>15165</v>
      </c>
      <c r="G1216" s="15" t="s">
        <v>12811</v>
      </c>
      <c r="H1216" s="15">
        <v>11</v>
      </c>
      <c r="I1216" s="15">
        <v>14</v>
      </c>
      <c r="J1216" s="15">
        <v>61</v>
      </c>
      <c r="K1216" s="15" t="str">
        <f t="shared" si="18"/>
        <v>uppermiragecreek</v>
      </c>
      <c r="L1216" s="15" t="s">
        <v>12812</v>
      </c>
      <c r="M1216" s="15">
        <v>1</v>
      </c>
      <c r="N1216" s="15" t="s">
        <v>11222</v>
      </c>
      <c r="O1216" s="15"/>
      <c r="P1216" s="15"/>
      <c r="Q1216" s="15"/>
      <c r="R1216" s="15"/>
      <c r="S1216" s="15"/>
      <c r="T1216" s="15">
        <v>0</v>
      </c>
      <c r="U1216" s="15"/>
      <c r="V1216" s="15"/>
      <c r="W1216" s="15"/>
      <c r="X1216" s="15"/>
      <c r="Y1216" s="15"/>
      <c r="Z1216" s="15"/>
    </row>
    <row r="1217" spans="1:26" x14ac:dyDescent="0.25">
      <c r="A1217" s="15" t="s">
        <v>12738</v>
      </c>
      <c r="B1217" s="15">
        <v>1216</v>
      </c>
      <c r="C1217" s="15" t="s">
        <v>11277</v>
      </c>
      <c r="D1217" s="15" t="s">
        <v>11277</v>
      </c>
      <c r="E1217" s="15" t="s">
        <v>73</v>
      </c>
      <c r="F1217" s="15" t="s">
        <v>15165</v>
      </c>
      <c r="G1217" s="15" t="s">
        <v>12814</v>
      </c>
      <c r="H1217" s="15">
        <v>11</v>
      </c>
      <c r="I1217" s="15">
        <v>14</v>
      </c>
      <c r="J1217" s="15">
        <v>61</v>
      </c>
      <c r="K1217" s="15" t="str">
        <f t="shared" si="18"/>
        <v>uppermiragecreek</v>
      </c>
      <c r="L1217" s="15" t="s">
        <v>12812</v>
      </c>
      <c r="M1217" s="15">
        <v>2</v>
      </c>
      <c r="N1217" s="15" t="s">
        <v>11223</v>
      </c>
      <c r="O1217" s="15"/>
      <c r="P1217" s="15"/>
      <c r="Q1217" s="15" t="s">
        <v>12816</v>
      </c>
      <c r="R1217" s="15"/>
      <c r="S1217" s="15"/>
      <c r="T1217" s="15">
        <v>0</v>
      </c>
      <c r="U1217" s="15" t="s">
        <v>5908</v>
      </c>
      <c r="V1217" s="15" t="s">
        <v>5914</v>
      </c>
      <c r="W1217" s="15"/>
      <c r="X1217" s="15"/>
      <c r="Y1217" s="15"/>
      <c r="Z1217" s="15"/>
    </row>
    <row r="1218" spans="1:26" x14ac:dyDescent="0.25">
      <c r="A1218" s="15" t="s">
        <v>12740</v>
      </c>
      <c r="B1218" s="15">
        <v>1217</v>
      </c>
      <c r="C1218" s="15" t="s">
        <v>11277</v>
      </c>
      <c r="D1218" s="15" t="s">
        <v>11277</v>
      </c>
      <c r="E1218" s="15" t="s">
        <v>73</v>
      </c>
      <c r="F1218" s="15" t="s">
        <v>15165</v>
      </c>
      <c r="G1218" s="15" t="s">
        <v>12816</v>
      </c>
      <c r="H1218" s="15">
        <v>11</v>
      </c>
      <c r="I1218" s="15">
        <v>14</v>
      </c>
      <c r="J1218" s="15">
        <v>62</v>
      </c>
      <c r="K1218" s="15" t="str">
        <f t="shared" ref="K1218:K1281" si="19">LOWER(SUBSTITUTE(SUBSTITUTE(SUBSTITUTE(SUBSTITUTE(SUBSTITUTE(F1218," ",""),"(",""),")",""),"'",""),"-",""))</f>
        <v>uppermiragecreek</v>
      </c>
      <c r="L1218" s="15" t="s">
        <v>12817</v>
      </c>
      <c r="M1218" s="15">
        <v>2</v>
      </c>
      <c r="N1218" s="15" t="s">
        <v>11223</v>
      </c>
      <c r="O1218" s="15"/>
      <c r="P1218" s="15"/>
      <c r="Q1218" s="15"/>
      <c r="R1218" s="15"/>
      <c r="S1218" s="15"/>
      <c r="T1218" s="15">
        <v>0</v>
      </c>
      <c r="U1218" s="15"/>
      <c r="V1218" s="15"/>
      <c r="W1218" s="15"/>
      <c r="X1218" s="15"/>
      <c r="Y1218" s="15"/>
      <c r="Z1218" s="15"/>
    </row>
    <row r="1219" spans="1:26" x14ac:dyDescent="0.25">
      <c r="A1219" s="15" t="s">
        <v>12742</v>
      </c>
      <c r="B1219" s="15">
        <v>1218</v>
      </c>
      <c r="C1219" s="15" t="s">
        <v>11277</v>
      </c>
      <c r="D1219" s="15" t="s">
        <v>11277</v>
      </c>
      <c r="E1219" s="15" t="s">
        <v>73</v>
      </c>
      <c r="F1219" s="15" t="s">
        <v>15165</v>
      </c>
      <c r="G1219" s="15" t="s">
        <v>12819</v>
      </c>
      <c r="H1219" s="15">
        <v>11</v>
      </c>
      <c r="I1219" s="15">
        <v>14</v>
      </c>
      <c r="J1219" s="15">
        <v>62</v>
      </c>
      <c r="K1219" s="15" t="str">
        <f t="shared" si="19"/>
        <v>uppermiragecreek</v>
      </c>
      <c r="L1219" s="15" t="s">
        <v>12812</v>
      </c>
      <c r="M1219" s="15">
        <v>1</v>
      </c>
      <c r="N1219" s="15" t="s">
        <v>11222</v>
      </c>
      <c r="O1219" s="15"/>
      <c r="P1219" s="15"/>
      <c r="Q1219" s="15" t="s">
        <v>12816</v>
      </c>
      <c r="R1219" s="15"/>
      <c r="S1219" s="15"/>
      <c r="T1219" s="15">
        <v>0</v>
      </c>
      <c r="U1219" s="15"/>
      <c r="V1219" s="15"/>
      <c r="W1219" s="15"/>
      <c r="X1219" s="15"/>
      <c r="Y1219" s="15"/>
      <c r="Z1219" s="15"/>
    </row>
    <row r="1220" spans="1:26" x14ac:dyDescent="0.25">
      <c r="A1220" s="15" t="s">
        <v>12744</v>
      </c>
      <c r="B1220" s="15">
        <v>1219</v>
      </c>
      <c r="C1220" s="15" t="s">
        <v>11277</v>
      </c>
      <c r="D1220" s="15" t="s">
        <v>11277</v>
      </c>
      <c r="E1220" s="15" t="s">
        <v>73</v>
      </c>
      <c r="F1220" s="15" t="s">
        <v>15165</v>
      </c>
      <c r="G1220" s="15" t="s">
        <v>12821</v>
      </c>
      <c r="H1220" s="15">
        <v>11</v>
      </c>
      <c r="I1220" s="15">
        <v>14</v>
      </c>
      <c r="J1220" s="15">
        <v>70</v>
      </c>
      <c r="K1220" s="15" t="str">
        <f t="shared" si="19"/>
        <v>uppermiragecreek</v>
      </c>
      <c r="L1220" s="15" t="s">
        <v>14088</v>
      </c>
      <c r="M1220" s="15">
        <v>3</v>
      </c>
      <c r="N1220" s="15" t="s">
        <v>11222</v>
      </c>
      <c r="O1220" s="15"/>
      <c r="P1220" s="15"/>
      <c r="Q1220" s="15" t="s">
        <v>12816</v>
      </c>
      <c r="R1220" s="15"/>
      <c r="S1220" s="15"/>
      <c r="T1220" s="15">
        <v>0</v>
      </c>
      <c r="U1220" s="15"/>
      <c r="V1220" s="15"/>
      <c r="W1220" s="15"/>
      <c r="X1220" s="15"/>
      <c r="Y1220" s="15"/>
      <c r="Z1220" s="15"/>
    </row>
    <row r="1221" spans="1:26" x14ac:dyDescent="0.25">
      <c r="A1221" s="15" t="s">
        <v>12746</v>
      </c>
      <c r="B1221" s="15">
        <v>1220</v>
      </c>
      <c r="C1221" s="15" t="s">
        <v>11277</v>
      </c>
      <c r="D1221" s="15" t="s">
        <v>11277</v>
      </c>
      <c r="E1221" s="15" t="s">
        <v>73</v>
      </c>
      <c r="F1221" s="15" t="s">
        <v>1731</v>
      </c>
      <c r="G1221" s="15" t="s">
        <v>12823</v>
      </c>
      <c r="H1221" s="15">
        <v>11</v>
      </c>
      <c r="I1221" s="15">
        <v>10</v>
      </c>
      <c r="J1221" s="15">
        <v>61</v>
      </c>
      <c r="K1221" s="15" t="str">
        <f t="shared" si="19"/>
        <v>rhalgrsreach</v>
      </c>
      <c r="L1221" s="15" t="s">
        <v>12812</v>
      </c>
      <c r="M1221" s="15">
        <v>1</v>
      </c>
      <c r="N1221" s="15" t="s">
        <v>11222</v>
      </c>
      <c r="O1221" s="15"/>
      <c r="P1221" s="15"/>
      <c r="Q1221" s="15"/>
      <c r="R1221" s="15"/>
      <c r="S1221" s="15"/>
      <c r="T1221" s="15">
        <v>0</v>
      </c>
      <c r="U1221" s="15"/>
      <c r="V1221" s="15"/>
      <c r="W1221" s="15"/>
      <c r="X1221" s="15"/>
      <c r="Y1221" s="15"/>
      <c r="Z1221" s="15"/>
    </row>
    <row r="1222" spans="1:26" x14ac:dyDescent="0.25">
      <c r="A1222" s="15" t="s">
        <v>12748</v>
      </c>
      <c r="B1222" s="15">
        <v>1221</v>
      </c>
      <c r="C1222" s="15" t="s">
        <v>11277</v>
      </c>
      <c r="D1222" s="15" t="s">
        <v>11277</v>
      </c>
      <c r="E1222" s="15" t="s">
        <v>73</v>
      </c>
      <c r="F1222" s="15" t="s">
        <v>1731</v>
      </c>
      <c r="G1222" s="15" t="s">
        <v>12825</v>
      </c>
      <c r="H1222" s="15">
        <v>11</v>
      </c>
      <c r="I1222" s="15">
        <v>10</v>
      </c>
      <c r="J1222" s="15">
        <v>61</v>
      </c>
      <c r="K1222" s="15" t="str">
        <f t="shared" si="19"/>
        <v>rhalgrsreach</v>
      </c>
      <c r="L1222" s="15" t="s">
        <v>12812</v>
      </c>
      <c r="M1222" s="15">
        <v>1</v>
      </c>
      <c r="N1222" s="15" t="s">
        <v>11222</v>
      </c>
      <c r="O1222" s="15"/>
      <c r="P1222" s="15"/>
      <c r="Q1222" s="15"/>
      <c r="R1222" s="15"/>
      <c r="S1222" s="15"/>
      <c r="T1222" s="15">
        <v>0</v>
      </c>
      <c r="U1222" s="15"/>
      <c r="V1222" s="15"/>
      <c r="W1222" s="15"/>
      <c r="X1222" s="15"/>
      <c r="Y1222" s="15"/>
      <c r="Z1222" s="15"/>
    </row>
    <row r="1223" spans="1:26" x14ac:dyDescent="0.25">
      <c r="A1223" s="15" t="s">
        <v>12750</v>
      </c>
      <c r="B1223" s="15">
        <v>1222</v>
      </c>
      <c r="C1223" s="15" t="s">
        <v>11277</v>
      </c>
      <c r="D1223" s="15" t="s">
        <v>11277</v>
      </c>
      <c r="E1223" s="15" t="s">
        <v>73</v>
      </c>
      <c r="F1223" s="15" t="s">
        <v>1731</v>
      </c>
      <c r="G1223" s="15" t="s">
        <v>12816</v>
      </c>
      <c r="H1223" s="15">
        <v>11</v>
      </c>
      <c r="I1223" s="15">
        <v>10</v>
      </c>
      <c r="J1223" s="15">
        <v>62</v>
      </c>
      <c r="K1223" s="15" t="str">
        <f t="shared" si="19"/>
        <v>rhalgrsreach</v>
      </c>
      <c r="L1223" s="15" t="s">
        <v>12817</v>
      </c>
      <c r="M1223" s="15">
        <v>2</v>
      </c>
      <c r="N1223" s="15" t="s">
        <v>11223</v>
      </c>
      <c r="O1223" s="15"/>
      <c r="P1223" s="15"/>
      <c r="Q1223" s="15"/>
      <c r="R1223" s="15"/>
      <c r="S1223" s="15"/>
      <c r="T1223" s="15">
        <v>0</v>
      </c>
      <c r="U1223" s="15"/>
      <c r="V1223" s="15"/>
      <c r="W1223" s="15"/>
      <c r="X1223" s="15"/>
      <c r="Y1223" s="15"/>
      <c r="Z1223" s="15"/>
    </row>
    <row r="1224" spans="1:26" x14ac:dyDescent="0.25">
      <c r="A1224" s="15" t="s">
        <v>12752</v>
      </c>
      <c r="B1224" s="15">
        <v>1223</v>
      </c>
      <c r="C1224" s="15" t="s">
        <v>11277</v>
      </c>
      <c r="D1224" s="15" t="s">
        <v>11277</v>
      </c>
      <c r="E1224" s="15" t="s">
        <v>73</v>
      </c>
      <c r="F1224" s="15" t="s">
        <v>1731</v>
      </c>
      <c r="G1224" s="15" t="s">
        <v>12827</v>
      </c>
      <c r="H1224" s="15">
        <v>11</v>
      </c>
      <c r="I1224" s="15">
        <v>10</v>
      </c>
      <c r="J1224" s="15">
        <v>62</v>
      </c>
      <c r="K1224" s="15" t="str">
        <f t="shared" si="19"/>
        <v>rhalgrsreach</v>
      </c>
      <c r="L1224" s="15" t="s">
        <v>12812</v>
      </c>
      <c r="M1224" s="15">
        <v>1</v>
      </c>
      <c r="N1224" s="15" t="s">
        <v>11222</v>
      </c>
      <c r="O1224" s="15"/>
      <c r="P1224" s="15"/>
      <c r="Q1224" s="15" t="s">
        <v>12816</v>
      </c>
      <c r="R1224" s="15"/>
      <c r="S1224" s="15"/>
      <c r="T1224" s="15">
        <v>0</v>
      </c>
      <c r="U1224" s="15"/>
      <c r="V1224" s="15"/>
      <c r="W1224" s="15"/>
      <c r="X1224" s="15"/>
      <c r="Y1224" s="15"/>
      <c r="Z1224" s="15"/>
    </row>
    <row r="1225" spans="1:26" x14ac:dyDescent="0.25">
      <c r="A1225" s="15" t="s">
        <v>12754</v>
      </c>
      <c r="B1225" s="15">
        <v>1224</v>
      </c>
      <c r="C1225" s="15" t="s">
        <v>11277</v>
      </c>
      <c r="D1225" s="15" t="s">
        <v>11277</v>
      </c>
      <c r="E1225" s="15" t="s">
        <v>73</v>
      </c>
      <c r="F1225" s="15" t="s">
        <v>1731</v>
      </c>
      <c r="G1225" s="15" t="s">
        <v>12829</v>
      </c>
      <c r="H1225" s="15">
        <v>11</v>
      </c>
      <c r="I1225" s="15">
        <v>10</v>
      </c>
      <c r="J1225" s="15">
        <v>63</v>
      </c>
      <c r="K1225" s="15" t="str">
        <f t="shared" si="19"/>
        <v>rhalgrsreach</v>
      </c>
      <c r="L1225" s="15" t="s">
        <v>12809</v>
      </c>
      <c r="M1225" s="15">
        <v>2</v>
      </c>
      <c r="N1225" s="15" t="s">
        <v>11223</v>
      </c>
      <c r="O1225" s="15"/>
      <c r="P1225" s="15"/>
      <c r="Q1225" s="15" t="s">
        <v>12816</v>
      </c>
      <c r="R1225" s="15"/>
      <c r="S1225" s="15"/>
      <c r="T1225" s="15">
        <v>0</v>
      </c>
      <c r="U1225" s="15"/>
      <c r="V1225" s="15"/>
      <c r="W1225" s="15"/>
      <c r="X1225" s="15"/>
      <c r="Y1225" s="15"/>
      <c r="Z1225" s="15"/>
    </row>
    <row r="1226" spans="1:26" x14ac:dyDescent="0.25">
      <c r="A1226" s="15" t="s">
        <v>12756</v>
      </c>
      <c r="B1226" s="15">
        <v>1225</v>
      </c>
      <c r="C1226" s="15" t="s">
        <v>11277</v>
      </c>
      <c r="D1226" s="15" t="s">
        <v>11277</v>
      </c>
      <c r="E1226" s="15" t="s">
        <v>73</v>
      </c>
      <c r="F1226" s="15" t="s">
        <v>1731</v>
      </c>
      <c r="G1226" s="15" t="s">
        <v>12831</v>
      </c>
      <c r="H1226" s="15">
        <v>11</v>
      </c>
      <c r="I1226" s="15">
        <v>10</v>
      </c>
      <c r="J1226" s="15">
        <v>64</v>
      </c>
      <c r="K1226" s="15" t="str">
        <f t="shared" si="19"/>
        <v>rhalgrsreach</v>
      </c>
      <c r="L1226" s="15" t="s">
        <v>12809</v>
      </c>
      <c r="M1226" s="15">
        <v>2</v>
      </c>
      <c r="N1226" s="15" t="s">
        <v>11223</v>
      </c>
      <c r="O1226" s="15"/>
      <c r="P1226" s="15"/>
      <c r="Q1226" s="15" t="s">
        <v>12816</v>
      </c>
      <c r="R1226" s="15"/>
      <c r="S1226" s="15"/>
      <c r="T1226" s="15">
        <v>0</v>
      </c>
      <c r="U1226" s="15"/>
      <c r="V1226" s="15"/>
      <c r="W1226" s="15"/>
      <c r="X1226" s="15"/>
      <c r="Y1226" s="15"/>
      <c r="Z1226" s="15"/>
    </row>
    <row r="1227" spans="1:26" x14ac:dyDescent="0.25">
      <c r="A1227" s="15" t="s">
        <v>12758</v>
      </c>
      <c r="B1227" s="15">
        <v>1226</v>
      </c>
      <c r="C1227" s="15" t="s">
        <v>11277</v>
      </c>
      <c r="D1227" s="15" t="s">
        <v>11277</v>
      </c>
      <c r="E1227" s="15" t="s">
        <v>73</v>
      </c>
      <c r="F1227" s="15" t="s">
        <v>1731</v>
      </c>
      <c r="G1227" s="15" t="s">
        <v>12833</v>
      </c>
      <c r="H1227" s="15">
        <v>11</v>
      </c>
      <c r="I1227" s="15">
        <v>10</v>
      </c>
      <c r="J1227" s="15">
        <v>70</v>
      </c>
      <c r="K1227" s="15" t="str">
        <f t="shared" si="19"/>
        <v>rhalgrsreach</v>
      </c>
      <c r="L1227" s="15" t="s">
        <v>14088</v>
      </c>
      <c r="M1227" s="15">
        <v>3</v>
      </c>
      <c r="N1227" s="15" t="s">
        <v>11223</v>
      </c>
      <c r="O1227" s="15"/>
      <c r="P1227" s="15"/>
      <c r="Q1227" s="15" t="s">
        <v>12816</v>
      </c>
      <c r="R1227" s="15"/>
      <c r="S1227" s="15"/>
      <c r="T1227" s="15">
        <v>3</v>
      </c>
      <c r="U1227" s="15" t="s">
        <v>6010</v>
      </c>
      <c r="V1227" s="15"/>
      <c r="W1227" s="15"/>
      <c r="X1227" s="15"/>
      <c r="Y1227" s="15"/>
      <c r="Z1227" s="15"/>
    </row>
    <row r="1228" spans="1:26" x14ac:dyDescent="0.25">
      <c r="A1228" s="15" t="s">
        <v>12760</v>
      </c>
      <c r="B1228" s="15">
        <v>1227</v>
      </c>
      <c r="C1228" s="15" t="s">
        <v>11277</v>
      </c>
      <c r="D1228" s="15" t="s">
        <v>11277</v>
      </c>
      <c r="E1228" s="15" t="s">
        <v>73</v>
      </c>
      <c r="F1228" s="15" t="s">
        <v>15166</v>
      </c>
      <c r="G1228" s="15" t="s">
        <v>12835</v>
      </c>
      <c r="H1228" s="15">
        <v>12</v>
      </c>
      <c r="I1228" s="15">
        <v>6</v>
      </c>
      <c r="J1228" s="15">
        <v>61</v>
      </c>
      <c r="K1228" s="15" t="str">
        <f t="shared" si="19"/>
        <v>theouterfist</v>
      </c>
      <c r="L1228" s="15" t="s">
        <v>12812</v>
      </c>
      <c r="M1228" s="15">
        <v>2</v>
      </c>
      <c r="N1228" s="15" t="s">
        <v>11223</v>
      </c>
      <c r="O1228" s="15"/>
      <c r="P1228" s="15"/>
      <c r="Q1228" s="15"/>
      <c r="R1228" s="15"/>
      <c r="S1228" s="15"/>
      <c r="T1228" s="15">
        <v>0</v>
      </c>
      <c r="U1228" s="15"/>
      <c r="V1228" s="15"/>
      <c r="W1228" s="15"/>
      <c r="X1228" s="15"/>
      <c r="Y1228" s="15"/>
      <c r="Z1228" s="15"/>
    </row>
    <row r="1229" spans="1:26" x14ac:dyDescent="0.25">
      <c r="A1229" s="15" t="s">
        <v>12762</v>
      </c>
      <c r="B1229" s="15">
        <v>1228</v>
      </c>
      <c r="C1229" s="15" t="s">
        <v>11277</v>
      </c>
      <c r="D1229" s="15" t="s">
        <v>11277</v>
      </c>
      <c r="E1229" s="15" t="s">
        <v>73</v>
      </c>
      <c r="F1229" s="15" t="s">
        <v>15166</v>
      </c>
      <c r="G1229" s="15" t="s">
        <v>12837</v>
      </c>
      <c r="H1229" s="15">
        <v>12</v>
      </c>
      <c r="I1229" s="15">
        <v>6</v>
      </c>
      <c r="J1229" s="15">
        <v>61</v>
      </c>
      <c r="K1229" s="15" t="str">
        <f t="shared" si="19"/>
        <v>theouterfist</v>
      </c>
      <c r="L1229" s="15" t="s">
        <v>12812</v>
      </c>
      <c r="M1229" s="15">
        <v>1</v>
      </c>
      <c r="N1229" s="15" t="s">
        <v>11222</v>
      </c>
      <c r="O1229" s="15"/>
      <c r="P1229" s="15"/>
      <c r="Q1229" s="15"/>
      <c r="R1229" s="15"/>
      <c r="S1229" s="15"/>
      <c r="T1229" s="15">
        <v>0</v>
      </c>
      <c r="U1229" s="15"/>
      <c r="V1229" s="15"/>
      <c r="W1229" s="15"/>
      <c r="X1229" s="15"/>
      <c r="Y1229" s="15"/>
      <c r="Z1229" s="15"/>
    </row>
    <row r="1230" spans="1:26" x14ac:dyDescent="0.25">
      <c r="A1230" s="15" t="s">
        <v>12764</v>
      </c>
      <c r="B1230" s="15">
        <v>1229</v>
      </c>
      <c r="C1230" s="15" t="s">
        <v>11277</v>
      </c>
      <c r="D1230" s="15" t="s">
        <v>11277</v>
      </c>
      <c r="E1230" s="15" t="s">
        <v>73</v>
      </c>
      <c r="F1230" s="15" t="s">
        <v>15166</v>
      </c>
      <c r="G1230" s="15" t="s">
        <v>12839</v>
      </c>
      <c r="H1230" s="15">
        <v>12</v>
      </c>
      <c r="I1230" s="15">
        <v>6</v>
      </c>
      <c r="J1230" s="15">
        <v>61</v>
      </c>
      <c r="K1230" s="15" t="str">
        <f t="shared" si="19"/>
        <v>theouterfist</v>
      </c>
      <c r="L1230" s="15" t="s">
        <v>12812</v>
      </c>
      <c r="M1230" s="15">
        <v>1</v>
      </c>
      <c r="N1230" s="15" t="s">
        <v>11222</v>
      </c>
      <c r="O1230" s="15"/>
      <c r="P1230" s="15"/>
      <c r="Q1230" s="15"/>
      <c r="R1230" s="15"/>
      <c r="S1230" s="15"/>
      <c r="T1230" s="15">
        <v>0</v>
      </c>
      <c r="U1230" s="15"/>
      <c r="V1230" s="15"/>
      <c r="W1230" s="15"/>
      <c r="X1230" s="15"/>
      <c r="Y1230" s="15"/>
      <c r="Z1230" s="15"/>
    </row>
    <row r="1231" spans="1:26" x14ac:dyDescent="0.25">
      <c r="A1231" s="15" t="s">
        <v>12766</v>
      </c>
      <c r="B1231" s="15">
        <v>1230</v>
      </c>
      <c r="C1231" s="15" t="s">
        <v>11277</v>
      </c>
      <c r="D1231" s="15" t="s">
        <v>11277</v>
      </c>
      <c r="E1231" s="15" t="s">
        <v>73</v>
      </c>
      <c r="F1231" s="15" t="s">
        <v>15166</v>
      </c>
      <c r="G1231" s="15" t="s">
        <v>12819</v>
      </c>
      <c r="H1231" s="15">
        <v>12</v>
      </c>
      <c r="I1231" s="15">
        <v>6</v>
      </c>
      <c r="J1231" s="15">
        <v>62</v>
      </c>
      <c r="K1231" s="15" t="str">
        <f t="shared" si="19"/>
        <v>theouterfist</v>
      </c>
      <c r="L1231" s="15" t="s">
        <v>12812</v>
      </c>
      <c r="M1231" s="15">
        <v>1</v>
      </c>
      <c r="N1231" s="15" t="s">
        <v>11222</v>
      </c>
      <c r="O1231" s="15"/>
      <c r="P1231" s="15"/>
      <c r="Q1231" s="15" t="s">
        <v>12816</v>
      </c>
      <c r="R1231" s="15"/>
      <c r="S1231" s="15"/>
      <c r="T1231" s="15">
        <v>0</v>
      </c>
      <c r="U1231" s="15"/>
      <c r="V1231" s="15"/>
      <c r="W1231" s="15"/>
      <c r="X1231" s="15"/>
      <c r="Y1231" s="15"/>
      <c r="Z1231" s="15"/>
    </row>
    <row r="1232" spans="1:26" x14ac:dyDescent="0.25">
      <c r="A1232" s="15" t="s">
        <v>12768</v>
      </c>
      <c r="B1232" s="15">
        <v>1231</v>
      </c>
      <c r="C1232" s="15" t="s">
        <v>11277</v>
      </c>
      <c r="D1232" s="15" t="s">
        <v>11277</v>
      </c>
      <c r="E1232" s="15" t="s">
        <v>73</v>
      </c>
      <c r="F1232" s="15" t="s">
        <v>15166</v>
      </c>
      <c r="G1232" s="15" t="s">
        <v>12841</v>
      </c>
      <c r="H1232" s="15">
        <v>12</v>
      </c>
      <c r="I1232" s="15">
        <v>6</v>
      </c>
      <c r="J1232" s="15">
        <v>62</v>
      </c>
      <c r="K1232" s="15" t="str">
        <f t="shared" si="19"/>
        <v>theouterfist</v>
      </c>
      <c r="L1232" s="15" t="s">
        <v>12809</v>
      </c>
      <c r="M1232" s="15">
        <v>1</v>
      </c>
      <c r="N1232" s="15" t="s">
        <v>11222</v>
      </c>
      <c r="O1232" s="15"/>
      <c r="P1232" s="15"/>
      <c r="Q1232" s="15"/>
      <c r="R1232" s="15"/>
      <c r="S1232" s="15"/>
      <c r="T1232" s="15">
        <v>0</v>
      </c>
      <c r="U1232" s="15"/>
      <c r="V1232" s="15"/>
      <c r="W1232" s="15"/>
      <c r="X1232" s="15"/>
      <c r="Y1232" s="15"/>
      <c r="Z1232" s="15"/>
    </row>
    <row r="1233" spans="1:26" x14ac:dyDescent="0.25">
      <c r="A1233" s="15" t="s">
        <v>12770</v>
      </c>
      <c r="B1233" s="15">
        <v>1232</v>
      </c>
      <c r="C1233" s="15" t="s">
        <v>11277</v>
      </c>
      <c r="D1233" s="15" t="s">
        <v>11277</v>
      </c>
      <c r="E1233" s="15" t="s">
        <v>73</v>
      </c>
      <c r="F1233" s="15" t="s">
        <v>15166</v>
      </c>
      <c r="G1233" s="15" t="s">
        <v>12843</v>
      </c>
      <c r="H1233" s="15">
        <v>12</v>
      </c>
      <c r="I1233" s="15">
        <v>6</v>
      </c>
      <c r="J1233" s="15">
        <v>70</v>
      </c>
      <c r="K1233" s="15" t="str">
        <f t="shared" si="19"/>
        <v>theouterfist</v>
      </c>
      <c r="L1233" s="15" t="s">
        <v>14088</v>
      </c>
      <c r="M1233" s="15">
        <v>3</v>
      </c>
      <c r="N1233" s="15" t="s">
        <v>11223</v>
      </c>
      <c r="O1233" s="15"/>
      <c r="P1233" s="15"/>
      <c r="Q1233" s="15" t="s">
        <v>12837</v>
      </c>
      <c r="R1233" s="15"/>
      <c r="S1233" s="15"/>
      <c r="T1233" s="15">
        <v>2</v>
      </c>
      <c r="U1233" s="15" t="s">
        <v>5908</v>
      </c>
      <c r="V1233" s="15" t="s">
        <v>5914</v>
      </c>
      <c r="W1233" s="15"/>
      <c r="X1233" s="15"/>
      <c r="Y1233" s="15"/>
      <c r="Z1233" s="15"/>
    </row>
    <row r="1234" spans="1:26" x14ac:dyDescent="0.25">
      <c r="A1234" s="15" t="s">
        <v>12772</v>
      </c>
      <c r="B1234" s="15">
        <v>1233</v>
      </c>
      <c r="C1234" s="15" t="s">
        <v>11277</v>
      </c>
      <c r="D1234" s="15" t="s">
        <v>11277</v>
      </c>
      <c r="E1234" s="15" t="s">
        <v>73</v>
      </c>
      <c r="F1234" s="15" t="s">
        <v>15166</v>
      </c>
      <c r="G1234" s="15" t="s">
        <v>12845</v>
      </c>
      <c r="H1234" s="15">
        <v>12</v>
      </c>
      <c r="I1234" s="15">
        <v>6</v>
      </c>
      <c r="J1234" s="15">
        <v>70</v>
      </c>
      <c r="K1234" s="15" t="str">
        <f t="shared" si="19"/>
        <v>theouterfist</v>
      </c>
      <c r="L1234" s="15" t="s">
        <v>14088</v>
      </c>
      <c r="M1234" s="15">
        <v>3</v>
      </c>
      <c r="N1234" s="15" t="s">
        <v>11223</v>
      </c>
      <c r="O1234" s="15" t="s">
        <v>2815</v>
      </c>
      <c r="P1234" s="15"/>
      <c r="Q1234" s="15" t="s">
        <v>12837</v>
      </c>
      <c r="R1234" s="15"/>
      <c r="S1234" s="15"/>
      <c r="T1234" s="15">
        <v>3</v>
      </c>
      <c r="U1234" s="15" t="s">
        <v>5908</v>
      </c>
      <c r="V1234" s="15"/>
      <c r="W1234" s="15"/>
      <c r="X1234" s="15"/>
      <c r="Y1234" s="15"/>
      <c r="Z1234" s="15"/>
    </row>
    <row r="1235" spans="1:26" x14ac:dyDescent="0.25">
      <c r="A1235" s="15" t="s">
        <v>12774</v>
      </c>
      <c r="B1235" s="15">
        <v>1234</v>
      </c>
      <c r="C1235" s="15" t="s">
        <v>11277</v>
      </c>
      <c r="D1235" s="15" t="s">
        <v>11277</v>
      </c>
      <c r="E1235" s="15" t="s">
        <v>73</v>
      </c>
      <c r="F1235" s="15" t="s">
        <v>15167</v>
      </c>
      <c r="G1235" s="15" t="s">
        <v>12847</v>
      </c>
      <c r="H1235" s="15">
        <v>11.4</v>
      </c>
      <c r="I1235" s="15">
        <v>18</v>
      </c>
      <c r="J1235" s="15">
        <v>61</v>
      </c>
      <c r="K1235" s="15" t="str">
        <f t="shared" si="19"/>
        <v>timmonbeck</v>
      </c>
      <c r="L1235" s="15" t="s">
        <v>12848</v>
      </c>
      <c r="M1235" s="15">
        <v>2</v>
      </c>
      <c r="N1235" s="15" t="s">
        <v>11223</v>
      </c>
      <c r="O1235" s="15"/>
      <c r="P1235" s="15"/>
      <c r="Q1235" s="15"/>
      <c r="R1235" s="15"/>
      <c r="S1235" s="15"/>
      <c r="T1235" s="15">
        <v>0</v>
      </c>
      <c r="U1235" s="15"/>
      <c r="V1235" s="15"/>
      <c r="W1235" s="15"/>
      <c r="X1235" s="15"/>
      <c r="Y1235" s="15"/>
      <c r="Z1235" s="15"/>
    </row>
    <row r="1236" spans="1:26" x14ac:dyDescent="0.25">
      <c r="A1236" s="15" t="s">
        <v>12776</v>
      </c>
      <c r="B1236" s="15">
        <v>1235</v>
      </c>
      <c r="C1236" s="15" t="s">
        <v>11277</v>
      </c>
      <c r="D1236" s="15" t="s">
        <v>11277</v>
      </c>
      <c r="E1236" s="15" t="s">
        <v>73</v>
      </c>
      <c r="F1236" s="15" t="s">
        <v>15167</v>
      </c>
      <c r="G1236" s="15" t="s">
        <v>12814</v>
      </c>
      <c r="H1236" s="15">
        <v>11.4</v>
      </c>
      <c r="I1236" s="15">
        <v>18</v>
      </c>
      <c r="J1236" s="15">
        <v>61</v>
      </c>
      <c r="K1236" s="15" t="str">
        <f t="shared" si="19"/>
        <v>timmonbeck</v>
      </c>
      <c r="L1236" s="15" t="s">
        <v>12848</v>
      </c>
      <c r="M1236" s="15">
        <v>2</v>
      </c>
      <c r="N1236" s="15" t="s">
        <v>11223</v>
      </c>
      <c r="O1236" s="15"/>
      <c r="P1236" s="15"/>
      <c r="Q1236" s="15" t="s">
        <v>12837</v>
      </c>
      <c r="R1236" s="15"/>
      <c r="S1236" s="15"/>
      <c r="T1236" s="15">
        <v>0</v>
      </c>
      <c r="U1236" s="15" t="s">
        <v>5908</v>
      </c>
      <c r="V1236" s="15" t="s">
        <v>5914</v>
      </c>
      <c r="W1236" s="15"/>
      <c r="X1236" s="15"/>
      <c r="Y1236" s="15"/>
      <c r="Z1236" s="15"/>
    </row>
    <row r="1237" spans="1:26" x14ac:dyDescent="0.25">
      <c r="A1237" s="15" t="s">
        <v>12778</v>
      </c>
      <c r="B1237" s="15">
        <v>1236</v>
      </c>
      <c r="C1237" s="15" t="s">
        <v>11277</v>
      </c>
      <c r="D1237" s="15" t="s">
        <v>11277</v>
      </c>
      <c r="E1237" s="15" t="s">
        <v>73</v>
      </c>
      <c r="F1237" s="15" t="s">
        <v>15167</v>
      </c>
      <c r="G1237" s="15" t="s">
        <v>12837</v>
      </c>
      <c r="H1237" s="15">
        <v>11.4</v>
      </c>
      <c r="I1237" s="15">
        <v>18</v>
      </c>
      <c r="J1237" s="15">
        <v>61</v>
      </c>
      <c r="K1237" s="15" t="str">
        <f t="shared" si="19"/>
        <v>timmonbeck</v>
      </c>
      <c r="L1237" s="15" t="s">
        <v>12809</v>
      </c>
      <c r="M1237" s="15">
        <v>1</v>
      </c>
      <c r="N1237" s="15" t="s">
        <v>11222</v>
      </c>
      <c r="O1237" s="15"/>
      <c r="P1237" s="15"/>
      <c r="Q1237" s="15"/>
      <c r="R1237" s="15"/>
      <c r="S1237" s="15"/>
      <c r="T1237" s="15">
        <v>0</v>
      </c>
      <c r="U1237" s="15"/>
      <c r="V1237" s="15"/>
      <c r="W1237" s="15"/>
      <c r="X1237" s="15"/>
      <c r="Y1237" s="15"/>
      <c r="Z1237" s="15"/>
    </row>
    <row r="1238" spans="1:26" x14ac:dyDescent="0.25">
      <c r="A1238" s="15" t="s">
        <v>12780</v>
      </c>
      <c r="B1238" s="15">
        <v>1237</v>
      </c>
      <c r="C1238" s="15" t="s">
        <v>11277</v>
      </c>
      <c r="D1238" s="15" t="s">
        <v>11277</v>
      </c>
      <c r="E1238" s="15" t="s">
        <v>73</v>
      </c>
      <c r="F1238" s="15" t="s">
        <v>15167</v>
      </c>
      <c r="G1238" s="15" t="s">
        <v>12850</v>
      </c>
      <c r="H1238" s="15">
        <v>11.4</v>
      </c>
      <c r="I1238" s="15">
        <v>18</v>
      </c>
      <c r="J1238" s="15">
        <v>63</v>
      </c>
      <c r="K1238" s="15" t="str">
        <f t="shared" si="19"/>
        <v>timmonbeck</v>
      </c>
      <c r="L1238" s="15" t="s">
        <v>12817</v>
      </c>
      <c r="M1238" s="15">
        <v>1</v>
      </c>
      <c r="N1238" s="15" t="s">
        <v>11222</v>
      </c>
      <c r="O1238" s="15"/>
      <c r="P1238" s="15"/>
      <c r="Q1238" s="15"/>
      <c r="R1238" s="15"/>
      <c r="S1238" s="15"/>
      <c r="T1238" s="15">
        <v>0</v>
      </c>
      <c r="U1238" s="15"/>
      <c r="V1238" s="15"/>
      <c r="W1238" s="15"/>
      <c r="X1238" s="15"/>
      <c r="Y1238" s="15"/>
      <c r="Z1238" s="15"/>
    </row>
    <row r="1239" spans="1:26" x14ac:dyDescent="0.25">
      <c r="A1239" s="15" t="s">
        <v>12782</v>
      </c>
      <c r="B1239" s="15">
        <v>1238</v>
      </c>
      <c r="C1239" s="15" t="s">
        <v>11277</v>
      </c>
      <c r="D1239" s="15" t="s">
        <v>11277</v>
      </c>
      <c r="E1239" s="15" t="s">
        <v>73</v>
      </c>
      <c r="F1239" s="15" t="s">
        <v>15167</v>
      </c>
      <c r="G1239" s="15" t="s">
        <v>12852</v>
      </c>
      <c r="H1239" s="15">
        <v>11.4</v>
      </c>
      <c r="I1239" s="15">
        <v>18</v>
      </c>
      <c r="J1239" s="15">
        <v>61</v>
      </c>
      <c r="K1239" s="15" t="str">
        <f t="shared" si="19"/>
        <v>timmonbeck</v>
      </c>
      <c r="L1239" s="15" t="s">
        <v>11560</v>
      </c>
      <c r="M1239" s="15">
        <v>1</v>
      </c>
      <c r="N1239" s="15" t="s">
        <v>11222</v>
      </c>
      <c r="O1239" s="15"/>
      <c r="P1239" s="15"/>
      <c r="Q1239" s="15"/>
      <c r="R1239" s="15"/>
      <c r="S1239" s="15"/>
      <c r="T1239" s="15">
        <v>0</v>
      </c>
      <c r="U1239" s="15"/>
      <c r="V1239" s="15"/>
      <c r="W1239" s="15"/>
      <c r="X1239" s="15"/>
      <c r="Y1239" s="15"/>
      <c r="Z1239" s="15"/>
    </row>
    <row r="1240" spans="1:26" x14ac:dyDescent="0.25">
      <c r="A1240" s="15" t="s">
        <v>12785</v>
      </c>
      <c r="B1240" s="15">
        <v>1239</v>
      </c>
      <c r="C1240" s="15" t="s">
        <v>11277</v>
      </c>
      <c r="D1240" s="15" t="s">
        <v>11277</v>
      </c>
      <c r="E1240" s="15" t="s">
        <v>73</v>
      </c>
      <c r="F1240" s="15" t="s">
        <v>15167</v>
      </c>
      <c r="G1240" s="15" t="s">
        <v>12854</v>
      </c>
      <c r="H1240" s="15">
        <v>11.4</v>
      </c>
      <c r="I1240" s="15">
        <v>18</v>
      </c>
      <c r="J1240" s="15">
        <v>70</v>
      </c>
      <c r="K1240" s="15" t="str">
        <f t="shared" si="19"/>
        <v>timmonbeck</v>
      </c>
      <c r="L1240" s="15" t="s">
        <v>12848</v>
      </c>
      <c r="M1240" s="15">
        <v>3</v>
      </c>
      <c r="N1240" s="15" t="s">
        <v>11223</v>
      </c>
      <c r="O1240" s="15" t="s">
        <v>2821</v>
      </c>
      <c r="P1240" s="15"/>
      <c r="Q1240" s="15"/>
      <c r="R1240" s="15"/>
      <c r="S1240" s="15"/>
      <c r="T1240" s="15">
        <v>3</v>
      </c>
      <c r="U1240" s="15"/>
      <c r="V1240" s="15"/>
      <c r="W1240" s="15"/>
      <c r="X1240" s="15"/>
      <c r="Y1240" s="15"/>
      <c r="Z1240" s="15"/>
    </row>
    <row r="1241" spans="1:26" x14ac:dyDescent="0.25">
      <c r="A1241" s="15" t="s">
        <v>12787</v>
      </c>
      <c r="B1241" s="15">
        <v>1240</v>
      </c>
      <c r="C1241" s="15" t="s">
        <v>11277</v>
      </c>
      <c r="D1241" s="15" t="s">
        <v>11277</v>
      </c>
      <c r="E1241" s="15" t="s">
        <v>73</v>
      </c>
      <c r="F1241" s="15" t="s">
        <v>15167</v>
      </c>
      <c r="G1241" s="15" t="s">
        <v>12856</v>
      </c>
      <c r="H1241" s="15">
        <v>11.4</v>
      </c>
      <c r="I1241" s="15">
        <v>18</v>
      </c>
      <c r="J1241" s="15">
        <v>70</v>
      </c>
      <c r="K1241" s="15" t="str">
        <f t="shared" si="19"/>
        <v>timmonbeck</v>
      </c>
      <c r="L1241" s="15" t="s">
        <v>14088</v>
      </c>
      <c r="M1241" s="15">
        <v>3</v>
      </c>
      <c r="N1241" s="15" t="s">
        <v>11223</v>
      </c>
      <c r="O1241" s="15" t="s">
        <v>2821</v>
      </c>
      <c r="P1241" s="15"/>
      <c r="Q1241" s="15" t="s">
        <v>12854</v>
      </c>
      <c r="R1241" s="15"/>
      <c r="S1241" s="15"/>
      <c r="T1241" s="15">
        <v>0</v>
      </c>
      <c r="U1241" s="15"/>
      <c r="V1241" s="15"/>
      <c r="W1241" s="15"/>
      <c r="X1241" s="15"/>
      <c r="Y1241" s="15"/>
      <c r="Z1241" s="15"/>
    </row>
    <row r="1242" spans="1:26" x14ac:dyDescent="0.25">
      <c r="A1242" s="15" t="s">
        <v>12789</v>
      </c>
      <c r="B1242" s="15">
        <v>1241</v>
      </c>
      <c r="C1242" s="15" t="s">
        <v>11277</v>
      </c>
      <c r="D1242" s="15" t="s">
        <v>11277</v>
      </c>
      <c r="E1242" s="15" t="s">
        <v>73</v>
      </c>
      <c r="F1242" s="15" t="s">
        <v>1743</v>
      </c>
      <c r="G1242" s="15" t="s">
        <v>12814</v>
      </c>
      <c r="H1242" s="15">
        <v>9.6</v>
      </c>
      <c r="I1242" s="15">
        <v>29</v>
      </c>
      <c r="J1242" s="15">
        <v>61</v>
      </c>
      <c r="K1242" s="15" t="str">
        <f t="shared" si="19"/>
        <v>dimwold</v>
      </c>
      <c r="L1242" s="15" t="s">
        <v>12812</v>
      </c>
      <c r="M1242" s="15">
        <v>2</v>
      </c>
      <c r="N1242" s="15" t="s">
        <v>11223</v>
      </c>
      <c r="O1242" s="15"/>
      <c r="P1242" s="15"/>
      <c r="Q1242" s="15"/>
      <c r="R1242" s="15"/>
      <c r="S1242" s="15"/>
      <c r="T1242" s="15">
        <v>0</v>
      </c>
      <c r="U1242" s="15" t="s">
        <v>5892</v>
      </c>
      <c r="V1242" s="15" t="s">
        <v>5908</v>
      </c>
      <c r="W1242" s="15" t="s">
        <v>5914</v>
      </c>
      <c r="X1242" s="15"/>
      <c r="Y1242" s="15"/>
      <c r="Z1242" s="15"/>
    </row>
    <row r="1243" spans="1:26" x14ac:dyDescent="0.25">
      <c r="A1243" s="15" t="s">
        <v>12791</v>
      </c>
      <c r="B1243" s="15">
        <v>1242</v>
      </c>
      <c r="C1243" s="15" t="s">
        <v>11277</v>
      </c>
      <c r="D1243" s="15" t="s">
        <v>11277</v>
      </c>
      <c r="E1243" s="15" t="s">
        <v>73</v>
      </c>
      <c r="F1243" s="15" t="s">
        <v>1743</v>
      </c>
      <c r="G1243" s="15" t="s">
        <v>12858</v>
      </c>
      <c r="H1243" s="15">
        <v>9.6</v>
      </c>
      <c r="I1243" s="15">
        <v>29</v>
      </c>
      <c r="J1243" s="15">
        <v>61</v>
      </c>
      <c r="K1243" s="15" t="str">
        <f t="shared" si="19"/>
        <v>dimwold</v>
      </c>
      <c r="L1243" s="15" t="s">
        <v>12859</v>
      </c>
      <c r="M1243" s="15">
        <v>1</v>
      </c>
      <c r="N1243" s="15" t="s">
        <v>11222</v>
      </c>
      <c r="O1243" s="15"/>
      <c r="P1243" s="15"/>
      <c r="Q1243" s="15"/>
      <c r="R1243" s="15"/>
      <c r="S1243" s="15"/>
      <c r="T1243" s="15">
        <v>0</v>
      </c>
      <c r="U1243" s="15"/>
      <c r="V1243" s="15"/>
      <c r="W1243" s="15"/>
      <c r="X1243" s="15"/>
      <c r="Y1243" s="15"/>
      <c r="Z1243" s="15"/>
    </row>
    <row r="1244" spans="1:26" x14ac:dyDescent="0.25">
      <c r="A1244" s="15" t="s">
        <v>12793</v>
      </c>
      <c r="B1244" s="15">
        <v>1243</v>
      </c>
      <c r="C1244" s="15" t="s">
        <v>11277</v>
      </c>
      <c r="D1244" s="15" t="s">
        <v>11277</v>
      </c>
      <c r="E1244" s="15" t="s">
        <v>73</v>
      </c>
      <c r="F1244" s="15" t="s">
        <v>1743</v>
      </c>
      <c r="G1244" s="15" t="s">
        <v>12861</v>
      </c>
      <c r="H1244" s="15">
        <v>9.6</v>
      </c>
      <c r="I1244" s="15">
        <v>29</v>
      </c>
      <c r="J1244" s="15">
        <v>61</v>
      </c>
      <c r="K1244" s="15" t="str">
        <f t="shared" si="19"/>
        <v>dimwold</v>
      </c>
      <c r="L1244" s="15" t="s">
        <v>12859</v>
      </c>
      <c r="M1244" s="15">
        <v>1</v>
      </c>
      <c r="N1244" s="15" t="s">
        <v>11222</v>
      </c>
      <c r="O1244" s="15"/>
      <c r="P1244" s="15"/>
      <c r="Q1244" s="15"/>
      <c r="R1244" s="15"/>
      <c r="S1244" s="15"/>
      <c r="T1244" s="15">
        <v>0</v>
      </c>
      <c r="U1244" s="15"/>
      <c r="V1244" s="15"/>
      <c r="W1244" s="15"/>
      <c r="X1244" s="15"/>
      <c r="Y1244" s="15"/>
      <c r="Z1244" s="15"/>
    </row>
    <row r="1245" spans="1:26" x14ac:dyDescent="0.25">
      <c r="A1245" s="15" t="s">
        <v>12795</v>
      </c>
      <c r="B1245" s="15">
        <v>1244</v>
      </c>
      <c r="C1245" s="15" t="s">
        <v>11277</v>
      </c>
      <c r="D1245" s="15" t="s">
        <v>11277</v>
      </c>
      <c r="E1245" s="15" t="s">
        <v>73</v>
      </c>
      <c r="F1245" s="15" t="s">
        <v>1743</v>
      </c>
      <c r="G1245" s="15" t="s">
        <v>12863</v>
      </c>
      <c r="H1245" s="15">
        <v>9.6</v>
      </c>
      <c r="I1245" s="15">
        <v>29</v>
      </c>
      <c r="J1245" s="15">
        <v>62</v>
      </c>
      <c r="K1245" s="15" t="str">
        <f t="shared" si="19"/>
        <v>dimwold</v>
      </c>
      <c r="L1245" s="15" t="s">
        <v>12848</v>
      </c>
      <c r="M1245" s="15">
        <v>2</v>
      </c>
      <c r="N1245" s="15" t="s">
        <v>11223</v>
      </c>
      <c r="O1245" s="15"/>
      <c r="P1245" s="15"/>
      <c r="Q1245" s="15"/>
      <c r="R1245" s="15"/>
      <c r="S1245" s="15"/>
      <c r="T1245" s="15">
        <v>0</v>
      </c>
      <c r="U1245" s="15"/>
      <c r="V1245" s="15"/>
      <c r="W1245" s="15"/>
      <c r="X1245" s="15"/>
      <c r="Y1245" s="15"/>
      <c r="Z1245" s="15"/>
    </row>
    <row r="1246" spans="1:26" x14ac:dyDescent="0.25">
      <c r="A1246" s="15" t="s">
        <v>12797</v>
      </c>
      <c r="B1246" s="15">
        <v>1245</v>
      </c>
      <c r="C1246" s="15" t="s">
        <v>11277</v>
      </c>
      <c r="D1246" s="15" t="s">
        <v>11277</v>
      </c>
      <c r="E1246" s="15" t="s">
        <v>73</v>
      </c>
      <c r="F1246" s="15" t="s">
        <v>1743</v>
      </c>
      <c r="G1246" s="15" t="s">
        <v>12865</v>
      </c>
      <c r="H1246" s="15">
        <v>9.6</v>
      </c>
      <c r="I1246" s="15">
        <v>29</v>
      </c>
      <c r="J1246" s="15">
        <v>63</v>
      </c>
      <c r="K1246" s="15" t="str">
        <f t="shared" si="19"/>
        <v>dimwold</v>
      </c>
      <c r="L1246" s="15" t="s">
        <v>12848</v>
      </c>
      <c r="M1246" s="15">
        <v>1</v>
      </c>
      <c r="N1246" s="15" t="s">
        <v>11222</v>
      </c>
      <c r="O1246" s="15"/>
      <c r="P1246" s="15"/>
      <c r="Q1246" s="15"/>
      <c r="R1246" s="15"/>
      <c r="S1246" s="15"/>
      <c r="T1246" s="15">
        <v>0</v>
      </c>
      <c r="U1246" s="15"/>
      <c r="V1246" s="15"/>
      <c r="W1246" s="15"/>
      <c r="X1246" s="15"/>
      <c r="Y1246" s="15"/>
      <c r="Z1246" s="15"/>
    </row>
    <row r="1247" spans="1:26" x14ac:dyDescent="0.25">
      <c r="A1247" s="15" t="s">
        <v>12799</v>
      </c>
      <c r="B1247" s="15">
        <v>1246</v>
      </c>
      <c r="C1247" s="15" t="s">
        <v>11277</v>
      </c>
      <c r="D1247" s="15" t="s">
        <v>11277</v>
      </c>
      <c r="E1247" s="15" t="s">
        <v>73</v>
      </c>
      <c r="F1247" s="15" t="s">
        <v>1743</v>
      </c>
      <c r="G1247" s="15" t="s">
        <v>12867</v>
      </c>
      <c r="H1247" s="15">
        <v>9.6</v>
      </c>
      <c r="I1247" s="15">
        <v>29</v>
      </c>
      <c r="J1247" s="15">
        <v>70</v>
      </c>
      <c r="K1247" s="15" t="str">
        <f t="shared" si="19"/>
        <v>dimwold</v>
      </c>
      <c r="L1247" s="15" t="s">
        <v>12848</v>
      </c>
      <c r="M1247" s="15">
        <v>2</v>
      </c>
      <c r="N1247" s="15" t="s">
        <v>11223</v>
      </c>
      <c r="O1247" s="15" t="s">
        <v>2805</v>
      </c>
      <c r="P1247" s="15"/>
      <c r="Q1247" s="15"/>
      <c r="R1247" s="15"/>
      <c r="S1247" s="15"/>
      <c r="T1247" s="15">
        <v>0</v>
      </c>
      <c r="U1247" s="15" t="s">
        <v>5914</v>
      </c>
      <c r="V1247" s="15"/>
      <c r="W1247" s="15"/>
      <c r="X1247" s="15"/>
      <c r="Y1247" s="15"/>
      <c r="Z1247" s="15"/>
    </row>
    <row r="1248" spans="1:26" x14ac:dyDescent="0.25">
      <c r="A1248" s="15" t="s">
        <v>12801</v>
      </c>
      <c r="B1248" s="15">
        <v>1247</v>
      </c>
      <c r="C1248" s="15" t="s">
        <v>11277</v>
      </c>
      <c r="D1248" s="15" t="s">
        <v>11277</v>
      </c>
      <c r="E1248" s="15" t="s">
        <v>73</v>
      </c>
      <c r="F1248" s="15" t="s">
        <v>1743</v>
      </c>
      <c r="G1248" s="15" t="s">
        <v>12869</v>
      </c>
      <c r="H1248" s="15">
        <v>9.6</v>
      </c>
      <c r="I1248" s="15">
        <v>29</v>
      </c>
      <c r="J1248" s="15">
        <v>68</v>
      </c>
      <c r="K1248" s="15" t="str">
        <f t="shared" si="19"/>
        <v>dimwold</v>
      </c>
      <c r="L1248" s="15" t="s">
        <v>11560</v>
      </c>
      <c r="M1248" s="15">
        <v>2</v>
      </c>
      <c r="N1248" s="15" t="s">
        <v>11223</v>
      </c>
      <c r="O1248" s="15"/>
      <c r="P1248" s="15"/>
      <c r="Q1248" s="15"/>
      <c r="R1248" s="15"/>
      <c r="S1248" s="15"/>
      <c r="T1248" s="15">
        <v>0</v>
      </c>
      <c r="U1248" s="15"/>
      <c r="V1248" s="15"/>
      <c r="W1248" s="15"/>
      <c r="X1248" s="15"/>
      <c r="Y1248" s="15"/>
      <c r="Z1248" s="15"/>
    </row>
    <row r="1249" spans="1:26" x14ac:dyDescent="0.25">
      <c r="A1249" s="15" t="s">
        <v>12803</v>
      </c>
      <c r="B1249" s="15">
        <v>1248</v>
      </c>
      <c r="C1249" s="15" t="s">
        <v>11277</v>
      </c>
      <c r="D1249" s="15" t="s">
        <v>11277</v>
      </c>
      <c r="E1249" s="15" t="s">
        <v>73</v>
      </c>
      <c r="F1249" s="15" t="s">
        <v>1743</v>
      </c>
      <c r="G1249" s="15" t="s">
        <v>12871</v>
      </c>
      <c r="H1249" s="15">
        <v>9.6</v>
      </c>
      <c r="I1249" s="15">
        <v>29</v>
      </c>
      <c r="J1249" s="15">
        <v>70</v>
      </c>
      <c r="K1249" s="15" t="str">
        <f t="shared" si="19"/>
        <v>dimwold</v>
      </c>
      <c r="L1249" s="15" t="s">
        <v>12848</v>
      </c>
      <c r="M1249" s="15">
        <v>3</v>
      </c>
      <c r="N1249" s="15" t="s">
        <v>11222</v>
      </c>
      <c r="O1249" s="15"/>
      <c r="P1249" s="15"/>
      <c r="Q1249" s="15"/>
      <c r="R1249" s="15"/>
      <c r="S1249" s="15"/>
      <c r="T1249" s="15">
        <v>0</v>
      </c>
      <c r="U1249" s="15" t="s">
        <v>6010</v>
      </c>
      <c r="V1249" s="15"/>
      <c r="W1249" s="15"/>
      <c r="X1249" s="15"/>
      <c r="Y1249" s="15"/>
      <c r="Z1249" s="15"/>
    </row>
    <row r="1250" spans="1:26" x14ac:dyDescent="0.25">
      <c r="A1250" s="15" t="s">
        <v>12805</v>
      </c>
      <c r="B1250" s="15">
        <v>1249</v>
      </c>
      <c r="C1250" s="15" t="s">
        <v>11277</v>
      </c>
      <c r="D1250" s="15" t="s">
        <v>11277</v>
      </c>
      <c r="E1250" s="15" t="s">
        <v>73</v>
      </c>
      <c r="F1250" s="15" t="s">
        <v>1747</v>
      </c>
      <c r="G1250" s="15" t="s">
        <v>12858</v>
      </c>
      <c r="H1250" s="15">
        <v>13</v>
      </c>
      <c r="I1250" s="15">
        <v>31</v>
      </c>
      <c r="J1250" s="15">
        <v>61</v>
      </c>
      <c r="K1250" s="15" t="str">
        <f t="shared" si="19"/>
        <v>thecometstail</v>
      </c>
      <c r="L1250" s="15" t="s">
        <v>12812</v>
      </c>
      <c r="M1250" s="15">
        <v>1</v>
      </c>
      <c r="N1250" s="15" t="s">
        <v>11222</v>
      </c>
      <c r="O1250" s="15"/>
      <c r="P1250" s="15"/>
      <c r="Q1250" s="15"/>
      <c r="R1250" s="15"/>
      <c r="S1250" s="15"/>
      <c r="T1250" s="15">
        <v>0</v>
      </c>
      <c r="U1250" s="15"/>
      <c r="V1250" s="15"/>
      <c r="W1250" s="15"/>
      <c r="X1250" s="15"/>
      <c r="Y1250" s="15"/>
      <c r="Z1250" s="15"/>
    </row>
    <row r="1251" spans="1:26" x14ac:dyDescent="0.25">
      <c r="A1251" s="15" t="s">
        <v>12807</v>
      </c>
      <c r="B1251" s="15">
        <v>1250</v>
      </c>
      <c r="C1251" s="15" t="s">
        <v>11277</v>
      </c>
      <c r="D1251" s="15" t="s">
        <v>11277</v>
      </c>
      <c r="E1251" s="15" t="s">
        <v>73</v>
      </c>
      <c r="F1251" s="15" t="s">
        <v>1747</v>
      </c>
      <c r="G1251" s="15" t="s">
        <v>12873</v>
      </c>
      <c r="H1251" s="15">
        <v>13</v>
      </c>
      <c r="I1251" s="15">
        <v>31</v>
      </c>
      <c r="J1251" s="15">
        <v>62</v>
      </c>
      <c r="K1251" s="15" t="str">
        <f t="shared" si="19"/>
        <v>thecometstail</v>
      </c>
      <c r="L1251" s="15" t="s">
        <v>12859</v>
      </c>
      <c r="M1251" s="15">
        <v>1</v>
      </c>
      <c r="N1251" s="15" t="s">
        <v>11222</v>
      </c>
      <c r="O1251" s="15"/>
      <c r="P1251" s="15"/>
      <c r="Q1251" s="15"/>
      <c r="R1251" s="15"/>
      <c r="S1251" s="15"/>
      <c r="T1251" s="15">
        <v>0</v>
      </c>
      <c r="U1251" s="15" t="s">
        <v>5908</v>
      </c>
      <c r="V1251" s="15" t="s">
        <v>5914</v>
      </c>
      <c r="W1251" s="15"/>
      <c r="X1251" s="15"/>
      <c r="Y1251" s="15"/>
      <c r="Z1251" s="15"/>
    </row>
    <row r="1252" spans="1:26" x14ac:dyDescent="0.25">
      <c r="A1252" s="15" t="s">
        <v>12810</v>
      </c>
      <c r="B1252" s="15">
        <v>1251</v>
      </c>
      <c r="C1252" s="15" t="s">
        <v>11277</v>
      </c>
      <c r="D1252" s="15" t="s">
        <v>11277</v>
      </c>
      <c r="E1252" s="15" t="s">
        <v>73</v>
      </c>
      <c r="F1252" s="15" t="s">
        <v>1747</v>
      </c>
      <c r="G1252" s="15" t="s">
        <v>12875</v>
      </c>
      <c r="H1252" s="15">
        <v>13</v>
      </c>
      <c r="I1252" s="15">
        <v>31</v>
      </c>
      <c r="J1252" s="15">
        <v>62</v>
      </c>
      <c r="K1252" s="15" t="str">
        <f t="shared" si="19"/>
        <v>thecometstail</v>
      </c>
      <c r="L1252" s="15" t="s">
        <v>12812</v>
      </c>
      <c r="M1252" s="15">
        <v>1</v>
      </c>
      <c r="N1252" s="15" t="s">
        <v>11222</v>
      </c>
      <c r="O1252" s="15" t="s">
        <v>14033</v>
      </c>
      <c r="P1252" s="15"/>
      <c r="Q1252" s="15"/>
      <c r="R1252" s="15"/>
      <c r="S1252" s="15"/>
      <c r="T1252" s="15">
        <v>0</v>
      </c>
      <c r="U1252" s="15"/>
      <c r="V1252" s="15"/>
      <c r="W1252" s="15"/>
      <c r="X1252" s="15"/>
      <c r="Y1252" s="15"/>
      <c r="Z1252" s="15"/>
    </row>
    <row r="1253" spans="1:26" x14ac:dyDescent="0.25">
      <c r="A1253" s="15" t="s">
        <v>12813</v>
      </c>
      <c r="B1253" s="15">
        <v>1252</v>
      </c>
      <c r="C1253" s="15" t="s">
        <v>11277</v>
      </c>
      <c r="D1253" s="15" t="s">
        <v>11277</v>
      </c>
      <c r="E1253" s="15" t="s">
        <v>73</v>
      </c>
      <c r="F1253" s="15" t="s">
        <v>1747</v>
      </c>
      <c r="G1253" s="15" t="s">
        <v>12877</v>
      </c>
      <c r="H1253" s="15">
        <v>13</v>
      </c>
      <c r="I1253" s="15">
        <v>31</v>
      </c>
      <c r="J1253" s="15">
        <v>62</v>
      </c>
      <c r="K1253" s="15" t="str">
        <f t="shared" si="19"/>
        <v>thecometstail</v>
      </c>
      <c r="L1253" s="15" t="s">
        <v>12859</v>
      </c>
      <c r="M1253" s="15">
        <v>1</v>
      </c>
      <c r="N1253" s="15" t="s">
        <v>11222</v>
      </c>
      <c r="O1253" s="15"/>
      <c r="P1253" s="15"/>
      <c r="Q1253" s="15"/>
      <c r="R1253" s="15"/>
      <c r="S1253" s="15"/>
      <c r="T1253" s="15">
        <v>0</v>
      </c>
      <c r="U1253" s="15" t="s">
        <v>5908</v>
      </c>
      <c r="V1253" s="15" t="s">
        <v>5914</v>
      </c>
      <c r="W1253" s="15"/>
      <c r="X1253" s="15"/>
      <c r="Y1253" s="15"/>
      <c r="Z1253" s="15"/>
    </row>
    <row r="1254" spans="1:26" x14ac:dyDescent="0.25">
      <c r="A1254" s="15" t="s">
        <v>12815</v>
      </c>
      <c r="B1254" s="15">
        <v>1253</v>
      </c>
      <c r="C1254" s="15" t="s">
        <v>11277</v>
      </c>
      <c r="D1254" s="15" t="s">
        <v>11277</v>
      </c>
      <c r="E1254" s="15" t="s">
        <v>73</v>
      </c>
      <c r="F1254" s="15" t="s">
        <v>1747</v>
      </c>
      <c r="G1254" s="15" t="s">
        <v>12879</v>
      </c>
      <c r="H1254" s="15">
        <v>13</v>
      </c>
      <c r="I1254" s="15">
        <v>31</v>
      </c>
      <c r="J1254" s="15">
        <v>70</v>
      </c>
      <c r="K1254" s="15" t="str">
        <f t="shared" si="19"/>
        <v>thecometstail</v>
      </c>
      <c r="L1254" s="15" t="s">
        <v>12859</v>
      </c>
      <c r="M1254" s="15">
        <v>2</v>
      </c>
      <c r="N1254" s="15" t="s">
        <v>11223</v>
      </c>
      <c r="O1254" s="15" t="s">
        <v>14060</v>
      </c>
      <c r="P1254" s="15"/>
      <c r="Q1254" s="15"/>
      <c r="R1254" s="15"/>
      <c r="S1254" s="15"/>
      <c r="T1254" s="15">
        <v>1</v>
      </c>
      <c r="U1254" s="15" t="s">
        <v>5908</v>
      </c>
      <c r="V1254" s="15" t="s">
        <v>5914</v>
      </c>
      <c r="W1254" s="15"/>
      <c r="X1254" s="15"/>
      <c r="Y1254" s="15"/>
      <c r="Z1254" s="15"/>
    </row>
    <row r="1255" spans="1:26" x14ac:dyDescent="0.25">
      <c r="A1255" s="15" t="s">
        <v>12818</v>
      </c>
      <c r="B1255" s="15">
        <v>1254</v>
      </c>
      <c r="C1255" s="15" t="s">
        <v>11277</v>
      </c>
      <c r="D1255" s="15" t="s">
        <v>11277</v>
      </c>
      <c r="E1255" s="15" t="s">
        <v>73</v>
      </c>
      <c r="F1255" s="15" t="s">
        <v>1747</v>
      </c>
      <c r="G1255" s="15" t="s">
        <v>12881</v>
      </c>
      <c r="H1255" s="15">
        <v>13</v>
      </c>
      <c r="I1255" s="15">
        <v>31</v>
      </c>
      <c r="J1255" s="15">
        <v>62</v>
      </c>
      <c r="K1255" s="15" t="str">
        <f t="shared" si="19"/>
        <v>thecometstail</v>
      </c>
      <c r="L1255" s="15" t="s">
        <v>11560</v>
      </c>
      <c r="M1255" s="15">
        <v>2</v>
      </c>
      <c r="N1255" s="15" t="s">
        <v>11223</v>
      </c>
      <c r="O1255" s="15"/>
      <c r="P1255" s="15"/>
      <c r="Q1255" s="15"/>
      <c r="R1255" s="15"/>
      <c r="S1255" s="15"/>
      <c r="T1255" s="15">
        <v>0</v>
      </c>
      <c r="U1255" s="15"/>
      <c r="V1255" s="15"/>
      <c r="W1255" s="15"/>
      <c r="X1255" s="15"/>
      <c r="Y1255" s="15"/>
      <c r="Z1255" s="15"/>
    </row>
    <row r="1256" spans="1:26" x14ac:dyDescent="0.25">
      <c r="A1256" s="15" t="s">
        <v>12820</v>
      </c>
      <c r="B1256" s="15">
        <v>1255</v>
      </c>
      <c r="C1256" s="15" t="s">
        <v>11277</v>
      </c>
      <c r="D1256" s="15" t="s">
        <v>11277</v>
      </c>
      <c r="E1256" s="15" t="s">
        <v>73</v>
      </c>
      <c r="F1256" s="15" t="s">
        <v>1747</v>
      </c>
      <c r="G1256" s="15" t="s">
        <v>12883</v>
      </c>
      <c r="H1256" s="15">
        <v>13</v>
      </c>
      <c r="I1256" s="15">
        <v>31</v>
      </c>
      <c r="J1256" s="15">
        <v>70</v>
      </c>
      <c r="K1256" s="15" t="str">
        <f t="shared" si="19"/>
        <v>thecometstail</v>
      </c>
      <c r="L1256" s="15" t="s">
        <v>12859</v>
      </c>
      <c r="M1256" s="15">
        <v>3</v>
      </c>
      <c r="N1256" s="15" t="s">
        <v>11223</v>
      </c>
      <c r="O1256" s="15" t="s">
        <v>2819</v>
      </c>
      <c r="P1256" s="15"/>
      <c r="Q1256" s="15"/>
      <c r="R1256" s="15"/>
      <c r="S1256" s="15"/>
      <c r="T1256" s="15">
        <v>0</v>
      </c>
      <c r="U1256" s="15"/>
      <c r="V1256" s="15"/>
      <c r="W1256" s="15"/>
      <c r="X1256" s="15"/>
      <c r="Y1256" s="15"/>
      <c r="Z1256" s="15"/>
    </row>
    <row r="1257" spans="1:26" x14ac:dyDescent="0.25">
      <c r="A1257" s="15" t="s">
        <v>12822</v>
      </c>
      <c r="B1257" s="15">
        <v>1256</v>
      </c>
      <c r="C1257" s="15" t="s">
        <v>11277</v>
      </c>
      <c r="D1257" s="15" t="s">
        <v>11277</v>
      </c>
      <c r="E1257" s="15" t="s">
        <v>73</v>
      </c>
      <c r="F1257" s="15" t="s">
        <v>1751</v>
      </c>
      <c r="G1257" s="15" t="s">
        <v>12885</v>
      </c>
      <c r="H1257" s="15">
        <v>19.100000000000001</v>
      </c>
      <c r="I1257" s="15">
        <v>4.3</v>
      </c>
      <c r="J1257" s="15">
        <v>61</v>
      </c>
      <c r="K1257" s="15" t="str">
        <f t="shared" si="19"/>
        <v>thevelodynariver</v>
      </c>
      <c r="L1257" s="15" t="s">
        <v>12812</v>
      </c>
      <c r="M1257" s="15">
        <v>2</v>
      </c>
      <c r="N1257" s="15" t="s">
        <v>11223</v>
      </c>
      <c r="O1257" s="15"/>
      <c r="P1257" s="15"/>
      <c r="Q1257" s="15"/>
      <c r="R1257" s="15"/>
      <c r="S1257" s="15"/>
      <c r="T1257" s="15">
        <v>0</v>
      </c>
      <c r="U1257" s="15"/>
      <c r="V1257" s="15"/>
      <c r="W1257" s="15"/>
      <c r="X1257" s="15"/>
      <c r="Y1257" s="15"/>
      <c r="Z1257" s="15"/>
    </row>
    <row r="1258" spans="1:26" x14ac:dyDescent="0.25">
      <c r="A1258" s="15" t="s">
        <v>12824</v>
      </c>
      <c r="B1258" s="15">
        <v>1257</v>
      </c>
      <c r="C1258" s="15" t="s">
        <v>11277</v>
      </c>
      <c r="D1258" s="15" t="s">
        <v>11277</v>
      </c>
      <c r="E1258" s="15" t="s">
        <v>73</v>
      </c>
      <c r="F1258" s="15" t="s">
        <v>1751</v>
      </c>
      <c r="G1258" s="15" t="s">
        <v>12887</v>
      </c>
      <c r="H1258" s="15">
        <v>19.100000000000001</v>
      </c>
      <c r="I1258" s="15">
        <v>4.3</v>
      </c>
      <c r="J1258" s="15">
        <v>62</v>
      </c>
      <c r="K1258" s="15" t="str">
        <f t="shared" si="19"/>
        <v>thevelodynariver</v>
      </c>
      <c r="L1258" s="15" t="s">
        <v>12812</v>
      </c>
      <c r="M1258" s="15">
        <v>2</v>
      </c>
      <c r="N1258" s="15" t="s">
        <v>11223</v>
      </c>
      <c r="O1258" s="15"/>
      <c r="P1258" s="15"/>
      <c r="Q1258" s="15"/>
      <c r="R1258" s="15"/>
      <c r="S1258" s="15"/>
      <c r="T1258" s="15">
        <v>0</v>
      </c>
      <c r="U1258" s="15"/>
      <c r="V1258" s="15"/>
      <c r="W1258" s="15"/>
      <c r="X1258" s="15"/>
      <c r="Y1258" s="15"/>
      <c r="Z1258" s="15"/>
    </row>
    <row r="1259" spans="1:26" x14ac:dyDescent="0.25">
      <c r="A1259" s="15" t="s">
        <v>12826</v>
      </c>
      <c r="B1259" s="15">
        <v>1258</v>
      </c>
      <c r="C1259" s="15" t="s">
        <v>11277</v>
      </c>
      <c r="D1259" s="15" t="s">
        <v>11277</v>
      </c>
      <c r="E1259" s="15" t="s">
        <v>73</v>
      </c>
      <c r="F1259" s="15" t="s">
        <v>1751</v>
      </c>
      <c r="G1259" s="15" t="s">
        <v>12819</v>
      </c>
      <c r="H1259" s="15">
        <v>19.100000000000001</v>
      </c>
      <c r="I1259" s="15">
        <v>4.3</v>
      </c>
      <c r="J1259" s="15">
        <v>62</v>
      </c>
      <c r="K1259" s="15" t="str">
        <f t="shared" si="19"/>
        <v>thevelodynariver</v>
      </c>
      <c r="L1259" s="15" t="s">
        <v>12812</v>
      </c>
      <c r="M1259" s="15">
        <v>1</v>
      </c>
      <c r="N1259" s="15" t="s">
        <v>11222</v>
      </c>
      <c r="O1259" s="15"/>
      <c r="P1259" s="15"/>
      <c r="Q1259" s="15"/>
      <c r="R1259" s="15"/>
      <c r="S1259" s="15"/>
      <c r="T1259" s="15">
        <v>0</v>
      </c>
      <c r="U1259" s="15"/>
      <c r="V1259" s="15"/>
      <c r="W1259" s="15"/>
      <c r="X1259" s="15"/>
      <c r="Y1259" s="15"/>
      <c r="Z1259" s="15"/>
    </row>
    <row r="1260" spans="1:26" x14ac:dyDescent="0.25">
      <c r="A1260" s="15" t="s">
        <v>12828</v>
      </c>
      <c r="B1260" s="15">
        <v>1259</v>
      </c>
      <c r="C1260" s="15" t="s">
        <v>11277</v>
      </c>
      <c r="D1260" s="15" t="s">
        <v>11277</v>
      </c>
      <c r="E1260" s="15" t="s">
        <v>73</v>
      </c>
      <c r="F1260" s="15" t="s">
        <v>1751</v>
      </c>
      <c r="G1260" s="15" t="s">
        <v>12889</v>
      </c>
      <c r="H1260" s="15">
        <v>19.100000000000001</v>
      </c>
      <c r="I1260" s="15">
        <v>4.3</v>
      </c>
      <c r="J1260" s="15">
        <v>64</v>
      </c>
      <c r="K1260" s="15" t="str">
        <f t="shared" si="19"/>
        <v>thevelodynariver</v>
      </c>
      <c r="L1260" s="15" t="s">
        <v>12809</v>
      </c>
      <c r="M1260" s="15">
        <v>2</v>
      </c>
      <c r="N1260" s="15" t="s">
        <v>11223</v>
      </c>
      <c r="O1260" s="15"/>
      <c r="P1260" s="15"/>
      <c r="Q1260" s="15"/>
      <c r="R1260" s="15"/>
      <c r="S1260" s="15"/>
      <c r="T1260" s="15">
        <v>0</v>
      </c>
      <c r="U1260" s="15"/>
      <c r="V1260" s="15"/>
      <c r="W1260" s="15"/>
      <c r="X1260" s="15"/>
      <c r="Y1260" s="15"/>
      <c r="Z1260" s="15"/>
    </row>
    <row r="1261" spans="1:26" x14ac:dyDescent="0.25">
      <c r="A1261" s="15" t="s">
        <v>12830</v>
      </c>
      <c r="B1261" s="15">
        <v>1260</v>
      </c>
      <c r="C1261" s="15" t="s">
        <v>11277</v>
      </c>
      <c r="D1261" s="15" t="s">
        <v>11277</v>
      </c>
      <c r="E1261" s="15" t="s">
        <v>73</v>
      </c>
      <c r="F1261" s="15" t="s">
        <v>1751</v>
      </c>
      <c r="G1261" s="15" t="s">
        <v>12891</v>
      </c>
      <c r="H1261" s="15">
        <v>19.100000000000001</v>
      </c>
      <c r="I1261" s="15">
        <v>4.3</v>
      </c>
      <c r="J1261" s="15">
        <v>64</v>
      </c>
      <c r="K1261" s="15" t="str">
        <f t="shared" si="19"/>
        <v>thevelodynariver</v>
      </c>
      <c r="L1261" s="15" t="s">
        <v>11560</v>
      </c>
      <c r="M1261" s="15">
        <v>2</v>
      </c>
      <c r="N1261" s="15" t="s">
        <v>11223</v>
      </c>
      <c r="O1261" s="15"/>
      <c r="P1261" s="15"/>
      <c r="Q1261" s="15"/>
      <c r="R1261" s="15"/>
      <c r="S1261" s="15"/>
      <c r="T1261" s="15">
        <v>0</v>
      </c>
      <c r="U1261" s="15"/>
      <c r="V1261" s="15"/>
      <c r="W1261" s="15"/>
      <c r="X1261" s="15"/>
      <c r="Y1261" s="15"/>
      <c r="Z1261" s="15"/>
    </row>
    <row r="1262" spans="1:26" x14ac:dyDescent="0.25">
      <c r="A1262" s="15" t="s">
        <v>12832</v>
      </c>
      <c r="B1262" s="15">
        <v>1261</v>
      </c>
      <c r="C1262" s="15" t="s">
        <v>11277</v>
      </c>
      <c r="D1262" s="15" t="s">
        <v>11277</v>
      </c>
      <c r="E1262" s="15" t="s">
        <v>73</v>
      </c>
      <c r="F1262" s="15" t="s">
        <v>1751</v>
      </c>
      <c r="G1262" s="15" t="s">
        <v>12893</v>
      </c>
      <c r="H1262" s="15">
        <v>19.100000000000001</v>
      </c>
      <c r="I1262" s="15">
        <v>4.3</v>
      </c>
      <c r="J1262" s="15">
        <v>70</v>
      </c>
      <c r="K1262" s="15" t="str">
        <f t="shared" si="19"/>
        <v>thevelodynariver</v>
      </c>
      <c r="L1262" s="15" t="s">
        <v>12848</v>
      </c>
      <c r="M1262" s="15">
        <v>3</v>
      </c>
      <c r="N1262" s="15" t="s">
        <v>11223</v>
      </c>
      <c r="O1262" s="15"/>
      <c r="P1262" s="15"/>
      <c r="Q1262" s="15"/>
      <c r="R1262" s="15"/>
      <c r="S1262" s="15"/>
      <c r="T1262" s="15">
        <v>3</v>
      </c>
      <c r="U1262" s="15" t="s">
        <v>5914</v>
      </c>
      <c r="V1262" s="15"/>
      <c r="W1262" s="15"/>
      <c r="X1262" s="15"/>
      <c r="Y1262" s="15"/>
      <c r="Z1262" s="15"/>
    </row>
    <row r="1263" spans="1:26" x14ac:dyDescent="0.25">
      <c r="A1263" s="15" t="s">
        <v>12834</v>
      </c>
      <c r="B1263" s="15">
        <v>1262</v>
      </c>
      <c r="C1263" s="15" t="s">
        <v>11277</v>
      </c>
      <c r="D1263" s="15" t="s">
        <v>11277</v>
      </c>
      <c r="E1263" s="15" t="s">
        <v>73</v>
      </c>
      <c r="F1263" s="15" t="s">
        <v>1760</v>
      </c>
      <c r="G1263" s="15" t="s">
        <v>12895</v>
      </c>
      <c r="H1263" s="15">
        <v>27.5</v>
      </c>
      <c r="I1263" s="15">
        <v>16.5</v>
      </c>
      <c r="J1263" s="15">
        <v>61</v>
      </c>
      <c r="K1263" s="15" t="str">
        <f t="shared" si="19"/>
        <v>miragecreek</v>
      </c>
      <c r="L1263" s="15" t="s">
        <v>12812</v>
      </c>
      <c r="M1263" s="15">
        <v>2</v>
      </c>
      <c r="N1263" s="15" t="s">
        <v>11223</v>
      </c>
      <c r="O1263" s="15"/>
      <c r="P1263" s="15"/>
      <c r="Q1263" s="15"/>
      <c r="R1263" s="15"/>
      <c r="S1263" s="15"/>
      <c r="T1263" s="15">
        <v>0</v>
      </c>
      <c r="U1263" s="15"/>
      <c r="V1263" s="15"/>
      <c r="W1263" s="15"/>
      <c r="X1263" s="15"/>
      <c r="Y1263" s="15"/>
      <c r="Z1263" s="15"/>
    </row>
    <row r="1264" spans="1:26" x14ac:dyDescent="0.25">
      <c r="A1264" s="15" t="s">
        <v>12836</v>
      </c>
      <c r="B1264" s="15">
        <v>1263</v>
      </c>
      <c r="C1264" s="15" t="s">
        <v>11277</v>
      </c>
      <c r="D1264" s="15" t="s">
        <v>11277</v>
      </c>
      <c r="E1264" s="15" t="s">
        <v>73</v>
      </c>
      <c r="F1264" s="15" t="s">
        <v>1760</v>
      </c>
      <c r="G1264" s="15" t="s">
        <v>12897</v>
      </c>
      <c r="H1264" s="15">
        <v>27.5</v>
      </c>
      <c r="I1264" s="15">
        <v>16.5</v>
      </c>
      <c r="J1264" s="15">
        <v>62</v>
      </c>
      <c r="K1264" s="15" t="str">
        <f t="shared" si="19"/>
        <v>miragecreek</v>
      </c>
      <c r="L1264" s="15" t="s">
        <v>12812</v>
      </c>
      <c r="M1264" s="15">
        <v>1</v>
      </c>
      <c r="N1264" s="15" t="s">
        <v>11222</v>
      </c>
      <c r="O1264" s="15"/>
      <c r="P1264" s="15"/>
      <c r="Q1264" s="15"/>
      <c r="R1264" s="15"/>
      <c r="S1264" s="15"/>
      <c r="T1264" s="15">
        <v>0</v>
      </c>
      <c r="U1264" s="15"/>
      <c r="V1264" s="15"/>
      <c r="W1264" s="15"/>
      <c r="X1264" s="15"/>
      <c r="Y1264" s="15"/>
      <c r="Z1264" s="15"/>
    </row>
    <row r="1265" spans="1:26" x14ac:dyDescent="0.25">
      <c r="A1265" s="15" t="s">
        <v>12838</v>
      </c>
      <c r="B1265" s="15">
        <v>1264</v>
      </c>
      <c r="C1265" s="15" t="s">
        <v>11277</v>
      </c>
      <c r="D1265" s="15" t="s">
        <v>11277</v>
      </c>
      <c r="E1265" s="15" t="s">
        <v>73</v>
      </c>
      <c r="F1265" s="15" t="s">
        <v>1760</v>
      </c>
      <c r="G1265" s="15" t="s">
        <v>12899</v>
      </c>
      <c r="H1265" s="15">
        <v>27.5</v>
      </c>
      <c r="I1265" s="15">
        <v>16.5</v>
      </c>
      <c r="J1265" s="15">
        <v>62</v>
      </c>
      <c r="K1265" s="15" t="str">
        <f t="shared" si="19"/>
        <v>miragecreek</v>
      </c>
      <c r="L1265" s="15" t="s">
        <v>12812</v>
      </c>
      <c r="M1265" s="15">
        <v>1</v>
      </c>
      <c r="N1265" s="15" t="s">
        <v>11222</v>
      </c>
      <c r="O1265" s="15"/>
      <c r="P1265" s="15"/>
      <c r="Q1265" s="15"/>
      <c r="R1265" s="15"/>
      <c r="S1265" s="15"/>
      <c r="T1265" s="15">
        <v>0</v>
      </c>
      <c r="U1265" s="15"/>
      <c r="V1265" s="15"/>
      <c r="W1265" s="15"/>
      <c r="X1265" s="15"/>
      <c r="Y1265" s="15"/>
      <c r="Z1265" s="15"/>
    </row>
    <row r="1266" spans="1:26" x14ac:dyDescent="0.25">
      <c r="A1266" s="15" t="s">
        <v>12840</v>
      </c>
      <c r="B1266" s="15">
        <v>1265</v>
      </c>
      <c r="C1266" s="15" t="s">
        <v>11277</v>
      </c>
      <c r="D1266" s="15" t="s">
        <v>11277</v>
      </c>
      <c r="E1266" s="15" t="s">
        <v>73</v>
      </c>
      <c r="F1266" s="15" t="s">
        <v>1760</v>
      </c>
      <c r="G1266" s="15" t="s">
        <v>12901</v>
      </c>
      <c r="H1266" s="15">
        <v>27.5</v>
      </c>
      <c r="I1266" s="15">
        <v>16.5</v>
      </c>
      <c r="J1266" s="15">
        <v>63</v>
      </c>
      <c r="K1266" s="15" t="str">
        <f t="shared" si="19"/>
        <v>miragecreek</v>
      </c>
      <c r="L1266" s="15" t="s">
        <v>12812</v>
      </c>
      <c r="M1266" s="15">
        <v>2</v>
      </c>
      <c r="N1266" s="15" t="s">
        <v>11223</v>
      </c>
      <c r="O1266" s="15"/>
      <c r="P1266" s="15"/>
      <c r="Q1266" s="15"/>
      <c r="R1266" s="15"/>
      <c r="S1266" s="15"/>
      <c r="T1266" s="15">
        <v>0</v>
      </c>
      <c r="U1266" s="15"/>
      <c r="V1266" s="15"/>
      <c r="W1266" s="15"/>
      <c r="X1266" s="15"/>
      <c r="Y1266" s="15"/>
      <c r="Z1266" s="15"/>
    </row>
    <row r="1267" spans="1:26" x14ac:dyDescent="0.25">
      <c r="A1267" s="15" t="s">
        <v>12842</v>
      </c>
      <c r="B1267" s="15">
        <v>1266</v>
      </c>
      <c r="C1267" s="15" t="s">
        <v>11277</v>
      </c>
      <c r="D1267" s="15" t="s">
        <v>11277</v>
      </c>
      <c r="E1267" s="15" t="s">
        <v>73</v>
      </c>
      <c r="F1267" s="15" t="s">
        <v>1760</v>
      </c>
      <c r="G1267" s="15" t="s">
        <v>12903</v>
      </c>
      <c r="H1267" s="15">
        <v>27.5</v>
      </c>
      <c r="I1267" s="15">
        <v>16.5</v>
      </c>
      <c r="J1267" s="15">
        <v>70</v>
      </c>
      <c r="K1267" s="15" t="str">
        <f t="shared" si="19"/>
        <v>miragecreek</v>
      </c>
      <c r="L1267" s="15" t="s">
        <v>12848</v>
      </c>
      <c r="M1267" s="15">
        <v>3</v>
      </c>
      <c r="N1267" s="15" t="s">
        <v>11223</v>
      </c>
      <c r="O1267" s="15" t="s">
        <v>2810</v>
      </c>
      <c r="P1267" s="15"/>
      <c r="Q1267" s="15"/>
      <c r="R1267" s="15"/>
      <c r="S1267" s="15"/>
      <c r="T1267" s="15">
        <v>2</v>
      </c>
      <c r="U1267" s="15"/>
      <c r="V1267" s="15"/>
      <c r="W1267" s="15"/>
      <c r="X1267" s="15"/>
      <c r="Y1267" s="15"/>
      <c r="Z1267" s="15"/>
    </row>
    <row r="1268" spans="1:26" x14ac:dyDescent="0.25">
      <c r="A1268" s="15" t="s">
        <v>12844</v>
      </c>
      <c r="B1268" s="15">
        <v>1267</v>
      </c>
      <c r="C1268" s="15" t="s">
        <v>11277</v>
      </c>
      <c r="D1268" s="15" t="s">
        <v>11277</v>
      </c>
      <c r="E1268" s="15" t="s">
        <v>102</v>
      </c>
      <c r="F1268" s="15" t="s">
        <v>1760</v>
      </c>
      <c r="G1268" s="15" t="s">
        <v>12905</v>
      </c>
      <c r="H1268" s="15">
        <v>27.5</v>
      </c>
      <c r="I1268" s="15">
        <v>16.5</v>
      </c>
      <c r="J1268" s="15">
        <v>73</v>
      </c>
      <c r="K1268" s="15" t="str">
        <f t="shared" si="19"/>
        <v>miragecreek</v>
      </c>
      <c r="L1268" s="15" t="s">
        <v>11560</v>
      </c>
      <c r="M1268" s="15">
        <v>1</v>
      </c>
      <c r="N1268" s="15" t="s">
        <v>11222</v>
      </c>
      <c r="O1268" s="15"/>
      <c r="P1268" s="15"/>
      <c r="Q1268" s="15"/>
      <c r="R1268" s="15"/>
      <c r="S1268" s="15"/>
      <c r="T1268" s="15">
        <v>0</v>
      </c>
      <c r="U1268" s="15"/>
      <c r="V1268" s="15"/>
      <c r="W1268" s="15"/>
      <c r="X1268" s="15"/>
      <c r="Y1268" s="15"/>
      <c r="Z1268" s="15"/>
    </row>
    <row r="1269" spans="1:26" x14ac:dyDescent="0.25">
      <c r="A1269" s="15" t="s">
        <v>12846</v>
      </c>
      <c r="B1269" s="15">
        <v>1268</v>
      </c>
      <c r="C1269" s="15" t="s">
        <v>11277</v>
      </c>
      <c r="D1269" s="15" t="s">
        <v>11277</v>
      </c>
      <c r="E1269" s="15" t="s">
        <v>73</v>
      </c>
      <c r="F1269" s="15" t="s">
        <v>1760</v>
      </c>
      <c r="G1269" s="15" t="s">
        <v>12907</v>
      </c>
      <c r="H1269" s="15">
        <v>27.5</v>
      </c>
      <c r="I1269" s="15">
        <v>16.5</v>
      </c>
      <c r="J1269" s="15">
        <v>70</v>
      </c>
      <c r="K1269" s="15" t="str">
        <f t="shared" si="19"/>
        <v>miragecreek</v>
      </c>
      <c r="L1269" s="15" t="s">
        <v>12859</v>
      </c>
      <c r="M1269" s="15">
        <v>3</v>
      </c>
      <c r="N1269" s="15" t="s">
        <v>11223</v>
      </c>
      <c r="O1269" s="15" t="s">
        <v>2825</v>
      </c>
      <c r="P1269" s="15"/>
      <c r="Q1269" s="15"/>
      <c r="R1269" s="15"/>
      <c r="S1269" s="15"/>
      <c r="T1269" s="15">
        <v>3</v>
      </c>
      <c r="U1269" s="15" t="s">
        <v>5893</v>
      </c>
      <c r="V1269" s="15"/>
      <c r="W1269" s="15"/>
      <c r="X1269" s="15"/>
      <c r="Y1269" s="15"/>
      <c r="Z1269" s="15"/>
    </row>
    <row r="1270" spans="1:26" x14ac:dyDescent="0.25">
      <c r="A1270" s="15" t="s">
        <v>12849</v>
      </c>
      <c r="B1270" s="15">
        <v>1269</v>
      </c>
      <c r="C1270" s="15" t="s">
        <v>11277</v>
      </c>
      <c r="D1270" s="15" t="s">
        <v>11277</v>
      </c>
      <c r="E1270" s="15" t="s">
        <v>73</v>
      </c>
      <c r="F1270" s="15" t="s">
        <v>1775</v>
      </c>
      <c r="G1270" s="15" t="s">
        <v>12850</v>
      </c>
      <c r="H1270" s="15">
        <v>6.5</v>
      </c>
      <c r="I1270" s="15">
        <v>15.6</v>
      </c>
      <c r="J1270" s="15">
        <v>63</v>
      </c>
      <c r="K1270" s="15" t="str">
        <f t="shared" si="19"/>
        <v>grymm&amp;enid</v>
      </c>
      <c r="L1270" s="15" t="s">
        <v>12812</v>
      </c>
      <c r="M1270" s="15">
        <v>1</v>
      </c>
      <c r="N1270" s="15" t="s">
        <v>11222</v>
      </c>
      <c r="O1270" s="15"/>
      <c r="P1270" s="15"/>
      <c r="Q1270" s="15"/>
      <c r="R1270" s="15"/>
      <c r="S1270" s="15"/>
      <c r="T1270" s="15">
        <v>0</v>
      </c>
      <c r="U1270" s="15"/>
      <c r="V1270" s="15"/>
      <c r="W1270" s="15"/>
      <c r="X1270" s="15"/>
      <c r="Y1270" s="15"/>
      <c r="Z1270" s="15"/>
    </row>
    <row r="1271" spans="1:26" x14ac:dyDescent="0.25">
      <c r="A1271" s="15" t="s">
        <v>12851</v>
      </c>
      <c r="B1271" s="15">
        <v>1270</v>
      </c>
      <c r="C1271" s="15" t="s">
        <v>11277</v>
      </c>
      <c r="D1271" s="15" t="s">
        <v>11277</v>
      </c>
      <c r="E1271" s="15" t="s">
        <v>73</v>
      </c>
      <c r="F1271" s="15" t="s">
        <v>1775</v>
      </c>
      <c r="G1271" s="15" t="s">
        <v>12909</v>
      </c>
      <c r="H1271" s="15">
        <v>6.5</v>
      </c>
      <c r="I1271" s="15">
        <v>15.6</v>
      </c>
      <c r="J1271" s="15">
        <v>63</v>
      </c>
      <c r="K1271" s="15" t="str">
        <f t="shared" si="19"/>
        <v>grymm&amp;enid</v>
      </c>
      <c r="L1271" s="15" t="s">
        <v>12859</v>
      </c>
      <c r="M1271" s="15">
        <v>1</v>
      </c>
      <c r="N1271" s="15" t="s">
        <v>11222</v>
      </c>
      <c r="O1271" s="15"/>
      <c r="P1271" s="15"/>
      <c r="Q1271" s="15"/>
      <c r="R1271" s="15"/>
      <c r="S1271" s="15"/>
      <c r="T1271" s="15">
        <v>0</v>
      </c>
      <c r="U1271" s="15"/>
      <c r="V1271" s="15"/>
      <c r="W1271" s="15"/>
      <c r="X1271" s="15"/>
      <c r="Y1271" s="15"/>
      <c r="Z1271" s="15"/>
    </row>
    <row r="1272" spans="1:26" x14ac:dyDescent="0.25">
      <c r="A1272" s="15" t="s">
        <v>12853</v>
      </c>
      <c r="B1272" s="15">
        <v>1271</v>
      </c>
      <c r="C1272" s="15" t="s">
        <v>11277</v>
      </c>
      <c r="D1272" s="15" t="s">
        <v>11277</v>
      </c>
      <c r="E1272" s="15" t="s">
        <v>73</v>
      </c>
      <c r="F1272" s="15" t="s">
        <v>1775</v>
      </c>
      <c r="G1272" s="15" t="s">
        <v>12911</v>
      </c>
      <c r="H1272" s="15">
        <v>6.5</v>
      </c>
      <c r="I1272" s="15">
        <v>15.6</v>
      </c>
      <c r="J1272" s="15">
        <v>64</v>
      </c>
      <c r="K1272" s="15" t="str">
        <f t="shared" si="19"/>
        <v>grymm&amp;enid</v>
      </c>
      <c r="L1272" s="15" t="s">
        <v>12809</v>
      </c>
      <c r="M1272" s="15">
        <v>1</v>
      </c>
      <c r="N1272" s="15" t="s">
        <v>11222</v>
      </c>
      <c r="O1272" s="15"/>
      <c r="P1272" s="15"/>
      <c r="Q1272" s="15"/>
      <c r="R1272" s="15"/>
      <c r="S1272" s="15"/>
      <c r="T1272" s="15">
        <v>0</v>
      </c>
      <c r="U1272" s="15"/>
      <c r="V1272" s="15"/>
      <c r="W1272" s="15"/>
      <c r="X1272" s="15"/>
      <c r="Y1272" s="15"/>
      <c r="Z1272" s="15"/>
    </row>
    <row r="1273" spans="1:26" x14ac:dyDescent="0.25">
      <c r="A1273" s="15" t="s">
        <v>12855</v>
      </c>
      <c r="B1273" s="15">
        <v>1272</v>
      </c>
      <c r="C1273" s="15" t="s">
        <v>11277</v>
      </c>
      <c r="D1273" s="15" t="s">
        <v>11277</v>
      </c>
      <c r="E1273" s="15" t="s">
        <v>73</v>
      </c>
      <c r="F1273" s="15" t="s">
        <v>1775</v>
      </c>
      <c r="G1273" s="15" t="s">
        <v>12913</v>
      </c>
      <c r="H1273" s="15">
        <v>6.5</v>
      </c>
      <c r="I1273" s="15">
        <v>15.6</v>
      </c>
      <c r="J1273" s="15">
        <v>61</v>
      </c>
      <c r="K1273" s="15" t="str">
        <f t="shared" si="19"/>
        <v>grymm&amp;enid</v>
      </c>
      <c r="L1273" s="15" t="s">
        <v>11560</v>
      </c>
      <c r="M1273" s="15">
        <v>2</v>
      </c>
      <c r="N1273" s="15" t="s">
        <v>11223</v>
      </c>
      <c r="O1273" s="15"/>
      <c r="P1273" s="15"/>
      <c r="Q1273" s="15"/>
      <c r="R1273" s="15"/>
      <c r="S1273" s="15"/>
      <c r="T1273" s="15">
        <v>0</v>
      </c>
      <c r="U1273" s="15"/>
      <c r="V1273" s="15"/>
      <c r="W1273" s="15"/>
      <c r="X1273" s="15"/>
      <c r="Y1273" s="15"/>
      <c r="Z1273" s="15"/>
    </row>
    <row r="1274" spans="1:26" x14ac:dyDescent="0.25">
      <c r="A1274" s="15" t="s">
        <v>12857</v>
      </c>
      <c r="B1274" s="15">
        <v>1273</v>
      </c>
      <c r="C1274" s="15" t="s">
        <v>11277</v>
      </c>
      <c r="D1274" s="15" t="s">
        <v>11277</v>
      </c>
      <c r="E1274" s="15" t="s">
        <v>73</v>
      </c>
      <c r="F1274" s="15" t="s">
        <v>1775</v>
      </c>
      <c r="G1274" s="15" t="s">
        <v>12915</v>
      </c>
      <c r="H1274" s="15">
        <v>6.5</v>
      </c>
      <c r="I1274" s="15">
        <v>15.6</v>
      </c>
      <c r="J1274" s="15">
        <v>70</v>
      </c>
      <c r="K1274" s="15" t="str">
        <f t="shared" si="19"/>
        <v>grymm&amp;enid</v>
      </c>
      <c r="L1274" s="15" t="s">
        <v>12859</v>
      </c>
      <c r="M1274" s="15">
        <v>3</v>
      </c>
      <c r="N1274" s="15" t="s">
        <v>11223</v>
      </c>
      <c r="O1274" s="15"/>
      <c r="P1274" s="15"/>
      <c r="Q1274" s="15"/>
      <c r="R1274" s="15"/>
      <c r="S1274" s="15"/>
      <c r="T1274" s="15">
        <v>0</v>
      </c>
      <c r="U1274" s="15" t="s">
        <v>6034</v>
      </c>
      <c r="V1274" s="15"/>
      <c r="W1274" s="15"/>
      <c r="X1274" s="15"/>
      <c r="Y1274" s="15"/>
      <c r="Z1274" s="15"/>
    </row>
    <row r="1275" spans="1:26" x14ac:dyDescent="0.25">
      <c r="A1275" s="15" t="s">
        <v>12860</v>
      </c>
      <c r="B1275" s="15">
        <v>1274</v>
      </c>
      <c r="C1275" s="15" t="s">
        <v>11277</v>
      </c>
      <c r="D1275" s="15" t="s">
        <v>11277</v>
      </c>
      <c r="E1275" s="15" t="s">
        <v>73</v>
      </c>
      <c r="F1275" s="15" t="s">
        <v>1775</v>
      </c>
      <c r="G1275" s="15" t="s">
        <v>12917</v>
      </c>
      <c r="H1275" s="15">
        <v>6.5</v>
      </c>
      <c r="I1275" s="15">
        <v>15.6</v>
      </c>
      <c r="J1275" s="15">
        <v>70</v>
      </c>
      <c r="K1275" s="15" t="str">
        <f t="shared" si="19"/>
        <v>grymm&amp;enid</v>
      </c>
      <c r="L1275" s="15" t="s">
        <v>12859</v>
      </c>
      <c r="M1275" s="15">
        <v>3</v>
      </c>
      <c r="N1275" s="15" t="s">
        <v>11223</v>
      </c>
      <c r="O1275" s="15"/>
      <c r="P1275" s="15" t="s">
        <v>15168</v>
      </c>
      <c r="Q1275" s="15"/>
      <c r="R1275" s="15"/>
      <c r="S1275" s="15"/>
      <c r="T1275" s="15">
        <v>0</v>
      </c>
      <c r="U1275" s="15" t="s">
        <v>6034</v>
      </c>
      <c r="V1275" s="15"/>
      <c r="W1275" s="15"/>
      <c r="X1275" s="15"/>
      <c r="Y1275" s="15"/>
      <c r="Z1275" s="15"/>
    </row>
    <row r="1276" spans="1:26" x14ac:dyDescent="0.25">
      <c r="A1276" s="15" t="s">
        <v>12862</v>
      </c>
      <c r="B1276" s="15">
        <v>1275</v>
      </c>
      <c r="C1276" s="15" t="s">
        <v>11277</v>
      </c>
      <c r="D1276" s="15" t="s">
        <v>11277</v>
      </c>
      <c r="E1276" s="15" t="s">
        <v>73</v>
      </c>
      <c r="F1276" s="15" t="s">
        <v>15169</v>
      </c>
      <c r="G1276" s="15" t="s">
        <v>12919</v>
      </c>
      <c r="H1276" s="15">
        <v>23.5</v>
      </c>
      <c r="I1276" s="15">
        <v>9</v>
      </c>
      <c r="J1276" s="15">
        <v>61</v>
      </c>
      <c r="K1276" s="15" t="str">
        <f t="shared" si="19"/>
        <v>theslowwash</v>
      </c>
      <c r="L1276" s="15" t="s">
        <v>11560</v>
      </c>
      <c r="M1276" s="15">
        <v>2</v>
      </c>
      <c r="N1276" s="15" t="s">
        <v>11223</v>
      </c>
      <c r="O1276" s="15"/>
      <c r="P1276" s="15"/>
      <c r="Q1276" s="15" t="s">
        <v>12816</v>
      </c>
      <c r="R1276" s="15"/>
      <c r="S1276" s="15"/>
      <c r="T1276" s="15">
        <v>0</v>
      </c>
      <c r="U1276" s="15"/>
      <c r="V1276" s="15"/>
      <c r="W1276" s="15"/>
      <c r="X1276" s="15"/>
      <c r="Y1276" s="15"/>
      <c r="Z1276" s="15"/>
    </row>
    <row r="1277" spans="1:26" x14ac:dyDescent="0.25">
      <c r="A1277" s="15" t="s">
        <v>12864</v>
      </c>
      <c r="B1277" s="15">
        <v>1276</v>
      </c>
      <c r="C1277" s="15" t="s">
        <v>11277</v>
      </c>
      <c r="D1277" s="15" t="s">
        <v>11277</v>
      </c>
      <c r="E1277" s="15" t="s">
        <v>73</v>
      </c>
      <c r="F1277" s="15" t="s">
        <v>15169</v>
      </c>
      <c r="G1277" s="15" t="s">
        <v>12921</v>
      </c>
      <c r="H1277" s="15">
        <v>23.5</v>
      </c>
      <c r="I1277" s="15">
        <v>9</v>
      </c>
      <c r="J1277" s="15">
        <v>61</v>
      </c>
      <c r="K1277" s="15" t="str">
        <f t="shared" si="19"/>
        <v>theslowwash</v>
      </c>
      <c r="L1277" s="15" t="s">
        <v>12809</v>
      </c>
      <c r="M1277" s="15">
        <v>2</v>
      </c>
      <c r="N1277" s="15" t="s">
        <v>11223</v>
      </c>
      <c r="O1277" s="15"/>
      <c r="P1277" s="15"/>
      <c r="Q1277" s="15"/>
      <c r="R1277" s="15"/>
      <c r="S1277" s="15"/>
      <c r="T1277" s="15">
        <v>0</v>
      </c>
      <c r="U1277" s="15"/>
      <c r="V1277" s="15"/>
      <c r="W1277" s="15"/>
      <c r="X1277" s="15"/>
      <c r="Y1277" s="15"/>
      <c r="Z1277" s="15"/>
    </row>
    <row r="1278" spans="1:26" x14ac:dyDescent="0.25">
      <c r="A1278" s="15" t="s">
        <v>12866</v>
      </c>
      <c r="B1278" s="15">
        <v>1277</v>
      </c>
      <c r="C1278" s="15" t="s">
        <v>11277</v>
      </c>
      <c r="D1278" s="15" t="s">
        <v>11277</v>
      </c>
      <c r="E1278" s="15" t="s">
        <v>73</v>
      </c>
      <c r="F1278" s="15" t="s">
        <v>15169</v>
      </c>
      <c r="G1278" s="15" t="s">
        <v>12816</v>
      </c>
      <c r="H1278" s="15">
        <v>23.5</v>
      </c>
      <c r="I1278" s="15">
        <v>9</v>
      </c>
      <c r="J1278" s="15">
        <v>62</v>
      </c>
      <c r="K1278" s="15" t="str">
        <f t="shared" si="19"/>
        <v>theslowwash</v>
      </c>
      <c r="L1278" s="15" t="s">
        <v>12817</v>
      </c>
      <c r="M1278" s="15">
        <v>2</v>
      </c>
      <c r="N1278" s="15" t="s">
        <v>11223</v>
      </c>
      <c r="O1278" s="15"/>
      <c r="P1278" s="15"/>
      <c r="Q1278" s="15"/>
      <c r="R1278" s="15"/>
      <c r="S1278" s="15"/>
      <c r="T1278" s="15">
        <v>0</v>
      </c>
      <c r="U1278" s="15"/>
      <c r="V1278" s="15"/>
      <c r="W1278" s="15"/>
      <c r="X1278" s="15"/>
      <c r="Y1278" s="15"/>
      <c r="Z1278" s="15"/>
    </row>
    <row r="1279" spans="1:26" x14ac:dyDescent="0.25">
      <c r="A1279" s="15" t="s">
        <v>12868</v>
      </c>
      <c r="B1279" s="15">
        <v>1278</v>
      </c>
      <c r="C1279" s="15" t="s">
        <v>11277</v>
      </c>
      <c r="D1279" s="15" t="s">
        <v>11277</v>
      </c>
      <c r="E1279" s="15" t="s">
        <v>73</v>
      </c>
      <c r="F1279" s="15" t="s">
        <v>15169</v>
      </c>
      <c r="G1279" s="15" t="s">
        <v>12923</v>
      </c>
      <c r="H1279" s="15">
        <v>23.5</v>
      </c>
      <c r="I1279" s="15">
        <v>9</v>
      </c>
      <c r="J1279" s="15">
        <v>63</v>
      </c>
      <c r="K1279" s="15" t="str">
        <f t="shared" si="19"/>
        <v>theslowwash</v>
      </c>
      <c r="L1279" s="15" t="s">
        <v>12859</v>
      </c>
      <c r="M1279" s="15">
        <v>2</v>
      </c>
      <c r="N1279" s="15" t="s">
        <v>11223</v>
      </c>
      <c r="O1279" s="15"/>
      <c r="P1279" s="15"/>
      <c r="Q1279" s="15"/>
      <c r="R1279" s="15"/>
      <c r="S1279" s="15"/>
      <c r="T1279" s="15">
        <v>0</v>
      </c>
      <c r="U1279" s="15"/>
      <c r="V1279" s="15"/>
      <c r="W1279" s="15"/>
      <c r="X1279" s="15"/>
      <c r="Y1279" s="15"/>
      <c r="Z1279" s="15"/>
    </row>
    <row r="1280" spans="1:26" x14ac:dyDescent="0.25">
      <c r="A1280" s="15" t="s">
        <v>12870</v>
      </c>
      <c r="B1280" s="15">
        <v>1279</v>
      </c>
      <c r="C1280" s="15" t="s">
        <v>11277</v>
      </c>
      <c r="D1280" s="15" t="s">
        <v>11277</v>
      </c>
      <c r="E1280" s="15" t="s">
        <v>73</v>
      </c>
      <c r="F1280" s="15" t="s">
        <v>15169</v>
      </c>
      <c r="G1280" s="15" t="s">
        <v>12850</v>
      </c>
      <c r="H1280" s="15">
        <v>23.5</v>
      </c>
      <c r="I1280" s="15">
        <v>9</v>
      </c>
      <c r="J1280" s="15">
        <v>63</v>
      </c>
      <c r="K1280" s="15" t="str">
        <f t="shared" si="19"/>
        <v>theslowwash</v>
      </c>
      <c r="L1280" s="15" t="s">
        <v>12817</v>
      </c>
      <c r="M1280" s="15">
        <v>1</v>
      </c>
      <c r="N1280" s="15" t="s">
        <v>11222</v>
      </c>
      <c r="O1280" s="15"/>
      <c r="P1280" s="15"/>
      <c r="Q1280" s="15"/>
      <c r="R1280" s="15"/>
      <c r="S1280" s="15"/>
      <c r="T1280" s="15">
        <v>0</v>
      </c>
      <c r="U1280" s="15"/>
      <c r="V1280" s="15"/>
      <c r="W1280" s="15"/>
      <c r="X1280" s="15"/>
      <c r="Y1280" s="15"/>
      <c r="Z1280" s="15"/>
    </row>
    <row r="1281" spans="1:26" x14ac:dyDescent="0.25">
      <c r="A1281" s="15" t="s">
        <v>12872</v>
      </c>
      <c r="B1281" s="15">
        <v>1280</v>
      </c>
      <c r="C1281" s="15" t="s">
        <v>11277</v>
      </c>
      <c r="D1281" s="15" t="s">
        <v>11277</v>
      </c>
      <c r="E1281" s="15" t="s">
        <v>73</v>
      </c>
      <c r="F1281" s="15" t="s">
        <v>15169</v>
      </c>
      <c r="G1281" s="15" t="s">
        <v>12925</v>
      </c>
      <c r="H1281" s="15">
        <v>23.5</v>
      </c>
      <c r="I1281" s="15">
        <v>9</v>
      </c>
      <c r="J1281" s="15">
        <v>63</v>
      </c>
      <c r="K1281" s="15" t="str">
        <f t="shared" si="19"/>
        <v>theslowwash</v>
      </c>
      <c r="L1281" s="15" t="s">
        <v>12859</v>
      </c>
      <c r="M1281" s="15">
        <v>1</v>
      </c>
      <c r="N1281" s="15" t="s">
        <v>11222</v>
      </c>
      <c r="O1281" s="15"/>
      <c r="P1281" s="15"/>
      <c r="Q1281" s="15"/>
      <c r="R1281" s="15"/>
      <c r="S1281" s="15"/>
      <c r="T1281" s="15">
        <v>0</v>
      </c>
      <c r="U1281" s="15"/>
      <c r="V1281" s="15"/>
      <c r="W1281" s="15"/>
      <c r="X1281" s="15"/>
      <c r="Y1281" s="15"/>
      <c r="Z1281" s="15"/>
    </row>
    <row r="1282" spans="1:26" x14ac:dyDescent="0.25">
      <c r="A1282" s="15" t="s">
        <v>12874</v>
      </c>
      <c r="B1282" s="15">
        <v>1281</v>
      </c>
      <c r="C1282" s="15" t="s">
        <v>11277</v>
      </c>
      <c r="D1282" s="15" t="s">
        <v>11277</v>
      </c>
      <c r="E1282" s="15" t="s">
        <v>73</v>
      </c>
      <c r="F1282" s="15" t="s">
        <v>15169</v>
      </c>
      <c r="G1282" s="15" t="s">
        <v>12927</v>
      </c>
      <c r="H1282" s="15">
        <v>23.5</v>
      </c>
      <c r="I1282" s="15">
        <v>9</v>
      </c>
      <c r="J1282" s="15">
        <v>70</v>
      </c>
      <c r="K1282" s="15" t="str">
        <f t="shared" ref="K1282:K1345" si="20">LOWER(SUBSTITUTE(SUBSTITUTE(SUBSTITUTE(SUBSTITUTE(SUBSTITUTE(F1282," ",""),"(",""),")",""),"'",""),"-",""))</f>
        <v>theslowwash</v>
      </c>
      <c r="L1282" s="15" t="s">
        <v>14088</v>
      </c>
      <c r="M1282" s="15">
        <v>3</v>
      </c>
      <c r="N1282" s="15" t="s">
        <v>11223</v>
      </c>
      <c r="O1282" s="15" t="s">
        <v>2815</v>
      </c>
      <c r="P1282" s="15"/>
      <c r="Q1282" s="15" t="s">
        <v>12816</v>
      </c>
      <c r="R1282" s="15"/>
      <c r="S1282" s="15"/>
      <c r="T1282" s="15">
        <v>0</v>
      </c>
      <c r="U1282" s="15"/>
      <c r="V1282" s="15"/>
      <c r="W1282" s="15"/>
      <c r="X1282" s="15"/>
      <c r="Y1282" s="15"/>
      <c r="Z1282" s="15"/>
    </row>
    <row r="1283" spans="1:26" x14ac:dyDescent="0.25">
      <c r="A1283" s="15" t="s">
        <v>12876</v>
      </c>
      <c r="B1283" s="15">
        <v>1282</v>
      </c>
      <c r="C1283" s="15" t="s">
        <v>11277</v>
      </c>
      <c r="D1283" s="15" t="s">
        <v>11277</v>
      </c>
      <c r="E1283" s="15" t="s">
        <v>73</v>
      </c>
      <c r="F1283" s="15" t="s">
        <v>1786</v>
      </c>
      <c r="G1283" s="15" t="s">
        <v>12929</v>
      </c>
      <c r="H1283" s="15">
        <v>31.8</v>
      </c>
      <c r="I1283" s="15">
        <v>7.1</v>
      </c>
      <c r="J1283" s="15">
        <v>61</v>
      </c>
      <c r="K1283" s="15" t="str">
        <f t="shared" si="20"/>
        <v>heatherfalls</v>
      </c>
      <c r="L1283" s="15" t="s">
        <v>12859</v>
      </c>
      <c r="M1283" s="15">
        <v>2</v>
      </c>
      <c r="N1283" s="15" t="s">
        <v>11223</v>
      </c>
      <c r="O1283" s="15"/>
      <c r="P1283" s="15"/>
      <c r="Q1283" s="15"/>
      <c r="R1283" s="15"/>
      <c r="S1283" s="15"/>
      <c r="T1283" s="15">
        <v>0</v>
      </c>
      <c r="U1283" s="15"/>
      <c r="V1283" s="15"/>
      <c r="W1283" s="15"/>
      <c r="X1283" s="15"/>
      <c r="Y1283" s="15"/>
      <c r="Z1283" s="15"/>
    </row>
    <row r="1284" spans="1:26" x14ac:dyDescent="0.25">
      <c r="A1284" s="15" t="s">
        <v>12878</v>
      </c>
      <c r="B1284" s="15">
        <v>1283</v>
      </c>
      <c r="C1284" s="15" t="s">
        <v>11277</v>
      </c>
      <c r="D1284" s="15" t="s">
        <v>11277</v>
      </c>
      <c r="E1284" s="15" t="s">
        <v>73</v>
      </c>
      <c r="F1284" s="15" t="s">
        <v>1786</v>
      </c>
      <c r="G1284" s="15" t="s">
        <v>12850</v>
      </c>
      <c r="H1284" s="15">
        <v>31.8</v>
      </c>
      <c r="I1284" s="15">
        <v>7.1</v>
      </c>
      <c r="J1284" s="15">
        <v>63</v>
      </c>
      <c r="K1284" s="15" t="str">
        <f t="shared" si="20"/>
        <v>heatherfalls</v>
      </c>
      <c r="L1284" s="15" t="s">
        <v>12812</v>
      </c>
      <c r="M1284" s="15">
        <v>1</v>
      </c>
      <c r="N1284" s="15" t="s">
        <v>11222</v>
      </c>
      <c r="O1284" s="15"/>
      <c r="P1284" s="15"/>
      <c r="Q1284" s="15"/>
      <c r="R1284" s="15"/>
      <c r="S1284" s="15"/>
      <c r="T1284" s="15">
        <v>0</v>
      </c>
      <c r="U1284" s="15"/>
      <c r="V1284" s="15"/>
      <c r="W1284" s="15"/>
      <c r="X1284" s="15"/>
      <c r="Y1284" s="15"/>
      <c r="Z1284" s="15"/>
    </row>
    <row r="1285" spans="1:26" x14ac:dyDescent="0.25">
      <c r="A1285" s="15" t="s">
        <v>12880</v>
      </c>
      <c r="B1285" s="15">
        <v>1284</v>
      </c>
      <c r="C1285" s="15" t="s">
        <v>11277</v>
      </c>
      <c r="D1285" s="15" t="s">
        <v>11277</v>
      </c>
      <c r="E1285" s="15" t="s">
        <v>73</v>
      </c>
      <c r="F1285" s="15" t="s">
        <v>1786</v>
      </c>
      <c r="G1285" s="15" t="s">
        <v>12931</v>
      </c>
      <c r="H1285" s="15">
        <v>31.8</v>
      </c>
      <c r="I1285" s="15">
        <v>7.1</v>
      </c>
      <c r="J1285" s="15">
        <v>63</v>
      </c>
      <c r="K1285" s="15" t="str">
        <f t="shared" si="20"/>
        <v>heatherfalls</v>
      </c>
      <c r="L1285" s="15" t="s">
        <v>12859</v>
      </c>
      <c r="M1285" s="15">
        <v>1</v>
      </c>
      <c r="N1285" s="15" t="s">
        <v>11222</v>
      </c>
      <c r="O1285" s="15"/>
      <c r="P1285" s="15"/>
      <c r="Q1285" s="15"/>
      <c r="R1285" s="15"/>
      <c r="S1285" s="15"/>
      <c r="T1285" s="15">
        <v>0</v>
      </c>
      <c r="U1285" s="15"/>
      <c r="V1285" s="15"/>
      <c r="W1285" s="15"/>
      <c r="X1285" s="15"/>
      <c r="Y1285" s="15"/>
      <c r="Z1285" s="15"/>
    </row>
    <row r="1286" spans="1:26" x14ac:dyDescent="0.25">
      <c r="A1286" s="15" t="s">
        <v>12882</v>
      </c>
      <c r="B1286" s="15">
        <v>1285</v>
      </c>
      <c r="C1286" s="15" t="s">
        <v>11277</v>
      </c>
      <c r="D1286" s="15" t="s">
        <v>11277</v>
      </c>
      <c r="E1286" s="15" t="s">
        <v>73</v>
      </c>
      <c r="F1286" s="15" t="s">
        <v>1786</v>
      </c>
      <c r="G1286" s="15" t="s">
        <v>12933</v>
      </c>
      <c r="H1286" s="15">
        <v>31.8</v>
      </c>
      <c r="I1286" s="15">
        <v>7.1</v>
      </c>
      <c r="J1286" s="15">
        <v>70</v>
      </c>
      <c r="K1286" s="15" t="str">
        <f t="shared" si="20"/>
        <v>heatherfalls</v>
      </c>
      <c r="L1286" s="15" t="s">
        <v>12848</v>
      </c>
      <c r="M1286" s="15">
        <v>1</v>
      </c>
      <c r="N1286" s="15" t="s">
        <v>11222</v>
      </c>
      <c r="O1286" s="15"/>
      <c r="P1286" s="15"/>
      <c r="Q1286" s="15"/>
      <c r="R1286" s="15"/>
      <c r="S1286" s="15"/>
      <c r="T1286" s="15">
        <v>0</v>
      </c>
      <c r="U1286" s="15" t="s">
        <v>5893</v>
      </c>
      <c r="V1286" s="15"/>
      <c r="W1286" s="15"/>
      <c r="X1286" s="15"/>
      <c r="Y1286" s="15"/>
      <c r="Z1286" s="15"/>
    </row>
    <row r="1287" spans="1:26" x14ac:dyDescent="0.25">
      <c r="A1287" s="15" t="s">
        <v>12884</v>
      </c>
      <c r="B1287" s="15">
        <v>1286</v>
      </c>
      <c r="C1287" s="15" t="s">
        <v>11277</v>
      </c>
      <c r="D1287" s="15" t="s">
        <v>11277</v>
      </c>
      <c r="E1287" s="15" t="s">
        <v>73</v>
      </c>
      <c r="F1287" s="15" t="s">
        <v>1786</v>
      </c>
      <c r="G1287" s="15" t="s">
        <v>12935</v>
      </c>
      <c r="H1287" s="15">
        <v>31.8</v>
      </c>
      <c r="I1287" s="15">
        <v>7.1</v>
      </c>
      <c r="J1287" s="15">
        <v>65</v>
      </c>
      <c r="K1287" s="15" t="str">
        <f t="shared" si="20"/>
        <v>heatherfalls</v>
      </c>
      <c r="L1287" s="15" t="s">
        <v>12817</v>
      </c>
      <c r="M1287" s="15">
        <v>2</v>
      </c>
      <c r="N1287" s="15" t="s">
        <v>11223</v>
      </c>
      <c r="O1287" s="15"/>
      <c r="P1287" s="15"/>
      <c r="Q1287" s="15"/>
      <c r="R1287" s="15"/>
      <c r="S1287" s="15"/>
      <c r="T1287" s="15">
        <v>0</v>
      </c>
      <c r="U1287" s="15"/>
      <c r="V1287" s="15"/>
      <c r="W1287" s="15"/>
      <c r="X1287" s="15"/>
      <c r="Y1287" s="15"/>
      <c r="Z1287" s="15"/>
    </row>
    <row r="1288" spans="1:26" x14ac:dyDescent="0.25">
      <c r="A1288" s="15" t="s">
        <v>12886</v>
      </c>
      <c r="B1288" s="15">
        <v>1287</v>
      </c>
      <c r="C1288" s="15" t="s">
        <v>11277</v>
      </c>
      <c r="D1288" s="15" t="s">
        <v>11277</v>
      </c>
      <c r="E1288" s="15" t="s">
        <v>73</v>
      </c>
      <c r="F1288" s="15" t="s">
        <v>1786</v>
      </c>
      <c r="G1288" s="15" t="s">
        <v>12937</v>
      </c>
      <c r="H1288" s="15">
        <v>31.8</v>
      </c>
      <c r="I1288" s="15">
        <v>7.1</v>
      </c>
      <c r="J1288" s="15">
        <v>70</v>
      </c>
      <c r="K1288" s="15" t="str">
        <f t="shared" si="20"/>
        <v>heatherfalls</v>
      </c>
      <c r="L1288" s="15" t="s">
        <v>12812</v>
      </c>
      <c r="M1288" s="15">
        <v>3</v>
      </c>
      <c r="N1288" s="15" t="s">
        <v>11223</v>
      </c>
      <c r="O1288" s="15"/>
      <c r="P1288" s="15"/>
      <c r="Q1288" s="15"/>
      <c r="R1288" s="15"/>
      <c r="S1288" s="15"/>
      <c r="T1288" s="15">
        <v>3</v>
      </c>
      <c r="U1288" s="15" t="s">
        <v>5892</v>
      </c>
      <c r="V1288" s="15"/>
      <c r="W1288" s="15"/>
      <c r="X1288" s="15"/>
      <c r="Y1288" s="15"/>
      <c r="Z1288" s="15"/>
    </row>
    <row r="1289" spans="1:26" x14ac:dyDescent="0.25">
      <c r="A1289" s="15" t="s">
        <v>12888</v>
      </c>
      <c r="B1289" s="15">
        <v>1288</v>
      </c>
      <c r="C1289" s="15" t="s">
        <v>11277</v>
      </c>
      <c r="D1289" s="15" t="s">
        <v>11277</v>
      </c>
      <c r="E1289" s="15" t="s">
        <v>73</v>
      </c>
      <c r="F1289" s="15" t="s">
        <v>1792</v>
      </c>
      <c r="G1289" s="15" t="s">
        <v>12923</v>
      </c>
      <c r="H1289" s="15">
        <v>31</v>
      </c>
      <c r="I1289" s="15">
        <v>17</v>
      </c>
      <c r="J1289" s="15">
        <v>63</v>
      </c>
      <c r="K1289" s="15" t="str">
        <f t="shared" si="20"/>
        <v>theephor</v>
      </c>
      <c r="L1289" s="15" t="s">
        <v>12859</v>
      </c>
      <c r="M1289" s="15">
        <v>2</v>
      </c>
      <c r="N1289" s="15" t="s">
        <v>11223</v>
      </c>
      <c r="O1289" s="15"/>
      <c r="P1289" s="15"/>
      <c r="Q1289" s="15"/>
      <c r="R1289" s="15"/>
      <c r="S1289" s="15"/>
      <c r="T1289" s="15">
        <v>0</v>
      </c>
      <c r="U1289" s="15"/>
      <c r="V1289" s="15"/>
      <c r="W1289" s="15"/>
      <c r="X1289" s="15"/>
      <c r="Y1289" s="15"/>
      <c r="Z1289" s="15"/>
    </row>
    <row r="1290" spans="1:26" x14ac:dyDescent="0.25">
      <c r="A1290" s="15" t="s">
        <v>12890</v>
      </c>
      <c r="B1290" s="15">
        <v>1289</v>
      </c>
      <c r="C1290" s="15" t="s">
        <v>11277</v>
      </c>
      <c r="D1290" s="15" t="s">
        <v>11277</v>
      </c>
      <c r="E1290" s="15" t="s">
        <v>73</v>
      </c>
      <c r="F1290" s="15" t="s">
        <v>1792</v>
      </c>
      <c r="G1290" s="15" t="s">
        <v>12939</v>
      </c>
      <c r="H1290" s="15">
        <v>31</v>
      </c>
      <c r="I1290" s="15">
        <v>17</v>
      </c>
      <c r="J1290" s="15">
        <v>69</v>
      </c>
      <c r="K1290" s="15" t="str">
        <f t="shared" si="20"/>
        <v>theephor</v>
      </c>
      <c r="L1290" s="15" t="s">
        <v>12848</v>
      </c>
      <c r="M1290" s="15">
        <v>2</v>
      </c>
      <c r="N1290" s="15" t="s">
        <v>11223</v>
      </c>
      <c r="O1290" s="15"/>
      <c r="P1290" s="15"/>
      <c r="Q1290" s="15"/>
      <c r="R1290" s="15"/>
      <c r="S1290" s="15"/>
      <c r="T1290" s="15">
        <v>0</v>
      </c>
      <c r="U1290" s="15" t="s">
        <v>14151</v>
      </c>
      <c r="V1290" s="15" t="s">
        <v>5908</v>
      </c>
      <c r="W1290" s="15" t="s">
        <v>5914</v>
      </c>
      <c r="X1290" s="15"/>
      <c r="Y1290" s="15"/>
      <c r="Z1290" s="15"/>
    </row>
    <row r="1291" spans="1:26" x14ac:dyDescent="0.25">
      <c r="A1291" s="15" t="s">
        <v>12892</v>
      </c>
      <c r="B1291" s="15">
        <v>1290</v>
      </c>
      <c r="C1291" s="15" t="s">
        <v>11277</v>
      </c>
      <c r="D1291" s="15" t="s">
        <v>11277</v>
      </c>
      <c r="E1291" s="15" t="s">
        <v>73</v>
      </c>
      <c r="F1291" s="15" t="s">
        <v>1792</v>
      </c>
      <c r="G1291" s="15" t="s">
        <v>12941</v>
      </c>
      <c r="H1291" s="15">
        <v>31</v>
      </c>
      <c r="I1291" s="15">
        <v>17</v>
      </c>
      <c r="J1291" s="15">
        <v>69</v>
      </c>
      <c r="K1291" s="15" t="str">
        <f t="shared" si="20"/>
        <v>theephor</v>
      </c>
      <c r="L1291" s="15" t="s">
        <v>12859</v>
      </c>
      <c r="M1291" s="15">
        <v>2</v>
      </c>
      <c r="N1291" s="15" t="s">
        <v>11223</v>
      </c>
      <c r="O1291" s="15"/>
      <c r="P1291" s="15"/>
      <c r="Q1291" s="15"/>
      <c r="R1291" s="15"/>
      <c r="S1291" s="15"/>
      <c r="T1291" s="15">
        <v>0</v>
      </c>
      <c r="U1291" s="15"/>
      <c r="V1291" s="15"/>
      <c r="W1291" s="15"/>
      <c r="X1291" s="15"/>
      <c r="Y1291" s="15"/>
      <c r="Z1291" s="15"/>
    </row>
    <row r="1292" spans="1:26" x14ac:dyDescent="0.25">
      <c r="A1292" s="15" t="s">
        <v>12894</v>
      </c>
      <c r="B1292" s="15">
        <v>1291</v>
      </c>
      <c r="C1292" s="15" t="s">
        <v>11277</v>
      </c>
      <c r="D1292" s="15" t="s">
        <v>11277</v>
      </c>
      <c r="E1292" s="15" t="s">
        <v>73</v>
      </c>
      <c r="F1292" s="15" t="s">
        <v>1792</v>
      </c>
      <c r="G1292" s="15" t="s">
        <v>12943</v>
      </c>
      <c r="H1292" s="15">
        <v>31</v>
      </c>
      <c r="I1292" s="15">
        <v>17</v>
      </c>
      <c r="J1292" s="15">
        <v>70</v>
      </c>
      <c r="K1292" s="15" t="str">
        <f t="shared" si="20"/>
        <v>theephor</v>
      </c>
      <c r="L1292" s="15" t="s">
        <v>12848</v>
      </c>
      <c r="M1292" s="15">
        <v>3</v>
      </c>
      <c r="N1292" s="15" t="s">
        <v>11223</v>
      </c>
      <c r="O1292" s="15"/>
      <c r="P1292" s="15"/>
      <c r="Q1292" s="15"/>
      <c r="R1292" s="15"/>
      <c r="S1292" s="15"/>
      <c r="T1292" s="15">
        <v>0</v>
      </c>
      <c r="U1292" s="15" t="s">
        <v>14151</v>
      </c>
      <c r="V1292" s="15"/>
      <c r="W1292" s="15"/>
      <c r="X1292" s="15"/>
      <c r="Y1292" s="15"/>
      <c r="Z1292" s="15"/>
    </row>
    <row r="1293" spans="1:26" x14ac:dyDescent="0.25">
      <c r="A1293" s="15" t="s">
        <v>12896</v>
      </c>
      <c r="B1293" s="15">
        <v>1292</v>
      </c>
      <c r="C1293" s="15" t="s">
        <v>11277</v>
      </c>
      <c r="D1293" s="15" t="s">
        <v>11277</v>
      </c>
      <c r="E1293" s="15" t="s">
        <v>73</v>
      </c>
      <c r="F1293" s="15" t="s">
        <v>1792</v>
      </c>
      <c r="G1293" s="15" t="s">
        <v>12945</v>
      </c>
      <c r="H1293" s="15">
        <v>31</v>
      </c>
      <c r="I1293" s="15">
        <v>17</v>
      </c>
      <c r="J1293" s="15">
        <v>70</v>
      </c>
      <c r="K1293" s="15" t="str">
        <f t="shared" si="20"/>
        <v>theephor</v>
      </c>
      <c r="L1293" s="15" t="s">
        <v>12859</v>
      </c>
      <c r="M1293" s="15">
        <v>3</v>
      </c>
      <c r="N1293" s="15" t="s">
        <v>11223</v>
      </c>
      <c r="O1293" s="15"/>
      <c r="P1293" s="15"/>
      <c r="Q1293" s="15"/>
      <c r="R1293" s="15"/>
      <c r="S1293" s="15"/>
      <c r="T1293" s="15">
        <v>3</v>
      </c>
      <c r="U1293" s="15" t="s">
        <v>5893</v>
      </c>
      <c r="V1293" s="15"/>
      <c r="W1293" s="15"/>
      <c r="X1293" s="15"/>
      <c r="Y1293" s="15"/>
      <c r="Z1293" s="15"/>
    </row>
    <row r="1294" spans="1:26" x14ac:dyDescent="0.25">
      <c r="A1294" s="15" t="s">
        <v>12898</v>
      </c>
      <c r="B1294" s="15">
        <v>1293</v>
      </c>
      <c r="C1294" s="15" t="s">
        <v>11277</v>
      </c>
      <c r="D1294" s="15" t="s">
        <v>11277</v>
      </c>
      <c r="E1294" s="15" t="s">
        <v>73</v>
      </c>
      <c r="F1294" s="15" t="s">
        <v>15170</v>
      </c>
      <c r="G1294" s="15" t="s">
        <v>12850</v>
      </c>
      <c r="H1294" s="15">
        <v>25</v>
      </c>
      <c r="I1294" s="15">
        <v>32.700000000000003</v>
      </c>
      <c r="J1294" s="15">
        <v>63</v>
      </c>
      <c r="K1294" s="15" t="str">
        <f t="shared" si="20"/>
        <v>thebullsbath</v>
      </c>
      <c r="L1294" s="15" t="s">
        <v>12817</v>
      </c>
      <c r="M1294" s="15">
        <v>1</v>
      </c>
      <c r="N1294" s="15" t="s">
        <v>11222</v>
      </c>
      <c r="O1294" s="15"/>
      <c r="P1294" s="15"/>
      <c r="Q1294" s="15"/>
      <c r="R1294" s="15"/>
      <c r="S1294" s="15"/>
      <c r="T1294" s="15">
        <v>0</v>
      </c>
      <c r="U1294" s="15"/>
      <c r="V1294" s="15"/>
      <c r="W1294" s="15"/>
      <c r="X1294" s="15"/>
      <c r="Y1294" s="15"/>
      <c r="Z1294" s="15"/>
    </row>
    <row r="1295" spans="1:26" x14ac:dyDescent="0.25">
      <c r="A1295" s="15" t="s">
        <v>12900</v>
      </c>
      <c r="B1295" s="15">
        <v>1294</v>
      </c>
      <c r="C1295" s="15" t="s">
        <v>11277</v>
      </c>
      <c r="D1295" s="15" t="s">
        <v>11277</v>
      </c>
      <c r="E1295" s="15" t="s">
        <v>73</v>
      </c>
      <c r="F1295" s="15" t="s">
        <v>15170</v>
      </c>
      <c r="G1295" s="15" t="s">
        <v>12925</v>
      </c>
      <c r="H1295" s="15">
        <v>25</v>
      </c>
      <c r="I1295" s="15">
        <v>32.700000000000003</v>
      </c>
      <c r="J1295" s="15">
        <v>63</v>
      </c>
      <c r="K1295" s="15" t="str">
        <f t="shared" si="20"/>
        <v>thebullsbath</v>
      </c>
      <c r="L1295" s="15" t="s">
        <v>12859</v>
      </c>
      <c r="M1295" s="15">
        <v>1</v>
      </c>
      <c r="N1295" s="15" t="s">
        <v>11222</v>
      </c>
      <c r="O1295" s="15"/>
      <c r="P1295" s="15"/>
      <c r="Q1295" s="15"/>
      <c r="R1295" s="15"/>
      <c r="S1295" s="15"/>
      <c r="T1295" s="15">
        <v>0</v>
      </c>
      <c r="U1295" s="15"/>
      <c r="V1295" s="15"/>
      <c r="W1295" s="15"/>
      <c r="X1295" s="15"/>
      <c r="Y1295" s="15"/>
      <c r="Z1295" s="15"/>
    </row>
    <row r="1296" spans="1:26" x14ac:dyDescent="0.25">
      <c r="A1296" s="15" t="s">
        <v>12902</v>
      </c>
      <c r="B1296" s="15">
        <v>1295</v>
      </c>
      <c r="C1296" s="15" t="s">
        <v>11277</v>
      </c>
      <c r="D1296" s="15" t="s">
        <v>11277</v>
      </c>
      <c r="E1296" s="15" t="s">
        <v>73</v>
      </c>
      <c r="F1296" s="15" t="s">
        <v>15170</v>
      </c>
      <c r="G1296" s="15" t="s">
        <v>12948</v>
      </c>
      <c r="H1296" s="15">
        <v>25</v>
      </c>
      <c r="I1296" s="15">
        <v>32.700000000000003</v>
      </c>
      <c r="J1296" s="15">
        <v>68</v>
      </c>
      <c r="K1296" s="15" t="str">
        <f t="shared" si="20"/>
        <v>thebullsbath</v>
      </c>
      <c r="L1296" s="15" t="s">
        <v>12817</v>
      </c>
      <c r="M1296" s="15">
        <v>2</v>
      </c>
      <c r="N1296" s="15" t="s">
        <v>11223</v>
      </c>
      <c r="O1296" s="15"/>
      <c r="P1296" s="15"/>
      <c r="Q1296" s="15"/>
      <c r="R1296" s="15"/>
      <c r="S1296" s="15"/>
      <c r="T1296" s="15">
        <v>0</v>
      </c>
      <c r="U1296" s="15" t="s">
        <v>14151</v>
      </c>
      <c r="V1296" s="15" t="s">
        <v>5908</v>
      </c>
      <c r="W1296" s="15" t="s">
        <v>5914</v>
      </c>
      <c r="X1296" s="15"/>
      <c r="Y1296" s="15"/>
      <c r="Z1296" s="15"/>
    </row>
    <row r="1297" spans="1:26" x14ac:dyDescent="0.25">
      <c r="A1297" s="15" t="s">
        <v>12904</v>
      </c>
      <c r="B1297" s="15">
        <v>1296</v>
      </c>
      <c r="C1297" s="15" t="s">
        <v>11277</v>
      </c>
      <c r="D1297" s="15" t="s">
        <v>11277</v>
      </c>
      <c r="E1297" s="15" t="s">
        <v>73</v>
      </c>
      <c r="F1297" s="15" t="s">
        <v>15170</v>
      </c>
      <c r="G1297" s="15" t="s">
        <v>12950</v>
      </c>
      <c r="H1297" s="15">
        <v>25</v>
      </c>
      <c r="I1297" s="15">
        <v>32.700000000000003</v>
      </c>
      <c r="J1297" s="15">
        <v>68</v>
      </c>
      <c r="K1297" s="15" t="str">
        <f t="shared" si="20"/>
        <v>thebullsbath</v>
      </c>
      <c r="L1297" s="15" t="s">
        <v>12859</v>
      </c>
      <c r="M1297" s="15">
        <v>2</v>
      </c>
      <c r="N1297" s="15" t="s">
        <v>11223</v>
      </c>
      <c r="O1297" s="15"/>
      <c r="P1297" s="15"/>
      <c r="Q1297" s="15"/>
      <c r="R1297" s="15"/>
      <c r="S1297" s="15"/>
      <c r="T1297" s="15">
        <v>0</v>
      </c>
      <c r="U1297" s="15"/>
      <c r="V1297" s="15"/>
      <c r="W1297" s="15"/>
      <c r="X1297" s="15"/>
      <c r="Y1297" s="15"/>
      <c r="Z1297" s="15"/>
    </row>
    <row r="1298" spans="1:26" x14ac:dyDescent="0.25">
      <c r="A1298" s="15" t="s">
        <v>12906</v>
      </c>
      <c r="B1298" s="15">
        <v>1297</v>
      </c>
      <c r="C1298" s="15" t="s">
        <v>11277</v>
      </c>
      <c r="D1298" s="15" t="s">
        <v>11277</v>
      </c>
      <c r="E1298" s="15" t="s">
        <v>73</v>
      </c>
      <c r="F1298" s="15" t="s">
        <v>15170</v>
      </c>
      <c r="G1298" s="15" t="s">
        <v>12939</v>
      </c>
      <c r="H1298" s="15">
        <v>25</v>
      </c>
      <c r="I1298" s="15">
        <v>32.700000000000003</v>
      </c>
      <c r="J1298" s="15">
        <v>69</v>
      </c>
      <c r="K1298" s="15" t="str">
        <f t="shared" si="20"/>
        <v>thebullsbath</v>
      </c>
      <c r="L1298" s="15" t="s">
        <v>12848</v>
      </c>
      <c r="M1298" s="15">
        <v>2</v>
      </c>
      <c r="N1298" s="15" t="s">
        <v>11223</v>
      </c>
      <c r="O1298" s="15"/>
      <c r="P1298" s="15"/>
      <c r="Q1298" s="15"/>
      <c r="R1298" s="15"/>
      <c r="S1298" s="15"/>
      <c r="T1298" s="15">
        <v>0</v>
      </c>
      <c r="U1298" s="15" t="s">
        <v>14151</v>
      </c>
      <c r="V1298" s="15" t="s">
        <v>5908</v>
      </c>
      <c r="W1298" s="15" t="s">
        <v>5914</v>
      </c>
      <c r="X1298" s="15"/>
      <c r="Y1298" s="15"/>
      <c r="Z1298" s="15"/>
    </row>
    <row r="1299" spans="1:26" x14ac:dyDescent="0.25">
      <c r="A1299" s="15" t="s">
        <v>12908</v>
      </c>
      <c r="B1299" s="15">
        <v>1298</v>
      </c>
      <c r="C1299" s="15" t="s">
        <v>11277</v>
      </c>
      <c r="D1299" s="15" t="s">
        <v>11277</v>
      </c>
      <c r="E1299" s="15" t="s">
        <v>73</v>
      </c>
      <c r="F1299" s="15" t="s">
        <v>15170</v>
      </c>
      <c r="G1299" s="15" t="s">
        <v>12952</v>
      </c>
      <c r="H1299" s="15">
        <v>25</v>
      </c>
      <c r="I1299" s="15">
        <v>32.700000000000003</v>
      </c>
      <c r="J1299" s="15">
        <v>70</v>
      </c>
      <c r="K1299" s="15" t="str">
        <f t="shared" si="20"/>
        <v>thebullsbath</v>
      </c>
      <c r="L1299" s="15" t="s">
        <v>12859</v>
      </c>
      <c r="M1299" s="15">
        <v>2</v>
      </c>
      <c r="N1299" s="15" t="s">
        <v>11223</v>
      </c>
      <c r="O1299" s="15"/>
      <c r="P1299" s="15"/>
      <c r="Q1299" s="15"/>
      <c r="R1299" s="15"/>
      <c r="S1299" s="15"/>
      <c r="T1299" s="15">
        <v>2</v>
      </c>
      <c r="U1299" s="15" t="s">
        <v>5893</v>
      </c>
      <c r="V1299" s="15" t="s">
        <v>5892</v>
      </c>
      <c r="W1299" s="15"/>
      <c r="X1299" s="15"/>
      <c r="Y1299" s="15"/>
      <c r="Z1299" s="15"/>
    </row>
    <row r="1300" spans="1:26" x14ac:dyDescent="0.25">
      <c r="A1300" s="15" t="s">
        <v>12910</v>
      </c>
      <c r="B1300" s="15">
        <v>1299</v>
      </c>
      <c r="C1300" s="15" t="s">
        <v>11277</v>
      </c>
      <c r="D1300" s="15" t="s">
        <v>11277</v>
      </c>
      <c r="E1300" s="15" t="s">
        <v>73</v>
      </c>
      <c r="F1300" s="15" t="s">
        <v>15170</v>
      </c>
      <c r="G1300" s="15" t="s">
        <v>12954</v>
      </c>
      <c r="H1300" s="15">
        <v>25</v>
      </c>
      <c r="I1300" s="15">
        <v>32.700000000000003</v>
      </c>
      <c r="J1300" s="15">
        <v>70</v>
      </c>
      <c r="K1300" s="15" t="str">
        <f t="shared" si="20"/>
        <v>thebullsbath</v>
      </c>
      <c r="L1300" s="15" t="s">
        <v>12859</v>
      </c>
      <c r="M1300" s="15">
        <v>3</v>
      </c>
      <c r="N1300" s="15" t="s">
        <v>11223</v>
      </c>
      <c r="O1300" s="15" t="s">
        <v>2821</v>
      </c>
      <c r="P1300" s="15"/>
      <c r="Q1300" s="15"/>
      <c r="R1300" s="15"/>
      <c r="S1300" s="15"/>
      <c r="T1300" s="15">
        <v>3</v>
      </c>
      <c r="U1300" s="15" t="s">
        <v>5908</v>
      </c>
      <c r="V1300" s="15"/>
      <c r="W1300" s="15"/>
      <c r="X1300" s="15"/>
      <c r="Y1300" s="15"/>
      <c r="Z1300" s="15"/>
    </row>
    <row r="1301" spans="1:26" x14ac:dyDescent="0.25">
      <c r="A1301" s="15" t="s">
        <v>12912</v>
      </c>
      <c r="B1301" s="15">
        <v>1300</v>
      </c>
      <c r="C1301" s="15" t="s">
        <v>11277</v>
      </c>
      <c r="D1301" s="15" t="s">
        <v>11277</v>
      </c>
      <c r="E1301" s="15" t="s">
        <v>73</v>
      </c>
      <c r="F1301" s="15" t="s">
        <v>1807</v>
      </c>
      <c r="G1301" s="15" t="s">
        <v>12816</v>
      </c>
      <c r="H1301" s="15">
        <v>9.3000000000000007</v>
      </c>
      <c r="I1301" s="15">
        <v>37.5</v>
      </c>
      <c r="J1301" s="15">
        <v>62</v>
      </c>
      <c r="K1301" s="15" t="str">
        <f t="shared" si="20"/>
        <v>thearmsofmeed</v>
      </c>
      <c r="L1301" s="15" t="s">
        <v>12817</v>
      </c>
      <c r="M1301" s="15">
        <v>2</v>
      </c>
      <c r="N1301" s="15" t="s">
        <v>11223</v>
      </c>
      <c r="O1301" s="15"/>
      <c r="P1301" s="15"/>
      <c r="Q1301" s="15"/>
      <c r="R1301" s="15"/>
      <c r="S1301" s="15"/>
      <c r="T1301" s="15">
        <v>0</v>
      </c>
      <c r="U1301" s="15"/>
      <c r="V1301" s="15"/>
      <c r="W1301" s="15"/>
      <c r="X1301" s="15"/>
      <c r="Y1301" s="15"/>
      <c r="Z1301" s="15"/>
    </row>
    <row r="1302" spans="1:26" x14ac:dyDescent="0.25">
      <c r="A1302" s="15" t="s">
        <v>12914</v>
      </c>
      <c r="B1302" s="15">
        <v>1301</v>
      </c>
      <c r="C1302" s="15" t="s">
        <v>11277</v>
      </c>
      <c r="D1302" s="15" t="s">
        <v>11277</v>
      </c>
      <c r="E1302" s="15" t="s">
        <v>73</v>
      </c>
      <c r="F1302" s="15" t="s">
        <v>1807</v>
      </c>
      <c r="G1302" s="15" t="s">
        <v>12956</v>
      </c>
      <c r="H1302" s="15">
        <v>9.3000000000000007</v>
      </c>
      <c r="I1302" s="15">
        <v>37.5</v>
      </c>
      <c r="J1302" s="15">
        <v>68</v>
      </c>
      <c r="K1302" s="15" t="str">
        <f t="shared" si="20"/>
        <v>thearmsofmeed</v>
      </c>
      <c r="L1302" s="15" t="s">
        <v>12859</v>
      </c>
      <c r="M1302" s="15">
        <v>2</v>
      </c>
      <c r="N1302" s="15" t="s">
        <v>11223</v>
      </c>
      <c r="O1302" s="15"/>
      <c r="P1302" s="15"/>
      <c r="Q1302" s="15" t="s">
        <v>12816</v>
      </c>
      <c r="R1302" s="15"/>
      <c r="S1302" s="15"/>
      <c r="T1302" s="15">
        <v>0</v>
      </c>
      <c r="U1302" s="15"/>
      <c r="V1302" s="15"/>
      <c r="W1302" s="15"/>
      <c r="X1302" s="15"/>
      <c r="Y1302" s="15"/>
      <c r="Z1302" s="15"/>
    </row>
    <row r="1303" spans="1:26" x14ac:dyDescent="0.25">
      <c r="A1303" s="15" t="s">
        <v>12916</v>
      </c>
      <c r="B1303" s="15">
        <v>1302</v>
      </c>
      <c r="C1303" s="15" t="s">
        <v>11277</v>
      </c>
      <c r="D1303" s="15" t="s">
        <v>11277</v>
      </c>
      <c r="E1303" s="15" t="s">
        <v>73</v>
      </c>
      <c r="F1303" s="15" t="s">
        <v>1807</v>
      </c>
      <c r="G1303" s="15" t="s">
        <v>12958</v>
      </c>
      <c r="H1303" s="15">
        <v>9.3000000000000007</v>
      </c>
      <c r="I1303" s="15">
        <v>37.5</v>
      </c>
      <c r="J1303" s="15">
        <v>68</v>
      </c>
      <c r="K1303" s="15" t="str">
        <f t="shared" si="20"/>
        <v>thearmsofmeed</v>
      </c>
      <c r="L1303" s="15" t="s">
        <v>12859</v>
      </c>
      <c r="M1303" s="15">
        <v>3</v>
      </c>
      <c r="N1303" s="15" t="s">
        <v>11223</v>
      </c>
      <c r="O1303" s="15"/>
      <c r="P1303" s="15"/>
      <c r="Q1303" s="15"/>
      <c r="R1303" s="15"/>
      <c r="S1303" s="15"/>
      <c r="T1303" s="15">
        <v>0</v>
      </c>
      <c r="U1303" s="15"/>
      <c r="V1303" s="15"/>
      <c r="W1303" s="15"/>
      <c r="X1303" s="15"/>
      <c r="Y1303" s="15"/>
      <c r="Z1303" s="15"/>
    </row>
    <row r="1304" spans="1:26" x14ac:dyDescent="0.25">
      <c r="A1304" s="15" t="s">
        <v>12918</v>
      </c>
      <c r="B1304" s="15">
        <v>1303</v>
      </c>
      <c r="C1304" s="15" t="s">
        <v>11277</v>
      </c>
      <c r="D1304" s="15" t="s">
        <v>11277</v>
      </c>
      <c r="E1304" s="15" t="s">
        <v>73</v>
      </c>
      <c r="F1304" s="15" t="s">
        <v>1807</v>
      </c>
      <c r="G1304" s="15" t="s">
        <v>12960</v>
      </c>
      <c r="H1304" s="15">
        <v>9.3000000000000007</v>
      </c>
      <c r="I1304" s="15">
        <v>37.5</v>
      </c>
      <c r="J1304" s="15">
        <v>69</v>
      </c>
      <c r="K1304" s="15" t="str">
        <f t="shared" si="20"/>
        <v>thearmsofmeed</v>
      </c>
      <c r="L1304" s="15" t="s">
        <v>12859</v>
      </c>
      <c r="M1304" s="15">
        <v>2</v>
      </c>
      <c r="N1304" s="15" t="s">
        <v>11223</v>
      </c>
      <c r="O1304" s="15"/>
      <c r="P1304" s="15"/>
      <c r="Q1304" s="15" t="s">
        <v>12816</v>
      </c>
      <c r="R1304" s="15"/>
      <c r="S1304" s="15"/>
      <c r="T1304" s="15">
        <v>0</v>
      </c>
      <c r="U1304" s="15"/>
      <c r="V1304" s="15"/>
      <c r="W1304" s="15"/>
      <c r="X1304" s="15"/>
      <c r="Y1304" s="15"/>
      <c r="Z1304" s="15"/>
    </row>
    <row r="1305" spans="1:26" x14ac:dyDescent="0.25">
      <c r="A1305" s="15" t="s">
        <v>12920</v>
      </c>
      <c r="B1305" s="15">
        <v>1304</v>
      </c>
      <c r="C1305" s="15" t="s">
        <v>11277</v>
      </c>
      <c r="D1305" s="15" t="s">
        <v>11277</v>
      </c>
      <c r="E1305" s="15" t="s">
        <v>73</v>
      </c>
      <c r="F1305" s="15" t="s">
        <v>1807</v>
      </c>
      <c r="G1305" s="15" t="s">
        <v>12962</v>
      </c>
      <c r="H1305" s="15">
        <v>9.3000000000000007</v>
      </c>
      <c r="I1305" s="15">
        <v>37.5</v>
      </c>
      <c r="J1305" s="15">
        <v>70</v>
      </c>
      <c r="K1305" s="15" t="str">
        <f t="shared" si="20"/>
        <v>thearmsofmeed</v>
      </c>
      <c r="L1305" s="15" t="s">
        <v>12848</v>
      </c>
      <c r="M1305" s="15">
        <v>1</v>
      </c>
      <c r="N1305" s="15" t="s">
        <v>11222</v>
      </c>
      <c r="O1305" s="15"/>
      <c r="P1305" s="15"/>
      <c r="Q1305" s="15"/>
      <c r="R1305" s="15"/>
      <c r="S1305" s="15"/>
      <c r="T1305" s="15">
        <v>0</v>
      </c>
      <c r="U1305" s="15"/>
      <c r="V1305" s="15"/>
      <c r="W1305" s="15"/>
      <c r="X1305" s="15"/>
      <c r="Y1305" s="15"/>
      <c r="Z1305" s="15"/>
    </row>
    <row r="1306" spans="1:26" x14ac:dyDescent="0.25">
      <c r="A1306" s="15" t="s">
        <v>12922</v>
      </c>
      <c r="B1306" s="15">
        <v>1305</v>
      </c>
      <c r="C1306" s="15" t="s">
        <v>11277</v>
      </c>
      <c r="D1306" s="15" t="s">
        <v>11277</v>
      </c>
      <c r="E1306" s="15" t="s">
        <v>73</v>
      </c>
      <c r="F1306" s="15" t="s">
        <v>1807</v>
      </c>
      <c r="G1306" s="15" t="s">
        <v>12964</v>
      </c>
      <c r="H1306" s="15">
        <v>9.3000000000000007</v>
      </c>
      <c r="I1306" s="15">
        <v>37.5</v>
      </c>
      <c r="J1306" s="15">
        <v>70</v>
      </c>
      <c r="K1306" s="15" t="str">
        <f t="shared" si="20"/>
        <v>thearmsofmeed</v>
      </c>
      <c r="L1306" s="15" t="s">
        <v>12859</v>
      </c>
      <c r="M1306" s="15">
        <v>1</v>
      </c>
      <c r="N1306" s="15" t="s">
        <v>11222</v>
      </c>
      <c r="O1306" s="15" t="s">
        <v>2819</v>
      </c>
      <c r="P1306" s="15"/>
      <c r="Q1306" s="15"/>
      <c r="R1306" s="15"/>
      <c r="S1306" s="15"/>
      <c r="T1306" s="15">
        <v>1</v>
      </c>
      <c r="U1306" s="15" t="s">
        <v>5908</v>
      </c>
      <c r="V1306" s="15" t="s">
        <v>5914</v>
      </c>
      <c r="W1306" s="15" t="s">
        <v>14151</v>
      </c>
      <c r="X1306" s="15"/>
      <c r="Y1306" s="15"/>
      <c r="Z1306" s="15"/>
    </row>
    <row r="1307" spans="1:26" x14ac:dyDescent="0.25">
      <c r="A1307" s="15" t="s">
        <v>12924</v>
      </c>
      <c r="B1307" s="15">
        <v>1306</v>
      </c>
      <c r="C1307" s="15" t="s">
        <v>11277</v>
      </c>
      <c r="D1307" s="15" t="s">
        <v>11277</v>
      </c>
      <c r="E1307" s="15" t="s">
        <v>73</v>
      </c>
      <c r="F1307" s="15" t="s">
        <v>1807</v>
      </c>
      <c r="G1307" s="15" t="s">
        <v>12966</v>
      </c>
      <c r="H1307" s="15">
        <v>9.3000000000000007</v>
      </c>
      <c r="I1307" s="15">
        <v>37.5</v>
      </c>
      <c r="J1307" s="15">
        <v>70</v>
      </c>
      <c r="K1307" s="15" t="str">
        <f t="shared" si="20"/>
        <v>thearmsofmeed</v>
      </c>
      <c r="L1307" s="15" t="s">
        <v>12859</v>
      </c>
      <c r="M1307" s="15">
        <v>3</v>
      </c>
      <c r="N1307" s="15" t="s">
        <v>11222</v>
      </c>
      <c r="O1307" s="15"/>
      <c r="P1307" s="15"/>
      <c r="Q1307" s="15"/>
      <c r="R1307" s="15"/>
      <c r="S1307" s="15"/>
      <c r="T1307" s="15">
        <v>0</v>
      </c>
      <c r="U1307" s="15" t="s">
        <v>5893</v>
      </c>
      <c r="V1307" s="15"/>
      <c r="W1307" s="15"/>
      <c r="X1307" s="15" t="s">
        <v>5892</v>
      </c>
      <c r="Y1307" s="15"/>
      <c r="Z1307" s="15"/>
    </row>
    <row r="1308" spans="1:26" x14ac:dyDescent="0.25">
      <c r="A1308" s="15" t="s">
        <v>12926</v>
      </c>
      <c r="B1308" s="15">
        <v>1307</v>
      </c>
      <c r="C1308" s="15" t="s">
        <v>11277</v>
      </c>
      <c r="D1308" s="15" t="s">
        <v>11277</v>
      </c>
      <c r="E1308" s="15" t="s">
        <v>73</v>
      </c>
      <c r="F1308" s="15" t="s">
        <v>1842</v>
      </c>
      <c r="G1308" s="15" t="s">
        <v>13457</v>
      </c>
      <c r="H1308" s="15">
        <v>21</v>
      </c>
      <c r="I1308" s="15">
        <v>21</v>
      </c>
      <c r="J1308" s="15">
        <v>69</v>
      </c>
      <c r="K1308" s="15" t="str">
        <f t="shared" si="20"/>
        <v>lochseld</v>
      </c>
      <c r="L1308" s="15" t="s">
        <v>9391</v>
      </c>
      <c r="M1308" s="15">
        <v>2</v>
      </c>
      <c r="N1308" s="15" t="s">
        <v>11223</v>
      </c>
      <c r="O1308" s="15"/>
      <c r="P1308" s="15"/>
      <c r="Q1308" s="15"/>
      <c r="R1308" s="15"/>
      <c r="S1308" s="15"/>
      <c r="T1308" s="15">
        <v>0</v>
      </c>
      <c r="U1308" s="15"/>
      <c r="V1308" s="15"/>
      <c r="W1308" s="15"/>
      <c r="X1308" s="15"/>
      <c r="Y1308" s="15"/>
      <c r="Z1308" s="15"/>
    </row>
    <row r="1309" spans="1:26" x14ac:dyDescent="0.25">
      <c r="A1309" s="15" t="s">
        <v>12928</v>
      </c>
      <c r="B1309" s="15">
        <v>1308</v>
      </c>
      <c r="C1309" s="15" t="s">
        <v>11277</v>
      </c>
      <c r="D1309" s="15" t="s">
        <v>11277</v>
      </c>
      <c r="E1309" s="15" t="s">
        <v>73</v>
      </c>
      <c r="F1309" s="15" t="s">
        <v>1842</v>
      </c>
      <c r="G1309" s="15" t="s">
        <v>13459</v>
      </c>
      <c r="H1309" s="15">
        <v>21</v>
      </c>
      <c r="I1309" s="15">
        <v>21</v>
      </c>
      <c r="J1309" s="15">
        <v>69</v>
      </c>
      <c r="K1309" s="15" t="str">
        <f t="shared" si="20"/>
        <v>lochseld</v>
      </c>
      <c r="L1309" s="15" t="s">
        <v>9391</v>
      </c>
      <c r="M1309" s="15">
        <v>3</v>
      </c>
      <c r="N1309" s="15" t="s">
        <v>11223</v>
      </c>
      <c r="O1309" s="15"/>
      <c r="P1309" s="15"/>
      <c r="Q1309" s="15"/>
      <c r="R1309" s="15"/>
      <c r="S1309" s="15"/>
      <c r="T1309" s="15">
        <v>0</v>
      </c>
      <c r="U1309" s="15"/>
      <c r="V1309" s="15"/>
      <c r="W1309" s="15"/>
      <c r="X1309" s="15"/>
      <c r="Y1309" s="15"/>
      <c r="Z1309" s="15"/>
    </row>
    <row r="1310" spans="1:26" x14ac:dyDescent="0.25">
      <c r="A1310" s="15" t="s">
        <v>12930</v>
      </c>
      <c r="B1310" s="15">
        <v>1309</v>
      </c>
      <c r="C1310" s="15" t="s">
        <v>11277</v>
      </c>
      <c r="D1310" s="15" t="s">
        <v>11277</v>
      </c>
      <c r="E1310" s="15" t="s">
        <v>73</v>
      </c>
      <c r="F1310" s="15" t="s">
        <v>1842</v>
      </c>
      <c r="G1310" s="15" t="s">
        <v>13461</v>
      </c>
      <c r="H1310" s="15">
        <v>21</v>
      </c>
      <c r="I1310" s="15">
        <v>21</v>
      </c>
      <c r="J1310" s="15">
        <v>70</v>
      </c>
      <c r="K1310" s="15" t="str">
        <f t="shared" si="20"/>
        <v>lochseld</v>
      </c>
      <c r="L1310" s="15" t="s">
        <v>9391</v>
      </c>
      <c r="M1310" s="15">
        <v>1</v>
      </c>
      <c r="N1310" s="15" t="s">
        <v>11222</v>
      </c>
      <c r="O1310" s="15"/>
      <c r="P1310" s="15"/>
      <c r="Q1310" s="15"/>
      <c r="R1310" s="15"/>
      <c r="S1310" s="15"/>
      <c r="T1310" s="15">
        <v>0</v>
      </c>
      <c r="U1310" s="15"/>
      <c r="V1310" s="15"/>
      <c r="W1310" s="15"/>
      <c r="X1310" s="15"/>
      <c r="Y1310" s="15"/>
      <c r="Z1310" s="15"/>
    </row>
    <row r="1311" spans="1:26" x14ac:dyDescent="0.25">
      <c r="A1311" s="15" t="s">
        <v>12932</v>
      </c>
      <c r="B1311" s="15">
        <v>1310</v>
      </c>
      <c r="C1311" s="15" t="s">
        <v>11277</v>
      </c>
      <c r="D1311" s="15" t="s">
        <v>11277</v>
      </c>
      <c r="E1311" s="15" t="s">
        <v>73</v>
      </c>
      <c r="F1311" s="15" t="s">
        <v>1842</v>
      </c>
      <c r="G1311" s="15" t="s">
        <v>13463</v>
      </c>
      <c r="H1311" s="15">
        <v>21</v>
      </c>
      <c r="I1311" s="15">
        <v>21</v>
      </c>
      <c r="J1311" s="15">
        <v>70</v>
      </c>
      <c r="K1311" s="15" t="str">
        <f t="shared" si="20"/>
        <v>lochseld</v>
      </c>
      <c r="L1311" s="15" t="s">
        <v>9391</v>
      </c>
      <c r="M1311" s="15">
        <v>3</v>
      </c>
      <c r="N1311" s="15" t="s">
        <v>11223</v>
      </c>
      <c r="O1311" s="15"/>
      <c r="P1311" s="15"/>
      <c r="Q1311" s="15" t="s">
        <v>13457</v>
      </c>
      <c r="R1311" s="15"/>
      <c r="S1311" s="15"/>
      <c r="T1311" s="15">
        <v>0</v>
      </c>
      <c r="U1311" s="15"/>
      <c r="V1311" s="15"/>
      <c r="W1311" s="15"/>
      <c r="X1311" s="15"/>
      <c r="Y1311" s="15"/>
      <c r="Z1311" s="15"/>
    </row>
    <row r="1312" spans="1:26" x14ac:dyDescent="0.25">
      <c r="A1312" s="15" t="s">
        <v>12934</v>
      </c>
      <c r="B1312" s="15">
        <v>1311</v>
      </c>
      <c r="C1312" s="15" t="s">
        <v>11277</v>
      </c>
      <c r="D1312" s="15" t="s">
        <v>11277</v>
      </c>
      <c r="E1312" s="15" t="s">
        <v>73</v>
      </c>
      <c r="F1312" s="15" t="s">
        <v>1842</v>
      </c>
      <c r="G1312" s="15" t="s">
        <v>13465</v>
      </c>
      <c r="H1312" s="15">
        <v>21</v>
      </c>
      <c r="I1312" s="15">
        <v>21</v>
      </c>
      <c r="J1312" s="15">
        <v>70</v>
      </c>
      <c r="K1312" s="15" t="str">
        <f t="shared" si="20"/>
        <v>lochseld</v>
      </c>
      <c r="L1312" s="15" t="s">
        <v>14088</v>
      </c>
      <c r="M1312" s="15">
        <v>3</v>
      </c>
      <c r="N1312" s="15" t="s">
        <v>11223</v>
      </c>
      <c r="O1312" s="15" t="s">
        <v>14021</v>
      </c>
      <c r="P1312" s="15"/>
      <c r="Q1312" s="15" t="s">
        <v>13457</v>
      </c>
      <c r="R1312" s="15"/>
      <c r="S1312" s="15"/>
      <c r="T1312" s="15">
        <v>0</v>
      </c>
      <c r="U1312" s="15" t="s">
        <v>5982</v>
      </c>
      <c r="V1312" s="15"/>
      <c r="W1312" s="15"/>
      <c r="X1312" s="15"/>
      <c r="Y1312" s="15"/>
      <c r="Z1312" s="15"/>
    </row>
    <row r="1313" spans="1:26" x14ac:dyDescent="0.25">
      <c r="A1313" s="15" t="s">
        <v>12936</v>
      </c>
      <c r="B1313" s="15">
        <v>1312</v>
      </c>
      <c r="C1313" s="15" t="s">
        <v>11277</v>
      </c>
      <c r="D1313" s="15" t="s">
        <v>11277</v>
      </c>
      <c r="E1313" s="15" t="s">
        <v>73</v>
      </c>
      <c r="F1313" s="15" t="s">
        <v>1842</v>
      </c>
      <c r="G1313" s="15" t="s">
        <v>13467</v>
      </c>
      <c r="H1313" s="15">
        <v>21</v>
      </c>
      <c r="I1313" s="15">
        <v>21</v>
      </c>
      <c r="J1313" s="15">
        <v>70</v>
      </c>
      <c r="K1313" s="15" t="str">
        <f t="shared" si="20"/>
        <v>lochseld</v>
      </c>
      <c r="L1313" s="15" t="s">
        <v>14088</v>
      </c>
      <c r="M1313" s="15">
        <v>3</v>
      </c>
      <c r="N1313" s="15" t="s">
        <v>11223</v>
      </c>
      <c r="O1313" s="15"/>
      <c r="P1313" s="15"/>
      <c r="Q1313" s="15" t="s">
        <v>13457</v>
      </c>
      <c r="R1313" s="15"/>
      <c r="S1313" s="15"/>
      <c r="T1313" s="15">
        <v>2</v>
      </c>
      <c r="U1313" s="15" t="s">
        <v>5908</v>
      </c>
      <c r="V1313" s="15" t="s">
        <v>5914</v>
      </c>
      <c r="W1313" s="15"/>
      <c r="X1313" s="15"/>
      <c r="Y1313" s="15"/>
      <c r="Z1313" s="15"/>
    </row>
    <row r="1314" spans="1:26" x14ac:dyDescent="0.25">
      <c r="A1314" s="15" t="s">
        <v>12938</v>
      </c>
      <c r="B1314" s="15">
        <v>1313</v>
      </c>
      <c r="C1314" s="15" t="s">
        <v>11277</v>
      </c>
      <c r="D1314" s="15" t="s">
        <v>11277</v>
      </c>
      <c r="E1314" s="15" t="s">
        <v>73</v>
      </c>
      <c r="F1314" s="15" t="s">
        <v>1842</v>
      </c>
      <c r="G1314" s="15" t="s">
        <v>13469</v>
      </c>
      <c r="H1314" s="15">
        <v>21</v>
      </c>
      <c r="I1314" s="15">
        <v>21</v>
      </c>
      <c r="J1314" s="15">
        <v>70</v>
      </c>
      <c r="K1314" s="15" t="str">
        <f t="shared" si="20"/>
        <v>lochseld</v>
      </c>
      <c r="L1314" s="15" t="s">
        <v>14088</v>
      </c>
      <c r="M1314" s="15">
        <v>3</v>
      </c>
      <c r="N1314" s="15" t="s">
        <v>11223</v>
      </c>
      <c r="O1314" s="15"/>
      <c r="P1314" s="15"/>
      <c r="Q1314" s="15" t="s">
        <v>13457</v>
      </c>
      <c r="R1314" s="15"/>
      <c r="S1314" s="15"/>
      <c r="T1314" s="15">
        <v>0</v>
      </c>
      <c r="U1314" s="15" t="s">
        <v>5893</v>
      </c>
      <c r="V1314" s="15"/>
      <c r="W1314" s="15"/>
      <c r="X1314" s="15"/>
      <c r="Y1314" s="15"/>
      <c r="Z1314" s="15"/>
    </row>
    <row r="1315" spans="1:26" x14ac:dyDescent="0.25">
      <c r="A1315" s="15" t="s">
        <v>12940</v>
      </c>
      <c r="B1315" s="15">
        <v>1314</v>
      </c>
      <c r="C1315" s="15" t="s">
        <v>11277</v>
      </c>
      <c r="D1315" s="15" t="s">
        <v>11277</v>
      </c>
      <c r="E1315" s="15" t="s">
        <v>73</v>
      </c>
      <c r="F1315" s="15" t="s">
        <v>1842</v>
      </c>
      <c r="G1315" s="15" t="s">
        <v>13471</v>
      </c>
      <c r="H1315" s="15">
        <v>21</v>
      </c>
      <c r="I1315" s="15">
        <v>21</v>
      </c>
      <c r="J1315" s="15">
        <v>70</v>
      </c>
      <c r="K1315" s="15" t="str">
        <f t="shared" si="20"/>
        <v>lochseld</v>
      </c>
      <c r="L1315" s="15" t="s">
        <v>14088</v>
      </c>
      <c r="M1315" s="15">
        <v>3</v>
      </c>
      <c r="N1315" s="15" t="s">
        <v>11223</v>
      </c>
      <c r="O1315" s="15" t="s">
        <v>14033</v>
      </c>
      <c r="P1315" s="15" t="s">
        <v>15171</v>
      </c>
      <c r="Q1315" s="15" t="s">
        <v>13457</v>
      </c>
      <c r="R1315" s="15"/>
      <c r="S1315" s="15"/>
      <c r="T1315" s="15">
        <v>0</v>
      </c>
      <c r="U1315" s="15"/>
      <c r="V1315" s="15"/>
      <c r="W1315" s="15"/>
      <c r="X1315" s="15"/>
      <c r="Y1315" s="15"/>
      <c r="Z1315" s="15"/>
    </row>
    <row r="1316" spans="1:26" x14ac:dyDescent="0.25">
      <c r="A1316" s="15" t="s">
        <v>12942</v>
      </c>
      <c r="B1316" s="15">
        <v>1315</v>
      </c>
      <c r="C1316" s="15" t="s">
        <v>11277</v>
      </c>
      <c r="D1316" s="15" t="s">
        <v>11647</v>
      </c>
      <c r="E1316" s="15" t="s">
        <v>73</v>
      </c>
      <c r="F1316" s="15" t="s">
        <v>15172</v>
      </c>
      <c r="G1316" s="15" t="s">
        <v>12968</v>
      </c>
      <c r="H1316" s="15">
        <v>13</v>
      </c>
      <c r="I1316" s="15">
        <v>18</v>
      </c>
      <c r="J1316" s="15">
        <v>66</v>
      </c>
      <c r="K1316" s="15" t="str">
        <f t="shared" si="20"/>
        <v>lochseldnorthwesternlakebed</v>
      </c>
      <c r="L1316" s="15"/>
      <c r="M1316" s="15"/>
      <c r="N1316" s="15"/>
      <c r="O1316" s="15"/>
      <c r="P1316" s="15"/>
      <c r="Q1316" s="15"/>
      <c r="R1316" s="15"/>
      <c r="S1316" s="15"/>
      <c r="T1316" s="15">
        <v>0</v>
      </c>
      <c r="U1316" s="15"/>
      <c r="V1316" s="15"/>
      <c r="W1316" s="15"/>
      <c r="X1316" s="15"/>
      <c r="Y1316" s="15"/>
      <c r="Z1316" s="15"/>
    </row>
    <row r="1317" spans="1:26" x14ac:dyDescent="0.25">
      <c r="A1317" s="15" t="s">
        <v>12944</v>
      </c>
      <c r="B1317" s="15">
        <v>1316</v>
      </c>
      <c r="C1317" s="15" t="s">
        <v>11277</v>
      </c>
      <c r="D1317" s="15" t="s">
        <v>11647</v>
      </c>
      <c r="E1317" s="15" t="s">
        <v>73</v>
      </c>
      <c r="F1317" s="15" t="s">
        <v>15172</v>
      </c>
      <c r="G1317" s="15" t="s">
        <v>12970</v>
      </c>
      <c r="H1317" s="15">
        <v>13</v>
      </c>
      <c r="I1317" s="15">
        <v>18</v>
      </c>
      <c r="J1317" s="15">
        <v>66</v>
      </c>
      <c r="K1317" s="15" t="str">
        <f t="shared" si="20"/>
        <v>lochseldnorthwesternlakebed</v>
      </c>
      <c r="L1317" s="15"/>
      <c r="M1317" s="15"/>
      <c r="N1317" s="15"/>
      <c r="O1317" s="15"/>
      <c r="P1317" s="15"/>
      <c r="Q1317" s="15"/>
      <c r="R1317" s="15"/>
      <c r="S1317" s="15"/>
      <c r="T1317" s="15">
        <v>0</v>
      </c>
      <c r="U1317" s="15"/>
      <c r="V1317" s="15"/>
      <c r="W1317" s="15"/>
      <c r="X1317" s="15"/>
      <c r="Y1317" s="15"/>
      <c r="Z1317" s="15"/>
    </row>
    <row r="1318" spans="1:26" x14ac:dyDescent="0.25">
      <c r="A1318" s="15" t="s">
        <v>12946</v>
      </c>
      <c r="B1318" s="15">
        <v>1317</v>
      </c>
      <c r="C1318" s="15" t="s">
        <v>11277</v>
      </c>
      <c r="D1318" s="15" t="s">
        <v>11647</v>
      </c>
      <c r="E1318" s="15" t="s">
        <v>73</v>
      </c>
      <c r="F1318" s="15" t="s">
        <v>15172</v>
      </c>
      <c r="G1318" s="15" t="s">
        <v>12972</v>
      </c>
      <c r="H1318" s="15">
        <v>13</v>
      </c>
      <c r="I1318" s="15">
        <v>18</v>
      </c>
      <c r="J1318" s="15">
        <v>67</v>
      </c>
      <c r="K1318" s="15" t="str">
        <f t="shared" si="20"/>
        <v>lochseldnorthwesternlakebed</v>
      </c>
      <c r="L1318" s="15"/>
      <c r="M1318" s="15"/>
      <c r="N1318" s="15"/>
      <c r="O1318" s="15"/>
      <c r="P1318" s="15"/>
      <c r="Q1318" s="15"/>
      <c r="R1318" s="15"/>
      <c r="S1318" s="15"/>
      <c r="T1318" s="15">
        <v>0</v>
      </c>
      <c r="U1318" s="15"/>
      <c r="V1318" s="15"/>
      <c r="W1318" s="15"/>
      <c r="X1318" s="15"/>
      <c r="Y1318" s="15"/>
      <c r="Z1318" s="15"/>
    </row>
    <row r="1319" spans="1:26" x14ac:dyDescent="0.25">
      <c r="A1319" s="15" t="s">
        <v>12947</v>
      </c>
      <c r="B1319" s="15">
        <v>1318</v>
      </c>
      <c r="C1319" s="15" t="s">
        <v>11277</v>
      </c>
      <c r="D1319" s="15" t="s">
        <v>11647</v>
      </c>
      <c r="E1319" s="15" t="s">
        <v>73</v>
      </c>
      <c r="F1319" s="15" t="s">
        <v>15172</v>
      </c>
      <c r="G1319" s="15" t="s">
        <v>12974</v>
      </c>
      <c r="H1319" s="15">
        <v>13</v>
      </c>
      <c r="I1319" s="15">
        <v>18</v>
      </c>
      <c r="J1319" s="15">
        <v>68</v>
      </c>
      <c r="K1319" s="15" t="str">
        <f t="shared" si="20"/>
        <v>lochseldnorthwesternlakebed</v>
      </c>
      <c r="L1319" s="15"/>
      <c r="M1319" s="15"/>
      <c r="N1319" s="15"/>
      <c r="O1319" s="15"/>
      <c r="P1319" s="15"/>
      <c r="Q1319" s="15"/>
      <c r="R1319" s="15"/>
      <c r="S1319" s="15"/>
      <c r="T1319" s="15">
        <v>0</v>
      </c>
      <c r="U1319" s="15"/>
      <c r="V1319" s="15"/>
      <c r="W1319" s="15"/>
      <c r="X1319" s="15"/>
      <c r="Y1319" s="15"/>
      <c r="Z1319" s="15"/>
    </row>
    <row r="1320" spans="1:26" x14ac:dyDescent="0.25">
      <c r="A1320" s="15" t="s">
        <v>12949</v>
      </c>
      <c r="B1320" s="15">
        <v>1319</v>
      </c>
      <c r="C1320" s="15" t="s">
        <v>11277</v>
      </c>
      <c r="D1320" s="15" t="s">
        <v>11647</v>
      </c>
      <c r="E1320" s="15" t="s">
        <v>73</v>
      </c>
      <c r="F1320" s="15" t="s">
        <v>15172</v>
      </c>
      <c r="G1320" s="15" t="s">
        <v>12976</v>
      </c>
      <c r="H1320" s="15">
        <v>13</v>
      </c>
      <c r="I1320" s="15">
        <v>18</v>
      </c>
      <c r="J1320" s="15">
        <v>69</v>
      </c>
      <c r="K1320" s="15" t="str">
        <f t="shared" si="20"/>
        <v>lochseldnorthwesternlakebed</v>
      </c>
      <c r="L1320" s="15"/>
      <c r="M1320" s="15"/>
      <c r="N1320" s="15"/>
      <c r="O1320" s="15"/>
      <c r="P1320" s="15"/>
      <c r="Q1320" s="15"/>
      <c r="R1320" s="15"/>
      <c r="S1320" s="15"/>
      <c r="T1320" s="15">
        <v>0</v>
      </c>
      <c r="U1320" s="15"/>
      <c r="V1320" s="15"/>
      <c r="W1320" s="15"/>
      <c r="X1320" s="15"/>
      <c r="Y1320" s="15"/>
      <c r="Z1320" s="15"/>
    </row>
    <row r="1321" spans="1:26" x14ac:dyDescent="0.25">
      <c r="A1321" s="15" t="s">
        <v>12951</v>
      </c>
      <c r="B1321" s="15">
        <v>1320</v>
      </c>
      <c r="C1321" s="15" t="s">
        <v>11277</v>
      </c>
      <c r="D1321" s="15" t="s">
        <v>11647</v>
      </c>
      <c r="E1321" s="15" t="s">
        <v>73</v>
      </c>
      <c r="F1321" s="15" t="s">
        <v>15172</v>
      </c>
      <c r="G1321" s="15" t="s">
        <v>12978</v>
      </c>
      <c r="H1321" s="15">
        <v>13</v>
      </c>
      <c r="I1321" s="15">
        <v>18</v>
      </c>
      <c r="J1321" s="15">
        <v>70</v>
      </c>
      <c r="K1321" s="15" t="str">
        <f t="shared" si="20"/>
        <v>lochseldnorthwesternlakebed</v>
      </c>
      <c r="L1321" s="15"/>
      <c r="M1321" s="15"/>
      <c r="N1321" s="15"/>
      <c r="O1321" s="15"/>
      <c r="P1321" s="15"/>
      <c r="Q1321" s="15"/>
      <c r="R1321" s="15"/>
      <c r="S1321" s="15"/>
      <c r="T1321" s="15">
        <v>0</v>
      </c>
      <c r="U1321" s="15"/>
      <c r="V1321" s="15"/>
      <c r="W1321" s="15"/>
      <c r="X1321" s="15"/>
      <c r="Y1321" s="15"/>
      <c r="Z1321" s="15"/>
    </row>
    <row r="1322" spans="1:26" x14ac:dyDescent="0.25">
      <c r="A1322" s="15" t="s">
        <v>12953</v>
      </c>
      <c r="B1322" s="15">
        <v>1321</v>
      </c>
      <c r="C1322" s="15" t="s">
        <v>11277</v>
      </c>
      <c r="D1322" s="15" t="s">
        <v>11647</v>
      </c>
      <c r="E1322" s="15" t="s">
        <v>73</v>
      </c>
      <c r="F1322" s="15" t="s">
        <v>15173</v>
      </c>
      <c r="G1322" s="15" t="s">
        <v>12980</v>
      </c>
      <c r="H1322" s="15">
        <v>20</v>
      </c>
      <c r="I1322" s="15">
        <v>23</v>
      </c>
      <c r="J1322" s="15">
        <v>66</v>
      </c>
      <c r="K1322" s="15" t="str">
        <f t="shared" si="20"/>
        <v>lochseldcentrallakebed</v>
      </c>
      <c r="L1322" s="15"/>
      <c r="M1322" s="15"/>
      <c r="N1322" s="15"/>
      <c r="O1322" s="15"/>
      <c r="P1322" s="15"/>
      <c r="Q1322" s="15"/>
      <c r="R1322" s="15"/>
      <c r="S1322" s="15"/>
      <c r="T1322" s="15">
        <v>0</v>
      </c>
      <c r="U1322" s="15"/>
      <c r="V1322" s="15"/>
      <c r="W1322" s="15"/>
      <c r="X1322" s="15"/>
      <c r="Y1322" s="15"/>
      <c r="Z1322" s="15"/>
    </row>
    <row r="1323" spans="1:26" x14ac:dyDescent="0.25">
      <c r="A1323" s="15" t="s">
        <v>12955</v>
      </c>
      <c r="B1323" s="15">
        <v>1322</v>
      </c>
      <c r="C1323" s="15" t="s">
        <v>11277</v>
      </c>
      <c r="D1323" s="15" t="s">
        <v>11647</v>
      </c>
      <c r="E1323" s="15" t="s">
        <v>73</v>
      </c>
      <c r="F1323" s="15" t="s">
        <v>15173</v>
      </c>
      <c r="G1323" s="15" t="s">
        <v>12970</v>
      </c>
      <c r="H1323" s="15">
        <v>20</v>
      </c>
      <c r="I1323" s="15">
        <v>23</v>
      </c>
      <c r="J1323" s="15">
        <v>66</v>
      </c>
      <c r="K1323" s="15" t="str">
        <f t="shared" si="20"/>
        <v>lochseldcentrallakebed</v>
      </c>
      <c r="L1323" s="15"/>
      <c r="M1323" s="15"/>
      <c r="N1323" s="15"/>
      <c r="O1323" s="15"/>
      <c r="P1323" s="15"/>
      <c r="Q1323" s="15"/>
      <c r="R1323" s="15"/>
      <c r="S1323" s="15"/>
      <c r="T1323" s="15">
        <v>0</v>
      </c>
      <c r="U1323" s="15"/>
      <c r="V1323" s="15"/>
      <c r="W1323" s="15"/>
      <c r="X1323" s="15"/>
      <c r="Y1323" s="15"/>
      <c r="Z1323" s="15"/>
    </row>
    <row r="1324" spans="1:26" x14ac:dyDescent="0.25">
      <c r="A1324" s="15" t="s">
        <v>12957</v>
      </c>
      <c r="B1324" s="15">
        <v>1323</v>
      </c>
      <c r="C1324" s="15" t="s">
        <v>11277</v>
      </c>
      <c r="D1324" s="15" t="s">
        <v>11647</v>
      </c>
      <c r="E1324" s="15" t="s">
        <v>73</v>
      </c>
      <c r="F1324" s="15" t="s">
        <v>15173</v>
      </c>
      <c r="G1324" s="15" t="s">
        <v>12982</v>
      </c>
      <c r="H1324" s="15">
        <v>20</v>
      </c>
      <c r="I1324" s="15">
        <v>23</v>
      </c>
      <c r="J1324" s="15">
        <v>67</v>
      </c>
      <c r="K1324" s="15" t="str">
        <f t="shared" si="20"/>
        <v>lochseldcentrallakebed</v>
      </c>
      <c r="L1324" s="15"/>
      <c r="M1324" s="15"/>
      <c r="N1324" s="15"/>
      <c r="O1324" s="15"/>
      <c r="P1324" s="15"/>
      <c r="Q1324" s="15"/>
      <c r="R1324" s="15"/>
      <c r="S1324" s="15"/>
      <c r="T1324" s="15">
        <v>0</v>
      </c>
      <c r="U1324" s="15"/>
      <c r="V1324" s="15"/>
      <c r="W1324" s="15"/>
      <c r="X1324" s="15"/>
      <c r="Y1324" s="15"/>
      <c r="Z1324" s="15"/>
    </row>
    <row r="1325" spans="1:26" x14ac:dyDescent="0.25">
      <c r="A1325" s="15" t="s">
        <v>12959</v>
      </c>
      <c r="B1325" s="15">
        <v>1324</v>
      </c>
      <c r="C1325" s="15" t="s">
        <v>11277</v>
      </c>
      <c r="D1325" s="15" t="s">
        <v>11647</v>
      </c>
      <c r="E1325" s="15" t="s">
        <v>73</v>
      </c>
      <c r="F1325" s="15" t="s">
        <v>15173</v>
      </c>
      <c r="G1325" s="15" t="s">
        <v>12984</v>
      </c>
      <c r="H1325" s="15">
        <v>20</v>
      </c>
      <c r="I1325" s="15">
        <v>23</v>
      </c>
      <c r="J1325" s="15">
        <v>68</v>
      </c>
      <c r="K1325" s="15" t="str">
        <f t="shared" si="20"/>
        <v>lochseldcentrallakebed</v>
      </c>
      <c r="L1325" s="15"/>
      <c r="M1325" s="15"/>
      <c r="N1325" s="15"/>
      <c r="O1325" s="15"/>
      <c r="P1325" s="15"/>
      <c r="Q1325" s="15"/>
      <c r="R1325" s="15"/>
      <c r="S1325" s="15"/>
      <c r="T1325" s="15">
        <v>0</v>
      </c>
      <c r="U1325" s="15"/>
      <c r="V1325" s="15"/>
      <c r="W1325" s="15"/>
      <c r="X1325" s="15"/>
      <c r="Y1325" s="15"/>
      <c r="Z1325" s="15"/>
    </row>
    <row r="1326" spans="1:26" x14ac:dyDescent="0.25">
      <c r="A1326" s="15" t="s">
        <v>12961</v>
      </c>
      <c r="B1326" s="15">
        <v>1325</v>
      </c>
      <c r="C1326" s="15" t="s">
        <v>11277</v>
      </c>
      <c r="D1326" s="15" t="s">
        <v>11647</v>
      </c>
      <c r="E1326" s="15" t="s">
        <v>73</v>
      </c>
      <c r="F1326" s="15" t="s">
        <v>15173</v>
      </c>
      <c r="G1326" s="15" t="s">
        <v>12986</v>
      </c>
      <c r="H1326" s="15">
        <v>20</v>
      </c>
      <c r="I1326" s="15">
        <v>23</v>
      </c>
      <c r="J1326" s="15">
        <v>69</v>
      </c>
      <c r="K1326" s="15" t="str">
        <f t="shared" si="20"/>
        <v>lochseldcentrallakebed</v>
      </c>
      <c r="L1326" s="15"/>
      <c r="M1326" s="15"/>
      <c r="N1326" s="15"/>
      <c r="O1326" s="15"/>
      <c r="P1326" s="15"/>
      <c r="Q1326" s="15"/>
      <c r="R1326" s="15"/>
      <c r="S1326" s="15"/>
      <c r="T1326" s="15">
        <v>0</v>
      </c>
      <c r="U1326" s="15"/>
      <c r="V1326" s="15"/>
      <c r="W1326" s="15"/>
      <c r="X1326" s="15"/>
      <c r="Y1326" s="15"/>
      <c r="Z1326" s="15"/>
    </row>
    <row r="1327" spans="1:26" x14ac:dyDescent="0.25">
      <c r="A1327" s="15" t="s">
        <v>12963</v>
      </c>
      <c r="B1327" s="15">
        <v>1326</v>
      </c>
      <c r="C1327" s="15" t="s">
        <v>11277</v>
      </c>
      <c r="D1327" s="15" t="s">
        <v>11647</v>
      </c>
      <c r="E1327" s="15" t="s">
        <v>73</v>
      </c>
      <c r="F1327" s="15" t="s">
        <v>15173</v>
      </c>
      <c r="G1327" s="15" t="s">
        <v>12988</v>
      </c>
      <c r="H1327" s="15">
        <v>20</v>
      </c>
      <c r="I1327" s="15">
        <v>23</v>
      </c>
      <c r="J1327" s="15">
        <v>70</v>
      </c>
      <c r="K1327" s="15" t="str">
        <f t="shared" si="20"/>
        <v>lochseldcentrallakebed</v>
      </c>
      <c r="L1327" s="15"/>
      <c r="M1327" s="15"/>
      <c r="N1327" s="15"/>
      <c r="O1327" s="15"/>
      <c r="P1327" s="15"/>
      <c r="Q1327" s="15"/>
      <c r="R1327" s="15"/>
      <c r="S1327" s="15"/>
      <c r="T1327" s="15">
        <v>0</v>
      </c>
      <c r="U1327" s="15"/>
      <c r="V1327" s="15"/>
      <c r="W1327" s="15"/>
      <c r="X1327" s="15"/>
      <c r="Y1327" s="15"/>
      <c r="Z1327" s="15"/>
    </row>
    <row r="1328" spans="1:26" x14ac:dyDescent="0.25">
      <c r="A1328" s="15" t="s">
        <v>12965</v>
      </c>
      <c r="B1328" s="15">
        <v>1327</v>
      </c>
      <c r="C1328" s="15" t="s">
        <v>11277</v>
      </c>
      <c r="D1328" s="15" t="s">
        <v>11647</v>
      </c>
      <c r="E1328" s="15" t="s">
        <v>73</v>
      </c>
      <c r="F1328" s="15" t="s">
        <v>15174</v>
      </c>
      <c r="G1328" s="15" t="s">
        <v>12990</v>
      </c>
      <c r="H1328" s="15">
        <v>25</v>
      </c>
      <c r="I1328" s="15">
        <v>28</v>
      </c>
      <c r="J1328" s="15">
        <v>66</v>
      </c>
      <c r="K1328" s="15" t="str">
        <f t="shared" si="20"/>
        <v>lochseldsoutheasternlakebed</v>
      </c>
      <c r="L1328" s="15"/>
      <c r="M1328" s="15"/>
      <c r="N1328" s="15"/>
      <c r="O1328" s="15"/>
      <c r="P1328" s="15"/>
      <c r="Q1328" s="15"/>
      <c r="R1328" s="15"/>
      <c r="S1328" s="15"/>
      <c r="T1328" s="15">
        <v>0</v>
      </c>
      <c r="U1328" s="15"/>
      <c r="V1328" s="15"/>
      <c r="W1328" s="15"/>
      <c r="X1328" s="15"/>
      <c r="Y1328" s="15"/>
      <c r="Z1328" s="15"/>
    </row>
    <row r="1329" spans="1:26" x14ac:dyDescent="0.25">
      <c r="A1329" s="15" t="s">
        <v>12967</v>
      </c>
      <c r="B1329" s="15">
        <v>1328</v>
      </c>
      <c r="C1329" s="15" t="s">
        <v>11277</v>
      </c>
      <c r="D1329" s="15" t="s">
        <v>11647</v>
      </c>
      <c r="E1329" s="15" t="s">
        <v>73</v>
      </c>
      <c r="F1329" s="15" t="s">
        <v>15174</v>
      </c>
      <c r="G1329" s="15" t="s">
        <v>12992</v>
      </c>
      <c r="H1329" s="15">
        <v>25</v>
      </c>
      <c r="I1329" s="15">
        <v>28</v>
      </c>
      <c r="J1329" s="15">
        <v>67</v>
      </c>
      <c r="K1329" s="15" t="str">
        <f t="shared" si="20"/>
        <v>lochseldsoutheasternlakebed</v>
      </c>
      <c r="L1329" s="15"/>
      <c r="M1329" s="15"/>
      <c r="N1329" s="15"/>
      <c r="O1329" s="15"/>
      <c r="P1329" s="15"/>
      <c r="Q1329" s="15"/>
      <c r="R1329" s="15"/>
      <c r="S1329" s="15"/>
      <c r="T1329" s="15">
        <v>0</v>
      </c>
      <c r="U1329" s="15"/>
      <c r="V1329" s="15"/>
      <c r="W1329" s="15"/>
      <c r="X1329" s="15"/>
      <c r="Y1329" s="15"/>
      <c r="Z1329" s="15"/>
    </row>
    <row r="1330" spans="1:26" x14ac:dyDescent="0.25">
      <c r="A1330" s="15" t="s">
        <v>12969</v>
      </c>
      <c r="B1330" s="15">
        <v>1329</v>
      </c>
      <c r="C1330" s="15" t="s">
        <v>11277</v>
      </c>
      <c r="D1330" s="15" t="s">
        <v>11647</v>
      </c>
      <c r="E1330" s="15" t="s">
        <v>73</v>
      </c>
      <c r="F1330" s="15" t="s">
        <v>15174</v>
      </c>
      <c r="G1330" s="15" t="s">
        <v>12994</v>
      </c>
      <c r="H1330" s="15">
        <v>25</v>
      </c>
      <c r="I1330" s="15">
        <v>28</v>
      </c>
      <c r="J1330" s="15">
        <v>67</v>
      </c>
      <c r="K1330" s="15" t="str">
        <f t="shared" si="20"/>
        <v>lochseldsoutheasternlakebed</v>
      </c>
      <c r="L1330" s="15"/>
      <c r="M1330" s="15"/>
      <c r="N1330" s="15"/>
      <c r="O1330" s="15"/>
      <c r="P1330" s="15"/>
      <c r="Q1330" s="15"/>
      <c r="R1330" s="15"/>
      <c r="S1330" s="15"/>
      <c r="T1330" s="15">
        <v>0</v>
      </c>
      <c r="U1330" s="15"/>
      <c r="V1330" s="15"/>
      <c r="W1330" s="15"/>
      <c r="X1330" s="15"/>
      <c r="Y1330" s="15"/>
      <c r="Z1330" s="15"/>
    </row>
    <row r="1331" spans="1:26" x14ac:dyDescent="0.25">
      <c r="A1331" s="15" t="s">
        <v>12971</v>
      </c>
      <c r="B1331" s="15">
        <v>1330</v>
      </c>
      <c r="C1331" s="15" t="s">
        <v>11277</v>
      </c>
      <c r="D1331" s="15" t="s">
        <v>11647</v>
      </c>
      <c r="E1331" s="15" t="s">
        <v>73</v>
      </c>
      <c r="F1331" s="15" t="s">
        <v>15174</v>
      </c>
      <c r="G1331" s="15" t="s">
        <v>12996</v>
      </c>
      <c r="H1331" s="15">
        <v>25</v>
      </c>
      <c r="I1331" s="15">
        <v>28</v>
      </c>
      <c r="J1331" s="15">
        <v>68</v>
      </c>
      <c r="K1331" s="15" t="str">
        <f t="shared" si="20"/>
        <v>lochseldsoutheasternlakebed</v>
      </c>
      <c r="L1331" s="15"/>
      <c r="M1331" s="15"/>
      <c r="N1331" s="15"/>
      <c r="O1331" s="15"/>
      <c r="P1331" s="15"/>
      <c r="Q1331" s="15"/>
      <c r="R1331" s="15"/>
      <c r="S1331" s="15"/>
      <c r="T1331" s="15">
        <v>0</v>
      </c>
      <c r="U1331" s="15"/>
      <c r="V1331" s="15"/>
      <c r="W1331" s="15"/>
      <c r="X1331" s="15"/>
      <c r="Y1331" s="15"/>
      <c r="Z1331" s="15"/>
    </row>
    <row r="1332" spans="1:26" x14ac:dyDescent="0.25">
      <c r="A1332" s="15" t="s">
        <v>12973</v>
      </c>
      <c r="B1332" s="15">
        <v>1331</v>
      </c>
      <c r="C1332" s="15" t="s">
        <v>11277</v>
      </c>
      <c r="D1332" s="15" t="s">
        <v>11647</v>
      </c>
      <c r="E1332" s="15" t="s">
        <v>73</v>
      </c>
      <c r="F1332" s="15" t="s">
        <v>15174</v>
      </c>
      <c r="G1332" s="15" t="s">
        <v>12998</v>
      </c>
      <c r="H1332" s="15">
        <v>25</v>
      </c>
      <c r="I1332" s="15">
        <v>28</v>
      </c>
      <c r="J1332" s="15">
        <v>69</v>
      </c>
      <c r="K1332" s="15" t="str">
        <f t="shared" si="20"/>
        <v>lochseldsoutheasternlakebed</v>
      </c>
      <c r="L1332" s="15"/>
      <c r="M1332" s="15"/>
      <c r="N1332" s="15"/>
      <c r="O1332" s="15"/>
      <c r="P1332" s="15"/>
      <c r="Q1332" s="15"/>
      <c r="R1332" s="15"/>
      <c r="S1332" s="15"/>
      <c r="T1332" s="15">
        <v>0</v>
      </c>
      <c r="U1332" s="15"/>
      <c r="V1332" s="15"/>
      <c r="W1332" s="15"/>
      <c r="X1332" s="15"/>
      <c r="Y1332" s="15"/>
      <c r="Z1332" s="15"/>
    </row>
    <row r="1333" spans="1:26" x14ac:dyDescent="0.25">
      <c r="A1333" s="15" t="s">
        <v>12975</v>
      </c>
      <c r="B1333" s="15">
        <v>1332</v>
      </c>
      <c r="C1333" s="15" t="s">
        <v>11277</v>
      </c>
      <c r="D1333" s="15" t="s">
        <v>11647</v>
      </c>
      <c r="E1333" s="15" t="s">
        <v>73</v>
      </c>
      <c r="F1333" s="15" t="s">
        <v>15174</v>
      </c>
      <c r="G1333" s="15" t="s">
        <v>13000</v>
      </c>
      <c r="H1333" s="15">
        <v>25</v>
      </c>
      <c r="I1333" s="15">
        <v>28</v>
      </c>
      <c r="J1333" s="15">
        <v>70</v>
      </c>
      <c r="K1333" s="15" t="str">
        <f t="shared" si="20"/>
        <v>lochseldsoutheasternlakebed</v>
      </c>
      <c r="L1333" s="15"/>
      <c r="M1333" s="15"/>
      <c r="N1333" s="15"/>
      <c r="O1333" s="15"/>
      <c r="P1333" s="15"/>
      <c r="Q1333" s="15"/>
      <c r="R1333" s="15"/>
      <c r="S1333" s="15"/>
      <c r="T1333" s="15">
        <v>0</v>
      </c>
      <c r="U1333" s="15"/>
      <c r="V1333" s="15"/>
      <c r="W1333" s="15"/>
      <c r="X1333" s="15"/>
      <c r="Y1333" s="15"/>
      <c r="Z1333" s="15"/>
    </row>
    <row r="1334" spans="1:26" x14ac:dyDescent="0.25">
      <c r="A1334" s="15" t="s">
        <v>12977</v>
      </c>
      <c r="B1334" s="15">
        <v>1333</v>
      </c>
      <c r="C1334" s="15" t="s">
        <v>11277</v>
      </c>
      <c r="D1334" s="15" t="s">
        <v>11647</v>
      </c>
      <c r="E1334" s="15" t="s">
        <v>73</v>
      </c>
      <c r="F1334" s="15" t="s">
        <v>15175</v>
      </c>
      <c r="G1334" s="15" t="s">
        <v>12974</v>
      </c>
      <c r="H1334" s="15">
        <v>22</v>
      </c>
      <c r="I1334" s="15">
        <v>24</v>
      </c>
      <c r="J1334" s="15">
        <v>68</v>
      </c>
      <c r="K1334" s="15" t="str">
        <f t="shared" si="20"/>
        <v>lochselddeeplakebed</v>
      </c>
      <c r="L1334" s="15"/>
      <c r="M1334" s="15"/>
      <c r="N1334" s="15"/>
      <c r="O1334" s="15"/>
      <c r="P1334" s="15"/>
      <c r="Q1334" s="15"/>
      <c r="R1334" s="15"/>
      <c r="S1334" s="15"/>
      <c r="T1334" s="15">
        <v>0</v>
      </c>
      <c r="U1334" s="15"/>
      <c r="V1334" s="15"/>
      <c r="W1334" s="15"/>
      <c r="X1334" s="15"/>
      <c r="Y1334" s="15"/>
      <c r="Z1334" s="15"/>
    </row>
    <row r="1335" spans="1:26" x14ac:dyDescent="0.25">
      <c r="A1335" s="15" t="s">
        <v>12979</v>
      </c>
      <c r="B1335" s="15">
        <v>1334</v>
      </c>
      <c r="C1335" s="15" t="s">
        <v>11277</v>
      </c>
      <c r="D1335" s="15" t="s">
        <v>11647</v>
      </c>
      <c r="E1335" s="15" t="s">
        <v>73</v>
      </c>
      <c r="F1335" s="15" t="s">
        <v>15175</v>
      </c>
      <c r="G1335" s="15" t="s">
        <v>12986</v>
      </c>
      <c r="H1335" s="15">
        <v>22</v>
      </c>
      <c r="I1335" s="15">
        <v>24</v>
      </c>
      <c r="J1335" s="15">
        <v>69</v>
      </c>
      <c r="K1335" s="15" t="str">
        <f t="shared" si="20"/>
        <v>lochselddeeplakebed</v>
      </c>
      <c r="L1335" s="15"/>
      <c r="M1335" s="15"/>
      <c r="N1335" s="15"/>
      <c r="O1335" s="15"/>
      <c r="P1335" s="15"/>
      <c r="Q1335" s="15"/>
      <c r="R1335" s="15"/>
      <c r="S1335" s="15"/>
      <c r="T1335" s="15">
        <v>0</v>
      </c>
      <c r="U1335" s="15"/>
      <c r="V1335" s="15"/>
      <c r="W1335" s="15"/>
      <c r="X1335" s="15"/>
      <c r="Y1335" s="15"/>
      <c r="Z1335" s="15"/>
    </row>
    <row r="1336" spans="1:26" x14ac:dyDescent="0.25">
      <c r="A1336" s="15" t="s">
        <v>12981</v>
      </c>
      <c r="B1336" s="15">
        <v>1335</v>
      </c>
      <c r="C1336" s="15" t="s">
        <v>11277</v>
      </c>
      <c r="D1336" s="15" t="s">
        <v>11647</v>
      </c>
      <c r="E1336" s="15" t="s">
        <v>73</v>
      </c>
      <c r="F1336" s="15" t="s">
        <v>15175</v>
      </c>
      <c r="G1336" s="15" t="s">
        <v>12976</v>
      </c>
      <c r="H1336" s="15">
        <v>22</v>
      </c>
      <c r="I1336" s="15">
        <v>24</v>
      </c>
      <c r="J1336" s="15">
        <v>69</v>
      </c>
      <c r="K1336" s="15" t="str">
        <f t="shared" si="20"/>
        <v>lochselddeeplakebed</v>
      </c>
      <c r="L1336" s="15"/>
      <c r="M1336" s="15"/>
      <c r="N1336" s="15"/>
      <c r="O1336" s="15"/>
      <c r="P1336" s="15"/>
      <c r="Q1336" s="15"/>
      <c r="R1336" s="15"/>
      <c r="S1336" s="15"/>
      <c r="T1336" s="15">
        <v>0</v>
      </c>
      <c r="U1336" s="15"/>
      <c r="V1336" s="15"/>
      <c r="W1336" s="15"/>
      <c r="X1336" s="15"/>
      <c r="Y1336" s="15"/>
      <c r="Z1336" s="15"/>
    </row>
    <row r="1337" spans="1:26" x14ac:dyDescent="0.25">
      <c r="A1337" s="15" t="s">
        <v>12983</v>
      </c>
      <c r="B1337" s="15">
        <v>1336</v>
      </c>
      <c r="C1337" s="15" t="s">
        <v>11277</v>
      </c>
      <c r="D1337" s="15" t="s">
        <v>11647</v>
      </c>
      <c r="E1337" s="15" t="s">
        <v>73</v>
      </c>
      <c r="F1337" s="15" t="s">
        <v>15175</v>
      </c>
      <c r="G1337" s="15" t="s">
        <v>12998</v>
      </c>
      <c r="H1337" s="15">
        <v>22</v>
      </c>
      <c r="I1337" s="15">
        <v>24</v>
      </c>
      <c r="J1337" s="15">
        <v>69</v>
      </c>
      <c r="K1337" s="15" t="str">
        <f t="shared" si="20"/>
        <v>lochselddeeplakebed</v>
      </c>
      <c r="L1337" s="15"/>
      <c r="M1337" s="15"/>
      <c r="N1337" s="15"/>
      <c r="O1337" s="15"/>
      <c r="P1337" s="15"/>
      <c r="Q1337" s="15"/>
      <c r="R1337" s="15"/>
      <c r="S1337" s="15"/>
      <c r="T1337" s="15">
        <v>0</v>
      </c>
      <c r="U1337" s="15"/>
      <c r="V1337" s="15"/>
      <c r="W1337" s="15"/>
      <c r="X1337" s="15"/>
      <c r="Y1337" s="15"/>
      <c r="Z1337" s="15"/>
    </row>
    <row r="1338" spans="1:26" x14ac:dyDescent="0.25">
      <c r="A1338" s="15" t="s">
        <v>12985</v>
      </c>
      <c r="B1338" s="15">
        <v>1337</v>
      </c>
      <c r="C1338" s="15" t="s">
        <v>11277</v>
      </c>
      <c r="D1338" s="15" t="s">
        <v>11647</v>
      </c>
      <c r="E1338" s="15" t="s">
        <v>73</v>
      </c>
      <c r="F1338" s="15" t="s">
        <v>15175</v>
      </c>
      <c r="G1338" s="15" t="s">
        <v>13002</v>
      </c>
      <c r="H1338" s="15">
        <v>22</v>
      </c>
      <c r="I1338" s="15">
        <v>24</v>
      </c>
      <c r="J1338" s="15">
        <v>69</v>
      </c>
      <c r="K1338" s="15" t="str">
        <f t="shared" si="20"/>
        <v>lochselddeeplakebed</v>
      </c>
      <c r="L1338" s="15"/>
      <c r="M1338" s="15"/>
      <c r="N1338" s="15"/>
      <c r="O1338" s="15"/>
      <c r="P1338" s="15"/>
      <c r="Q1338" s="15"/>
      <c r="R1338" s="15"/>
      <c r="S1338" s="15"/>
      <c r="T1338" s="15">
        <v>0</v>
      </c>
      <c r="U1338" s="15"/>
      <c r="V1338" s="15"/>
      <c r="W1338" s="15"/>
      <c r="X1338" s="15"/>
      <c r="Y1338" s="15"/>
      <c r="Z1338" s="15"/>
    </row>
    <row r="1339" spans="1:26" x14ac:dyDescent="0.25">
      <c r="A1339" s="15" t="s">
        <v>12987</v>
      </c>
      <c r="B1339" s="15">
        <v>1338</v>
      </c>
      <c r="C1339" s="15" t="s">
        <v>11277</v>
      </c>
      <c r="D1339" s="15" t="s">
        <v>11647</v>
      </c>
      <c r="E1339" s="15" t="s">
        <v>73</v>
      </c>
      <c r="F1339" s="15" t="s">
        <v>15175</v>
      </c>
      <c r="G1339" s="15" t="s">
        <v>13004</v>
      </c>
      <c r="H1339" s="15">
        <v>22</v>
      </c>
      <c r="I1339" s="15">
        <v>24</v>
      </c>
      <c r="J1339" s="15">
        <v>70</v>
      </c>
      <c r="K1339" s="15" t="str">
        <f t="shared" si="20"/>
        <v>lochselddeeplakebed</v>
      </c>
      <c r="L1339" s="15"/>
      <c r="M1339" s="15"/>
      <c r="N1339" s="15"/>
      <c r="O1339" s="15"/>
      <c r="P1339" s="15"/>
      <c r="Q1339" s="15"/>
      <c r="R1339" s="15"/>
      <c r="S1339" s="15"/>
      <c r="T1339" s="15">
        <v>0</v>
      </c>
      <c r="U1339" s="15"/>
      <c r="V1339" s="15"/>
      <c r="W1339" s="15"/>
      <c r="X1339" s="15"/>
      <c r="Y1339" s="15"/>
      <c r="Z1339" s="15"/>
    </row>
    <row r="1340" spans="1:26" x14ac:dyDescent="0.25">
      <c r="A1340" s="15" t="s">
        <v>12989</v>
      </c>
      <c r="B1340" s="15">
        <v>1339</v>
      </c>
      <c r="C1340" s="15" t="s">
        <v>11277</v>
      </c>
      <c r="D1340" s="15" t="s">
        <v>11647</v>
      </c>
      <c r="E1340" s="15" t="s">
        <v>133</v>
      </c>
      <c r="F1340" s="15" t="s">
        <v>15176</v>
      </c>
      <c r="G1340" s="15" t="s">
        <v>13006</v>
      </c>
      <c r="H1340" s="15">
        <v>22</v>
      </c>
      <c r="I1340" s="15">
        <v>17</v>
      </c>
      <c r="J1340" s="15">
        <v>87</v>
      </c>
      <c r="K1340" s="15" t="str">
        <f t="shared" si="20"/>
        <v>lochseldnortheasternlakebed</v>
      </c>
      <c r="L1340" s="15"/>
      <c r="M1340" s="15"/>
      <c r="N1340" s="15"/>
      <c r="O1340" s="15"/>
      <c r="P1340" s="15"/>
      <c r="Q1340" s="15"/>
      <c r="R1340" s="15"/>
      <c r="S1340" s="15"/>
      <c r="T1340" s="15">
        <v>0</v>
      </c>
      <c r="U1340" s="15"/>
      <c r="V1340" s="15"/>
      <c r="W1340" s="15"/>
      <c r="X1340" s="15"/>
      <c r="Y1340" s="15"/>
      <c r="Z1340" s="15"/>
    </row>
    <row r="1341" spans="1:26" x14ac:dyDescent="0.25">
      <c r="A1341" s="15" t="s">
        <v>12991</v>
      </c>
      <c r="B1341" s="15">
        <v>1340</v>
      </c>
      <c r="C1341" s="15" t="s">
        <v>11277</v>
      </c>
      <c r="D1341" s="15" t="s">
        <v>11647</v>
      </c>
      <c r="E1341" s="15" t="s">
        <v>133</v>
      </c>
      <c r="F1341" s="15" t="s">
        <v>15176</v>
      </c>
      <c r="G1341" s="15" t="s">
        <v>13008</v>
      </c>
      <c r="H1341" s="15">
        <v>22</v>
      </c>
      <c r="I1341" s="15">
        <v>17</v>
      </c>
      <c r="J1341" s="15">
        <v>88</v>
      </c>
      <c r="K1341" s="15" t="str">
        <f t="shared" si="20"/>
        <v>lochseldnortheasternlakebed</v>
      </c>
      <c r="L1341" s="15"/>
      <c r="M1341" s="15"/>
      <c r="N1341" s="15"/>
      <c r="O1341" s="15"/>
      <c r="P1341" s="15"/>
      <c r="Q1341" s="15"/>
      <c r="R1341" s="15"/>
      <c r="S1341" s="15"/>
      <c r="T1341" s="15">
        <v>0</v>
      </c>
      <c r="U1341" s="15"/>
      <c r="V1341" s="15"/>
      <c r="W1341" s="15"/>
      <c r="X1341" s="15"/>
      <c r="Y1341" s="15"/>
      <c r="Z1341" s="15"/>
    </row>
    <row r="1342" spans="1:26" x14ac:dyDescent="0.25">
      <c r="A1342" s="15" t="s">
        <v>12993</v>
      </c>
      <c r="B1342" s="15">
        <v>1341</v>
      </c>
      <c r="C1342" s="15" t="s">
        <v>11277</v>
      </c>
      <c r="D1342" s="15" t="s">
        <v>11647</v>
      </c>
      <c r="E1342" s="15" t="s">
        <v>133</v>
      </c>
      <c r="F1342" s="15" t="s">
        <v>15176</v>
      </c>
      <c r="G1342" s="15" t="s">
        <v>13010</v>
      </c>
      <c r="H1342" s="15">
        <v>22</v>
      </c>
      <c r="I1342" s="15">
        <v>17</v>
      </c>
      <c r="J1342" s="15">
        <v>88</v>
      </c>
      <c r="K1342" s="15" t="str">
        <f t="shared" si="20"/>
        <v>lochseldnortheasternlakebed</v>
      </c>
      <c r="L1342" s="15"/>
      <c r="M1342" s="15"/>
      <c r="N1342" s="15"/>
      <c r="O1342" s="15"/>
      <c r="P1342" s="15"/>
      <c r="Q1342" s="15"/>
      <c r="R1342" s="15"/>
      <c r="S1342" s="15"/>
      <c r="T1342" s="15">
        <v>0</v>
      </c>
      <c r="U1342" s="15"/>
      <c r="V1342" s="15"/>
      <c r="W1342" s="15"/>
      <c r="X1342" s="15"/>
      <c r="Y1342" s="15"/>
      <c r="Z1342" s="15"/>
    </row>
    <row r="1343" spans="1:26" x14ac:dyDescent="0.25">
      <c r="A1343" s="15" t="s">
        <v>12995</v>
      </c>
      <c r="B1343" s="15">
        <v>1342</v>
      </c>
      <c r="C1343" s="15" t="s">
        <v>11277</v>
      </c>
      <c r="D1343" s="15" t="s">
        <v>11647</v>
      </c>
      <c r="E1343" s="15" t="s">
        <v>133</v>
      </c>
      <c r="F1343" s="15" t="s">
        <v>15176</v>
      </c>
      <c r="G1343" s="15" t="s">
        <v>13012</v>
      </c>
      <c r="H1343" s="15">
        <v>22</v>
      </c>
      <c r="I1343" s="15">
        <v>17</v>
      </c>
      <c r="J1343" s="15">
        <v>86</v>
      </c>
      <c r="K1343" s="15" t="str">
        <f t="shared" si="20"/>
        <v>lochseldnortheasternlakebed</v>
      </c>
      <c r="L1343" s="15"/>
      <c r="M1343" s="15"/>
      <c r="N1343" s="15"/>
      <c r="O1343" s="15"/>
      <c r="P1343" s="15"/>
      <c r="Q1343" s="15"/>
      <c r="R1343" s="15"/>
      <c r="S1343" s="15"/>
      <c r="T1343" s="15">
        <v>0</v>
      </c>
      <c r="U1343" s="15"/>
      <c r="V1343" s="15"/>
      <c r="W1343" s="15"/>
      <c r="X1343" s="15"/>
      <c r="Y1343" s="15"/>
      <c r="Z1343" s="15"/>
    </row>
    <row r="1344" spans="1:26" x14ac:dyDescent="0.25">
      <c r="A1344" s="15" t="s">
        <v>12997</v>
      </c>
      <c r="B1344" s="15">
        <v>1343</v>
      </c>
      <c r="C1344" s="15" t="s">
        <v>11277</v>
      </c>
      <c r="D1344" s="15" t="s">
        <v>11647</v>
      </c>
      <c r="E1344" s="15" t="s">
        <v>133</v>
      </c>
      <c r="F1344" s="15" t="s">
        <v>15176</v>
      </c>
      <c r="G1344" s="15" t="s">
        <v>13014</v>
      </c>
      <c r="H1344" s="15">
        <v>22</v>
      </c>
      <c r="I1344" s="15">
        <v>17</v>
      </c>
      <c r="J1344" s="15">
        <v>86</v>
      </c>
      <c r="K1344" s="15" t="str">
        <f t="shared" si="20"/>
        <v>lochseldnortheasternlakebed</v>
      </c>
      <c r="L1344" s="15"/>
      <c r="M1344" s="15"/>
      <c r="N1344" s="15"/>
      <c r="O1344" s="15"/>
      <c r="P1344" s="15"/>
      <c r="Q1344" s="15"/>
      <c r="R1344" s="15"/>
      <c r="S1344" s="15"/>
      <c r="T1344" s="15">
        <v>0</v>
      </c>
      <c r="U1344" s="15"/>
      <c r="V1344" s="15"/>
      <c r="W1344" s="15"/>
      <c r="X1344" s="15"/>
      <c r="Y1344" s="15"/>
      <c r="Z1344" s="15"/>
    </row>
    <row r="1345" spans="1:26" x14ac:dyDescent="0.25">
      <c r="A1345" s="15" t="s">
        <v>12999</v>
      </c>
      <c r="B1345" s="15">
        <v>1344</v>
      </c>
      <c r="C1345" s="15" t="s">
        <v>11277</v>
      </c>
      <c r="D1345" s="15" t="s">
        <v>11647</v>
      </c>
      <c r="E1345" s="15" t="s">
        <v>133</v>
      </c>
      <c r="F1345" s="15" t="s">
        <v>15176</v>
      </c>
      <c r="G1345" s="15" t="s">
        <v>13016</v>
      </c>
      <c r="H1345" s="15">
        <v>22</v>
      </c>
      <c r="I1345" s="15">
        <v>17</v>
      </c>
      <c r="J1345" s="15">
        <v>89</v>
      </c>
      <c r="K1345" s="15" t="str">
        <f t="shared" si="20"/>
        <v>lochseldnortheasternlakebed</v>
      </c>
      <c r="L1345" s="15"/>
      <c r="M1345" s="15"/>
      <c r="N1345" s="15"/>
      <c r="O1345" s="15"/>
      <c r="P1345" s="15"/>
      <c r="Q1345" s="15"/>
      <c r="R1345" s="15"/>
      <c r="S1345" s="15"/>
      <c r="T1345" s="15">
        <v>0</v>
      </c>
      <c r="U1345" s="15"/>
      <c r="V1345" s="15"/>
      <c r="W1345" s="15"/>
      <c r="X1345" s="15"/>
      <c r="Y1345" s="15"/>
      <c r="Z1345" s="15"/>
    </row>
    <row r="1346" spans="1:26" x14ac:dyDescent="0.25">
      <c r="A1346" s="15" t="s">
        <v>13001</v>
      </c>
      <c r="B1346" s="15">
        <v>1345</v>
      </c>
      <c r="C1346" s="15" t="s">
        <v>11277</v>
      </c>
      <c r="D1346" s="15" t="s">
        <v>11647</v>
      </c>
      <c r="E1346" s="15" t="s">
        <v>73</v>
      </c>
      <c r="F1346" s="15" t="s">
        <v>15177</v>
      </c>
      <c r="G1346" s="15" t="s">
        <v>12968</v>
      </c>
      <c r="H1346" s="15">
        <v>20</v>
      </c>
      <c r="I1346" s="15">
        <v>29</v>
      </c>
      <c r="J1346" s="15">
        <v>66</v>
      </c>
      <c r="K1346" s="15" t="str">
        <f t="shared" ref="K1346:K1409" si="21">LOWER(SUBSTITUTE(SUBSTITUTE(SUBSTITUTE(SUBSTITUTE(SUBSTITUTE(F1346," ",""),"(",""),")",""),"'",""),"-",""))</f>
        <v>lochseldsouthwesternlakebed</v>
      </c>
      <c r="L1346" s="15"/>
      <c r="M1346" s="15"/>
      <c r="N1346" s="15"/>
      <c r="O1346" s="15"/>
      <c r="P1346" s="15"/>
      <c r="Q1346" s="15"/>
      <c r="R1346" s="15"/>
      <c r="S1346" s="15"/>
      <c r="T1346" s="15">
        <v>0</v>
      </c>
      <c r="U1346" s="15"/>
      <c r="V1346" s="15"/>
      <c r="W1346" s="15"/>
      <c r="X1346" s="15"/>
      <c r="Y1346" s="15"/>
      <c r="Z1346" s="15"/>
    </row>
    <row r="1347" spans="1:26" x14ac:dyDescent="0.25">
      <c r="A1347" s="15" t="s">
        <v>13003</v>
      </c>
      <c r="B1347" s="15">
        <v>1346</v>
      </c>
      <c r="C1347" s="15" t="s">
        <v>11277</v>
      </c>
      <c r="D1347" s="15" t="s">
        <v>11647</v>
      </c>
      <c r="E1347" s="15" t="s">
        <v>73</v>
      </c>
      <c r="F1347" s="15" t="s">
        <v>15177</v>
      </c>
      <c r="G1347" s="15" t="s">
        <v>12990</v>
      </c>
      <c r="H1347" s="15">
        <v>20</v>
      </c>
      <c r="I1347" s="15">
        <v>29</v>
      </c>
      <c r="J1347" s="15">
        <v>66</v>
      </c>
      <c r="K1347" s="15" t="str">
        <f t="shared" si="21"/>
        <v>lochseldsouthwesternlakebed</v>
      </c>
      <c r="L1347" s="15"/>
      <c r="M1347" s="15"/>
      <c r="N1347" s="15"/>
      <c r="O1347" s="15"/>
      <c r="P1347" s="15"/>
      <c r="Q1347" s="15"/>
      <c r="R1347" s="15"/>
      <c r="S1347" s="15"/>
      <c r="T1347" s="15">
        <v>0</v>
      </c>
      <c r="U1347" s="15"/>
      <c r="V1347" s="15"/>
      <c r="W1347" s="15"/>
      <c r="X1347" s="15"/>
      <c r="Y1347" s="15"/>
      <c r="Z1347" s="15"/>
    </row>
    <row r="1348" spans="1:26" x14ac:dyDescent="0.25">
      <c r="A1348" s="15" t="s">
        <v>13005</v>
      </c>
      <c r="B1348" s="15">
        <v>1347</v>
      </c>
      <c r="C1348" s="15" t="s">
        <v>11277</v>
      </c>
      <c r="D1348" s="15" t="s">
        <v>11647</v>
      </c>
      <c r="E1348" s="15" t="s">
        <v>73</v>
      </c>
      <c r="F1348" s="15" t="s">
        <v>15177</v>
      </c>
      <c r="G1348" s="15" t="s">
        <v>12994</v>
      </c>
      <c r="H1348" s="15">
        <v>20</v>
      </c>
      <c r="I1348" s="15">
        <v>29</v>
      </c>
      <c r="J1348" s="15">
        <v>67</v>
      </c>
      <c r="K1348" s="15" t="str">
        <f t="shared" si="21"/>
        <v>lochseldsouthwesternlakebed</v>
      </c>
      <c r="L1348" s="15"/>
      <c r="M1348" s="15"/>
      <c r="N1348" s="15"/>
      <c r="O1348" s="15"/>
      <c r="P1348" s="15"/>
      <c r="Q1348" s="15"/>
      <c r="R1348" s="15"/>
      <c r="S1348" s="15"/>
      <c r="T1348" s="15">
        <v>0</v>
      </c>
      <c r="U1348" s="15"/>
      <c r="V1348" s="15"/>
      <c r="W1348" s="15"/>
      <c r="X1348" s="15"/>
      <c r="Y1348" s="15"/>
      <c r="Z1348" s="15"/>
    </row>
    <row r="1349" spans="1:26" x14ac:dyDescent="0.25">
      <c r="A1349" s="15" t="s">
        <v>13007</v>
      </c>
      <c r="B1349" s="15">
        <v>1348</v>
      </c>
      <c r="C1349" s="15" t="s">
        <v>11277</v>
      </c>
      <c r="D1349" s="15" t="s">
        <v>11647</v>
      </c>
      <c r="E1349" s="15" t="s">
        <v>133</v>
      </c>
      <c r="F1349" s="15" t="s">
        <v>15177</v>
      </c>
      <c r="G1349" s="15" t="s">
        <v>13018</v>
      </c>
      <c r="H1349" s="15">
        <v>20</v>
      </c>
      <c r="I1349" s="15">
        <v>29</v>
      </c>
      <c r="J1349" s="15">
        <v>81</v>
      </c>
      <c r="K1349" s="15" t="str">
        <f t="shared" si="21"/>
        <v>lochseldsouthwesternlakebed</v>
      </c>
      <c r="L1349" s="15"/>
      <c r="M1349" s="15"/>
      <c r="N1349" s="15"/>
      <c r="O1349" s="15"/>
      <c r="P1349" s="15"/>
      <c r="Q1349" s="15"/>
      <c r="R1349" s="15"/>
      <c r="S1349" s="15"/>
      <c r="T1349" s="15">
        <v>0</v>
      </c>
      <c r="U1349" s="15"/>
      <c r="V1349" s="15"/>
      <c r="W1349" s="15"/>
      <c r="X1349" s="15"/>
      <c r="Y1349" s="15"/>
      <c r="Z1349" s="15"/>
    </row>
    <row r="1350" spans="1:26" x14ac:dyDescent="0.25">
      <c r="A1350" s="15" t="s">
        <v>13009</v>
      </c>
      <c r="B1350" s="15">
        <v>1349</v>
      </c>
      <c r="C1350" s="15" t="s">
        <v>11277</v>
      </c>
      <c r="D1350" s="15" t="s">
        <v>11277</v>
      </c>
      <c r="E1350" s="15" t="s">
        <v>73</v>
      </c>
      <c r="F1350" s="15" t="s">
        <v>1892</v>
      </c>
      <c r="G1350" s="15" t="s">
        <v>13020</v>
      </c>
      <c r="H1350" s="15">
        <v>38</v>
      </c>
      <c r="I1350" s="15">
        <v>38</v>
      </c>
      <c r="J1350" s="15">
        <v>62</v>
      </c>
      <c r="K1350" s="15" t="str">
        <f t="shared" si="21"/>
        <v>therubyprice</v>
      </c>
      <c r="L1350" s="15" t="s">
        <v>13021</v>
      </c>
      <c r="M1350" s="15">
        <v>1</v>
      </c>
      <c r="N1350" s="15" t="s">
        <v>11222</v>
      </c>
      <c r="O1350" s="15"/>
      <c r="P1350" s="15"/>
      <c r="Q1350" s="15"/>
      <c r="R1350" s="15"/>
      <c r="S1350" s="15"/>
      <c r="T1350" s="15">
        <v>0</v>
      </c>
      <c r="U1350" s="15"/>
      <c r="V1350" s="15"/>
      <c r="W1350" s="15"/>
      <c r="X1350" s="15"/>
      <c r="Y1350" s="15"/>
      <c r="Z1350" s="15"/>
    </row>
    <row r="1351" spans="1:26" x14ac:dyDescent="0.25">
      <c r="A1351" s="15" t="s">
        <v>13011</v>
      </c>
      <c r="B1351" s="15">
        <v>1350</v>
      </c>
      <c r="C1351" s="15" t="s">
        <v>11277</v>
      </c>
      <c r="D1351" s="15" t="s">
        <v>11277</v>
      </c>
      <c r="E1351" s="15" t="s">
        <v>73</v>
      </c>
      <c r="F1351" s="15" t="s">
        <v>1892</v>
      </c>
      <c r="G1351" s="15" t="s">
        <v>13023</v>
      </c>
      <c r="H1351" s="15">
        <v>38</v>
      </c>
      <c r="I1351" s="15">
        <v>38</v>
      </c>
      <c r="J1351" s="15">
        <v>62</v>
      </c>
      <c r="K1351" s="15" t="str">
        <f t="shared" si="21"/>
        <v>therubyprice</v>
      </c>
      <c r="L1351" s="15" t="s">
        <v>13024</v>
      </c>
      <c r="M1351" s="15">
        <v>2</v>
      </c>
      <c r="N1351" s="15" t="s">
        <v>11223</v>
      </c>
      <c r="O1351" s="15"/>
      <c r="P1351" s="15"/>
      <c r="Q1351" s="15"/>
      <c r="R1351" s="15"/>
      <c r="S1351" s="15"/>
      <c r="T1351" s="15">
        <v>0</v>
      </c>
      <c r="U1351" s="15"/>
      <c r="V1351" s="15"/>
      <c r="W1351" s="15"/>
      <c r="X1351" s="15"/>
      <c r="Y1351" s="15"/>
      <c r="Z1351" s="15"/>
    </row>
    <row r="1352" spans="1:26" x14ac:dyDescent="0.25">
      <c r="A1352" s="15" t="s">
        <v>13013</v>
      </c>
      <c r="B1352" s="15">
        <v>1351</v>
      </c>
      <c r="C1352" s="15" t="s">
        <v>11277</v>
      </c>
      <c r="D1352" s="15" t="s">
        <v>11277</v>
      </c>
      <c r="E1352" s="15" t="s">
        <v>73</v>
      </c>
      <c r="F1352" s="15" t="s">
        <v>1892</v>
      </c>
      <c r="G1352" s="15" t="s">
        <v>13026</v>
      </c>
      <c r="H1352" s="15">
        <v>38</v>
      </c>
      <c r="I1352" s="15">
        <v>38</v>
      </c>
      <c r="J1352" s="15">
        <v>63</v>
      </c>
      <c r="K1352" s="15" t="str">
        <f t="shared" si="21"/>
        <v>therubyprice</v>
      </c>
      <c r="L1352" s="15" t="s">
        <v>13024</v>
      </c>
      <c r="M1352" s="15">
        <v>2</v>
      </c>
      <c r="N1352" s="15" t="s">
        <v>11223</v>
      </c>
      <c r="O1352" s="15"/>
      <c r="P1352" s="15"/>
      <c r="Q1352" s="15"/>
      <c r="R1352" s="15"/>
      <c r="S1352" s="15"/>
      <c r="T1352" s="15">
        <v>0</v>
      </c>
      <c r="U1352" s="15"/>
      <c r="V1352" s="15"/>
      <c r="W1352" s="15"/>
      <c r="X1352" s="15"/>
      <c r="Y1352" s="15"/>
      <c r="Z1352" s="15"/>
    </row>
    <row r="1353" spans="1:26" x14ac:dyDescent="0.25">
      <c r="A1353" s="15" t="s">
        <v>13015</v>
      </c>
      <c r="B1353" s="15">
        <v>1352</v>
      </c>
      <c r="C1353" s="15" t="s">
        <v>11277</v>
      </c>
      <c r="D1353" s="15" t="s">
        <v>11277</v>
      </c>
      <c r="E1353" s="15" t="s">
        <v>73</v>
      </c>
      <c r="F1353" s="15" t="s">
        <v>1892</v>
      </c>
      <c r="G1353" s="15" t="s">
        <v>13028</v>
      </c>
      <c r="H1353" s="15">
        <v>38</v>
      </c>
      <c r="I1353" s="15">
        <v>38</v>
      </c>
      <c r="J1353" s="15">
        <v>62</v>
      </c>
      <c r="K1353" s="15" t="str">
        <f t="shared" si="21"/>
        <v>therubyprice</v>
      </c>
      <c r="L1353" s="15" t="s">
        <v>11560</v>
      </c>
      <c r="M1353" s="15">
        <v>1</v>
      </c>
      <c r="N1353" s="15" t="s">
        <v>11222</v>
      </c>
      <c r="O1353" s="15"/>
      <c r="P1353" s="15"/>
      <c r="Q1353" s="15"/>
      <c r="R1353" s="15"/>
      <c r="S1353" s="15"/>
      <c r="T1353" s="15">
        <v>0</v>
      </c>
      <c r="U1353" s="15"/>
      <c r="V1353" s="15"/>
      <c r="W1353" s="15"/>
      <c r="X1353" s="15"/>
      <c r="Y1353" s="15"/>
      <c r="Z1353" s="15"/>
    </row>
    <row r="1354" spans="1:26" x14ac:dyDescent="0.25">
      <c r="A1354" s="15" t="s">
        <v>13017</v>
      </c>
      <c r="B1354" s="15">
        <v>1353</v>
      </c>
      <c r="C1354" s="15" t="s">
        <v>11277</v>
      </c>
      <c r="D1354" s="15" t="s">
        <v>11277</v>
      </c>
      <c r="E1354" s="15" t="s">
        <v>73</v>
      </c>
      <c r="F1354" s="15" t="s">
        <v>1892</v>
      </c>
      <c r="G1354" s="15" t="s">
        <v>13030</v>
      </c>
      <c r="H1354" s="15">
        <v>38</v>
      </c>
      <c r="I1354" s="15">
        <v>38</v>
      </c>
      <c r="J1354" s="15">
        <v>70</v>
      </c>
      <c r="K1354" s="15" t="str">
        <f t="shared" si="21"/>
        <v>therubyprice</v>
      </c>
      <c r="L1354" s="15" t="s">
        <v>13024</v>
      </c>
      <c r="M1354" s="15">
        <v>3</v>
      </c>
      <c r="N1354" s="15" t="s">
        <v>11223</v>
      </c>
      <c r="O1354" s="15" t="s">
        <v>11240</v>
      </c>
      <c r="P1354" s="15"/>
      <c r="Q1354" s="15"/>
      <c r="R1354" s="15"/>
      <c r="S1354" s="15"/>
      <c r="T1354" s="15">
        <v>3</v>
      </c>
      <c r="U1354" s="15" t="s">
        <v>5908</v>
      </c>
      <c r="V1354" s="15"/>
      <c r="W1354" s="15"/>
      <c r="X1354" s="15"/>
      <c r="Y1354" s="15"/>
      <c r="Z1354" s="15"/>
    </row>
    <row r="1355" spans="1:26" x14ac:dyDescent="0.25">
      <c r="A1355" s="15" t="s">
        <v>13019</v>
      </c>
      <c r="B1355" s="15">
        <v>1354</v>
      </c>
      <c r="C1355" s="15" t="s">
        <v>11277</v>
      </c>
      <c r="D1355" s="15" t="s">
        <v>11277</v>
      </c>
      <c r="E1355" s="15" t="s">
        <v>73</v>
      </c>
      <c r="F1355" s="15" t="s">
        <v>1892</v>
      </c>
      <c r="G1355" s="15" t="s">
        <v>13032</v>
      </c>
      <c r="H1355" s="15">
        <v>38</v>
      </c>
      <c r="I1355" s="15">
        <v>38</v>
      </c>
      <c r="J1355" s="15">
        <v>70</v>
      </c>
      <c r="K1355" s="15" t="str">
        <f t="shared" si="21"/>
        <v>therubyprice</v>
      </c>
      <c r="L1355" s="15" t="s">
        <v>14088</v>
      </c>
      <c r="M1355" s="15">
        <v>3</v>
      </c>
      <c r="N1355" s="15" t="s">
        <v>11223</v>
      </c>
      <c r="O1355" s="15" t="s">
        <v>2810</v>
      </c>
      <c r="P1355" s="15"/>
      <c r="Q1355" s="15" t="s">
        <v>13030</v>
      </c>
      <c r="R1355" s="15"/>
      <c r="S1355" s="15"/>
      <c r="T1355" s="15">
        <v>0</v>
      </c>
      <c r="U1355" s="15" t="s">
        <v>5908</v>
      </c>
      <c r="V1355" s="15"/>
      <c r="W1355" s="15"/>
      <c r="X1355" s="15"/>
      <c r="Y1355" s="15"/>
      <c r="Z1355" s="15"/>
    </row>
    <row r="1356" spans="1:26" x14ac:dyDescent="0.25">
      <c r="A1356" s="15" t="s">
        <v>13022</v>
      </c>
      <c r="B1356" s="15">
        <v>1355</v>
      </c>
      <c r="C1356" s="15" t="s">
        <v>11277</v>
      </c>
      <c r="D1356" s="15" t="s">
        <v>11277</v>
      </c>
      <c r="E1356" s="15" t="s">
        <v>73</v>
      </c>
      <c r="F1356" s="15" t="s">
        <v>912</v>
      </c>
      <c r="G1356" s="15" t="s">
        <v>13020</v>
      </c>
      <c r="H1356" s="15">
        <v>25</v>
      </c>
      <c r="I1356" s="15">
        <v>33</v>
      </c>
      <c r="J1356" s="15">
        <v>62</v>
      </c>
      <c r="K1356" s="15" t="str">
        <f t="shared" si="21"/>
        <v>hellslid</v>
      </c>
      <c r="L1356" s="15" t="s">
        <v>13021</v>
      </c>
      <c r="M1356" s="15">
        <v>1</v>
      </c>
      <c r="N1356" s="15" t="s">
        <v>11222</v>
      </c>
      <c r="O1356" s="15"/>
      <c r="P1356" s="15"/>
      <c r="Q1356" s="15"/>
      <c r="R1356" s="15"/>
      <c r="S1356" s="15"/>
      <c r="T1356" s="15">
        <v>0</v>
      </c>
      <c r="U1356" s="15"/>
      <c r="V1356" s="15"/>
      <c r="W1356" s="15"/>
      <c r="X1356" s="15"/>
      <c r="Y1356" s="15"/>
      <c r="Z1356" s="15"/>
    </row>
    <row r="1357" spans="1:26" x14ac:dyDescent="0.25">
      <c r="A1357" s="15" t="s">
        <v>13025</v>
      </c>
      <c r="B1357" s="15">
        <v>1356</v>
      </c>
      <c r="C1357" s="15" t="s">
        <v>11277</v>
      </c>
      <c r="D1357" s="15" t="s">
        <v>11277</v>
      </c>
      <c r="E1357" s="15" t="s">
        <v>73</v>
      </c>
      <c r="F1357" s="15" t="s">
        <v>912</v>
      </c>
      <c r="G1357" s="15" t="s">
        <v>13034</v>
      </c>
      <c r="H1357" s="15">
        <v>25</v>
      </c>
      <c r="I1357" s="15">
        <v>33</v>
      </c>
      <c r="J1357" s="15">
        <v>62</v>
      </c>
      <c r="K1357" s="15" t="str">
        <f t="shared" si="21"/>
        <v>hellslid</v>
      </c>
      <c r="L1357" s="15" t="s">
        <v>13021</v>
      </c>
      <c r="M1357" s="15">
        <v>1</v>
      </c>
      <c r="N1357" s="15" t="s">
        <v>11222</v>
      </c>
      <c r="O1357" s="15"/>
      <c r="P1357" s="15"/>
      <c r="Q1357" s="15"/>
      <c r="R1357" s="15"/>
      <c r="S1357" s="15"/>
      <c r="T1357" s="15">
        <v>0</v>
      </c>
      <c r="U1357" s="15"/>
      <c r="V1357" s="15"/>
      <c r="W1357" s="15"/>
      <c r="X1357" s="15"/>
      <c r="Y1357" s="15"/>
      <c r="Z1357" s="15"/>
    </row>
    <row r="1358" spans="1:26" x14ac:dyDescent="0.25">
      <c r="A1358" s="15" t="s">
        <v>13027</v>
      </c>
      <c r="B1358" s="15">
        <v>1357</v>
      </c>
      <c r="C1358" s="15" t="s">
        <v>11277</v>
      </c>
      <c r="D1358" s="15" t="s">
        <v>11277</v>
      </c>
      <c r="E1358" s="15" t="s">
        <v>73</v>
      </c>
      <c r="F1358" s="15" t="s">
        <v>912</v>
      </c>
      <c r="G1358" s="15" t="s">
        <v>13036</v>
      </c>
      <c r="H1358" s="15">
        <v>25</v>
      </c>
      <c r="I1358" s="15">
        <v>33</v>
      </c>
      <c r="J1358" s="15">
        <v>62</v>
      </c>
      <c r="K1358" s="15" t="str">
        <f t="shared" si="21"/>
        <v>hellslid</v>
      </c>
      <c r="L1358" s="15" t="s">
        <v>13021</v>
      </c>
      <c r="M1358" s="15">
        <v>1</v>
      </c>
      <c r="N1358" s="15" t="s">
        <v>11222</v>
      </c>
      <c r="O1358" s="15"/>
      <c r="P1358" s="15"/>
      <c r="Q1358" s="15"/>
      <c r="R1358" s="15"/>
      <c r="S1358" s="15"/>
      <c r="T1358" s="15">
        <v>0</v>
      </c>
      <c r="U1358" s="15"/>
      <c r="V1358" s="15"/>
      <c r="W1358" s="15"/>
      <c r="X1358" s="15"/>
      <c r="Y1358" s="15"/>
      <c r="Z1358" s="15"/>
    </row>
    <row r="1359" spans="1:26" x14ac:dyDescent="0.25">
      <c r="A1359" s="15" t="s">
        <v>13029</v>
      </c>
      <c r="B1359" s="15">
        <v>1358</v>
      </c>
      <c r="C1359" s="15" t="s">
        <v>11277</v>
      </c>
      <c r="D1359" s="15" t="s">
        <v>11277</v>
      </c>
      <c r="E1359" s="15" t="s">
        <v>73</v>
      </c>
      <c r="F1359" s="15" t="s">
        <v>912</v>
      </c>
      <c r="G1359" s="15" t="s">
        <v>13038</v>
      </c>
      <c r="H1359" s="15">
        <v>25</v>
      </c>
      <c r="I1359" s="15">
        <v>33</v>
      </c>
      <c r="J1359" s="15">
        <v>69</v>
      </c>
      <c r="K1359" s="15" t="str">
        <f t="shared" si="21"/>
        <v>hellslid</v>
      </c>
      <c r="L1359" s="15" t="s">
        <v>13024</v>
      </c>
      <c r="M1359" s="15">
        <v>3</v>
      </c>
      <c r="N1359" s="15" t="s">
        <v>11223</v>
      </c>
      <c r="O1359" s="15"/>
      <c r="P1359" s="15"/>
      <c r="Q1359" s="15" t="s">
        <v>13036</v>
      </c>
      <c r="R1359" s="15"/>
      <c r="S1359" s="15"/>
      <c r="T1359" s="15">
        <v>0</v>
      </c>
      <c r="U1359" s="15"/>
      <c r="V1359" s="15"/>
      <c r="W1359" s="15"/>
      <c r="X1359" s="15"/>
      <c r="Y1359" s="15"/>
      <c r="Z1359" s="15"/>
    </row>
    <row r="1360" spans="1:26" x14ac:dyDescent="0.25">
      <c r="A1360" s="15" t="s">
        <v>13031</v>
      </c>
      <c r="B1360" s="15">
        <v>1359</v>
      </c>
      <c r="C1360" s="15" t="s">
        <v>11277</v>
      </c>
      <c r="D1360" s="15" t="s">
        <v>11277</v>
      </c>
      <c r="E1360" s="15" t="s">
        <v>73</v>
      </c>
      <c r="F1360" s="15" t="s">
        <v>912</v>
      </c>
      <c r="G1360" s="15" t="s">
        <v>13040</v>
      </c>
      <c r="H1360" s="15">
        <v>25</v>
      </c>
      <c r="I1360" s="15">
        <v>33</v>
      </c>
      <c r="J1360" s="15">
        <v>70</v>
      </c>
      <c r="K1360" s="15" t="str">
        <f t="shared" si="21"/>
        <v>hellslid</v>
      </c>
      <c r="L1360" s="15" t="s">
        <v>14088</v>
      </c>
      <c r="M1360" s="15">
        <v>3</v>
      </c>
      <c r="N1360" s="15" t="s">
        <v>11223</v>
      </c>
      <c r="O1360" s="15"/>
      <c r="P1360" s="15"/>
      <c r="Q1360" s="15" t="s">
        <v>13036</v>
      </c>
      <c r="R1360" s="15"/>
      <c r="S1360" s="15"/>
      <c r="T1360" s="15">
        <v>0</v>
      </c>
      <c r="U1360" s="15" t="s">
        <v>6010</v>
      </c>
      <c r="V1360" s="15"/>
      <c r="W1360" s="15"/>
      <c r="X1360" s="15"/>
      <c r="Y1360" s="15"/>
      <c r="Z1360" s="15"/>
    </row>
    <row r="1361" spans="1:26" x14ac:dyDescent="0.25">
      <c r="A1361" s="15" t="s">
        <v>13033</v>
      </c>
      <c r="B1361" s="15">
        <v>1360</v>
      </c>
      <c r="C1361" s="15" t="s">
        <v>11277</v>
      </c>
      <c r="D1361" s="15" t="s">
        <v>11277</v>
      </c>
      <c r="E1361" s="15" t="s">
        <v>73</v>
      </c>
      <c r="F1361" s="15" t="s">
        <v>912</v>
      </c>
      <c r="G1361" s="15" t="s">
        <v>13042</v>
      </c>
      <c r="H1361" s="15">
        <v>25</v>
      </c>
      <c r="I1361" s="15">
        <v>33</v>
      </c>
      <c r="J1361" s="15">
        <v>70</v>
      </c>
      <c r="K1361" s="15" t="str">
        <f t="shared" si="21"/>
        <v>hellslid</v>
      </c>
      <c r="L1361" s="15" t="s">
        <v>13024</v>
      </c>
      <c r="M1361" s="15">
        <v>3</v>
      </c>
      <c r="N1361" s="15" t="s">
        <v>11223</v>
      </c>
      <c r="O1361" s="15" t="s">
        <v>2815</v>
      </c>
      <c r="P1361" s="15"/>
      <c r="Q1361" s="15"/>
      <c r="R1361" s="15"/>
      <c r="S1361" s="15"/>
      <c r="T1361" s="15">
        <v>1</v>
      </c>
      <c r="U1361" s="15" t="s">
        <v>14151</v>
      </c>
      <c r="V1361" s="15"/>
      <c r="W1361" s="15"/>
      <c r="X1361" s="15"/>
      <c r="Y1361" s="15"/>
      <c r="Z1361" s="15"/>
    </row>
    <row r="1362" spans="1:26" x14ac:dyDescent="0.25">
      <c r="A1362" s="15" t="s">
        <v>13035</v>
      </c>
      <c r="B1362" s="15">
        <v>1361</v>
      </c>
      <c r="C1362" s="15" t="s">
        <v>11277</v>
      </c>
      <c r="D1362" s="15" t="s">
        <v>11277</v>
      </c>
      <c r="E1362" s="15" t="s">
        <v>73</v>
      </c>
      <c r="F1362" s="15" t="s">
        <v>912</v>
      </c>
      <c r="G1362" s="15" t="s">
        <v>13044</v>
      </c>
      <c r="H1362" s="15">
        <v>25</v>
      </c>
      <c r="I1362" s="15">
        <v>33</v>
      </c>
      <c r="J1362" s="15">
        <v>70</v>
      </c>
      <c r="K1362" s="15" t="str">
        <f t="shared" si="21"/>
        <v>hellslid</v>
      </c>
      <c r="L1362" s="15" t="s">
        <v>14088</v>
      </c>
      <c r="M1362" s="15">
        <v>3</v>
      </c>
      <c r="N1362" s="15" t="s">
        <v>11223</v>
      </c>
      <c r="O1362" s="15"/>
      <c r="P1362" s="15"/>
      <c r="Q1362" s="15" t="s">
        <v>13036</v>
      </c>
      <c r="R1362" s="15"/>
      <c r="S1362" s="15"/>
      <c r="T1362" s="15">
        <v>0</v>
      </c>
      <c r="U1362" s="15"/>
      <c r="V1362" s="15"/>
      <c r="W1362" s="15"/>
      <c r="X1362" s="15"/>
      <c r="Y1362" s="15"/>
      <c r="Z1362" s="15"/>
    </row>
    <row r="1363" spans="1:26" x14ac:dyDescent="0.25">
      <c r="A1363" s="15" t="s">
        <v>13037</v>
      </c>
      <c r="B1363" s="15">
        <v>1362</v>
      </c>
      <c r="C1363" s="15" t="s">
        <v>11277</v>
      </c>
      <c r="D1363" s="15" t="s">
        <v>11277</v>
      </c>
      <c r="E1363" s="15" t="s">
        <v>73</v>
      </c>
      <c r="F1363" s="15" t="s">
        <v>912</v>
      </c>
      <c r="G1363" s="15" t="s">
        <v>13046</v>
      </c>
      <c r="H1363" s="15">
        <v>25</v>
      </c>
      <c r="I1363" s="15">
        <v>33</v>
      </c>
      <c r="J1363" s="15">
        <v>69</v>
      </c>
      <c r="K1363" s="15" t="str">
        <f t="shared" si="21"/>
        <v>hellslid</v>
      </c>
      <c r="L1363" s="15" t="s">
        <v>11560</v>
      </c>
      <c r="M1363" s="15">
        <v>2</v>
      </c>
      <c r="N1363" s="15" t="s">
        <v>11223</v>
      </c>
      <c r="O1363" s="15"/>
      <c r="P1363" s="15"/>
      <c r="Q1363" s="15"/>
      <c r="R1363" s="15"/>
      <c r="S1363" s="15"/>
      <c r="T1363" s="15">
        <v>0</v>
      </c>
      <c r="U1363" s="15"/>
      <c r="V1363" s="15"/>
      <c r="W1363" s="15"/>
      <c r="X1363" s="15"/>
      <c r="Y1363" s="15"/>
      <c r="Z1363" s="15"/>
    </row>
    <row r="1364" spans="1:26" x14ac:dyDescent="0.25">
      <c r="A1364" s="15" t="s">
        <v>13039</v>
      </c>
      <c r="B1364" s="15">
        <v>1363</v>
      </c>
      <c r="C1364" s="15" t="s">
        <v>11277</v>
      </c>
      <c r="D1364" s="15" t="s">
        <v>11277</v>
      </c>
      <c r="E1364" s="15" t="s">
        <v>73</v>
      </c>
      <c r="F1364" s="15" t="s">
        <v>912</v>
      </c>
      <c r="G1364" s="15" t="s">
        <v>13048</v>
      </c>
      <c r="H1364" s="15">
        <v>25</v>
      </c>
      <c r="I1364" s="15">
        <v>33</v>
      </c>
      <c r="J1364" s="15">
        <v>70</v>
      </c>
      <c r="K1364" s="15" t="str">
        <f t="shared" si="21"/>
        <v>hellslid</v>
      </c>
      <c r="L1364" s="15" t="s">
        <v>14088</v>
      </c>
      <c r="M1364" s="15">
        <v>3</v>
      </c>
      <c r="N1364" s="15" t="s">
        <v>11223</v>
      </c>
      <c r="O1364" s="15" t="s">
        <v>2825</v>
      </c>
      <c r="P1364" s="15"/>
      <c r="Q1364" s="15" t="s">
        <v>13036</v>
      </c>
      <c r="R1364" s="15"/>
      <c r="S1364" s="15"/>
      <c r="T1364" s="15">
        <v>0</v>
      </c>
      <c r="U1364" s="15" t="s">
        <v>6010</v>
      </c>
      <c r="V1364" s="15"/>
      <c r="W1364" s="15"/>
      <c r="X1364" s="15"/>
      <c r="Y1364" s="15"/>
      <c r="Z1364" s="15"/>
    </row>
    <row r="1365" spans="1:26" x14ac:dyDescent="0.25">
      <c r="A1365" s="15" t="s">
        <v>13041</v>
      </c>
      <c r="B1365" s="15">
        <v>1364</v>
      </c>
      <c r="C1365" s="15" t="s">
        <v>11277</v>
      </c>
      <c r="D1365" s="15" t="s">
        <v>11277</v>
      </c>
      <c r="E1365" s="15" t="s">
        <v>73</v>
      </c>
      <c r="F1365" s="15" t="s">
        <v>1901</v>
      </c>
      <c r="G1365" s="15" t="s">
        <v>13020</v>
      </c>
      <c r="H1365" s="15">
        <v>34</v>
      </c>
      <c r="I1365" s="15">
        <v>20</v>
      </c>
      <c r="J1365" s="15">
        <v>62</v>
      </c>
      <c r="K1365" s="15" t="str">
        <f t="shared" si="21"/>
        <v>theisleofbekko</v>
      </c>
      <c r="L1365" s="15" t="s">
        <v>13021</v>
      </c>
      <c r="M1365" s="15">
        <v>1</v>
      </c>
      <c r="N1365" s="15" t="s">
        <v>11222</v>
      </c>
      <c r="O1365" s="15"/>
      <c r="P1365" s="15"/>
      <c r="Q1365" s="15"/>
      <c r="R1365" s="15"/>
      <c r="S1365" s="15"/>
      <c r="T1365" s="15">
        <v>0</v>
      </c>
      <c r="U1365" s="15"/>
      <c r="V1365" s="15"/>
      <c r="W1365" s="15"/>
      <c r="X1365" s="15"/>
      <c r="Y1365" s="15"/>
      <c r="Z1365" s="15"/>
    </row>
    <row r="1366" spans="1:26" x14ac:dyDescent="0.25">
      <c r="A1366" s="15" t="s">
        <v>13043</v>
      </c>
      <c r="B1366" s="15">
        <v>1365</v>
      </c>
      <c r="C1366" s="15" t="s">
        <v>11277</v>
      </c>
      <c r="D1366" s="15" t="s">
        <v>11277</v>
      </c>
      <c r="E1366" s="15" t="s">
        <v>73</v>
      </c>
      <c r="F1366" s="15" t="s">
        <v>1901</v>
      </c>
      <c r="G1366" s="15" t="s">
        <v>13034</v>
      </c>
      <c r="H1366" s="15">
        <v>34</v>
      </c>
      <c r="I1366" s="15">
        <v>20</v>
      </c>
      <c r="J1366" s="15">
        <v>62</v>
      </c>
      <c r="K1366" s="15" t="str">
        <f t="shared" si="21"/>
        <v>theisleofbekko</v>
      </c>
      <c r="L1366" s="15" t="s">
        <v>13021</v>
      </c>
      <c r="M1366" s="15">
        <v>1</v>
      </c>
      <c r="N1366" s="15" t="s">
        <v>11222</v>
      </c>
      <c r="O1366" s="15"/>
      <c r="P1366" s="15"/>
      <c r="Q1366" s="15"/>
      <c r="R1366" s="15"/>
      <c r="S1366" s="15"/>
      <c r="T1366" s="15">
        <v>0</v>
      </c>
      <c r="U1366" s="15"/>
      <c r="V1366" s="15"/>
      <c r="W1366" s="15"/>
      <c r="X1366" s="15"/>
      <c r="Y1366" s="15"/>
      <c r="Z1366" s="15"/>
    </row>
    <row r="1367" spans="1:26" x14ac:dyDescent="0.25">
      <c r="A1367" s="15" t="s">
        <v>13045</v>
      </c>
      <c r="B1367" s="15">
        <v>1366</v>
      </c>
      <c r="C1367" s="15" t="s">
        <v>11277</v>
      </c>
      <c r="D1367" s="15" t="s">
        <v>11277</v>
      </c>
      <c r="E1367" s="15" t="s">
        <v>73</v>
      </c>
      <c r="F1367" s="15" t="s">
        <v>1901</v>
      </c>
      <c r="G1367" s="15" t="s">
        <v>13036</v>
      </c>
      <c r="H1367" s="15">
        <v>34</v>
      </c>
      <c r="I1367" s="15">
        <v>20</v>
      </c>
      <c r="J1367" s="15">
        <v>62</v>
      </c>
      <c r="K1367" s="15" t="str">
        <f t="shared" si="21"/>
        <v>theisleofbekko</v>
      </c>
      <c r="L1367" s="15" t="s">
        <v>13021</v>
      </c>
      <c r="M1367" s="15">
        <v>1</v>
      </c>
      <c r="N1367" s="15" t="s">
        <v>11222</v>
      </c>
      <c r="O1367" s="15"/>
      <c r="P1367" s="15"/>
      <c r="Q1367" s="15"/>
      <c r="R1367" s="15"/>
      <c r="S1367" s="15"/>
      <c r="T1367" s="15">
        <v>0</v>
      </c>
      <c r="U1367" s="15"/>
      <c r="V1367" s="15"/>
      <c r="W1367" s="15"/>
      <c r="X1367" s="15"/>
      <c r="Y1367" s="15"/>
      <c r="Z1367" s="15"/>
    </row>
    <row r="1368" spans="1:26" x14ac:dyDescent="0.25">
      <c r="A1368" s="15" t="s">
        <v>13047</v>
      </c>
      <c r="B1368" s="15">
        <v>1367</v>
      </c>
      <c r="C1368" s="15" t="s">
        <v>11277</v>
      </c>
      <c r="D1368" s="15" t="s">
        <v>11277</v>
      </c>
      <c r="E1368" s="15" t="s">
        <v>73</v>
      </c>
      <c r="F1368" s="15" t="s">
        <v>1901</v>
      </c>
      <c r="G1368" s="15" t="s">
        <v>13050</v>
      </c>
      <c r="H1368" s="15">
        <v>34</v>
      </c>
      <c r="I1368" s="15">
        <v>20</v>
      </c>
      <c r="J1368" s="15">
        <v>63</v>
      </c>
      <c r="K1368" s="15" t="str">
        <f t="shared" si="21"/>
        <v>theisleofbekko</v>
      </c>
      <c r="L1368" s="15" t="s">
        <v>13024</v>
      </c>
      <c r="M1368" s="15">
        <v>2</v>
      </c>
      <c r="N1368" s="15" t="s">
        <v>11223</v>
      </c>
      <c r="O1368" s="15"/>
      <c r="P1368" s="15"/>
      <c r="Q1368" s="15" t="s">
        <v>13036</v>
      </c>
      <c r="R1368" s="15"/>
      <c r="S1368" s="15"/>
      <c r="T1368" s="15">
        <v>0</v>
      </c>
      <c r="U1368" s="15"/>
      <c r="V1368" s="15"/>
      <c r="W1368" s="15"/>
      <c r="X1368" s="15"/>
      <c r="Y1368" s="15"/>
      <c r="Z1368" s="15"/>
    </row>
    <row r="1369" spans="1:26" x14ac:dyDescent="0.25">
      <c r="A1369" s="15" t="s">
        <v>13049</v>
      </c>
      <c r="B1369" s="15">
        <v>1368</v>
      </c>
      <c r="C1369" s="15" t="s">
        <v>11277</v>
      </c>
      <c r="D1369" s="15" t="s">
        <v>11277</v>
      </c>
      <c r="E1369" s="15" t="s">
        <v>73</v>
      </c>
      <c r="F1369" s="15" t="s">
        <v>1901</v>
      </c>
      <c r="G1369" s="15" t="s">
        <v>13052</v>
      </c>
      <c r="H1369" s="15">
        <v>34</v>
      </c>
      <c r="I1369" s="15">
        <v>20</v>
      </c>
      <c r="J1369" s="15">
        <v>68</v>
      </c>
      <c r="K1369" s="15" t="str">
        <f t="shared" si="21"/>
        <v>theisleofbekko</v>
      </c>
      <c r="L1369" s="15" t="s">
        <v>13024</v>
      </c>
      <c r="M1369" s="15">
        <v>2</v>
      </c>
      <c r="N1369" s="15" t="s">
        <v>11223</v>
      </c>
      <c r="O1369" s="15"/>
      <c r="P1369" s="15"/>
      <c r="Q1369" s="15"/>
      <c r="R1369" s="15"/>
      <c r="S1369" s="15"/>
      <c r="T1369" s="15">
        <v>0</v>
      </c>
      <c r="U1369" s="15"/>
      <c r="V1369" s="15"/>
      <c r="W1369" s="15"/>
      <c r="X1369" s="15"/>
      <c r="Y1369" s="15"/>
      <c r="Z1369" s="15"/>
    </row>
    <row r="1370" spans="1:26" x14ac:dyDescent="0.25">
      <c r="A1370" s="15" t="s">
        <v>13051</v>
      </c>
      <c r="B1370" s="15">
        <v>1369</v>
      </c>
      <c r="C1370" s="15" t="s">
        <v>11277</v>
      </c>
      <c r="D1370" s="15" t="s">
        <v>11277</v>
      </c>
      <c r="E1370" s="15" t="s">
        <v>73</v>
      </c>
      <c r="F1370" s="15" t="s">
        <v>1901</v>
      </c>
      <c r="G1370" s="15" t="s">
        <v>13054</v>
      </c>
      <c r="H1370" s="15">
        <v>34</v>
      </c>
      <c r="I1370" s="15">
        <v>20</v>
      </c>
      <c r="J1370" s="15">
        <v>69</v>
      </c>
      <c r="K1370" s="15" t="str">
        <f t="shared" si="21"/>
        <v>theisleofbekko</v>
      </c>
      <c r="L1370" s="15" t="s">
        <v>13024</v>
      </c>
      <c r="M1370" s="15">
        <v>2</v>
      </c>
      <c r="N1370" s="15" t="s">
        <v>11223</v>
      </c>
      <c r="O1370" s="15" t="s">
        <v>14018</v>
      </c>
      <c r="P1370" s="15"/>
      <c r="Q1370" s="15" t="s">
        <v>13036</v>
      </c>
      <c r="R1370" s="15"/>
      <c r="S1370" s="15"/>
      <c r="T1370" s="15">
        <v>0</v>
      </c>
      <c r="U1370" s="15" t="s">
        <v>5893</v>
      </c>
      <c r="V1370" s="15"/>
      <c r="W1370" s="15"/>
      <c r="X1370" s="15"/>
      <c r="Y1370" s="15"/>
      <c r="Z1370" s="15"/>
    </row>
    <row r="1371" spans="1:26" x14ac:dyDescent="0.25">
      <c r="A1371" s="15" t="s">
        <v>13053</v>
      </c>
      <c r="B1371" s="15">
        <v>1370</v>
      </c>
      <c r="C1371" s="15" t="s">
        <v>11277</v>
      </c>
      <c r="D1371" s="15" t="s">
        <v>11277</v>
      </c>
      <c r="E1371" s="15" t="s">
        <v>73</v>
      </c>
      <c r="F1371" s="15" t="s">
        <v>1901</v>
      </c>
      <c r="G1371" s="15" t="s">
        <v>13056</v>
      </c>
      <c r="H1371" s="15">
        <v>34</v>
      </c>
      <c r="I1371" s="15">
        <v>20</v>
      </c>
      <c r="J1371" s="15">
        <v>70</v>
      </c>
      <c r="K1371" s="15" t="str">
        <f t="shared" si="21"/>
        <v>theisleofbekko</v>
      </c>
      <c r="L1371" s="15" t="s">
        <v>13021</v>
      </c>
      <c r="M1371" s="15">
        <v>3</v>
      </c>
      <c r="N1371" s="15" t="s">
        <v>11223</v>
      </c>
      <c r="O1371" s="15"/>
      <c r="P1371" s="15"/>
      <c r="Q1371" s="15"/>
      <c r="R1371" s="15"/>
      <c r="S1371" s="15"/>
      <c r="T1371" s="15">
        <v>2</v>
      </c>
      <c r="U1371" s="15"/>
      <c r="V1371" s="15"/>
      <c r="W1371" s="15"/>
      <c r="X1371" s="15"/>
      <c r="Y1371" s="15"/>
      <c r="Z1371" s="15"/>
    </row>
    <row r="1372" spans="1:26" x14ac:dyDescent="0.25">
      <c r="A1372" s="15" t="s">
        <v>13055</v>
      </c>
      <c r="B1372" s="15">
        <v>1371</v>
      </c>
      <c r="C1372" s="15" t="s">
        <v>11277</v>
      </c>
      <c r="D1372" s="15" t="s">
        <v>11277</v>
      </c>
      <c r="E1372" s="15" t="s">
        <v>102</v>
      </c>
      <c r="F1372" s="15" t="s">
        <v>1901</v>
      </c>
      <c r="G1372" s="15" t="s">
        <v>13058</v>
      </c>
      <c r="H1372" s="15">
        <v>34</v>
      </c>
      <c r="I1372" s="15">
        <v>20</v>
      </c>
      <c r="J1372" s="15">
        <v>74</v>
      </c>
      <c r="K1372" s="15" t="str">
        <f t="shared" si="21"/>
        <v>theisleofbekko</v>
      </c>
      <c r="L1372" s="15" t="s">
        <v>11560</v>
      </c>
      <c r="M1372" s="15">
        <v>1</v>
      </c>
      <c r="N1372" s="15" t="s">
        <v>11222</v>
      </c>
      <c r="O1372" s="15"/>
      <c r="P1372" s="15"/>
      <c r="Q1372" s="15"/>
      <c r="R1372" s="15"/>
      <c r="S1372" s="15"/>
      <c r="T1372" s="15">
        <v>0</v>
      </c>
      <c r="U1372" s="15"/>
      <c r="V1372" s="15"/>
      <c r="W1372" s="15"/>
      <c r="X1372" s="15"/>
      <c r="Y1372" s="15"/>
      <c r="Z1372" s="15"/>
    </row>
    <row r="1373" spans="1:26" x14ac:dyDescent="0.25">
      <c r="A1373" s="15" t="s">
        <v>13057</v>
      </c>
      <c r="B1373" s="15">
        <v>1372</v>
      </c>
      <c r="C1373" s="15" t="s">
        <v>11277</v>
      </c>
      <c r="D1373" s="15" t="s">
        <v>11277</v>
      </c>
      <c r="E1373" s="15" t="s">
        <v>73</v>
      </c>
      <c r="F1373" s="15" t="s">
        <v>1901</v>
      </c>
      <c r="G1373" s="15" t="s">
        <v>13060</v>
      </c>
      <c r="H1373" s="15">
        <v>34</v>
      </c>
      <c r="I1373" s="15">
        <v>20</v>
      </c>
      <c r="J1373" s="15">
        <v>70</v>
      </c>
      <c r="K1373" s="15" t="str">
        <f t="shared" si="21"/>
        <v>theisleofbekko</v>
      </c>
      <c r="L1373" s="15" t="s">
        <v>13024</v>
      </c>
      <c r="M1373" s="15">
        <v>3</v>
      </c>
      <c r="N1373" s="15" t="s">
        <v>11223</v>
      </c>
      <c r="O1373" s="15" t="s">
        <v>14018</v>
      </c>
      <c r="P1373" s="15"/>
      <c r="Q1373" s="15"/>
      <c r="R1373" s="15"/>
      <c r="S1373" s="15"/>
      <c r="T1373" s="15">
        <v>0</v>
      </c>
      <c r="U1373" s="15" t="s">
        <v>6010</v>
      </c>
      <c r="V1373" s="15"/>
      <c r="W1373" s="15"/>
      <c r="X1373" s="15" t="s">
        <v>5892</v>
      </c>
      <c r="Y1373" s="15"/>
      <c r="Z1373" s="15"/>
    </row>
    <row r="1374" spans="1:26" x14ac:dyDescent="0.25">
      <c r="A1374" s="15" t="s">
        <v>13059</v>
      </c>
      <c r="B1374" s="15">
        <v>1373</v>
      </c>
      <c r="C1374" s="15" t="s">
        <v>11277</v>
      </c>
      <c r="D1374" s="15" t="s">
        <v>11277</v>
      </c>
      <c r="E1374" s="15" t="s">
        <v>73</v>
      </c>
      <c r="F1374" s="15" t="s">
        <v>1913</v>
      </c>
      <c r="G1374" s="15" t="s">
        <v>13020</v>
      </c>
      <c r="H1374" s="15">
        <v>32.5</v>
      </c>
      <c r="I1374" s="15">
        <v>8.3000000000000007</v>
      </c>
      <c r="J1374" s="15">
        <v>62</v>
      </c>
      <c r="K1374" s="15" t="str">
        <f t="shared" si="21"/>
        <v>shoalrock</v>
      </c>
      <c r="L1374" s="15" t="s">
        <v>13021</v>
      </c>
      <c r="M1374" s="15">
        <v>1</v>
      </c>
      <c r="N1374" s="15" t="s">
        <v>11222</v>
      </c>
      <c r="O1374" s="15"/>
      <c r="P1374" s="15"/>
      <c r="Q1374" s="15"/>
      <c r="R1374" s="15"/>
      <c r="S1374" s="15"/>
      <c r="T1374" s="15">
        <v>0</v>
      </c>
      <c r="U1374" s="15"/>
      <c r="V1374" s="15"/>
      <c r="W1374" s="15"/>
      <c r="X1374" s="15"/>
      <c r="Y1374" s="15"/>
      <c r="Z1374" s="15"/>
    </row>
    <row r="1375" spans="1:26" x14ac:dyDescent="0.25">
      <c r="A1375" s="15" t="s">
        <v>13061</v>
      </c>
      <c r="B1375" s="15">
        <v>1374</v>
      </c>
      <c r="C1375" s="15" t="s">
        <v>11277</v>
      </c>
      <c r="D1375" s="15" t="s">
        <v>11277</v>
      </c>
      <c r="E1375" s="15" t="s">
        <v>73</v>
      </c>
      <c r="F1375" s="15" t="s">
        <v>1913</v>
      </c>
      <c r="G1375" s="15" t="s">
        <v>13062</v>
      </c>
      <c r="H1375" s="15">
        <v>32.5</v>
      </c>
      <c r="I1375" s="15">
        <v>8.3000000000000007</v>
      </c>
      <c r="J1375" s="15">
        <v>62</v>
      </c>
      <c r="K1375" s="15" t="str">
        <f t="shared" si="21"/>
        <v>shoalrock</v>
      </c>
      <c r="L1375" s="15" t="s">
        <v>13063</v>
      </c>
      <c r="M1375" s="15">
        <v>1</v>
      </c>
      <c r="N1375" s="15" t="s">
        <v>11222</v>
      </c>
      <c r="O1375" s="15"/>
      <c r="P1375" s="15"/>
      <c r="Q1375" s="15"/>
      <c r="R1375" s="15"/>
      <c r="S1375" s="15"/>
      <c r="T1375" s="15">
        <v>0</v>
      </c>
      <c r="U1375" s="15"/>
      <c r="V1375" s="15"/>
      <c r="W1375" s="15"/>
      <c r="X1375" s="15"/>
      <c r="Y1375" s="15"/>
      <c r="Z1375" s="15"/>
    </row>
    <row r="1376" spans="1:26" x14ac:dyDescent="0.25">
      <c r="A1376" s="15" t="s">
        <v>13064</v>
      </c>
      <c r="B1376" s="15">
        <v>1375</v>
      </c>
      <c r="C1376" s="15" t="s">
        <v>11277</v>
      </c>
      <c r="D1376" s="15" t="s">
        <v>11277</v>
      </c>
      <c r="E1376" s="15" t="s">
        <v>73</v>
      </c>
      <c r="F1376" s="15" t="s">
        <v>1913</v>
      </c>
      <c r="G1376" s="15" t="s">
        <v>13065</v>
      </c>
      <c r="H1376" s="15">
        <v>32.5</v>
      </c>
      <c r="I1376" s="15">
        <v>8.3000000000000007</v>
      </c>
      <c r="J1376" s="15">
        <v>62</v>
      </c>
      <c r="K1376" s="15" t="str">
        <f t="shared" si="21"/>
        <v>shoalrock</v>
      </c>
      <c r="L1376" s="15" t="s">
        <v>13063</v>
      </c>
      <c r="M1376" s="15">
        <v>1</v>
      </c>
      <c r="N1376" s="15" t="s">
        <v>11222</v>
      </c>
      <c r="O1376" s="15"/>
      <c r="P1376" s="15"/>
      <c r="Q1376" s="15"/>
      <c r="R1376" s="15"/>
      <c r="S1376" s="15"/>
      <c r="T1376" s="15">
        <v>0</v>
      </c>
      <c r="U1376" s="15"/>
      <c r="V1376" s="15"/>
      <c r="W1376" s="15"/>
      <c r="X1376" s="15"/>
      <c r="Y1376" s="15"/>
      <c r="Z1376" s="15"/>
    </row>
    <row r="1377" spans="1:26" x14ac:dyDescent="0.25">
      <c r="A1377" s="15" t="s">
        <v>13066</v>
      </c>
      <c r="B1377" s="15">
        <v>1376</v>
      </c>
      <c r="C1377" s="15" t="s">
        <v>11277</v>
      </c>
      <c r="D1377" s="15" t="s">
        <v>11277</v>
      </c>
      <c r="E1377" s="15" t="s">
        <v>73</v>
      </c>
      <c r="F1377" s="15" t="s">
        <v>1913</v>
      </c>
      <c r="G1377" s="15" t="s">
        <v>13067</v>
      </c>
      <c r="H1377" s="15">
        <v>32.5</v>
      </c>
      <c r="I1377" s="15">
        <v>8.3000000000000007</v>
      </c>
      <c r="J1377" s="15">
        <v>62</v>
      </c>
      <c r="K1377" s="15" t="str">
        <f t="shared" si="21"/>
        <v>shoalrock</v>
      </c>
      <c r="L1377" s="15" t="s">
        <v>13063</v>
      </c>
      <c r="M1377" s="15">
        <v>1</v>
      </c>
      <c r="N1377" s="15" t="s">
        <v>11222</v>
      </c>
      <c r="O1377" s="15"/>
      <c r="P1377" s="15"/>
      <c r="Q1377" s="15"/>
      <c r="R1377" s="15"/>
      <c r="S1377" s="15"/>
      <c r="T1377" s="15">
        <v>0</v>
      </c>
      <c r="U1377" s="15"/>
      <c r="V1377" s="15"/>
      <c r="W1377" s="15"/>
      <c r="X1377" s="15"/>
      <c r="Y1377" s="15"/>
      <c r="Z1377" s="15"/>
    </row>
    <row r="1378" spans="1:26" x14ac:dyDescent="0.25">
      <c r="A1378" s="15" t="s">
        <v>13068</v>
      </c>
      <c r="B1378" s="15">
        <v>1377</v>
      </c>
      <c r="C1378" s="15" t="s">
        <v>11277</v>
      </c>
      <c r="D1378" s="15" t="s">
        <v>11277</v>
      </c>
      <c r="E1378" s="15" t="s">
        <v>73</v>
      </c>
      <c r="F1378" s="15" t="s">
        <v>1913</v>
      </c>
      <c r="G1378" s="15" t="s">
        <v>13069</v>
      </c>
      <c r="H1378" s="15">
        <v>32.5</v>
      </c>
      <c r="I1378" s="15">
        <v>8.3000000000000007</v>
      </c>
      <c r="J1378" s="15">
        <v>63</v>
      </c>
      <c r="K1378" s="15" t="str">
        <f t="shared" si="21"/>
        <v>shoalrock</v>
      </c>
      <c r="L1378" s="15" t="s">
        <v>13024</v>
      </c>
      <c r="M1378" s="15">
        <v>2</v>
      </c>
      <c r="N1378" s="15" t="s">
        <v>11223</v>
      </c>
      <c r="O1378" s="15"/>
      <c r="P1378" s="15"/>
      <c r="Q1378" s="15"/>
      <c r="R1378" s="15"/>
      <c r="S1378" s="15"/>
      <c r="T1378" s="15">
        <v>0</v>
      </c>
      <c r="U1378" s="15"/>
      <c r="V1378" s="15"/>
      <c r="W1378" s="15"/>
      <c r="X1378" s="15"/>
      <c r="Y1378" s="15"/>
      <c r="Z1378" s="15"/>
    </row>
    <row r="1379" spans="1:26" x14ac:dyDescent="0.25">
      <c r="A1379" s="15" t="s">
        <v>13070</v>
      </c>
      <c r="B1379" s="15">
        <v>1378</v>
      </c>
      <c r="C1379" s="15" t="s">
        <v>11277</v>
      </c>
      <c r="D1379" s="15" t="s">
        <v>11277</v>
      </c>
      <c r="E1379" s="15" t="s">
        <v>73</v>
      </c>
      <c r="F1379" s="15" t="s">
        <v>1913</v>
      </c>
      <c r="G1379" s="15" t="s">
        <v>13071</v>
      </c>
      <c r="H1379" s="15">
        <v>32.5</v>
      </c>
      <c r="I1379" s="15">
        <v>8.3000000000000007</v>
      </c>
      <c r="J1379" s="15">
        <v>70</v>
      </c>
      <c r="K1379" s="15" t="str">
        <f t="shared" si="21"/>
        <v>shoalrock</v>
      </c>
      <c r="L1379" s="15" t="s">
        <v>13024</v>
      </c>
      <c r="M1379" s="15">
        <v>2</v>
      </c>
      <c r="N1379" s="15" t="s">
        <v>11223</v>
      </c>
      <c r="O1379" s="15"/>
      <c r="P1379" s="15"/>
      <c r="Q1379" s="15"/>
      <c r="R1379" s="15"/>
      <c r="S1379" s="15"/>
      <c r="T1379" s="15">
        <v>0</v>
      </c>
      <c r="U1379" s="15"/>
      <c r="V1379" s="15"/>
      <c r="W1379" s="15"/>
      <c r="X1379" s="15"/>
      <c r="Y1379" s="15"/>
      <c r="Z1379" s="15"/>
    </row>
    <row r="1380" spans="1:26" x14ac:dyDescent="0.25">
      <c r="A1380" s="15" t="s">
        <v>13072</v>
      </c>
      <c r="B1380" s="15">
        <v>1379</v>
      </c>
      <c r="C1380" s="15" t="s">
        <v>11277</v>
      </c>
      <c r="D1380" s="15" t="s">
        <v>11277</v>
      </c>
      <c r="E1380" s="15" t="s">
        <v>73</v>
      </c>
      <c r="F1380" s="15" t="s">
        <v>1913</v>
      </c>
      <c r="G1380" s="15" t="s">
        <v>13073</v>
      </c>
      <c r="H1380" s="15">
        <v>32.5</v>
      </c>
      <c r="I1380" s="15">
        <v>8.3000000000000007</v>
      </c>
      <c r="J1380" s="15">
        <v>67</v>
      </c>
      <c r="K1380" s="15" t="str">
        <f t="shared" si="21"/>
        <v>shoalrock</v>
      </c>
      <c r="L1380" s="15" t="s">
        <v>13021</v>
      </c>
      <c r="M1380" s="15">
        <v>1</v>
      </c>
      <c r="N1380" s="15" t="s">
        <v>11222</v>
      </c>
      <c r="O1380" s="15"/>
      <c r="P1380" s="15"/>
      <c r="Q1380" s="15"/>
      <c r="R1380" s="15"/>
      <c r="S1380" s="15"/>
      <c r="T1380" s="15">
        <v>0</v>
      </c>
      <c r="U1380" s="15"/>
      <c r="V1380" s="15"/>
      <c r="W1380" s="15"/>
      <c r="X1380" s="15"/>
      <c r="Y1380" s="15"/>
      <c r="Z1380" s="15"/>
    </row>
    <row r="1381" spans="1:26" x14ac:dyDescent="0.25">
      <c r="A1381" s="15" t="s">
        <v>13074</v>
      </c>
      <c r="B1381" s="15">
        <v>1380</v>
      </c>
      <c r="C1381" s="15" t="s">
        <v>11277</v>
      </c>
      <c r="D1381" s="15" t="s">
        <v>11277</v>
      </c>
      <c r="E1381" s="15" t="s">
        <v>73</v>
      </c>
      <c r="F1381" s="15" t="s">
        <v>1913</v>
      </c>
      <c r="G1381" s="15" t="s">
        <v>13075</v>
      </c>
      <c r="H1381" s="15">
        <v>32.5</v>
      </c>
      <c r="I1381" s="15">
        <v>8.3000000000000007</v>
      </c>
      <c r="J1381" s="15">
        <v>70</v>
      </c>
      <c r="K1381" s="15" t="str">
        <f t="shared" si="21"/>
        <v>shoalrock</v>
      </c>
      <c r="L1381" s="15" t="s">
        <v>13024</v>
      </c>
      <c r="M1381" s="15">
        <v>3</v>
      </c>
      <c r="N1381" s="15" t="s">
        <v>11223</v>
      </c>
      <c r="O1381" s="15" t="s">
        <v>2821</v>
      </c>
      <c r="P1381" s="15"/>
      <c r="Q1381" s="15"/>
      <c r="R1381" s="15"/>
      <c r="S1381" s="15"/>
      <c r="T1381" s="15">
        <v>0</v>
      </c>
      <c r="U1381" s="15"/>
      <c r="V1381" s="15"/>
      <c r="W1381" s="15"/>
      <c r="X1381" s="15"/>
      <c r="Y1381" s="15"/>
      <c r="Z1381" s="15"/>
    </row>
    <row r="1382" spans="1:26" x14ac:dyDescent="0.25">
      <c r="A1382" s="15" t="s">
        <v>13076</v>
      </c>
      <c r="B1382" s="15">
        <v>1381</v>
      </c>
      <c r="C1382" s="15" t="s">
        <v>11277</v>
      </c>
      <c r="D1382" s="15" t="s">
        <v>11277</v>
      </c>
      <c r="E1382" s="15" t="s">
        <v>73</v>
      </c>
      <c r="F1382" s="15" t="s">
        <v>1903</v>
      </c>
      <c r="G1382" s="15" t="s">
        <v>13036</v>
      </c>
      <c r="H1382" s="15">
        <v>22.1</v>
      </c>
      <c r="I1382" s="15">
        <v>11</v>
      </c>
      <c r="J1382" s="15">
        <v>62</v>
      </c>
      <c r="K1382" s="15" t="str">
        <f t="shared" si="21"/>
        <v>onokoro</v>
      </c>
      <c r="L1382" s="15" t="s">
        <v>13021</v>
      </c>
      <c r="M1382" s="15">
        <v>1</v>
      </c>
      <c r="N1382" s="15" t="s">
        <v>11222</v>
      </c>
      <c r="O1382" s="15"/>
      <c r="P1382" s="15"/>
      <c r="Q1382" s="15"/>
      <c r="R1382" s="15"/>
      <c r="S1382" s="15"/>
      <c r="T1382" s="15">
        <v>0</v>
      </c>
      <c r="U1382" s="15"/>
      <c r="V1382" s="15"/>
      <c r="W1382" s="15"/>
      <c r="X1382" s="15"/>
      <c r="Y1382" s="15"/>
      <c r="Z1382" s="15"/>
    </row>
    <row r="1383" spans="1:26" x14ac:dyDescent="0.25">
      <c r="A1383" s="15" t="s">
        <v>13078</v>
      </c>
      <c r="B1383" s="15">
        <v>1382</v>
      </c>
      <c r="C1383" s="15" t="s">
        <v>11277</v>
      </c>
      <c r="D1383" s="15" t="s">
        <v>11277</v>
      </c>
      <c r="E1383" s="15" t="s">
        <v>73</v>
      </c>
      <c r="F1383" s="15" t="s">
        <v>1903</v>
      </c>
      <c r="G1383" s="15" t="s">
        <v>13077</v>
      </c>
      <c r="H1383" s="15">
        <v>22.1</v>
      </c>
      <c r="I1383" s="15">
        <v>11</v>
      </c>
      <c r="J1383" s="15">
        <v>63</v>
      </c>
      <c r="K1383" s="15" t="str">
        <f t="shared" si="21"/>
        <v>onokoro</v>
      </c>
      <c r="L1383" s="15" t="s">
        <v>13021</v>
      </c>
      <c r="M1383" s="15">
        <v>1</v>
      </c>
      <c r="N1383" s="15" t="s">
        <v>11222</v>
      </c>
      <c r="O1383" s="15"/>
      <c r="P1383" s="15"/>
      <c r="Q1383" s="15" t="s">
        <v>13036</v>
      </c>
      <c r="R1383" s="15"/>
      <c r="S1383" s="15"/>
      <c r="T1383" s="15">
        <v>0</v>
      </c>
      <c r="U1383" s="15"/>
      <c r="V1383" s="15"/>
      <c r="W1383" s="15"/>
      <c r="X1383" s="15"/>
      <c r="Y1383" s="15"/>
      <c r="Z1383" s="15"/>
    </row>
    <row r="1384" spans="1:26" x14ac:dyDescent="0.25">
      <c r="A1384" s="15" t="s">
        <v>13080</v>
      </c>
      <c r="B1384" s="15">
        <v>1383</v>
      </c>
      <c r="C1384" s="15" t="s">
        <v>11277</v>
      </c>
      <c r="D1384" s="15" t="s">
        <v>11277</v>
      </c>
      <c r="E1384" s="15" t="s">
        <v>73</v>
      </c>
      <c r="F1384" s="15" t="s">
        <v>1903</v>
      </c>
      <c r="G1384" s="15" t="s">
        <v>13079</v>
      </c>
      <c r="H1384" s="15">
        <v>22.1</v>
      </c>
      <c r="I1384" s="15">
        <v>11</v>
      </c>
      <c r="J1384" s="15">
        <v>63</v>
      </c>
      <c r="K1384" s="15" t="str">
        <f t="shared" si="21"/>
        <v>onokoro</v>
      </c>
      <c r="L1384" s="15" t="s">
        <v>13063</v>
      </c>
      <c r="M1384" s="15">
        <v>2</v>
      </c>
      <c r="N1384" s="15" t="s">
        <v>11223</v>
      </c>
      <c r="O1384" s="15"/>
      <c r="P1384" s="15"/>
      <c r="Q1384" s="15" t="s">
        <v>13036</v>
      </c>
      <c r="R1384" s="15"/>
      <c r="S1384" s="15"/>
      <c r="T1384" s="15">
        <v>0</v>
      </c>
      <c r="U1384" s="15"/>
      <c r="V1384" s="15"/>
      <c r="W1384" s="15"/>
      <c r="X1384" s="15"/>
      <c r="Y1384" s="15"/>
      <c r="Z1384" s="15"/>
    </row>
    <row r="1385" spans="1:26" x14ac:dyDescent="0.25">
      <c r="A1385" s="15" t="s">
        <v>13082</v>
      </c>
      <c r="B1385" s="15">
        <v>1384</v>
      </c>
      <c r="C1385" s="15" t="s">
        <v>11277</v>
      </c>
      <c r="D1385" s="15" t="s">
        <v>11277</v>
      </c>
      <c r="E1385" s="15" t="s">
        <v>73</v>
      </c>
      <c r="F1385" s="15" t="s">
        <v>1903</v>
      </c>
      <c r="G1385" s="15" t="s">
        <v>13081</v>
      </c>
      <c r="H1385" s="15">
        <v>22.1</v>
      </c>
      <c r="I1385" s="15">
        <v>11</v>
      </c>
      <c r="J1385" s="15">
        <v>70</v>
      </c>
      <c r="K1385" s="15" t="str">
        <f t="shared" si="21"/>
        <v>onokoro</v>
      </c>
      <c r="L1385" s="15" t="s">
        <v>13024</v>
      </c>
      <c r="M1385" s="15">
        <v>2</v>
      </c>
      <c r="N1385" s="15" t="s">
        <v>11223</v>
      </c>
      <c r="O1385" s="15"/>
      <c r="P1385" s="15"/>
      <c r="Q1385" s="15"/>
      <c r="R1385" s="15"/>
      <c r="S1385" s="15"/>
      <c r="T1385" s="15">
        <v>0</v>
      </c>
      <c r="U1385" s="15"/>
      <c r="V1385" s="15"/>
      <c r="W1385" s="15"/>
      <c r="X1385" s="15"/>
      <c r="Y1385" s="15"/>
      <c r="Z1385" s="15"/>
    </row>
    <row r="1386" spans="1:26" x14ac:dyDescent="0.25">
      <c r="A1386" s="15" t="s">
        <v>13084</v>
      </c>
      <c r="B1386" s="15">
        <v>1385</v>
      </c>
      <c r="C1386" s="15" t="s">
        <v>11277</v>
      </c>
      <c r="D1386" s="15" t="s">
        <v>11277</v>
      </c>
      <c r="E1386" s="15" t="s">
        <v>73</v>
      </c>
      <c r="F1386" s="15" t="s">
        <v>1903</v>
      </c>
      <c r="G1386" s="15" t="s">
        <v>13083</v>
      </c>
      <c r="H1386" s="15">
        <v>22.1</v>
      </c>
      <c r="I1386" s="15">
        <v>11</v>
      </c>
      <c r="J1386" s="15">
        <v>70</v>
      </c>
      <c r="K1386" s="15" t="str">
        <f t="shared" si="21"/>
        <v>onokoro</v>
      </c>
      <c r="L1386" s="15" t="s">
        <v>13024</v>
      </c>
      <c r="M1386" s="15">
        <v>3</v>
      </c>
      <c r="N1386" s="15" t="s">
        <v>11223</v>
      </c>
      <c r="O1386" s="15" t="s">
        <v>14006</v>
      </c>
      <c r="P1386" s="15"/>
      <c r="Q1386" s="15"/>
      <c r="R1386" s="15"/>
      <c r="S1386" s="15"/>
      <c r="T1386" s="15">
        <v>0</v>
      </c>
      <c r="U1386" s="15" t="s">
        <v>14151</v>
      </c>
      <c r="V1386" s="15"/>
      <c r="W1386" s="15"/>
      <c r="X1386" s="15"/>
      <c r="Y1386" s="15"/>
      <c r="Z1386" s="15"/>
    </row>
    <row r="1387" spans="1:26" x14ac:dyDescent="0.25">
      <c r="A1387" s="15" t="s">
        <v>13086</v>
      </c>
      <c r="B1387" s="15">
        <v>1386</v>
      </c>
      <c r="C1387" s="15" t="s">
        <v>11277</v>
      </c>
      <c r="D1387" s="15" t="s">
        <v>11277</v>
      </c>
      <c r="E1387" s="15" t="s">
        <v>73</v>
      </c>
      <c r="F1387" s="15" t="s">
        <v>1903</v>
      </c>
      <c r="G1387" s="15" t="s">
        <v>13085</v>
      </c>
      <c r="H1387" s="15">
        <v>22.1</v>
      </c>
      <c r="I1387" s="15">
        <v>11</v>
      </c>
      <c r="J1387" s="15">
        <v>72</v>
      </c>
      <c r="K1387" s="15" t="str">
        <f t="shared" si="21"/>
        <v>onokoro</v>
      </c>
      <c r="L1387" s="15" t="s">
        <v>11560</v>
      </c>
      <c r="M1387" s="15">
        <v>2</v>
      </c>
      <c r="N1387" s="15" t="s">
        <v>11223</v>
      </c>
      <c r="O1387" s="15"/>
      <c r="P1387" s="15"/>
      <c r="Q1387" s="15"/>
      <c r="R1387" s="15"/>
      <c r="S1387" s="15"/>
      <c r="T1387" s="15">
        <v>0</v>
      </c>
      <c r="U1387" s="15"/>
      <c r="V1387" s="15"/>
      <c r="W1387" s="15"/>
      <c r="X1387" s="15"/>
      <c r="Y1387" s="15"/>
      <c r="Z1387" s="15"/>
    </row>
    <row r="1388" spans="1:26" x14ac:dyDescent="0.25">
      <c r="A1388" s="15" t="s">
        <v>13088</v>
      </c>
      <c r="B1388" s="15">
        <v>1387</v>
      </c>
      <c r="C1388" s="15" t="s">
        <v>11277</v>
      </c>
      <c r="D1388" s="15" t="s">
        <v>11277</v>
      </c>
      <c r="E1388" s="15" t="s">
        <v>73</v>
      </c>
      <c r="F1388" s="15" t="s">
        <v>1903</v>
      </c>
      <c r="G1388" s="15" t="s">
        <v>13087</v>
      </c>
      <c r="H1388" s="15">
        <v>22.1</v>
      </c>
      <c r="I1388" s="15">
        <v>11</v>
      </c>
      <c r="J1388" s="15">
        <v>70</v>
      </c>
      <c r="K1388" s="15" t="str">
        <f t="shared" si="21"/>
        <v>onokoro</v>
      </c>
      <c r="L1388" s="15" t="s">
        <v>14088</v>
      </c>
      <c r="M1388" s="15">
        <v>3</v>
      </c>
      <c r="N1388" s="15" t="s">
        <v>11223</v>
      </c>
      <c r="O1388" s="15"/>
      <c r="P1388" s="15"/>
      <c r="Q1388" s="15" t="s">
        <v>13036</v>
      </c>
      <c r="R1388" s="15"/>
      <c r="S1388" s="15"/>
      <c r="T1388" s="15">
        <v>3</v>
      </c>
      <c r="U1388" s="15" t="s">
        <v>14151</v>
      </c>
      <c r="V1388" s="15"/>
      <c r="W1388" s="15"/>
      <c r="X1388" s="15"/>
      <c r="Y1388" s="15"/>
      <c r="Z1388" s="15"/>
    </row>
    <row r="1389" spans="1:26" x14ac:dyDescent="0.25">
      <c r="A1389" s="15" t="s">
        <v>13090</v>
      </c>
      <c r="B1389" s="15">
        <v>1388</v>
      </c>
      <c r="C1389" s="15" t="s">
        <v>11277</v>
      </c>
      <c r="D1389" s="15" t="s">
        <v>11277</v>
      </c>
      <c r="E1389" s="15" t="s">
        <v>73</v>
      </c>
      <c r="F1389" s="15" t="s">
        <v>1928</v>
      </c>
      <c r="G1389" s="15" t="s">
        <v>13023</v>
      </c>
      <c r="H1389" s="15">
        <v>8</v>
      </c>
      <c r="I1389" s="15">
        <v>11</v>
      </c>
      <c r="J1389" s="15">
        <v>62</v>
      </c>
      <c r="K1389" s="15" t="str">
        <f t="shared" si="21"/>
        <v>isari</v>
      </c>
      <c r="L1389" s="15" t="s">
        <v>13024</v>
      </c>
      <c r="M1389" s="15">
        <v>2</v>
      </c>
      <c r="N1389" s="15" t="s">
        <v>11223</v>
      </c>
      <c r="O1389" s="15"/>
      <c r="P1389" s="15"/>
      <c r="Q1389" s="15"/>
      <c r="R1389" s="15"/>
      <c r="S1389" s="15"/>
      <c r="T1389" s="15">
        <v>0</v>
      </c>
      <c r="U1389" s="15"/>
      <c r="V1389" s="15"/>
      <c r="W1389" s="15"/>
      <c r="X1389" s="15"/>
      <c r="Y1389" s="15"/>
      <c r="Z1389" s="15"/>
    </row>
    <row r="1390" spans="1:26" x14ac:dyDescent="0.25">
      <c r="A1390" s="15" t="s">
        <v>13092</v>
      </c>
      <c r="B1390" s="15">
        <v>1389</v>
      </c>
      <c r="C1390" s="15" t="s">
        <v>11277</v>
      </c>
      <c r="D1390" s="15" t="s">
        <v>11277</v>
      </c>
      <c r="E1390" s="15" t="s">
        <v>73</v>
      </c>
      <c r="F1390" s="15" t="s">
        <v>1928</v>
      </c>
      <c r="G1390" s="15" t="s">
        <v>13089</v>
      </c>
      <c r="H1390" s="15">
        <v>8</v>
      </c>
      <c r="I1390" s="15">
        <v>11</v>
      </c>
      <c r="J1390" s="15">
        <v>63</v>
      </c>
      <c r="K1390" s="15" t="str">
        <f t="shared" si="21"/>
        <v>isari</v>
      </c>
      <c r="L1390" s="15" t="s">
        <v>13021</v>
      </c>
      <c r="M1390" s="15">
        <v>2</v>
      </c>
      <c r="N1390" s="15" t="s">
        <v>11223</v>
      </c>
      <c r="O1390" s="15"/>
      <c r="P1390" s="15"/>
      <c r="Q1390" s="15"/>
      <c r="R1390" s="15"/>
      <c r="S1390" s="15"/>
      <c r="T1390" s="15">
        <v>0</v>
      </c>
      <c r="U1390" s="15"/>
      <c r="V1390" s="15"/>
      <c r="W1390" s="15"/>
      <c r="X1390" s="15"/>
      <c r="Y1390" s="15"/>
      <c r="Z1390" s="15"/>
    </row>
    <row r="1391" spans="1:26" x14ac:dyDescent="0.25">
      <c r="A1391" s="15" t="s">
        <v>13094</v>
      </c>
      <c r="B1391" s="15">
        <v>1390</v>
      </c>
      <c r="C1391" s="15" t="s">
        <v>11277</v>
      </c>
      <c r="D1391" s="15" t="s">
        <v>11277</v>
      </c>
      <c r="E1391" s="15" t="s">
        <v>73</v>
      </c>
      <c r="F1391" s="15" t="s">
        <v>1928</v>
      </c>
      <c r="G1391" s="15" t="s">
        <v>13091</v>
      </c>
      <c r="H1391" s="15">
        <v>8</v>
      </c>
      <c r="I1391" s="15">
        <v>11</v>
      </c>
      <c r="J1391" s="15">
        <v>63</v>
      </c>
      <c r="K1391" s="15" t="str">
        <f t="shared" si="21"/>
        <v>isari</v>
      </c>
      <c r="L1391" s="15" t="s">
        <v>13021</v>
      </c>
      <c r="M1391" s="15">
        <v>2</v>
      </c>
      <c r="N1391" s="15" t="s">
        <v>11223</v>
      </c>
      <c r="O1391" s="15"/>
      <c r="P1391" s="15"/>
      <c r="Q1391" s="15"/>
      <c r="R1391" s="15"/>
      <c r="S1391" s="15"/>
      <c r="T1391" s="15">
        <v>0</v>
      </c>
      <c r="U1391" s="15"/>
      <c r="V1391" s="15"/>
      <c r="W1391" s="15"/>
      <c r="X1391" s="15"/>
      <c r="Y1391" s="15"/>
      <c r="Z1391" s="15"/>
    </row>
    <row r="1392" spans="1:26" x14ac:dyDescent="0.25">
      <c r="A1392" s="15" t="s">
        <v>13096</v>
      </c>
      <c r="B1392" s="15">
        <v>1391</v>
      </c>
      <c r="C1392" s="15" t="s">
        <v>11277</v>
      </c>
      <c r="D1392" s="15" t="s">
        <v>11277</v>
      </c>
      <c r="E1392" s="15" t="s">
        <v>73</v>
      </c>
      <c r="F1392" s="15" t="s">
        <v>1928</v>
      </c>
      <c r="G1392" s="15" t="s">
        <v>13093</v>
      </c>
      <c r="H1392" s="15">
        <v>8</v>
      </c>
      <c r="I1392" s="15">
        <v>11</v>
      </c>
      <c r="J1392" s="15">
        <v>63</v>
      </c>
      <c r="K1392" s="15" t="str">
        <f t="shared" si="21"/>
        <v>isari</v>
      </c>
      <c r="L1392" s="15" t="s">
        <v>13021</v>
      </c>
      <c r="M1392" s="15">
        <v>2</v>
      </c>
      <c r="N1392" s="15" t="s">
        <v>11223</v>
      </c>
      <c r="O1392" s="15"/>
      <c r="P1392" s="15"/>
      <c r="Q1392" s="15"/>
      <c r="R1392" s="15"/>
      <c r="S1392" s="15"/>
      <c r="T1392" s="15">
        <v>0</v>
      </c>
      <c r="U1392" s="15"/>
      <c r="V1392" s="15"/>
      <c r="W1392" s="15"/>
      <c r="X1392" s="15"/>
      <c r="Y1392" s="15"/>
      <c r="Z1392" s="15"/>
    </row>
    <row r="1393" spans="1:26" x14ac:dyDescent="0.25">
      <c r="A1393" s="15" t="s">
        <v>13098</v>
      </c>
      <c r="B1393" s="15">
        <v>1392</v>
      </c>
      <c r="C1393" s="15" t="s">
        <v>11277</v>
      </c>
      <c r="D1393" s="15" t="s">
        <v>11277</v>
      </c>
      <c r="E1393" s="15" t="s">
        <v>73</v>
      </c>
      <c r="F1393" s="15" t="s">
        <v>1928</v>
      </c>
      <c r="G1393" s="15" t="s">
        <v>13095</v>
      </c>
      <c r="H1393" s="15">
        <v>8</v>
      </c>
      <c r="I1393" s="15">
        <v>11</v>
      </c>
      <c r="J1393" s="15">
        <v>64</v>
      </c>
      <c r="K1393" s="15" t="str">
        <f t="shared" si="21"/>
        <v>isari</v>
      </c>
      <c r="L1393" s="15" t="s">
        <v>13024</v>
      </c>
      <c r="M1393" s="15">
        <v>2</v>
      </c>
      <c r="N1393" s="15" t="s">
        <v>11223</v>
      </c>
      <c r="O1393" s="15"/>
      <c r="P1393" s="15"/>
      <c r="Q1393" s="15"/>
      <c r="R1393" s="15"/>
      <c r="S1393" s="15"/>
      <c r="T1393" s="15">
        <v>0</v>
      </c>
      <c r="U1393" s="15"/>
      <c r="V1393" s="15"/>
      <c r="W1393" s="15"/>
      <c r="X1393" s="15"/>
      <c r="Y1393" s="15"/>
      <c r="Z1393" s="15"/>
    </row>
    <row r="1394" spans="1:26" x14ac:dyDescent="0.25">
      <c r="A1394" s="15" t="s">
        <v>13100</v>
      </c>
      <c r="B1394" s="15">
        <v>1393</v>
      </c>
      <c r="C1394" s="15" t="s">
        <v>11277</v>
      </c>
      <c r="D1394" s="15" t="s">
        <v>11277</v>
      </c>
      <c r="E1394" s="15" t="s">
        <v>73</v>
      </c>
      <c r="F1394" s="15" t="s">
        <v>1928</v>
      </c>
      <c r="G1394" s="15" t="s">
        <v>13097</v>
      </c>
      <c r="H1394" s="15">
        <v>8</v>
      </c>
      <c r="I1394" s="15">
        <v>11</v>
      </c>
      <c r="J1394" s="15">
        <v>70</v>
      </c>
      <c r="K1394" s="15" t="str">
        <f t="shared" si="21"/>
        <v>isari</v>
      </c>
      <c r="L1394" s="15" t="s">
        <v>13024</v>
      </c>
      <c r="M1394" s="15">
        <v>1</v>
      </c>
      <c r="N1394" s="15" t="s">
        <v>11222</v>
      </c>
      <c r="O1394" s="15" t="s">
        <v>11385</v>
      </c>
      <c r="P1394" s="15"/>
      <c r="Q1394" s="15"/>
      <c r="R1394" s="15"/>
      <c r="S1394" s="15"/>
      <c r="T1394" s="15">
        <v>2</v>
      </c>
      <c r="U1394" s="15" t="s">
        <v>5908</v>
      </c>
      <c r="V1394" s="15" t="s">
        <v>5914</v>
      </c>
      <c r="W1394" s="15" t="s">
        <v>14151</v>
      </c>
      <c r="X1394" s="15"/>
      <c r="Y1394" s="15"/>
      <c r="Z1394" s="15"/>
    </row>
    <row r="1395" spans="1:26" x14ac:dyDescent="0.25">
      <c r="A1395" s="15" t="s">
        <v>13102</v>
      </c>
      <c r="B1395" s="15">
        <v>1394</v>
      </c>
      <c r="C1395" s="15" t="s">
        <v>11277</v>
      </c>
      <c r="D1395" s="15" t="s">
        <v>11277</v>
      </c>
      <c r="E1395" s="15" t="s">
        <v>73</v>
      </c>
      <c r="F1395" s="15" t="s">
        <v>1928</v>
      </c>
      <c r="G1395" s="15" t="s">
        <v>13099</v>
      </c>
      <c r="H1395" s="15">
        <v>8</v>
      </c>
      <c r="I1395" s="15">
        <v>11</v>
      </c>
      <c r="J1395" s="15">
        <v>64</v>
      </c>
      <c r="K1395" s="15" t="str">
        <f t="shared" si="21"/>
        <v>isari</v>
      </c>
      <c r="L1395" s="15" t="s">
        <v>11560</v>
      </c>
      <c r="M1395" s="15">
        <v>1</v>
      </c>
      <c r="N1395" s="15" t="s">
        <v>11222</v>
      </c>
      <c r="O1395" s="15"/>
      <c r="P1395" s="15"/>
      <c r="Q1395" s="15"/>
      <c r="R1395" s="15"/>
      <c r="S1395" s="15"/>
      <c r="T1395" s="15">
        <v>0</v>
      </c>
      <c r="U1395" s="15"/>
      <c r="V1395" s="15"/>
      <c r="W1395" s="15"/>
      <c r="X1395" s="15"/>
      <c r="Y1395" s="15"/>
      <c r="Z1395" s="15"/>
    </row>
    <row r="1396" spans="1:26" x14ac:dyDescent="0.25">
      <c r="A1396" s="15" t="s">
        <v>13104</v>
      </c>
      <c r="B1396" s="15">
        <v>1395</v>
      </c>
      <c r="C1396" s="15" t="s">
        <v>11277</v>
      </c>
      <c r="D1396" s="15" t="s">
        <v>11277</v>
      </c>
      <c r="E1396" s="15" t="s">
        <v>73</v>
      </c>
      <c r="F1396" s="15" t="s">
        <v>1928</v>
      </c>
      <c r="G1396" s="15" t="s">
        <v>13101</v>
      </c>
      <c r="H1396" s="15">
        <v>8</v>
      </c>
      <c r="I1396" s="15">
        <v>11</v>
      </c>
      <c r="J1396" s="15">
        <v>70</v>
      </c>
      <c r="K1396" s="15" t="str">
        <f t="shared" si="21"/>
        <v>isari</v>
      </c>
      <c r="L1396" s="15" t="s">
        <v>13021</v>
      </c>
      <c r="M1396" s="15">
        <v>3</v>
      </c>
      <c r="N1396" s="15" t="s">
        <v>11223</v>
      </c>
      <c r="O1396" s="15" t="s">
        <v>14037</v>
      </c>
      <c r="P1396" s="15"/>
      <c r="Q1396" s="15"/>
      <c r="R1396" s="15"/>
      <c r="S1396" s="15"/>
      <c r="T1396" s="15">
        <v>0</v>
      </c>
      <c r="U1396" s="15" t="s">
        <v>5893</v>
      </c>
      <c r="V1396" s="15" t="s">
        <v>5892</v>
      </c>
      <c r="W1396" s="15"/>
      <c r="X1396" s="15" t="s">
        <v>6010</v>
      </c>
      <c r="Y1396" s="15"/>
      <c r="Z1396" s="15"/>
    </row>
    <row r="1397" spans="1:26" x14ac:dyDescent="0.25">
      <c r="A1397" s="15" t="s">
        <v>13106</v>
      </c>
      <c r="B1397" s="15">
        <v>1396</v>
      </c>
      <c r="C1397" s="15" t="s">
        <v>11277</v>
      </c>
      <c r="D1397" s="15" t="s">
        <v>11277</v>
      </c>
      <c r="E1397" s="15" t="s">
        <v>73</v>
      </c>
      <c r="F1397" s="15" t="s">
        <v>1919</v>
      </c>
      <c r="G1397" s="15" t="s">
        <v>13036</v>
      </c>
      <c r="H1397" s="15">
        <v>8.3000000000000007</v>
      </c>
      <c r="I1397" s="15">
        <v>26.6</v>
      </c>
      <c r="J1397" s="15">
        <v>62</v>
      </c>
      <c r="K1397" s="15" t="str">
        <f t="shared" si="21"/>
        <v>theisleofzekki</v>
      </c>
      <c r="L1397" s="15" t="s">
        <v>13021</v>
      </c>
      <c r="M1397" s="15">
        <v>1</v>
      </c>
      <c r="N1397" s="15" t="s">
        <v>11222</v>
      </c>
      <c r="O1397" s="15"/>
      <c r="P1397" s="15"/>
      <c r="Q1397" s="15"/>
      <c r="R1397" s="15"/>
      <c r="S1397" s="15"/>
      <c r="T1397" s="15">
        <v>0</v>
      </c>
      <c r="U1397" s="15"/>
      <c r="V1397" s="15"/>
      <c r="W1397" s="15"/>
      <c r="X1397" s="15"/>
      <c r="Y1397" s="15"/>
      <c r="Z1397" s="15"/>
    </row>
    <row r="1398" spans="1:26" x14ac:dyDescent="0.25">
      <c r="A1398" s="15" t="s">
        <v>13108</v>
      </c>
      <c r="B1398" s="15">
        <v>1397</v>
      </c>
      <c r="C1398" s="15" t="s">
        <v>11277</v>
      </c>
      <c r="D1398" s="15" t="s">
        <v>11277</v>
      </c>
      <c r="E1398" s="15" t="s">
        <v>73</v>
      </c>
      <c r="F1398" s="15" t="s">
        <v>1919</v>
      </c>
      <c r="G1398" s="15" t="s">
        <v>13103</v>
      </c>
      <c r="H1398" s="15">
        <v>8.3000000000000007</v>
      </c>
      <c r="I1398" s="15">
        <v>26.6</v>
      </c>
      <c r="J1398" s="15">
        <v>68</v>
      </c>
      <c r="K1398" s="15" t="str">
        <f t="shared" si="21"/>
        <v>theisleofzekki</v>
      </c>
      <c r="L1398" s="15" t="s">
        <v>13063</v>
      </c>
      <c r="M1398" s="15">
        <v>3</v>
      </c>
      <c r="N1398" s="15" t="s">
        <v>11223</v>
      </c>
      <c r="O1398" s="15"/>
      <c r="P1398" s="15"/>
      <c r="Q1398" s="15"/>
      <c r="R1398" s="15"/>
      <c r="S1398" s="15"/>
      <c r="T1398" s="15">
        <v>0</v>
      </c>
      <c r="U1398" s="15"/>
      <c r="V1398" s="15"/>
      <c r="W1398" s="15"/>
      <c r="X1398" s="15"/>
      <c r="Y1398" s="15"/>
      <c r="Z1398" s="15"/>
    </row>
    <row r="1399" spans="1:26" x14ac:dyDescent="0.25">
      <c r="A1399" s="15" t="s">
        <v>13110</v>
      </c>
      <c r="B1399" s="15">
        <v>1398</v>
      </c>
      <c r="C1399" s="15" t="s">
        <v>11277</v>
      </c>
      <c r="D1399" s="15" t="s">
        <v>11277</v>
      </c>
      <c r="E1399" s="15" t="s">
        <v>73</v>
      </c>
      <c r="F1399" s="15" t="s">
        <v>1919</v>
      </c>
      <c r="G1399" s="15" t="s">
        <v>13105</v>
      </c>
      <c r="H1399" s="15">
        <v>8.3000000000000007</v>
      </c>
      <c r="I1399" s="15">
        <v>26.6</v>
      </c>
      <c r="J1399" s="15">
        <v>68</v>
      </c>
      <c r="K1399" s="15" t="str">
        <f t="shared" si="21"/>
        <v>theisleofzekki</v>
      </c>
      <c r="L1399" s="15" t="s">
        <v>13063</v>
      </c>
      <c r="M1399" s="15">
        <v>3</v>
      </c>
      <c r="N1399" s="15" t="s">
        <v>11223</v>
      </c>
      <c r="O1399" s="15"/>
      <c r="P1399" s="15"/>
      <c r="Q1399" s="15" t="s">
        <v>13036</v>
      </c>
      <c r="R1399" s="15"/>
      <c r="S1399" s="15"/>
      <c r="T1399" s="15">
        <v>0</v>
      </c>
      <c r="U1399" s="15"/>
      <c r="V1399" s="15"/>
      <c r="W1399" s="15"/>
      <c r="X1399" s="15"/>
      <c r="Y1399" s="15"/>
      <c r="Z1399" s="15"/>
    </row>
    <row r="1400" spans="1:26" x14ac:dyDescent="0.25">
      <c r="A1400" s="15" t="s">
        <v>13112</v>
      </c>
      <c r="B1400" s="15">
        <v>1399</v>
      </c>
      <c r="C1400" s="15" t="s">
        <v>11277</v>
      </c>
      <c r="D1400" s="15" t="s">
        <v>11277</v>
      </c>
      <c r="E1400" s="15" t="s">
        <v>73</v>
      </c>
      <c r="F1400" s="15" t="s">
        <v>1919</v>
      </c>
      <c r="G1400" s="15" t="s">
        <v>13107</v>
      </c>
      <c r="H1400" s="15">
        <v>8.3000000000000007</v>
      </c>
      <c r="I1400" s="15">
        <v>26.6</v>
      </c>
      <c r="J1400" s="15">
        <v>69</v>
      </c>
      <c r="K1400" s="15" t="str">
        <f t="shared" si="21"/>
        <v>theisleofzekki</v>
      </c>
      <c r="L1400" s="15" t="s">
        <v>13024</v>
      </c>
      <c r="M1400" s="15">
        <v>2</v>
      </c>
      <c r="N1400" s="15" t="s">
        <v>11223</v>
      </c>
      <c r="O1400" s="15"/>
      <c r="P1400" s="15"/>
      <c r="Q1400" s="15" t="s">
        <v>13036</v>
      </c>
      <c r="R1400" s="15"/>
      <c r="S1400" s="15"/>
      <c r="T1400" s="15">
        <v>0</v>
      </c>
      <c r="U1400" s="15"/>
      <c r="V1400" s="15"/>
      <c r="W1400" s="15"/>
      <c r="X1400" s="15"/>
      <c r="Y1400" s="15"/>
      <c r="Z1400" s="15"/>
    </row>
    <row r="1401" spans="1:26" x14ac:dyDescent="0.25">
      <c r="A1401" s="15" t="s">
        <v>13114</v>
      </c>
      <c r="B1401" s="15">
        <v>1400</v>
      </c>
      <c r="C1401" s="15" t="s">
        <v>11277</v>
      </c>
      <c r="D1401" s="15" t="s">
        <v>11277</v>
      </c>
      <c r="E1401" s="15" t="s">
        <v>73</v>
      </c>
      <c r="F1401" s="15" t="s">
        <v>1919</v>
      </c>
      <c r="G1401" s="15" t="s">
        <v>13109</v>
      </c>
      <c r="H1401" s="15">
        <v>8.3000000000000007</v>
      </c>
      <c r="I1401" s="15">
        <v>26.6</v>
      </c>
      <c r="J1401" s="15">
        <v>70</v>
      </c>
      <c r="K1401" s="15" t="str">
        <f t="shared" si="21"/>
        <v>theisleofzekki</v>
      </c>
      <c r="L1401" s="15" t="s">
        <v>14088</v>
      </c>
      <c r="M1401" s="15">
        <v>3</v>
      </c>
      <c r="N1401" s="15" t="s">
        <v>11223</v>
      </c>
      <c r="O1401" s="15"/>
      <c r="P1401" s="15"/>
      <c r="Q1401" s="15" t="s">
        <v>13036</v>
      </c>
      <c r="R1401" s="15"/>
      <c r="S1401" s="15"/>
      <c r="T1401" s="15">
        <v>0</v>
      </c>
      <c r="U1401" s="15"/>
      <c r="V1401" s="15"/>
      <c r="W1401" s="15"/>
      <c r="X1401" s="15"/>
      <c r="Y1401" s="15"/>
      <c r="Z1401" s="15"/>
    </row>
    <row r="1402" spans="1:26" x14ac:dyDescent="0.25">
      <c r="A1402" s="15" t="s">
        <v>13116</v>
      </c>
      <c r="B1402" s="15">
        <v>1401</v>
      </c>
      <c r="C1402" s="15" t="s">
        <v>11277</v>
      </c>
      <c r="D1402" s="15" t="s">
        <v>11277</v>
      </c>
      <c r="E1402" s="15" t="s">
        <v>73</v>
      </c>
      <c r="F1402" s="15" t="s">
        <v>1919</v>
      </c>
      <c r="G1402" s="15" t="s">
        <v>13111</v>
      </c>
      <c r="H1402" s="15">
        <v>8.3000000000000007</v>
      </c>
      <c r="I1402" s="15">
        <v>26.6</v>
      </c>
      <c r="J1402" s="15">
        <v>70</v>
      </c>
      <c r="K1402" s="15" t="str">
        <f t="shared" si="21"/>
        <v>theisleofzekki</v>
      </c>
      <c r="L1402" s="15" t="s">
        <v>14088</v>
      </c>
      <c r="M1402" s="15">
        <v>3</v>
      </c>
      <c r="N1402" s="15" t="s">
        <v>11223</v>
      </c>
      <c r="O1402" s="15"/>
      <c r="P1402" s="15"/>
      <c r="Q1402" s="15" t="s">
        <v>13036</v>
      </c>
      <c r="R1402" s="15"/>
      <c r="S1402" s="15"/>
      <c r="T1402" s="15">
        <v>0</v>
      </c>
      <c r="U1402" s="15" t="s">
        <v>6010</v>
      </c>
      <c r="V1402" s="15"/>
      <c r="W1402" s="15"/>
      <c r="X1402" s="15"/>
      <c r="Y1402" s="15"/>
      <c r="Z1402" s="15"/>
    </row>
    <row r="1403" spans="1:26" x14ac:dyDescent="0.25">
      <c r="A1403" s="15" t="s">
        <v>13118</v>
      </c>
      <c r="B1403" s="15">
        <v>1402</v>
      </c>
      <c r="C1403" s="15" t="s">
        <v>11277</v>
      </c>
      <c r="D1403" s="15" t="s">
        <v>11647</v>
      </c>
      <c r="E1403" s="15" t="s">
        <v>73</v>
      </c>
      <c r="F1403" s="15" t="s">
        <v>15178</v>
      </c>
      <c r="G1403" s="15" t="s">
        <v>13113</v>
      </c>
      <c r="H1403" s="15">
        <v>33</v>
      </c>
      <c r="I1403" s="15">
        <v>30</v>
      </c>
      <c r="J1403" s="15">
        <v>61</v>
      </c>
      <c r="K1403" s="15" t="str">
        <f t="shared" si="21"/>
        <v>rubypricedepths</v>
      </c>
      <c r="L1403" s="15"/>
      <c r="M1403" s="15"/>
      <c r="N1403" s="15"/>
      <c r="O1403" s="15"/>
      <c r="P1403" s="15"/>
      <c r="Q1403" s="15"/>
      <c r="R1403" s="15"/>
      <c r="S1403" s="15"/>
      <c r="T1403" s="15">
        <v>0</v>
      </c>
      <c r="U1403" s="15"/>
      <c r="V1403" s="15"/>
      <c r="W1403" s="15"/>
      <c r="X1403" s="15"/>
      <c r="Y1403" s="15"/>
      <c r="Z1403" s="15"/>
    </row>
    <row r="1404" spans="1:26" x14ac:dyDescent="0.25">
      <c r="A1404" s="15" t="s">
        <v>13120</v>
      </c>
      <c r="B1404" s="15">
        <v>1403</v>
      </c>
      <c r="C1404" s="15" t="s">
        <v>11277</v>
      </c>
      <c r="D1404" s="15" t="s">
        <v>11647</v>
      </c>
      <c r="E1404" s="15" t="s">
        <v>73</v>
      </c>
      <c r="F1404" s="15" t="s">
        <v>15178</v>
      </c>
      <c r="G1404" s="15" t="s">
        <v>13115</v>
      </c>
      <c r="H1404" s="15">
        <v>33</v>
      </c>
      <c r="I1404" s="15">
        <v>30</v>
      </c>
      <c r="J1404" s="15">
        <v>61</v>
      </c>
      <c r="K1404" s="15" t="str">
        <f t="shared" si="21"/>
        <v>rubypricedepths</v>
      </c>
      <c r="L1404" s="15"/>
      <c r="M1404" s="15"/>
      <c r="N1404" s="15"/>
      <c r="O1404" s="15"/>
      <c r="P1404" s="15"/>
      <c r="Q1404" s="15"/>
      <c r="R1404" s="15"/>
      <c r="S1404" s="15"/>
      <c r="T1404" s="15">
        <v>0</v>
      </c>
      <c r="U1404" s="15"/>
      <c r="V1404" s="15"/>
      <c r="W1404" s="15"/>
      <c r="X1404" s="15"/>
      <c r="Y1404" s="15"/>
      <c r="Z1404" s="15"/>
    </row>
    <row r="1405" spans="1:26" x14ac:dyDescent="0.25">
      <c r="A1405" s="15" t="s">
        <v>13122</v>
      </c>
      <c r="B1405" s="15">
        <v>1404</v>
      </c>
      <c r="C1405" s="15" t="s">
        <v>11277</v>
      </c>
      <c r="D1405" s="15" t="s">
        <v>11647</v>
      </c>
      <c r="E1405" s="15" t="s">
        <v>73</v>
      </c>
      <c r="F1405" s="15" t="s">
        <v>15178</v>
      </c>
      <c r="G1405" s="15" t="s">
        <v>13117</v>
      </c>
      <c r="H1405" s="15">
        <v>33</v>
      </c>
      <c r="I1405" s="15">
        <v>30</v>
      </c>
      <c r="J1405" s="15">
        <v>62</v>
      </c>
      <c r="K1405" s="15" t="str">
        <f t="shared" si="21"/>
        <v>rubypricedepths</v>
      </c>
      <c r="L1405" s="15"/>
      <c r="M1405" s="15"/>
      <c r="N1405" s="15"/>
      <c r="O1405" s="15"/>
      <c r="P1405" s="15"/>
      <c r="Q1405" s="15"/>
      <c r="R1405" s="15"/>
      <c r="S1405" s="15"/>
      <c r="T1405" s="15">
        <v>0</v>
      </c>
      <c r="U1405" s="15"/>
      <c r="V1405" s="15"/>
      <c r="W1405" s="15"/>
      <c r="X1405" s="15"/>
      <c r="Y1405" s="15"/>
      <c r="Z1405" s="15"/>
    </row>
    <row r="1406" spans="1:26" x14ac:dyDescent="0.25">
      <c r="A1406" s="15" t="s">
        <v>13124</v>
      </c>
      <c r="B1406" s="15">
        <v>1405</v>
      </c>
      <c r="C1406" s="15" t="s">
        <v>11277</v>
      </c>
      <c r="D1406" s="15" t="s">
        <v>11647</v>
      </c>
      <c r="E1406" s="15" t="s">
        <v>73</v>
      </c>
      <c r="F1406" s="15" t="s">
        <v>15178</v>
      </c>
      <c r="G1406" s="15" t="s">
        <v>13119</v>
      </c>
      <c r="H1406" s="15">
        <v>33</v>
      </c>
      <c r="I1406" s="15">
        <v>30</v>
      </c>
      <c r="J1406" s="15">
        <v>63</v>
      </c>
      <c r="K1406" s="15" t="str">
        <f t="shared" si="21"/>
        <v>rubypricedepths</v>
      </c>
      <c r="L1406" s="15"/>
      <c r="M1406" s="15"/>
      <c r="N1406" s="15"/>
      <c r="O1406" s="15"/>
      <c r="P1406" s="15"/>
      <c r="Q1406" s="15"/>
      <c r="R1406" s="15"/>
      <c r="S1406" s="15"/>
      <c r="T1406" s="15">
        <v>0</v>
      </c>
      <c r="U1406" s="15"/>
      <c r="V1406" s="15"/>
      <c r="W1406" s="15"/>
      <c r="X1406" s="15"/>
      <c r="Y1406" s="15"/>
      <c r="Z1406" s="15"/>
    </row>
    <row r="1407" spans="1:26" x14ac:dyDescent="0.25">
      <c r="A1407" s="15" t="s">
        <v>13126</v>
      </c>
      <c r="B1407" s="15">
        <v>1406</v>
      </c>
      <c r="C1407" s="15" t="s">
        <v>11277</v>
      </c>
      <c r="D1407" s="15" t="s">
        <v>11647</v>
      </c>
      <c r="E1407" s="15" t="s">
        <v>73</v>
      </c>
      <c r="F1407" s="15" t="s">
        <v>15178</v>
      </c>
      <c r="G1407" s="15" t="s">
        <v>13121</v>
      </c>
      <c r="H1407" s="15">
        <v>33</v>
      </c>
      <c r="I1407" s="15">
        <v>30</v>
      </c>
      <c r="J1407" s="15">
        <v>63</v>
      </c>
      <c r="K1407" s="15" t="str">
        <f t="shared" si="21"/>
        <v>rubypricedepths</v>
      </c>
      <c r="L1407" s="15"/>
      <c r="M1407" s="15"/>
      <c r="N1407" s="15"/>
      <c r="O1407" s="15"/>
      <c r="P1407" s="15"/>
      <c r="Q1407" s="15"/>
      <c r="R1407" s="15"/>
      <c r="S1407" s="15"/>
      <c r="T1407" s="15">
        <v>0</v>
      </c>
      <c r="U1407" s="15"/>
      <c r="V1407" s="15"/>
      <c r="W1407" s="15"/>
      <c r="X1407" s="15"/>
      <c r="Y1407" s="15"/>
      <c r="Z1407" s="15"/>
    </row>
    <row r="1408" spans="1:26" x14ac:dyDescent="0.25">
      <c r="A1408" s="15" t="s">
        <v>13128</v>
      </c>
      <c r="B1408" s="15">
        <v>1407</v>
      </c>
      <c r="C1408" s="15" t="s">
        <v>11277</v>
      </c>
      <c r="D1408" s="15" t="s">
        <v>11647</v>
      </c>
      <c r="E1408" s="15" t="s">
        <v>73</v>
      </c>
      <c r="F1408" s="15" t="s">
        <v>15178</v>
      </c>
      <c r="G1408" s="15" t="s">
        <v>13123</v>
      </c>
      <c r="H1408" s="15">
        <v>33</v>
      </c>
      <c r="I1408" s="15">
        <v>30</v>
      </c>
      <c r="J1408" s="15">
        <v>64</v>
      </c>
      <c r="K1408" s="15" t="str">
        <f t="shared" si="21"/>
        <v>rubypricedepths</v>
      </c>
      <c r="L1408" s="15"/>
      <c r="M1408" s="15"/>
      <c r="N1408" s="15"/>
      <c r="O1408" s="15"/>
      <c r="P1408" s="15"/>
      <c r="Q1408" s="15"/>
      <c r="R1408" s="15"/>
      <c r="S1408" s="15"/>
      <c r="T1408" s="15">
        <v>0</v>
      </c>
      <c r="U1408" s="15"/>
      <c r="V1408" s="15"/>
      <c r="W1408" s="15"/>
      <c r="X1408" s="15"/>
      <c r="Y1408" s="15"/>
      <c r="Z1408" s="15"/>
    </row>
    <row r="1409" spans="1:26" x14ac:dyDescent="0.25">
      <c r="A1409" s="15" t="s">
        <v>13130</v>
      </c>
      <c r="B1409" s="15">
        <v>1408</v>
      </c>
      <c r="C1409" s="15" t="s">
        <v>11277</v>
      </c>
      <c r="D1409" s="15" t="s">
        <v>11647</v>
      </c>
      <c r="E1409" s="15" t="s">
        <v>73</v>
      </c>
      <c r="F1409" s="15" t="s">
        <v>3449</v>
      </c>
      <c r="G1409" s="15" t="s">
        <v>13113</v>
      </c>
      <c r="H1409" s="15">
        <v>28</v>
      </c>
      <c r="I1409" s="15">
        <v>11</v>
      </c>
      <c r="J1409" s="15">
        <v>61</v>
      </c>
      <c r="K1409" s="15" t="str">
        <f t="shared" si="21"/>
        <v>tamamizu</v>
      </c>
      <c r="L1409" s="15"/>
      <c r="M1409" s="15"/>
      <c r="N1409" s="15"/>
      <c r="O1409" s="15"/>
      <c r="P1409" s="15"/>
      <c r="Q1409" s="15"/>
      <c r="R1409" s="15"/>
      <c r="S1409" s="15"/>
      <c r="T1409" s="15">
        <v>0</v>
      </c>
      <c r="U1409" s="15"/>
      <c r="V1409" s="15"/>
      <c r="W1409" s="15"/>
      <c r="X1409" s="15"/>
      <c r="Y1409" s="15"/>
      <c r="Z1409" s="15"/>
    </row>
    <row r="1410" spans="1:26" x14ac:dyDescent="0.25">
      <c r="A1410" s="15" t="s">
        <v>13132</v>
      </c>
      <c r="B1410" s="15">
        <v>1409</v>
      </c>
      <c r="C1410" s="15" t="s">
        <v>11277</v>
      </c>
      <c r="D1410" s="15" t="s">
        <v>11647</v>
      </c>
      <c r="E1410" s="15" t="s">
        <v>73</v>
      </c>
      <c r="F1410" s="15" t="s">
        <v>3449</v>
      </c>
      <c r="G1410" s="15" t="s">
        <v>13125</v>
      </c>
      <c r="H1410" s="15">
        <v>28</v>
      </c>
      <c r="I1410" s="15">
        <v>11</v>
      </c>
      <c r="J1410" s="15">
        <v>61</v>
      </c>
      <c r="K1410" s="15" t="str">
        <f t="shared" ref="K1410:K1473" si="22">LOWER(SUBSTITUTE(SUBSTITUTE(SUBSTITUTE(SUBSTITUTE(SUBSTITUTE(F1410," ",""),"(",""),")",""),"'",""),"-",""))</f>
        <v>tamamizu</v>
      </c>
      <c r="L1410" s="15"/>
      <c r="M1410" s="15"/>
      <c r="N1410" s="15"/>
      <c r="O1410" s="15"/>
      <c r="P1410" s="15"/>
      <c r="Q1410" s="15"/>
      <c r="R1410" s="15"/>
      <c r="S1410" s="15"/>
      <c r="T1410" s="15">
        <v>0</v>
      </c>
      <c r="U1410" s="15"/>
      <c r="V1410" s="15"/>
      <c r="W1410" s="15"/>
      <c r="X1410" s="15"/>
      <c r="Y1410" s="15"/>
      <c r="Z1410" s="15"/>
    </row>
    <row r="1411" spans="1:26" x14ac:dyDescent="0.25">
      <c r="A1411" s="15" t="s">
        <v>13134</v>
      </c>
      <c r="B1411" s="15">
        <v>1410</v>
      </c>
      <c r="C1411" s="15" t="s">
        <v>11277</v>
      </c>
      <c r="D1411" s="15" t="s">
        <v>11647</v>
      </c>
      <c r="E1411" s="15" t="s">
        <v>73</v>
      </c>
      <c r="F1411" s="15" t="s">
        <v>3449</v>
      </c>
      <c r="G1411" s="15" t="s">
        <v>13127</v>
      </c>
      <c r="H1411" s="15">
        <v>28</v>
      </c>
      <c r="I1411" s="15">
        <v>11</v>
      </c>
      <c r="J1411" s="15">
        <v>62</v>
      </c>
      <c r="K1411" s="15" t="str">
        <f t="shared" si="22"/>
        <v>tamamizu</v>
      </c>
      <c r="L1411" s="15"/>
      <c r="M1411" s="15"/>
      <c r="N1411" s="15"/>
      <c r="O1411" s="15"/>
      <c r="P1411" s="15"/>
      <c r="Q1411" s="15"/>
      <c r="R1411" s="15"/>
      <c r="S1411" s="15"/>
      <c r="T1411" s="15">
        <v>0</v>
      </c>
      <c r="U1411" s="15"/>
      <c r="V1411" s="15"/>
      <c r="W1411" s="15"/>
      <c r="X1411" s="15"/>
      <c r="Y1411" s="15"/>
      <c r="Z1411" s="15"/>
    </row>
    <row r="1412" spans="1:26" x14ac:dyDescent="0.25">
      <c r="A1412" s="15" t="s">
        <v>13136</v>
      </c>
      <c r="B1412" s="15">
        <v>1411</v>
      </c>
      <c r="C1412" s="15" t="s">
        <v>11277</v>
      </c>
      <c r="D1412" s="15" t="s">
        <v>11647</v>
      </c>
      <c r="E1412" s="15" t="s">
        <v>73</v>
      </c>
      <c r="F1412" s="15" t="s">
        <v>3449</v>
      </c>
      <c r="G1412" s="15" t="s">
        <v>13129</v>
      </c>
      <c r="H1412" s="15">
        <v>28</v>
      </c>
      <c r="I1412" s="15">
        <v>11</v>
      </c>
      <c r="J1412" s="15">
        <v>63</v>
      </c>
      <c r="K1412" s="15" t="str">
        <f t="shared" si="22"/>
        <v>tamamizu</v>
      </c>
      <c r="L1412" s="15"/>
      <c r="M1412" s="15"/>
      <c r="N1412" s="15"/>
      <c r="O1412" s="15"/>
      <c r="P1412" s="15"/>
      <c r="Q1412" s="15"/>
      <c r="R1412" s="15"/>
      <c r="S1412" s="15"/>
      <c r="T1412" s="15">
        <v>0</v>
      </c>
      <c r="U1412" s="15"/>
      <c r="V1412" s="15"/>
      <c r="W1412" s="15"/>
      <c r="X1412" s="15"/>
      <c r="Y1412" s="15"/>
      <c r="Z1412" s="15"/>
    </row>
    <row r="1413" spans="1:26" x14ac:dyDescent="0.25">
      <c r="A1413" s="15" t="s">
        <v>13138</v>
      </c>
      <c r="B1413" s="15">
        <v>1412</v>
      </c>
      <c r="C1413" s="15" t="s">
        <v>11277</v>
      </c>
      <c r="D1413" s="15" t="s">
        <v>11647</v>
      </c>
      <c r="E1413" s="15" t="s">
        <v>73</v>
      </c>
      <c r="F1413" s="15" t="s">
        <v>3449</v>
      </c>
      <c r="G1413" s="15" t="s">
        <v>13131</v>
      </c>
      <c r="H1413" s="15">
        <v>28</v>
      </c>
      <c r="I1413" s="15">
        <v>11</v>
      </c>
      <c r="J1413" s="15">
        <v>64</v>
      </c>
      <c r="K1413" s="15" t="str">
        <f t="shared" si="22"/>
        <v>tamamizu</v>
      </c>
      <c r="L1413" s="15"/>
      <c r="M1413" s="15"/>
      <c r="N1413" s="15"/>
      <c r="O1413" s="15"/>
      <c r="P1413" s="15"/>
      <c r="Q1413" s="15"/>
      <c r="R1413" s="15"/>
      <c r="S1413" s="15"/>
      <c r="T1413" s="15">
        <v>0</v>
      </c>
      <c r="U1413" s="15"/>
      <c r="V1413" s="15"/>
      <c r="W1413" s="15"/>
      <c r="X1413" s="15"/>
      <c r="Y1413" s="15"/>
      <c r="Z1413" s="15"/>
    </row>
    <row r="1414" spans="1:26" x14ac:dyDescent="0.25">
      <c r="A1414" s="15" t="s">
        <v>13140</v>
      </c>
      <c r="B1414" s="15">
        <v>1413</v>
      </c>
      <c r="C1414" s="15" t="s">
        <v>11277</v>
      </c>
      <c r="D1414" s="15" t="s">
        <v>11647</v>
      </c>
      <c r="E1414" s="15" t="s">
        <v>73</v>
      </c>
      <c r="F1414" s="15" t="s">
        <v>3449</v>
      </c>
      <c r="G1414" s="15" t="s">
        <v>13133</v>
      </c>
      <c r="H1414" s="15">
        <v>28</v>
      </c>
      <c r="I1414" s="15">
        <v>11</v>
      </c>
      <c r="J1414" s="15">
        <v>65</v>
      </c>
      <c r="K1414" s="15" t="str">
        <f t="shared" si="22"/>
        <v>tamamizu</v>
      </c>
      <c r="L1414" s="15"/>
      <c r="M1414" s="15"/>
      <c r="N1414" s="15"/>
      <c r="O1414" s="15"/>
      <c r="P1414" s="15"/>
      <c r="Q1414" s="15"/>
      <c r="R1414" s="15"/>
      <c r="S1414" s="15"/>
      <c r="T1414" s="15">
        <v>0</v>
      </c>
      <c r="U1414" s="15"/>
      <c r="V1414" s="15"/>
      <c r="W1414" s="15"/>
      <c r="X1414" s="15"/>
      <c r="Y1414" s="15"/>
      <c r="Z1414" s="15"/>
    </row>
    <row r="1415" spans="1:26" x14ac:dyDescent="0.25">
      <c r="A1415" s="15" t="s">
        <v>13142</v>
      </c>
      <c r="B1415" s="15">
        <v>1414</v>
      </c>
      <c r="C1415" s="15" t="s">
        <v>11277</v>
      </c>
      <c r="D1415" s="15" t="s">
        <v>11647</v>
      </c>
      <c r="E1415" s="15" t="s">
        <v>73</v>
      </c>
      <c r="F1415" s="15" t="s">
        <v>15179</v>
      </c>
      <c r="G1415" s="15" t="s">
        <v>13135</v>
      </c>
      <c r="H1415" s="15">
        <v>16</v>
      </c>
      <c r="I1415" s="15">
        <v>20</v>
      </c>
      <c r="J1415" s="15">
        <v>61</v>
      </c>
      <c r="K1415" s="15" t="str">
        <f t="shared" si="22"/>
        <v>suinosato</v>
      </c>
      <c r="L1415" s="15"/>
      <c r="M1415" s="15"/>
      <c r="N1415" s="15"/>
      <c r="O1415" s="15"/>
      <c r="P1415" s="15"/>
      <c r="Q1415" s="15"/>
      <c r="R1415" s="15"/>
      <c r="S1415" s="15"/>
      <c r="T1415" s="15">
        <v>0</v>
      </c>
      <c r="U1415" s="15"/>
      <c r="V1415" s="15"/>
      <c r="W1415" s="15"/>
      <c r="X1415" s="15"/>
      <c r="Y1415" s="15"/>
      <c r="Z1415" s="15"/>
    </row>
    <row r="1416" spans="1:26" x14ac:dyDescent="0.25">
      <c r="A1416" s="15" t="s">
        <v>13143</v>
      </c>
      <c r="B1416" s="15">
        <v>1415</v>
      </c>
      <c r="C1416" s="15" t="s">
        <v>11277</v>
      </c>
      <c r="D1416" s="15" t="s">
        <v>11647</v>
      </c>
      <c r="E1416" s="15" t="s">
        <v>73</v>
      </c>
      <c r="F1416" s="15" t="s">
        <v>15179</v>
      </c>
      <c r="G1416" s="15" t="s">
        <v>13127</v>
      </c>
      <c r="H1416" s="15">
        <v>16</v>
      </c>
      <c r="I1416" s="15">
        <v>20</v>
      </c>
      <c r="J1416" s="15">
        <v>62</v>
      </c>
      <c r="K1416" s="15" t="str">
        <f t="shared" si="22"/>
        <v>suinosato</v>
      </c>
      <c r="L1416" s="15"/>
      <c r="M1416" s="15"/>
      <c r="N1416" s="15"/>
      <c r="O1416" s="15"/>
      <c r="P1416" s="15"/>
      <c r="Q1416" s="15"/>
      <c r="R1416" s="15"/>
      <c r="S1416" s="15"/>
      <c r="T1416" s="15">
        <v>0</v>
      </c>
      <c r="U1416" s="15"/>
      <c r="V1416" s="15"/>
      <c r="W1416" s="15"/>
      <c r="X1416" s="15"/>
      <c r="Y1416" s="15"/>
      <c r="Z1416" s="15"/>
    </row>
    <row r="1417" spans="1:26" x14ac:dyDescent="0.25">
      <c r="A1417" s="15" t="s">
        <v>13145</v>
      </c>
      <c r="B1417" s="15">
        <v>1416</v>
      </c>
      <c r="C1417" s="15" t="s">
        <v>11277</v>
      </c>
      <c r="D1417" s="15" t="s">
        <v>11647</v>
      </c>
      <c r="E1417" s="15" t="s">
        <v>73</v>
      </c>
      <c r="F1417" s="15" t="s">
        <v>15179</v>
      </c>
      <c r="G1417" s="15" t="s">
        <v>13137</v>
      </c>
      <c r="H1417" s="15">
        <v>16</v>
      </c>
      <c r="I1417" s="15">
        <v>20</v>
      </c>
      <c r="J1417" s="15">
        <v>62</v>
      </c>
      <c r="K1417" s="15" t="str">
        <f t="shared" si="22"/>
        <v>suinosato</v>
      </c>
      <c r="L1417" s="15"/>
      <c r="M1417" s="15"/>
      <c r="N1417" s="15"/>
      <c r="O1417" s="15"/>
      <c r="P1417" s="15"/>
      <c r="Q1417" s="15"/>
      <c r="R1417" s="15"/>
      <c r="S1417" s="15"/>
      <c r="T1417" s="15">
        <v>0</v>
      </c>
      <c r="U1417" s="15"/>
      <c r="V1417" s="15"/>
      <c r="W1417" s="15"/>
      <c r="X1417" s="15"/>
      <c r="Y1417" s="15"/>
      <c r="Z1417" s="15"/>
    </row>
    <row r="1418" spans="1:26" x14ac:dyDescent="0.25">
      <c r="A1418" s="15" t="s">
        <v>13147</v>
      </c>
      <c r="B1418" s="15">
        <v>1417</v>
      </c>
      <c r="C1418" s="15" t="s">
        <v>11277</v>
      </c>
      <c r="D1418" s="15" t="s">
        <v>11647</v>
      </c>
      <c r="E1418" s="15" t="s">
        <v>73</v>
      </c>
      <c r="F1418" s="15" t="s">
        <v>15179</v>
      </c>
      <c r="G1418" s="15" t="s">
        <v>13139</v>
      </c>
      <c r="H1418" s="15">
        <v>16</v>
      </c>
      <c r="I1418" s="15">
        <v>20</v>
      </c>
      <c r="J1418" s="15">
        <v>63</v>
      </c>
      <c r="K1418" s="15" t="str">
        <f t="shared" si="22"/>
        <v>suinosato</v>
      </c>
      <c r="L1418" s="15"/>
      <c r="M1418" s="15"/>
      <c r="N1418" s="15"/>
      <c r="O1418" s="15"/>
      <c r="P1418" s="15"/>
      <c r="Q1418" s="15"/>
      <c r="R1418" s="15"/>
      <c r="S1418" s="15"/>
      <c r="T1418" s="15">
        <v>0</v>
      </c>
      <c r="U1418" s="15"/>
      <c r="V1418" s="15"/>
      <c r="W1418" s="15"/>
      <c r="X1418" s="15"/>
      <c r="Y1418" s="15"/>
      <c r="Z1418" s="15"/>
    </row>
    <row r="1419" spans="1:26" x14ac:dyDescent="0.25">
      <c r="A1419" s="15" t="s">
        <v>13149</v>
      </c>
      <c r="B1419" s="15">
        <v>1418</v>
      </c>
      <c r="C1419" s="15" t="s">
        <v>11277</v>
      </c>
      <c r="D1419" s="15" t="s">
        <v>11647</v>
      </c>
      <c r="E1419" s="15" t="s">
        <v>73</v>
      </c>
      <c r="F1419" s="15" t="s">
        <v>15179</v>
      </c>
      <c r="G1419" s="15" t="s">
        <v>13141</v>
      </c>
      <c r="H1419" s="15">
        <v>16</v>
      </c>
      <c r="I1419" s="15">
        <v>20</v>
      </c>
      <c r="J1419" s="15">
        <v>64</v>
      </c>
      <c r="K1419" s="15" t="str">
        <f t="shared" si="22"/>
        <v>suinosato</v>
      </c>
      <c r="L1419" s="15"/>
      <c r="M1419" s="15"/>
      <c r="N1419" s="15"/>
      <c r="O1419" s="15"/>
      <c r="P1419" s="15"/>
      <c r="Q1419" s="15"/>
      <c r="R1419" s="15"/>
      <c r="S1419" s="15"/>
      <c r="T1419" s="15">
        <v>0</v>
      </c>
      <c r="U1419" s="15"/>
      <c r="V1419" s="15"/>
      <c r="W1419" s="15"/>
      <c r="X1419" s="15"/>
      <c r="Y1419" s="15"/>
      <c r="Z1419" s="15"/>
    </row>
    <row r="1420" spans="1:26" x14ac:dyDescent="0.25">
      <c r="A1420" s="15" t="s">
        <v>13150</v>
      </c>
      <c r="B1420" s="15">
        <v>1419</v>
      </c>
      <c r="C1420" s="15" t="s">
        <v>11277</v>
      </c>
      <c r="D1420" s="15" t="s">
        <v>11647</v>
      </c>
      <c r="E1420" s="15" t="s">
        <v>73</v>
      </c>
      <c r="F1420" s="15" t="s">
        <v>15179</v>
      </c>
      <c r="G1420" s="15" t="s">
        <v>79</v>
      </c>
      <c r="H1420" s="15">
        <v>16</v>
      </c>
      <c r="I1420" s="15">
        <v>20</v>
      </c>
      <c r="J1420" s="15">
        <v>65</v>
      </c>
      <c r="K1420" s="15" t="str">
        <f t="shared" si="22"/>
        <v>suinosato</v>
      </c>
      <c r="L1420" s="15"/>
      <c r="M1420" s="15"/>
      <c r="N1420" s="15"/>
      <c r="O1420" s="15"/>
      <c r="P1420" s="15"/>
      <c r="Q1420" s="15"/>
      <c r="R1420" s="15"/>
      <c r="S1420" s="15"/>
      <c r="T1420" s="15">
        <v>0</v>
      </c>
      <c r="U1420" s="15"/>
      <c r="V1420" s="15"/>
      <c r="W1420" s="15"/>
      <c r="X1420" s="15"/>
      <c r="Y1420" s="15"/>
      <c r="Z1420" s="15"/>
    </row>
    <row r="1421" spans="1:26" x14ac:dyDescent="0.25">
      <c r="A1421" s="15" t="s">
        <v>13152</v>
      </c>
      <c r="B1421" s="15">
        <v>1420</v>
      </c>
      <c r="C1421" s="15" t="s">
        <v>11277</v>
      </c>
      <c r="D1421" s="15" t="s">
        <v>11647</v>
      </c>
      <c r="E1421" s="15" t="s">
        <v>73</v>
      </c>
      <c r="F1421" s="15" t="s">
        <v>15180</v>
      </c>
      <c r="G1421" s="15" t="s">
        <v>13135</v>
      </c>
      <c r="H1421" s="15">
        <v>17</v>
      </c>
      <c r="I1421" s="15">
        <v>25</v>
      </c>
      <c r="J1421" s="15">
        <v>61</v>
      </c>
      <c r="K1421" s="15" t="str">
        <f t="shared" si="22"/>
        <v>the*adventure*</v>
      </c>
      <c r="L1421" s="15"/>
      <c r="M1421" s="15"/>
      <c r="N1421" s="15"/>
      <c r="O1421" s="15"/>
      <c r="P1421" s="15"/>
      <c r="Q1421" s="15"/>
      <c r="R1421" s="15"/>
      <c r="S1421" s="15"/>
      <c r="T1421" s="15">
        <v>0</v>
      </c>
      <c r="U1421" s="15"/>
      <c r="V1421" s="15"/>
      <c r="W1421" s="15"/>
      <c r="X1421" s="15"/>
      <c r="Y1421" s="15"/>
      <c r="Z1421" s="15"/>
    </row>
    <row r="1422" spans="1:26" x14ac:dyDescent="0.25">
      <c r="A1422" s="15" t="s">
        <v>13154</v>
      </c>
      <c r="B1422" s="15">
        <v>1421</v>
      </c>
      <c r="C1422" s="15" t="s">
        <v>11277</v>
      </c>
      <c r="D1422" s="15" t="s">
        <v>11647</v>
      </c>
      <c r="E1422" s="15" t="s">
        <v>73</v>
      </c>
      <c r="F1422" s="15" t="s">
        <v>15180</v>
      </c>
      <c r="G1422" s="15" t="s">
        <v>13115</v>
      </c>
      <c r="H1422" s="15">
        <v>17</v>
      </c>
      <c r="I1422" s="15">
        <v>25</v>
      </c>
      <c r="J1422" s="15">
        <v>61</v>
      </c>
      <c r="K1422" s="15" t="str">
        <f t="shared" si="22"/>
        <v>the*adventure*</v>
      </c>
      <c r="L1422" s="15"/>
      <c r="M1422" s="15"/>
      <c r="N1422" s="15"/>
      <c r="O1422" s="15"/>
      <c r="P1422" s="15"/>
      <c r="Q1422" s="15"/>
      <c r="R1422" s="15"/>
      <c r="S1422" s="15"/>
      <c r="T1422" s="15">
        <v>0</v>
      </c>
      <c r="U1422" s="15"/>
      <c r="V1422" s="15"/>
      <c r="W1422" s="15"/>
      <c r="X1422" s="15"/>
      <c r="Y1422" s="15"/>
      <c r="Z1422" s="15"/>
    </row>
    <row r="1423" spans="1:26" x14ac:dyDescent="0.25">
      <c r="A1423" s="15" t="s">
        <v>13156</v>
      </c>
      <c r="B1423" s="15">
        <v>1422</v>
      </c>
      <c r="C1423" s="15" t="s">
        <v>11277</v>
      </c>
      <c r="D1423" s="15" t="s">
        <v>11647</v>
      </c>
      <c r="E1423" s="15" t="s">
        <v>73</v>
      </c>
      <c r="F1423" s="15" t="s">
        <v>15180</v>
      </c>
      <c r="G1423" s="15" t="s">
        <v>13144</v>
      </c>
      <c r="H1423" s="15">
        <v>17</v>
      </c>
      <c r="I1423" s="15">
        <v>25</v>
      </c>
      <c r="J1423" s="15">
        <v>62</v>
      </c>
      <c r="K1423" s="15" t="str">
        <f t="shared" si="22"/>
        <v>the*adventure*</v>
      </c>
      <c r="L1423" s="15"/>
      <c r="M1423" s="15"/>
      <c r="N1423" s="15"/>
      <c r="O1423" s="15"/>
      <c r="P1423" s="15"/>
      <c r="Q1423" s="15"/>
      <c r="R1423" s="15"/>
      <c r="S1423" s="15"/>
      <c r="T1423" s="15">
        <v>0</v>
      </c>
      <c r="U1423" s="15"/>
      <c r="V1423" s="15"/>
      <c r="W1423" s="15"/>
      <c r="X1423" s="15"/>
      <c r="Y1423" s="15"/>
      <c r="Z1423" s="15"/>
    </row>
    <row r="1424" spans="1:26" x14ac:dyDescent="0.25">
      <c r="A1424" s="15" t="s">
        <v>13158</v>
      </c>
      <c r="B1424" s="15">
        <v>1423</v>
      </c>
      <c r="C1424" s="15" t="s">
        <v>11277</v>
      </c>
      <c r="D1424" s="15" t="s">
        <v>11647</v>
      </c>
      <c r="E1424" s="15" t="s">
        <v>73</v>
      </c>
      <c r="F1424" s="15" t="s">
        <v>15180</v>
      </c>
      <c r="G1424" s="15" t="s">
        <v>13146</v>
      </c>
      <c r="H1424" s="15">
        <v>17</v>
      </c>
      <c r="I1424" s="15">
        <v>25</v>
      </c>
      <c r="J1424" s="15">
        <v>63</v>
      </c>
      <c r="K1424" s="15" t="str">
        <f t="shared" si="22"/>
        <v>the*adventure*</v>
      </c>
      <c r="L1424" s="15"/>
      <c r="M1424" s="15"/>
      <c r="N1424" s="15"/>
      <c r="O1424" s="15"/>
      <c r="P1424" s="15"/>
      <c r="Q1424" s="15"/>
      <c r="R1424" s="15"/>
      <c r="S1424" s="15"/>
      <c r="T1424" s="15">
        <v>0</v>
      </c>
      <c r="U1424" s="15"/>
      <c r="V1424" s="15"/>
      <c r="W1424" s="15"/>
      <c r="X1424" s="15"/>
      <c r="Y1424" s="15"/>
      <c r="Z1424" s="15"/>
    </row>
    <row r="1425" spans="1:26" x14ac:dyDescent="0.25">
      <c r="A1425" s="15" t="s">
        <v>13160</v>
      </c>
      <c r="B1425" s="15">
        <v>1424</v>
      </c>
      <c r="C1425" s="15" t="s">
        <v>11277</v>
      </c>
      <c r="D1425" s="15" t="s">
        <v>11647</v>
      </c>
      <c r="E1425" s="15" t="s">
        <v>73</v>
      </c>
      <c r="F1425" s="15" t="s">
        <v>15180</v>
      </c>
      <c r="G1425" s="15" t="s">
        <v>13148</v>
      </c>
      <c r="H1425" s="15">
        <v>17</v>
      </c>
      <c r="I1425" s="15">
        <v>25</v>
      </c>
      <c r="J1425" s="15">
        <v>64</v>
      </c>
      <c r="K1425" s="15" t="str">
        <f t="shared" si="22"/>
        <v>the*adventure*</v>
      </c>
      <c r="L1425" s="15"/>
      <c r="M1425" s="15"/>
      <c r="N1425" s="15"/>
      <c r="O1425" s="15"/>
      <c r="P1425" s="15"/>
      <c r="Q1425" s="15"/>
      <c r="R1425" s="15"/>
      <c r="S1425" s="15"/>
      <c r="T1425" s="15">
        <v>0</v>
      </c>
      <c r="U1425" s="15"/>
      <c r="V1425" s="15"/>
      <c r="W1425" s="15"/>
      <c r="X1425" s="15"/>
      <c r="Y1425" s="15"/>
      <c r="Z1425" s="15"/>
    </row>
    <row r="1426" spans="1:26" x14ac:dyDescent="0.25">
      <c r="A1426" s="15" t="s">
        <v>13162</v>
      </c>
      <c r="B1426" s="15">
        <v>1425</v>
      </c>
      <c r="C1426" s="15" t="s">
        <v>11277</v>
      </c>
      <c r="D1426" s="15" t="s">
        <v>11647</v>
      </c>
      <c r="E1426" s="15" t="s">
        <v>73</v>
      </c>
      <c r="F1426" s="15" t="s">
        <v>15180</v>
      </c>
      <c r="G1426" s="15" t="s">
        <v>86</v>
      </c>
      <c r="H1426" s="15">
        <v>17</v>
      </c>
      <c r="I1426" s="15">
        <v>25</v>
      </c>
      <c r="J1426" s="15">
        <v>65</v>
      </c>
      <c r="K1426" s="15" t="str">
        <f t="shared" si="22"/>
        <v>the*adventure*</v>
      </c>
      <c r="L1426" s="15"/>
      <c r="M1426" s="15"/>
      <c r="N1426" s="15"/>
      <c r="O1426" s="15"/>
      <c r="P1426" s="15"/>
      <c r="Q1426" s="15"/>
      <c r="R1426" s="15"/>
      <c r="S1426" s="15"/>
      <c r="T1426" s="15">
        <v>0</v>
      </c>
      <c r="U1426" s="15"/>
      <c r="V1426" s="15"/>
      <c r="W1426" s="15"/>
      <c r="X1426" s="15"/>
      <c r="Y1426" s="15"/>
      <c r="Z1426" s="15"/>
    </row>
    <row r="1427" spans="1:26" x14ac:dyDescent="0.25">
      <c r="A1427" s="15" t="s">
        <v>13164</v>
      </c>
      <c r="B1427" s="15">
        <v>1426</v>
      </c>
      <c r="C1427" s="15" t="s">
        <v>11277</v>
      </c>
      <c r="D1427" s="15" t="s">
        <v>11647</v>
      </c>
      <c r="E1427" s="15" t="s">
        <v>73</v>
      </c>
      <c r="F1427" s="15" t="s">
        <v>699</v>
      </c>
      <c r="G1427" s="15" t="s">
        <v>13151</v>
      </c>
      <c r="H1427" s="15">
        <v>4.8</v>
      </c>
      <c r="I1427" s="15">
        <v>37</v>
      </c>
      <c r="J1427" s="15">
        <v>61</v>
      </c>
      <c r="K1427" s="15" t="str">
        <f t="shared" si="22"/>
        <v>shisuioftheviolettides</v>
      </c>
      <c r="L1427" s="15"/>
      <c r="M1427" s="15"/>
      <c r="N1427" s="15"/>
      <c r="O1427" s="15"/>
      <c r="P1427" s="15"/>
      <c r="Q1427" s="15"/>
      <c r="R1427" s="15"/>
      <c r="S1427" s="15"/>
      <c r="T1427" s="15">
        <v>0</v>
      </c>
      <c r="U1427" s="15"/>
      <c r="V1427" s="15"/>
      <c r="W1427" s="15"/>
      <c r="X1427" s="15"/>
      <c r="Y1427" s="15"/>
      <c r="Z1427" s="15"/>
    </row>
    <row r="1428" spans="1:26" x14ac:dyDescent="0.25">
      <c r="A1428" s="15" t="s">
        <v>13166</v>
      </c>
      <c r="B1428" s="15">
        <v>1427</v>
      </c>
      <c r="C1428" s="15" t="s">
        <v>11277</v>
      </c>
      <c r="D1428" s="15" t="s">
        <v>11647</v>
      </c>
      <c r="E1428" s="15" t="s">
        <v>73</v>
      </c>
      <c r="F1428" s="15" t="s">
        <v>699</v>
      </c>
      <c r="G1428" s="15" t="s">
        <v>13153</v>
      </c>
      <c r="H1428" s="15">
        <v>4.8</v>
      </c>
      <c r="I1428" s="15">
        <v>37</v>
      </c>
      <c r="J1428" s="15">
        <v>62</v>
      </c>
      <c r="K1428" s="15" t="str">
        <f t="shared" si="22"/>
        <v>shisuioftheviolettides</v>
      </c>
      <c r="L1428" s="15"/>
      <c r="M1428" s="15"/>
      <c r="N1428" s="15"/>
      <c r="O1428" s="15"/>
      <c r="P1428" s="15"/>
      <c r="Q1428" s="15"/>
      <c r="R1428" s="15"/>
      <c r="S1428" s="15"/>
      <c r="T1428" s="15">
        <v>0</v>
      </c>
      <c r="U1428" s="15"/>
      <c r="V1428" s="15"/>
      <c r="W1428" s="15"/>
      <c r="X1428" s="15"/>
      <c r="Y1428" s="15"/>
      <c r="Z1428" s="15"/>
    </row>
    <row r="1429" spans="1:26" x14ac:dyDescent="0.25">
      <c r="A1429" s="15" t="s">
        <v>13168</v>
      </c>
      <c r="B1429" s="15">
        <v>1428</v>
      </c>
      <c r="C1429" s="15" t="s">
        <v>11277</v>
      </c>
      <c r="D1429" s="15" t="s">
        <v>11647</v>
      </c>
      <c r="E1429" s="15" t="s">
        <v>73</v>
      </c>
      <c r="F1429" s="15" t="s">
        <v>699</v>
      </c>
      <c r="G1429" s="15" t="s">
        <v>13137</v>
      </c>
      <c r="H1429" s="15">
        <v>4.8</v>
      </c>
      <c r="I1429" s="15">
        <v>37</v>
      </c>
      <c r="J1429" s="15">
        <v>62</v>
      </c>
      <c r="K1429" s="15" t="str">
        <f t="shared" si="22"/>
        <v>shisuioftheviolettides</v>
      </c>
      <c r="L1429" s="15"/>
      <c r="M1429" s="15"/>
      <c r="N1429" s="15"/>
      <c r="O1429" s="15"/>
      <c r="P1429" s="15"/>
      <c r="Q1429" s="15"/>
      <c r="R1429" s="15"/>
      <c r="S1429" s="15"/>
      <c r="T1429" s="15">
        <v>0</v>
      </c>
      <c r="U1429" s="15"/>
      <c r="V1429" s="15"/>
      <c r="W1429" s="15"/>
      <c r="X1429" s="15"/>
      <c r="Y1429" s="15"/>
      <c r="Z1429" s="15"/>
    </row>
    <row r="1430" spans="1:26" x14ac:dyDescent="0.25">
      <c r="A1430" s="15" t="s">
        <v>13170</v>
      </c>
      <c r="B1430" s="15">
        <v>1429</v>
      </c>
      <c r="C1430" s="15" t="s">
        <v>11277</v>
      </c>
      <c r="D1430" s="15" t="s">
        <v>11647</v>
      </c>
      <c r="E1430" s="15" t="s">
        <v>73</v>
      </c>
      <c r="F1430" s="15" t="s">
        <v>699</v>
      </c>
      <c r="G1430" s="15" t="s">
        <v>13155</v>
      </c>
      <c r="H1430" s="15">
        <v>4.8</v>
      </c>
      <c r="I1430" s="15">
        <v>37</v>
      </c>
      <c r="J1430" s="15">
        <v>63</v>
      </c>
      <c r="K1430" s="15" t="str">
        <f t="shared" si="22"/>
        <v>shisuioftheviolettides</v>
      </c>
      <c r="L1430" s="15"/>
      <c r="M1430" s="15"/>
      <c r="N1430" s="15"/>
      <c r="O1430" s="15"/>
      <c r="P1430" s="15"/>
      <c r="Q1430" s="15"/>
      <c r="R1430" s="15"/>
      <c r="S1430" s="15"/>
      <c r="T1430" s="15">
        <v>0</v>
      </c>
      <c r="U1430" s="15"/>
      <c r="V1430" s="15"/>
      <c r="W1430" s="15"/>
      <c r="X1430" s="15"/>
      <c r="Y1430" s="15"/>
      <c r="Z1430" s="15"/>
    </row>
    <row r="1431" spans="1:26" x14ac:dyDescent="0.25">
      <c r="A1431" s="15" t="s">
        <v>13172</v>
      </c>
      <c r="B1431" s="15">
        <v>1430</v>
      </c>
      <c r="C1431" s="15" t="s">
        <v>11277</v>
      </c>
      <c r="D1431" s="15" t="s">
        <v>11647</v>
      </c>
      <c r="E1431" s="15" t="s">
        <v>73</v>
      </c>
      <c r="F1431" s="15" t="s">
        <v>699</v>
      </c>
      <c r="G1431" s="15" t="s">
        <v>13157</v>
      </c>
      <c r="H1431" s="15">
        <v>4.8</v>
      </c>
      <c r="I1431" s="15">
        <v>37</v>
      </c>
      <c r="J1431" s="15">
        <v>64</v>
      </c>
      <c r="K1431" s="15" t="str">
        <f t="shared" si="22"/>
        <v>shisuioftheviolettides</v>
      </c>
      <c r="L1431" s="15"/>
      <c r="M1431" s="15"/>
      <c r="N1431" s="15"/>
      <c r="O1431" s="15"/>
      <c r="P1431" s="15"/>
      <c r="Q1431" s="15"/>
      <c r="R1431" s="15"/>
      <c r="S1431" s="15"/>
      <c r="T1431" s="15">
        <v>0</v>
      </c>
      <c r="U1431" s="15"/>
      <c r="V1431" s="15"/>
      <c r="W1431" s="15"/>
      <c r="X1431" s="15"/>
      <c r="Y1431" s="15"/>
      <c r="Z1431" s="15"/>
    </row>
    <row r="1432" spans="1:26" x14ac:dyDescent="0.25">
      <c r="A1432" s="15" t="s">
        <v>13174</v>
      </c>
      <c r="B1432" s="15">
        <v>1431</v>
      </c>
      <c r="C1432" s="15" t="s">
        <v>11277</v>
      </c>
      <c r="D1432" s="15" t="s">
        <v>11647</v>
      </c>
      <c r="E1432" s="15" t="s">
        <v>73</v>
      </c>
      <c r="F1432" s="15" t="s">
        <v>699</v>
      </c>
      <c r="G1432" s="15" t="s">
        <v>13159</v>
      </c>
      <c r="H1432" s="15">
        <v>4.8</v>
      </c>
      <c r="I1432" s="15">
        <v>37</v>
      </c>
      <c r="J1432" s="15">
        <v>65</v>
      </c>
      <c r="K1432" s="15" t="str">
        <f t="shared" si="22"/>
        <v>shisuioftheviolettides</v>
      </c>
      <c r="L1432" s="15"/>
      <c r="M1432" s="15"/>
      <c r="N1432" s="15"/>
      <c r="O1432" s="15"/>
      <c r="P1432" s="15"/>
      <c r="Q1432" s="15"/>
      <c r="R1432" s="15"/>
      <c r="S1432" s="15"/>
      <c r="T1432" s="15">
        <v>0</v>
      </c>
      <c r="U1432" s="15"/>
      <c r="V1432" s="15"/>
      <c r="W1432" s="15"/>
      <c r="X1432" s="15"/>
      <c r="Y1432" s="15"/>
      <c r="Z1432" s="15"/>
    </row>
    <row r="1433" spans="1:26" x14ac:dyDescent="0.25">
      <c r="A1433" s="15" t="s">
        <v>13176</v>
      </c>
      <c r="B1433" s="15">
        <v>1432</v>
      </c>
      <c r="C1433" s="15" t="s">
        <v>11277</v>
      </c>
      <c r="D1433" s="15" t="s">
        <v>11647</v>
      </c>
      <c r="E1433" s="15" t="s">
        <v>73</v>
      </c>
      <c r="F1433" s="15" t="s">
        <v>15181</v>
      </c>
      <c r="G1433" s="15" t="s">
        <v>13161</v>
      </c>
      <c r="H1433" s="15">
        <v>39</v>
      </c>
      <c r="I1433" s="15">
        <v>6</v>
      </c>
      <c r="J1433" s="15">
        <v>66</v>
      </c>
      <c r="K1433" s="15" t="str">
        <f t="shared" si="22"/>
        <v>the*kobayashimaru*</v>
      </c>
      <c r="L1433" s="15"/>
      <c r="M1433" s="15"/>
      <c r="N1433" s="15"/>
      <c r="O1433" s="15"/>
      <c r="P1433" s="15"/>
      <c r="Q1433" s="15"/>
      <c r="R1433" s="15"/>
      <c r="S1433" s="15"/>
      <c r="T1433" s="15">
        <v>0</v>
      </c>
      <c r="U1433" s="15"/>
      <c r="V1433" s="15"/>
      <c r="W1433" s="15"/>
      <c r="X1433" s="15"/>
      <c r="Y1433" s="15"/>
      <c r="Z1433" s="15"/>
    </row>
    <row r="1434" spans="1:26" x14ac:dyDescent="0.25">
      <c r="A1434" s="15" t="s">
        <v>13178</v>
      </c>
      <c r="B1434" s="15">
        <v>1433</v>
      </c>
      <c r="C1434" s="15" t="s">
        <v>11277</v>
      </c>
      <c r="D1434" s="15" t="s">
        <v>11647</v>
      </c>
      <c r="E1434" s="15" t="s">
        <v>73</v>
      </c>
      <c r="F1434" s="15" t="s">
        <v>15181</v>
      </c>
      <c r="G1434" s="15" t="s">
        <v>13163</v>
      </c>
      <c r="H1434" s="15">
        <v>39</v>
      </c>
      <c r="I1434" s="15">
        <v>6</v>
      </c>
      <c r="J1434" s="15">
        <v>67</v>
      </c>
      <c r="K1434" s="15" t="str">
        <f t="shared" si="22"/>
        <v>the*kobayashimaru*</v>
      </c>
      <c r="L1434" s="15"/>
      <c r="M1434" s="15"/>
      <c r="N1434" s="15"/>
      <c r="O1434" s="15"/>
      <c r="P1434" s="15"/>
      <c r="Q1434" s="15"/>
      <c r="R1434" s="15"/>
      <c r="S1434" s="15"/>
      <c r="T1434" s="15">
        <v>0</v>
      </c>
      <c r="U1434" s="15"/>
      <c r="V1434" s="15"/>
      <c r="W1434" s="15"/>
      <c r="X1434" s="15"/>
      <c r="Y1434" s="15"/>
      <c r="Z1434" s="15"/>
    </row>
    <row r="1435" spans="1:26" x14ac:dyDescent="0.25">
      <c r="A1435" s="15" t="s">
        <v>13180</v>
      </c>
      <c r="B1435" s="15">
        <v>1434</v>
      </c>
      <c r="C1435" s="15" t="s">
        <v>11277</v>
      </c>
      <c r="D1435" s="15" t="s">
        <v>11647</v>
      </c>
      <c r="E1435" s="15" t="s">
        <v>73</v>
      </c>
      <c r="F1435" s="15" t="s">
        <v>15181</v>
      </c>
      <c r="G1435" s="15" t="s">
        <v>13165</v>
      </c>
      <c r="H1435" s="15">
        <v>39</v>
      </c>
      <c r="I1435" s="15">
        <v>6</v>
      </c>
      <c r="J1435" s="15">
        <v>67</v>
      </c>
      <c r="K1435" s="15" t="str">
        <f t="shared" si="22"/>
        <v>the*kobayashimaru*</v>
      </c>
      <c r="L1435" s="15"/>
      <c r="M1435" s="15"/>
      <c r="N1435" s="15"/>
      <c r="O1435" s="15"/>
      <c r="P1435" s="15"/>
      <c r="Q1435" s="15"/>
      <c r="R1435" s="15"/>
      <c r="S1435" s="15"/>
      <c r="T1435" s="15">
        <v>0</v>
      </c>
      <c r="U1435" s="15"/>
      <c r="V1435" s="15"/>
      <c r="W1435" s="15"/>
      <c r="X1435" s="15"/>
      <c r="Y1435" s="15"/>
      <c r="Z1435" s="15"/>
    </row>
    <row r="1436" spans="1:26" x14ac:dyDescent="0.25">
      <c r="A1436" s="15" t="s">
        <v>13182</v>
      </c>
      <c r="B1436" s="15">
        <v>1435</v>
      </c>
      <c r="C1436" s="15" t="s">
        <v>11277</v>
      </c>
      <c r="D1436" s="15" t="s">
        <v>11647</v>
      </c>
      <c r="E1436" s="15" t="s">
        <v>73</v>
      </c>
      <c r="F1436" s="15" t="s">
        <v>15181</v>
      </c>
      <c r="G1436" s="15" t="s">
        <v>13167</v>
      </c>
      <c r="H1436" s="15">
        <v>39</v>
      </c>
      <c r="I1436" s="15">
        <v>6</v>
      </c>
      <c r="J1436" s="15">
        <v>68</v>
      </c>
      <c r="K1436" s="15" t="str">
        <f t="shared" si="22"/>
        <v>the*kobayashimaru*</v>
      </c>
      <c r="L1436" s="15"/>
      <c r="M1436" s="15"/>
      <c r="N1436" s="15"/>
      <c r="O1436" s="15"/>
      <c r="P1436" s="15"/>
      <c r="Q1436" s="15"/>
      <c r="R1436" s="15"/>
      <c r="S1436" s="15"/>
      <c r="T1436" s="15">
        <v>0</v>
      </c>
      <c r="U1436" s="15"/>
      <c r="V1436" s="15"/>
      <c r="W1436" s="15"/>
      <c r="X1436" s="15"/>
      <c r="Y1436" s="15"/>
      <c r="Z1436" s="15"/>
    </row>
    <row r="1437" spans="1:26" x14ac:dyDescent="0.25">
      <c r="A1437" s="15" t="s">
        <v>13184</v>
      </c>
      <c r="B1437" s="15">
        <v>1436</v>
      </c>
      <c r="C1437" s="15" t="s">
        <v>11277</v>
      </c>
      <c r="D1437" s="15" t="s">
        <v>11647</v>
      </c>
      <c r="E1437" s="15" t="s">
        <v>73</v>
      </c>
      <c r="F1437" s="15" t="s">
        <v>15181</v>
      </c>
      <c r="G1437" s="15" t="s">
        <v>13169</v>
      </c>
      <c r="H1437" s="15">
        <v>39</v>
      </c>
      <c r="I1437" s="15">
        <v>6</v>
      </c>
      <c r="J1437" s="15">
        <v>69</v>
      </c>
      <c r="K1437" s="15" t="str">
        <f t="shared" si="22"/>
        <v>the*kobayashimaru*</v>
      </c>
      <c r="L1437" s="15"/>
      <c r="M1437" s="15"/>
      <c r="N1437" s="15"/>
      <c r="O1437" s="15"/>
      <c r="P1437" s="15"/>
      <c r="Q1437" s="15"/>
      <c r="R1437" s="15"/>
      <c r="S1437" s="15"/>
      <c r="T1437" s="15">
        <v>0</v>
      </c>
      <c r="U1437" s="15"/>
      <c r="V1437" s="15"/>
      <c r="W1437" s="15"/>
      <c r="X1437" s="15"/>
      <c r="Y1437" s="15"/>
      <c r="Z1437" s="15"/>
    </row>
    <row r="1438" spans="1:26" x14ac:dyDescent="0.25">
      <c r="A1438" s="15" t="s">
        <v>13186</v>
      </c>
      <c r="B1438" s="15">
        <v>1437</v>
      </c>
      <c r="C1438" s="15" t="s">
        <v>11277</v>
      </c>
      <c r="D1438" s="15" t="s">
        <v>11647</v>
      </c>
      <c r="E1438" s="15" t="s">
        <v>73</v>
      </c>
      <c r="F1438" s="15" t="s">
        <v>15181</v>
      </c>
      <c r="G1438" s="15" t="s">
        <v>13171</v>
      </c>
      <c r="H1438" s="15">
        <v>39</v>
      </c>
      <c r="I1438" s="15">
        <v>6</v>
      </c>
      <c r="J1438" s="15">
        <v>70</v>
      </c>
      <c r="K1438" s="15" t="str">
        <f t="shared" si="22"/>
        <v>the*kobayashimaru*</v>
      </c>
      <c r="L1438" s="15"/>
      <c r="M1438" s="15"/>
      <c r="N1438" s="15"/>
      <c r="O1438" s="15"/>
      <c r="P1438" s="15"/>
      <c r="Q1438" s="15"/>
      <c r="R1438" s="15"/>
      <c r="S1438" s="15"/>
      <c r="T1438" s="15">
        <v>0</v>
      </c>
      <c r="U1438" s="15"/>
      <c r="V1438" s="15"/>
      <c r="W1438" s="15"/>
      <c r="X1438" s="15"/>
      <c r="Y1438" s="15"/>
      <c r="Z1438" s="15"/>
    </row>
    <row r="1439" spans="1:26" x14ac:dyDescent="0.25">
      <c r="A1439" s="15" t="s">
        <v>13188</v>
      </c>
      <c r="B1439" s="15">
        <v>1438</v>
      </c>
      <c r="C1439" s="15" t="s">
        <v>11277</v>
      </c>
      <c r="D1439" s="15" t="s">
        <v>11647</v>
      </c>
      <c r="E1439" s="15" t="s">
        <v>73</v>
      </c>
      <c r="F1439" s="15" t="s">
        <v>15181</v>
      </c>
      <c r="G1439" s="15" t="s">
        <v>13173</v>
      </c>
      <c r="H1439" s="15">
        <v>39</v>
      </c>
      <c r="I1439" s="15">
        <v>6</v>
      </c>
      <c r="J1439" s="15">
        <v>70</v>
      </c>
      <c r="K1439" s="15" t="str">
        <f t="shared" si="22"/>
        <v>the*kobayashimaru*</v>
      </c>
      <c r="L1439" s="15"/>
      <c r="M1439" s="15"/>
      <c r="N1439" s="15"/>
      <c r="O1439" s="15"/>
      <c r="P1439" s="15"/>
      <c r="Q1439" s="15"/>
      <c r="R1439" s="15"/>
      <c r="S1439" s="15"/>
      <c r="T1439" s="15">
        <v>1</v>
      </c>
      <c r="U1439" s="15"/>
      <c r="V1439" s="15"/>
      <c r="W1439" s="15"/>
      <c r="X1439" s="15"/>
      <c r="Y1439" s="15"/>
      <c r="Z1439" s="15"/>
    </row>
    <row r="1440" spans="1:26" x14ac:dyDescent="0.25">
      <c r="A1440" s="15" t="s">
        <v>13190</v>
      </c>
      <c r="B1440" s="15">
        <v>1439</v>
      </c>
      <c r="C1440" s="15" t="s">
        <v>11277</v>
      </c>
      <c r="D1440" s="15" t="s">
        <v>11647</v>
      </c>
      <c r="E1440" s="15" t="s">
        <v>73</v>
      </c>
      <c r="F1440" s="15" t="s">
        <v>15182</v>
      </c>
      <c r="G1440" s="15" t="s">
        <v>13148</v>
      </c>
      <c r="H1440" s="15">
        <v>40</v>
      </c>
      <c r="I1440" s="15">
        <v>9</v>
      </c>
      <c r="J1440" s="15">
        <v>64</v>
      </c>
      <c r="K1440" s="15" t="str">
        <f t="shared" si="22"/>
        <v>theeasternrubysea</v>
      </c>
      <c r="L1440" s="15"/>
      <c r="M1440" s="15"/>
      <c r="N1440" s="15"/>
      <c r="O1440" s="15"/>
      <c r="P1440" s="15"/>
      <c r="Q1440" s="15"/>
      <c r="R1440" s="15"/>
      <c r="S1440" s="15"/>
      <c r="T1440" s="15">
        <v>0</v>
      </c>
      <c r="U1440" s="15"/>
      <c r="V1440" s="15"/>
      <c r="W1440" s="15"/>
      <c r="X1440" s="15"/>
      <c r="Y1440" s="15"/>
      <c r="Z1440" s="15"/>
    </row>
    <row r="1441" spans="1:26" x14ac:dyDescent="0.25">
      <c r="A1441" s="15" t="s">
        <v>13192</v>
      </c>
      <c r="B1441" s="15">
        <v>1440</v>
      </c>
      <c r="C1441" s="15" t="s">
        <v>11277</v>
      </c>
      <c r="D1441" s="15" t="s">
        <v>11647</v>
      </c>
      <c r="E1441" s="15" t="s">
        <v>73</v>
      </c>
      <c r="F1441" s="15" t="s">
        <v>15182</v>
      </c>
      <c r="G1441" s="15" t="s">
        <v>13133</v>
      </c>
      <c r="H1441" s="15">
        <v>40</v>
      </c>
      <c r="I1441" s="15">
        <v>9</v>
      </c>
      <c r="J1441" s="15">
        <v>65</v>
      </c>
      <c r="K1441" s="15" t="str">
        <f t="shared" si="22"/>
        <v>theeasternrubysea</v>
      </c>
      <c r="L1441" s="15"/>
      <c r="M1441" s="15"/>
      <c r="N1441" s="15"/>
      <c r="O1441" s="15"/>
      <c r="P1441" s="15"/>
      <c r="Q1441" s="15"/>
      <c r="R1441" s="15"/>
      <c r="S1441" s="15"/>
      <c r="T1441" s="15">
        <v>0</v>
      </c>
      <c r="U1441" s="15"/>
      <c r="V1441" s="15"/>
      <c r="W1441" s="15"/>
      <c r="X1441" s="15"/>
      <c r="Y1441" s="15"/>
      <c r="Z1441" s="15"/>
    </row>
    <row r="1442" spans="1:26" x14ac:dyDescent="0.25">
      <c r="A1442" s="15" t="s">
        <v>13194</v>
      </c>
      <c r="B1442" s="15">
        <v>1441</v>
      </c>
      <c r="C1442" s="15" t="s">
        <v>11277</v>
      </c>
      <c r="D1442" s="15" t="s">
        <v>11647</v>
      </c>
      <c r="E1442" s="15" t="s">
        <v>73</v>
      </c>
      <c r="F1442" s="15" t="s">
        <v>15182</v>
      </c>
      <c r="G1442" s="15" t="s">
        <v>13167</v>
      </c>
      <c r="H1442" s="15">
        <v>40</v>
      </c>
      <c r="I1442" s="15">
        <v>9</v>
      </c>
      <c r="J1442" s="15">
        <v>68</v>
      </c>
      <c r="K1442" s="15" t="str">
        <f t="shared" si="22"/>
        <v>theeasternrubysea</v>
      </c>
      <c r="L1442" s="15"/>
      <c r="M1442" s="15"/>
      <c r="N1442" s="15"/>
      <c r="O1442" s="15"/>
      <c r="P1442" s="15"/>
      <c r="Q1442" s="15"/>
      <c r="R1442" s="15"/>
      <c r="S1442" s="15"/>
      <c r="T1442" s="15">
        <v>0</v>
      </c>
      <c r="U1442" s="15"/>
      <c r="V1442" s="15"/>
      <c r="W1442" s="15"/>
      <c r="X1442" s="15"/>
      <c r="Y1442" s="15"/>
      <c r="Z1442" s="15"/>
    </row>
    <row r="1443" spans="1:26" x14ac:dyDescent="0.25">
      <c r="A1443" s="15" t="s">
        <v>13196</v>
      </c>
      <c r="B1443" s="15">
        <v>1442</v>
      </c>
      <c r="C1443" s="15" t="s">
        <v>11277</v>
      </c>
      <c r="D1443" s="15" t="s">
        <v>11647</v>
      </c>
      <c r="E1443" s="15" t="s">
        <v>73</v>
      </c>
      <c r="F1443" s="15" t="s">
        <v>15182</v>
      </c>
      <c r="G1443" s="15" t="s">
        <v>13169</v>
      </c>
      <c r="H1443" s="15">
        <v>40</v>
      </c>
      <c r="I1443" s="15">
        <v>9</v>
      </c>
      <c r="J1443" s="15">
        <v>69</v>
      </c>
      <c r="K1443" s="15" t="str">
        <f t="shared" si="22"/>
        <v>theeasternrubysea</v>
      </c>
      <c r="L1443" s="15"/>
      <c r="M1443" s="15"/>
      <c r="N1443" s="15"/>
      <c r="O1443" s="15"/>
      <c r="P1443" s="15"/>
      <c r="Q1443" s="15"/>
      <c r="R1443" s="15"/>
      <c r="S1443" s="15"/>
      <c r="T1443" s="15">
        <v>0</v>
      </c>
      <c r="U1443" s="15"/>
      <c r="V1443" s="15"/>
      <c r="W1443" s="15"/>
      <c r="X1443" s="15"/>
      <c r="Y1443" s="15"/>
      <c r="Z1443" s="15"/>
    </row>
    <row r="1444" spans="1:26" x14ac:dyDescent="0.25">
      <c r="A1444" s="15" t="s">
        <v>13198</v>
      </c>
      <c r="B1444" s="15">
        <v>1443</v>
      </c>
      <c r="C1444" s="15" t="s">
        <v>11277</v>
      </c>
      <c r="D1444" s="15" t="s">
        <v>11647</v>
      </c>
      <c r="E1444" s="15" t="s">
        <v>73</v>
      </c>
      <c r="F1444" s="15" t="s">
        <v>15182</v>
      </c>
      <c r="G1444" s="15" t="s">
        <v>13175</v>
      </c>
      <c r="H1444" s="15">
        <v>40</v>
      </c>
      <c r="I1444" s="15">
        <v>9</v>
      </c>
      <c r="J1444" s="15">
        <v>68</v>
      </c>
      <c r="K1444" s="15" t="str">
        <f t="shared" si="22"/>
        <v>theeasternrubysea</v>
      </c>
      <c r="L1444" s="15"/>
      <c r="M1444" s="15"/>
      <c r="N1444" s="15"/>
      <c r="O1444" s="15"/>
      <c r="P1444" s="15"/>
      <c r="Q1444" s="15"/>
      <c r="R1444" s="15"/>
      <c r="S1444" s="15"/>
      <c r="T1444" s="15">
        <v>0</v>
      </c>
      <c r="U1444" s="15"/>
      <c r="V1444" s="15"/>
      <c r="W1444" s="15"/>
      <c r="X1444" s="15"/>
      <c r="Y1444" s="15"/>
      <c r="Z1444" s="15"/>
    </row>
    <row r="1445" spans="1:26" x14ac:dyDescent="0.25">
      <c r="A1445" s="15" t="s">
        <v>13200</v>
      </c>
      <c r="B1445" s="15">
        <v>1444</v>
      </c>
      <c r="C1445" s="15" t="s">
        <v>11277</v>
      </c>
      <c r="D1445" s="15" t="s">
        <v>11647</v>
      </c>
      <c r="E1445" s="15" t="s">
        <v>73</v>
      </c>
      <c r="F1445" s="15" t="s">
        <v>15182</v>
      </c>
      <c r="G1445" s="15" t="s">
        <v>13177</v>
      </c>
      <c r="H1445" s="15">
        <v>40</v>
      </c>
      <c r="I1445" s="15">
        <v>9</v>
      </c>
      <c r="J1445" s="15">
        <v>70</v>
      </c>
      <c r="K1445" s="15" t="str">
        <f t="shared" si="22"/>
        <v>theeasternrubysea</v>
      </c>
      <c r="L1445" s="15"/>
      <c r="M1445" s="15"/>
      <c r="N1445" s="15"/>
      <c r="O1445" s="15"/>
      <c r="P1445" s="15"/>
      <c r="Q1445" s="15"/>
      <c r="R1445" s="15"/>
      <c r="S1445" s="15"/>
      <c r="T1445" s="15">
        <v>0</v>
      </c>
      <c r="U1445" s="15"/>
      <c r="V1445" s="15"/>
      <c r="W1445" s="15"/>
      <c r="X1445" s="15"/>
      <c r="Y1445" s="15"/>
      <c r="Z1445" s="15"/>
    </row>
    <row r="1446" spans="1:26" x14ac:dyDescent="0.25">
      <c r="A1446" s="15" t="s">
        <v>13202</v>
      </c>
      <c r="B1446" s="15">
        <v>1445</v>
      </c>
      <c r="C1446" s="15" t="s">
        <v>11277</v>
      </c>
      <c r="D1446" s="15" t="s">
        <v>11647</v>
      </c>
      <c r="E1446" s="15" t="s">
        <v>73</v>
      </c>
      <c r="F1446" s="15" t="s">
        <v>15182</v>
      </c>
      <c r="G1446" s="15" t="s">
        <v>13179</v>
      </c>
      <c r="H1446" s="15">
        <v>40</v>
      </c>
      <c r="I1446" s="15">
        <v>9</v>
      </c>
      <c r="J1446" s="15">
        <v>70</v>
      </c>
      <c r="K1446" s="15" t="str">
        <f t="shared" si="22"/>
        <v>theeasternrubysea</v>
      </c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spans="1:26" x14ac:dyDescent="0.25">
      <c r="A1447" s="15" t="s">
        <v>13204</v>
      </c>
      <c r="B1447" s="15">
        <v>1446</v>
      </c>
      <c r="C1447" s="15" t="s">
        <v>11277</v>
      </c>
      <c r="D1447" s="15" t="s">
        <v>11647</v>
      </c>
      <c r="E1447" s="15" t="s">
        <v>73</v>
      </c>
      <c r="F1447" s="15" t="s">
        <v>15183</v>
      </c>
      <c r="G1447" s="15" t="s">
        <v>13139</v>
      </c>
      <c r="H1447" s="15">
        <v>39</v>
      </c>
      <c r="I1447" s="15">
        <v>2</v>
      </c>
      <c r="J1447" s="15">
        <v>63</v>
      </c>
      <c r="K1447" s="15" t="str">
        <f t="shared" si="22"/>
        <v>*kobayashimaru*snorthernwake</v>
      </c>
      <c r="L1447" s="15"/>
      <c r="M1447" s="15"/>
      <c r="N1447" s="15"/>
      <c r="O1447" s="15"/>
      <c r="P1447" s="15"/>
      <c r="Q1447" s="15"/>
      <c r="R1447" s="15"/>
      <c r="S1447" s="15"/>
      <c r="T1447" s="15">
        <v>0</v>
      </c>
      <c r="U1447" s="15"/>
      <c r="V1447" s="15"/>
      <c r="W1447" s="15"/>
      <c r="X1447" s="15"/>
      <c r="Y1447" s="15"/>
      <c r="Z1447" s="15"/>
    </row>
    <row r="1448" spans="1:26" x14ac:dyDescent="0.25">
      <c r="A1448" s="15" t="s">
        <v>13206</v>
      </c>
      <c r="B1448" s="15">
        <v>1447</v>
      </c>
      <c r="C1448" s="15" t="s">
        <v>11277</v>
      </c>
      <c r="D1448" s="15" t="s">
        <v>11647</v>
      </c>
      <c r="E1448" s="15" t="s">
        <v>73</v>
      </c>
      <c r="F1448" s="15" t="s">
        <v>15183</v>
      </c>
      <c r="G1448" s="15" t="s">
        <v>13148</v>
      </c>
      <c r="H1448" s="15">
        <v>39</v>
      </c>
      <c r="I1448" s="15">
        <v>2</v>
      </c>
      <c r="J1448" s="15">
        <v>64</v>
      </c>
      <c r="K1448" s="15" t="str">
        <f t="shared" si="22"/>
        <v>*kobayashimaru*snorthernwake</v>
      </c>
      <c r="L1448" s="15"/>
      <c r="M1448" s="15"/>
      <c r="N1448" s="15"/>
      <c r="O1448" s="15"/>
      <c r="P1448" s="15"/>
      <c r="Q1448" s="15"/>
      <c r="R1448" s="15"/>
      <c r="S1448" s="15"/>
      <c r="T1448" s="15">
        <v>0</v>
      </c>
      <c r="U1448" s="15"/>
      <c r="V1448" s="15"/>
      <c r="W1448" s="15"/>
      <c r="X1448" s="15"/>
      <c r="Y1448" s="15"/>
      <c r="Z1448" s="15"/>
    </row>
    <row r="1449" spans="1:26" x14ac:dyDescent="0.25">
      <c r="A1449" s="15" t="s">
        <v>13208</v>
      </c>
      <c r="B1449" s="15">
        <v>1448</v>
      </c>
      <c r="C1449" s="15" t="s">
        <v>11277</v>
      </c>
      <c r="D1449" s="15" t="s">
        <v>11647</v>
      </c>
      <c r="E1449" s="15" t="s">
        <v>73</v>
      </c>
      <c r="F1449" s="15" t="s">
        <v>15183</v>
      </c>
      <c r="G1449" s="15" t="s">
        <v>13123</v>
      </c>
      <c r="H1449" s="15">
        <v>39</v>
      </c>
      <c r="I1449" s="15">
        <v>2</v>
      </c>
      <c r="J1449" s="15">
        <v>64</v>
      </c>
      <c r="K1449" s="15" t="str">
        <f t="shared" si="22"/>
        <v>*kobayashimaru*snorthernwake</v>
      </c>
      <c r="L1449" s="15"/>
      <c r="M1449" s="15"/>
      <c r="N1449" s="15"/>
      <c r="O1449" s="15"/>
      <c r="P1449" s="15"/>
      <c r="Q1449" s="15"/>
      <c r="R1449" s="15"/>
      <c r="S1449" s="15"/>
      <c r="T1449" s="15">
        <v>0</v>
      </c>
      <c r="U1449" s="15"/>
      <c r="V1449" s="15"/>
      <c r="W1449" s="15"/>
      <c r="X1449" s="15"/>
      <c r="Y1449" s="15"/>
      <c r="Z1449" s="15"/>
    </row>
    <row r="1450" spans="1:26" x14ac:dyDescent="0.25">
      <c r="A1450" s="15" t="s">
        <v>13210</v>
      </c>
      <c r="B1450" s="15">
        <v>1449</v>
      </c>
      <c r="C1450" s="15" t="s">
        <v>11277</v>
      </c>
      <c r="D1450" s="15" t="s">
        <v>11647</v>
      </c>
      <c r="E1450" s="15" t="s">
        <v>73</v>
      </c>
      <c r="F1450" s="15" t="s">
        <v>15183</v>
      </c>
      <c r="G1450" s="15" t="s">
        <v>13167</v>
      </c>
      <c r="H1450" s="15">
        <v>39</v>
      </c>
      <c r="I1450" s="15">
        <v>2</v>
      </c>
      <c r="J1450" s="15">
        <v>68</v>
      </c>
      <c r="K1450" s="15" t="str">
        <f t="shared" si="22"/>
        <v>*kobayashimaru*snorthernwake</v>
      </c>
      <c r="L1450" s="15"/>
      <c r="M1450" s="15"/>
      <c r="N1450" s="15"/>
      <c r="O1450" s="15"/>
      <c r="P1450" s="15"/>
      <c r="Q1450" s="15"/>
      <c r="R1450" s="15"/>
      <c r="S1450" s="15"/>
      <c r="T1450" s="15">
        <v>0</v>
      </c>
      <c r="U1450" s="15"/>
      <c r="V1450" s="15"/>
      <c r="W1450" s="15"/>
      <c r="X1450" s="15"/>
      <c r="Y1450" s="15"/>
      <c r="Z1450" s="15"/>
    </row>
    <row r="1451" spans="1:26" x14ac:dyDescent="0.25">
      <c r="A1451" s="15" t="s">
        <v>13212</v>
      </c>
      <c r="B1451" s="15">
        <v>1450</v>
      </c>
      <c r="C1451" s="15" t="s">
        <v>11277</v>
      </c>
      <c r="D1451" s="15" t="s">
        <v>11647</v>
      </c>
      <c r="E1451" s="15" t="s">
        <v>73</v>
      </c>
      <c r="F1451" s="15" t="s">
        <v>15183</v>
      </c>
      <c r="G1451" s="15" t="s">
        <v>13171</v>
      </c>
      <c r="H1451" s="15">
        <v>39</v>
      </c>
      <c r="I1451" s="15">
        <v>2</v>
      </c>
      <c r="J1451" s="15">
        <v>70</v>
      </c>
      <c r="K1451" s="15" t="str">
        <f t="shared" si="22"/>
        <v>*kobayashimaru*snorthernwake</v>
      </c>
      <c r="L1451" s="15"/>
      <c r="M1451" s="15"/>
      <c r="N1451" s="15"/>
      <c r="O1451" s="15"/>
      <c r="P1451" s="15"/>
      <c r="Q1451" s="15"/>
      <c r="R1451" s="15"/>
      <c r="S1451" s="15"/>
      <c r="T1451" s="15">
        <v>0</v>
      </c>
      <c r="U1451" s="15"/>
      <c r="V1451" s="15"/>
      <c r="W1451" s="15"/>
      <c r="X1451" s="15"/>
      <c r="Y1451" s="15"/>
      <c r="Z1451" s="15"/>
    </row>
    <row r="1452" spans="1:26" x14ac:dyDescent="0.25">
      <c r="A1452" s="15" t="s">
        <v>13214</v>
      </c>
      <c r="B1452" s="15">
        <v>1451</v>
      </c>
      <c r="C1452" s="15" t="s">
        <v>11277</v>
      </c>
      <c r="D1452" s="15" t="s">
        <v>11647</v>
      </c>
      <c r="E1452" s="15" t="s">
        <v>73</v>
      </c>
      <c r="F1452" s="15" t="s">
        <v>15183</v>
      </c>
      <c r="G1452" s="15" t="s">
        <v>13181</v>
      </c>
      <c r="H1452" s="15">
        <v>39</v>
      </c>
      <c r="I1452" s="15">
        <v>2</v>
      </c>
      <c r="J1452" s="15">
        <v>70</v>
      </c>
      <c r="K1452" s="15" t="str">
        <f t="shared" si="22"/>
        <v>*kobayashimaru*snorthernwake</v>
      </c>
      <c r="L1452" s="15"/>
      <c r="M1452" s="15"/>
      <c r="N1452" s="15"/>
      <c r="O1452" s="15"/>
      <c r="P1452" s="15"/>
      <c r="Q1452" s="15"/>
      <c r="R1452" s="15"/>
      <c r="S1452" s="15"/>
      <c r="T1452" s="15">
        <v>0</v>
      </c>
      <c r="U1452" s="15"/>
      <c r="V1452" s="15"/>
      <c r="W1452" s="15"/>
      <c r="X1452" s="15"/>
      <c r="Y1452" s="15"/>
      <c r="Z1452" s="15"/>
    </row>
    <row r="1453" spans="1:26" x14ac:dyDescent="0.25">
      <c r="A1453" s="15" t="s">
        <v>13216</v>
      </c>
      <c r="B1453" s="15">
        <v>1452</v>
      </c>
      <c r="C1453" s="15" t="s">
        <v>11277</v>
      </c>
      <c r="D1453" s="15" t="s">
        <v>11647</v>
      </c>
      <c r="E1453" s="15" t="s">
        <v>133</v>
      </c>
      <c r="F1453" s="15" t="s">
        <v>15184</v>
      </c>
      <c r="G1453" s="15" t="s">
        <v>13183</v>
      </c>
      <c r="H1453" s="15">
        <v>28</v>
      </c>
      <c r="I1453" s="15">
        <v>3</v>
      </c>
      <c r="J1453" s="15">
        <v>81</v>
      </c>
      <c r="K1453" s="15" t="str">
        <f t="shared" si="22"/>
        <v>northernonokoro</v>
      </c>
      <c r="L1453" s="15"/>
      <c r="M1453" s="15"/>
      <c r="N1453" s="15"/>
      <c r="O1453" s="15"/>
      <c r="P1453" s="15"/>
      <c r="Q1453" s="15"/>
      <c r="R1453" s="15"/>
      <c r="S1453" s="15"/>
      <c r="T1453" s="15">
        <v>0</v>
      </c>
      <c r="U1453" s="15"/>
      <c r="V1453" s="15"/>
      <c r="W1453" s="15"/>
      <c r="X1453" s="15"/>
      <c r="Y1453" s="15"/>
      <c r="Z1453" s="15"/>
    </row>
    <row r="1454" spans="1:26" x14ac:dyDescent="0.25">
      <c r="A1454" s="15" t="s">
        <v>13218</v>
      </c>
      <c r="B1454" s="15">
        <v>1453</v>
      </c>
      <c r="C1454" s="15" t="s">
        <v>11277</v>
      </c>
      <c r="D1454" s="15" t="s">
        <v>11647</v>
      </c>
      <c r="E1454" s="15" t="s">
        <v>133</v>
      </c>
      <c r="F1454" s="15" t="s">
        <v>15184</v>
      </c>
      <c r="G1454" s="15" t="s">
        <v>13185</v>
      </c>
      <c r="H1454" s="15">
        <v>28</v>
      </c>
      <c r="I1454" s="15">
        <v>3</v>
      </c>
      <c r="J1454" s="15">
        <v>81</v>
      </c>
      <c r="K1454" s="15" t="str">
        <f t="shared" si="22"/>
        <v>northernonokoro</v>
      </c>
      <c r="L1454" s="15"/>
      <c r="M1454" s="15"/>
      <c r="N1454" s="15"/>
      <c r="O1454" s="15"/>
      <c r="P1454" s="15"/>
      <c r="Q1454" s="15"/>
      <c r="R1454" s="15"/>
      <c r="S1454" s="15"/>
      <c r="T1454" s="15">
        <v>0</v>
      </c>
      <c r="U1454" s="15"/>
      <c r="V1454" s="15"/>
      <c r="W1454" s="15"/>
      <c r="X1454" s="15"/>
      <c r="Y1454" s="15"/>
      <c r="Z1454" s="15"/>
    </row>
    <row r="1455" spans="1:26" x14ac:dyDescent="0.25">
      <c r="A1455" s="15" t="s">
        <v>13220</v>
      </c>
      <c r="B1455" s="15">
        <v>1454</v>
      </c>
      <c r="C1455" s="15" t="s">
        <v>11277</v>
      </c>
      <c r="D1455" s="15" t="s">
        <v>11647</v>
      </c>
      <c r="E1455" s="15" t="s">
        <v>133</v>
      </c>
      <c r="F1455" s="15" t="s">
        <v>15184</v>
      </c>
      <c r="G1455" s="15" t="s">
        <v>13187</v>
      </c>
      <c r="H1455" s="15">
        <v>28</v>
      </c>
      <c r="I1455" s="15">
        <v>3</v>
      </c>
      <c r="J1455" s="15">
        <v>82</v>
      </c>
      <c r="K1455" s="15" t="str">
        <f t="shared" si="22"/>
        <v>northernonokoro</v>
      </c>
      <c r="L1455" s="15"/>
      <c r="M1455" s="15"/>
      <c r="N1455" s="15"/>
      <c r="O1455" s="15"/>
      <c r="P1455" s="15"/>
      <c r="Q1455" s="15"/>
      <c r="R1455" s="15"/>
      <c r="S1455" s="15"/>
      <c r="T1455" s="15">
        <v>0</v>
      </c>
      <c r="U1455" s="15"/>
      <c r="V1455" s="15"/>
      <c r="W1455" s="15"/>
      <c r="X1455" s="15"/>
      <c r="Y1455" s="15"/>
      <c r="Z1455" s="15"/>
    </row>
    <row r="1456" spans="1:26" x14ac:dyDescent="0.25">
      <c r="A1456" s="15" t="s">
        <v>13222</v>
      </c>
      <c r="B1456" s="15">
        <v>1455</v>
      </c>
      <c r="C1456" s="15" t="s">
        <v>11277</v>
      </c>
      <c r="D1456" s="15" t="s">
        <v>11647</v>
      </c>
      <c r="E1456" s="15" t="s">
        <v>133</v>
      </c>
      <c r="F1456" s="15" t="s">
        <v>15184</v>
      </c>
      <c r="G1456" s="15" t="s">
        <v>13189</v>
      </c>
      <c r="H1456" s="15">
        <v>28</v>
      </c>
      <c r="I1456" s="15">
        <v>3</v>
      </c>
      <c r="J1456" s="15">
        <v>81</v>
      </c>
      <c r="K1456" s="15" t="str">
        <f t="shared" si="22"/>
        <v>northernonokoro</v>
      </c>
      <c r="L1456" s="15"/>
      <c r="M1456" s="15"/>
      <c r="N1456" s="15"/>
      <c r="O1456" s="15"/>
      <c r="P1456" s="15"/>
      <c r="Q1456" s="15"/>
      <c r="R1456" s="15"/>
      <c r="S1456" s="15"/>
      <c r="T1456" s="15">
        <v>0</v>
      </c>
      <c r="U1456" s="15"/>
      <c r="V1456" s="15"/>
      <c r="W1456" s="15"/>
      <c r="X1456" s="15"/>
      <c r="Y1456" s="15"/>
      <c r="Z1456" s="15"/>
    </row>
    <row r="1457" spans="1:26" x14ac:dyDescent="0.25">
      <c r="A1457" s="15" t="s">
        <v>13224</v>
      </c>
      <c r="B1457" s="15">
        <v>1456</v>
      </c>
      <c r="C1457" s="15" t="s">
        <v>11277</v>
      </c>
      <c r="D1457" s="15" t="s">
        <v>11647</v>
      </c>
      <c r="E1457" s="15" t="s">
        <v>133</v>
      </c>
      <c r="F1457" s="15" t="s">
        <v>15184</v>
      </c>
      <c r="G1457" s="15" t="s">
        <v>13191</v>
      </c>
      <c r="H1457" s="15">
        <v>28</v>
      </c>
      <c r="I1457" s="15">
        <v>3</v>
      </c>
      <c r="J1457" s="15">
        <v>81</v>
      </c>
      <c r="K1457" s="15" t="str">
        <f t="shared" si="22"/>
        <v>northernonokoro</v>
      </c>
      <c r="L1457" s="15"/>
      <c r="M1457" s="15"/>
      <c r="N1457" s="15"/>
      <c r="O1457" s="15"/>
      <c r="P1457" s="15"/>
      <c r="Q1457" s="15"/>
      <c r="R1457" s="15"/>
      <c r="S1457" s="15"/>
      <c r="T1457" s="15">
        <v>0</v>
      </c>
      <c r="U1457" s="15"/>
      <c r="V1457" s="15"/>
      <c r="W1457" s="15"/>
      <c r="X1457" s="15"/>
      <c r="Y1457" s="15"/>
      <c r="Z1457" s="15"/>
    </row>
    <row r="1458" spans="1:26" x14ac:dyDescent="0.25">
      <c r="A1458" s="15" t="s">
        <v>13226</v>
      </c>
      <c r="B1458" s="15">
        <v>1457</v>
      </c>
      <c r="C1458" s="15" t="s">
        <v>11277</v>
      </c>
      <c r="D1458" s="15" t="s">
        <v>11647</v>
      </c>
      <c r="E1458" s="15" t="s">
        <v>133</v>
      </c>
      <c r="F1458" s="15" t="s">
        <v>15184</v>
      </c>
      <c r="G1458" s="15" t="s">
        <v>13193</v>
      </c>
      <c r="H1458" s="15">
        <v>28</v>
      </c>
      <c r="I1458" s="15">
        <v>3</v>
      </c>
      <c r="J1458" s="15">
        <v>82</v>
      </c>
      <c r="K1458" s="15" t="str">
        <f t="shared" si="22"/>
        <v>northernonokoro</v>
      </c>
      <c r="L1458" s="15"/>
      <c r="M1458" s="15"/>
      <c r="N1458" s="15"/>
      <c r="O1458" s="15"/>
      <c r="P1458" s="15"/>
      <c r="Q1458" s="15"/>
      <c r="R1458" s="15"/>
      <c r="S1458" s="15"/>
      <c r="T1458" s="15">
        <v>0</v>
      </c>
      <c r="U1458" s="15"/>
      <c r="V1458" s="15"/>
      <c r="W1458" s="15"/>
      <c r="X1458" s="15"/>
      <c r="Y1458" s="15"/>
      <c r="Z1458" s="15"/>
    </row>
    <row r="1459" spans="1:26" x14ac:dyDescent="0.25">
      <c r="A1459" s="15" t="s">
        <v>13228</v>
      </c>
      <c r="B1459" s="15">
        <v>1458</v>
      </c>
      <c r="C1459" s="15" t="s">
        <v>11277</v>
      </c>
      <c r="D1459" s="15" t="s">
        <v>11647</v>
      </c>
      <c r="E1459" s="15" t="s">
        <v>133</v>
      </c>
      <c r="F1459" s="15" t="s">
        <v>15185</v>
      </c>
      <c r="G1459" s="15" t="s">
        <v>13195</v>
      </c>
      <c r="H1459" s="15">
        <v>11</v>
      </c>
      <c r="I1459" s="15">
        <v>13</v>
      </c>
      <c r="J1459" s="15">
        <v>83</v>
      </c>
      <c r="K1459" s="15" t="str">
        <f t="shared" si="22"/>
        <v>isarislope</v>
      </c>
      <c r="L1459" s="15"/>
      <c r="M1459" s="15"/>
      <c r="N1459" s="15"/>
      <c r="O1459" s="15"/>
      <c r="P1459" s="15"/>
      <c r="Q1459" s="15"/>
      <c r="R1459" s="15"/>
      <c r="S1459" s="15"/>
      <c r="T1459" s="15">
        <v>0</v>
      </c>
      <c r="U1459" s="15"/>
      <c r="V1459" s="15"/>
      <c r="W1459" s="15"/>
      <c r="X1459" s="15"/>
      <c r="Y1459" s="15"/>
      <c r="Z1459" s="15"/>
    </row>
    <row r="1460" spans="1:26" x14ac:dyDescent="0.25">
      <c r="A1460" s="15" t="s">
        <v>13230</v>
      </c>
      <c r="B1460" s="15">
        <v>1459</v>
      </c>
      <c r="C1460" s="15" t="s">
        <v>11277</v>
      </c>
      <c r="D1460" s="15" t="s">
        <v>11647</v>
      </c>
      <c r="E1460" s="15" t="s">
        <v>133</v>
      </c>
      <c r="F1460" s="15" t="s">
        <v>15185</v>
      </c>
      <c r="G1460" s="15" t="s">
        <v>13197</v>
      </c>
      <c r="H1460" s="15">
        <v>11</v>
      </c>
      <c r="I1460" s="15">
        <v>13</v>
      </c>
      <c r="J1460" s="15">
        <v>84</v>
      </c>
      <c r="K1460" s="15" t="str">
        <f t="shared" si="22"/>
        <v>isarislope</v>
      </c>
      <c r="L1460" s="15"/>
      <c r="M1460" s="15"/>
      <c r="N1460" s="15"/>
      <c r="O1460" s="15"/>
      <c r="P1460" s="15"/>
      <c r="Q1460" s="15"/>
      <c r="R1460" s="15"/>
      <c r="S1460" s="15"/>
      <c r="T1460" s="15">
        <v>0</v>
      </c>
      <c r="U1460" s="15"/>
      <c r="V1460" s="15"/>
      <c r="W1460" s="15"/>
      <c r="X1460" s="15"/>
      <c r="Y1460" s="15"/>
      <c r="Z1460" s="15"/>
    </row>
    <row r="1461" spans="1:26" x14ac:dyDescent="0.25">
      <c r="A1461" s="15" t="s">
        <v>13232</v>
      </c>
      <c r="B1461" s="15">
        <v>1460</v>
      </c>
      <c r="C1461" s="15" t="s">
        <v>11277</v>
      </c>
      <c r="D1461" s="15" t="s">
        <v>11647</v>
      </c>
      <c r="E1461" s="15" t="s">
        <v>133</v>
      </c>
      <c r="F1461" s="15" t="s">
        <v>15185</v>
      </c>
      <c r="G1461" s="15" t="s">
        <v>13199</v>
      </c>
      <c r="H1461" s="15">
        <v>11</v>
      </c>
      <c r="I1461" s="15">
        <v>13</v>
      </c>
      <c r="J1461" s="15">
        <v>82</v>
      </c>
      <c r="K1461" s="15" t="str">
        <f t="shared" si="22"/>
        <v>isarislope</v>
      </c>
      <c r="L1461" s="15"/>
      <c r="M1461" s="15"/>
      <c r="N1461" s="15"/>
      <c r="O1461" s="15"/>
      <c r="P1461" s="15"/>
      <c r="Q1461" s="15"/>
      <c r="R1461" s="15"/>
      <c r="S1461" s="15"/>
      <c r="T1461" s="15">
        <v>0</v>
      </c>
      <c r="U1461" s="15"/>
      <c r="V1461" s="15"/>
      <c r="W1461" s="15"/>
      <c r="X1461" s="15"/>
      <c r="Y1461" s="15"/>
      <c r="Z1461" s="15"/>
    </row>
    <row r="1462" spans="1:26" x14ac:dyDescent="0.25">
      <c r="A1462" s="15" t="s">
        <v>13234</v>
      </c>
      <c r="B1462" s="15">
        <v>1461</v>
      </c>
      <c r="C1462" s="15" t="s">
        <v>11277</v>
      </c>
      <c r="D1462" s="15" t="s">
        <v>11647</v>
      </c>
      <c r="E1462" s="15" t="s">
        <v>133</v>
      </c>
      <c r="F1462" s="15" t="s">
        <v>15185</v>
      </c>
      <c r="G1462" s="15" t="s">
        <v>13201</v>
      </c>
      <c r="H1462" s="15">
        <v>11</v>
      </c>
      <c r="I1462" s="15">
        <v>13</v>
      </c>
      <c r="J1462" s="15">
        <v>84</v>
      </c>
      <c r="K1462" s="15" t="str">
        <f t="shared" si="22"/>
        <v>isarislope</v>
      </c>
      <c r="L1462" s="15"/>
      <c r="M1462" s="15"/>
      <c r="N1462" s="15"/>
      <c r="O1462" s="15"/>
      <c r="P1462" s="15"/>
      <c r="Q1462" s="15"/>
      <c r="R1462" s="15"/>
      <c r="S1462" s="15"/>
      <c r="T1462" s="15">
        <v>0</v>
      </c>
      <c r="U1462" s="15"/>
      <c r="V1462" s="15"/>
      <c r="W1462" s="15"/>
      <c r="X1462" s="15"/>
      <c r="Y1462" s="15"/>
      <c r="Z1462" s="15"/>
    </row>
    <row r="1463" spans="1:26" x14ac:dyDescent="0.25">
      <c r="A1463" s="15" t="s">
        <v>13236</v>
      </c>
      <c r="B1463" s="15">
        <v>1462</v>
      </c>
      <c r="C1463" s="15" t="s">
        <v>11277</v>
      </c>
      <c r="D1463" s="15" t="s">
        <v>11647</v>
      </c>
      <c r="E1463" s="15" t="s">
        <v>133</v>
      </c>
      <c r="F1463" s="15" t="s">
        <v>15185</v>
      </c>
      <c r="G1463" s="15" t="s">
        <v>13203</v>
      </c>
      <c r="H1463" s="15">
        <v>11</v>
      </c>
      <c r="I1463" s="15">
        <v>13</v>
      </c>
      <c r="J1463" s="15">
        <v>84</v>
      </c>
      <c r="K1463" s="15" t="str">
        <f t="shared" si="22"/>
        <v>isarislope</v>
      </c>
      <c r="L1463" s="15"/>
      <c r="M1463" s="15"/>
      <c r="N1463" s="15"/>
      <c r="O1463" s="15"/>
      <c r="P1463" s="15"/>
      <c r="Q1463" s="15"/>
      <c r="R1463" s="15"/>
      <c r="S1463" s="15"/>
      <c r="T1463" s="15">
        <v>0</v>
      </c>
      <c r="U1463" s="15"/>
      <c r="V1463" s="15"/>
      <c r="W1463" s="15"/>
      <c r="X1463" s="15"/>
      <c r="Y1463" s="15"/>
      <c r="Z1463" s="15"/>
    </row>
    <row r="1464" spans="1:26" x14ac:dyDescent="0.25">
      <c r="A1464" s="15" t="s">
        <v>13238</v>
      </c>
      <c r="B1464" s="15">
        <v>1463</v>
      </c>
      <c r="C1464" s="15" t="s">
        <v>11277</v>
      </c>
      <c r="D1464" s="15" t="s">
        <v>11647</v>
      </c>
      <c r="E1464" s="15" t="s">
        <v>133</v>
      </c>
      <c r="F1464" s="15" t="s">
        <v>15185</v>
      </c>
      <c r="G1464" s="15" t="s">
        <v>13205</v>
      </c>
      <c r="H1464" s="15">
        <v>11</v>
      </c>
      <c r="I1464" s="15">
        <v>13</v>
      </c>
      <c r="J1464" s="15">
        <v>85</v>
      </c>
      <c r="K1464" s="15" t="str">
        <f t="shared" si="22"/>
        <v>isarislope</v>
      </c>
      <c r="L1464" s="15"/>
      <c r="M1464" s="15"/>
      <c r="N1464" s="15"/>
      <c r="O1464" s="15"/>
      <c r="P1464" s="15"/>
      <c r="Q1464" s="15"/>
      <c r="R1464" s="15"/>
      <c r="S1464" s="15"/>
      <c r="T1464" s="15">
        <v>0</v>
      </c>
      <c r="U1464" s="15"/>
      <c r="V1464" s="15"/>
      <c r="W1464" s="15"/>
      <c r="X1464" s="15"/>
      <c r="Y1464" s="15"/>
      <c r="Z1464" s="15"/>
    </row>
    <row r="1465" spans="1:26" x14ac:dyDescent="0.25">
      <c r="A1465" s="15" t="s">
        <v>13240</v>
      </c>
      <c r="B1465" s="15">
        <v>1464</v>
      </c>
      <c r="C1465" s="15" t="s">
        <v>11277</v>
      </c>
      <c r="D1465" s="15" t="s">
        <v>11647</v>
      </c>
      <c r="E1465" s="15" t="s">
        <v>133</v>
      </c>
      <c r="F1465" s="15" t="s">
        <v>5780</v>
      </c>
      <c r="G1465" s="15" t="s">
        <v>13207</v>
      </c>
      <c r="H1465" s="15">
        <v>28</v>
      </c>
      <c r="I1465" s="15">
        <v>21</v>
      </c>
      <c r="J1465" s="15">
        <v>83</v>
      </c>
      <c r="K1465" s="15" t="str">
        <f t="shared" si="22"/>
        <v>exile</v>
      </c>
      <c r="L1465" s="15"/>
      <c r="M1465" s="15"/>
      <c r="N1465" s="15"/>
      <c r="O1465" s="15"/>
      <c r="P1465" s="15"/>
      <c r="Q1465" s="15"/>
      <c r="R1465" s="15"/>
      <c r="S1465" s="15"/>
      <c r="T1465" s="15">
        <v>0</v>
      </c>
      <c r="U1465" s="15"/>
      <c r="V1465" s="15"/>
      <c r="W1465" s="15"/>
      <c r="X1465" s="15"/>
      <c r="Y1465" s="15"/>
      <c r="Z1465" s="15"/>
    </row>
    <row r="1466" spans="1:26" x14ac:dyDescent="0.25">
      <c r="A1466" s="15" t="s">
        <v>13241</v>
      </c>
      <c r="B1466" s="15">
        <v>1465</v>
      </c>
      <c r="C1466" s="15" t="s">
        <v>11277</v>
      </c>
      <c r="D1466" s="15" t="s">
        <v>11647</v>
      </c>
      <c r="E1466" s="15" t="s">
        <v>133</v>
      </c>
      <c r="F1466" s="15" t="s">
        <v>5780</v>
      </c>
      <c r="G1466" s="15" t="s">
        <v>13209</v>
      </c>
      <c r="H1466" s="15">
        <v>28</v>
      </c>
      <c r="I1466" s="15">
        <v>21</v>
      </c>
      <c r="J1466" s="15">
        <v>84</v>
      </c>
      <c r="K1466" s="15" t="str">
        <f t="shared" si="22"/>
        <v>exile</v>
      </c>
      <c r="L1466" s="15"/>
      <c r="M1466" s="15"/>
      <c r="N1466" s="15"/>
      <c r="O1466" s="15"/>
      <c r="P1466" s="15"/>
      <c r="Q1466" s="15"/>
      <c r="R1466" s="15"/>
      <c r="S1466" s="15"/>
      <c r="T1466" s="15">
        <v>0</v>
      </c>
      <c r="U1466" s="15"/>
      <c r="V1466" s="15"/>
      <c r="W1466" s="15"/>
      <c r="X1466" s="15"/>
      <c r="Y1466" s="15"/>
      <c r="Z1466" s="15"/>
    </row>
    <row r="1467" spans="1:26" x14ac:dyDescent="0.25">
      <c r="A1467" s="15" t="s">
        <v>13243</v>
      </c>
      <c r="B1467" s="15">
        <v>1466</v>
      </c>
      <c r="C1467" s="15" t="s">
        <v>11277</v>
      </c>
      <c r="D1467" s="15" t="s">
        <v>11647</v>
      </c>
      <c r="E1467" s="15" t="s">
        <v>133</v>
      </c>
      <c r="F1467" s="15" t="s">
        <v>5780</v>
      </c>
      <c r="G1467" s="15" t="s">
        <v>13211</v>
      </c>
      <c r="H1467" s="15">
        <v>28</v>
      </c>
      <c r="I1467" s="15">
        <v>21</v>
      </c>
      <c r="J1467" s="15">
        <v>84</v>
      </c>
      <c r="K1467" s="15" t="str">
        <f t="shared" si="22"/>
        <v>exile</v>
      </c>
      <c r="L1467" s="15"/>
      <c r="M1467" s="15"/>
      <c r="N1467" s="15"/>
      <c r="O1467" s="15"/>
      <c r="P1467" s="15"/>
      <c r="Q1467" s="15"/>
      <c r="R1467" s="15"/>
      <c r="S1467" s="15"/>
      <c r="T1467" s="15">
        <v>0</v>
      </c>
      <c r="U1467" s="15"/>
      <c r="V1467" s="15"/>
      <c r="W1467" s="15"/>
      <c r="X1467" s="15"/>
      <c r="Y1467" s="15"/>
      <c r="Z1467" s="15"/>
    </row>
    <row r="1468" spans="1:26" x14ac:dyDescent="0.25">
      <c r="A1468" s="15" t="s">
        <v>13245</v>
      </c>
      <c r="B1468" s="15">
        <v>1467</v>
      </c>
      <c r="C1468" s="15" t="s">
        <v>11277</v>
      </c>
      <c r="D1468" s="15" t="s">
        <v>11647</v>
      </c>
      <c r="E1468" s="15" t="s">
        <v>133</v>
      </c>
      <c r="F1468" s="15" t="s">
        <v>5780</v>
      </c>
      <c r="G1468" s="15" t="s">
        <v>13213</v>
      </c>
      <c r="H1468" s="15">
        <v>28</v>
      </c>
      <c r="I1468" s="15">
        <v>21</v>
      </c>
      <c r="J1468" s="15">
        <v>85</v>
      </c>
      <c r="K1468" s="15" t="str">
        <f t="shared" si="22"/>
        <v>exile</v>
      </c>
      <c r="L1468" s="15"/>
      <c r="M1468" s="15"/>
      <c r="N1468" s="15"/>
      <c r="O1468" s="15"/>
      <c r="P1468" s="15"/>
      <c r="Q1468" s="15"/>
      <c r="R1468" s="15"/>
      <c r="S1468" s="15"/>
      <c r="T1468" s="15">
        <v>0</v>
      </c>
      <c r="U1468" s="15"/>
      <c r="V1468" s="15"/>
      <c r="W1468" s="15"/>
      <c r="X1468" s="15"/>
      <c r="Y1468" s="15"/>
      <c r="Z1468" s="15"/>
    </row>
    <row r="1469" spans="1:26" x14ac:dyDescent="0.25">
      <c r="A1469" s="15" t="s">
        <v>13247</v>
      </c>
      <c r="B1469" s="15">
        <v>1468</v>
      </c>
      <c r="C1469" s="15" t="s">
        <v>11277</v>
      </c>
      <c r="D1469" s="15" t="s">
        <v>11647</v>
      </c>
      <c r="E1469" s="15" t="s">
        <v>133</v>
      </c>
      <c r="F1469" s="15" t="s">
        <v>5780</v>
      </c>
      <c r="G1469" s="15" t="s">
        <v>13215</v>
      </c>
      <c r="H1469" s="15">
        <v>28</v>
      </c>
      <c r="I1469" s="15">
        <v>21</v>
      </c>
      <c r="J1469" s="15">
        <v>83</v>
      </c>
      <c r="K1469" s="15" t="str">
        <f t="shared" si="22"/>
        <v>exile</v>
      </c>
      <c r="L1469" s="15"/>
      <c r="M1469" s="15"/>
      <c r="N1469" s="15"/>
      <c r="O1469" s="15"/>
      <c r="P1469" s="15"/>
      <c r="Q1469" s="15"/>
      <c r="R1469" s="15"/>
      <c r="S1469" s="15"/>
      <c r="T1469" s="15">
        <v>0</v>
      </c>
      <c r="U1469" s="15"/>
      <c r="V1469" s="15"/>
      <c r="W1469" s="15"/>
      <c r="X1469" s="15"/>
      <c r="Y1469" s="15"/>
      <c r="Z1469" s="15"/>
    </row>
    <row r="1470" spans="1:26" x14ac:dyDescent="0.25">
      <c r="A1470" s="15" t="s">
        <v>13249</v>
      </c>
      <c r="B1470" s="15">
        <v>1469</v>
      </c>
      <c r="C1470" s="15" t="s">
        <v>11277</v>
      </c>
      <c r="D1470" s="15" t="s">
        <v>11647</v>
      </c>
      <c r="E1470" s="15" t="s">
        <v>133</v>
      </c>
      <c r="F1470" s="15" t="s">
        <v>5780</v>
      </c>
      <c r="G1470" s="15" t="s">
        <v>13217</v>
      </c>
      <c r="H1470" s="15">
        <v>28</v>
      </c>
      <c r="I1470" s="15">
        <v>21</v>
      </c>
      <c r="J1470" s="15">
        <v>83</v>
      </c>
      <c r="K1470" s="15" t="str">
        <f t="shared" si="22"/>
        <v>exile</v>
      </c>
      <c r="L1470" s="15"/>
      <c r="M1470" s="15"/>
      <c r="N1470" s="15"/>
      <c r="O1470" s="15"/>
      <c r="P1470" s="15"/>
      <c r="Q1470" s="15"/>
      <c r="R1470" s="15"/>
      <c r="S1470" s="15"/>
      <c r="T1470" s="15">
        <v>0</v>
      </c>
      <c r="U1470" s="15"/>
      <c r="V1470" s="15"/>
      <c r="W1470" s="15"/>
      <c r="X1470" s="15"/>
      <c r="Y1470" s="15"/>
      <c r="Z1470" s="15"/>
    </row>
    <row r="1471" spans="1:26" x14ac:dyDescent="0.25">
      <c r="A1471" s="15" t="s">
        <v>13251</v>
      </c>
      <c r="B1471" s="15">
        <v>1470</v>
      </c>
      <c r="C1471" s="15" t="s">
        <v>11277</v>
      </c>
      <c r="D1471" s="15" t="s">
        <v>11647</v>
      </c>
      <c r="E1471" s="15" t="s">
        <v>133</v>
      </c>
      <c r="F1471" s="15" t="s">
        <v>5780</v>
      </c>
      <c r="G1471" s="15" t="s">
        <v>13219</v>
      </c>
      <c r="H1471" s="15">
        <v>28</v>
      </c>
      <c r="I1471" s="15">
        <v>21</v>
      </c>
      <c r="J1471" s="15">
        <v>83</v>
      </c>
      <c r="K1471" s="15" t="str">
        <f t="shared" si="22"/>
        <v>exile</v>
      </c>
      <c r="L1471" s="15"/>
      <c r="M1471" s="15"/>
      <c r="N1471" s="15"/>
      <c r="O1471" s="15"/>
      <c r="P1471" s="15"/>
      <c r="Q1471" s="15"/>
      <c r="R1471" s="15"/>
      <c r="S1471" s="15"/>
      <c r="T1471" s="15">
        <v>0</v>
      </c>
      <c r="U1471" s="15"/>
      <c r="V1471" s="15"/>
      <c r="W1471" s="15"/>
      <c r="X1471" s="15"/>
      <c r="Y1471" s="15"/>
      <c r="Z1471" s="15"/>
    </row>
    <row r="1472" spans="1:26" x14ac:dyDescent="0.25">
      <c r="A1472" s="15" t="s">
        <v>13253</v>
      </c>
      <c r="B1472" s="15">
        <v>1471</v>
      </c>
      <c r="C1472" s="15" t="s">
        <v>11277</v>
      </c>
      <c r="D1472" s="15" t="s">
        <v>11647</v>
      </c>
      <c r="E1472" s="15" t="s">
        <v>133</v>
      </c>
      <c r="F1472" s="15" t="s">
        <v>15186</v>
      </c>
      <c r="G1472" s="15" t="s">
        <v>13221</v>
      </c>
      <c r="H1472" s="15">
        <v>37</v>
      </c>
      <c r="I1472" s="15">
        <v>12</v>
      </c>
      <c r="J1472" s="15">
        <v>86</v>
      </c>
      <c r="K1472" s="15" t="str">
        <f t="shared" si="22"/>
        <v>northeasternbekko</v>
      </c>
      <c r="L1472" s="15"/>
      <c r="M1472" s="15"/>
      <c r="N1472" s="15"/>
      <c r="O1472" s="15"/>
      <c r="P1472" s="15"/>
      <c r="Q1472" s="15"/>
      <c r="R1472" s="15"/>
      <c r="S1472" s="15"/>
      <c r="T1472" s="15">
        <v>0</v>
      </c>
      <c r="U1472" s="15"/>
      <c r="V1472" s="15"/>
      <c r="W1472" s="15"/>
      <c r="X1472" s="15"/>
      <c r="Y1472" s="15"/>
      <c r="Z1472" s="15"/>
    </row>
    <row r="1473" spans="1:26" x14ac:dyDescent="0.25">
      <c r="A1473" s="15" t="s">
        <v>13255</v>
      </c>
      <c r="B1473" s="15">
        <v>1472</v>
      </c>
      <c r="C1473" s="15" t="s">
        <v>11277</v>
      </c>
      <c r="D1473" s="15" t="s">
        <v>11647</v>
      </c>
      <c r="E1473" s="15" t="s">
        <v>133</v>
      </c>
      <c r="F1473" s="15" t="s">
        <v>15186</v>
      </c>
      <c r="G1473" s="15" t="s">
        <v>13223</v>
      </c>
      <c r="H1473" s="15">
        <v>37</v>
      </c>
      <c r="I1473" s="15">
        <v>12</v>
      </c>
      <c r="J1473" s="15">
        <v>87</v>
      </c>
      <c r="K1473" s="15" t="str">
        <f t="shared" si="22"/>
        <v>northeasternbekko</v>
      </c>
      <c r="L1473" s="15"/>
      <c r="M1473" s="15"/>
      <c r="N1473" s="15"/>
      <c r="O1473" s="15"/>
      <c r="P1473" s="15"/>
      <c r="Q1473" s="15"/>
      <c r="R1473" s="15"/>
      <c r="S1473" s="15"/>
      <c r="T1473" s="15">
        <v>0</v>
      </c>
      <c r="U1473" s="15"/>
      <c r="V1473" s="15"/>
      <c r="W1473" s="15"/>
      <c r="X1473" s="15"/>
      <c r="Y1473" s="15"/>
      <c r="Z1473" s="15"/>
    </row>
    <row r="1474" spans="1:26" x14ac:dyDescent="0.25">
      <c r="A1474" s="15" t="s">
        <v>13257</v>
      </c>
      <c r="B1474" s="15">
        <v>1473</v>
      </c>
      <c r="C1474" s="15" t="s">
        <v>11277</v>
      </c>
      <c r="D1474" s="15" t="s">
        <v>11647</v>
      </c>
      <c r="E1474" s="15" t="s">
        <v>133</v>
      </c>
      <c r="F1474" s="15" t="s">
        <v>15186</v>
      </c>
      <c r="G1474" s="15" t="s">
        <v>13225</v>
      </c>
      <c r="H1474" s="15">
        <v>37</v>
      </c>
      <c r="I1474" s="15">
        <v>12</v>
      </c>
      <c r="J1474" s="15">
        <v>88</v>
      </c>
      <c r="K1474" s="15" t="str">
        <f t="shared" ref="K1474:K1537" si="23">LOWER(SUBSTITUTE(SUBSTITUTE(SUBSTITUTE(SUBSTITUTE(SUBSTITUTE(F1474," ",""),"(",""),")",""),"'",""),"-",""))</f>
        <v>northeasternbekko</v>
      </c>
      <c r="L1474" s="15"/>
      <c r="M1474" s="15"/>
      <c r="N1474" s="15"/>
      <c r="O1474" s="15"/>
      <c r="P1474" s="15"/>
      <c r="Q1474" s="15"/>
      <c r="R1474" s="15"/>
      <c r="S1474" s="15"/>
      <c r="T1474" s="15">
        <v>0</v>
      </c>
      <c r="U1474" s="15"/>
      <c r="V1474" s="15"/>
      <c r="W1474" s="15"/>
      <c r="X1474" s="15"/>
      <c r="Y1474" s="15"/>
      <c r="Z1474" s="15"/>
    </row>
    <row r="1475" spans="1:26" x14ac:dyDescent="0.25">
      <c r="A1475" s="15" t="s">
        <v>13259</v>
      </c>
      <c r="B1475" s="15">
        <v>1474</v>
      </c>
      <c r="C1475" s="15" t="s">
        <v>11277</v>
      </c>
      <c r="D1475" s="15" t="s">
        <v>11647</v>
      </c>
      <c r="E1475" s="15" t="s">
        <v>133</v>
      </c>
      <c r="F1475" s="15" t="s">
        <v>15186</v>
      </c>
      <c r="G1475" s="15" t="s">
        <v>13227</v>
      </c>
      <c r="H1475" s="15">
        <v>37</v>
      </c>
      <c r="I1475" s="15">
        <v>12</v>
      </c>
      <c r="J1475" s="15">
        <v>87</v>
      </c>
      <c r="K1475" s="15" t="str">
        <f t="shared" si="23"/>
        <v>northeasternbekko</v>
      </c>
      <c r="L1475" s="15"/>
      <c r="M1475" s="15"/>
      <c r="N1475" s="15"/>
      <c r="O1475" s="15"/>
      <c r="P1475" s="15"/>
      <c r="Q1475" s="15"/>
      <c r="R1475" s="15"/>
      <c r="S1475" s="15"/>
      <c r="T1475" s="15">
        <v>0</v>
      </c>
      <c r="U1475" s="15"/>
      <c r="V1475" s="15"/>
      <c r="W1475" s="15"/>
      <c r="X1475" s="15"/>
      <c r="Y1475" s="15"/>
      <c r="Z1475" s="15"/>
    </row>
    <row r="1476" spans="1:26" x14ac:dyDescent="0.25">
      <c r="A1476" s="15" t="s">
        <v>13261</v>
      </c>
      <c r="B1476" s="15">
        <v>1475</v>
      </c>
      <c r="C1476" s="15" t="s">
        <v>11277</v>
      </c>
      <c r="D1476" s="15" t="s">
        <v>11647</v>
      </c>
      <c r="E1476" s="15" t="s">
        <v>133</v>
      </c>
      <c r="F1476" s="15" t="s">
        <v>15186</v>
      </c>
      <c r="G1476" s="15" t="s">
        <v>13229</v>
      </c>
      <c r="H1476" s="15">
        <v>37</v>
      </c>
      <c r="I1476" s="15">
        <v>12</v>
      </c>
      <c r="J1476" s="15">
        <v>89</v>
      </c>
      <c r="K1476" s="15" t="str">
        <f t="shared" si="23"/>
        <v>northeasternbekko</v>
      </c>
      <c r="L1476" s="15"/>
      <c r="M1476" s="15"/>
      <c r="N1476" s="15"/>
      <c r="O1476" s="15"/>
      <c r="P1476" s="15"/>
      <c r="Q1476" s="15"/>
      <c r="R1476" s="15"/>
      <c r="S1476" s="15"/>
      <c r="T1476" s="15">
        <v>0</v>
      </c>
      <c r="U1476" s="15"/>
      <c r="V1476" s="15"/>
      <c r="W1476" s="15"/>
      <c r="X1476" s="15"/>
      <c r="Y1476" s="15"/>
      <c r="Z1476" s="15"/>
    </row>
    <row r="1477" spans="1:26" x14ac:dyDescent="0.25">
      <c r="A1477" s="15" t="s">
        <v>13263</v>
      </c>
      <c r="B1477" s="15">
        <v>1476</v>
      </c>
      <c r="C1477" s="15" t="s">
        <v>11277</v>
      </c>
      <c r="D1477" s="15" t="s">
        <v>11647</v>
      </c>
      <c r="E1477" s="15" t="s">
        <v>133</v>
      </c>
      <c r="F1477" s="15" t="s">
        <v>15186</v>
      </c>
      <c r="G1477" s="15" t="s">
        <v>13231</v>
      </c>
      <c r="H1477" s="15">
        <v>37</v>
      </c>
      <c r="I1477" s="15">
        <v>12</v>
      </c>
      <c r="J1477" s="15">
        <v>90</v>
      </c>
      <c r="K1477" s="15" t="str">
        <f t="shared" si="23"/>
        <v>northeasternbekko</v>
      </c>
      <c r="L1477" s="15"/>
      <c r="M1477" s="15"/>
      <c r="N1477" s="15"/>
      <c r="O1477" s="15"/>
      <c r="P1477" s="15"/>
      <c r="Q1477" s="15"/>
      <c r="R1477" s="15"/>
      <c r="S1477" s="15"/>
      <c r="T1477" s="15">
        <v>0</v>
      </c>
      <c r="U1477" s="15"/>
      <c r="V1477" s="15"/>
      <c r="W1477" s="15"/>
      <c r="X1477" s="15"/>
      <c r="Y1477" s="15"/>
      <c r="Z1477" s="15"/>
    </row>
    <row r="1478" spans="1:26" x14ac:dyDescent="0.25">
      <c r="A1478" s="15" t="s">
        <v>13265</v>
      </c>
      <c r="B1478" s="15">
        <v>1477</v>
      </c>
      <c r="C1478" s="15" t="s">
        <v>11277</v>
      </c>
      <c r="D1478" s="15" t="s">
        <v>11647</v>
      </c>
      <c r="E1478" s="15" t="s">
        <v>133</v>
      </c>
      <c r="F1478" s="15" t="s">
        <v>15186</v>
      </c>
      <c r="G1478" s="15" t="s">
        <v>13233</v>
      </c>
      <c r="H1478" s="15">
        <v>37</v>
      </c>
      <c r="I1478" s="15">
        <v>12</v>
      </c>
      <c r="J1478" s="15">
        <v>90</v>
      </c>
      <c r="K1478" s="15" t="str">
        <f t="shared" si="23"/>
        <v>northeasternbekko</v>
      </c>
      <c r="L1478" s="15"/>
      <c r="M1478" s="15"/>
      <c r="N1478" s="15"/>
      <c r="O1478" s="15"/>
      <c r="P1478" s="15"/>
      <c r="Q1478" s="15"/>
      <c r="R1478" s="15"/>
      <c r="S1478" s="15"/>
      <c r="T1478" s="15">
        <v>0</v>
      </c>
      <c r="U1478" s="15"/>
      <c r="V1478" s="15"/>
      <c r="W1478" s="15"/>
      <c r="X1478" s="15"/>
      <c r="Y1478" s="15"/>
      <c r="Z1478" s="15"/>
    </row>
    <row r="1479" spans="1:26" x14ac:dyDescent="0.25">
      <c r="A1479" s="15" t="s">
        <v>13267</v>
      </c>
      <c r="B1479" s="15">
        <v>1478</v>
      </c>
      <c r="C1479" s="15" t="s">
        <v>11277</v>
      </c>
      <c r="D1479" s="15" t="s">
        <v>11647</v>
      </c>
      <c r="E1479" s="15" t="s">
        <v>133</v>
      </c>
      <c r="F1479" s="15" t="s">
        <v>15187</v>
      </c>
      <c r="G1479" s="15" t="s">
        <v>13235</v>
      </c>
      <c r="H1479" s="15">
        <v>39</v>
      </c>
      <c r="I1479" s="15">
        <v>31</v>
      </c>
      <c r="J1479" s="15">
        <v>87</v>
      </c>
      <c r="K1479" s="15" t="str">
        <f t="shared" si="23"/>
        <v>easternbarrierisle</v>
      </c>
      <c r="L1479" s="15"/>
      <c r="M1479" s="15"/>
      <c r="N1479" s="15"/>
      <c r="O1479" s="15"/>
      <c r="P1479" s="15"/>
      <c r="Q1479" s="15"/>
      <c r="R1479" s="15"/>
      <c r="S1479" s="15"/>
      <c r="T1479" s="15">
        <v>0</v>
      </c>
      <c r="U1479" s="15"/>
      <c r="V1479" s="15"/>
      <c r="W1479" s="15"/>
      <c r="X1479" s="15"/>
      <c r="Y1479" s="15"/>
      <c r="Z1479" s="15"/>
    </row>
    <row r="1480" spans="1:26" x14ac:dyDescent="0.25">
      <c r="A1480" s="15" t="s">
        <v>13269</v>
      </c>
      <c r="B1480" s="15">
        <v>1479</v>
      </c>
      <c r="C1480" s="15" t="s">
        <v>11277</v>
      </c>
      <c r="D1480" s="15" t="s">
        <v>11647</v>
      </c>
      <c r="E1480" s="15" t="s">
        <v>133</v>
      </c>
      <c r="F1480" s="15" t="s">
        <v>15187</v>
      </c>
      <c r="G1480" s="15" t="s">
        <v>13237</v>
      </c>
      <c r="H1480" s="15">
        <v>39</v>
      </c>
      <c r="I1480" s="15">
        <v>31</v>
      </c>
      <c r="J1480" s="15">
        <v>89</v>
      </c>
      <c r="K1480" s="15" t="str">
        <f t="shared" si="23"/>
        <v>easternbarrierisle</v>
      </c>
      <c r="L1480" s="15"/>
      <c r="M1480" s="15"/>
      <c r="N1480" s="15"/>
      <c r="O1480" s="15"/>
      <c r="P1480" s="15"/>
      <c r="Q1480" s="15"/>
      <c r="R1480" s="15"/>
      <c r="S1480" s="15"/>
      <c r="T1480" s="15">
        <v>0</v>
      </c>
      <c r="U1480" s="15"/>
      <c r="V1480" s="15"/>
      <c r="W1480" s="15"/>
      <c r="X1480" s="15"/>
      <c r="Y1480" s="15"/>
      <c r="Z1480" s="15"/>
    </row>
    <row r="1481" spans="1:26" x14ac:dyDescent="0.25">
      <c r="A1481" s="15" t="s">
        <v>13271</v>
      </c>
      <c r="B1481" s="15">
        <v>1480</v>
      </c>
      <c r="C1481" s="15" t="s">
        <v>11277</v>
      </c>
      <c r="D1481" s="15" t="s">
        <v>11647</v>
      </c>
      <c r="E1481" s="15" t="s">
        <v>133</v>
      </c>
      <c r="F1481" s="15" t="s">
        <v>15187</v>
      </c>
      <c r="G1481" s="15" t="s">
        <v>13239</v>
      </c>
      <c r="H1481" s="15">
        <v>39</v>
      </c>
      <c r="I1481" s="15">
        <v>31</v>
      </c>
      <c r="J1481" s="15">
        <v>86</v>
      </c>
      <c r="K1481" s="15" t="str">
        <f t="shared" si="23"/>
        <v>easternbarrierisle</v>
      </c>
      <c r="L1481" s="15"/>
      <c r="M1481" s="15"/>
      <c r="N1481" s="15"/>
      <c r="O1481" s="15"/>
      <c r="P1481" s="15"/>
      <c r="Q1481" s="15"/>
      <c r="R1481" s="15"/>
      <c r="S1481" s="15"/>
      <c r="T1481" s="15">
        <v>0</v>
      </c>
      <c r="U1481" s="15"/>
      <c r="V1481" s="15"/>
      <c r="W1481" s="15"/>
      <c r="X1481" s="15"/>
      <c r="Y1481" s="15"/>
      <c r="Z1481" s="15"/>
    </row>
    <row r="1482" spans="1:26" x14ac:dyDescent="0.25">
      <c r="A1482" s="15" t="s">
        <v>13273</v>
      </c>
      <c r="B1482" s="15">
        <v>1481</v>
      </c>
      <c r="C1482" s="15" t="s">
        <v>11277</v>
      </c>
      <c r="D1482" s="15" t="s">
        <v>11647</v>
      </c>
      <c r="E1482" s="15" t="s">
        <v>133</v>
      </c>
      <c r="F1482" s="15" t="s">
        <v>15187</v>
      </c>
      <c r="G1482" s="15" t="s">
        <v>152</v>
      </c>
      <c r="H1482" s="15">
        <v>39</v>
      </c>
      <c r="I1482" s="15">
        <v>31</v>
      </c>
      <c r="J1482" s="15">
        <v>90</v>
      </c>
      <c r="K1482" s="15" t="str">
        <f t="shared" si="23"/>
        <v>easternbarrierisle</v>
      </c>
      <c r="L1482" s="15"/>
      <c r="M1482" s="15"/>
      <c r="N1482" s="15"/>
      <c r="O1482" s="15"/>
      <c r="P1482" s="15"/>
      <c r="Q1482" s="15"/>
      <c r="R1482" s="15"/>
      <c r="S1482" s="15"/>
      <c r="T1482" s="15">
        <v>0</v>
      </c>
      <c r="U1482" s="15"/>
      <c r="V1482" s="15"/>
      <c r="W1482" s="15"/>
      <c r="X1482" s="15"/>
      <c r="Y1482" s="15"/>
      <c r="Z1482" s="15"/>
    </row>
    <row r="1483" spans="1:26" x14ac:dyDescent="0.25">
      <c r="A1483" s="15" t="s">
        <v>13275</v>
      </c>
      <c r="B1483" s="15">
        <v>1482</v>
      </c>
      <c r="C1483" s="15" t="s">
        <v>11277</v>
      </c>
      <c r="D1483" s="15" t="s">
        <v>11647</v>
      </c>
      <c r="E1483" s="15" t="s">
        <v>133</v>
      </c>
      <c r="F1483" s="15" t="s">
        <v>15187</v>
      </c>
      <c r="G1483" s="15" t="s">
        <v>13242</v>
      </c>
      <c r="H1483" s="15">
        <v>39</v>
      </c>
      <c r="I1483" s="15">
        <v>31</v>
      </c>
      <c r="J1483" s="15">
        <v>89</v>
      </c>
      <c r="K1483" s="15" t="str">
        <f t="shared" si="23"/>
        <v>easternbarrierisle</v>
      </c>
      <c r="L1483" s="15"/>
      <c r="M1483" s="15"/>
      <c r="N1483" s="15"/>
      <c r="O1483" s="15"/>
      <c r="P1483" s="15"/>
      <c r="Q1483" s="15"/>
      <c r="R1483" s="15"/>
      <c r="S1483" s="15"/>
      <c r="T1483" s="15">
        <v>0</v>
      </c>
      <c r="U1483" s="15"/>
      <c r="V1483" s="15"/>
      <c r="W1483" s="15"/>
      <c r="X1483" s="15"/>
      <c r="Y1483" s="15"/>
      <c r="Z1483" s="15"/>
    </row>
    <row r="1484" spans="1:26" x14ac:dyDescent="0.25">
      <c r="A1484" s="15" t="s">
        <v>13277</v>
      </c>
      <c r="B1484" s="15">
        <v>1483</v>
      </c>
      <c r="C1484" s="15" t="s">
        <v>11277</v>
      </c>
      <c r="D1484" s="15" t="s">
        <v>11647</v>
      </c>
      <c r="E1484" s="15" t="s">
        <v>133</v>
      </c>
      <c r="F1484" s="15" t="s">
        <v>15187</v>
      </c>
      <c r="G1484" s="15" t="s">
        <v>13244</v>
      </c>
      <c r="H1484" s="15">
        <v>39</v>
      </c>
      <c r="I1484" s="15">
        <v>31</v>
      </c>
      <c r="J1484" s="15">
        <v>88</v>
      </c>
      <c r="K1484" s="15" t="str">
        <f t="shared" si="23"/>
        <v>easternbarrierisle</v>
      </c>
      <c r="L1484" s="15"/>
      <c r="M1484" s="15"/>
      <c r="N1484" s="15"/>
      <c r="O1484" s="15"/>
      <c r="P1484" s="15"/>
      <c r="Q1484" s="15"/>
      <c r="R1484" s="15"/>
      <c r="S1484" s="15"/>
      <c r="T1484" s="15">
        <v>0</v>
      </c>
      <c r="U1484" s="15"/>
      <c r="V1484" s="15"/>
      <c r="W1484" s="15"/>
      <c r="X1484" s="15"/>
      <c r="Y1484" s="15"/>
      <c r="Z1484" s="15"/>
    </row>
    <row r="1485" spans="1:26" x14ac:dyDescent="0.25">
      <c r="A1485" s="15" t="s">
        <v>13279</v>
      </c>
      <c r="B1485" s="15">
        <v>1484</v>
      </c>
      <c r="C1485" s="15" t="s">
        <v>11277</v>
      </c>
      <c r="D1485" s="15" t="s">
        <v>11647</v>
      </c>
      <c r="E1485" s="15" t="s">
        <v>133</v>
      </c>
      <c r="F1485" s="15" t="s">
        <v>15188</v>
      </c>
      <c r="G1485" s="15" t="s">
        <v>13189</v>
      </c>
      <c r="H1485" s="15">
        <v>23.2</v>
      </c>
      <c r="I1485" s="15">
        <v>3.6</v>
      </c>
      <c r="J1485" s="15">
        <v>81</v>
      </c>
      <c r="K1485" s="15" t="str">
        <f t="shared" si="23"/>
        <v>northwesternonokoro</v>
      </c>
      <c r="L1485" s="15"/>
      <c r="M1485" s="15"/>
      <c r="N1485" s="15"/>
      <c r="O1485" s="15"/>
      <c r="P1485" s="15"/>
      <c r="Q1485" s="15"/>
      <c r="R1485" s="15"/>
      <c r="S1485" s="15"/>
      <c r="T1485" s="15">
        <v>0</v>
      </c>
      <c r="U1485" s="15"/>
      <c r="V1485" s="15"/>
      <c r="W1485" s="15"/>
      <c r="X1485" s="15"/>
      <c r="Y1485" s="15"/>
      <c r="Z1485" s="15"/>
    </row>
    <row r="1486" spans="1:26" x14ac:dyDescent="0.25">
      <c r="A1486" s="15" t="s">
        <v>13281</v>
      </c>
      <c r="B1486" s="15">
        <v>1485</v>
      </c>
      <c r="C1486" s="15" t="s">
        <v>11277</v>
      </c>
      <c r="D1486" s="15" t="s">
        <v>11647</v>
      </c>
      <c r="E1486" s="15" t="s">
        <v>133</v>
      </c>
      <c r="F1486" s="15" t="s">
        <v>15188</v>
      </c>
      <c r="G1486" s="15" t="s">
        <v>13197</v>
      </c>
      <c r="H1486" s="15">
        <v>23.2</v>
      </c>
      <c r="I1486" s="15">
        <v>3.6</v>
      </c>
      <c r="J1486" s="15">
        <v>84</v>
      </c>
      <c r="K1486" s="15" t="str">
        <f t="shared" si="23"/>
        <v>northwesternonokoro</v>
      </c>
      <c r="L1486" s="15"/>
      <c r="M1486" s="15"/>
      <c r="N1486" s="15"/>
      <c r="O1486" s="15"/>
      <c r="P1486" s="15"/>
      <c r="Q1486" s="15"/>
      <c r="R1486" s="15"/>
      <c r="S1486" s="15"/>
      <c r="T1486" s="15">
        <v>0</v>
      </c>
      <c r="U1486" s="15"/>
      <c r="V1486" s="15"/>
      <c r="W1486" s="15"/>
      <c r="X1486" s="15"/>
      <c r="Y1486" s="15"/>
      <c r="Z1486" s="15"/>
    </row>
    <row r="1487" spans="1:26" x14ac:dyDescent="0.25">
      <c r="A1487" s="15" t="s">
        <v>13283</v>
      </c>
      <c r="B1487" s="15">
        <v>1486</v>
      </c>
      <c r="C1487" s="15" t="s">
        <v>11277</v>
      </c>
      <c r="D1487" s="15" t="s">
        <v>11647</v>
      </c>
      <c r="E1487" s="15" t="s">
        <v>133</v>
      </c>
      <c r="F1487" s="15" t="s">
        <v>15188</v>
      </c>
      <c r="G1487" s="15" t="s">
        <v>13201</v>
      </c>
      <c r="H1487" s="15">
        <v>23.2</v>
      </c>
      <c r="I1487" s="15">
        <v>3.6</v>
      </c>
      <c r="J1487" s="15">
        <v>84</v>
      </c>
      <c r="K1487" s="15" t="str">
        <f t="shared" si="23"/>
        <v>northwesternonokoro</v>
      </c>
      <c r="L1487" s="15"/>
      <c r="M1487" s="15"/>
      <c r="N1487" s="15"/>
      <c r="O1487" s="15"/>
      <c r="P1487" s="15"/>
      <c r="Q1487" s="15"/>
      <c r="R1487" s="15"/>
      <c r="S1487" s="15"/>
      <c r="T1487" s="15">
        <v>0</v>
      </c>
      <c r="U1487" s="15"/>
      <c r="V1487" s="15"/>
      <c r="W1487" s="15"/>
      <c r="X1487" s="15"/>
      <c r="Y1487" s="15"/>
      <c r="Z1487" s="15"/>
    </row>
    <row r="1488" spans="1:26" x14ac:dyDescent="0.25">
      <c r="A1488" s="15" t="s">
        <v>13285</v>
      </c>
      <c r="B1488" s="15">
        <v>1487</v>
      </c>
      <c r="C1488" s="15" t="s">
        <v>11277</v>
      </c>
      <c r="D1488" s="15" t="s">
        <v>11647</v>
      </c>
      <c r="E1488" s="15" t="s">
        <v>133</v>
      </c>
      <c r="F1488" s="15" t="s">
        <v>15188</v>
      </c>
      <c r="G1488" s="15" t="s">
        <v>13205</v>
      </c>
      <c r="H1488" s="15">
        <v>23.2</v>
      </c>
      <c r="I1488" s="15">
        <v>3.6</v>
      </c>
      <c r="J1488" s="15">
        <v>85</v>
      </c>
      <c r="K1488" s="15" t="str">
        <f t="shared" si="23"/>
        <v>northwesternonokoro</v>
      </c>
      <c r="L1488" s="15"/>
      <c r="M1488" s="15"/>
      <c r="N1488" s="15"/>
      <c r="O1488" s="15"/>
      <c r="P1488" s="15"/>
      <c r="Q1488" s="15"/>
      <c r="R1488" s="15"/>
      <c r="S1488" s="15"/>
      <c r="T1488" s="15">
        <v>0</v>
      </c>
      <c r="U1488" s="15"/>
      <c r="V1488" s="15"/>
      <c r="W1488" s="15"/>
      <c r="X1488" s="15"/>
      <c r="Y1488" s="15"/>
      <c r="Z1488" s="15"/>
    </row>
    <row r="1489" spans="1:26" x14ac:dyDescent="0.25">
      <c r="A1489" s="15" t="s">
        <v>13287</v>
      </c>
      <c r="B1489" s="15">
        <v>1488</v>
      </c>
      <c r="C1489" s="15" t="s">
        <v>11277</v>
      </c>
      <c r="D1489" s="15" t="s">
        <v>11647</v>
      </c>
      <c r="E1489" s="15" t="s">
        <v>133</v>
      </c>
      <c r="F1489" s="15" t="s">
        <v>15188</v>
      </c>
      <c r="G1489" s="15" t="s">
        <v>13246</v>
      </c>
      <c r="H1489" s="15">
        <v>23.2</v>
      </c>
      <c r="I1489" s="15">
        <v>3.6</v>
      </c>
      <c r="J1489" s="15">
        <v>84</v>
      </c>
      <c r="K1489" s="15" t="str">
        <f t="shared" si="23"/>
        <v>northwesternonokoro</v>
      </c>
      <c r="L1489" s="15"/>
      <c r="M1489" s="15"/>
      <c r="N1489" s="15"/>
      <c r="O1489" s="15"/>
      <c r="P1489" s="15"/>
      <c r="Q1489" s="15"/>
      <c r="R1489" s="15"/>
      <c r="S1489" s="15"/>
      <c r="T1489" s="15">
        <v>0</v>
      </c>
      <c r="U1489" s="15"/>
      <c r="V1489" s="15"/>
      <c r="W1489" s="15"/>
      <c r="X1489" s="15"/>
      <c r="Y1489" s="15"/>
      <c r="Z1489" s="15"/>
    </row>
    <row r="1490" spans="1:26" x14ac:dyDescent="0.25">
      <c r="A1490" s="15" t="s">
        <v>13289</v>
      </c>
      <c r="B1490" s="15">
        <v>1489</v>
      </c>
      <c r="C1490" s="15" t="s">
        <v>11277</v>
      </c>
      <c r="D1490" s="15" t="s">
        <v>11647</v>
      </c>
      <c r="E1490" s="15" t="s">
        <v>133</v>
      </c>
      <c r="F1490" s="15" t="s">
        <v>15188</v>
      </c>
      <c r="G1490" s="15" t="s">
        <v>13248</v>
      </c>
      <c r="H1490" s="15">
        <v>23.2</v>
      </c>
      <c r="I1490" s="15">
        <v>3.6</v>
      </c>
      <c r="J1490" s="15">
        <v>85</v>
      </c>
      <c r="K1490" s="15" t="str">
        <f t="shared" si="23"/>
        <v>northwesternonokoro</v>
      </c>
      <c r="L1490" s="15"/>
      <c r="M1490" s="15"/>
      <c r="N1490" s="15"/>
      <c r="O1490" s="15"/>
      <c r="P1490" s="15"/>
      <c r="Q1490" s="15"/>
      <c r="R1490" s="15"/>
      <c r="S1490" s="15"/>
      <c r="T1490" s="15">
        <v>0</v>
      </c>
      <c r="U1490" s="15"/>
      <c r="V1490" s="15"/>
      <c r="W1490" s="15"/>
      <c r="X1490" s="15"/>
      <c r="Y1490" s="15"/>
      <c r="Z1490" s="15"/>
    </row>
    <row r="1491" spans="1:26" x14ac:dyDescent="0.25">
      <c r="A1491" s="15" t="s">
        <v>13291</v>
      </c>
      <c r="B1491" s="15">
        <v>1490</v>
      </c>
      <c r="C1491" s="15" t="s">
        <v>11277</v>
      </c>
      <c r="D1491" s="15" t="s">
        <v>11647</v>
      </c>
      <c r="E1491" s="15" t="s">
        <v>133</v>
      </c>
      <c r="F1491" s="15" t="s">
        <v>5781</v>
      </c>
      <c r="G1491" s="15" t="s">
        <v>13195</v>
      </c>
      <c r="H1491" s="15">
        <v>23</v>
      </c>
      <c r="I1491" s="15">
        <v>27</v>
      </c>
      <c r="J1491" s="15">
        <v>83</v>
      </c>
      <c r="K1491" s="15" t="str">
        <f t="shared" si="23"/>
        <v>theanemonegardens</v>
      </c>
      <c r="L1491" s="15"/>
      <c r="M1491" s="15"/>
      <c r="N1491" s="15"/>
      <c r="O1491" s="15"/>
      <c r="P1491" s="15"/>
      <c r="Q1491" s="15"/>
      <c r="R1491" s="15"/>
      <c r="S1491" s="15"/>
      <c r="T1491" s="15">
        <v>0</v>
      </c>
      <c r="U1491" s="15"/>
      <c r="V1491" s="15"/>
      <c r="W1491" s="15"/>
      <c r="X1491" s="15"/>
      <c r="Y1491" s="15"/>
      <c r="Z1491" s="15"/>
    </row>
    <row r="1492" spans="1:26" x14ac:dyDescent="0.25">
      <c r="A1492" s="15" t="s">
        <v>13293</v>
      </c>
      <c r="B1492" s="15">
        <v>1491</v>
      </c>
      <c r="C1492" s="15" t="s">
        <v>11277</v>
      </c>
      <c r="D1492" s="15" t="s">
        <v>11647</v>
      </c>
      <c r="E1492" s="15" t="s">
        <v>133</v>
      </c>
      <c r="F1492" s="15" t="s">
        <v>5781</v>
      </c>
      <c r="G1492" s="15" t="s">
        <v>13199</v>
      </c>
      <c r="H1492" s="15">
        <v>23</v>
      </c>
      <c r="I1492" s="15">
        <v>27</v>
      </c>
      <c r="J1492" s="15">
        <v>82</v>
      </c>
      <c r="K1492" s="15" t="str">
        <f t="shared" si="23"/>
        <v>theanemonegardens</v>
      </c>
      <c r="L1492" s="15"/>
      <c r="M1492" s="15"/>
      <c r="N1492" s="15"/>
      <c r="O1492" s="15"/>
      <c r="P1492" s="15"/>
      <c r="Q1492" s="15"/>
      <c r="R1492" s="15"/>
      <c r="S1492" s="15"/>
      <c r="T1492" s="15">
        <v>0</v>
      </c>
      <c r="U1492" s="15"/>
      <c r="V1492" s="15"/>
      <c r="W1492" s="15"/>
      <c r="X1492" s="15"/>
      <c r="Y1492" s="15"/>
      <c r="Z1492" s="15"/>
    </row>
    <row r="1493" spans="1:26" x14ac:dyDescent="0.25">
      <c r="A1493" s="15" t="s">
        <v>13295</v>
      </c>
      <c r="B1493" s="15">
        <v>1492</v>
      </c>
      <c r="C1493" s="15" t="s">
        <v>11277</v>
      </c>
      <c r="D1493" s="15" t="s">
        <v>11647</v>
      </c>
      <c r="E1493" s="15" t="s">
        <v>133</v>
      </c>
      <c r="F1493" s="15" t="s">
        <v>5781</v>
      </c>
      <c r="G1493" s="15" t="s">
        <v>13215</v>
      </c>
      <c r="H1493" s="15">
        <v>23</v>
      </c>
      <c r="I1493" s="15">
        <v>27</v>
      </c>
      <c r="J1493" s="15">
        <v>83</v>
      </c>
      <c r="K1493" s="15" t="str">
        <f t="shared" si="23"/>
        <v>theanemonegardens</v>
      </c>
      <c r="L1493" s="15"/>
      <c r="M1493" s="15"/>
      <c r="N1493" s="15"/>
      <c r="O1493" s="15"/>
      <c r="P1493" s="15"/>
      <c r="Q1493" s="15"/>
      <c r="R1493" s="15"/>
      <c r="S1493" s="15"/>
      <c r="T1493" s="15">
        <v>0</v>
      </c>
      <c r="U1493" s="15"/>
      <c r="V1493" s="15"/>
      <c r="W1493" s="15"/>
      <c r="X1493" s="15"/>
      <c r="Y1493" s="15"/>
      <c r="Z1493" s="15"/>
    </row>
    <row r="1494" spans="1:26" x14ac:dyDescent="0.25">
      <c r="A1494" s="15" t="s">
        <v>13297</v>
      </c>
      <c r="B1494" s="15">
        <v>1493</v>
      </c>
      <c r="C1494" s="15" t="s">
        <v>11277</v>
      </c>
      <c r="D1494" s="15" t="s">
        <v>11647</v>
      </c>
      <c r="E1494" s="15" t="s">
        <v>133</v>
      </c>
      <c r="F1494" s="15" t="s">
        <v>5781</v>
      </c>
      <c r="G1494" s="15" t="s">
        <v>13250</v>
      </c>
      <c r="H1494" s="15">
        <v>23</v>
      </c>
      <c r="I1494" s="15">
        <v>27</v>
      </c>
      <c r="J1494" s="15">
        <v>82</v>
      </c>
      <c r="K1494" s="15" t="str">
        <f t="shared" si="23"/>
        <v>theanemonegardens</v>
      </c>
      <c r="L1494" s="15"/>
      <c r="M1494" s="15"/>
      <c r="N1494" s="15"/>
      <c r="O1494" s="15"/>
      <c r="P1494" s="15"/>
      <c r="Q1494" s="15"/>
      <c r="R1494" s="15"/>
      <c r="S1494" s="15"/>
      <c r="T1494" s="15">
        <v>0</v>
      </c>
      <c r="U1494" s="15"/>
      <c r="V1494" s="15"/>
      <c r="W1494" s="15"/>
      <c r="X1494" s="15"/>
      <c r="Y1494" s="15"/>
      <c r="Z1494" s="15"/>
    </row>
    <row r="1495" spans="1:26" x14ac:dyDescent="0.25">
      <c r="A1495" s="15" t="s">
        <v>13299</v>
      </c>
      <c r="B1495" s="15">
        <v>1494</v>
      </c>
      <c r="C1495" s="15" t="s">
        <v>11277</v>
      </c>
      <c r="D1495" s="15" t="s">
        <v>11647</v>
      </c>
      <c r="E1495" s="15" t="s">
        <v>133</v>
      </c>
      <c r="F1495" s="15" t="s">
        <v>15189</v>
      </c>
      <c r="G1495" s="15" t="s">
        <v>13183</v>
      </c>
      <c r="H1495" s="15">
        <v>19</v>
      </c>
      <c r="I1495" s="15">
        <v>13</v>
      </c>
      <c r="J1495" s="15">
        <v>81</v>
      </c>
      <c r="K1495" s="15" t="str">
        <f t="shared" si="23"/>
        <v>saibaicavern</v>
      </c>
      <c r="L1495" s="15"/>
      <c r="M1495" s="15"/>
      <c r="N1495" s="15"/>
      <c r="O1495" s="15"/>
      <c r="P1495" s="15"/>
      <c r="Q1495" s="15"/>
      <c r="R1495" s="15"/>
      <c r="S1495" s="15"/>
      <c r="T1495" s="15">
        <v>0</v>
      </c>
      <c r="U1495" s="15"/>
      <c r="V1495" s="15"/>
      <c r="W1495" s="15"/>
      <c r="X1495" s="15"/>
      <c r="Y1495" s="15"/>
      <c r="Z1495" s="15"/>
    </row>
    <row r="1496" spans="1:26" x14ac:dyDescent="0.25">
      <c r="A1496" s="15" t="s">
        <v>13301</v>
      </c>
      <c r="B1496" s="15">
        <v>1495</v>
      </c>
      <c r="C1496" s="15" t="s">
        <v>11277</v>
      </c>
      <c r="D1496" s="15" t="s">
        <v>11647</v>
      </c>
      <c r="E1496" s="15" t="s">
        <v>133</v>
      </c>
      <c r="F1496" s="15" t="s">
        <v>15189</v>
      </c>
      <c r="G1496" s="15" t="s">
        <v>13199</v>
      </c>
      <c r="H1496" s="15">
        <v>19</v>
      </c>
      <c r="I1496" s="15">
        <v>13</v>
      </c>
      <c r="J1496" s="15">
        <v>82</v>
      </c>
      <c r="K1496" s="15" t="str">
        <f t="shared" si="23"/>
        <v>saibaicavern</v>
      </c>
      <c r="L1496" s="15"/>
      <c r="M1496" s="15"/>
      <c r="N1496" s="15"/>
      <c r="O1496" s="15"/>
      <c r="P1496" s="15"/>
      <c r="Q1496" s="15"/>
      <c r="R1496" s="15"/>
      <c r="S1496" s="15"/>
      <c r="T1496" s="15">
        <v>0</v>
      </c>
      <c r="U1496" s="15"/>
      <c r="V1496" s="15"/>
      <c r="W1496" s="15"/>
      <c r="X1496" s="15"/>
      <c r="Y1496" s="15"/>
      <c r="Z1496" s="15"/>
    </row>
    <row r="1497" spans="1:26" x14ac:dyDescent="0.25">
      <c r="A1497" s="15" t="s">
        <v>13303</v>
      </c>
      <c r="B1497" s="15">
        <v>1496</v>
      </c>
      <c r="C1497" s="15" t="s">
        <v>11277</v>
      </c>
      <c r="D1497" s="15" t="s">
        <v>11647</v>
      </c>
      <c r="E1497" s="15" t="s">
        <v>133</v>
      </c>
      <c r="F1497" s="15" t="s">
        <v>15189</v>
      </c>
      <c r="G1497" s="15" t="s">
        <v>13215</v>
      </c>
      <c r="H1497" s="15">
        <v>19</v>
      </c>
      <c r="I1497" s="15">
        <v>13</v>
      </c>
      <c r="J1497" s="15">
        <v>83</v>
      </c>
      <c r="K1497" s="15" t="str">
        <f t="shared" si="23"/>
        <v>saibaicavern</v>
      </c>
      <c r="L1497" s="15"/>
      <c r="M1497" s="15"/>
      <c r="N1497" s="15"/>
      <c r="O1497" s="15"/>
      <c r="P1497" s="15"/>
      <c r="Q1497" s="15"/>
      <c r="R1497" s="15"/>
      <c r="S1497" s="15"/>
      <c r="T1497" s="15">
        <v>0</v>
      </c>
      <c r="U1497" s="15"/>
      <c r="V1497" s="15"/>
      <c r="W1497" s="15"/>
      <c r="X1497" s="15"/>
      <c r="Y1497" s="15"/>
      <c r="Z1497" s="15"/>
    </row>
    <row r="1498" spans="1:26" x14ac:dyDescent="0.25">
      <c r="A1498" s="15" t="s">
        <v>13305</v>
      </c>
      <c r="B1498" s="15">
        <v>1497</v>
      </c>
      <c r="C1498" s="15" t="s">
        <v>11277</v>
      </c>
      <c r="D1498" s="15" t="s">
        <v>11647</v>
      </c>
      <c r="E1498" s="15" t="s">
        <v>133</v>
      </c>
      <c r="F1498" s="15" t="s">
        <v>15189</v>
      </c>
      <c r="G1498" s="15" t="s">
        <v>13487</v>
      </c>
      <c r="H1498" s="15">
        <v>19</v>
      </c>
      <c r="I1498" s="15">
        <v>13</v>
      </c>
      <c r="J1498" s="15">
        <v>83</v>
      </c>
      <c r="K1498" s="15" t="str">
        <f t="shared" si="23"/>
        <v>saibaicavern</v>
      </c>
      <c r="L1498" s="15"/>
      <c r="M1498" s="15"/>
      <c r="N1498" s="15"/>
      <c r="O1498" s="15"/>
      <c r="P1498" s="15"/>
      <c r="Q1498" s="15"/>
      <c r="R1498" s="15"/>
      <c r="S1498" s="15"/>
      <c r="T1498" s="15">
        <v>0</v>
      </c>
      <c r="U1498" s="15"/>
      <c r="V1498" s="15"/>
      <c r="W1498" s="15"/>
      <c r="X1498" s="15"/>
      <c r="Y1498" s="15"/>
      <c r="Z1498" s="15"/>
    </row>
    <row r="1499" spans="1:26" x14ac:dyDescent="0.25">
      <c r="A1499" s="15" t="s">
        <v>13307</v>
      </c>
      <c r="B1499" s="15">
        <v>1498</v>
      </c>
      <c r="C1499" s="15" t="s">
        <v>11277</v>
      </c>
      <c r="D1499" s="15" t="s">
        <v>11277</v>
      </c>
      <c r="E1499" s="15" t="s">
        <v>73</v>
      </c>
      <c r="F1499" s="15" t="s">
        <v>15190</v>
      </c>
      <c r="G1499" s="15" t="s">
        <v>13254</v>
      </c>
      <c r="H1499" s="15">
        <v>34</v>
      </c>
      <c r="I1499" s="15">
        <v>14</v>
      </c>
      <c r="J1499" s="15">
        <v>64</v>
      </c>
      <c r="K1499" s="15" t="str">
        <f t="shared" si="23"/>
        <v>theheronsnest</v>
      </c>
      <c r="L1499" s="15" t="s">
        <v>11592</v>
      </c>
      <c r="M1499" s="15">
        <v>2</v>
      </c>
      <c r="N1499" s="15" t="s">
        <v>11223</v>
      </c>
      <c r="O1499" s="15"/>
      <c r="P1499" s="15"/>
      <c r="Q1499" s="15"/>
      <c r="R1499" s="15"/>
      <c r="S1499" s="15"/>
      <c r="T1499" s="15">
        <v>0</v>
      </c>
      <c r="U1499" s="15"/>
      <c r="V1499" s="15"/>
      <c r="W1499" s="15"/>
      <c r="X1499" s="15"/>
      <c r="Y1499" s="15"/>
      <c r="Z1499" s="15"/>
    </row>
    <row r="1500" spans="1:26" x14ac:dyDescent="0.25">
      <c r="A1500" s="15" t="s">
        <v>13309</v>
      </c>
      <c r="B1500" s="15">
        <v>1499</v>
      </c>
      <c r="C1500" s="15" t="s">
        <v>11277</v>
      </c>
      <c r="D1500" s="15" t="s">
        <v>11277</v>
      </c>
      <c r="E1500" s="15" t="s">
        <v>73</v>
      </c>
      <c r="F1500" s="15" t="s">
        <v>15190</v>
      </c>
      <c r="G1500" s="15" t="s">
        <v>13256</v>
      </c>
      <c r="H1500" s="15">
        <v>34</v>
      </c>
      <c r="I1500" s="15">
        <v>14</v>
      </c>
      <c r="J1500" s="15">
        <v>65</v>
      </c>
      <c r="K1500" s="15" t="str">
        <f t="shared" si="23"/>
        <v>theheronsnest</v>
      </c>
      <c r="L1500" s="15" t="s">
        <v>12859</v>
      </c>
      <c r="M1500" s="15">
        <v>1</v>
      </c>
      <c r="N1500" s="15" t="s">
        <v>11222</v>
      </c>
      <c r="O1500" s="15"/>
      <c r="P1500" s="15"/>
      <c r="Q1500" s="15"/>
      <c r="R1500" s="15"/>
      <c r="S1500" s="15"/>
      <c r="T1500" s="15">
        <v>0</v>
      </c>
      <c r="U1500" s="15"/>
      <c r="V1500" s="15"/>
      <c r="W1500" s="15"/>
      <c r="X1500" s="15"/>
      <c r="Y1500" s="15"/>
      <c r="Z1500" s="15"/>
    </row>
    <row r="1501" spans="1:26" x14ac:dyDescent="0.25">
      <c r="A1501" s="15" t="s">
        <v>13311</v>
      </c>
      <c r="B1501" s="15">
        <v>1500</v>
      </c>
      <c r="C1501" s="15" t="s">
        <v>11277</v>
      </c>
      <c r="D1501" s="15" t="s">
        <v>11277</v>
      </c>
      <c r="E1501" s="15" t="s">
        <v>73</v>
      </c>
      <c r="F1501" s="15" t="s">
        <v>15190</v>
      </c>
      <c r="G1501" s="15" t="s">
        <v>13404</v>
      </c>
      <c r="H1501" s="15">
        <v>34</v>
      </c>
      <c r="I1501" s="15">
        <v>14</v>
      </c>
      <c r="J1501" s="15">
        <v>63</v>
      </c>
      <c r="K1501" s="15" t="str">
        <f t="shared" si="23"/>
        <v>theheronsnest</v>
      </c>
      <c r="L1501" s="15" t="s">
        <v>12809</v>
      </c>
      <c r="M1501" s="15">
        <v>1</v>
      </c>
      <c r="N1501" s="15" t="s">
        <v>11222</v>
      </c>
      <c r="O1501" s="15"/>
      <c r="P1501" s="15"/>
      <c r="Q1501" s="15"/>
      <c r="R1501" s="15"/>
      <c r="S1501" s="15"/>
      <c r="T1501" s="15">
        <v>0</v>
      </c>
      <c r="U1501" s="15"/>
      <c r="V1501" s="15"/>
      <c r="W1501" s="15"/>
      <c r="X1501" s="15"/>
      <c r="Y1501" s="15"/>
      <c r="Z1501" s="15"/>
    </row>
    <row r="1502" spans="1:26" x14ac:dyDescent="0.25">
      <c r="A1502" s="15" t="s">
        <v>13313</v>
      </c>
      <c r="B1502" s="15">
        <v>1501</v>
      </c>
      <c r="C1502" s="15" t="s">
        <v>11277</v>
      </c>
      <c r="D1502" s="15" t="s">
        <v>11277</v>
      </c>
      <c r="E1502" s="15" t="s">
        <v>73</v>
      </c>
      <c r="F1502" s="15" t="s">
        <v>15190</v>
      </c>
      <c r="G1502" s="15" t="s">
        <v>13406</v>
      </c>
      <c r="H1502" s="15">
        <v>34</v>
      </c>
      <c r="I1502" s="15">
        <v>14</v>
      </c>
      <c r="J1502" s="15">
        <v>70</v>
      </c>
      <c r="K1502" s="15" t="str">
        <f t="shared" si="23"/>
        <v>theheronsnest</v>
      </c>
      <c r="L1502" s="15" t="s">
        <v>12809</v>
      </c>
      <c r="M1502" s="15">
        <v>3</v>
      </c>
      <c r="N1502" s="15" t="s">
        <v>11223</v>
      </c>
      <c r="O1502" s="15"/>
      <c r="P1502" s="15"/>
      <c r="Q1502" s="15"/>
      <c r="R1502" s="15"/>
      <c r="S1502" s="15"/>
      <c r="T1502" s="15">
        <v>0</v>
      </c>
      <c r="U1502" s="15" t="s">
        <v>5900</v>
      </c>
      <c r="V1502" s="15"/>
      <c r="W1502" s="15"/>
      <c r="X1502" s="15"/>
      <c r="Y1502" s="15"/>
      <c r="Z1502" s="15"/>
    </row>
    <row r="1503" spans="1:26" x14ac:dyDescent="0.25">
      <c r="A1503" s="15" t="s">
        <v>13315</v>
      </c>
      <c r="B1503" s="15">
        <v>1502</v>
      </c>
      <c r="C1503" s="15" t="s">
        <v>11277</v>
      </c>
      <c r="D1503" s="15" t="s">
        <v>11277</v>
      </c>
      <c r="E1503" s="15" t="s">
        <v>73</v>
      </c>
      <c r="F1503" s="15" t="s">
        <v>15191</v>
      </c>
      <c r="G1503" s="15" t="s">
        <v>13252</v>
      </c>
      <c r="H1503" s="15">
        <v>35</v>
      </c>
      <c r="I1503" s="15">
        <v>16</v>
      </c>
      <c r="J1503" s="15">
        <v>64</v>
      </c>
      <c r="K1503" s="15" t="str">
        <f t="shared" si="23"/>
        <v>theheronsway</v>
      </c>
      <c r="L1503" s="15" t="s">
        <v>12859</v>
      </c>
      <c r="M1503" s="15">
        <v>2</v>
      </c>
      <c r="N1503" s="15" t="s">
        <v>11223</v>
      </c>
      <c r="O1503" s="15"/>
      <c r="P1503" s="15"/>
      <c r="Q1503" s="15"/>
      <c r="R1503" s="15"/>
      <c r="S1503" s="15"/>
      <c r="T1503" s="15">
        <v>0</v>
      </c>
      <c r="U1503" s="15"/>
      <c r="V1503" s="15"/>
      <c r="W1503" s="15"/>
      <c r="X1503" s="15"/>
      <c r="Y1503" s="15"/>
      <c r="Z1503" s="15"/>
    </row>
    <row r="1504" spans="1:26" x14ac:dyDescent="0.25">
      <c r="A1504" s="15" t="s">
        <v>13317</v>
      </c>
      <c r="B1504" s="15">
        <v>1503</v>
      </c>
      <c r="C1504" s="15" t="s">
        <v>11277</v>
      </c>
      <c r="D1504" s="15" t="s">
        <v>11277</v>
      </c>
      <c r="E1504" s="15" t="s">
        <v>73</v>
      </c>
      <c r="F1504" s="15" t="s">
        <v>15191</v>
      </c>
      <c r="G1504" s="15" t="s">
        <v>13254</v>
      </c>
      <c r="H1504" s="15">
        <v>35</v>
      </c>
      <c r="I1504" s="15">
        <v>16</v>
      </c>
      <c r="J1504" s="15">
        <v>64</v>
      </c>
      <c r="K1504" s="15" t="str">
        <f t="shared" si="23"/>
        <v>theheronsway</v>
      </c>
      <c r="L1504" s="15" t="s">
        <v>11592</v>
      </c>
      <c r="M1504" s="15">
        <v>2</v>
      </c>
      <c r="N1504" s="15" t="s">
        <v>11223</v>
      </c>
      <c r="O1504" s="15"/>
      <c r="P1504" s="15"/>
      <c r="Q1504" s="15"/>
      <c r="R1504" s="15"/>
      <c r="S1504" s="15"/>
      <c r="T1504" s="15">
        <v>0</v>
      </c>
      <c r="U1504" s="15"/>
      <c r="V1504" s="15"/>
      <c r="W1504" s="15"/>
      <c r="X1504" s="15"/>
      <c r="Y1504" s="15"/>
      <c r="Z1504" s="15"/>
    </row>
    <row r="1505" spans="1:26" x14ac:dyDescent="0.25">
      <c r="A1505" s="15" t="s">
        <v>13319</v>
      </c>
      <c r="B1505" s="15">
        <v>1504</v>
      </c>
      <c r="C1505" s="15" t="s">
        <v>11277</v>
      </c>
      <c r="D1505" s="15" t="s">
        <v>11277</v>
      </c>
      <c r="E1505" s="15" t="s">
        <v>73</v>
      </c>
      <c r="F1505" s="15" t="s">
        <v>15191</v>
      </c>
      <c r="G1505" s="15" t="s">
        <v>13256</v>
      </c>
      <c r="H1505" s="15">
        <v>35</v>
      </c>
      <c r="I1505" s="15">
        <v>16</v>
      </c>
      <c r="J1505" s="15">
        <v>65</v>
      </c>
      <c r="K1505" s="15" t="str">
        <f t="shared" si="23"/>
        <v>theheronsway</v>
      </c>
      <c r="L1505" s="15" t="s">
        <v>12859</v>
      </c>
      <c r="M1505" s="15">
        <v>1</v>
      </c>
      <c r="N1505" s="15" t="s">
        <v>11222</v>
      </c>
      <c r="O1505" s="15"/>
      <c r="P1505" s="15"/>
      <c r="Q1505" s="15"/>
      <c r="R1505" s="15"/>
      <c r="S1505" s="15"/>
      <c r="T1505" s="15">
        <v>0</v>
      </c>
      <c r="U1505" s="15"/>
      <c r="V1505" s="15"/>
      <c r="W1505" s="15"/>
      <c r="X1505" s="15"/>
      <c r="Y1505" s="15"/>
      <c r="Z1505" s="15"/>
    </row>
    <row r="1506" spans="1:26" x14ac:dyDescent="0.25">
      <c r="A1506" s="15" t="s">
        <v>13321</v>
      </c>
      <c r="B1506" s="15">
        <v>1505</v>
      </c>
      <c r="C1506" s="15" t="s">
        <v>11277</v>
      </c>
      <c r="D1506" s="15" t="s">
        <v>11277</v>
      </c>
      <c r="E1506" s="15" t="s">
        <v>73</v>
      </c>
      <c r="F1506" s="15" t="s">
        <v>15191</v>
      </c>
      <c r="G1506" s="15" t="s">
        <v>13258</v>
      </c>
      <c r="H1506" s="15">
        <v>35</v>
      </c>
      <c r="I1506" s="15">
        <v>16</v>
      </c>
      <c r="J1506" s="15">
        <v>70</v>
      </c>
      <c r="K1506" s="15" t="str">
        <f t="shared" si="23"/>
        <v>theheronsway</v>
      </c>
      <c r="L1506" s="15" t="s">
        <v>12859</v>
      </c>
      <c r="M1506" s="15">
        <v>3</v>
      </c>
      <c r="N1506" s="15" t="s">
        <v>11223</v>
      </c>
      <c r="O1506" s="15"/>
      <c r="P1506" s="15"/>
      <c r="Q1506" s="15"/>
      <c r="R1506" s="15"/>
      <c r="S1506" s="15"/>
      <c r="T1506" s="15">
        <v>3</v>
      </c>
      <c r="U1506" s="15" t="s">
        <v>5893</v>
      </c>
      <c r="V1506" s="15"/>
      <c r="W1506" s="15"/>
      <c r="X1506" s="15" t="s">
        <v>5892</v>
      </c>
      <c r="Y1506" s="15"/>
      <c r="Z1506" s="15"/>
    </row>
    <row r="1507" spans="1:26" x14ac:dyDescent="0.25">
      <c r="A1507" s="15" t="s">
        <v>13323</v>
      </c>
      <c r="B1507" s="15">
        <v>1506</v>
      </c>
      <c r="C1507" s="15" t="s">
        <v>11277</v>
      </c>
      <c r="D1507" s="15" t="s">
        <v>11277</v>
      </c>
      <c r="E1507" s="15" t="s">
        <v>73</v>
      </c>
      <c r="F1507" s="15" t="s">
        <v>3452</v>
      </c>
      <c r="G1507" s="15" t="s">
        <v>13260</v>
      </c>
      <c r="H1507" s="15">
        <v>29.5</v>
      </c>
      <c r="I1507" s="15">
        <v>15.5</v>
      </c>
      <c r="J1507" s="15">
        <v>64</v>
      </c>
      <c r="K1507" s="15" t="str">
        <f t="shared" si="23"/>
        <v>namai</v>
      </c>
      <c r="L1507" s="15" t="s">
        <v>12809</v>
      </c>
      <c r="M1507" s="15">
        <v>2</v>
      </c>
      <c r="N1507" s="15" t="s">
        <v>11223</v>
      </c>
      <c r="O1507" s="15"/>
      <c r="P1507" s="15"/>
      <c r="Q1507" s="15"/>
      <c r="R1507" s="15"/>
      <c r="S1507" s="15"/>
      <c r="T1507" s="15">
        <v>0</v>
      </c>
      <c r="U1507" s="15"/>
      <c r="V1507" s="15"/>
      <c r="W1507" s="15"/>
      <c r="X1507" s="15"/>
      <c r="Y1507" s="15"/>
      <c r="Z1507" s="15"/>
    </row>
    <row r="1508" spans="1:26" x14ac:dyDescent="0.25">
      <c r="A1508" s="15" t="s">
        <v>13325</v>
      </c>
      <c r="B1508" s="15">
        <v>1507</v>
      </c>
      <c r="C1508" s="15" t="s">
        <v>11277</v>
      </c>
      <c r="D1508" s="15" t="s">
        <v>11277</v>
      </c>
      <c r="E1508" s="15" t="s">
        <v>73</v>
      </c>
      <c r="F1508" s="15" t="s">
        <v>3452</v>
      </c>
      <c r="G1508" s="15" t="s">
        <v>13262</v>
      </c>
      <c r="H1508" s="15">
        <v>29.5</v>
      </c>
      <c r="I1508" s="15">
        <v>15.5</v>
      </c>
      <c r="J1508" s="15">
        <v>70</v>
      </c>
      <c r="K1508" s="15" t="str">
        <f t="shared" si="23"/>
        <v>namai</v>
      </c>
      <c r="L1508" s="15" t="s">
        <v>12848</v>
      </c>
      <c r="M1508" s="15">
        <v>3</v>
      </c>
      <c r="N1508" s="15" t="s">
        <v>11223</v>
      </c>
      <c r="O1508" s="15" t="s">
        <v>2825</v>
      </c>
      <c r="P1508" s="15"/>
      <c r="Q1508" s="15"/>
      <c r="R1508" s="15"/>
      <c r="S1508" s="15"/>
      <c r="T1508" s="15">
        <v>0</v>
      </c>
      <c r="U1508" s="15" t="s">
        <v>5893</v>
      </c>
      <c r="V1508" s="15"/>
      <c r="W1508" s="15"/>
      <c r="X1508" s="15"/>
      <c r="Y1508" s="15"/>
      <c r="Z1508" s="15"/>
    </row>
    <row r="1509" spans="1:26" x14ac:dyDescent="0.25">
      <c r="A1509" s="15" t="s">
        <v>13327</v>
      </c>
      <c r="B1509" s="15">
        <v>1508</v>
      </c>
      <c r="C1509" s="15" t="s">
        <v>11277</v>
      </c>
      <c r="D1509" s="15" t="s">
        <v>11277</v>
      </c>
      <c r="E1509" s="15" t="s">
        <v>73</v>
      </c>
      <c r="F1509" s="15" t="s">
        <v>1966</v>
      </c>
      <c r="G1509" s="15" t="s">
        <v>13254</v>
      </c>
      <c r="H1509" s="15">
        <v>11</v>
      </c>
      <c r="I1509" s="15">
        <v>14</v>
      </c>
      <c r="J1509" s="15">
        <v>64</v>
      </c>
      <c r="K1509" s="15" t="str">
        <f t="shared" si="23"/>
        <v>mercantiledocks</v>
      </c>
      <c r="L1509" s="15" t="s">
        <v>11592</v>
      </c>
      <c r="M1509" s="15">
        <v>2</v>
      </c>
      <c r="N1509" s="15" t="s">
        <v>11223</v>
      </c>
      <c r="O1509" s="15"/>
      <c r="P1509" s="15"/>
      <c r="Q1509" s="15"/>
      <c r="R1509" s="15"/>
      <c r="S1509" s="15"/>
      <c r="T1509" s="15">
        <v>0</v>
      </c>
      <c r="U1509" s="15"/>
      <c r="V1509" s="15"/>
      <c r="W1509" s="15"/>
      <c r="X1509" s="15"/>
      <c r="Y1509" s="15"/>
      <c r="Z1509" s="15"/>
    </row>
    <row r="1510" spans="1:26" x14ac:dyDescent="0.25">
      <c r="A1510" s="15" t="s">
        <v>13329</v>
      </c>
      <c r="B1510" s="15">
        <v>1509</v>
      </c>
      <c r="C1510" s="15" t="s">
        <v>11277</v>
      </c>
      <c r="D1510" s="15" t="s">
        <v>11277</v>
      </c>
      <c r="E1510" s="15" t="s">
        <v>73</v>
      </c>
      <c r="F1510" s="15" t="s">
        <v>1966</v>
      </c>
      <c r="G1510" s="15" t="s">
        <v>13312</v>
      </c>
      <c r="H1510" s="15">
        <v>11</v>
      </c>
      <c r="I1510" s="15">
        <v>14</v>
      </c>
      <c r="J1510" s="15">
        <v>67</v>
      </c>
      <c r="K1510" s="15" t="str">
        <f t="shared" si="23"/>
        <v>mercantiledocks</v>
      </c>
      <c r="L1510" s="15" t="s">
        <v>12817</v>
      </c>
      <c r="M1510" s="15">
        <v>3</v>
      </c>
      <c r="N1510" s="15" t="s">
        <v>11223</v>
      </c>
      <c r="O1510" s="15" t="s">
        <v>14063</v>
      </c>
      <c r="P1510" s="15"/>
      <c r="Q1510" s="15"/>
      <c r="R1510" s="15"/>
      <c r="S1510" s="15"/>
      <c r="T1510" s="15">
        <v>0</v>
      </c>
      <c r="U1510" s="15"/>
      <c r="V1510" s="15"/>
      <c r="W1510" s="15"/>
      <c r="X1510" s="15"/>
      <c r="Y1510" s="15"/>
      <c r="Z1510" s="15"/>
    </row>
    <row r="1511" spans="1:26" x14ac:dyDescent="0.25">
      <c r="A1511" s="15" t="s">
        <v>13331</v>
      </c>
      <c r="B1511" s="15">
        <v>1510</v>
      </c>
      <c r="C1511" s="15" t="s">
        <v>11277</v>
      </c>
      <c r="D1511" s="15" t="s">
        <v>11277</v>
      </c>
      <c r="E1511" s="15" t="s">
        <v>73</v>
      </c>
      <c r="F1511" s="15" t="s">
        <v>1966</v>
      </c>
      <c r="G1511" s="15" t="s">
        <v>13314</v>
      </c>
      <c r="H1511" s="15">
        <v>11</v>
      </c>
      <c r="I1511" s="15">
        <v>14</v>
      </c>
      <c r="J1511" s="15">
        <v>67</v>
      </c>
      <c r="K1511" s="15" t="str">
        <f t="shared" si="23"/>
        <v>mercantiledocks</v>
      </c>
      <c r="L1511" s="15" t="s">
        <v>12848</v>
      </c>
      <c r="M1511" s="15">
        <v>2</v>
      </c>
      <c r="N1511" s="15" t="s">
        <v>11223</v>
      </c>
      <c r="O1511" s="15"/>
      <c r="P1511" s="15"/>
      <c r="Q1511" s="15"/>
      <c r="R1511" s="15"/>
      <c r="S1511" s="15"/>
      <c r="T1511" s="15">
        <v>0</v>
      </c>
      <c r="U1511" s="15"/>
      <c r="V1511" s="15"/>
      <c r="W1511" s="15"/>
      <c r="X1511" s="15"/>
      <c r="Y1511" s="15"/>
      <c r="Z1511" s="15"/>
    </row>
    <row r="1512" spans="1:26" x14ac:dyDescent="0.25">
      <c r="A1512" s="15" t="s">
        <v>13333</v>
      </c>
      <c r="B1512" s="15">
        <v>1511</v>
      </c>
      <c r="C1512" s="15" t="s">
        <v>11277</v>
      </c>
      <c r="D1512" s="15" t="s">
        <v>11277</v>
      </c>
      <c r="E1512" s="15" t="s">
        <v>73</v>
      </c>
      <c r="F1512" s="15" t="s">
        <v>1966</v>
      </c>
      <c r="G1512" s="15" t="s">
        <v>13270</v>
      </c>
      <c r="H1512" s="15">
        <v>11</v>
      </c>
      <c r="I1512" s="15">
        <v>14</v>
      </c>
      <c r="J1512" s="15">
        <v>69</v>
      </c>
      <c r="K1512" s="15" t="str">
        <f t="shared" si="23"/>
        <v>mercantiledocks</v>
      </c>
      <c r="L1512" s="15" t="s">
        <v>11592</v>
      </c>
      <c r="M1512" s="15">
        <v>2</v>
      </c>
      <c r="N1512" s="15" t="s">
        <v>11223</v>
      </c>
      <c r="O1512" s="15"/>
      <c r="P1512" s="15"/>
      <c r="Q1512" s="15"/>
      <c r="R1512" s="15"/>
      <c r="S1512" s="15"/>
      <c r="T1512" s="15">
        <v>0</v>
      </c>
      <c r="U1512" s="15"/>
      <c r="V1512" s="15"/>
      <c r="W1512" s="15"/>
      <c r="X1512" s="15"/>
      <c r="Y1512" s="15"/>
      <c r="Z1512" s="15"/>
    </row>
    <row r="1513" spans="1:26" x14ac:dyDescent="0.25">
      <c r="A1513" s="15" t="s">
        <v>13335</v>
      </c>
      <c r="B1513" s="15">
        <v>1512</v>
      </c>
      <c r="C1513" s="15" t="s">
        <v>11277</v>
      </c>
      <c r="D1513" s="15" t="s">
        <v>11277</v>
      </c>
      <c r="E1513" s="15" t="s">
        <v>102</v>
      </c>
      <c r="F1513" s="15" t="s">
        <v>1966</v>
      </c>
      <c r="G1513" s="15" t="s">
        <v>13316</v>
      </c>
      <c r="H1513" s="15">
        <v>11</v>
      </c>
      <c r="I1513" s="15">
        <v>14</v>
      </c>
      <c r="J1513" s="15">
        <v>75</v>
      </c>
      <c r="K1513" s="15" t="str">
        <f t="shared" si="23"/>
        <v>mercantiledocks</v>
      </c>
      <c r="L1513" s="15" t="s">
        <v>11560</v>
      </c>
      <c r="M1513" s="15">
        <v>1</v>
      </c>
      <c r="N1513" s="15" t="s">
        <v>11222</v>
      </c>
      <c r="O1513" s="15"/>
      <c r="P1513" s="15"/>
      <c r="Q1513" s="15"/>
      <c r="R1513" s="15"/>
      <c r="S1513" s="15"/>
      <c r="T1513" s="15">
        <v>0</v>
      </c>
      <c r="U1513" s="15"/>
      <c r="V1513" s="15"/>
      <c r="W1513" s="15"/>
      <c r="X1513" s="15"/>
      <c r="Y1513" s="15"/>
      <c r="Z1513" s="15"/>
    </row>
    <row r="1514" spans="1:26" x14ac:dyDescent="0.25">
      <c r="A1514" s="15" t="s">
        <v>13337</v>
      </c>
      <c r="B1514" s="15">
        <v>1513</v>
      </c>
      <c r="C1514" s="15" t="s">
        <v>11277</v>
      </c>
      <c r="D1514" s="15" t="s">
        <v>11277</v>
      </c>
      <c r="E1514" s="15" t="s">
        <v>73</v>
      </c>
      <c r="F1514" s="15" t="s">
        <v>1966</v>
      </c>
      <c r="G1514" s="15" t="s">
        <v>13318</v>
      </c>
      <c r="H1514" s="15">
        <v>11</v>
      </c>
      <c r="I1514" s="15">
        <v>14</v>
      </c>
      <c r="J1514" s="15">
        <v>70</v>
      </c>
      <c r="K1514" s="15" t="str">
        <f t="shared" si="23"/>
        <v>mercantiledocks</v>
      </c>
      <c r="L1514" s="15" t="s">
        <v>12848</v>
      </c>
      <c r="M1514" s="15">
        <v>3</v>
      </c>
      <c r="N1514" s="15" t="s">
        <v>11223</v>
      </c>
      <c r="O1514" s="15" t="s">
        <v>14037</v>
      </c>
      <c r="P1514" s="15"/>
      <c r="Q1514" s="15"/>
      <c r="R1514" s="15"/>
      <c r="S1514" s="15"/>
      <c r="T1514" s="15">
        <v>0</v>
      </c>
      <c r="U1514" s="15" t="s">
        <v>5892</v>
      </c>
      <c r="V1514" s="15" t="s">
        <v>5908</v>
      </c>
      <c r="W1514" s="15"/>
      <c r="X1514" s="15" t="s">
        <v>5901</v>
      </c>
      <c r="Y1514" s="15"/>
      <c r="Z1514" s="15"/>
    </row>
    <row r="1515" spans="1:26" x14ac:dyDescent="0.25">
      <c r="A1515" s="15" t="s">
        <v>13339</v>
      </c>
      <c r="B1515" s="15">
        <v>1514</v>
      </c>
      <c r="C1515" s="15" t="s">
        <v>11277</v>
      </c>
      <c r="D1515" s="15" t="s">
        <v>11277</v>
      </c>
      <c r="E1515" s="15" t="s">
        <v>73</v>
      </c>
      <c r="F1515" s="15" t="s">
        <v>805</v>
      </c>
      <c r="G1515" s="15" t="s">
        <v>13254</v>
      </c>
      <c r="H1515" s="15">
        <v>13</v>
      </c>
      <c r="I1515" s="15">
        <v>6</v>
      </c>
      <c r="J1515" s="15">
        <v>64</v>
      </c>
      <c r="K1515" s="15" t="str">
        <f t="shared" si="23"/>
        <v>domacastle</v>
      </c>
      <c r="L1515" s="15" t="s">
        <v>11592</v>
      </c>
      <c r="M1515" s="15">
        <v>2</v>
      </c>
      <c r="N1515" s="15" t="s">
        <v>11223</v>
      </c>
      <c r="O1515" s="15"/>
      <c r="P1515" s="15"/>
      <c r="Q1515" s="15"/>
      <c r="R1515" s="15"/>
      <c r="S1515" s="15"/>
      <c r="T1515" s="15">
        <v>0</v>
      </c>
      <c r="U1515" s="15"/>
      <c r="V1515" s="15"/>
      <c r="W1515" s="15"/>
      <c r="X1515" s="15"/>
      <c r="Y1515" s="15"/>
      <c r="Z1515" s="15"/>
    </row>
    <row r="1516" spans="1:26" x14ac:dyDescent="0.25">
      <c r="A1516" s="15" t="s">
        <v>13341</v>
      </c>
      <c r="B1516" s="15">
        <v>1515</v>
      </c>
      <c r="C1516" s="15" t="s">
        <v>11277</v>
      </c>
      <c r="D1516" s="15" t="s">
        <v>11277</v>
      </c>
      <c r="E1516" s="15" t="s">
        <v>73</v>
      </c>
      <c r="F1516" s="15" t="s">
        <v>805</v>
      </c>
      <c r="G1516" s="15" t="s">
        <v>13320</v>
      </c>
      <c r="H1516" s="15">
        <v>13</v>
      </c>
      <c r="I1516" s="15">
        <v>6</v>
      </c>
      <c r="J1516" s="15">
        <v>67</v>
      </c>
      <c r="K1516" s="15" t="str">
        <f t="shared" si="23"/>
        <v>domacastle</v>
      </c>
      <c r="L1516" s="15" t="s">
        <v>12848</v>
      </c>
      <c r="M1516" s="15">
        <v>1</v>
      </c>
      <c r="N1516" s="15" t="s">
        <v>11222</v>
      </c>
      <c r="O1516" s="15"/>
      <c r="P1516" s="15"/>
      <c r="Q1516" s="15"/>
      <c r="R1516" s="15"/>
      <c r="S1516" s="15"/>
      <c r="T1516" s="15">
        <v>0</v>
      </c>
      <c r="U1516" s="15"/>
      <c r="V1516" s="15"/>
      <c r="W1516" s="15"/>
      <c r="X1516" s="15"/>
      <c r="Y1516" s="15"/>
      <c r="Z1516" s="15"/>
    </row>
    <row r="1517" spans="1:26" x14ac:dyDescent="0.25">
      <c r="A1517" s="15" t="s">
        <v>13343</v>
      </c>
      <c r="B1517" s="15">
        <v>1516</v>
      </c>
      <c r="C1517" s="15" t="s">
        <v>11277</v>
      </c>
      <c r="D1517" s="15" t="s">
        <v>11277</v>
      </c>
      <c r="E1517" s="15" t="s">
        <v>73</v>
      </c>
      <c r="F1517" s="15" t="s">
        <v>805</v>
      </c>
      <c r="G1517" s="15" t="s">
        <v>13322</v>
      </c>
      <c r="H1517" s="15">
        <v>13</v>
      </c>
      <c r="I1517" s="15">
        <v>6</v>
      </c>
      <c r="J1517" s="15">
        <v>67</v>
      </c>
      <c r="K1517" s="15" t="str">
        <f t="shared" si="23"/>
        <v>domacastle</v>
      </c>
      <c r="L1517" s="15" t="s">
        <v>12848</v>
      </c>
      <c r="M1517" s="15">
        <v>2</v>
      </c>
      <c r="N1517" s="15" t="s">
        <v>11223</v>
      </c>
      <c r="O1517" s="15"/>
      <c r="P1517" s="15"/>
      <c r="Q1517" s="15"/>
      <c r="R1517" s="15"/>
      <c r="S1517" s="15"/>
      <c r="T1517" s="15">
        <v>0</v>
      </c>
      <c r="U1517" s="15"/>
      <c r="V1517" s="15"/>
      <c r="W1517" s="15"/>
      <c r="X1517" s="15"/>
      <c r="Y1517" s="15"/>
      <c r="Z1517" s="15"/>
    </row>
    <row r="1518" spans="1:26" x14ac:dyDescent="0.25">
      <c r="A1518" s="15" t="s">
        <v>13345</v>
      </c>
      <c r="B1518" s="15">
        <v>1517</v>
      </c>
      <c r="C1518" s="15" t="s">
        <v>11277</v>
      </c>
      <c r="D1518" s="15" t="s">
        <v>11277</v>
      </c>
      <c r="E1518" s="15" t="s">
        <v>73</v>
      </c>
      <c r="F1518" s="15" t="s">
        <v>805</v>
      </c>
      <c r="G1518" s="15" t="s">
        <v>13324</v>
      </c>
      <c r="H1518" s="15">
        <v>13</v>
      </c>
      <c r="I1518" s="15">
        <v>6</v>
      </c>
      <c r="J1518" s="15">
        <v>67</v>
      </c>
      <c r="K1518" s="15" t="str">
        <f t="shared" si="23"/>
        <v>domacastle</v>
      </c>
      <c r="L1518" s="15" t="s">
        <v>12848</v>
      </c>
      <c r="M1518" s="15">
        <v>2</v>
      </c>
      <c r="N1518" s="15" t="s">
        <v>11223</v>
      </c>
      <c r="O1518" s="15"/>
      <c r="P1518" s="15"/>
      <c r="Q1518" s="15"/>
      <c r="R1518" s="15"/>
      <c r="S1518" s="15"/>
      <c r="T1518" s="15">
        <v>0</v>
      </c>
      <c r="U1518" s="15"/>
      <c r="V1518" s="15"/>
      <c r="W1518" s="15"/>
      <c r="X1518" s="15"/>
      <c r="Y1518" s="15"/>
      <c r="Z1518" s="15"/>
    </row>
    <row r="1519" spans="1:26" x14ac:dyDescent="0.25">
      <c r="A1519" s="15" t="s">
        <v>13347</v>
      </c>
      <c r="B1519" s="15">
        <v>1518</v>
      </c>
      <c r="C1519" s="15" t="s">
        <v>11277</v>
      </c>
      <c r="D1519" s="15" t="s">
        <v>11277</v>
      </c>
      <c r="E1519" s="15" t="s">
        <v>73</v>
      </c>
      <c r="F1519" s="15" t="s">
        <v>805</v>
      </c>
      <c r="G1519" s="15" t="s">
        <v>13326</v>
      </c>
      <c r="H1519" s="15">
        <v>13</v>
      </c>
      <c r="I1519" s="15">
        <v>6</v>
      </c>
      <c r="J1519" s="15">
        <v>68</v>
      </c>
      <c r="K1519" s="15" t="str">
        <f t="shared" si="23"/>
        <v>domacastle</v>
      </c>
      <c r="L1519" s="15" t="s">
        <v>12859</v>
      </c>
      <c r="M1519" s="15">
        <v>2</v>
      </c>
      <c r="N1519" s="15" t="s">
        <v>11223</v>
      </c>
      <c r="O1519" s="15"/>
      <c r="P1519" s="15"/>
      <c r="Q1519" s="15"/>
      <c r="R1519" s="15"/>
      <c r="S1519" s="15"/>
      <c r="T1519" s="15">
        <v>0</v>
      </c>
      <c r="U1519" s="15" t="s">
        <v>5900</v>
      </c>
      <c r="V1519" s="15" t="s">
        <v>5901</v>
      </c>
      <c r="W1519" s="15"/>
      <c r="X1519" s="15"/>
      <c r="Y1519" s="15"/>
      <c r="Z1519" s="15"/>
    </row>
    <row r="1520" spans="1:26" x14ac:dyDescent="0.25">
      <c r="A1520" s="15" t="s">
        <v>13349</v>
      </c>
      <c r="B1520" s="15">
        <v>1519</v>
      </c>
      <c r="C1520" s="15" t="s">
        <v>11277</v>
      </c>
      <c r="D1520" s="15" t="s">
        <v>11277</v>
      </c>
      <c r="E1520" s="15" t="s">
        <v>73</v>
      </c>
      <c r="F1520" s="15" t="s">
        <v>805</v>
      </c>
      <c r="G1520" s="15" t="s">
        <v>13328</v>
      </c>
      <c r="H1520" s="15">
        <v>13</v>
      </c>
      <c r="I1520" s="15">
        <v>6</v>
      </c>
      <c r="J1520" s="15">
        <v>70</v>
      </c>
      <c r="K1520" s="15" t="str">
        <f t="shared" si="23"/>
        <v>domacastle</v>
      </c>
      <c r="L1520" s="15" t="s">
        <v>12848</v>
      </c>
      <c r="M1520" s="15">
        <v>3</v>
      </c>
      <c r="N1520" s="15" t="s">
        <v>11222</v>
      </c>
      <c r="O1520" s="15" t="s">
        <v>14020</v>
      </c>
      <c r="P1520" s="15"/>
      <c r="Q1520" s="15"/>
      <c r="R1520" s="15"/>
      <c r="S1520" s="15"/>
      <c r="T1520" s="15">
        <v>0</v>
      </c>
      <c r="U1520" s="15"/>
      <c r="V1520" s="15"/>
      <c r="W1520" s="15"/>
      <c r="X1520" s="15"/>
      <c r="Y1520" s="15"/>
      <c r="Z1520" s="15"/>
    </row>
    <row r="1521" spans="1:26" x14ac:dyDescent="0.25">
      <c r="A1521" s="15" t="s">
        <v>13351</v>
      </c>
      <c r="B1521" s="15">
        <v>1520</v>
      </c>
      <c r="C1521" s="15" t="s">
        <v>11277</v>
      </c>
      <c r="D1521" s="15" t="s">
        <v>11647</v>
      </c>
      <c r="E1521" s="15" t="s">
        <v>73</v>
      </c>
      <c r="F1521" s="15" t="s">
        <v>15192</v>
      </c>
      <c r="G1521" s="15" t="s">
        <v>13330</v>
      </c>
      <c r="H1521" s="15">
        <v>15</v>
      </c>
      <c r="I1521" s="15">
        <v>37</v>
      </c>
      <c r="J1521" s="15">
        <v>61</v>
      </c>
      <c r="K1521" s="15" t="str">
        <f t="shared" si="23"/>
        <v>theoneriversouthwesternriverbeds</v>
      </c>
      <c r="L1521" s="15"/>
      <c r="M1521" s="15"/>
      <c r="N1521" s="15"/>
      <c r="O1521" s="15"/>
      <c r="P1521" s="15"/>
      <c r="Q1521" s="15"/>
      <c r="R1521" s="15"/>
      <c r="S1521" s="15"/>
      <c r="T1521" s="15">
        <v>0</v>
      </c>
      <c r="U1521" s="15"/>
      <c r="V1521" s="15"/>
      <c r="W1521" s="15"/>
      <c r="X1521" s="15"/>
      <c r="Y1521" s="15"/>
      <c r="Z1521" s="15"/>
    </row>
    <row r="1522" spans="1:26" x14ac:dyDescent="0.25">
      <c r="A1522" s="15" t="s">
        <v>13353</v>
      </c>
      <c r="B1522" s="15">
        <v>1521</v>
      </c>
      <c r="C1522" s="15" t="s">
        <v>11277</v>
      </c>
      <c r="D1522" s="15" t="s">
        <v>11647</v>
      </c>
      <c r="E1522" s="15" t="s">
        <v>73</v>
      </c>
      <c r="F1522" s="15" t="s">
        <v>15192</v>
      </c>
      <c r="G1522" s="15" t="s">
        <v>13332</v>
      </c>
      <c r="H1522" s="15">
        <v>15</v>
      </c>
      <c r="I1522" s="15">
        <v>37</v>
      </c>
      <c r="J1522" s="15">
        <v>61</v>
      </c>
      <c r="K1522" s="15" t="str">
        <f t="shared" si="23"/>
        <v>theoneriversouthwesternriverbeds</v>
      </c>
      <c r="L1522" s="15"/>
      <c r="M1522" s="15"/>
      <c r="N1522" s="15"/>
      <c r="O1522" s="15"/>
      <c r="P1522" s="15"/>
      <c r="Q1522" s="15"/>
      <c r="R1522" s="15"/>
      <c r="S1522" s="15"/>
      <c r="T1522" s="15">
        <v>0</v>
      </c>
      <c r="U1522" s="15"/>
      <c r="V1522" s="15"/>
      <c r="W1522" s="15"/>
      <c r="X1522" s="15"/>
      <c r="Y1522" s="15"/>
      <c r="Z1522" s="15"/>
    </row>
    <row r="1523" spans="1:26" x14ac:dyDescent="0.25">
      <c r="A1523" s="15" t="s">
        <v>13355</v>
      </c>
      <c r="B1523" s="15">
        <v>1522</v>
      </c>
      <c r="C1523" s="15" t="s">
        <v>11277</v>
      </c>
      <c r="D1523" s="15" t="s">
        <v>11647</v>
      </c>
      <c r="E1523" s="15" t="s">
        <v>73</v>
      </c>
      <c r="F1523" s="15" t="s">
        <v>15192</v>
      </c>
      <c r="G1523" s="15" t="s">
        <v>13334</v>
      </c>
      <c r="H1523" s="15">
        <v>15</v>
      </c>
      <c r="I1523" s="15">
        <v>37</v>
      </c>
      <c r="J1523" s="15">
        <v>62</v>
      </c>
      <c r="K1523" s="15" t="str">
        <f t="shared" si="23"/>
        <v>theoneriversouthwesternriverbeds</v>
      </c>
      <c r="L1523" s="15"/>
      <c r="M1523" s="15"/>
      <c r="N1523" s="15"/>
      <c r="O1523" s="15"/>
      <c r="P1523" s="15"/>
      <c r="Q1523" s="15"/>
      <c r="R1523" s="15"/>
      <c r="S1523" s="15"/>
      <c r="T1523" s="15">
        <v>0</v>
      </c>
      <c r="U1523" s="15"/>
      <c r="V1523" s="15"/>
      <c r="W1523" s="15"/>
      <c r="X1523" s="15"/>
      <c r="Y1523" s="15"/>
      <c r="Z1523" s="15"/>
    </row>
    <row r="1524" spans="1:26" x14ac:dyDescent="0.25">
      <c r="A1524" s="15" t="s">
        <v>13357</v>
      </c>
      <c r="B1524" s="15">
        <v>1523</v>
      </c>
      <c r="C1524" s="15" t="s">
        <v>11277</v>
      </c>
      <c r="D1524" s="15" t="s">
        <v>11647</v>
      </c>
      <c r="E1524" s="15" t="s">
        <v>73</v>
      </c>
      <c r="F1524" s="15" t="s">
        <v>15192</v>
      </c>
      <c r="G1524" s="15" t="s">
        <v>13336</v>
      </c>
      <c r="H1524" s="15">
        <v>15</v>
      </c>
      <c r="I1524" s="15">
        <v>37</v>
      </c>
      <c r="J1524" s="15">
        <v>64</v>
      </c>
      <c r="K1524" s="15" t="str">
        <f t="shared" si="23"/>
        <v>theoneriversouthwesternriverbeds</v>
      </c>
      <c r="L1524" s="15"/>
      <c r="M1524" s="15"/>
      <c r="N1524" s="15"/>
      <c r="O1524" s="15"/>
      <c r="P1524" s="15"/>
      <c r="Q1524" s="15"/>
      <c r="R1524" s="15"/>
      <c r="S1524" s="15"/>
      <c r="T1524" s="15">
        <v>0</v>
      </c>
      <c r="U1524" s="15"/>
      <c r="V1524" s="15"/>
      <c r="W1524" s="15"/>
      <c r="X1524" s="15"/>
      <c r="Y1524" s="15"/>
      <c r="Z1524" s="15"/>
    </row>
    <row r="1525" spans="1:26" x14ac:dyDescent="0.25">
      <c r="A1525" s="15" t="s">
        <v>13359</v>
      </c>
      <c r="B1525" s="15">
        <v>1524</v>
      </c>
      <c r="C1525" s="15" t="s">
        <v>11277</v>
      </c>
      <c r="D1525" s="15" t="s">
        <v>11647</v>
      </c>
      <c r="E1525" s="15" t="s">
        <v>73</v>
      </c>
      <c r="F1525" s="15" t="s">
        <v>15192</v>
      </c>
      <c r="G1525" s="15" t="s">
        <v>13338</v>
      </c>
      <c r="H1525" s="15">
        <v>15</v>
      </c>
      <c r="I1525" s="15">
        <v>37</v>
      </c>
      <c r="J1525" s="15">
        <v>65</v>
      </c>
      <c r="K1525" s="15" t="str">
        <f t="shared" si="23"/>
        <v>theoneriversouthwesternriverbeds</v>
      </c>
      <c r="L1525" s="15"/>
      <c r="M1525" s="15"/>
      <c r="N1525" s="15"/>
      <c r="O1525" s="15"/>
      <c r="P1525" s="15"/>
      <c r="Q1525" s="15"/>
      <c r="R1525" s="15"/>
      <c r="S1525" s="15"/>
      <c r="T1525" s="15">
        <v>0</v>
      </c>
      <c r="U1525" s="15"/>
      <c r="V1525" s="15"/>
      <c r="W1525" s="15"/>
      <c r="X1525" s="15"/>
      <c r="Y1525" s="15"/>
      <c r="Z1525" s="15"/>
    </row>
    <row r="1526" spans="1:26" x14ac:dyDescent="0.25">
      <c r="A1526" s="15" t="s">
        <v>13361</v>
      </c>
      <c r="B1526" s="15">
        <v>1525</v>
      </c>
      <c r="C1526" s="15" t="s">
        <v>11277</v>
      </c>
      <c r="D1526" s="15" t="s">
        <v>11647</v>
      </c>
      <c r="E1526" s="15" t="s">
        <v>73</v>
      </c>
      <c r="F1526" s="15" t="s">
        <v>15192</v>
      </c>
      <c r="G1526" s="15" t="s">
        <v>13340</v>
      </c>
      <c r="H1526" s="15">
        <v>15</v>
      </c>
      <c r="I1526" s="15">
        <v>37</v>
      </c>
      <c r="J1526" s="15">
        <v>65</v>
      </c>
      <c r="K1526" s="15" t="str">
        <f t="shared" si="23"/>
        <v>theoneriversouthwesternriverbeds</v>
      </c>
      <c r="L1526" s="15"/>
      <c r="M1526" s="15"/>
      <c r="N1526" s="15"/>
      <c r="O1526" s="15"/>
      <c r="P1526" s="15"/>
      <c r="Q1526" s="15"/>
      <c r="R1526" s="15"/>
      <c r="S1526" s="15"/>
      <c r="T1526" s="15">
        <v>0</v>
      </c>
      <c r="U1526" s="15"/>
      <c r="V1526" s="15"/>
      <c r="W1526" s="15"/>
      <c r="X1526" s="15"/>
      <c r="Y1526" s="15"/>
      <c r="Z1526" s="15"/>
    </row>
    <row r="1527" spans="1:26" x14ac:dyDescent="0.25">
      <c r="A1527" s="15" t="s">
        <v>13363</v>
      </c>
      <c r="B1527" s="15">
        <v>1526</v>
      </c>
      <c r="C1527" s="15" t="s">
        <v>11277</v>
      </c>
      <c r="D1527" s="15" t="s">
        <v>11647</v>
      </c>
      <c r="E1527" s="15" t="s">
        <v>73</v>
      </c>
      <c r="F1527" s="15" t="s">
        <v>15193</v>
      </c>
      <c r="G1527" s="15" t="s">
        <v>13342</v>
      </c>
      <c r="H1527" s="15">
        <v>21.5</v>
      </c>
      <c r="I1527" s="15">
        <v>36.6</v>
      </c>
      <c r="J1527" s="15">
        <v>61</v>
      </c>
      <c r="K1527" s="15" t="str">
        <f t="shared" si="23"/>
        <v>theoneriversouthernriverbeds</v>
      </c>
      <c r="L1527" s="15"/>
      <c r="M1527" s="15"/>
      <c r="N1527" s="15"/>
      <c r="O1527" s="15"/>
      <c r="P1527" s="15"/>
      <c r="Q1527" s="15"/>
      <c r="R1527" s="15"/>
      <c r="S1527" s="15"/>
      <c r="T1527" s="15">
        <v>0</v>
      </c>
      <c r="U1527" s="15"/>
      <c r="V1527" s="15"/>
      <c r="W1527" s="15"/>
      <c r="X1527" s="15"/>
      <c r="Y1527" s="15"/>
      <c r="Z1527" s="15"/>
    </row>
    <row r="1528" spans="1:26" x14ac:dyDescent="0.25">
      <c r="A1528" s="15" t="s">
        <v>13365</v>
      </c>
      <c r="B1528" s="15">
        <v>1527</v>
      </c>
      <c r="C1528" s="15" t="s">
        <v>11277</v>
      </c>
      <c r="D1528" s="15" t="s">
        <v>11647</v>
      </c>
      <c r="E1528" s="15" t="s">
        <v>73</v>
      </c>
      <c r="F1528" s="15" t="s">
        <v>15193</v>
      </c>
      <c r="G1528" s="15" t="s">
        <v>13344</v>
      </c>
      <c r="H1528" s="15">
        <v>21.5</v>
      </c>
      <c r="I1528" s="15">
        <v>36.6</v>
      </c>
      <c r="J1528" s="15">
        <v>61</v>
      </c>
      <c r="K1528" s="15" t="str">
        <f t="shared" si="23"/>
        <v>theoneriversouthernriverbeds</v>
      </c>
      <c r="L1528" s="15"/>
      <c r="M1528" s="15"/>
      <c r="N1528" s="15"/>
      <c r="O1528" s="15"/>
      <c r="P1528" s="15"/>
      <c r="Q1528" s="15"/>
      <c r="R1528" s="15"/>
      <c r="S1528" s="15"/>
      <c r="T1528" s="15">
        <v>0</v>
      </c>
      <c r="U1528" s="15"/>
      <c r="V1528" s="15"/>
      <c r="W1528" s="15"/>
      <c r="X1528" s="15"/>
      <c r="Y1528" s="15"/>
      <c r="Z1528" s="15"/>
    </row>
    <row r="1529" spans="1:26" x14ac:dyDescent="0.25">
      <c r="A1529" s="15" t="s">
        <v>13367</v>
      </c>
      <c r="B1529" s="15">
        <v>1528</v>
      </c>
      <c r="C1529" s="15" t="s">
        <v>11277</v>
      </c>
      <c r="D1529" s="15" t="s">
        <v>11647</v>
      </c>
      <c r="E1529" s="15" t="s">
        <v>73</v>
      </c>
      <c r="F1529" s="15" t="s">
        <v>15193</v>
      </c>
      <c r="G1529" s="15" t="s">
        <v>13346</v>
      </c>
      <c r="H1529" s="15">
        <v>21.5</v>
      </c>
      <c r="I1529" s="15">
        <v>36.6</v>
      </c>
      <c r="J1529" s="15">
        <v>62</v>
      </c>
      <c r="K1529" s="15" t="str">
        <f t="shared" si="23"/>
        <v>theoneriversouthernriverbeds</v>
      </c>
      <c r="L1529" s="15"/>
      <c r="M1529" s="15"/>
      <c r="N1529" s="15"/>
      <c r="O1529" s="15"/>
      <c r="P1529" s="15"/>
      <c r="Q1529" s="15"/>
      <c r="R1529" s="15"/>
      <c r="S1529" s="15"/>
      <c r="T1529" s="15">
        <v>0</v>
      </c>
      <c r="U1529" s="15"/>
      <c r="V1529" s="15"/>
      <c r="W1529" s="15"/>
      <c r="X1529" s="15"/>
      <c r="Y1529" s="15"/>
      <c r="Z1529" s="15"/>
    </row>
    <row r="1530" spans="1:26" x14ac:dyDescent="0.25">
      <c r="A1530" s="15" t="s">
        <v>13369</v>
      </c>
      <c r="B1530" s="15">
        <v>1529</v>
      </c>
      <c r="C1530" s="15" t="s">
        <v>11277</v>
      </c>
      <c r="D1530" s="15" t="s">
        <v>11647</v>
      </c>
      <c r="E1530" s="15" t="s">
        <v>73</v>
      </c>
      <c r="F1530" s="15" t="s">
        <v>15193</v>
      </c>
      <c r="G1530" s="15" t="s">
        <v>13348</v>
      </c>
      <c r="H1530" s="15">
        <v>21.5</v>
      </c>
      <c r="I1530" s="15">
        <v>36.6</v>
      </c>
      <c r="J1530" s="15">
        <v>63</v>
      </c>
      <c r="K1530" s="15" t="str">
        <f t="shared" si="23"/>
        <v>theoneriversouthernriverbeds</v>
      </c>
      <c r="L1530" s="15"/>
      <c r="M1530" s="15"/>
      <c r="N1530" s="15"/>
      <c r="O1530" s="15"/>
      <c r="P1530" s="15"/>
      <c r="Q1530" s="15"/>
      <c r="R1530" s="15"/>
      <c r="S1530" s="15"/>
      <c r="T1530" s="15">
        <v>0</v>
      </c>
      <c r="U1530" s="15"/>
      <c r="V1530" s="15"/>
      <c r="W1530" s="15"/>
      <c r="X1530" s="15"/>
      <c r="Y1530" s="15"/>
      <c r="Z1530" s="15"/>
    </row>
    <row r="1531" spans="1:26" x14ac:dyDescent="0.25">
      <c r="A1531" s="15" t="s">
        <v>13371</v>
      </c>
      <c r="B1531" s="15">
        <v>1530</v>
      </c>
      <c r="C1531" s="15" t="s">
        <v>11277</v>
      </c>
      <c r="D1531" s="15" t="s">
        <v>11647</v>
      </c>
      <c r="E1531" s="15" t="s">
        <v>73</v>
      </c>
      <c r="F1531" s="15" t="s">
        <v>15193</v>
      </c>
      <c r="G1531" s="15" t="s">
        <v>13350</v>
      </c>
      <c r="H1531" s="15">
        <v>21.5</v>
      </c>
      <c r="I1531" s="15">
        <v>36.6</v>
      </c>
      <c r="J1531" s="15">
        <v>63</v>
      </c>
      <c r="K1531" s="15" t="str">
        <f t="shared" si="23"/>
        <v>theoneriversouthernriverbeds</v>
      </c>
      <c r="L1531" s="15"/>
      <c r="M1531" s="15"/>
      <c r="N1531" s="15"/>
      <c r="O1531" s="15"/>
      <c r="P1531" s="15"/>
      <c r="Q1531" s="15"/>
      <c r="R1531" s="15"/>
      <c r="S1531" s="15"/>
      <c r="T1531" s="15">
        <v>0</v>
      </c>
      <c r="U1531" s="15"/>
      <c r="V1531" s="15"/>
      <c r="W1531" s="15"/>
      <c r="X1531" s="15"/>
      <c r="Y1531" s="15"/>
      <c r="Z1531" s="15"/>
    </row>
    <row r="1532" spans="1:26" x14ac:dyDescent="0.25">
      <c r="A1532" s="15" t="s">
        <v>13373</v>
      </c>
      <c r="B1532" s="15">
        <v>1531</v>
      </c>
      <c r="C1532" s="15" t="s">
        <v>11277</v>
      </c>
      <c r="D1532" s="15" t="s">
        <v>11647</v>
      </c>
      <c r="E1532" s="15" t="s">
        <v>73</v>
      </c>
      <c r="F1532" s="15" t="s">
        <v>15193</v>
      </c>
      <c r="G1532" s="15" t="s">
        <v>13352</v>
      </c>
      <c r="H1532" s="15">
        <v>21.5</v>
      </c>
      <c r="I1532" s="15">
        <v>36.6</v>
      </c>
      <c r="J1532" s="15">
        <v>64</v>
      </c>
      <c r="K1532" s="15" t="str">
        <f t="shared" si="23"/>
        <v>theoneriversouthernriverbeds</v>
      </c>
      <c r="L1532" s="15"/>
      <c r="M1532" s="15"/>
      <c r="N1532" s="15"/>
      <c r="O1532" s="15"/>
      <c r="P1532" s="15"/>
      <c r="Q1532" s="15"/>
      <c r="R1532" s="15"/>
      <c r="S1532" s="15"/>
      <c r="T1532" s="15">
        <v>0</v>
      </c>
      <c r="U1532" s="15"/>
      <c r="V1532" s="15"/>
      <c r="W1532" s="15"/>
      <c r="X1532" s="15"/>
      <c r="Y1532" s="15"/>
      <c r="Z1532" s="15"/>
    </row>
    <row r="1533" spans="1:26" x14ac:dyDescent="0.25">
      <c r="A1533" s="15" t="s">
        <v>13375</v>
      </c>
      <c r="B1533" s="15">
        <v>1532</v>
      </c>
      <c r="C1533" s="15" t="s">
        <v>11277</v>
      </c>
      <c r="D1533" s="15" t="s">
        <v>11647</v>
      </c>
      <c r="E1533" s="15" t="s">
        <v>73</v>
      </c>
      <c r="F1533" s="15" t="s">
        <v>1953</v>
      </c>
      <c r="G1533" s="15" t="s">
        <v>13354</v>
      </c>
      <c r="H1533" s="15">
        <v>34.700000000000003</v>
      </c>
      <c r="I1533" s="15">
        <v>36.700000000000003</v>
      </c>
      <c r="J1533" s="15">
        <v>61</v>
      </c>
      <c r="K1533" s="15" t="str">
        <f t="shared" si="23"/>
        <v>imperialhypersonicassaultcraftlxxiii</v>
      </c>
      <c r="L1533" s="15"/>
      <c r="M1533" s="15"/>
      <c r="N1533" s="15"/>
      <c r="O1533" s="15"/>
      <c r="P1533" s="15"/>
      <c r="Q1533" s="15"/>
      <c r="R1533" s="15"/>
      <c r="S1533" s="15"/>
      <c r="T1533" s="15">
        <v>0</v>
      </c>
      <c r="U1533" s="15"/>
      <c r="V1533" s="15"/>
      <c r="W1533" s="15"/>
      <c r="X1533" s="15"/>
      <c r="Y1533" s="15"/>
      <c r="Z1533" s="15"/>
    </row>
    <row r="1534" spans="1:26" x14ac:dyDescent="0.25">
      <c r="A1534" s="15" t="s">
        <v>13377</v>
      </c>
      <c r="B1534" s="15">
        <v>1533</v>
      </c>
      <c r="C1534" s="15" t="s">
        <v>11277</v>
      </c>
      <c r="D1534" s="15" t="s">
        <v>11647</v>
      </c>
      <c r="E1534" s="15" t="s">
        <v>73</v>
      </c>
      <c r="F1534" s="15" t="s">
        <v>1953</v>
      </c>
      <c r="G1534" s="15" t="s">
        <v>13342</v>
      </c>
      <c r="H1534" s="15">
        <v>34.700000000000003</v>
      </c>
      <c r="I1534" s="15">
        <v>36.700000000000003</v>
      </c>
      <c r="J1534" s="15">
        <v>61</v>
      </c>
      <c r="K1534" s="15" t="str">
        <f t="shared" si="23"/>
        <v>imperialhypersonicassaultcraftlxxiii</v>
      </c>
      <c r="L1534" s="15"/>
      <c r="M1534" s="15"/>
      <c r="N1534" s="15"/>
      <c r="O1534" s="15"/>
      <c r="P1534" s="15"/>
      <c r="Q1534" s="15"/>
      <c r="R1534" s="15"/>
      <c r="S1534" s="15"/>
      <c r="T1534" s="15">
        <v>0</v>
      </c>
      <c r="U1534" s="15"/>
      <c r="V1534" s="15"/>
      <c r="W1534" s="15"/>
      <c r="X1534" s="15"/>
      <c r="Y1534" s="15"/>
      <c r="Z1534" s="15"/>
    </row>
    <row r="1535" spans="1:26" x14ac:dyDescent="0.25">
      <c r="A1535" s="15" t="s">
        <v>13379</v>
      </c>
      <c r="B1535" s="15">
        <v>1534</v>
      </c>
      <c r="C1535" s="15" t="s">
        <v>11277</v>
      </c>
      <c r="D1535" s="15" t="s">
        <v>11647</v>
      </c>
      <c r="E1535" s="15" t="s">
        <v>73</v>
      </c>
      <c r="F1535" s="15" t="s">
        <v>1953</v>
      </c>
      <c r="G1535" s="15" t="s">
        <v>13356</v>
      </c>
      <c r="H1535" s="15">
        <v>34.700000000000003</v>
      </c>
      <c r="I1535" s="15">
        <v>36.700000000000003</v>
      </c>
      <c r="J1535" s="15">
        <v>62</v>
      </c>
      <c r="K1535" s="15" t="str">
        <f t="shared" si="23"/>
        <v>imperialhypersonicassaultcraftlxxiii</v>
      </c>
      <c r="L1535" s="15"/>
      <c r="M1535" s="15"/>
      <c r="N1535" s="15"/>
      <c r="O1535" s="15"/>
      <c r="P1535" s="15"/>
      <c r="Q1535" s="15"/>
      <c r="R1535" s="15"/>
      <c r="S1535" s="15"/>
      <c r="T1535" s="15">
        <v>0</v>
      </c>
      <c r="U1535" s="15"/>
      <c r="V1535" s="15"/>
      <c r="W1535" s="15"/>
      <c r="X1535" s="15"/>
      <c r="Y1535" s="15"/>
      <c r="Z1535" s="15"/>
    </row>
    <row r="1536" spans="1:26" x14ac:dyDescent="0.25">
      <c r="A1536" s="15" t="s">
        <v>13381</v>
      </c>
      <c r="B1536" s="15">
        <v>1535</v>
      </c>
      <c r="C1536" s="15" t="s">
        <v>11277</v>
      </c>
      <c r="D1536" s="15" t="s">
        <v>11647</v>
      </c>
      <c r="E1536" s="15" t="s">
        <v>73</v>
      </c>
      <c r="F1536" s="15" t="s">
        <v>1953</v>
      </c>
      <c r="G1536" s="15" t="s">
        <v>13358</v>
      </c>
      <c r="H1536" s="15">
        <v>34.700000000000003</v>
      </c>
      <c r="I1536" s="15">
        <v>36.700000000000003</v>
      </c>
      <c r="J1536" s="15">
        <v>63</v>
      </c>
      <c r="K1536" s="15" t="str">
        <f t="shared" si="23"/>
        <v>imperialhypersonicassaultcraftlxxiii</v>
      </c>
      <c r="L1536" s="15"/>
      <c r="M1536" s="15"/>
      <c r="N1536" s="15"/>
      <c r="O1536" s="15"/>
      <c r="P1536" s="15"/>
      <c r="Q1536" s="15"/>
      <c r="R1536" s="15"/>
      <c r="S1536" s="15"/>
      <c r="T1536" s="15">
        <v>0</v>
      </c>
      <c r="U1536" s="15"/>
      <c r="V1536" s="15"/>
      <c r="W1536" s="15"/>
      <c r="X1536" s="15"/>
      <c r="Y1536" s="15"/>
      <c r="Z1536" s="15"/>
    </row>
    <row r="1537" spans="1:26" x14ac:dyDescent="0.25">
      <c r="A1537" s="15" t="s">
        <v>13383</v>
      </c>
      <c r="B1537" s="15">
        <v>1536</v>
      </c>
      <c r="C1537" s="15" t="s">
        <v>11277</v>
      </c>
      <c r="D1537" s="15" t="s">
        <v>11647</v>
      </c>
      <c r="E1537" s="15" t="s">
        <v>73</v>
      </c>
      <c r="F1537" s="15" t="s">
        <v>1953</v>
      </c>
      <c r="G1537" s="15" t="s">
        <v>13360</v>
      </c>
      <c r="H1537" s="15">
        <v>34.700000000000003</v>
      </c>
      <c r="I1537" s="15">
        <v>36.700000000000003</v>
      </c>
      <c r="J1537" s="15">
        <v>65</v>
      </c>
      <c r="K1537" s="15" t="str">
        <f t="shared" si="23"/>
        <v>imperialhypersonicassaultcraftlxxiii</v>
      </c>
      <c r="L1537" s="15"/>
      <c r="M1537" s="15"/>
      <c r="N1537" s="15"/>
      <c r="O1537" s="15"/>
      <c r="P1537" s="15"/>
      <c r="Q1537" s="15"/>
      <c r="R1537" s="15"/>
      <c r="S1537" s="15"/>
      <c r="T1537" s="15">
        <v>0</v>
      </c>
      <c r="U1537" s="15"/>
      <c r="V1537" s="15"/>
      <c r="W1537" s="15"/>
      <c r="X1537" s="15"/>
      <c r="Y1537" s="15"/>
      <c r="Z1537" s="15"/>
    </row>
    <row r="1538" spans="1:26" x14ac:dyDescent="0.25">
      <c r="A1538" s="15" t="s">
        <v>13385</v>
      </c>
      <c r="B1538" s="15">
        <v>1537</v>
      </c>
      <c r="C1538" s="15" t="s">
        <v>11277</v>
      </c>
      <c r="D1538" s="15" t="s">
        <v>11647</v>
      </c>
      <c r="E1538" s="15" t="s">
        <v>73</v>
      </c>
      <c r="F1538" s="15" t="s">
        <v>1953</v>
      </c>
      <c r="G1538" s="15" t="s">
        <v>13362</v>
      </c>
      <c r="H1538" s="15">
        <v>34.700000000000003</v>
      </c>
      <c r="I1538" s="15">
        <v>36.700000000000003</v>
      </c>
      <c r="J1538" s="15">
        <v>64</v>
      </c>
      <c r="K1538" s="15" t="str">
        <f t="shared" ref="K1538:K1601" si="24">LOWER(SUBSTITUTE(SUBSTITUTE(SUBSTITUTE(SUBSTITUTE(SUBSTITUTE(F1538," ",""),"(",""),")",""),"'",""),"-",""))</f>
        <v>imperialhypersonicassaultcraftlxxiii</v>
      </c>
      <c r="L1538" s="15"/>
      <c r="M1538" s="15"/>
      <c r="N1538" s="15"/>
      <c r="O1538" s="15"/>
      <c r="P1538" s="15"/>
      <c r="Q1538" s="15"/>
      <c r="R1538" s="15"/>
      <c r="S1538" s="15"/>
      <c r="T1538" s="15">
        <v>0</v>
      </c>
      <c r="U1538" s="15"/>
      <c r="V1538" s="15"/>
      <c r="W1538" s="15"/>
      <c r="X1538" s="15"/>
      <c r="Y1538" s="15"/>
      <c r="Z1538" s="15"/>
    </row>
    <row r="1539" spans="1:26" x14ac:dyDescent="0.25">
      <c r="A1539" s="15" t="s">
        <v>13387</v>
      </c>
      <c r="B1539" s="15">
        <v>1538</v>
      </c>
      <c r="C1539" s="15" t="s">
        <v>11277</v>
      </c>
      <c r="D1539" s="15" t="s">
        <v>11647</v>
      </c>
      <c r="E1539" s="15" t="s">
        <v>73</v>
      </c>
      <c r="F1539" s="15" t="s">
        <v>15194</v>
      </c>
      <c r="G1539" s="15" t="s">
        <v>13364</v>
      </c>
      <c r="H1539" s="15">
        <v>10</v>
      </c>
      <c r="I1539" s="15">
        <v>34</v>
      </c>
      <c r="J1539" s="15">
        <v>66</v>
      </c>
      <c r="K1539" s="15" t="str">
        <f t="shared" si="24"/>
        <v>thesunkenjunk</v>
      </c>
      <c r="L1539" s="15"/>
      <c r="M1539" s="15"/>
      <c r="N1539" s="15"/>
      <c r="O1539" s="15"/>
      <c r="P1539" s="15"/>
      <c r="Q1539" s="15"/>
      <c r="R1539" s="15"/>
      <c r="S1539" s="15"/>
      <c r="T1539" s="15">
        <v>0</v>
      </c>
      <c r="U1539" s="15"/>
      <c r="V1539" s="15"/>
      <c r="W1539" s="15"/>
      <c r="X1539" s="15"/>
      <c r="Y1539" s="15"/>
      <c r="Z1539" s="15"/>
    </row>
    <row r="1540" spans="1:26" x14ac:dyDescent="0.25">
      <c r="A1540" s="15" t="s">
        <v>13389</v>
      </c>
      <c r="B1540" s="15">
        <v>1539</v>
      </c>
      <c r="C1540" s="15" t="s">
        <v>11277</v>
      </c>
      <c r="D1540" s="15" t="s">
        <v>11647</v>
      </c>
      <c r="E1540" s="15" t="s">
        <v>73</v>
      </c>
      <c r="F1540" s="15" t="s">
        <v>15194</v>
      </c>
      <c r="G1540" s="15" t="s">
        <v>13366</v>
      </c>
      <c r="H1540" s="15">
        <v>10</v>
      </c>
      <c r="I1540" s="15">
        <v>34</v>
      </c>
      <c r="J1540" s="15">
        <v>66</v>
      </c>
      <c r="K1540" s="15" t="str">
        <f t="shared" si="24"/>
        <v>thesunkenjunk</v>
      </c>
      <c r="L1540" s="15"/>
      <c r="M1540" s="15"/>
      <c r="N1540" s="15"/>
      <c r="O1540" s="15"/>
      <c r="P1540" s="15"/>
      <c r="Q1540" s="15"/>
      <c r="R1540" s="15"/>
      <c r="S1540" s="15"/>
      <c r="T1540" s="15">
        <v>0</v>
      </c>
      <c r="U1540" s="15"/>
      <c r="V1540" s="15"/>
      <c r="W1540" s="15"/>
      <c r="X1540" s="15"/>
      <c r="Y1540" s="15"/>
      <c r="Z1540" s="15"/>
    </row>
    <row r="1541" spans="1:26" x14ac:dyDescent="0.25">
      <c r="A1541" s="15" t="s">
        <v>13391</v>
      </c>
      <c r="B1541" s="15">
        <v>1540</v>
      </c>
      <c r="C1541" s="15" t="s">
        <v>11277</v>
      </c>
      <c r="D1541" s="15" t="s">
        <v>11647</v>
      </c>
      <c r="E1541" s="15" t="s">
        <v>73</v>
      </c>
      <c r="F1541" s="15" t="s">
        <v>15194</v>
      </c>
      <c r="G1541" s="15" t="s">
        <v>13368</v>
      </c>
      <c r="H1541" s="15">
        <v>10</v>
      </c>
      <c r="I1541" s="15">
        <v>34</v>
      </c>
      <c r="J1541" s="15">
        <v>67</v>
      </c>
      <c r="K1541" s="15" t="str">
        <f t="shared" si="24"/>
        <v>thesunkenjunk</v>
      </c>
      <c r="L1541" s="15"/>
      <c r="M1541" s="15"/>
      <c r="N1541" s="15"/>
      <c r="O1541" s="15"/>
      <c r="P1541" s="15"/>
      <c r="Q1541" s="15"/>
      <c r="R1541" s="15"/>
      <c r="S1541" s="15"/>
      <c r="T1541" s="15">
        <v>0</v>
      </c>
      <c r="U1541" s="15"/>
      <c r="V1541" s="15"/>
      <c r="W1541" s="15"/>
      <c r="X1541" s="15"/>
      <c r="Y1541" s="15"/>
      <c r="Z1541" s="15"/>
    </row>
    <row r="1542" spans="1:26" x14ac:dyDescent="0.25">
      <c r="A1542" s="15" t="s">
        <v>13393</v>
      </c>
      <c r="B1542" s="15">
        <v>1541</v>
      </c>
      <c r="C1542" s="15" t="s">
        <v>11277</v>
      </c>
      <c r="D1542" s="15" t="s">
        <v>11647</v>
      </c>
      <c r="E1542" s="15" t="s">
        <v>73</v>
      </c>
      <c r="F1542" s="15" t="s">
        <v>15194</v>
      </c>
      <c r="G1542" s="15" t="s">
        <v>13370</v>
      </c>
      <c r="H1542" s="15">
        <v>10</v>
      </c>
      <c r="I1542" s="15">
        <v>34</v>
      </c>
      <c r="J1542" s="15">
        <v>68</v>
      </c>
      <c r="K1542" s="15" t="str">
        <f t="shared" si="24"/>
        <v>thesunkenjunk</v>
      </c>
      <c r="L1542" s="15"/>
      <c r="M1542" s="15"/>
      <c r="N1542" s="15"/>
      <c r="O1542" s="15"/>
      <c r="P1542" s="15"/>
      <c r="Q1542" s="15"/>
      <c r="R1542" s="15"/>
      <c r="S1542" s="15"/>
      <c r="T1542" s="15">
        <v>0</v>
      </c>
      <c r="U1542" s="15"/>
      <c r="V1542" s="15"/>
      <c r="W1542" s="15"/>
      <c r="X1542" s="15"/>
      <c r="Y1542" s="15"/>
      <c r="Z1542" s="15"/>
    </row>
    <row r="1543" spans="1:26" x14ac:dyDescent="0.25">
      <c r="A1543" s="15" t="s">
        <v>13395</v>
      </c>
      <c r="B1543" s="15">
        <v>1542</v>
      </c>
      <c r="C1543" s="15" t="s">
        <v>11277</v>
      </c>
      <c r="D1543" s="15" t="s">
        <v>11647</v>
      </c>
      <c r="E1543" s="15" t="s">
        <v>73</v>
      </c>
      <c r="F1543" s="15" t="s">
        <v>15194</v>
      </c>
      <c r="G1543" s="15" t="s">
        <v>13372</v>
      </c>
      <c r="H1543" s="15">
        <v>10</v>
      </c>
      <c r="I1543" s="15">
        <v>34</v>
      </c>
      <c r="J1543" s="15">
        <v>69</v>
      </c>
      <c r="K1543" s="15" t="str">
        <f t="shared" si="24"/>
        <v>thesunkenjunk</v>
      </c>
      <c r="L1543" s="15"/>
      <c r="M1543" s="15"/>
      <c r="N1543" s="15"/>
      <c r="O1543" s="15"/>
      <c r="P1543" s="15"/>
      <c r="Q1543" s="15"/>
      <c r="R1543" s="15"/>
      <c r="S1543" s="15"/>
      <c r="T1543" s="15">
        <v>0</v>
      </c>
      <c r="U1543" s="15"/>
      <c r="V1543" s="15"/>
      <c r="W1543" s="15"/>
      <c r="X1543" s="15"/>
      <c r="Y1543" s="15"/>
      <c r="Z1543" s="15"/>
    </row>
    <row r="1544" spans="1:26" x14ac:dyDescent="0.25">
      <c r="A1544" s="15" t="s">
        <v>13397</v>
      </c>
      <c r="B1544" s="15">
        <v>1543</v>
      </c>
      <c r="C1544" s="15" t="s">
        <v>11277</v>
      </c>
      <c r="D1544" s="15" t="s">
        <v>11647</v>
      </c>
      <c r="E1544" s="15" t="s">
        <v>73</v>
      </c>
      <c r="F1544" s="15" t="s">
        <v>15194</v>
      </c>
      <c r="G1544" s="15" t="s">
        <v>13374</v>
      </c>
      <c r="H1544" s="15">
        <v>10</v>
      </c>
      <c r="I1544" s="15">
        <v>34</v>
      </c>
      <c r="J1544" s="15">
        <v>70</v>
      </c>
      <c r="K1544" s="15" t="str">
        <f t="shared" si="24"/>
        <v>thesunkenjunk</v>
      </c>
      <c r="L1544" s="15"/>
      <c r="M1544" s="15"/>
      <c r="N1544" s="15"/>
      <c r="O1544" s="15"/>
      <c r="P1544" s="15"/>
      <c r="Q1544" s="15"/>
      <c r="R1544" s="15"/>
      <c r="S1544" s="15"/>
      <c r="T1544" s="15">
        <v>0</v>
      </c>
      <c r="U1544" s="15"/>
      <c r="V1544" s="15"/>
      <c r="W1544" s="15"/>
      <c r="X1544" s="15"/>
      <c r="Y1544" s="15"/>
      <c r="Z1544" s="15"/>
    </row>
    <row r="1545" spans="1:26" x14ac:dyDescent="0.25">
      <c r="A1545" s="15" t="s">
        <v>13399</v>
      </c>
      <c r="B1545" s="15">
        <v>1544</v>
      </c>
      <c r="C1545" s="15" t="s">
        <v>11277</v>
      </c>
      <c r="D1545" s="15" t="s">
        <v>11647</v>
      </c>
      <c r="E1545" s="15" t="s">
        <v>73</v>
      </c>
      <c r="F1545" s="15" t="s">
        <v>1968</v>
      </c>
      <c r="G1545" s="15" t="s">
        <v>13376</v>
      </c>
      <c r="H1545" s="15">
        <v>12</v>
      </c>
      <c r="I1545" s="15">
        <v>10</v>
      </c>
      <c r="J1545" s="15">
        <v>66</v>
      </c>
      <c r="K1545" s="15" t="str">
        <f t="shared" si="24"/>
        <v>thedragonsstruggle</v>
      </c>
      <c r="L1545" s="15"/>
      <c r="M1545" s="15"/>
      <c r="N1545" s="15"/>
      <c r="O1545" s="15"/>
      <c r="P1545" s="15"/>
      <c r="Q1545" s="15"/>
      <c r="R1545" s="15"/>
      <c r="S1545" s="15"/>
      <c r="T1545" s="15">
        <v>0</v>
      </c>
      <c r="U1545" s="15"/>
      <c r="V1545" s="15"/>
      <c r="W1545" s="15"/>
      <c r="X1545" s="15"/>
      <c r="Y1545" s="15"/>
      <c r="Z1545" s="15"/>
    </row>
    <row r="1546" spans="1:26" x14ac:dyDescent="0.25">
      <c r="A1546" s="15" t="s">
        <v>13401</v>
      </c>
      <c r="B1546" s="15">
        <v>1545</v>
      </c>
      <c r="C1546" s="15" t="s">
        <v>11277</v>
      </c>
      <c r="D1546" s="15" t="s">
        <v>11647</v>
      </c>
      <c r="E1546" s="15" t="s">
        <v>73</v>
      </c>
      <c r="F1546" s="15" t="s">
        <v>1968</v>
      </c>
      <c r="G1546" s="15" t="s">
        <v>13378</v>
      </c>
      <c r="H1546" s="15">
        <v>12</v>
      </c>
      <c r="I1546" s="15">
        <v>10</v>
      </c>
      <c r="J1546" s="15">
        <v>66</v>
      </c>
      <c r="K1546" s="15" t="str">
        <f t="shared" si="24"/>
        <v>thedragonsstruggle</v>
      </c>
      <c r="L1546" s="15"/>
      <c r="M1546" s="15"/>
      <c r="N1546" s="15"/>
      <c r="O1546" s="15"/>
      <c r="P1546" s="15"/>
      <c r="Q1546" s="15"/>
      <c r="R1546" s="15"/>
      <c r="S1546" s="15"/>
      <c r="T1546" s="15">
        <v>0</v>
      </c>
      <c r="U1546" s="15"/>
      <c r="V1546" s="15"/>
      <c r="W1546" s="15"/>
      <c r="X1546" s="15"/>
      <c r="Y1546" s="15"/>
      <c r="Z1546" s="15"/>
    </row>
    <row r="1547" spans="1:26" x14ac:dyDescent="0.25">
      <c r="A1547" s="15" t="s">
        <v>13403</v>
      </c>
      <c r="B1547" s="15">
        <v>1546</v>
      </c>
      <c r="C1547" s="15" t="s">
        <v>11277</v>
      </c>
      <c r="D1547" s="15" t="s">
        <v>11647</v>
      </c>
      <c r="E1547" s="15" t="s">
        <v>73</v>
      </c>
      <c r="F1547" s="15" t="s">
        <v>1968</v>
      </c>
      <c r="G1547" s="15" t="s">
        <v>13380</v>
      </c>
      <c r="H1547" s="15">
        <v>12</v>
      </c>
      <c r="I1547" s="15">
        <v>10</v>
      </c>
      <c r="J1547" s="15">
        <v>67</v>
      </c>
      <c r="K1547" s="15" t="str">
        <f t="shared" si="24"/>
        <v>thedragonsstruggle</v>
      </c>
      <c r="L1547" s="15"/>
      <c r="M1547" s="15"/>
      <c r="N1547" s="15"/>
      <c r="O1547" s="15"/>
      <c r="P1547" s="15"/>
      <c r="Q1547" s="15"/>
      <c r="R1547" s="15"/>
      <c r="S1547" s="15"/>
      <c r="T1547" s="15">
        <v>0</v>
      </c>
      <c r="U1547" s="15"/>
      <c r="V1547" s="15"/>
      <c r="W1547" s="15"/>
      <c r="X1547" s="15"/>
      <c r="Y1547" s="15"/>
      <c r="Z1547" s="15"/>
    </row>
    <row r="1548" spans="1:26" x14ac:dyDescent="0.25">
      <c r="A1548" s="15" t="s">
        <v>13405</v>
      </c>
      <c r="B1548" s="15">
        <v>1547</v>
      </c>
      <c r="C1548" s="15" t="s">
        <v>11277</v>
      </c>
      <c r="D1548" s="15" t="s">
        <v>11647</v>
      </c>
      <c r="E1548" s="15" t="s">
        <v>73</v>
      </c>
      <c r="F1548" s="15" t="s">
        <v>1968</v>
      </c>
      <c r="G1548" s="15" t="s">
        <v>13382</v>
      </c>
      <c r="H1548" s="15">
        <v>12</v>
      </c>
      <c r="I1548" s="15">
        <v>10</v>
      </c>
      <c r="J1548" s="15">
        <v>68</v>
      </c>
      <c r="K1548" s="15" t="str">
        <f t="shared" si="24"/>
        <v>thedragonsstruggle</v>
      </c>
      <c r="L1548" s="15"/>
      <c r="M1548" s="15"/>
      <c r="N1548" s="15"/>
      <c r="O1548" s="15"/>
      <c r="P1548" s="15"/>
      <c r="Q1548" s="15"/>
      <c r="R1548" s="15"/>
      <c r="S1548" s="15"/>
      <c r="T1548" s="15">
        <v>0</v>
      </c>
      <c r="U1548" s="15"/>
      <c r="V1548" s="15"/>
      <c r="W1548" s="15"/>
      <c r="X1548" s="15"/>
      <c r="Y1548" s="15"/>
      <c r="Z1548" s="15"/>
    </row>
    <row r="1549" spans="1:26" x14ac:dyDescent="0.25">
      <c r="A1549" s="15" t="s">
        <v>13407</v>
      </c>
      <c r="B1549" s="15">
        <v>1548</v>
      </c>
      <c r="C1549" s="15" t="s">
        <v>11277</v>
      </c>
      <c r="D1549" s="15" t="s">
        <v>11647</v>
      </c>
      <c r="E1549" s="15" t="s">
        <v>73</v>
      </c>
      <c r="F1549" s="15" t="s">
        <v>1968</v>
      </c>
      <c r="G1549" s="15" t="s">
        <v>13384</v>
      </c>
      <c r="H1549" s="15">
        <v>12</v>
      </c>
      <c r="I1549" s="15">
        <v>10</v>
      </c>
      <c r="J1549" s="15">
        <v>69</v>
      </c>
      <c r="K1549" s="15" t="str">
        <f t="shared" si="24"/>
        <v>thedragonsstruggle</v>
      </c>
      <c r="L1549" s="15"/>
      <c r="M1549" s="15"/>
      <c r="N1549" s="15"/>
      <c r="O1549" s="15"/>
      <c r="P1549" s="15"/>
      <c r="Q1549" s="15"/>
      <c r="R1549" s="15"/>
      <c r="S1549" s="15"/>
      <c r="T1549" s="15">
        <v>0</v>
      </c>
      <c r="U1549" s="15"/>
      <c r="V1549" s="15"/>
      <c r="W1549" s="15"/>
      <c r="X1549" s="15"/>
      <c r="Y1549" s="15"/>
      <c r="Z1549" s="15"/>
    </row>
    <row r="1550" spans="1:26" x14ac:dyDescent="0.25">
      <c r="A1550" s="15" t="s">
        <v>13409</v>
      </c>
      <c r="B1550" s="15">
        <v>1549</v>
      </c>
      <c r="C1550" s="15" t="s">
        <v>11277</v>
      </c>
      <c r="D1550" s="15" t="s">
        <v>11647</v>
      </c>
      <c r="E1550" s="15" t="s">
        <v>73</v>
      </c>
      <c r="F1550" s="15" t="s">
        <v>1968</v>
      </c>
      <c r="G1550" s="15" t="s">
        <v>13386</v>
      </c>
      <c r="H1550" s="15">
        <v>12</v>
      </c>
      <c r="I1550" s="15">
        <v>10</v>
      </c>
      <c r="J1550" s="15">
        <v>70</v>
      </c>
      <c r="K1550" s="15" t="str">
        <f t="shared" si="24"/>
        <v>thedragonsstruggle</v>
      </c>
      <c r="L1550" s="15"/>
      <c r="M1550" s="15"/>
      <c r="N1550" s="15"/>
      <c r="O1550" s="15"/>
      <c r="P1550" s="15"/>
      <c r="Q1550" s="15"/>
      <c r="R1550" s="15"/>
      <c r="S1550" s="15"/>
      <c r="T1550" s="15">
        <v>0</v>
      </c>
      <c r="U1550" s="15"/>
      <c r="V1550" s="15"/>
      <c r="W1550" s="15"/>
      <c r="X1550" s="15"/>
      <c r="Y1550" s="15"/>
      <c r="Z1550" s="15"/>
    </row>
    <row r="1551" spans="1:26" x14ac:dyDescent="0.25">
      <c r="A1551" s="15" t="s">
        <v>13411</v>
      </c>
      <c r="B1551" s="15">
        <v>1550</v>
      </c>
      <c r="C1551" s="15" t="s">
        <v>11277</v>
      </c>
      <c r="D1551" s="15" t="s">
        <v>11647</v>
      </c>
      <c r="E1551" s="15" t="s">
        <v>73</v>
      </c>
      <c r="F1551" s="15" t="s">
        <v>15195</v>
      </c>
      <c r="G1551" s="15" t="s">
        <v>13370</v>
      </c>
      <c r="H1551" s="15">
        <v>12</v>
      </c>
      <c r="I1551" s="15">
        <v>37</v>
      </c>
      <c r="J1551" s="15">
        <v>68</v>
      </c>
      <c r="K1551" s="15" t="str">
        <f t="shared" si="24"/>
        <v>thesunkenjunkssouthside</v>
      </c>
      <c r="L1551" s="15"/>
      <c r="M1551" s="15"/>
      <c r="N1551" s="15"/>
      <c r="O1551" s="15"/>
      <c r="P1551" s="15"/>
      <c r="Q1551" s="15"/>
      <c r="R1551" s="15"/>
      <c r="S1551" s="15"/>
      <c r="T1551" s="15">
        <v>0</v>
      </c>
      <c r="U1551" s="15"/>
      <c r="V1551" s="15"/>
      <c r="W1551" s="15"/>
      <c r="X1551" s="15"/>
      <c r="Y1551" s="15"/>
      <c r="Z1551" s="15"/>
    </row>
    <row r="1552" spans="1:26" x14ac:dyDescent="0.25">
      <c r="A1552" s="15" t="s">
        <v>13413</v>
      </c>
      <c r="B1552" s="15">
        <v>1551</v>
      </c>
      <c r="C1552" s="15" t="s">
        <v>11277</v>
      </c>
      <c r="D1552" s="15" t="s">
        <v>11647</v>
      </c>
      <c r="E1552" s="15" t="s">
        <v>73</v>
      </c>
      <c r="F1552" s="15" t="s">
        <v>15195</v>
      </c>
      <c r="G1552" s="15" t="s">
        <v>13382</v>
      </c>
      <c r="H1552" s="15">
        <v>12</v>
      </c>
      <c r="I1552" s="15">
        <v>37</v>
      </c>
      <c r="J1552" s="15">
        <v>68</v>
      </c>
      <c r="K1552" s="15" t="str">
        <f t="shared" si="24"/>
        <v>thesunkenjunkssouthside</v>
      </c>
      <c r="L1552" s="15"/>
      <c r="M1552" s="15"/>
      <c r="N1552" s="15"/>
      <c r="O1552" s="15"/>
      <c r="P1552" s="15"/>
      <c r="Q1552" s="15"/>
      <c r="R1552" s="15"/>
      <c r="S1552" s="15"/>
      <c r="T1552" s="15">
        <v>0</v>
      </c>
      <c r="U1552" s="15"/>
      <c r="V1552" s="15"/>
      <c r="W1552" s="15"/>
      <c r="X1552" s="15"/>
      <c r="Y1552" s="15"/>
      <c r="Z1552" s="15"/>
    </row>
    <row r="1553" spans="1:26" x14ac:dyDescent="0.25">
      <c r="A1553" s="15" t="s">
        <v>13415</v>
      </c>
      <c r="B1553" s="15">
        <v>1552</v>
      </c>
      <c r="C1553" s="15" t="s">
        <v>11277</v>
      </c>
      <c r="D1553" s="15" t="s">
        <v>11647</v>
      </c>
      <c r="E1553" s="15" t="s">
        <v>73</v>
      </c>
      <c r="F1553" s="15" t="s">
        <v>15195</v>
      </c>
      <c r="G1553" s="15" t="s">
        <v>13384</v>
      </c>
      <c r="H1553" s="15">
        <v>12</v>
      </c>
      <c r="I1553" s="15">
        <v>37</v>
      </c>
      <c r="J1553" s="15">
        <v>69</v>
      </c>
      <c r="K1553" s="15" t="str">
        <f t="shared" si="24"/>
        <v>thesunkenjunkssouthside</v>
      </c>
      <c r="L1553" s="15"/>
      <c r="M1553" s="15"/>
      <c r="N1553" s="15"/>
      <c r="O1553" s="15"/>
      <c r="P1553" s="15"/>
      <c r="Q1553" s="15"/>
      <c r="R1553" s="15"/>
      <c r="S1553" s="15"/>
      <c r="T1553" s="15">
        <v>0</v>
      </c>
      <c r="U1553" s="15"/>
      <c r="V1553" s="15"/>
      <c r="W1553" s="15"/>
      <c r="X1553" s="15"/>
      <c r="Y1553" s="15"/>
      <c r="Z1553" s="15"/>
    </row>
    <row r="1554" spans="1:26" x14ac:dyDescent="0.25">
      <c r="A1554" s="15" t="s">
        <v>13417</v>
      </c>
      <c r="B1554" s="15">
        <v>1553</v>
      </c>
      <c r="C1554" s="15" t="s">
        <v>11277</v>
      </c>
      <c r="D1554" s="15" t="s">
        <v>11647</v>
      </c>
      <c r="E1554" s="15" t="s">
        <v>73</v>
      </c>
      <c r="F1554" s="15" t="s">
        <v>15195</v>
      </c>
      <c r="G1554" s="15" t="s">
        <v>13374</v>
      </c>
      <c r="H1554" s="15">
        <v>12</v>
      </c>
      <c r="I1554" s="15">
        <v>37</v>
      </c>
      <c r="J1554" s="15">
        <v>70</v>
      </c>
      <c r="K1554" s="15" t="str">
        <f t="shared" si="24"/>
        <v>thesunkenjunkssouthside</v>
      </c>
      <c r="L1554" s="15"/>
      <c r="M1554" s="15"/>
      <c r="N1554" s="15"/>
      <c r="O1554" s="15"/>
      <c r="P1554" s="15"/>
      <c r="Q1554" s="15"/>
      <c r="R1554" s="15"/>
      <c r="S1554" s="15"/>
      <c r="T1554" s="15">
        <v>0</v>
      </c>
      <c r="U1554" s="15"/>
      <c r="V1554" s="15"/>
      <c r="W1554" s="15"/>
      <c r="X1554" s="15"/>
      <c r="Y1554" s="15"/>
      <c r="Z1554" s="15"/>
    </row>
    <row r="1555" spans="1:26" x14ac:dyDescent="0.25">
      <c r="A1555" s="15" t="s">
        <v>13419</v>
      </c>
      <c r="B1555" s="15">
        <v>1554</v>
      </c>
      <c r="C1555" s="15" t="s">
        <v>11277</v>
      </c>
      <c r="D1555" s="15" t="s">
        <v>11647</v>
      </c>
      <c r="E1555" s="15" t="s">
        <v>73</v>
      </c>
      <c r="F1555" s="15" t="s">
        <v>15195</v>
      </c>
      <c r="G1555" s="15" t="s">
        <v>13388</v>
      </c>
      <c r="H1555" s="15">
        <v>12</v>
      </c>
      <c r="I1555" s="15">
        <v>37</v>
      </c>
      <c r="J1555" s="15">
        <v>69</v>
      </c>
      <c r="K1555" s="15" t="str">
        <f t="shared" si="24"/>
        <v>thesunkenjunkssouthside</v>
      </c>
      <c r="L1555" s="15"/>
      <c r="M1555" s="15"/>
      <c r="N1555" s="15"/>
      <c r="O1555" s="15"/>
      <c r="P1555" s="15"/>
      <c r="Q1555" s="15"/>
      <c r="R1555" s="15"/>
      <c r="S1555" s="15"/>
      <c r="T1555" s="15">
        <v>0</v>
      </c>
      <c r="U1555" s="15"/>
      <c r="V1555" s="15"/>
      <c r="W1555" s="15"/>
      <c r="X1555" s="15"/>
      <c r="Y1555" s="15"/>
      <c r="Z1555" s="15"/>
    </row>
    <row r="1556" spans="1:26" x14ac:dyDescent="0.25">
      <c r="A1556" s="15" t="s">
        <v>13421</v>
      </c>
      <c r="B1556" s="15">
        <v>1555</v>
      </c>
      <c r="C1556" s="15" t="s">
        <v>11277</v>
      </c>
      <c r="D1556" s="15" t="s">
        <v>11647</v>
      </c>
      <c r="E1556" s="15" t="s">
        <v>73</v>
      </c>
      <c r="F1556" s="15" t="s">
        <v>15195</v>
      </c>
      <c r="G1556" s="15" t="s">
        <v>13390</v>
      </c>
      <c r="H1556" s="15">
        <v>12</v>
      </c>
      <c r="I1556" s="15">
        <v>37</v>
      </c>
      <c r="J1556" s="15">
        <v>70</v>
      </c>
      <c r="K1556" s="15" t="str">
        <f t="shared" si="24"/>
        <v>thesunkenjunkssouthside</v>
      </c>
      <c r="L1556" s="15"/>
      <c r="M1556" s="15"/>
      <c r="N1556" s="15"/>
      <c r="O1556" s="15"/>
      <c r="P1556" s="15"/>
      <c r="Q1556" s="15"/>
      <c r="R1556" s="15"/>
      <c r="S1556" s="15"/>
      <c r="T1556" s="15">
        <v>0</v>
      </c>
      <c r="U1556" s="15"/>
      <c r="V1556" s="15"/>
      <c r="W1556" s="15"/>
      <c r="X1556" s="15"/>
      <c r="Y1556" s="15"/>
      <c r="Z1556" s="15"/>
    </row>
    <row r="1557" spans="1:26" x14ac:dyDescent="0.25">
      <c r="A1557" s="15" t="s">
        <v>13423</v>
      </c>
      <c r="B1557" s="15">
        <v>1556</v>
      </c>
      <c r="C1557" s="15" t="s">
        <v>11277</v>
      </c>
      <c r="D1557" s="15" t="s">
        <v>11277</v>
      </c>
      <c r="E1557" s="15" t="s">
        <v>73</v>
      </c>
      <c r="F1557" s="15" t="s">
        <v>15196</v>
      </c>
      <c r="G1557" s="15" t="s">
        <v>13392</v>
      </c>
      <c r="H1557" s="15">
        <v>31</v>
      </c>
      <c r="I1557" s="15">
        <v>26</v>
      </c>
      <c r="J1557" s="15">
        <v>66</v>
      </c>
      <c r="K1557" s="15" t="str">
        <f t="shared" si="24"/>
        <v>nemkhaal</v>
      </c>
      <c r="L1557" s="15" t="s">
        <v>12817</v>
      </c>
      <c r="M1557" s="15">
        <v>1</v>
      </c>
      <c r="N1557" s="15" t="s">
        <v>11222</v>
      </c>
      <c r="O1557" s="15"/>
      <c r="P1557" s="15"/>
      <c r="Q1557" s="15"/>
      <c r="R1557" s="15"/>
      <c r="S1557" s="15"/>
      <c r="T1557" s="15">
        <v>0</v>
      </c>
      <c r="U1557" s="15" t="s">
        <v>5893</v>
      </c>
      <c r="V1557" s="15"/>
      <c r="W1557" s="15"/>
      <c r="X1557" s="15"/>
      <c r="Y1557" s="15"/>
      <c r="Z1557" s="15"/>
    </row>
    <row r="1558" spans="1:26" x14ac:dyDescent="0.25">
      <c r="A1558" s="15" t="s">
        <v>13425</v>
      </c>
      <c r="B1558" s="15">
        <v>1557</v>
      </c>
      <c r="C1558" s="15" t="s">
        <v>11277</v>
      </c>
      <c r="D1558" s="15" t="s">
        <v>11277</v>
      </c>
      <c r="E1558" s="15" t="s">
        <v>73</v>
      </c>
      <c r="F1558" s="15" t="s">
        <v>15196</v>
      </c>
      <c r="G1558" s="15" t="s">
        <v>13394</v>
      </c>
      <c r="H1558" s="15">
        <v>31</v>
      </c>
      <c r="I1558" s="15">
        <v>26</v>
      </c>
      <c r="J1558" s="15">
        <v>66</v>
      </c>
      <c r="K1558" s="15" t="str">
        <f t="shared" si="24"/>
        <v>nemkhaal</v>
      </c>
      <c r="L1558" s="15" t="s">
        <v>12848</v>
      </c>
      <c r="M1558" s="15">
        <v>2</v>
      </c>
      <c r="N1558" s="15" t="s">
        <v>11223</v>
      </c>
      <c r="O1558" s="15"/>
      <c r="P1558" s="15"/>
      <c r="Q1558" s="15" t="s">
        <v>13396</v>
      </c>
      <c r="R1558" s="15"/>
      <c r="S1558" s="15"/>
      <c r="T1558" s="15">
        <v>0</v>
      </c>
      <c r="U1558" s="15"/>
      <c r="V1558" s="15"/>
      <c r="W1558" s="15"/>
      <c r="X1558" s="15"/>
      <c r="Y1558" s="15"/>
      <c r="Z1558" s="15"/>
    </row>
    <row r="1559" spans="1:26" x14ac:dyDescent="0.25">
      <c r="A1559" s="15" t="s">
        <v>13427</v>
      </c>
      <c r="B1559" s="15">
        <v>1558</v>
      </c>
      <c r="C1559" s="15" t="s">
        <v>11277</v>
      </c>
      <c r="D1559" s="15" t="s">
        <v>11277</v>
      </c>
      <c r="E1559" s="15" t="s">
        <v>73</v>
      </c>
      <c r="F1559" s="15" t="s">
        <v>15196</v>
      </c>
      <c r="G1559" s="15" t="s">
        <v>13396</v>
      </c>
      <c r="H1559" s="15">
        <v>31</v>
      </c>
      <c r="I1559" s="15">
        <v>26</v>
      </c>
      <c r="J1559" s="15">
        <v>66</v>
      </c>
      <c r="K1559" s="15" t="str">
        <f t="shared" si="24"/>
        <v>nemkhaal</v>
      </c>
      <c r="L1559" s="15" t="s">
        <v>12809</v>
      </c>
      <c r="M1559" s="15">
        <v>1</v>
      </c>
      <c r="N1559" s="15" t="s">
        <v>11222</v>
      </c>
      <c r="O1559" s="15"/>
      <c r="P1559" s="15"/>
      <c r="Q1559" s="15"/>
      <c r="R1559" s="15"/>
      <c r="S1559" s="15"/>
      <c r="T1559" s="15">
        <v>0</v>
      </c>
      <c r="U1559" s="15"/>
      <c r="V1559" s="15"/>
      <c r="W1559" s="15"/>
      <c r="X1559" s="15"/>
      <c r="Y1559" s="15"/>
      <c r="Z1559" s="15"/>
    </row>
    <row r="1560" spans="1:26" x14ac:dyDescent="0.25">
      <c r="A1560" s="15" t="s">
        <v>13428</v>
      </c>
      <c r="B1560" s="15">
        <v>1559</v>
      </c>
      <c r="C1560" s="15" t="s">
        <v>11277</v>
      </c>
      <c r="D1560" s="15" t="s">
        <v>11277</v>
      </c>
      <c r="E1560" s="15" t="s">
        <v>73</v>
      </c>
      <c r="F1560" s="15" t="s">
        <v>15196</v>
      </c>
      <c r="G1560" s="15" t="s">
        <v>13398</v>
      </c>
      <c r="H1560" s="15">
        <v>31</v>
      </c>
      <c r="I1560" s="15">
        <v>26</v>
      </c>
      <c r="J1560" s="15">
        <v>66</v>
      </c>
      <c r="K1560" s="15" t="str">
        <f t="shared" si="24"/>
        <v>nemkhaal</v>
      </c>
      <c r="L1560" s="15" t="s">
        <v>11560</v>
      </c>
      <c r="M1560" s="15">
        <v>1</v>
      </c>
      <c r="N1560" s="15" t="s">
        <v>11222</v>
      </c>
      <c r="O1560" s="15"/>
      <c r="P1560" s="15"/>
      <c r="Q1560" s="15"/>
      <c r="R1560" s="15"/>
      <c r="S1560" s="15"/>
      <c r="T1560" s="15">
        <v>0</v>
      </c>
      <c r="U1560" s="15"/>
      <c r="V1560" s="15"/>
      <c r="W1560" s="15"/>
      <c r="X1560" s="15"/>
      <c r="Y1560" s="15"/>
      <c r="Z1560" s="15"/>
    </row>
    <row r="1561" spans="1:26" x14ac:dyDescent="0.25">
      <c r="A1561" s="15" t="s">
        <v>13430</v>
      </c>
      <c r="B1561" s="15">
        <v>1560</v>
      </c>
      <c r="C1561" s="15" t="s">
        <v>11277</v>
      </c>
      <c r="D1561" s="15" t="s">
        <v>11277</v>
      </c>
      <c r="E1561" s="15" t="s">
        <v>73</v>
      </c>
      <c r="F1561" s="15" t="s">
        <v>15196</v>
      </c>
      <c r="G1561" s="15" t="s">
        <v>13400</v>
      </c>
      <c r="H1561" s="15">
        <v>31</v>
      </c>
      <c r="I1561" s="15">
        <v>26</v>
      </c>
      <c r="J1561" s="15">
        <v>66</v>
      </c>
      <c r="K1561" s="15" t="str">
        <f t="shared" si="24"/>
        <v>nemkhaal</v>
      </c>
      <c r="L1561" s="15" t="s">
        <v>11560</v>
      </c>
      <c r="M1561" s="15">
        <v>1</v>
      </c>
      <c r="N1561" s="15" t="s">
        <v>11222</v>
      </c>
      <c r="O1561" s="15"/>
      <c r="P1561" s="15"/>
      <c r="Q1561" s="15"/>
      <c r="R1561" s="15"/>
      <c r="S1561" s="15"/>
      <c r="T1561" s="15">
        <v>0</v>
      </c>
      <c r="U1561" s="15"/>
      <c r="V1561" s="15"/>
      <c r="W1561" s="15"/>
      <c r="X1561" s="15"/>
      <c r="Y1561" s="15"/>
      <c r="Z1561" s="15"/>
    </row>
    <row r="1562" spans="1:26" x14ac:dyDescent="0.25">
      <c r="A1562" s="15" t="s">
        <v>13432</v>
      </c>
      <c r="B1562" s="15">
        <v>1561</v>
      </c>
      <c r="C1562" s="15" t="s">
        <v>11277</v>
      </c>
      <c r="D1562" s="15" t="s">
        <v>11277</v>
      </c>
      <c r="E1562" s="15" t="s">
        <v>73</v>
      </c>
      <c r="F1562" s="15" t="s">
        <v>15196</v>
      </c>
      <c r="G1562" s="15" t="s">
        <v>13402</v>
      </c>
      <c r="H1562" s="15">
        <v>31</v>
      </c>
      <c r="I1562" s="15">
        <v>26</v>
      </c>
      <c r="J1562" s="15">
        <v>70</v>
      </c>
      <c r="K1562" s="15" t="str">
        <f t="shared" si="24"/>
        <v>nemkhaal</v>
      </c>
      <c r="L1562" s="15" t="s">
        <v>12817</v>
      </c>
      <c r="M1562" s="15">
        <v>3</v>
      </c>
      <c r="N1562" s="15" t="s">
        <v>11222</v>
      </c>
      <c r="O1562" s="15" t="s">
        <v>2815</v>
      </c>
      <c r="P1562" s="15"/>
      <c r="Q1562" s="15"/>
      <c r="R1562" s="15"/>
      <c r="S1562" s="15"/>
      <c r="T1562" s="15">
        <v>0</v>
      </c>
      <c r="U1562" s="15" t="s">
        <v>5892</v>
      </c>
      <c r="V1562" s="15"/>
      <c r="W1562" s="15"/>
      <c r="X1562" s="15" t="s">
        <v>5893</v>
      </c>
      <c r="Y1562" s="15"/>
      <c r="Z1562" s="15"/>
    </row>
    <row r="1563" spans="1:26" x14ac:dyDescent="0.25">
      <c r="A1563" s="15" t="s">
        <v>13434</v>
      </c>
      <c r="B1563" s="15">
        <v>1562</v>
      </c>
      <c r="C1563" s="15" t="s">
        <v>11277</v>
      </c>
      <c r="D1563" s="15" t="s">
        <v>11277</v>
      </c>
      <c r="E1563" s="15" t="s">
        <v>73</v>
      </c>
      <c r="F1563" s="15" t="s">
        <v>15197</v>
      </c>
      <c r="G1563" s="15" t="s">
        <v>13396</v>
      </c>
      <c r="H1563" s="15">
        <v>29</v>
      </c>
      <c r="I1563" s="15">
        <v>20</v>
      </c>
      <c r="J1563" s="15">
        <v>66</v>
      </c>
      <c r="K1563" s="15" t="str">
        <f t="shared" si="24"/>
        <v>hakkhaal</v>
      </c>
      <c r="L1563" s="15" t="s">
        <v>12809</v>
      </c>
      <c r="M1563" s="15">
        <v>1</v>
      </c>
      <c r="N1563" s="15" t="s">
        <v>11222</v>
      </c>
      <c r="O1563" s="15"/>
      <c r="P1563" s="15"/>
      <c r="Q1563" s="15"/>
      <c r="R1563" s="15"/>
      <c r="S1563" s="15"/>
      <c r="T1563" s="15">
        <v>0</v>
      </c>
      <c r="U1563" s="15"/>
      <c r="V1563" s="15"/>
      <c r="W1563" s="15"/>
      <c r="X1563" s="15"/>
      <c r="Y1563" s="15"/>
      <c r="Z1563" s="15"/>
    </row>
    <row r="1564" spans="1:26" x14ac:dyDescent="0.25">
      <c r="A1564" s="15" t="s">
        <v>13436</v>
      </c>
      <c r="B1564" s="15">
        <v>1563</v>
      </c>
      <c r="C1564" s="15" t="s">
        <v>11277</v>
      </c>
      <c r="D1564" s="15" t="s">
        <v>11277</v>
      </c>
      <c r="E1564" s="15" t="s">
        <v>73</v>
      </c>
      <c r="F1564" s="15" t="s">
        <v>15197</v>
      </c>
      <c r="G1564" s="15" t="s">
        <v>13408</v>
      </c>
      <c r="H1564" s="15">
        <v>29</v>
      </c>
      <c r="I1564" s="15">
        <v>20</v>
      </c>
      <c r="J1564" s="15">
        <v>66</v>
      </c>
      <c r="K1564" s="15" t="str">
        <f t="shared" si="24"/>
        <v>hakkhaal</v>
      </c>
      <c r="L1564" s="15" t="s">
        <v>12859</v>
      </c>
      <c r="M1564" s="15">
        <v>2</v>
      </c>
      <c r="N1564" s="15" t="s">
        <v>11223</v>
      </c>
      <c r="O1564" s="15"/>
      <c r="P1564" s="15"/>
      <c r="Q1564" s="15" t="s">
        <v>13396</v>
      </c>
      <c r="R1564" s="15"/>
      <c r="S1564" s="15"/>
      <c r="T1564" s="15">
        <v>0</v>
      </c>
      <c r="U1564" s="15"/>
      <c r="V1564" s="15"/>
      <c r="W1564" s="15"/>
      <c r="X1564" s="15"/>
      <c r="Y1564" s="15"/>
      <c r="Z1564" s="15"/>
    </row>
    <row r="1565" spans="1:26" x14ac:dyDescent="0.25">
      <c r="A1565" s="15" t="s">
        <v>13438</v>
      </c>
      <c r="B1565" s="15">
        <v>1564</v>
      </c>
      <c r="C1565" s="15" t="s">
        <v>11277</v>
      </c>
      <c r="D1565" s="15" t="s">
        <v>11277</v>
      </c>
      <c r="E1565" s="15" t="s">
        <v>73</v>
      </c>
      <c r="F1565" s="15" t="s">
        <v>15197</v>
      </c>
      <c r="G1565" s="15" t="s">
        <v>13410</v>
      </c>
      <c r="H1565" s="15">
        <v>29</v>
      </c>
      <c r="I1565" s="15">
        <v>20</v>
      </c>
      <c r="J1565" s="15">
        <v>66</v>
      </c>
      <c r="K1565" s="15" t="str">
        <f t="shared" si="24"/>
        <v>hakkhaal</v>
      </c>
      <c r="L1565" s="15" t="s">
        <v>12859</v>
      </c>
      <c r="M1565" s="15">
        <v>1</v>
      </c>
      <c r="N1565" s="15" t="s">
        <v>11222</v>
      </c>
      <c r="O1565" s="15"/>
      <c r="P1565" s="15"/>
      <c r="Q1565" s="15"/>
      <c r="R1565" s="15"/>
      <c r="S1565" s="15"/>
      <c r="T1565" s="15">
        <v>0</v>
      </c>
      <c r="U1565" s="15"/>
      <c r="V1565" s="15"/>
      <c r="W1565" s="15"/>
      <c r="X1565" s="15"/>
      <c r="Y1565" s="15"/>
      <c r="Z1565" s="15"/>
    </row>
    <row r="1566" spans="1:26" x14ac:dyDescent="0.25">
      <c r="A1566" s="15" t="s">
        <v>13440</v>
      </c>
      <c r="B1566" s="15">
        <v>1565</v>
      </c>
      <c r="C1566" s="15" t="s">
        <v>11277</v>
      </c>
      <c r="D1566" s="15" t="s">
        <v>11277</v>
      </c>
      <c r="E1566" s="15" t="s">
        <v>73</v>
      </c>
      <c r="F1566" s="15" t="s">
        <v>15197</v>
      </c>
      <c r="G1566" s="15" t="s">
        <v>13412</v>
      </c>
      <c r="H1566" s="15">
        <v>29</v>
      </c>
      <c r="I1566" s="15">
        <v>20</v>
      </c>
      <c r="J1566" s="15">
        <v>66</v>
      </c>
      <c r="K1566" s="15" t="str">
        <f t="shared" si="24"/>
        <v>hakkhaal</v>
      </c>
      <c r="L1566" s="15" t="s">
        <v>12848</v>
      </c>
      <c r="M1566" s="15">
        <v>1</v>
      </c>
      <c r="N1566" s="15" t="s">
        <v>11222</v>
      </c>
      <c r="O1566" s="15"/>
      <c r="P1566" s="15"/>
      <c r="Q1566" s="15" t="s">
        <v>13396</v>
      </c>
      <c r="R1566" s="15"/>
      <c r="S1566" s="15"/>
      <c r="T1566" s="15">
        <v>0</v>
      </c>
      <c r="U1566" s="15"/>
      <c r="V1566" s="15"/>
      <c r="W1566" s="15"/>
      <c r="X1566" s="15"/>
      <c r="Y1566" s="15"/>
      <c r="Z1566" s="15"/>
    </row>
    <row r="1567" spans="1:26" x14ac:dyDescent="0.25">
      <c r="A1567" s="15" t="s">
        <v>13442</v>
      </c>
      <c r="B1567" s="15">
        <v>1566</v>
      </c>
      <c r="C1567" s="15" t="s">
        <v>11277</v>
      </c>
      <c r="D1567" s="15" t="s">
        <v>11277</v>
      </c>
      <c r="E1567" s="15" t="s">
        <v>73</v>
      </c>
      <c r="F1567" s="15" t="s">
        <v>15197</v>
      </c>
      <c r="G1567" s="15" t="s">
        <v>13414</v>
      </c>
      <c r="H1567" s="15">
        <v>29</v>
      </c>
      <c r="I1567" s="15">
        <v>20</v>
      </c>
      <c r="J1567" s="15">
        <v>70</v>
      </c>
      <c r="K1567" s="15" t="str">
        <f t="shared" si="24"/>
        <v>hakkhaal</v>
      </c>
      <c r="L1567" s="15" t="s">
        <v>12848</v>
      </c>
      <c r="M1567" s="15">
        <v>2</v>
      </c>
      <c r="N1567" s="15" t="s">
        <v>11223</v>
      </c>
      <c r="O1567" s="15" t="s">
        <v>2805</v>
      </c>
      <c r="P1567" s="15"/>
      <c r="Q1567" s="15"/>
      <c r="R1567" s="15"/>
      <c r="S1567" s="15"/>
      <c r="T1567" s="15">
        <v>0</v>
      </c>
      <c r="U1567" s="15" t="s">
        <v>5900</v>
      </c>
      <c r="V1567" s="15"/>
      <c r="W1567" s="15"/>
      <c r="X1567" s="15"/>
      <c r="Y1567" s="15"/>
      <c r="Z1567" s="15"/>
    </row>
    <row r="1568" spans="1:26" x14ac:dyDescent="0.25">
      <c r="A1568" s="15" t="s">
        <v>13444</v>
      </c>
      <c r="B1568" s="15">
        <v>1567</v>
      </c>
      <c r="C1568" s="15" t="s">
        <v>11277</v>
      </c>
      <c r="D1568" s="15" t="s">
        <v>11277</v>
      </c>
      <c r="E1568" s="15" t="s">
        <v>73</v>
      </c>
      <c r="F1568" s="15" t="s">
        <v>15197</v>
      </c>
      <c r="G1568" s="15" t="s">
        <v>13416</v>
      </c>
      <c r="H1568" s="15">
        <v>29</v>
      </c>
      <c r="I1568" s="15">
        <v>20</v>
      </c>
      <c r="J1568" s="15">
        <v>70</v>
      </c>
      <c r="K1568" s="15" t="str">
        <f t="shared" si="24"/>
        <v>hakkhaal</v>
      </c>
      <c r="L1568" s="15" t="s">
        <v>14088</v>
      </c>
      <c r="M1568" s="15">
        <v>3</v>
      </c>
      <c r="N1568" s="15" t="s">
        <v>11223</v>
      </c>
      <c r="O1568" s="15" t="s">
        <v>11240</v>
      </c>
      <c r="P1568" s="15"/>
      <c r="Q1568" s="15" t="s">
        <v>13396</v>
      </c>
      <c r="R1568" s="15"/>
      <c r="S1568" s="15"/>
      <c r="T1568" s="15">
        <v>0</v>
      </c>
      <c r="U1568" s="15" t="s">
        <v>5892</v>
      </c>
      <c r="V1568" s="15"/>
      <c r="W1568" s="15"/>
      <c r="X1568" s="15" t="s">
        <v>5914</v>
      </c>
      <c r="Y1568" s="15"/>
      <c r="Z1568" s="15"/>
    </row>
    <row r="1569" spans="1:26" x14ac:dyDescent="0.25">
      <c r="A1569" s="15" t="s">
        <v>13446</v>
      </c>
      <c r="B1569" s="15">
        <v>1568</v>
      </c>
      <c r="C1569" s="15" t="s">
        <v>11277</v>
      </c>
      <c r="D1569" s="15" t="s">
        <v>11277</v>
      </c>
      <c r="E1569" s="15" t="s">
        <v>73</v>
      </c>
      <c r="F1569" s="15" t="s">
        <v>15198</v>
      </c>
      <c r="G1569" s="15" t="s">
        <v>13418</v>
      </c>
      <c r="H1569" s="15">
        <v>17</v>
      </c>
      <c r="I1569" s="15">
        <v>18</v>
      </c>
      <c r="J1569" s="15">
        <v>66</v>
      </c>
      <c r="K1569" s="15" t="str">
        <f t="shared" si="24"/>
        <v>upperyatkhaal</v>
      </c>
      <c r="L1569" s="15" t="s">
        <v>12817</v>
      </c>
      <c r="M1569" s="15">
        <v>1</v>
      </c>
      <c r="N1569" s="15" t="s">
        <v>11222</v>
      </c>
      <c r="O1569" s="15"/>
      <c r="P1569" s="15"/>
      <c r="Q1569" s="15" t="s">
        <v>13396</v>
      </c>
      <c r="R1569" s="15"/>
      <c r="S1569" s="15"/>
      <c r="T1569" s="15">
        <v>0</v>
      </c>
      <c r="U1569" s="15"/>
      <c r="V1569" s="15"/>
      <c r="W1569" s="15"/>
      <c r="X1569" s="15"/>
      <c r="Y1569" s="15"/>
      <c r="Z1569" s="15"/>
    </row>
    <row r="1570" spans="1:26" x14ac:dyDescent="0.25">
      <c r="A1570" s="15" t="s">
        <v>13448</v>
      </c>
      <c r="B1570" s="15">
        <v>1569</v>
      </c>
      <c r="C1570" s="15" t="s">
        <v>11277</v>
      </c>
      <c r="D1570" s="15" t="s">
        <v>11277</v>
      </c>
      <c r="E1570" s="15" t="s">
        <v>73</v>
      </c>
      <c r="F1570" s="15" t="s">
        <v>15198</v>
      </c>
      <c r="G1570" s="15" t="s">
        <v>13396</v>
      </c>
      <c r="H1570" s="15">
        <v>17</v>
      </c>
      <c r="I1570" s="15">
        <v>18</v>
      </c>
      <c r="J1570" s="15">
        <v>66</v>
      </c>
      <c r="K1570" s="15" t="str">
        <f t="shared" si="24"/>
        <v>upperyatkhaal</v>
      </c>
      <c r="L1570" s="15" t="s">
        <v>12809</v>
      </c>
      <c r="M1570" s="15">
        <v>1</v>
      </c>
      <c r="N1570" s="15" t="s">
        <v>11222</v>
      </c>
      <c r="O1570" s="15"/>
      <c r="P1570" s="15"/>
      <c r="Q1570" s="15"/>
      <c r="R1570" s="15"/>
      <c r="S1570" s="15"/>
      <c r="T1570" s="15">
        <v>0</v>
      </c>
      <c r="U1570" s="15"/>
      <c r="V1570" s="15"/>
      <c r="W1570" s="15"/>
      <c r="X1570" s="15"/>
      <c r="Y1570" s="15"/>
      <c r="Z1570" s="15"/>
    </row>
    <row r="1571" spans="1:26" x14ac:dyDescent="0.25">
      <c r="A1571" s="15" t="s">
        <v>13450</v>
      </c>
      <c r="B1571" s="15">
        <v>1570</v>
      </c>
      <c r="C1571" s="15" t="s">
        <v>11277</v>
      </c>
      <c r="D1571" s="15" t="s">
        <v>11277</v>
      </c>
      <c r="E1571" s="15" t="s">
        <v>73</v>
      </c>
      <c r="F1571" s="15" t="s">
        <v>15198</v>
      </c>
      <c r="G1571" s="15" t="s">
        <v>13410</v>
      </c>
      <c r="H1571" s="15">
        <v>17</v>
      </c>
      <c r="I1571" s="15">
        <v>18</v>
      </c>
      <c r="J1571" s="15">
        <v>66</v>
      </c>
      <c r="K1571" s="15" t="str">
        <f t="shared" si="24"/>
        <v>upperyatkhaal</v>
      </c>
      <c r="L1571" s="15" t="s">
        <v>12859</v>
      </c>
      <c r="M1571" s="15">
        <v>1</v>
      </c>
      <c r="N1571" s="15" t="s">
        <v>11222</v>
      </c>
      <c r="O1571" s="15"/>
      <c r="P1571" s="15"/>
      <c r="Q1571" s="15"/>
      <c r="R1571" s="15"/>
      <c r="S1571" s="15"/>
      <c r="T1571" s="15">
        <v>0</v>
      </c>
      <c r="U1571" s="15"/>
      <c r="V1571" s="15"/>
      <c r="W1571" s="15"/>
      <c r="X1571" s="15"/>
      <c r="Y1571" s="15"/>
      <c r="Z1571" s="15"/>
    </row>
    <row r="1572" spans="1:26" x14ac:dyDescent="0.25">
      <c r="A1572" s="15" t="s">
        <v>13452</v>
      </c>
      <c r="B1572" s="15">
        <v>1571</v>
      </c>
      <c r="C1572" s="15" t="s">
        <v>11277</v>
      </c>
      <c r="D1572" s="15" t="s">
        <v>11277</v>
      </c>
      <c r="E1572" s="15" t="s">
        <v>73</v>
      </c>
      <c r="F1572" s="15" t="s">
        <v>15198</v>
      </c>
      <c r="G1572" s="15" t="s">
        <v>13420</v>
      </c>
      <c r="H1572" s="15">
        <v>17</v>
      </c>
      <c r="I1572" s="15">
        <v>18</v>
      </c>
      <c r="J1572" s="15">
        <v>66</v>
      </c>
      <c r="K1572" s="15" t="str">
        <f t="shared" si="24"/>
        <v>upperyatkhaal</v>
      </c>
      <c r="L1572" s="15" t="s">
        <v>12859</v>
      </c>
      <c r="M1572" s="15">
        <v>1</v>
      </c>
      <c r="N1572" s="15" t="s">
        <v>11222</v>
      </c>
      <c r="O1572" s="15"/>
      <c r="P1572" s="15"/>
      <c r="Q1572" s="15"/>
      <c r="R1572" s="15"/>
      <c r="S1572" s="15"/>
      <c r="T1572" s="15">
        <v>0</v>
      </c>
      <c r="U1572" s="15"/>
      <c r="V1572" s="15"/>
      <c r="W1572" s="15"/>
      <c r="X1572" s="15"/>
      <c r="Y1572" s="15"/>
      <c r="Z1572" s="15"/>
    </row>
    <row r="1573" spans="1:26" x14ac:dyDescent="0.25">
      <c r="A1573" s="15" t="s">
        <v>13454</v>
      </c>
      <c r="B1573" s="15">
        <v>1572</v>
      </c>
      <c r="C1573" s="15" t="s">
        <v>11277</v>
      </c>
      <c r="D1573" s="15" t="s">
        <v>11277</v>
      </c>
      <c r="E1573" s="15" t="s">
        <v>73</v>
      </c>
      <c r="F1573" s="15" t="s">
        <v>15198</v>
      </c>
      <c r="G1573" s="15" t="s">
        <v>13412</v>
      </c>
      <c r="H1573" s="15">
        <v>17</v>
      </c>
      <c r="I1573" s="15">
        <v>18</v>
      </c>
      <c r="J1573" s="15">
        <v>66</v>
      </c>
      <c r="K1573" s="15" t="str">
        <f t="shared" si="24"/>
        <v>upperyatkhaal</v>
      </c>
      <c r="L1573" s="15" t="s">
        <v>12848</v>
      </c>
      <c r="M1573" s="15">
        <v>1</v>
      </c>
      <c r="N1573" s="15" t="s">
        <v>11222</v>
      </c>
      <c r="O1573" s="15"/>
      <c r="P1573" s="15"/>
      <c r="Q1573" s="15" t="s">
        <v>13396</v>
      </c>
      <c r="R1573" s="15"/>
      <c r="S1573" s="15"/>
      <c r="T1573" s="15">
        <v>0</v>
      </c>
      <c r="U1573" s="15"/>
      <c r="V1573" s="15"/>
      <c r="W1573" s="15"/>
      <c r="X1573" s="15"/>
      <c r="Y1573" s="15"/>
      <c r="Z1573" s="15"/>
    </row>
    <row r="1574" spans="1:26" x14ac:dyDescent="0.25">
      <c r="A1574" s="15" t="s">
        <v>13456</v>
      </c>
      <c r="B1574" s="15">
        <v>1573</v>
      </c>
      <c r="C1574" s="15" t="s">
        <v>11277</v>
      </c>
      <c r="D1574" s="15" t="s">
        <v>11277</v>
      </c>
      <c r="E1574" s="15" t="s">
        <v>73</v>
      </c>
      <c r="F1574" s="15" t="s">
        <v>15198</v>
      </c>
      <c r="G1574" s="15" t="s">
        <v>13422</v>
      </c>
      <c r="H1574" s="15">
        <v>17</v>
      </c>
      <c r="I1574" s="15">
        <v>18</v>
      </c>
      <c r="J1574" s="15">
        <v>70</v>
      </c>
      <c r="K1574" s="15" t="str">
        <f t="shared" si="24"/>
        <v>upperyatkhaal</v>
      </c>
      <c r="L1574" s="15" t="s">
        <v>12859</v>
      </c>
      <c r="M1574" s="15">
        <v>3</v>
      </c>
      <c r="N1574" s="15" t="s">
        <v>11223</v>
      </c>
      <c r="O1574" s="15" t="s">
        <v>2810</v>
      </c>
      <c r="P1574" s="15"/>
      <c r="Q1574" s="15"/>
      <c r="R1574" s="15"/>
      <c r="S1574" s="15"/>
      <c r="T1574" s="15">
        <v>3</v>
      </c>
      <c r="U1574" s="15" t="s">
        <v>5914</v>
      </c>
      <c r="V1574" s="15"/>
      <c r="W1574" s="15"/>
      <c r="X1574" s="15"/>
      <c r="Y1574" s="15"/>
      <c r="Z1574" s="15"/>
    </row>
    <row r="1575" spans="1:26" x14ac:dyDescent="0.25">
      <c r="A1575" s="15" t="s">
        <v>13458</v>
      </c>
      <c r="B1575" s="15">
        <v>1574</v>
      </c>
      <c r="C1575" s="15" t="s">
        <v>11277</v>
      </c>
      <c r="D1575" s="15" t="s">
        <v>11277</v>
      </c>
      <c r="E1575" s="15" t="s">
        <v>73</v>
      </c>
      <c r="F1575" s="15" t="s">
        <v>1983</v>
      </c>
      <c r="G1575" s="15" t="s">
        <v>13394</v>
      </c>
      <c r="H1575" s="15">
        <v>23</v>
      </c>
      <c r="I1575" s="15">
        <v>23</v>
      </c>
      <c r="J1575" s="15">
        <v>66</v>
      </c>
      <c r="K1575" s="15" t="str">
        <f t="shared" si="24"/>
        <v>azimkhaat</v>
      </c>
      <c r="L1575" s="15" t="s">
        <v>12848</v>
      </c>
      <c r="M1575" s="15">
        <v>2</v>
      </c>
      <c r="N1575" s="15" t="s">
        <v>11223</v>
      </c>
      <c r="O1575" s="15"/>
      <c r="P1575" s="15"/>
      <c r="Q1575" s="15"/>
      <c r="R1575" s="15"/>
      <c r="S1575" s="15"/>
      <c r="T1575" s="15">
        <v>0</v>
      </c>
      <c r="U1575" s="15"/>
      <c r="V1575" s="15"/>
      <c r="W1575" s="15"/>
      <c r="X1575" s="15"/>
      <c r="Y1575" s="15"/>
      <c r="Z1575" s="15"/>
    </row>
    <row r="1576" spans="1:26" x14ac:dyDescent="0.25">
      <c r="A1576" s="15" t="s">
        <v>13460</v>
      </c>
      <c r="B1576" s="15">
        <v>1575</v>
      </c>
      <c r="C1576" s="15" t="s">
        <v>11277</v>
      </c>
      <c r="D1576" s="15" t="s">
        <v>11277</v>
      </c>
      <c r="E1576" s="15" t="s">
        <v>73</v>
      </c>
      <c r="F1576" s="15" t="s">
        <v>1983</v>
      </c>
      <c r="G1576" s="15" t="s">
        <v>13396</v>
      </c>
      <c r="H1576" s="15">
        <v>23</v>
      </c>
      <c r="I1576" s="15">
        <v>23</v>
      </c>
      <c r="J1576" s="15">
        <v>66</v>
      </c>
      <c r="K1576" s="15" t="str">
        <f t="shared" si="24"/>
        <v>azimkhaat</v>
      </c>
      <c r="L1576" s="15" t="s">
        <v>12809</v>
      </c>
      <c r="M1576" s="15">
        <v>1</v>
      </c>
      <c r="N1576" s="15" t="s">
        <v>11222</v>
      </c>
      <c r="O1576" s="15"/>
      <c r="P1576" s="15"/>
      <c r="Q1576" s="15"/>
      <c r="R1576" s="15"/>
      <c r="S1576" s="15"/>
      <c r="T1576" s="15">
        <v>0</v>
      </c>
      <c r="U1576" s="15"/>
      <c r="V1576" s="15"/>
      <c r="W1576" s="15"/>
      <c r="X1576" s="15"/>
      <c r="Y1576" s="15"/>
      <c r="Z1576" s="15"/>
    </row>
    <row r="1577" spans="1:26" x14ac:dyDescent="0.25">
      <c r="A1577" s="15" t="s">
        <v>13462</v>
      </c>
      <c r="B1577" s="15">
        <v>1576</v>
      </c>
      <c r="C1577" s="15" t="s">
        <v>11277</v>
      </c>
      <c r="D1577" s="15" t="s">
        <v>11277</v>
      </c>
      <c r="E1577" s="15" t="s">
        <v>73</v>
      </c>
      <c r="F1577" s="15" t="s">
        <v>1983</v>
      </c>
      <c r="G1577" s="15" t="s">
        <v>13424</v>
      </c>
      <c r="H1577" s="15">
        <v>23</v>
      </c>
      <c r="I1577" s="15">
        <v>23</v>
      </c>
      <c r="J1577" s="15">
        <v>65</v>
      </c>
      <c r="K1577" s="15" t="str">
        <f t="shared" si="24"/>
        <v>azimkhaat</v>
      </c>
      <c r="L1577" s="15" t="s">
        <v>12848</v>
      </c>
      <c r="M1577" s="15">
        <v>2</v>
      </c>
      <c r="N1577" s="15" t="s">
        <v>11223</v>
      </c>
      <c r="O1577" s="15"/>
      <c r="P1577" s="15"/>
      <c r="Q1577" s="15" t="s">
        <v>13396</v>
      </c>
      <c r="R1577" s="15"/>
      <c r="S1577" s="15"/>
      <c r="T1577" s="15">
        <v>0</v>
      </c>
      <c r="U1577" s="15"/>
      <c r="V1577" s="15"/>
      <c r="W1577" s="15"/>
      <c r="X1577" s="15"/>
      <c r="Y1577" s="15"/>
      <c r="Z1577" s="15"/>
    </row>
    <row r="1578" spans="1:26" x14ac:dyDescent="0.25">
      <c r="A1578" s="15" t="s">
        <v>13464</v>
      </c>
      <c r="B1578" s="15">
        <v>1577</v>
      </c>
      <c r="C1578" s="15" t="s">
        <v>11277</v>
      </c>
      <c r="D1578" s="15" t="s">
        <v>11277</v>
      </c>
      <c r="E1578" s="15" t="s">
        <v>73</v>
      </c>
      <c r="F1578" s="15" t="s">
        <v>1983</v>
      </c>
      <c r="G1578" s="15" t="s">
        <v>13426</v>
      </c>
      <c r="H1578" s="15">
        <v>23</v>
      </c>
      <c r="I1578" s="15">
        <v>23</v>
      </c>
      <c r="J1578" s="15">
        <v>66</v>
      </c>
      <c r="K1578" s="15" t="str">
        <f t="shared" si="24"/>
        <v>azimkhaat</v>
      </c>
      <c r="L1578" s="15" t="s">
        <v>12859</v>
      </c>
      <c r="M1578" s="15">
        <v>2</v>
      </c>
      <c r="N1578" s="15" t="s">
        <v>11223</v>
      </c>
      <c r="O1578" s="15"/>
      <c r="P1578" s="15"/>
      <c r="Q1578" s="15" t="s">
        <v>13396</v>
      </c>
      <c r="R1578" s="15"/>
      <c r="S1578" s="15"/>
      <c r="T1578" s="15">
        <v>0</v>
      </c>
      <c r="U1578" s="15"/>
      <c r="V1578" s="15"/>
      <c r="W1578" s="15"/>
      <c r="X1578" s="15"/>
      <c r="Y1578" s="15"/>
      <c r="Z1578" s="15"/>
    </row>
    <row r="1579" spans="1:26" x14ac:dyDescent="0.25">
      <c r="A1579" s="15" t="s">
        <v>13466</v>
      </c>
      <c r="B1579" s="15">
        <v>1578</v>
      </c>
      <c r="C1579" s="15" t="s">
        <v>11277</v>
      </c>
      <c r="D1579" s="15" t="s">
        <v>11277</v>
      </c>
      <c r="E1579" s="15" t="s">
        <v>73</v>
      </c>
      <c r="F1579" s="15" t="s">
        <v>1983</v>
      </c>
      <c r="G1579" s="15" t="s">
        <v>94</v>
      </c>
      <c r="H1579" s="15">
        <v>23</v>
      </c>
      <c r="I1579" s="15">
        <v>23</v>
      </c>
      <c r="J1579" s="15">
        <v>70</v>
      </c>
      <c r="K1579" s="15" t="str">
        <f t="shared" si="24"/>
        <v>azimkhaat</v>
      </c>
      <c r="L1579" s="15" t="s">
        <v>12848</v>
      </c>
      <c r="M1579" s="15">
        <v>1</v>
      </c>
      <c r="N1579" s="15" t="s">
        <v>11222</v>
      </c>
      <c r="O1579" s="15"/>
      <c r="P1579" s="15"/>
      <c r="Q1579" s="15"/>
      <c r="R1579" s="15"/>
      <c r="S1579" s="15"/>
      <c r="T1579" s="15">
        <v>0</v>
      </c>
      <c r="U1579" s="15"/>
      <c r="V1579" s="15"/>
      <c r="W1579" s="15"/>
      <c r="X1579" s="15"/>
      <c r="Y1579" s="15"/>
      <c r="Z1579" s="15"/>
    </row>
    <row r="1580" spans="1:26" x14ac:dyDescent="0.25">
      <c r="A1580" s="15" t="s">
        <v>13468</v>
      </c>
      <c r="B1580" s="15">
        <v>1579</v>
      </c>
      <c r="C1580" s="15" t="s">
        <v>11277</v>
      </c>
      <c r="D1580" s="15" t="s">
        <v>11277</v>
      </c>
      <c r="E1580" s="15" t="s">
        <v>73</v>
      </c>
      <c r="F1580" s="15" t="s">
        <v>1983</v>
      </c>
      <c r="G1580" s="15" t="s">
        <v>13429</v>
      </c>
      <c r="H1580" s="15">
        <v>23</v>
      </c>
      <c r="I1580" s="15">
        <v>23</v>
      </c>
      <c r="J1580" s="15">
        <v>70</v>
      </c>
      <c r="K1580" s="15" t="str">
        <f t="shared" si="24"/>
        <v>azimkhaat</v>
      </c>
      <c r="L1580" s="15" t="s">
        <v>12848</v>
      </c>
      <c r="M1580" s="15">
        <v>1</v>
      </c>
      <c r="N1580" s="15" t="s">
        <v>11222</v>
      </c>
      <c r="O1580" s="15" t="s">
        <v>2821</v>
      </c>
      <c r="P1580" s="15"/>
      <c r="Q1580" s="15"/>
      <c r="R1580" s="15"/>
      <c r="S1580" s="15"/>
      <c r="T1580" s="15">
        <v>1</v>
      </c>
      <c r="U1580" s="15" t="s">
        <v>5893</v>
      </c>
      <c r="V1580" s="15" t="s">
        <v>5892</v>
      </c>
      <c r="W1580" s="15"/>
      <c r="X1580" s="15"/>
      <c r="Y1580" s="15"/>
      <c r="Z1580" s="15"/>
    </row>
    <row r="1581" spans="1:26" x14ac:dyDescent="0.25">
      <c r="A1581" s="15" t="s">
        <v>13470</v>
      </c>
      <c r="B1581" s="15">
        <v>1580</v>
      </c>
      <c r="C1581" s="15" t="s">
        <v>11277</v>
      </c>
      <c r="D1581" s="15" t="s">
        <v>11277</v>
      </c>
      <c r="E1581" s="15" t="s">
        <v>73</v>
      </c>
      <c r="F1581" s="15" t="s">
        <v>1983</v>
      </c>
      <c r="G1581" s="15" t="s">
        <v>13431</v>
      </c>
      <c r="H1581" s="15">
        <v>23</v>
      </c>
      <c r="I1581" s="15">
        <v>23</v>
      </c>
      <c r="J1581" s="15">
        <v>70</v>
      </c>
      <c r="K1581" s="15" t="str">
        <f t="shared" si="24"/>
        <v>azimkhaat</v>
      </c>
      <c r="L1581" s="15" t="s">
        <v>14088</v>
      </c>
      <c r="M1581" s="15">
        <v>3</v>
      </c>
      <c r="N1581" s="15" t="s">
        <v>11223</v>
      </c>
      <c r="O1581" s="15" t="s">
        <v>14006</v>
      </c>
      <c r="P1581" s="15"/>
      <c r="Q1581" s="15" t="s">
        <v>13396</v>
      </c>
      <c r="R1581" s="15"/>
      <c r="S1581" s="15"/>
      <c r="T1581" s="15">
        <v>3</v>
      </c>
      <c r="U1581" s="15" t="s">
        <v>5900</v>
      </c>
      <c r="V1581" s="15"/>
      <c r="W1581" s="15"/>
      <c r="X1581" s="15" t="s">
        <v>5908</v>
      </c>
      <c r="Y1581" s="15"/>
      <c r="Z1581" s="15"/>
    </row>
    <row r="1582" spans="1:26" x14ac:dyDescent="0.25">
      <c r="A1582" s="15" t="s">
        <v>13472</v>
      </c>
      <c r="B1582" s="15">
        <v>1581</v>
      </c>
      <c r="C1582" s="15" t="s">
        <v>11277</v>
      </c>
      <c r="D1582" s="15" t="s">
        <v>11277</v>
      </c>
      <c r="E1582" s="15" t="s">
        <v>73</v>
      </c>
      <c r="F1582" s="15" t="s">
        <v>15199</v>
      </c>
      <c r="G1582" s="15" t="s">
        <v>13396</v>
      </c>
      <c r="H1582" s="15">
        <v>16</v>
      </c>
      <c r="I1582" s="15">
        <v>14</v>
      </c>
      <c r="J1582" s="15">
        <v>66</v>
      </c>
      <c r="K1582" s="15" t="str">
        <f t="shared" si="24"/>
        <v>taokhaal</v>
      </c>
      <c r="L1582" s="15" t="s">
        <v>12809</v>
      </c>
      <c r="M1582" s="15">
        <v>1</v>
      </c>
      <c r="N1582" s="15" t="s">
        <v>11222</v>
      </c>
      <c r="O1582" s="15"/>
      <c r="P1582" s="15"/>
      <c r="Q1582" s="15"/>
      <c r="R1582" s="15"/>
      <c r="S1582" s="15"/>
      <c r="T1582" s="15">
        <v>0</v>
      </c>
      <c r="U1582" s="15"/>
      <c r="V1582" s="15"/>
      <c r="W1582" s="15"/>
      <c r="X1582" s="15"/>
      <c r="Y1582" s="15"/>
      <c r="Z1582" s="15"/>
    </row>
    <row r="1583" spans="1:26" x14ac:dyDescent="0.25">
      <c r="A1583" s="15" t="s">
        <v>13474</v>
      </c>
      <c r="B1583" s="15">
        <v>1582</v>
      </c>
      <c r="C1583" s="15" t="s">
        <v>11277</v>
      </c>
      <c r="D1583" s="15" t="s">
        <v>11277</v>
      </c>
      <c r="E1583" s="15" t="s">
        <v>73</v>
      </c>
      <c r="F1583" s="15" t="s">
        <v>15199</v>
      </c>
      <c r="G1583" s="15" t="s">
        <v>13410</v>
      </c>
      <c r="H1583" s="15">
        <v>16</v>
      </c>
      <c r="I1583" s="15">
        <v>14</v>
      </c>
      <c r="J1583" s="15">
        <v>66</v>
      </c>
      <c r="K1583" s="15" t="str">
        <f t="shared" si="24"/>
        <v>taokhaal</v>
      </c>
      <c r="L1583" s="15" t="s">
        <v>12859</v>
      </c>
      <c r="M1583" s="15">
        <v>1</v>
      </c>
      <c r="N1583" s="15" t="s">
        <v>11222</v>
      </c>
      <c r="O1583" s="15"/>
      <c r="P1583" s="15"/>
      <c r="Q1583" s="15"/>
      <c r="R1583" s="15"/>
      <c r="S1583" s="15"/>
      <c r="T1583" s="15">
        <v>0</v>
      </c>
      <c r="U1583" s="15"/>
      <c r="V1583" s="15"/>
      <c r="W1583" s="15"/>
      <c r="X1583" s="15"/>
      <c r="Y1583" s="15"/>
      <c r="Z1583" s="15"/>
    </row>
    <row r="1584" spans="1:26" x14ac:dyDescent="0.25">
      <c r="A1584" s="15" t="s">
        <v>13476</v>
      </c>
      <c r="B1584" s="15">
        <v>1583</v>
      </c>
      <c r="C1584" s="15" t="s">
        <v>11277</v>
      </c>
      <c r="D1584" s="15" t="s">
        <v>11277</v>
      </c>
      <c r="E1584" s="15" t="s">
        <v>73</v>
      </c>
      <c r="F1584" s="15" t="s">
        <v>15199</v>
      </c>
      <c r="G1584" s="15" t="s">
        <v>13412</v>
      </c>
      <c r="H1584" s="15">
        <v>16</v>
      </c>
      <c r="I1584" s="15">
        <v>14</v>
      </c>
      <c r="J1584" s="15">
        <v>66</v>
      </c>
      <c r="K1584" s="15" t="str">
        <f t="shared" si="24"/>
        <v>taokhaal</v>
      </c>
      <c r="L1584" s="15" t="s">
        <v>12848</v>
      </c>
      <c r="M1584" s="15">
        <v>1</v>
      </c>
      <c r="N1584" s="15" t="s">
        <v>11222</v>
      </c>
      <c r="O1584" s="15"/>
      <c r="P1584" s="15"/>
      <c r="Q1584" s="15" t="s">
        <v>13396</v>
      </c>
      <c r="R1584" s="15"/>
      <c r="S1584" s="15"/>
      <c r="T1584" s="15">
        <v>0</v>
      </c>
      <c r="U1584" s="15"/>
      <c r="V1584" s="15"/>
      <c r="W1584" s="15"/>
      <c r="X1584" s="15"/>
      <c r="Y1584" s="15"/>
      <c r="Z1584" s="15"/>
    </row>
    <row r="1585" spans="1:26" x14ac:dyDescent="0.25">
      <c r="A1585" s="15" t="s">
        <v>13478</v>
      </c>
      <c r="B1585" s="15">
        <v>1584</v>
      </c>
      <c r="C1585" s="15" t="s">
        <v>11277</v>
      </c>
      <c r="D1585" s="15" t="s">
        <v>11277</v>
      </c>
      <c r="E1585" s="15" t="s">
        <v>73</v>
      </c>
      <c r="F1585" s="15" t="s">
        <v>15199</v>
      </c>
      <c r="G1585" s="15" t="s">
        <v>13433</v>
      </c>
      <c r="H1585" s="15">
        <v>16</v>
      </c>
      <c r="I1585" s="15">
        <v>14</v>
      </c>
      <c r="J1585" s="15">
        <v>66</v>
      </c>
      <c r="K1585" s="15" t="str">
        <f t="shared" si="24"/>
        <v>taokhaal</v>
      </c>
      <c r="L1585" s="15" t="s">
        <v>12848</v>
      </c>
      <c r="M1585" s="15">
        <v>2</v>
      </c>
      <c r="N1585" s="15" t="s">
        <v>11223</v>
      </c>
      <c r="O1585" s="15"/>
      <c r="P1585" s="15"/>
      <c r="Q1585" s="15" t="s">
        <v>13396</v>
      </c>
      <c r="R1585" s="15"/>
      <c r="S1585" s="15"/>
      <c r="T1585" s="15">
        <v>0</v>
      </c>
      <c r="U1585" s="15"/>
      <c r="V1585" s="15"/>
      <c r="W1585" s="15"/>
      <c r="X1585" s="15"/>
      <c r="Y1585" s="15"/>
      <c r="Z1585" s="15"/>
    </row>
    <row r="1586" spans="1:26" x14ac:dyDescent="0.25">
      <c r="A1586" s="15" t="s">
        <v>13480</v>
      </c>
      <c r="B1586" s="15">
        <v>1585</v>
      </c>
      <c r="C1586" s="15" t="s">
        <v>11277</v>
      </c>
      <c r="D1586" s="15" t="s">
        <v>11277</v>
      </c>
      <c r="E1586" s="15" t="s">
        <v>73</v>
      </c>
      <c r="F1586" s="15" t="s">
        <v>15199</v>
      </c>
      <c r="G1586" s="15" t="s">
        <v>13435</v>
      </c>
      <c r="H1586" s="15">
        <v>16</v>
      </c>
      <c r="I1586" s="15">
        <v>14</v>
      </c>
      <c r="J1586" s="15">
        <v>67</v>
      </c>
      <c r="K1586" s="15" t="str">
        <f t="shared" si="24"/>
        <v>taokhaal</v>
      </c>
      <c r="L1586" s="15" t="s">
        <v>12848</v>
      </c>
      <c r="M1586" s="15">
        <v>1</v>
      </c>
      <c r="N1586" s="15" t="s">
        <v>11222</v>
      </c>
      <c r="O1586" s="15"/>
      <c r="P1586" s="15"/>
      <c r="Q1586" s="15"/>
      <c r="R1586" s="15"/>
      <c r="S1586" s="15"/>
      <c r="T1586" s="15">
        <v>0</v>
      </c>
      <c r="U1586" s="15"/>
      <c r="V1586" s="15"/>
      <c r="W1586" s="15"/>
      <c r="X1586" s="15"/>
      <c r="Y1586" s="15"/>
      <c r="Z1586" s="15"/>
    </row>
    <row r="1587" spans="1:26" x14ac:dyDescent="0.25">
      <c r="A1587" s="15" t="s">
        <v>13482</v>
      </c>
      <c r="B1587" s="15">
        <v>1586</v>
      </c>
      <c r="C1587" s="15" t="s">
        <v>11277</v>
      </c>
      <c r="D1587" s="15" t="s">
        <v>11277</v>
      </c>
      <c r="E1587" s="15" t="s">
        <v>73</v>
      </c>
      <c r="F1587" s="15" t="s">
        <v>15199</v>
      </c>
      <c r="G1587" s="15" t="s">
        <v>13437</v>
      </c>
      <c r="H1587" s="15">
        <v>16</v>
      </c>
      <c r="I1587" s="15">
        <v>14</v>
      </c>
      <c r="J1587" s="15">
        <v>70</v>
      </c>
      <c r="K1587" s="15" t="str">
        <f t="shared" si="24"/>
        <v>taokhaal</v>
      </c>
      <c r="L1587" s="15" t="s">
        <v>14088</v>
      </c>
      <c r="M1587" s="15">
        <v>2</v>
      </c>
      <c r="N1587" s="15" t="s">
        <v>11223</v>
      </c>
      <c r="O1587" s="15"/>
      <c r="P1587" s="15"/>
      <c r="Q1587" s="15" t="s">
        <v>13396</v>
      </c>
      <c r="R1587" s="15"/>
      <c r="S1587" s="15"/>
      <c r="T1587" s="15">
        <v>2</v>
      </c>
      <c r="U1587" s="15" t="s">
        <v>5908</v>
      </c>
      <c r="V1587" s="15" t="s">
        <v>5914</v>
      </c>
      <c r="W1587" s="15" t="s">
        <v>14151</v>
      </c>
      <c r="X1587" s="15"/>
      <c r="Y1587" s="15"/>
      <c r="Z1587" s="15"/>
    </row>
    <row r="1588" spans="1:26" x14ac:dyDescent="0.25">
      <c r="A1588" s="15" t="s">
        <v>13484</v>
      </c>
      <c r="B1588" s="15">
        <v>1587</v>
      </c>
      <c r="C1588" s="15" t="s">
        <v>11277</v>
      </c>
      <c r="D1588" s="15" t="s">
        <v>11277</v>
      </c>
      <c r="E1588" s="15" t="s">
        <v>73</v>
      </c>
      <c r="F1588" s="15" t="s">
        <v>15199</v>
      </c>
      <c r="G1588" s="15" t="s">
        <v>13439</v>
      </c>
      <c r="H1588" s="15">
        <v>16</v>
      </c>
      <c r="I1588" s="15">
        <v>14</v>
      </c>
      <c r="J1588" s="15">
        <v>70</v>
      </c>
      <c r="K1588" s="15" t="str">
        <f t="shared" si="24"/>
        <v>taokhaal</v>
      </c>
      <c r="L1588" s="15" t="s">
        <v>12848</v>
      </c>
      <c r="M1588" s="15">
        <v>3</v>
      </c>
      <c r="N1588" s="15" t="s">
        <v>11222</v>
      </c>
      <c r="O1588" s="15" t="s">
        <v>2825</v>
      </c>
      <c r="P1588" s="15"/>
      <c r="Q1588" s="15"/>
      <c r="R1588" s="15"/>
      <c r="S1588" s="15"/>
      <c r="T1588" s="15">
        <v>0</v>
      </c>
      <c r="U1588" s="15" t="s">
        <v>5893</v>
      </c>
      <c r="V1588" s="15" t="s">
        <v>5892</v>
      </c>
      <c r="W1588" s="15"/>
      <c r="X1588" s="15"/>
      <c r="Y1588" s="15"/>
      <c r="Z1588" s="15"/>
    </row>
    <row r="1589" spans="1:26" x14ac:dyDescent="0.25">
      <c r="A1589" s="15" t="s">
        <v>13486</v>
      </c>
      <c r="B1589" s="15">
        <v>1588</v>
      </c>
      <c r="C1589" s="15" t="s">
        <v>11277</v>
      </c>
      <c r="D1589" s="15" t="s">
        <v>11277</v>
      </c>
      <c r="E1589" s="15" t="s">
        <v>73</v>
      </c>
      <c r="F1589" s="15" t="s">
        <v>15200</v>
      </c>
      <c r="G1589" s="15" t="s">
        <v>13394</v>
      </c>
      <c r="H1589" s="15">
        <v>22</v>
      </c>
      <c r="I1589" s="15">
        <v>28</v>
      </c>
      <c r="J1589" s="15">
        <v>66</v>
      </c>
      <c r="K1589" s="15" t="str">
        <f t="shared" si="24"/>
        <v>loweryatkhaal</v>
      </c>
      <c r="L1589" s="15" t="s">
        <v>12848</v>
      </c>
      <c r="M1589" s="15">
        <v>2</v>
      </c>
      <c r="N1589" s="15" t="s">
        <v>11223</v>
      </c>
      <c r="O1589" s="15"/>
      <c r="P1589" s="15"/>
      <c r="Q1589" s="15"/>
      <c r="R1589" s="15"/>
      <c r="S1589" s="15"/>
      <c r="T1589" s="15">
        <v>0</v>
      </c>
      <c r="U1589" s="15"/>
      <c r="V1589" s="15"/>
      <c r="W1589" s="15"/>
      <c r="X1589" s="15"/>
      <c r="Y1589" s="15"/>
      <c r="Z1589" s="15"/>
    </row>
    <row r="1590" spans="1:26" x14ac:dyDescent="0.25">
      <c r="A1590" s="15" t="s">
        <v>13488</v>
      </c>
      <c r="B1590" s="15">
        <v>1589</v>
      </c>
      <c r="C1590" s="15" t="s">
        <v>11277</v>
      </c>
      <c r="D1590" s="15" t="s">
        <v>11277</v>
      </c>
      <c r="E1590" s="15" t="s">
        <v>73</v>
      </c>
      <c r="F1590" s="15" t="s">
        <v>15200</v>
      </c>
      <c r="G1590" s="15" t="s">
        <v>13398</v>
      </c>
      <c r="H1590" s="15">
        <v>22</v>
      </c>
      <c r="I1590" s="15">
        <v>28</v>
      </c>
      <c r="J1590" s="15">
        <v>66</v>
      </c>
      <c r="K1590" s="15" t="str">
        <f t="shared" si="24"/>
        <v>loweryatkhaal</v>
      </c>
      <c r="L1590" s="15" t="s">
        <v>12817</v>
      </c>
      <c r="M1590" s="15">
        <v>1</v>
      </c>
      <c r="N1590" s="15" t="s">
        <v>11222</v>
      </c>
      <c r="O1590" s="15"/>
      <c r="P1590" s="15"/>
      <c r="Q1590" s="15"/>
      <c r="R1590" s="15"/>
      <c r="S1590" s="15"/>
      <c r="T1590" s="15">
        <v>0</v>
      </c>
      <c r="U1590" s="15"/>
      <c r="V1590" s="15"/>
      <c r="W1590" s="15"/>
      <c r="X1590" s="15"/>
      <c r="Y1590" s="15"/>
      <c r="Z1590" s="15"/>
    </row>
    <row r="1591" spans="1:26" x14ac:dyDescent="0.25">
      <c r="A1591" s="15" t="s">
        <v>13490</v>
      </c>
      <c r="B1591" s="15">
        <v>1590</v>
      </c>
      <c r="C1591" s="15" t="s">
        <v>11277</v>
      </c>
      <c r="D1591" s="15" t="s">
        <v>11277</v>
      </c>
      <c r="E1591" s="15" t="s">
        <v>73</v>
      </c>
      <c r="F1591" s="15" t="s">
        <v>15200</v>
      </c>
      <c r="G1591" s="15" t="s">
        <v>13400</v>
      </c>
      <c r="H1591" s="15">
        <v>22</v>
      </c>
      <c r="I1591" s="15">
        <v>28</v>
      </c>
      <c r="J1591" s="15">
        <v>66</v>
      </c>
      <c r="K1591" s="15" t="str">
        <f t="shared" si="24"/>
        <v>loweryatkhaal</v>
      </c>
      <c r="L1591" s="15" t="s">
        <v>11560</v>
      </c>
      <c r="M1591" s="15">
        <v>1</v>
      </c>
      <c r="N1591" s="15" t="s">
        <v>11222</v>
      </c>
      <c r="O1591" s="15"/>
      <c r="P1591" s="15"/>
      <c r="Q1591" s="15" t="s">
        <v>13396</v>
      </c>
      <c r="R1591" s="15"/>
      <c r="S1591" s="15"/>
      <c r="T1591" s="15">
        <v>0</v>
      </c>
      <c r="U1591" s="15"/>
      <c r="V1591" s="15"/>
      <c r="W1591" s="15"/>
      <c r="X1591" s="15"/>
      <c r="Y1591" s="15"/>
      <c r="Z1591" s="15"/>
    </row>
    <row r="1592" spans="1:26" x14ac:dyDescent="0.25">
      <c r="A1592" s="15" t="s">
        <v>13492</v>
      </c>
      <c r="B1592" s="15">
        <v>1591</v>
      </c>
      <c r="C1592" s="15" t="s">
        <v>11277</v>
      </c>
      <c r="D1592" s="15" t="s">
        <v>11277</v>
      </c>
      <c r="E1592" s="15" t="s">
        <v>73</v>
      </c>
      <c r="F1592" s="15" t="s">
        <v>15200</v>
      </c>
      <c r="G1592" s="15" t="s">
        <v>13441</v>
      </c>
      <c r="H1592" s="15">
        <v>22</v>
      </c>
      <c r="I1592" s="15">
        <v>28</v>
      </c>
      <c r="J1592" s="15">
        <v>66</v>
      </c>
      <c r="K1592" s="15" t="str">
        <f t="shared" si="24"/>
        <v>loweryatkhaal</v>
      </c>
      <c r="L1592" s="15" t="s">
        <v>11560</v>
      </c>
      <c r="M1592" s="15">
        <v>1</v>
      </c>
      <c r="N1592" s="15" t="s">
        <v>11222</v>
      </c>
      <c r="O1592" s="15"/>
      <c r="P1592" s="15"/>
      <c r="Q1592" s="15"/>
      <c r="R1592" s="15"/>
      <c r="S1592" s="15"/>
      <c r="T1592" s="15">
        <v>0</v>
      </c>
      <c r="U1592" s="15"/>
      <c r="V1592" s="15"/>
      <c r="W1592" s="15"/>
      <c r="X1592" s="15"/>
      <c r="Y1592" s="15"/>
      <c r="Z1592" s="15"/>
    </row>
    <row r="1593" spans="1:26" x14ac:dyDescent="0.25">
      <c r="A1593" s="15" t="s">
        <v>13494</v>
      </c>
      <c r="B1593" s="15">
        <v>1592</v>
      </c>
      <c r="C1593" s="15" t="s">
        <v>11277</v>
      </c>
      <c r="D1593" s="15" t="s">
        <v>11277</v>
      </c>
      <c r="E1593" s="15" t="s">
        <v>73</v>
      </c>
      <c r="F1593" s="15" t="s">
        <v>15200</v>
      </c>
      <c r="G1593" s="15" t="s">
        <v>13443</v>
      </c>
      <c r="H1593" s="15">
        <v>22</v>
      </c>
      <c r="I1593" s="15">
        <v>28</v>
      </c>
      <c r="J1593" s="15">
        <v>66</v>
      </c>
      <c r="K1593" s="15" t="str">
        <f t="shared" si="24"/>
        <v>loweryatkhaal</v>
      </c>
      <c r="L1593" s="15" t="s">
        <v>12848</v>
      </c>
      <c r="M1593" s="15">
        <v>1</v>
      </c>
      <c r="N1593" s="15" t="s">
        <v>11222</v>
      </c>
      <c r="O1593" s="15"/>
      <c r="P1593" s="15"/>
      <c r="Q1593" s="15"/>
      <c r="R1593" s="15"/>
      <c r="S1593" s="15"/>
      <c r="T1593" s="15">
        <v>0</v>
      </c>
      <c r="U1593" s="15"/>
      <c r="V1593" s="15"/>
      <c r="W1593" s="15"/>
      <c r="X1593" s="15"/>
      <c r="Y1593" s="15"/>
      <c r="Z1593" s="15"/>
    </row>
    <row r="1594" spans="1:26" x14ac:dyDescent="0.25">
      <c r="A1594" s="15" t="s">
        <v>13496</v>
      </c>
      <c r="B1594" s="15">
        <v>1593</v>
      </c>
      <c r="C1594" s="15" t="s">
        <v>11277</v>
      </c>
      <c r="D1594" s="15" t="s">
        <v>11277</v>
      </c>
      <c r="E1594" s="15" t="s">
        <v>102</v>
      </c>
      <c r="F1594" s="15" t="s">
        <v>15200</v>
      </c>
      <c r="G1594" s="15" t="s">
        <v>13445</v>
      </c>
      <c r="H1594" s="15">
        <v>22</v>
      </c>
      <c r="I1594" s="15">
        <v>28</v>
      </c>
      <c r="J1594" s="15">
        <v>77</v>
      </c>
      <c r="K1594" s="15" t="str">
        <f t="shared" si="24"/>
        <v>loweryatkhaal</v>
      </c>
      <c r="L1594" s="15" t="s">
        <v>11560</v>
      </c>
      <c r="M1594" s="15">
        <v>1</v>
      </c>
      <c r="N1594" s="15" t="s">
        <v>11222</v>
      </c>
      <c r="O1594" s="15"/>
      <c r="P1594" s="15"/>
      <c r="Q1594" s="15"/>
      <c r="R1594" s="15"/>
      <c r="S1594" s="15"/>
      <c r="T1594" s="15">
        <v>0</v>
      </c>
      <c r="U1594" s="15"/>
      <c r="V1594" s="15"/>
      <c r="W1594" s="15"/>
      <c r="X1594" s="15"/>
      <c r="Y1594" s="15"/>
      <c r="Z1594" s="15"/>
    </row>
    <row r="1595" spans="1:26" x14ac:dyDescent="0.25">
      <c r="A1595" s="15" t="s">
        <v>13498</v>
      </c>
      <c r="B1595" s="15">
        <v>1594</v>
      </c>
      <c r="C1595" s="15" t="s">
        <v>11277</v>
      </c>
      <c r="D1595" s="15" t="s">
        <v>11277</v>
      </c>
      <c r="E1595" s="15" t="s">
        <v>73</v>
      </c>
      <c r="F1595" s="15" t="s">
        <v>15200</v>
      </c>
      <c r="G1595" s="15" t="s">
        <v>13447</v>
      </c>
      <c r="H1595" s="15">
        <v>22</v>
      </c>
      <c r="I1595" s="15">
        <v>28</v>
      </c>
      <c r="J1595" s="15">
        <v>70</v>
      </c>
      <c r="K1595" s="15" t="str">
        <f t="shared" si="24"/>
        <v>loweryatkhaal</v>
      </c>
      <c r="L1595" s="15" t="s">
        <v>12848</v>
      </c>
      <c r="M1595" s="15">
        <v>3</v>
      </c>
      <c r="N1595" s="15" t="s">
        <v>11222</v>
      </c>
      <c r="O1595" s="15"/>
      <c r="P1595" s="15"/>
      <c r="Q1595" s="15"/>
      <c r="R1595" s="15"/>
      <c r="S1595" s="15"/>
      <c r="T1595" s="15">
        <v>0</v>
      </c>
      <c r="U1595" s="15" t="s">
        <v>14151</v>
      </c>
      <c r="V1595" s="15"/>
      <c r="W1595" s="15"/>
      <c r="X1595" s="15"/>
      <c r="Y1595" s="15"/>
      <c r="Z1595" s="15"/>
    </row>
    <row r="1596" spans="1:26" x14ac:dyDescent="0.25">
      <c r="A1596" s="15" t="s">
        <v>13500</v>
      </c>
      <c r="B1596" s="15">
        <v>1595</v>
      </c>
      <c r="C1596" s="15" t="s">
        <v>11277</v>
      </c>
      <c r="D1596" s="15" t="s">
        <v>11277</v>
      </c>
      <c r="E1596" s="15" t="s">
        <v>73</v>
      </c>
      <c r="F1596" s="15" t="s">
        <v>2007</v>
      </c>
      <c r="G1596" s="15" t="s">
        <v>13449</v>
      </c>
      <c r="H1596" s="15">
        <v>12.4</v>
      </c>
      <c r="I1596" s="15">
        <v>33.1</v>
      </c>
      <c r="J1596" s="15">
        <v>66</v>
      </c>
      <c r="K1596" s="15" t="str">
        <f t="shared" si="24"/>
        <v>dotharlkhaa</v>
      </c>
      <c r="L1596" s="15" t="s">
        <v>12809</v>
      </c>
      <c r="M1596" s="15">
        <v>1</v>
      </c>
      <c r="N1596" s="15" t="s">
        <v>11222</v>
      </c>
      <c r="O1596" s="15"/>
      <c r="P1596" s="15"/>
      <c r="Q1596" s="15"/>
      <c r="R1596" s="15"/>
      <c r="S1596" s="15"/>
      <c r="T1596" s="15">
        <v>0</v>
      </c>
      <c r="U1596" s="15"/>
      <c r="V1596" s="15"/>
      <c r="W1596" s="15"/>
      <c r="X1596" s="15"/>
      <c r="Y1596" s="15"/>
      <c r="Z1596" s="15"/>
    </row>
    <row r="1597" spans="1:26" x14ac:dyDescent="0.25">
      <c r="A1597" s="15" t="s">
        <v>13502</v>
      </c>
      <c r="B1597" s="15">
        <v>1596</v>
      </c>
      <c r="C1597" s="15" t="s">
        <v>11277</v>
      </c>
      <c r="D1597" s="15" t="s">
        <v>11277</v>
      </c>
      <c r="E1597" s="15" t="s">
        <v>73</v>
      </c>
      <c r="F1597" s="15" t="s">
        <v>2007</v>
      </c>
      <c r="G1597" s="15" t="s">
        <v>13451</v>
      </c>
      <c r="H1597" s="15">
        <v>12.4</v>
      </c>
      <c r="I1597" s="15">
        <v>33.1</v>
      </c>
      <c r="J1597" s="15">
        <v>66</v>
      </c>
      <c r="K1597" s="15" t="str">
        <f t="shared" si="24"/>
        <v>dotharlkhaa</v>
      </c>
      <c r="L1597" s="15" t="s">
        <v>12848</v>
      </c>
      <c r="M1597" s="15">
        <v>2</v>
      </c>
      <c r="N1597" s="15" t="s">
        <v>11223</v>
      </c>
      <c r="O1597" s="15"/>
      <c r="P1597" s="15"/>
      <c r="Q1597" s="15"/>
      <c r="R1597" s="15"/>
      <c r="S1597" s="15"/>
      <c r="T1597" s="15">
        <v>0</v>
      </c>
      <c r="U1597" s="15"/>
      <c r="V1597" s="15"/>
      <c r="W1597" s="15"/>
      <c r="X1597" s="15"/>
      <c r="Y1597" s="15"/>
      <c r="Z1597" s="15"/>
    </row>
    <row r="1598" spans="1:26" x14ac:dyDescent="0.25">
      <c r="A1598" s="15" t="s">
        <v>13504</v>
      </c>
      <c r="B1598" s="15">
        <v>1597</v>
      </c>
      <c r="C1598" s="15" t="s">
        <v>11277</v>
      </c>
      <c r="D1598" s="15" t="s">
        <v>11277</v>
      </c>
      <c r="E1598" s="15" t="s">
        <v>73</v>
      </c>
      <c r="F1598" s="15" t="s">
        <v>2007</v>
      </c>
      <c r="G1598" s="15" t="s">
        <v>13453</v>
      </c>
      <c r="H1598" s="15">
        <v>12.4</v>
      </c>
      <c r="I1598" s="15">
        <v>33.1</v>
      </c>
      <c r="J1598" s="15">
        <v>70</v>
      </c>
      <c r="K1598" s="15" t="str">
        <f t="shared" si="24"/>
        <v>dotharlkhaa</v>
      </c>
      <c r="L1598" s="15" t="s">
        <v>12859</v>
      </c>
      <c r="M1598" s="15">
        <v>3</v>
      </c>
      <c r="N1598" s="15" t="s">
        <v>11223</v>
      </c>
      <c r="O1598" s="15" t="s">
        <v>2810</v>
      </c>
      <c r="P1598" s="15"/>
      <c r="Q1598" s="15"/>
      <c r="R1598" s="15"/>
      <c r="S1598" s="15"/>
      <c r="T1598" s="15">
        <v>0</v>
      </c>
      <c r="U1598" s="15" t="s">
        <v>5900</v>
      </c>
      <c r="V1598" s="15"/>
      <c r="W1598" s="15"/>
      <c r="X1598" s="15" t="s">
        <v>5893</v>
      </c>
      <c r="Y1598" s="15" t="s">
        <v>5892</v>
      </c>
      <c r="Z1598" s="15"/>
    </row>
    <row r="1599" spans="1:26" x14ac:dyDescent="0.25">
      <c r="A1599" s="15" t="s">
        <v>13506</v>
      </c>
      <c r="B1599" s="15">
        <v>1598</v>
      </c>
      <c r="C1599" s="15" t="s">
        <v>11277</v>
      </c>
      <c r="D1599" s="15" t="s">
        <v>11277</v>
      </c>
      <c r="E1599" s="15" t="s">
        <v>73</v>
      </c>
      <c r="F1599" s="15" t="s">
        <v>2007</v>
      </c>
      <c r="G1599" s="15" t="s">
        <v>13455</v>
      </c>
      <c r="H1599" s="15">
        <v>12.4</v>
      </c>
      <c r="I1599" s="15">
        <v>33.1</v>
      </c>
      <c r="J1599" s="15">
        <v>70</v>
      </c>
      <c r="K1599" s="15" t="str">
        <f t="shared" si="24"/>
        <v>dotharlkhaa</v>
      </c>
      <c r="L1599" s="15" t="s">
        <v>12848</v>
      </c>
      <c r="M1599" s="15">
        <v>3</v>
      </c>
      <c r="N1599" s="15" t="s">
        <v>11222</v>
      </c>
      <c r="O1599" s="15" t="s">
        <v>11385</v>
      </c>
      <c r="P1599" s="15"/>
      <c r="Q1599" s="15"/>
      <c r="R1599" s="15"/>
      <c r="S1599" s="15"/>
      <c r="T1599" s="15">
        <v>0</v>
      </c>
      <c r="U1599" s="15" t="s">
        <v>5900</v>
      </c>
      <c r="V1599" s="15"/>
      <c r="W1599" s="15"/>
      <c r="X1599" s="15" t="s">
        <v>5893</v>
      </c>
      <c r="Y1599" s="15"/>
      <c r="Z1599" s="15"/>
    </row>
    <row r="1600" spans="1:26" x14ac:dyDescent="0.25">
      <c r="A1600" s="15" t="s">
        <v>13508</v>
      </c>
      <c r="B1600" s="15">
        <v>1599</v>
      </c>
      <c r="C1600" s="15" t="s">
        <v>11277</v>
      </c>
      <c r="D1600" s="15" t="s">
        <v>11647</v>
      </c>
      <c r="E1600" s="15" t="s">
        <v>73</v>
      </c>
      <c r="F1600" s="15" t="s">
        <v>15201</v>
      </c>
      <c r="G1600" s="15" t="s">
        <v>13489</v>
      </c>
      <c r="H1600" s="15">
        <v>19</v>
      </c>
      <c r="I1600" s="15">
        <v>23</v>
      </c>
      <c r="J1600" s="15">
        <v>66</v>
      </c>
      <c r="K1600" s="15" t="str">
        <f t="shared" si="24"/>
        <v>azimkhaatwesternlakebed</v>
      </c>
      <c r="L1600" s="15"/>
      <c r="M1600" s="15"/>
      <c r="N1600" s="15"/>
      <c r="O1600" s="15"/>
      <c r="P1600" s="15"/>
      <c r="Q1600" s="15"/>
      <c r="R1600" s="15"/>
      <c r="S1600" s="15"/>
      <c r="T1600" s="15">
        <v>0</v>
      </c>
      <c r="U1600" s="15"/>
      <c r="V1600" s="15"/>
      <c r="W1600" s="15"/>
      <c r="X1600" s="15"/>
      <c r="Y1600" s="15"/>
      <c r="Z1600" s="15"/>
    </row>
    <row r="1601" spans="1:26" x14ac:dyDescent="0.25">
      <c r="A1601" s="15" t="s">
        <v>13510</v>
      </c>
      <c r="B1601" s="15">
        <v>1600</v>
      </c>
      <c r="C1601" s="15" t="s">
        <v>11277</v>
      </c>
      <c r="D1601" s="15" t="s">
        <v>11647</v>
      </c>
      <c r="E1601" s="15" t="s">
        <v>73</v>
      </c>
      <c r="F1601" s="15" t="s">
        <v>15201</v>
      </c>
      <c r="G1601" s="15" t="s">
        <v>13491</v>
      </c>
      <c r="H1601" s="15">
        <v>19</v>
      </c>
      <c r="I1601" s="15">
        <v>23</v>
      </c>
      <c r="J1601" s="15">
        <v>66</v>
      </c>
      <c r="K1601" s="15" t="str">
        <f t="shared" si="24"/>
        <v>azimkhaatwesternlakebed</v>
      </c>
      <c r="L1601" s="15"/>
      <c r="M1601" s="15"/>
      <c r="N1601" s="15"/>
      <c r="O1601" s="15"/>
      <c r="P1601" s="15"/>
      <c r="Q1601" s="15"/>
      <c r="R1601" s="15"/>
      <c r="S1601" s="15"/>
      <c r="T1601" s="15">
        <v>0</v>
      </c>
      <c r="U1601" s="15"/>
      <c r="V1601" s="15"/>
      <c r="W1601" s="15"/>
      <c r="X1601" s="15"/>
      <c r="Y1601" s="15"/>
      <c r="Z1601" s="15"/>
    </row>
    <row r="1602" spans="1:26" x14ac:dyDescent="0.25">
      <c r="A1602" s="15" t="s">
        <v>13512</v>
      </c>
      <c r="B1602" s="15">
        <v>1601</v>
      </c>
      <c r="C1602" s="15" t="s">
        <v>11277</v>
      </c>
      <c r="D1602" s="15" t="s">
        <v>11647</v>
      </c>
      <c r="E1602" s="15" t="s">
        <v>73</v>
      </c>
      <c r="F1602" s="15" t="s">
        <v>15201</v>
      </c>
      <c r="G1602" s="15" t="s">
        <v>13493</v>
      </c>
      <c r="H1602" s="15">
        <v>19</v>
      </c>
      <c r="I1602" s="15">
        <v>23</v>
      </c>
      <c r="J1602" s="15">
        <v>67</v>
      </c>
      <c r="K1602" s="15" t="str">
        <f t="shared" ref="K1602:K1665" si="25">LOWER(SUBSTITUTE(SUBSTITUTE(SUBSTITUTE(SUBSTITUTE(SUBSTITUTE(F1602," ",""),"(",""),")",""),"'",""),"-",""))</f>
        <v>azimkhaatwesternlakebed</v>
      </c>
      <c r="L1602" s="15"/>
      <c r="M1602" s="15"/>
      <c r="N1602" s="15"/>
      <c r="O1602" s="15"/>
      <c r="P1602" s="15"/>
      <c r="Q1602" s="15"/>
      <c r="R1602" s="15"/>
      <c r="S1602" s="15"/>
      <c r="T1602" s="15">
        <v>0</v>
      </c>
      <c r="U1602" s="15"/>
      <c r="V1602" s="15"/>
      <c r="W1602" s="15"/>
      <c r="X1602" s="15"/>
      <c r="Y1602" s="15"/>
      <c r="Z1602" s="15"/>
    </row>
    <row r="1603" spans="1:26" x14ac:dyDescent="0.25">
      <c r="A1603" s="15" t="s">
        <v>13514</v>
      </c>
      <c r="B1603" s="15">
        <v>1602</v>
      </c>
      <c r="C1603" s="15" t="s">
        <v>11277</v>
      </c>
      <c r="D1603" s="15" t="s">
        <v>11647</v>
      </c>
      <c r="E1603" s="15" t="s">
        <v>73</v>
      </c>
      <c r="F1603" s="15" t="s">
        <v>15201</v>
      </c>
      <c r="G1603" s="15" t="s">
        <v>13495</v>
      </c>
      <c r="H1603" s="15">
        <v>19</v>
      </c>
      <c r="I1603" s="15">
        <v>23</v>
      </c>
      <c r="J1603" s="15">
        <v>68</v>
      </c>
      <c r="K1603" s="15" t="str">
        <f t="shared" si="25"/>
        <v>azimkhaatwesternlakebed</v>
      </c>
      <c r="L1603" s="15"/>
      <c r="M1603" s="15"/>
      <c r="N1603" s="15"/>
      <c r="O1603" s="15"/>
      <c r="P1603" s="15"/>
      <c r="Q1603" s="15"/>
      <c r="R1603" s="15"/>
      <c r="S1603" s="15"/>
      <c r="T1603" s="15">
        <v>0</v>
      </c>
      <c r="U1603" s="15"/>
      <c r="V1603" s="15"/>
      <c r="W1603" s="15"/>
      <c r="X1603" s="15"/>
      <c r="Y1603" s="15"/>
      <c r="Z1603" s="15"/>
    </row>
    <row r="1604" spans="1:26" x14ac:dyDescent="0.25">
      <c r="A1604" s="15" t="s">
        <v>13517</v>
      </c>
      <c r="B1604" s="15">
        <v>1603</v>
      </c>
      <c r="C1604" s="15" t="s">
        <v>11277</v>
      </c>
      <c r="D1604" s="15" t="s">
        <v>11647</v>
      </c>
      <c r="E1604" s="15" t="s">
        <v>73</v>
      </c>
      <c r="F1604" s="15" t="s">
        <v>15201</v>
      </c>
      <c r="G1604" s="15" t="s">
        <v>13497</v>
      </c>
      <c r="H1604" s="15">
        <v>19</v>
      </c>
      <c r="I1604" s="15">
        <v>23</v>
      </c>
      <c r="J1604" s="15">
        <v>69</v>
      </c>
      <c r="K1604" s="15" t="str">
        <f t="shared" si="25"/>
        <v>azimkhaatwesternlakebed</v>
      </c>
      <c r="L1604" s="15"/>
      <c r="M1604" s="15"/>
      <c r="N1604" s="15"/>
      <c r="O1604" s="15"/>
      <c r="P1604" s="15"/>
      <c r="Q1604" s="15"/>
      <c r="R1604" s="15"/>
      <c r="S1604" s="15"/>
      <c r="T1604" s="15">
        <v>0</v>
      </c>
      <c r="U1604" s="15"/>
      <c r="V1604" s="15"/>
      <c r="W1604" s="15"/>
      <c r="X1604" s="15"/>
      <c r="Y1604" s="15"/>
      <c r="Z1604" s="15"/>
    </row>
    <row r="1605" spans="1:26" x14ac:dyDescent="0.25">
      <c r="A1605" s="15" t="s">
        <v>13519</v>
      </c>
      <c r="B1605" s="15">
        <v>1604</v>
      </c>
      <c r="C1605" s="15" t="s">
        <v>11277</v>
      </c>
      <c r="D1605" s="15" t="s">
        <v>11647</v>
      </c>
      <c r="E1605" s="15" t="s">
        <v>73</v>
      </c>
      <c r="F1605" s="15" t="s">
        <v>15201</v>
      </c>
      <c r="G1605" s="15" t="s">
        <v>13499</v>
      </c>
      <c r="H1605" s="15">
        <v>19</v>
      </c>
      <c r="I1605" s="15">
        <v>23</v>
      </c>
      <c r="J1605" s="15">
        <v>70</v>
      </c>
      <c r="K1605" s="15" t="str">
        <f t="shared" si="25"/>
        <v>azimkhaatwesternlakebed</v>
      </c>
      <c r="L1605" s="15"/>
      <c r="M1605" s="15"/>
      <c r="N1605" s="15"/>
      <c r="O1605" s="15"/>
      <c r="P1605" s="15"/>
      <c r="Q1605" s="15"/>
      <c r="R1605" s="15"/>
      <c r="S1605" s="15"/>
      <c r="T1605" s="15">
        <v>0</v>
      </c>
      <c r="U1605" s="15"/>
      <c r="V1605" s="15"/>
      <c r="W1605" s="15"/>
      <c r="X1605" s="15"/>
      <c r="Y1605" s="15"/>
      <c r="Z1605" s="15"/>
    </row>
    <row r="1606" spans="1:26" x14ac:dyDescent="0.25">
      <c r="A1606" s="15" t="s">
        <v>13522</v>
      </c>
      <c r="B1606" s="15">
        <v>1605</v>
      </c>
      <c r="C1606" s="15" t="s">
        <v>11277</v>
      </c>
      <c r="D1606" s="15" t="s">
        <v>11647</v>
      </c>
      <c r="E1606" s="15" t="s">
        <v>73</v>
      </c>
      <c r="F1606" s="15" t="s">
        <v>15202</v>
      </c>
      <c r="G1606" s="15" t="s">
        <v>13501</v>
      </c>
      <c r="H1606" s="15">
        <v>23</v>
      </c>
      <c r="I1606" s="15">
        <v>23</v>
      </c>
      <c r="J1606" s="15">
        <v>66</v>
      </c>
      <c r="K1606" s="15" t="str">
        <f t="shared" si="25"/>
        <v>azimkhaateasternlakebed</v>
      </c>
      <c r="L1606" s="15"/>
      <c r="M1606" s="15"/>
      <c r="N1606" s="15"/>
      <c r="O1606" s="15"/>
      <c r="P1606" s="15"/>
      <c r="Q1606" s="15"/>
      <c r="R1606" s="15"/>
      <c r="S1606" s="15"/>
      <c r="T1606" s="15">
        <v>0</v>
      </c>
      <c r="U1606" s="15"/>
      <c r="V1606" s="15"/>
      <c r="W1606" s="15"/>
      <c r="X1606" s="15"/>
      <c r="Y1606" s="15"/>
      <c r="Z1606" s="15"/>
    </row>
    <row r="1607" spans="1:26" x14ac:dyDescent="0.25">
      <c r="A1607" s="15" t="s">
        <v>13525</v>
      </c>
      <c r="B1607" s="15">
        <v>1606</v>
      </c>
      <c r="C1607" s="15" t="s">
        <v>11277</v>
      </c>
      <c r="D1607" s="15" t="s">
        <v>11647</v>
      </c>
      <c r="E1607" s="15" t="s">
        <v>73</v>
      </c>
      <c r="F1607" s="15" t="s">
        <v>15202</v>
      </c>
      <c r="G1607" s="15" t="s">
        <v>13503</v>
      </c>
      <c r="H1607" s="15">
        <v>23</v>
      </c>
      <c r="I1607" s="15">
        <v>23</v>
      </c>
      <c r="J1607" s="15">
        <v>67</v>
      </c>
      <c r="K1607" s="15" t="str">
        <f t="shared" si="25"/>
        <v>azimkhaateasternlakebed</v>
      </c>
      <c r="L1607" s="15"/>
      <c r="M1607" s="15"/>
      <c r="N1607" s="15"/>
      <c r="O1607" s="15"/>
      <c r="P1607" s="15"/>
      <c r="Q1607" s="15"/>
      <c r="R1607" s="15"/>
      <c r="S1607" s="15"/>
      <c r="T1607" s="15">
        <v>0</v>
      </c>
      <c r="U1607" s="15"/>
      <c r="V1607" s="15"/>
      <c r="W1607" s="15"/>
      <c r="X1607" s="15"/>
      <c r="Y1607" s="15"/>
      <c r="Z1607" s="15"/>
    </row>
    <row r="1608" spans="1:26" x14ac:dyDescent="0.25">
      <c r="A1608" s="15" t="s">
        <v>13527</v>
      </c>
      <c r="B1608" s="15">
        <v>1607</v>
      </c>
      <c r="C1608" s="15" t="s">
        <v>11277</v>
      </c>
      <c r="D1608" s="15" t="s">
        <v>11647</v>
      </c>
      <c r="E1608" s="15" t="s">
        <v>73</v>
      </c>
      <c r="F1608" s="15" t="s">
        <v>15202</v>
      </c>
      <c r="G1608" s="15" t="s">
        <v>13505</v>
      </c>
      <c r="H1608" s="15">
        <v>23</v>
      </c>
      <c r="I1608" s="15">
        <v>23</v>
      </c>
      <c r="J1608" s="15">
        <v>67</v>
      </c>
      <c r="K1608" s="15" t="str">
        <f t="shared" si="25"/>
        <v>azimkhaateasternlakebed</v>
      </c>
      <c r="L1608" s="15"/>
      <c r="M1608" s="15"/>
      <c r="N1608" s="15"/>
      <c r="O1608" s="15"/>
      <c r="P1608" s="15"/>
      <c r="Q1608" s="15"/>
      <c r="R1608" s="15"/>
      <c r="S1608" s="15"/>
      <c r="T1608" s="15">
        <v>0</v>
      </c>
      <c r="U1608" s="15"/>
      <c r="V1608" s="15"/>
      <c r="W1608" s="15"/>
      <c r="X1608" s="15"/>
      <c r="Y1608" s="15"/>
      <c r="Z1608" s="15"/>
    </row>
    <row r="1609" spans="1:26" x14ac:dyDescent="0.25">
      <c r="A1609" s="15" t="s">
        <v>13529</v>
      </c>
      <c r="B1609" s="15">
        <v>1608</v>
      </c>
      <c r="C1609" s="15" t="s">
        <v>11277</v>
      </c>
      <c r="D1609" s="15" t="s">
        <v>11647</v>
      </c>
      <c r="E1609" s="15" t="s">
        <v>73</v>
      </c>
      <c r="F1609" s="15" t="s">
        <v>15202</v>
      </c>
      <c r="G1609" s="15" t="s">
        <v>13495</v>
      </c>
      <c r="H1609" s="15">
        <v>23</v>
      </c>
      <c r="I1609" s="15">
        <v>23</v>
      </c>
      <c r="J1609" s="15">
        <v>68</v>
      </c>
      <c r="K1609" s="15" t="str">
        <f t="shared" si="25"/>
        <v>azimkhaateasternlakebed</v>
      </c>
      <c r="L1609" s="15"/>
      <c r="M1609" s="15"/>
      <c r="N1609" s="15"/>
      <c r="O1609" s="15"/>
      <c r="P1609" s="15"/>
      <c r="Q1609" s="15"/>
      <c r="R1609" s="15"/>
      <c r="S1609" s="15"/>
      <c r="T1609" s="15">
        <v>0</v>
      </c>
      <c r="U1609" s="15"/>
      <c r="V1609" s="15"/>
      <c r="W1609" s="15"/>
      <c r="X1609" s="15"/>
      <c r="Y1609" s="15"/>
      <c r="Z1609" s="15"/>
    </row>
    <row r="1610" spans="1:26" x14ac:dyDescent="0.25">
      <c r="A1610" s="15" t="s">
        <v>13531</v>
      </c>
      <c r="B1610" s="15">
        <v>1609</v>
      </c>
      <c r="C1610" s="15" t="s">
        <v>11277</v>
      </c>
      <c r="D1610" s="15" t="s">
        <v>11647</v>
      </c>
      <c r="E1610" s="15" t="s">
        <v>73</v>
      </c>
      <c r="F1610" s="15" t="s">
        <v>15202</v>
      </c>
      <c r="G1610" s="15" t="s">
        <v>13507</v>
      </c>
      <c r="H1610" s="15">
        <v>23</v>
      </c>
      <c r="I1610" s="15">
        <v>23</v>
      </c>
      <c r="J1610" s="15">
        <v>70</v>
      </c>
      <c r="K1610" s="15" t="str">
        <f t="shared" si="25"/>
        <v>azimkhaateasternlakebed</v>
      </c>
      <c r="L1610" s="15"/>
      <c r="M1610" s="15"/>
      <c r="N1610" s="15"/>
      <c r="O1610" s="15"/>
      <c r="P1610" s="15"/>
      <c r="Q1610" s="15"/>
      <c r="R1610" s="15"/>
      <c r="S1610" s="15"/>
      <c r="T1610" s="15">
        <v>0</v>
      </c>
      <c r="U1610" s="15"/>
      <c r="V1610" s="15"/>
      <c r="W1610" s="15"/>
      <c r="X1610" s="15"/>
      <c r="Y1610" s="15"/>
      <c r="Z1610" s="15"/>
    </row>
    <row r="1611" spans="1:26" x14ac:dyDescent="0.25">
      <c r="A1611" s="15" t="s">
        <v>13533</v>
      </c>
      <c r="B1611" s="15">
        <v>1610</v>
      </c>
      <c r="C1611" s="15" t="s">
        <v>11277</v>
      </c>
      <c r="D1611" s="15" t="s">
        <v>11647</v>
      </c>
      <c r="E1611" s="15" t="s">
        <v>73</v>
      </c>
      <c r="F1611" s="15" t="s">
        <v>15202</v>
      </c>
      <c r="G1611" s="15" t="s">
        <v>13509</v>
      </c>
      <c r="H1611" s="15">
        <v>23</v>
      </c>
      <c r="I1611" s="15">
        <v>23</v>
      </c>
      <c r="J1611" s="15">
        <v>69</v>
      </c>
      <c r="K1611" s="15" t="str">
        <f t="shared" si="25"/>
        <v>azimkhaateasternlakebed</v>
      </c>
      <c r="L1611" s="15"/>
      <c r="M1611" s="15"/>
      <c r="N1611" s="15"/>
      <c r="O1611" s="15"/>
      <c r="P1611" s="15"/>
      <c r="Q1611" s="15"/>
      <c r="R1611" s="15"/>
      <c r="S1611" s="15"/>
      <c r="T1611" s="15">
        <v>0</v>
      </c>
      <c r="U1611" s="15"/>
      <c r="V1611" s="15"/>
      <c r="W1611" s="15"/>
      <c r="X1611" s="15"/>
      <c r="Y1611" s="15"/>
      <c r="Z1611" s="15"/>
    </row>
    <row r="1612" spans="1:26" x14ac:dyDescent="0.25">
      <c r="A1612" s="15" t="s">
        <v>13535</v>
      </c>
      <c r="B1612" s="15">
        <v>1611</v>
      </c>
      <c r="C1612" s="15" t="s">
        <v>11277</v>
      </c>
      <c r="D1612" s="15" t="s">
        <v>11647</v>
      </c>
      <c r="E1612" s="15" t="s">
        <v>73</v>
      </c>
      <c r="F1612" s="15" t="s">
        <v>15203</v>
      </c>
      <c r="G1612" s="15" t="s">
        <v>13497</v>
      </c>
      <c r="H1612" s="15">
        <v>21</v>
      </c>
      <c r="I1612" s="15">
        <v>25</v>
      </c>
      <c r="J1612" s="15">
        <v>69</v>
      </c>
      <c r="K1612" s="15" t="str">
        <f t="shared" si="25"/>
        <v>azimkhaatsouthernlakebed</v>
      </c>
      <c r="L1612" s="15"/>
      <c r="M1612" s="15"/>
      <c r="N1612" s="15"/>
      <c r="O1612" s="15"/>
      <c r="P1612" s="15"/>
      <c r="Q1612" s="15"/>
      <c r="R1612" s="15"/>
      <c r="S1612" s="15"/>
      <c r="T1612" s="15">
        <v>0</v>
      </c>
      <c r="U1612" s="15"/>
      <c r="V1612" s="15"/>
      <c r="W1612" s="15"/>
      <c r="X1612" s="15"/>
      <c r="Y1612" s="15"/>
      <c r="Z1612" s="15"/>
    </row>
    <row r="1613" spans="1:26" x14ac:dyDescent="0.25">
      <c r="A1613" s="15" t="s">
        <v>13538</v>
      </c>
      <c r="B1613" s="15">
        <v>1612</v>
      </c>
      <c r="C1613" s="15" t="s">
        <v>11277</v>
      </c>
      <c r="D1613" s="15" t="s">
        <v>11647</v>
      </c>
      <c r="E1613" s="15" t="s">
        <v>73</v>
      </c>
      <c r="F1613" s="15" t="s">
        <v>15203</v>
      </c>
      <c r="G1613" s="15" t="s">
        <v>13509</v>
      </c>
      <c r="H1613" s="15">
        <v>21</v>
      </c>
      <c r="I1613" s="15">
        <v>25</v>
      </c>
      <c r="J1613" s="15">
        <v>69</v>
      </c>
      <c r="K1613" s="15" t="str">
        <f t="shared" si="25"/>
        <v>azimkhaatsouthernlakebed</v>
      </c>
      <c r="L1613" s="15"/>
      <c r="M1613" s="15"/>
      <c r="N1613" s="15"/>
      <c r="O1613" s="15"/>
      <c r="P1613" s="15"/>
      <c r="Q1613" s="15"/>
      <c r="R1613" s="15"/>
      <c r="S1613" s="15"/>
      <c r="T1613" s="15">
        <v>0</v>
      </c>
      <c r="U1613" s="15"/>
      <c r="V1613" s="15"/>
      <c r="W1613" s="15"/>
      <c r="X1613" s="15"/>
      <c r="Y1613" s="15"/>
      <c r="Z1613" s="15"/>
    </row>
    <row r="1614" spans="1:26" x14ac:dyDescent="0.25">
      <c r="A1614" s="15" t="s">
        <v>13540</v>
      </c>
      <c r="B1614" s="15">
        <v>1613</v>
      </c>
      <c r="C1614" s="15" t="s">
        <v>11277</v>
      </c>
      <c r="D1614" s="15" t="s">
        <v>11647</v>
      </c>
      <c r="E1614" s="15" t="s">
        <v>73</v>
      </c>
      <c r="F1614" s="15" t="s">
        <v>15203</v>
      </c>
      <c r="G1614" s="15" t="s">
        <v>13507</v>
      </c>
      <c r="H1614" s="15">
        <v>21</v>
      </c>
      <c r="I1614" s="15">
        <v>25</v>
      </c>
      <c r="J1614" s="15">
        <v>70</v>
      </c>
      <c r="K1614" s="15" t="str">
        <f t="shared" si="25"/>
        <v>azimkhaatsouthernlakebed</v>
      </c>
      <c r="L1614" s="15"/>
      <c r="M1614" s="15"/>
      <c r="N1614" s="15"/>
      <c r="O1614" s="15"/>
      <c r="P1614" s="15"/>
      <c r="Q1614" s="15"/>
      <c r="R1614" s="15"/>
      <c r="S1614" s="15"/>
      <c r="T1614" s="15">
        <v>0</v>
      </c>
      <c r="U1614" s="15"/>
      <c r="V1614" s="15"/>
      <c r="W1614" s="15"/>
      <c r="X1614" s="15"/>
      <c r="Y1614" s="15"/>
      <c r="Z1614" s="15"/>
    </row>
    <row r="1615" spans="1:26" x14ac:dyDescent="0.25">
      <c r="A1615" s="15" t="s">
        <v>13542</v>
      </c>
      <c r="B1615" s="15">
        <v>1614</v>
      </c>
      <c r="C1615" s="15" t="s">
        <v>11277</v>
      </c>
      <c r="D1615" s="15" t="s">
        <v>11647</v>
      </c>
      <c r="E1615" s="15" t="s">
        <v>73</v>
      </c>
      <c r="F1615" s="15" t="s">
        <v>15203</v>
      </c>
      <c r="G1615" s="15" t="s">
        <v>13499</v>
      </c>
      <c r="H1615" s="15">
        <v>21</v>
      </c>
      <c r="I1615" s="15">
        <v>25</v>
      </c>
      <c r="J1615" s="15">
        <v>70</v>
      </c>
      <c r="K1615" s="15" t="str">
        <f t="shared" si="25"/>
        <v>azimkhaatsouthernlakebed</v>
      </c>
      <c r="L1615" s="15"/>
      <c r="M1615" s="15"/>
      <c r="N1615" s="15"/>
      <c r="O1615" s="15"/>
      <c r="P1615" s="15"/>
      <c r="Q1615" s="15"/>
      <c r="R1615" s="15"/>
      <c r="S1615" s="15"/>
      <c r="T1615" s="15">
        <v>0</v>
      </c>
      <c r="U1615" s="15"/>
      <c r="V1615" s="15"/>
      <c r="W1615" s="15"/>
      <c r="X1615" s="15"/>
      <c r="Y1615" s="15"/>
      <c r="Z1615" s="15"/>
    </row>
    <row r="1616" spans="1:26" x14ac:dyDescent="0.25">
      <c r="A1616" s="15" t="s">
        <v>13545</v>
      </c>
      <c r="B1616" s="15">
        <v>1615</v>
      </c>
      <c r="C1616" s="15" t="s">
        <v>11277</v>
      </c>
      <c r="D1616" s="15" t="s">
        <v>11647</v>
      </c>
      <c r="E1616" s="15" t="s">
        <v>73</v>
      </c>
      <c r="F1616" s="15" t="s">
        <v>15203</v>
      </c>
      <c r="G1616" s="15" t="s">
        <v>13511</v>
      </c>
      <c r="H1616" s="15">
        <v>21</v>
      </c>
      <c r="I1616" s="15">
        <v>25</v>
      </c>
      <c r="J1616" s="15">
        <v>69</v>
      </c>
      <c r="K1616" s="15" t="str">
        <f t="shared" si="25"/>
        <v>azimkhaatsouthernlakebed</v>
      </c>
      <c r="L1616" s="15"/>
      <c r="M1616" s="15"/>
      <c r="N1616" s="15"/>
      <c r="O1616" s="15"/>
      <c r="P1616" s="15"/>
      <c r="Q1616" s="15"/>
      <c r="R1616" s="15"/>
      <c r="S1616" s="15"/>
      <c r="T1616" s="15">
        <v>0</v>
      </c>
      <c r="U1616" s="15"/>
      <c r="V1616" s="15"/>
      <c r="W1616" s="15"/>
      <c r="X1616" s="15"/>
      <c r="Y1616" s="15"/>
      <c r="Z1616" s="15"/>
    </row>
    <row r="1617" spans="1:26" x14ac:dyDescent="0.25">
      <c r="A1617" s="15" t="s">
        <v>13547</v>
      </c>
      <c r="B1617" s="15">
        <v>1616</v>
      </c>
      <c r="C1617" s="15" t="s">
        <v>11277</v>
      </c>
      <c r="D1617" s="15" t="s">
        <v>11647</v>
      </c>
      <c r="E1617" s="15" t="s">
        <v>73</v>
      </c>
      <c r="F1617" s="15" t="s">
        <v>15203</v>
      </c>
      <c r="G1617" s="15" t="s">
        <v>13513</v>
      </c>
      <c r="H1617" s="15">
        <v>21</v>
      </c>
      <c r="I1617" s="15">
        <v>25</v>
      </c>
      <c r="J1617" s="15">
        <v>70</v>
      </c>
      <c r="K1617" s="15" t="str">
        <f t="shared" si="25"/>
        <v>azimkhaatsouthernlakebed</v>
      </c>
      <c r="L1617" s="15"/>
      <c r="M1617" s="15"/>
      <c r="N1617" s="15"/>
      <c r="O1617" s="15"/>
      <c r="P1617" s="15"/>
      <c r="Q1617" s="15"/>
      <c r="R1617" s="15"/>
      <c r="S1617" s="15"/>
      <c r="T1617" s="15">
        <v>0</v>
      </c>
      <c r="U1617" s="15"/>
      <c r="V1617" s="15"/>
      <c r="W1617" s="15"/>
      <c r="X1617" s="15"/>
      <c r="Y1617" s="15"/>
      <c r="Z1617" s="15"/>
    </row>
    <row r="1618" spans="1:26" x14ac:dyDescent="0.25">
      <c r="A1618" s="15" t="s">
        <v>13549</v>
      </c>
      <c r="B1618" s="15">
        <v>1617</v>
      </c>
      <c r="C1618" s="15" t="s">
        <v>11277</v>
      </c>
      <c r="D1618" s="15" t="s">
        <v>11277</v>
      </c>
      <c r="E1618" s="15" t="s">
        <v>73</v>
      </c>
      <c r="F1618" s="15" t="s">
        <v>15204</v>
      </c>
      <c r="G1618" s="15" t="s">
        <v>13020</v>
      </c>
      <c r="H1618" s="15">
        <v>11</v>
      </c>
      <c r="I1618" s="15">
        <v>11</v>
      </c>
      <c r="J1618" s="15">
        <v>62</v>
      </c>
      <c r="K1618" s="15" t="str">
        <f t="shared" si="25"/>
        <v>kuganepiers</v>
      </c>
      <c r="L1618" s="15" t="s">
        <v>13021</v>
      </c>
      <c r="M1618" s="15">
        <v>1</v>
      </c>
      <c r="N1618" s="15" t="s">
        <v>11222</v>
      </c>
      <c r="O1618" s="15"/>
      <c r="P1618" s="15"/>
      <c r="Q1618" s="15"/>
      <c r="R1618" s="15"/>
      <c r="S1618" s="15"/>
      <c r="T1618" s="15">
        <v>0</v>
      </c>
      <c r="U1618" s="15"/>
      <c r="V1618" s="15"/>
      <c r="W1618" s="15"/>
      <c r="X1618" s="15"/>
      <c r="Y1618" s="15"/>
      <c r="Z1618" s="15"/>
    </row>
    <row r="1619" spans="1:26" x14ac:dyDescent="0.25">
      <c r="A1619" s="15" t="s">
        <v>13551</v>
      </c>
      <c r="B1619" s="15">
        <v>1618</v>
      </c>
      <c r="C1619" s="15" t="s">
        <v>11277</v>
      </c>
      <c r="D1619" s="15" t="s">
        <v>11277</v>
      </c>
      <c r="E1619" s="15" t="s">
        <v>73</v>
      </c>
      <c r="F1619" s="15" t="s">
        <v>15204</v>
      </c>
      <c r="G1619" s="15" t="s">
        <v>13036</v>
      </c>
      <c r="H1619" s="15">
        <v>11</v>
      </c>
      <c r="I1619" s="15">
        <v>11</v>
      </c>
      <c r="J1619" s="15">
        <v>62</v>
      </c>
      <c r="K1619" s="15" t="str">
        <f t="shared" si="25"/>
        <v>kuganepiers</v>
      </c>
      <c r="L1619" s="15" t="s">
        <v>13021</v>
      </c>
      <c r="M1619" s="15">
        <v>1</v>
      </c>
      <c r="N1619" s="15" t="s">
        <v>11222</v>
      </c>
      <c r="O1619" s="15"/>
      <c r="P1619" s="15"/>
      <c r="Q1619" s="15"/>
      <c r="R1619" s="15"/>
      <c r="S1619" s="15"/>
      <c r="T1619" s="15">
        <v>0</v>
      </c>
      <c r="U1619" s="15"/>
      <c r="V1619" s="15"/>
      <c r="W1619" s="15"/>
      <c r="X1619" s="15"/>
      <c r="Y1619" s="15"/>
      <c r="Z1619" s="15"/>
    </row>
    <row r="1620" spans="1:26" x14ac:dyDescent="0.25">
      <c r="A1620" s="15" t="s">
        <v>13552</v>
      </c>
      <c r="B1620" s="15">
        <v>1619</v>
      </c>
      <c r="C1620" s="15" t="s">
        <v>11277</v>
      </c>
      <c r="D1620" s="15" t="s">
        <v>11277</v>
      </c>
      <c r="E1620" s="15" t="s">
        <v>73</v>
      </c>
      <c r="F1620" s="15" t="s">
        <v>15204</v>
      </c>
      <c r="G1620" s="15" t="s">
        <v>13473</v>
      </c>
      <c r="H1620" s="15">
        <v>11</v>
      </c>
      <c r="I1620" s="15">
        <v>11</v>
      </c>
      <c r="J1620" s="15">
        <v>63</v>
      </c>
      <c r="K1620" s="15" t="str">
        <f t="shared" si="25"/>
        <v>kuganepiers</v>
      </c>
      <c r="L1620" s="15" t="s">
        <v>13021</v>
      </c>
      <c r="M1620" s="15">
        <v>2</v>
      </c>
      <c r="N1620" s="15" t="s">
        <v>11223</v>
      </c>
      <c r="O1620" s="15"/>
      <c r="P1620" s="15"/>
      <c r="Q1620" s="15" t="s">
        <v>13036</v>
      </c>
      <c r="R1620" s="15"/>
      <c r="S1620" s="15"/>
      <c r="T1620" s="15">
        <v>0</v>
      </c>
      <c r="U1620" s="15"/>
      <c r="V1620" s="15"/>
      <c r="W1620" s="15"/>
      <c r="X1620" s="15"/>
      <c r="Y1620" s="15"/>
      <c r="Z1620" s="15"/>
    </row>
    <row r="1621" spans="1:26" x14ac:dyDescent="0.25">
      <c r="A1621" s="15" t="s">
        <v>13554</v>
      </c>
      <c r="B1621" s="15">
        <v>1620</v>
      </c>
      <c r="C1621" s="15" t="s">
        <v>11277</v>
      </c>
      <c r="D1621" s="15" t="s">
        <v>11277</v>
      </c>
      <c r="E1621" s="15" t="s">
        <v>73</v>
      </c>
      <c r="F1621" s="15" t="s">
        <v>15204</v>
      </c>
      <c r="G1621" s="15" t="s">
        <v>13052</v>
      </c>
      <c r="H1621" s="15">
        <v>11</v>
      </c>
      <c r="I1621" s="15">
        <v>11</v>
      </c>
      <c r="J1621" s="15">
        <v>68</v>
      </c>
      <c r="K1621" s="15" t="str">
        <f t="shared" si="25"/>
        <v>kuganepiers</v>
      </c>
      <c r="L1621" s="15" t="s">
        <v>13024</v>
      </c>
      <c r="M1621" s="15">
        <v>2</v>
      </c>
      <c r="N1621" s="15" t="s">
        <v>11223</v>
      </c>
      <c r="O1621" s="15"/>
      <c r="P1621" s="15"/>
      <c r="Q1621" s="15" t="s">
        <v>13036</v>
      </c>
      <c r="R1621" s="15"/>
      <c r="S1621" s="15"/>
      <c r="T1621" s="15">
        <v>0</v>
      </c>
      <c r="U1621" s="15"/>
      <c r="V1621" s="15"/>
      <c r="W1621" s="15"/>
      <c r="X1621" s="15"/>
      <c r="Y1621" s="15"/>
      <c r="Z1621" s="15"/>
    </row>
    <row r="1622" spans="1:26" x14ac:dyDescent="0.25">
      <c r="A1622" s="15" t="s">
        <v>13556</v>
      </c>
      <c r="B1622" s="15">
        <v>1621</v>
      </c>
      <c r="C1622" s="15" t="s">
        <v>11277</v>
      </c>
      <c r="D1622" s="15" t="s">
        <v>11277</v>
      </c>
      <c r="E1622" s="15" t="s">
        <v>73</v>
      </c>
      <c r="F1622" s="15" t="s">
        <v>15204</v>
      </c>
      <c r="G1622" s="15" t="s">
        <v>13475</v>
      </c>
      <c r="H1622" s="15">
        <v>11</v>
      </c>
      <c r="I1622" s="15">
        <v>11</v>
      </c>
      <c r="J1622" s="15">
        <v>70</v>
      </c>
      <c r="K1622" s="15" t="str">
        <f t="shared" si="25"/>
        <v>kuganepiers</v>
      </c>
      <c r="L1622" s="15" t="s">
        <v>14088</v>
      </c>
      <c r="M1622" s="15">
        <v>2</v>
      </c>
      <c r="N1622" s="15" t="s">
        <v>11223</v>
      </c>
      <c r="O1622" s="15"/>
      <c r="P1622" s="15"/>
      <c r="Q1622" s="15" t="s">
        <v>13036</v>
      </c>
      <c r="R1622" s="15"/>
      <c r="S1622" s="15"/>
      <c r="T1622" s="15">
        <v>0</v>
      </c>
      <c r="U1622" s="15"/>
      <c r="V1622" s="15"/>
      <c r="W1622" s="15"/>
      <c r="X1622" s="15"/>
      <c r="Y1622" s="15"/>
      <c r="Z1622" s="15"/>
    </row>
    <row r="1623" spans="1:26" x14ac:dyDescent="0.25">
      <c r="A1623" s="15" t="s">
        <v>13558</v>
      </c>
      <c r="B1623" s="15">
        <v>1622</v>
      </c>
      <c r="C1623" s="15" t="s">
        <v>11277</v>
      </c>
      <c r="D1623" s="15" t="s">
        <v>11277</v>
      </c>
      <c r="E1623" s="15" t="s">
        <v>73</v>
      </c>
      <c r="F1623" s="15" t="s">
        <v>15204</v>
      </c>
      <c r="G1623" s="15" t="s">
        <v>13477</v>
      </c>
      <c r="H1623" s="15">
        <v>11</v>
      </c>
      <c r="I1623" s="15">
        <v>11</v>
      </c>
      <c r="J1623" s="15">
        <v>70</v>
      </c>
      <c r="K1623" s="15" t="str">
        <f t="shared" si="25"/>
        <v>kuganepiers</v>
      </c>
      <c r="L1623" s="15" t="s">
        <v>14088</v>
      </c>
      <c r="M1623" s="15">
        <v>1</v>
      </c>
      <c r="N1623" s="15" t="s">
        <v>11222</v>
      </c>
      <c r="O1623" s="15"/>
      <c r="P1623" s="15"/>
      <c r="Q1623" s="15" t="s">
        <v>13036</v>
      </c>
      <c r="R1623" s="15"/>
      <c r="S1623" s="15"/>
      <c r="T1623" s="15">
        <v>2</v>
      </c>
      <c r="U1623" s="15"/>
      <c r="V1623" s="15"/>
      <c r="W1623" s="15"/>
      <c r="X1623" s="15"/>
      <c r="Y1623" s="15"/>
      <c r="Z1623" s="15"/>
    </row>
    <row r="1624" spans="1:26" x14ac:dyDescent="0.25">
      <c r="A1624" s="15" t="s">
        <v>13561</v>
      </c>
      <c r="B1624" s="15">
        <v>1623</v>
      </c>
      <c r="C1624" s="15" t="s">
        <v>11277</v>
      </c>
      <c r="D1624" s="15" t="s">
        <v>11277</v>
      </c>
      <c r="E1624" s="15" t="s">
        <v>73</v>
      </c>
      <c r="F1624" s="15" t="s">
        <v>15204</v>
      </c>
      <c r="G1624" s="15" t="s">
        <v>13479</v>
      </c>
      <c r="H1624" s="15">
        <v>11</v>
      </c>
      <c r="I1624" s="15">
        <v>11</v>
      </c>
      <c r="J1624" s="15">
        <v>70</v>
      </c>
      <c r="K1624" s="15" t="str">
        <f t="shared" si="25"/>
        <v>kuganepiers</v>
      </c>
      <c r="L1624" s="15" t="s">
        <v>13036</v>
      </c>
      <c r="M1624" s="15">
        <v>3</v>
      </c>
      <c r="N1624" s="15" t="s">
        <v>11223</v>
      </c>
      <c r="O1624" s="15"/>
      <c r="P1624" s="15"/>
      <c r="Q1624" s="15" t="s">
        <v>13036</v>
      </c>
      <c r="R1624" s="15"/>
      <c r="S1624" s="15"/>
      <c r="T1624" s="15">
        <v>0</v>
      </c>
      <c r="U1624" s="15"/>
      <c r="V1624" s="15"/>
      <c r="W1624" s="15"/>
      <c r="X1624" s="15"/>
      <c r="Y1624" s="15"/>
      <c r="Z1624" s="15"/>
    </row>
    <row r="1625" spans="1:26" x14ac:dyDescent="0.25">
      <c r="A1625" s="15" t="s">
        <v>13563</v>
      </c>
      <c r="B1625" s="15">
        <v>1624</v>
      </c>
      <c r="C1625" s="15" t="s">
        <v>11277</v>
      </c>
      <c r="D1625" s="15" t="s">
        <v>11277</v>
      </c>
      <c r="E1625" s="15" t="s">
        <v>73</v>
      </c>
      <c r="F1625" s="15" t="s">
        <v>1883</v>
      </c>
      <c r="G1625" s="15" t="s">
        <v>13020</v>
      </c>
      <c r="H1625" s="15">
        <v>8</v>
      </c>
      <c r="I1625" s="15">
        <v>14</v>
      </c>
      <c r="J1625" s="15">
        <v>62</v>
      </c>
      <c r="K1625" s="15" t="str">
        <f t="shared" si="25"/>
        <v>shirogane</v>
      </c>
      <c r="L1625" s="15" t="s">
        <v>13021</v>
      </c>
      <c r="M1625" s="15">
        <v>1</v>
      </c>
      <c r="N1625" s="15" t="s">
        <v>11222</v>
      </c>
      <c r="O1625" s="15"/>
      <c r="P1625" s="15"/>
      <c r="Q1625" s="15"/>
      <c r="R1625" s="15"/>
      <c r="S1625" s="15"/>
      <c r="T1625" s="15">
        <v>0</v>
      </c>
      <c r="U1625" s="15"/>
      <c r="V1625" s="15"/>
      <c r="W1625" s="15"/>
      <c r="X1625" s="15"/>
      <c r="Y1625" s="15"/>
      <c r="Z1625" s="15"/>
    </row>
    <row r="1626" spans="1:26" x14ac:dyDescent="0.25">
      <c r="A1626" s="15" t="s">
        <v>13565</v>
      </c>
      <c r="B1626" s="15">
        <v>1625</v>
      </c>
      <c r="C1626" s="15" t="s">
        <v>11277</v>
      </c>
      <c r="D1626" s="15" t="s">
        <v>11277</v>
      </c>
      <c r="E1626" s="15" t="s">
        <v>73</v>
      </c>
      <c r="F1626" s="15" t="s">
        <v>1883</v>
      </c>
      <c r="G1626" s="15" t="s">
        <v>13036</v>
      </c>
      <c r="H1626" s="15">
        <v>8</v>
      </c>
      <c r="I1626" s="15">
        <v>14</v>
      </c>
      <c r="J1626" s="15">
        <v>62</v>
      </c>
      <c r="K1626" s="15" t="str">
        <f t="shared" si="25"/>
        <v>shirogane</v>
      </c>
      <c r="L1626" s="15" t="s">
        <v>13021</v>
      </c>
      <c r="M1626" s="15">
        <v>1</v>
      </c>
      <c r="N1626" s="15" t="s">
        <v>11222</v>
      </c>
      <c r="O1626" s="15"/>
      <c r="P1626" s="15"/>
      <c r="Q1626" s="15"/>
      <c r="R1626" s="15"/>
      <c r="S1626" s="15"/>
      <c r="T1626" s="15">
        <v>0</v>
      </c>
      <c r="U1626" s="15"/>
      <c r="V1626" s="15"/>
      <c r="W1626" s="15"/>
      <c r="X1626" s="15"/>
      <c r="Y1626" s="15"/>
      <c r="Z1626" s="15"/>
    </row>
    <row r="1627" spans="1:26" x14ac:dyDescent="0.25">
      <c r="A1627" s="15" t="s">
        <v>13567</v>
      </c>
      <c r="B1627" s="15">
        <v>1626</v>
      </c>
      <c r="C1627" s="15" t="s">
        <v>11277</v>
      </c>
      <c r="D1627" s="15" t="s">
        <v>11277</v>
      </c>
      <c r="E1627" s="15" t="s">
        <v>73</v>
      </c>
      <c r="F1627" s="15" t="s">
        <v>1883</v>
      </c>
      <c r="G1627" s="15" t="s">
        <v>13473</v>
      </c>
      <c r="H1627" s="15">
        <v>8</v>
      </c>
      <c r="I1627" s="15">
        <v>14</v>
      </c>
      <c r="J1627" s="15">
        <v>63</v>
      </c>
      <c r="K1627" s="15" t="str">
        <f t="shared" si="25"/>
        <v>shirogane</v>
      </c>
      <c r="L1627" s="15" t="s">
        <v>13021</v>
      </c>
      <c r="M1627" s="15">
        <v>2</v>
      </c>
      <c r="N1627" s="15" t="s">
        <v>11223</v>
      </c>
      <c r="O1627" s="15"/>
      <c r="P1627" s="15"/>
      <c r="Q1627" s="15" t="s">
        <v>13036</v>
      </c>
      <c r="R1627" s="15"/>
      <c r="S1627" s="15"/>
      <c r="T1627" s="15">
        <v>0</v>
      </c>
      <c r="U1627" s="15"/>
      <c r="V1627" s="15"/>
      <c r="W1627" s="15"/>
      <c r="X1627" s="15"/>
      <c r="Y1627" s="15"/>
      <c r="Z1627" s="15"/>
    </row>
    <row r="1628" spans="1:26" x14ac:dyDescent="0.25">
      <c r="A1628" s="15" t="s">
        <v>13569</v>
      </c>
      <c r="B1628" s="15">
        <v>1627</v>
      </c>
      <c r="C1628" s="15" t="s">
        <v>11277</v>
      </c>
      <c r="D1628" s="15" t="s">
        <v>11277</v>
      </c>
      <c r="E1628" s="15" t="s">
        <v>73</v>
      </c>
      <c r="F1628" s="15" t="s">
        <v>1883</v>
      </c>
      <c r="G1628" s="15" t="s">
        <v>13052</v>
      </c>
      <c r="H1628" s="15">
        <v>8</v>
      </c>
      <c r="I1628" s="15">
        <v>14</v>
      </c>
      <c r="J1628" s="15">
        <v>68</v>
      </c>
      <c r="K1628" s="15" t="str">
        <f t="shared" si="25"/>
        <v>shirogane</v>
      </c>
      <c r="L1628" s="15" t="s">
        <v>13024</v>
      </c>
      <c r="M1628" s="15">
        <v>2</v>
      </c>
      <c r="N1628" s="15" t="s">
        <v>11223</v>
      </c>
      <c r="O1628" s="15"/>
      <c r="P1628" s="15"/>
      <c r="Q1628" s="15"/>
      <c r="R1628" s="15"/>
      <c r="S1628" s="15"/>
      <c r="T1628" s="15">
        <v>0</v>
      </c>
      <c r="U1628" s="15"/>
      <c r="V1628" s="15"/>
      <c r="W1628" s="15"/>
      <c r="X1628" s="15"/>
      <c r="Y1628" s="15"/>
      <c r="Z1628" s="15"/>
    </row>
    <row r="1629" spans="1:26" x14ac:dyDescent="0.25">
      <c r="A1629" s="15" t="s">
        <v>13571</v>
      </c>
      <c r="B1629" s="15">
        <v>1628</v>
      </c>
      <c r="C1629" s="15" t="s">
        <v>11277</v>
      </c>
      <c r="D1629" s="15" t="s">
        <v>11277</v>
      </c>
      <c r="E1629" s="15" t="s">
        <v>73</v>
      </c>
      <c r="F1629" s="15" t="s">
        <v>1883</v>
      </c>
      <c r="G1629" s="15" t="s">
        <v>13481</v>
      </c>
      <c r="H1629" s="15">
        <v>8</v>
      </c>
      <c r="I1629" s="15">
        <v>14</v>
      </c>
      <c r="J1629" s="15">
        <v>70</v>
      </c>
      <c r="K1629" s="15" t="str">
        <f t="shared" si="25"/>
        <v>shirogane</v>
      </c>
      <c r="L1629" s="15" t="s">
        <v>13024</v>
      </c>
      <c r="M1629" s="15">
        <v>3</v>
      </c>
      <c r="N1629" s="15" t="s">
        <v>11223</v>
      </c>
      <c r="O1629" s="15"/>
      <c r="P1629" s="15"/>
      <c r="Q1629" s="15"/>
      <c r="R1629" s="15"/>
      <c r="S1629" s="15"/>
      <c r="T1629" s="15">
        <v>0</v>
      </c>
      <c r="U1629" s="15"/>
      <c r="V1629" s="15"/>
      <c r="W1629" s="15"/>
      <c r="X1629" s="15"/>
      <c r="Y1629" s="15"/>
      <c r="Z1629" s="15"/>
    </row>
    <row r="1630" spans="1:26" x14ac:dyDescent="0.25">
      <c r="A1630" s="15" t="s">
        <v>13573</v>
      </c>
      <c r="B1630" s="15">
        <v>1629</v>
      </c>
      <c r="C1630" s="15" t="s">
        <v>11277</v>
      </c>
      <c r="D1630" s="15" t="s">
        <v>11277</v>
      </c>
      <c r="E1630" s="15" t="s">
        <v>102</v>
      </c>
      <c r="F1630" s="15" t="s">
        <v>15205</v>
      </c>
      <c r="G1630" s="15" t="s">
        <v>13515</v>
      </c>
      <c r="H1630" s="15">
        <v>8</v>
      </c>
      <c r="I1630" s="15">
        <v>7</v>
      </c>
      <c r="J1630" s="15">
        <v>71</v>
      </c>
      <c r="K1630" s="15" t="str">
        <f t="shared" si="25"/>
        <v>thetrivium</v>
      </c>
      <c r="L1630" s="15" t="s">
        <v>13516</v>
      </c>
      <c r="M1630" s="15">
        <v>2</v>
      </c>
      <c r="N1630" s="15"/>
      <c r="O1630" s="15"/>
      <c r="P1630" s="15"/>
      <c r="Q1630" s="15"/>
      <c r="R1630" s="15"/>
      <c r="S1630" s="15"/>
      <c r="T1630" s="15">
        <v>0</v>
      </c>
      <c r="U1630" s="15"/>
      <c r="V1630" s="15"/>
      <c r="W1630" s="15"/>
      <c r="X1630" s="15"/>
      <c r="Y1630" s="15"/>
      <c r="Z1630" s="15"/>
    </row>
    <row r="1631" spans="1:26" x14ac:dyDescent="0.25">
      <c r="A1631" s="15" t="s">
        <v>13575</v>
      </c>
      <c r="B1631" s="15">
        <v>1630</v>
      </c>
      <c r="C1631" s="15" t="s">
        <v>11277</v>
      </c>
      <c r="D1631" s="15" t="s">
        <v>11277</v>
      </c>
      <c r="E1631" s="15" t="s">
        <v>102</v>
      </c>
      <c r="F1631" s="15" t="s">
        <v>15205</v>
      </c>
      <c r="G1631" s="15" t="s">
        <v>13518</v>
      </c>
      <c r="H1631" s="15">
        <v>8</v>
      </c>
      <c r="I1631" s="15">
        <v>7</v>
      </c>
      <c r="J1631" s="15">
        <v>71</v>
      </c>
      <c r="K1631" s="15" t="str">
        <f t="shared" si="25"/>
        <v>thetrivium</v>
      </c>
      <c r="L1631" s="15" t="s">
        <v>13516</v>
      </c>
      <c r="M1631" s="15">
        <v>2</v>
      </c>
      <c r="N1631" s="15"/>
      <c r="O1631" s="15"/>
      <c r="P1631" s="15"/>
      <c r="Q1631" s="15"/>
      <c r="R1631" s="15"/>
      <c r="S1631" s="15"/>
      <c r="T1631" s="15">
        <v>0</v>
      </c>
      <c r="U1631" s="15"/>
      <c r="V1631" s="15"/>
      <c r="W1631" s="15"/>
      <c r="X1631" s="15"/>
      <c r="Y1631" s="15"/>
      <c r="Z1631" s="15"/>
    </row>
    <row r="1632" spans="1:26" x14ac:dyDescent="0.25">
      <c r="A1632" s="15" t="s">
        <v>13577</v>
      </c>
      <c r="B1632" s="15">
        <v>1631</v>
      </c>
      <c r="C1632" s="15" t="s">
        <v>11277</v>
      </c>
      <c r="D1632" s="15" t="s">
        <v>11277</v>
      </c>
      <c r="E1632" s="15" t="s">
        <v>102</v>
      </c>
      <c r="F1632" s="15" t="s">
        <v>15205</v>
      </c>
      <c r="G1632" s="15" t="s">
        <v>13520</v>
      </c>
      <c r="H1632" s="15">
        <v>8</v>
      </c>
      <c r="I1632" s="15">
        <v>7</v>
      </c>
      <c r="J1632" s="15">
        <v>71</v>
      </c>
      <c r="K1632" s="15" t="str">
        <f t="shared" si="25"/>
        <v>thetrivium</v>
      </c>
      <c r="L1632" s="15" t="s">
        <v>13521</v>
      </c>
      <c r="M1632" s="15">
        <v>1</v>
      </c>
      <c r="N1632" s="15"/>
      <c r="O1632" s="15"/>
      <c r="P1632" s="15"/>
      <c r="Q1632" s="15"/>
      <c r="R1632" s="15"/>
      <c r="S1632" s="15"/>
      <c r="T1632" s="15">
        <v>0</v>
      </c>
      <c r="U1632" s="15"/>
      <c r="V1632" s="15"/>
      <c r="W1632" s="15"/>
      <c r="X1632" s="15"/>
      <c r="Y1632" s="15"/>
      <c r="Z1632" s="15"/>
    </row>
    <row r="1633" spans="1:26" x14ac:dyDescent="0.25">
      <c r="A1633" s="15" t="s">
        <v>13579</v>
      </c>
      <c r="B1633" s="15">
        <v>1632</v>
      </c>
      <c r="C1633" s="15" t="s">
        <v>11277</v>
      </c>
      <c r="D1633" s="15" t="s">
        <v>11277</v>
      </c>
      <c r="E1633" s="15" t="s">
        <v>102</v>
      </c>
      <c r="F1633" s="15" t="s">
        <v>15205</v>
      </c>
      <c r="G1633" s="15" t="s">
        <v>13523</v>
      </c>
      <c r="H1633" s="15">
        <v>8</v>
      </c>
      <c r="I1633" s="15">
        <v>7</v>
      </c>
      <c r="J1633" s="15">
        <v>72</v>
      </c>
      <c r="K1633" s="15" t="str">
        <f t="shared" si="25"/>
        <v>thetrivium</v>
      </c>
      <c r="L1633" s="15" t="s">
        <v>13524</v>
      </c>
      <c r="M1633" s="15">
        <v>1</v>
      </c>
      <c r="N1633" s="15"/>
      <c r="O1633" s="15"/>
      <c r="P1633" s="15"/>
      <c r="Q1633" s="15"/>
      <c r="R1633" s="15"/>
      <c r="S1633" s="15"/>
      <c r="T1633" s="15">
        <v>0</v>
      </c>
      <c r="U1633" s="15"/>
      <c r="V1633" s="15"/>
      <c r="W1633" s="15"/>
      <c r="X1633" s="15"/>
      <c r="Y1633" s="15"/>
      <c r="Z1633" s="15"/>
    </row>
    <row r="1634" spans="1:26" x14ac:dyDescent="0.25">
      <c r="A1634" s="15" t="s">
        <v>13581</v>
      </c>
      <c r="B1634" s="15">
        <v>1633</v>
      </c>
      <c r="C1634" s="15" t="s">
        <v>11277</v>
      </c>
      <c r="D1634" s="15" t="s">
        <v>11277</v>
      </c>
      <c r="E1634" s="15" t="s">
        <v>102</v>
      </c>
      <c r="F1634" s="15" t="s">
        <v>15205</v>
      </c>
      <c r="G1634" s="15" t="s">
        <v>13526</v>
      </c>
      <c r="H1634" s="15">
        <v>8</v>
      </c>
      <c r="I1634" s="15">
        <v>7</v>
      </c>
      <c r="J1634" s="15">
        <v>72</v>
      </c>
      <c r="K1634" s="15" t="str">
        <f t="shared" si="25"/>
        <v>thetrivium</v>
      </c>
      <c r="L1634" s="15" t="s">
        <v>13524</v>
      </c>
      <c r="M1634" s="15">
        <v>1</v>
      </c>
      <c r="N1634" s="15"/>
      <c r="O1634" s="15"/>
      <c r="P1634" s="15"/>
      <c r="Q1634" s="15"/>
      <c r="R1634" s="15"/>
      <c r="S1634" s="15"/>
      <c r="T1634" s="15">
        <v>0</v>
      </c>
      <c r="U1634" s="15"/>
      <c r="V1634" s="15"/>
      <c r="W1634" s="15"/>
      <c r="X1634" s="15"/>
      <c r="Y1634" s="15"/>
      <c r="Z1634" s="15"/>
    </row>
    <row r="1635" spans="1:26" x14ac:dyDescent="0.25">
      <c r="A1635" s="15" t="s">
        <v>13583</v>
      </c>
      <c r="B1635" s="15">
        <v>1634</v>
      </c>
      <c r="C1635" s="15" t="s">
        <v>11277</v>
      </c>
      <c r="D1635" s="15" t="s">
        <v>11277</v>
      </c>
      <c r="E1635" s="15" t="s">
        <v>102</v>
      </c>
      <c r="F1635" s="15" t="s">
        <v>15205</v>
      </c>
      <c r="G1635" s="15" t="s">
        <v>13528</v>
      </c>
      <c r="H1635" s="15">
        <v>8</v>
      </c>
      <c r="I1635" s="15">
        <v>7</v>
      </c>
      <c r="J1635" s="15">
        <v>80</v>
      </c>
      <c r="K1635" s="15" t="str">
        <f t="shared" si="25"/>
        <v>thetrivium</v>
      </c>
      <c r="L1635" s="15" t="s">
        <v>13524</v>
      </c>
      <c r="M1635" s="15">
        <v>3</v>
      </c>
      <c r="N1635" s="15"/>
      <c r="O1635" s="15" t="s">
        <v>14072</v>
      </c>
      <c r="P1635" s="15"/>
      <c r="Q1635" s="15"/>
      <c r="R1635" s="15"/>
      <c r="S1635" s="15"/>
      <c r="T1635" s="15">
        <v>0</v>
      </c>
      <c r="U1635" s="15" t="s">
        <v>5893</v>
      </c>
      <c r="V1635" s="15"/>
      <c r="W1635" s="15"/>
      <c r="X1635" s="15" t="s">
        <v>5893</v>
      </c>
      <c r="Y1635" s="15"/>
      <c r="Z1635" s="15"/>
    </row>
    <row r="1636" spans="1:26" x14ac:dyDescent="0.25">
      <c r="A1636" s="15" t="s">
        <v>13585</v>
      </c>
      <c r="B1636" s="15">
        <v>1635</v>
      </c>
      <c r="C1636" s="15" t="s">
        <v>11277</v>
      </c>
      <c r="D1636" s="15" t="s">
        <v>11277</v>
      </c>
      <c r="E1636" s="15" t="s">
        <v>102</v>
      </c>
      <c r="F1636" s="15" t="s">
        <v>15206</v>
      </c>
      <c r="G1636" s="15" t="s">
        <v>13515</v>
      </c>
      <c r="H1636" s="15">
        <v>10</v>
      </c>
      <c r="I1636" s="15">
        <v>15</v>
      </c>
      <c r="J1636" s="15">
        <v>71</v>
      </c>
      <c r="K1636" s="15" t="str">
        <f t="shared" si="25"/>
        <v>thequadrivium</v>
      </c>
      <c r="L1636" s="15" t="s">
        <v>13516</v>
      </c>
      <c r="M1636" s="15">
        <v>2</v>
      </c>
      <c r="N1636" s="15" t="s">
        <v>11223</v>
      </c>
      <c r="O1636" s="15"/>
      <c r="P1636" s="15"/>
      <c r="Q1636" s="15"/>
      <c r="R1636" s="15"/>
      <c r="S1636" s="15"/>
      <c r="T1636" s="15">
        <v>0</v>
      </c>
      <c r="U1636" s="15"/>
      <c r="V1636" s="15"/>
      <c r="W1636" s="15"/>
      <c r="X1636" s="15"/>
      <c r="Y1636" s="15"/>
      <c r="Z1636" s="15"/>
    </row>
    <row r="1637" spans="1:26" x14ac:dyDescent="0.25">
      <c r="A1637" s="15" t="s">
        <v>13587</v>
      </c>
      <c r="B1637" s="15">
        <v>1636</v>
      </c>
      <c r="C1637" s="15" t="s">
        <v>11277</v>
      </c>
      <c r="D1637" s="15" t="s">
        <v>11277</v>
      </c>
      <c r="E1637" s="15" t="s">
        <v>102</v>
      </c>
      <c r="F1637" s="15" t="s">
        <v>15206</v>
      </c>
      <c r="G1637" s="15" t="s">
        <v>13518</v>
      </c>
      <c r="H1637" s="15">
        <v>10</v>
      </c>
      <c r="I1637" s="15">
        <v>15</v>
      </c>
      <c r="J1637" s="15">
        <v>71</v>
      </c>
      <c r="K1637" s="15" t="str">
        <f t="shared" si="25"/>
        <v>thequadrivium</v>
      </c>
      <c r="L1637" s="15" t="s">
        <v>13516</v>
      </c>
      <c r="M1637" s="15">
        <v>2</v>
      </c>
      <c r="N1637" s="15" t="s">
        <v>11223</v>
      </c>
      <c r="O1637" s="15"/>
      <c r="P1637" s="15"/>
      <c r="Q1637" s="15"/>
      <c r="R1637" s="15"/>
      <c r="S1637" s="15"/>
      <c r="T1637" s="15">
        <v>0</v>
      </c>
      <c r="U1637" s="15"/>
      <c r="V1637" s="15"/>
      <c r="W1637" s="15"/>
      <c r="X1637" s="15"/>
      <c r="Y1637" s="15"/>
      <c r="Z1637" s="15"/>
    </row>
    <row r="1638" spans="1:26" x14ac:dyDescent="0.25">
      <c r="A1638" s="15" t="s">
        <v>13589</v>
      </c>
      <c r="B1638" s="15">
        <v>1637</v>
      </c>
      <c r="C1638" s="15" t="s">
        <v>11277</v>
      </c>
      <c r="D1638" s="15" t="s">
        <v>11277</v>
      </c>
      <c r="E1638" s="15" t="s">
        <v>102</v>
      </c>
      <c r="F1638" s="15" t="s">
        <v>15206</v>
      </c>
      <c r="G1638" s="15" t="s">
        <v>13530</v>
      </c>
      <c r="H1638" s="15">
        <v>10</v>
      </c>
      <c r="I1638" s="15">
        <v>15</v>
      </c>
      <c r="J1638" s="15">
        <v>72</v>
      </c>
      <c r="K1638" s="15" t="str">
        <f t="shared" si="25"/>
        <v>thequadrivium</v>
      </c>
      <c r="L1638" s="15" t="s">
        <v>13516</v>
      </c>
      <c r="M1638" s="15">
        <v>1</v>
      </c>
      <c r="N1638" s="15" t="s">
        <v>11222</v>
      </c>
      <c r="O1638" s="15"/>
      <c r="P1638" s="15"/>
      <c r="Q1638" s="15"/>
      <c r="R1638" s="15"/>
      <c r="S1638" s="15"/>
      <c r="T1638" s="15">
        <v>0</v>
      </c>
      <c r="U1638" s="15"/>
      <c r="V1638" s="15"/>
      <c r="W1638" s="15"/>
      <c r="X1638" s="15"/>
      <c r="Y1638" s="15"/>
      <c r="Z1638" s="15"/>
    </row>
    <row r="1639" spans="1:26" x14ac:dyDescent="0.25">
      <c r="A1639" s="15" t="s">
        <v>13591</v>
      </c>
      <c r="B1639" s="15">
        <v>1638</v>
      </c>
      <c r="C1639" s="15" t="s">
        <v>11277</v>
      </c>
      <c r="D1639" s="15" t="s">
        <v>11277</v>
      </c>
      <c r="E1639" s="15" t="s">
        <v>102</v>
      </c>
      <c r="F1639" s="15" t="s">
        <v>15206</v>
      </c>
      <c r="G1639" s="15" t="s">
        <v>13532</v>
      </c>
      <c r="H1639" s="15">
        <v>10</v>
      </c>
      <c r="I1639" s="15">
        <v>15</v>
      </c>
      <c r="J1639" s="15">
        <v>73</v>
      </c>
      <c r="K1639" s="15" t="str">
        <f t="shared" si="25"/>
        <v>thequadrivium</v>
      </c>
      <c r="L1639" s="15" t="s">
        <v>13524</v>
      </c>
      <c r="M1639" s="15">
        <v>1</v>
      </c>
      <c r="N1639" s="15" t="s">
        <v>11222</v>
      </c>
      <c r="O1639" s="15"/>
      <c r="P1639" s="15"/>
      <c r="Q1639" s="15"/>
      <c r="R1639" s="15"/>
      <c r="S1639" s="15"/>
      <c r="T1639" s="15">
        <v>0</v>
      </c>
      <c r="U1639" s="15"/>
      <c r="V1639" s="15"/>
      <c r="W1639" s="15"/>
      <c r="X1639" s="15"/>
      <c r="Y1639" s="15"/>
      <c r="Z1639" s="15"/>
    </row>
    <row r="1640" spans="1:26" x14ac:dyDescent="0.25">
      <c r="A1640" s="15" t="s">
        <v>13593</v>
      </c>
      <c r="B1640" s="15">
        <v>1639</v>
      </c>
      <c r="C1640" s="15" t="s">
        <v>11277</v>
      </c>
      <c r="D1640" s="15" t="s">
        <v>11277</v>
      </c>
      <c r="E1640" s="15" t="s">
        <v>102</v>
      </c>
      <c r="F1640" s="15" t="s">
        <v>15206</v>
      </c>
      <c r="G1640" s="15" t="s">
        <v>13534</v>
      </c>
      <c r="H1640" s="15">
        <v>10</v>
      </c>
      <c r="I1640" s="15">
        <v>15</v>
      </c>
      <c r="J1640" s="15">
        <v>80</v>
      </c>
      <c r="K1640" s="15" t="str">
        <f t="shared" si="25"/>
        <v>thequadrivium</v>
      </c>
      <c r="L1640" s="15" t="s">
        <v>13516</v>
      </c>
      <c r="M1640" s="15">
        <v>3</v>
      </c>
      <c r="N1640" s="15" t="s">
        <v>11222</v>
      </c>
      <c r="O1640" s="15" t="s">
        <v>14072</v>
      </c>
      <c r="P1640" s="15"/>
      <c r="Q1640" s="15"/>
      <c r="R1640" s="15"/>
      <c r="S1640" s="15"/>
      <c r="T1640" s="15">
        <v>2</v>
      </c>
      <c r="U1640" s="15" t="s">
        <v>5893</v>
      </c>
      <c r="V1640" s="15" t="s">
        <v>5892</v>
      </c>
      <c r="W1640" s="15"/>
      <c r="X1640" s="15"/>
      <c r="Y1640" s="15"/>
      <c r="Z1640" s="15"/>
    </row>
    <row r="1641" spans="1:26" x14ac:dyDescent="0.25">
      <c r="A1641" s="15" t="s">
        <v>13595</v>
      </c>
      <c r="B1641" s="15">
        <v>1640</v>
      </c>
      <c r="C1641" s="15" t="s">
        <v>11277</v>
      </c>
      <c r="D1641" s="15" t="s">
        <v>11277</v>
      </c>
      <c r="E1641" s="15" t="s">
        <v>102</v>
      </c>
      <c r="F1641" s="15" t="s">
        <v>15207</v>
      </c>
      <c r="G1641" s="15" t="s">
        <v>13515</v>
      </c>
      <c r="H1641" s="15">
        <v>12</v>
      </c>
      <c r="I1641" s="15">
        <v>16</v>
      </c>
      <c r="J1641" s="15">
        <v>71</v>
      </c>
      <c r="K1641" s="15" t="str">
        <f t="shared" si="25"/>
        <v>crystariumpersonalsuites</v>
      </c>
      <c r="L1641" s="15" t="s">
        <v>13516</v>
      </c>
      <c r="M1641" s="15">
        <v>2</v>
      </c>
      <c r="N1641" s="15" t="s">
        <v>11223</v>
      </c>
      <c r="O1641" s="15"/>
      <c r="P1641" s="15"/>
      <c r="Q1641" s="15"/>
      <c r="R1641" s="15"/>
      <c r="S1641" s="15"/>
      <c r="T1641" s="15">
        <v>0</v>
      </c>
      <c r="U1641" s="15"/>
      <c r="V1641" s="15"/>
      <c r="W1641" s="15"/>
      <c r="X1641" s="15"/>
      <c r="Y1641" s="15"/>
      <c r="Z1641" s="15"/>
    </row>
    <row r="1642" spans="1:26" x14ac:dyDescent="0.25">
      <c r="A1642" s="15" t="s">
        <v>13597</v>
      </c>
      <c r="B1642" s="15">
        <v>1641</v>
      </c>
      <c r="C1642" s="15" t="s">
        <v>11277</v>
      </c>
      <c r="D1642" s="15" t="s">
        <v>11277</v>
      </c>
      <c r="E1642" s="15" t="s">
        <v>102</v>
      </c>
      <c r="F1642" s="15" t="s">
        <v>15207</v>
      </c>
      <c r="G1642" s="15" t="s">
        <v>13518</v>
      </c>
      <c r="H1642" s="15">
        <v>12</v>
      </c>
      <c r="I1642" s="15">
        <v>16</v>
      </c>
      <c r="J1642" s="15">
        <v>71</v>
      </c>
      <c r="K1642" s="15" t="str">
        <f t="shared" si="25"/>
        <v>crystariumpersonalsuites</v>
      </c>
      <c r="L1642" s="15" t="s">
        <v>13516</v>
      </c>
      <c r="M1642" s="15">
        <v>2</v>
      </c>
      <c r="N1642" s="15" t="s">
        <v>11223</v>
      </c>
      <c r="O1642" s="15"/>
      <c r="P1642" s="15"/>
      <c r="Q1642" s="15"/>
      <c r="R1642" s="15"/>
      <c r="S1642" s="15"/>
      <c r="T1642" s="15">
        <v>0</v>
      </c>
      <c r="U1642" s="15"/>
      <c r="V1642" s="15"/>
      <c r="W1642" s="15"/>
      <c r="X1642" s="15"/>
      <c r="Y1642" s="15"/>
      <c r="Z1642" s="15"/>
    </row>
    <row r="1643" spans="1:26" x14ac:dyDescent="0.25">
      <c r="A1643" s="15" t="s">
        <v>13599</v>
      </c>
      <c r="B1643" s="15">
        <v>1642</v>
      </c>
      <c r="C1643" s="15" t="s">
        <v>11277</v>
      </c>
      <c r="D1643" s="15" t="s">
        <v>11277</v>
      </c>
      <c r="E1643" s="15" t="s">
        <v>102</v>
      </c>
      <c r="F1643" s="15" t="s">
        <v>15207</v>
      </c>
      <c r="G1643" s="15" t="s">
        <v>13536</v>
      </c>
      <c r="H1643" s="15">
        <v>12</v>
      </c>
      <c r="I1643" s="15">
        <v>16</v>
      </c>
      <c r="J1643" s="15">
        <v>72</v>
      </c>
      <c r="K1643" s="15" t="str">
        <f t="shared" si="25"/>
        <v>crystariumpersonalsuites</v>
      </c>
      <c r="L1643" s="15" t="s">
        <v>13537</v>
      </c>
      <c r="M1643" s="15">
        <v>1</v>
      </c>
      <c r="N1643" s="15" t="s">
        <v>11222</v>
      </c>
      <c r="O1643" s="15"/>
      <c r="P1643" s="15"/>
      <c r="Q1643" s="15"/>
      <c r="R1643" s="15"/>
      <c r="S1643" s="15"/>
      <c r="T1643" s="15">
        <v>0</v>
      </c>
      <c r="U1643" s="15"/>
      <c r="V1643" s="15"/>
      <c r="W1643" s="15"/>
      <c r="X1643" s="15"/>
      <c r="Y1643" s="15"/>
      <c r="Z1643" s="15"/>
    </row>
    <row r="1644" spans="1:26" x14ac:dyDescent="0.25">
      <c r="A1644" s="15" t="s">
        <v>13601</v>
      </c>
      <c r="B1644" s="15">
        <v>1643</v>
      </c>
      <c r="C1644" s="15" t="s">
        <v>11277</v>
      </c>
      <c r="D1644" s="15" t="s">
        <v>11277</v>
      </c>
      <c r="E1644" s="15" t="s">
        <v>102</v>
      </c>
      <c r="F1644" s="15" t="s">
        <v>15207</v>
      </c>
      <c r="G1644" s="15" t="s">
        <v>13539</v>
      </c>
      <c r="H1644" s="15">
        <v>12</v>
      </c>
      <c r="I1644" s="15">
        <v>16</v>
      </c>
      <c r="J1644" s="15">
        <v>73</v>
      </c>
      <c r="K1644" s="15" t="str">
        <f t="shared" si="25"/>
        <v>crystariumpersonalsuites</v>
      </c>
      <c r="L1644" s="15" t="s">
        <v>13537</v>
      </c>
      <c r="M1644" s="15">
        <v>1</v>
      </c>
      <c r="N1644" s="15" t="s">
        <v>11222</v>
      </c>
      <c r="O1644" s="15"/>
      <c r="P1644" s="15"/>
      <c r="Q1644" s="15"/>
      <c r="R1644" s="15"/>
      <c r="S1644" s="15"/>
      <c r="T1644" s="15">
        <v>0</v>
      </c>
      <c r="U1644" s="15"/>
      <c r="V1644" s="15"/>
      <c r="W1644" s="15"/>
      <c r="X1644" s="15"/>
      <c r="Y1644" s="15"/>
      <c r="Z1644" s="15"/>
    </row>
    <row r="1645" spans="1:26" x14ac:dyDescent="0.25">
      <c r="A1645" s="15" t="s">
        <v>13603</v>
      </c>
      <c r="B1645" s="15">
        <v>1644</v>
      </c>
      <c r="C1645" s="15" t="s">
        <v>11277</v>
      </c>
      <c r="D1645" s="15" t="s">
        <v>11277</v>
      </c>
      <c r="E1645" s="15" t="s">
        <v>102</v>
      </c>
      <c r="F1645" s="15" t="s">
        <v>15207</v>
      </c>
      <c r="G1645" s="15" t="s">
        <v>13541</v>
      </c>
      <c r="H1645" s="15">
        <v>12</v>
      </c>
      <c r="I1645" s="15">
        <v>16</v>
      </c>
      <c r="J1645" s="15">
        <v>80</v>
      </c>
      <c r="K1645" s="15" t="str">
        <f t="shared" si="25"/>
        <v>crystariumpersonalsuites</v>
      </c>
      <c r="L1645" s="15" t="s">
        <v>13537</v>
      </c>
      <c r="M1645" s="15">
        <v>3</v>
      </c>
      <c r="N1645" s="15" t="s">
        <v>11222</v>
      </c>
      <c r="O1645" s="15" t="s">
        <v>14053</v>
      </c>
      <c r="P1645" s="15"/>
      <c r="Q1645" s="15"/>
      <c r="R1645" s="15"/>
      <c r="S1645" s="15"/>
      <c r="T1645" s="15">
        <v>0</v>
      </c>
      <c r="U1645" s="15"/>
      <c r="V1645" s="15"/>
      <c r="W1645" s="15"/>
      <c r="X1645" s="15"/>
      <c r="Y1645" s="15"/>
      <c r="Z1645" s="15"/>
    </row>
    <row r="1646" spans="1:26" x14ac:dyDescent="0.25">
      <c r="A1646" s="15" t="s">
        <v>13605</v>
      </c>
      <c r="B1646" s="15">
        <v>1645</v>
      </c>
      <c r="C1646" s="15" t="s">
        <v>11277</v>
      </c>
      <c r="D1646" s="15" t="s">
        <v>11277</v>
      </c>
      <c r="E1646" s="15" t="s">
        <v>102</v>
      </c>
      <c r="F1646" s="15" t="s">
        <v>6526</v>
      </c>
      <c r="G1646" s="15" t="s">
        <v>13543</v>
      </c>
      <c r="H1646" s="15">
        <v>11</v>
      </c>
      <c r="I1646" s="15">
        <v>11</v>
      </c>
      <c r="J1646" s="15">
        <v>72</v>
      </c>
      <c r="K1646" s="15" t="str">
        <f t="shared" si="25"/>
        <v>thederelicts</v>
      </c>
      <c r="L1646" s="15" t="s">
        <v>13544</v>
      </c>
      <c r="M1646" s="15">
        <v>1</v>
      </c>
      <c r="N1646" s="15" t="s">
        <v>11222</v>
      </c>
      <c r="O1646" s="15"/>
      <c r="P1646" s="15"/>
      <c r="Q1646" s="15"/>
      <c r="R1646" s="15"/>
      <c r="S1646" s="15"/>
      <c r="T1646" s="15">
        <v>0</v>
      </c>
      <c r="U1646" s="15"/>
      <c r="V1646" s="15"/>
      <c r="W1646" s="15"/>
      <c r="X1646" s="15"/>
      <c r="Y1646" s="15"/>
      <c r="Z1646" s="15"/>
    </row>
    <row r="1647" spans="1:26" x14ac:dyDescent="0.25">
      <c r="A1647" s="15" t="s">
        <v>13607</v>
      </c>
      <c r="B1647" s="15">
        <v>1646</v>
      </c>
      <c r="C1647" s="15" t="s">
        <v>11277</v>
      </c>
      <c r="D1647" s="15" t="s">
        <v>11277</v>
      </c>
      <c r="E1647" s="15" t="s">
        <v>102</v>
      </c>
      <c r="F1647" s="15" t="s">
        <v>6526</v>
      </c>
      <c r="G1647" s="15" t="s">
        <v>13546</v>
      </c>
      <c r="H1647" s="15">
        <v>11</v>
      </c>
      <c r="I1647" s="15">
        <v>11</v>
      </c>
      <c r="J1647" s="15">
        <v>72</v>
      </c>
      <c r="K1647" s="15" t="str">
        <f t="shared" si="25"/>
        <v>thederelicts</v>
      </c>
      <c r="L1647" s="15" t="s">
        <v>13544</v>
      </c>
      <c r="M1647" s="15">
        <v>1</v>
      </c>
      <c r="N1647" s="15" t="s">
        <v>11222</v>
      </c>
      <c r="O1647" s="15"/>
      <c r="P1647" s="15"/>
      <c r="Q1647" s="15"/>
      <c r="R1647" s="15"/>
      <c r="S1647" s="15"/>
      <c r="T1647" s="15">
        <v>0</v>
      </c>
      <c r="U1647" s="15"/>
      <c r="V1647" s="15"/>
      <c r="W1647" s="15"/>
      <c r="X1647" s="15"/>
      <c r="Y1647" s="15"/>
      <c r="Z1647" s="15"/>
    </row>
    <row r="1648" spans="1:26" x14ac:dyDescent="0.25">
      <c r="A1648" s="15" t="s">
        <v>13609</v>
      </c>
      <c r="B1648" s="15">
        <v>1647</v>
      </c>
      <c r="C1648" s="15" t="s">
        <v>11277</v>
      </c>
      <c r="D1648" s="15" t="s">
        <v>11277</v>
      </c>
      <c r="E1648" s="15" t="s">
        <v>102</v>
      </c>
      <c r="F1648" s="15" t="s">
        <v>6526</v>
      </c>
      <c r="G1648" s="15" t="s">
        <v>13548</v>
      </c>
      <c r="H1648" s="15">
        <v>11</v>
      </c>
      <c r="I1648" s="15">
        <v>11</v>
      </c>
      <c r="J1648" s="15">
        <v>72</v>
      </c>
      <c r="K1648" s="15" t="str">
        <f t="shared" si="25"/>
        <v>thederelicts</v>
      </c>
      <c r="L1648" s="15" t="s">
        <v>13544</v>
      </c>
      <c r="M1648" s="15">
        <v>1</v>
      </c>
      <c r="N1648" s="15" t="s">
        <v>11222</v>
      </c>
      <c r="O1648" s="15"/>
      <c r="P1648" s="15"/>
      <c r="Q1648" s="15"/>
      <c r="R1648" s="15"/>
      <c r="S1648" s="15"/>
      <c r="T1648" s="15">
        <v>0</v>
      </c>
      <c r="U1648" s="15"/>
      <c r="V1648" s="15"/>
      <c r="W1648" s="15"/>
      <c r="X1648" s="15"/>
      <c r="Y1648" s="15"/>
      <c r="Z1648" s="15"/>
    </row>
    <row r="1649" spans="1:26" x14ac:dyDescent="0.25">
      <c r="A1649" s="15" t="s">
        <v>13611</v>
      </c>
      <c r="B1649" s="15">
        <v>1648</v>
      </c>
      <c r="C1649" s="15" t="s">
        <v>11277</v>
      </c>
      <c r="D1649" s="15" t="s">
        <v>11277</v>
      </c>
      <c r="E1649" s="15" t="s">
        <v>102</v>
      </c>
      <c r="F1649" s="15" t="s">
        <v>6526</v>
      </c>
      <c r="G1649" s="15" t="s">
        <v>13550</v>
      </c>
      <c r="H1649" s="15">
        <v>11</v>
      </c>
      <c r="I1649" s="15">
        <v>11</v>
      </c>
      <c r="J1649" s="15">
        <v>73</v>
      </c>
      <c r="K1649" s="15" t="str">
        <f t="shared" si="25"/>
        <v>thederelicts</v>
      </c>
      <c r="L1649" s="15" t="s">
        <v>13544</v>
      </c>
      <c r="M1649" s="15">
        <v>1</v>
      </c>
      <c r="N1649" s="15" t="s">
        <v>11222</v>
      </c>
      <c r="O1649" s="15"/>
      <c r="P1649" s="15"/>
      <c r="Q1649" s="15"/>
      <c r="R1649" s="15"/>
      <c r="S1649" s="15"/>
      <c r="T1649" s="15">
        <v>0</v>
      </c>
      <c r="U1649" s="15"/>
      <c r="V1649" s="15"/>
      <c r="W1649" s="15"/>
      <c r="X1649" s="15"/>
      <c r="Y1649" s="15"/>
      <c r="Z1649" s="15"/>
    </row>
    <row r="1650" spans="1:26" x14ac:dyDescent="0.25">
      <c r="A1650" s="15" t="s">
        <v>13613</v>
      </c>
      <c r="B1650" s="15">
        <v>1649</v>
      </c>
      <c r="C1650" s="15" t="s">
        <v>11277</v>
      </c>
      <c r="D1650" s="15" t="s">
        <v>11277</v>
      </c>
      <c r="E1650" s="15" t="s">
        <v>102</v>
      </c>
      <c r="F1650" s="15" t="s">
        <v>6526</v>
      </c>
      <c r="G1650" s="15" t="s">
        <v>13553</v>
      </c>
      <c r="H1650" s="15">
        <v>11</v>
      </c>
      <c r="I1650" s="15">
        <v>11</v>
      </c>
      <c r="J1650" s="15">
        <v>74</v>
      </c>
      <c r="K1650" s="15" t="str">
        <f t="shared" si="25"/>
        <v>thederelicts</v>
      </c>
      <c r="L1650" s="15" t="s">
        <v>12487</v>
      </c>
      <c r="M1650" s="15">
        <v>2</v>
      </c>
      <c r="N1650" s="15" t="s">
        <v>11223</v>
      </c>
      <c r="O1650" s="15"/>
      <c r="P1650" s="15"/>
      <c r="Q1650" s="15"/>
      <c r="R1650" s="15"/>
      <c r="S1650" s="15"/>
      <c r="T1650" s="15">
        <v>0</v>
      </c>
      <c r="U1650" s="15"/>
      <c r="V1650" s="15"/>
      <c r="W1650" s="15"/>
      <c r="X1650" s="15"/>
      <c r="Y1650" s="15"/>
      <c r="Z1650" s="15"/>
    </row>
    <row r="1651" spans="1:26" x14ac:dyDescent="0.25">
      <c r="A1651" s="15" t="s">
        <v>13615</v>
      </c>
      <c r="B1651" s="15">
        <v>1650</v>
      </c>
      <c r="C1651" s="15" t="s">
        <v>11277</v>
      </c>
      <c r="D1651" s="15" t="s">
        <v>11277</v>
      </c>
      <c r="E1651" s="15" t="s">
        <v>102</v>
      </c>
      <c r="F1651" s="15" t="s">
        <v>6526</v>
      </c>
      <c r="G1651" s="15" t="s">
        <v>13555</v>
      </c>
      <c r="H1651" s="15">
        <v>11</v>
      </c>
      <c r="I1651" s="15">
        <v>11</v>
      </c>
      <c r="J1651" s="15">
        <v>80</v>
      </c>
      <c r="K1651" s="15" t="str">
        <f t="shared" si="25"/>
        <v>thederelicts</v>
      </c>
      <c r="L1651" s="15" t="s">
        <v>12487</v>
      </c>
      <c r="M1651" s="15">
        <v>3</v>
      </c>
      <c r="N1651" s="15" t="s">
        <v>11222</v>
      </c>
      <c r="O1651" s="15" t="s">
        <v>14022</v>
      </c>
      <c r="P1651" s="15"/>
      <c r="Q1651" s="15"/>
      <c r="R1651" s="15"/>
      <c r="S1651" s="15"/>
      <c r="T1651" s="15">
        <v>0</v>
      </c>
      <c r="U1651" s="15"/>
      <c r="V1651" s="15"/>
      <c r="W1651" s="15"/>
      <c r="X1651" s="15"/>
      <c r="Y1651" s="15"/>
      <c r="Z1651" s="15"/>
    </row>
    <row r="1652" spans="1:26" x14ac:dyDescent="0.25">
      <c r="A1652" s="15" t="s">
        <v>13617</v>
      </c>
      <c r="B1652" s="15">
        <v>1651</v>
      </c>
      <c r="C1652" s="15" t="s">
        <v>11277</v>
      </c>
      <c r="D1652" s="15" t="s">
        <v>11277</v>
      </c>
      <c r="E1652" s="15" t="s">
        <v>102</v>
      </c>
      <c r="F1652" s="15" t="s">
        <v>15208</v>
      </c>
      <c r="G1652" s="15" t="s">
        <v>13674</v>
      </c>
      <c r="H1652" s="15">
        <v>16</v>
      </c>
      <c r="I1652" s="15">
        <v>35</v>
      </c>
      <c r="J1652" s="15">
        <v>71</v>
      </c>
      <c r="K1652" s="15" t="str">
        <f t="shared" si="25"/>
        <v>seagazershoals</v>
      </c>
      <c r="L1652" s="15" t="s">
        <v>13675</v>
      </c>
      <c r="M1652" s="15">
        <v>1</v>
      </c>
      <c r="N1652" s="15" t="s">
        <v>11222</v>
      </c>
      <c r="O1652" s="15"/>
      <c r="P1652" s="15"/>
      <c r="Q1652" s="15" t="s">
        <v>13705</v>
      </c>
      <c r="R1652" s="15"/>
      <c r="S1652" s="15"/>
      <c r="T1652" s="15">
        <v>0</v>
      </c>
      <c r="U1652" s="15"/>
      <c r="V1652" s="15"/>
      <c r="W1652" s="15"/>
      <c r="X1652" s="15"/>
      <c r="Y1652" s="15"/>
      <c r="Z1652" s="15"/>
    </row>
    <row r="1653" spans="1:26" x14ac:dyDescent="0.25">
      <c r="A1653" s="15" t="s">
        <v>13619</v>
      </c>
      <c r="B1653" s="15">
        <v>1652</v>
      </c>
      <c r="C1653" s="15" t="s">
        <v>11277</v>
      </c>
      <c r="D1653" s="15" t="s">
        <v>11277</v>
      </c>
      <c r="E1653" s="15" t="s">
        <v>102</v>
      </c>
      <c r="F1653" s="15" t="s">
        <v>15208</v>
      </c>
      <c r="G1653" s="15" t="s">
        <v>13677</v>
      </c>
      <c r="H1653" s="15">
        <v>16</v>
      </c>
      <c r="I1653" s="15">
        <v>35</v>
      </c>
      <c r="J1653" s="15">
        <v>71</v>
      </c>
      <c r="K1653" s="15" t="str">
        <f t="shared" si="25"/>
        <v>seagazershoals</v>
      </c>
      <c r="L1653" s="15" t="s">
        <v>13544</v>
      </c>
      <c r="M1653" s="15">
        <v>1</v>
      </c>
      <c r="N1653" s="15" t="s">
        <v>11222</v>
      </c>
      <c r="O1653" s="15"/>
      <c r="P1653" s="15"/>
      <c r="Q1653" s="15"/>
      <c r="R1653" s="15"/>
      <c r="S1653" s="15"/>
      <c r="T1653" s="15">
        <v>0</v>
      </c>
      <c r="U1653" s="15"/>
      <c r="V1653" s="15"/>
      <c r="W1653" s="15"/>
      <c r="X1653" s="15"/>
      <c r="Y1653" s="15"/>
      <c r="Z1653" s="15"/>
    </row>
    <row r="1654" spans="1:26" x14ac:dyDescent="0.25">
      <c r="A1654" s="15" t="s">
        <v>13621</v>
      </c>
      <c r="B1654" s="15">
        <v>1653</v>
      </c>
      <c r="C1654" s="15" t="s">
        <v>11277</v>
      </c>
      <c r="D1654" s="15" t="s">
        <v>11277</v>
      </c>
      <c r="E1654" s="15" t="s">
        <v>102</v>
      </c>
      <c r="F1654" s="15" t="s">
        <v>15208</v>
      </c>
      <c r="G1654" s="15" t="s">
        <v>13693</v>
      </c>
      <c r="H1654" s="15">
        <v>16</v>
      </c>
      <c r="I1654" s="15">
        <v>35</v>
      </c>
      <c r="J1654" s="15">
        <v>71</v>
      </c>
      <c r="K1654" s="15" t="str">
        <f t="shared" si="25"/>
        <v>seagazershoals</v>
      </c>
      <c r="L1654" s="15" t="s">
        <v>13675</v>
      </c>
      <c r="M1654" s="15">
        <v>2</v>
      </c>
      <c r="N1654" s="15" t="s">
        <v>11223</v>
      </c>
      <c r="O1654" s="15"/>
      <c r="P1654" s="15"/>
      <c r="Q1654" s="15"/>
      <c r="R1654" s="15"/>
      <c r="S1654" s="15"/>
      <c r="T1654" s="15">
        <v>0</v>
      </c>
      <c r="U1654" s="15"/>
      <c r="V1654" s="15"/>
      <c r="W1654" s="15"/>
      <c r="X1654" s="15"/>
      <c r="Y1654" s="15"/>
      <c r="Z1654" s="15"/>
    </row>
    <row r="1655" spans="1:26" x14ac:dyDescent="0.25">
      <c r="A1655" s="15" t="s">
        <v>13623</v>
      </c>
      <c r="B1655" s="15">
        <v>1654</v>
      </c>
      <c r="C1655" s="15" t="s">
        <v>11277</v>
      </c>
      <c r="D1655" s="15" t="s">
        <v>11277</v>
      </c>
      <c r="E1655" s="15" t="s">
        <v>102</v>
      </c>
      <c r="F1655" s="15" t="s">
        <v>15208</v>
      </c>
      <c r="G1655" s="15" t="s">
        <v>13695</v>
      </c>
      <c r="H1655" s="15">
        <v>16</v>
      </c>
      <c r="I1655" s="15">
        <v>35</v>
      </c>
      <c r="J1655" s="15">
        <v>74</v>
      </c>
      <c r="K1655" s="15" t="str">
        <f t="shared" si="25"/>
        <v>seagazershoals</v>
      </c>
      <c r="L1655" s="15" t="s">
        <v>13544</v>
      </c>
      <c r="M1655" s="15">
        <v>1</v>
      </c>
      <c r="N1655" s="15" t="s">
        <v>11222</v>
      </c>
      <c r="O1655" s="15"/>
      <c r="P1655" s="15"/>
      <c r="Q1655" s="15"/>
      <c r="R1655" s="15"/>
      <c r="S1655" s="15"/>
      <c r="T1655" s="15">
        <v>0</v>
      </c>
      <c r="U1655" s="15"/>
      <c r="V1655" s="15"/>
      <c r="W1655" s="15"/>
      <c r="X1655" s="15"/>
      <c r="Y1655" s="15"/>
      <c r="Z1655" s="15"/>
    </row>
    <row r="1656" spans="1:26" x14ac:dyDescent="0.25">
      <c r="A1656" s="15" t="s">
        <v>13625</v>
      </c>
      <c r="B1656" s="15">
        <v>1655</v>
      </c>
      <c r="C1656" s="15" t="s">
        <v>11277</v>
      </c>
      <c r="D1656" s="15" t="s">
        <v>11277</v>
      </c>
      <c r="E1656" s="15" t="s">
        <v>102</v>
      </c>
      <c r="F1656" s="15" t="s">
        <v>15208</v>
      </c>
      <c r="G1656" s="15" t="s">
        <v>13697</v>
      </c>
      <c r="H1656" s="15">
        <v>16</v>
      </c>
      <c r="I1656" s="15">
        <v>35</v>
      </c>
      <c r="J1656" s="15">
        <v>75</v>
      </c>
      <c r="K1656" s="15" t="str">
        <f t="shared" si="25"/>
        <v>seagazershoals</v>
      </c>
      <c r="L1656" s="15" t="s">
        <v>12487</v>
      </c>
      <c r="M1656" s="15">
        <v>2</v>
      </c>
      <c r="N1656" s="15" t="s">
        <v>11223</v>
      </c>
      <c r="O1656" s="15"/>
      <c r="P1656" s="15"/>
      <c r="Q1656" s="15"/>
      <c r="R1656" s="15"/>
      <c r="S1656" s="15"/>
      <c r="T1656" s="15">
        <v>0</v>
      </c>
      <c r="U1656" s="15"/>
      <c r="V1656" s="15"/>
      <c r="W1656" s="15"/>
      <c r="X1656" s="15"/>
      <c r="Y1656" s="15"/>
      <c r="Z1656" s="15"/>
    </row>
    <row r="1657" spans="1:26" x14ac:dyDescent="0.25">
      <c r="A1657" s="15" t="s">
        <v>13627</v>
      </c>
      <c r="B1657" s="15">
        <v>1656</v>
      </c>
      <c r="C1657" s="15" t="s">
        <v>11277</v>
      </c>
      <c r="D1657" s="15" t="s">
        <v>11277</v>
      </c>
      <c r="E1657" s="15" t="s">
        <v>133</v>
      </c>
      <c r="F1657" s="15" t="s">
        <v>15208</v>
      </c>
      <c r="G1657" s="15" t="s">
        <v>13699</v>
      </c>
      <c r="H1657" s="15">
        <v>16</v>
      </c>
      <c r="I1657" s="15">
        <v>35</v>
      </c>
      <c r="J1657" s="15">
        <v>90</v>
      </c>
      <c r="K1657" s="15" t="str">
        <f t="shared" si="25"/>
        <v>seagazershoals</v>
      </c>
      <c r="L1657" s="15" t="s">
        <v>13560</v>
      </c>
      <c r="M1657" s="15">
        <v>2</v>
      </c>
      <c r="N1657" s="15" t="s">
        <v>11223</v>
      </c>
      <c r="O1657" s="15"/>
      <c r="P1657" s="15"/>
      <c r="Q1657" s="15"/>
      <c r="R1657" s="15"/>
      <c r="S1657" s="15"/>
      <c r="T1657" s="15">
        <v>0</v>
      </c>
      <c r="U1657" s="15"/>
      <c r="V1657" s="15"/>
      <c r="W1657" s="15"/>
      <c r="X1657" s="15"/>
      <c r="Y1657" s="15"/>
      <c r="Z1657" s="15"/>
    </row>
    <row r="1658" spans="1:26" x14ac:dyDescent="0.25">
      <c r="A1658" s="15" t="s">
        <v>13629</v>
      </c>
      <c r="B1658" s="15">
        <v>1657</v>
      </c>
      <c r="C1658" s="15" t="s">
        <v>11277</v>
      </c>
      <c r="D1658" s="15" t="s">
        <v>11277</v>
      </c>
      <c r="E1658" s="15" t="s">
        <v>102</v>
      </c>
      <c r="F1658" s="15" t="s">
        <v>15208</v>
      </c>
      <c r="G1658" s="15" t="s">
        <v>13701</v>
      </c>
      <c r="H1658" s="15">
        <v>16</v>
      </c>
      <c r="I1658" s="15">
        <v>35</v>
      </c>
      <c r="J1658" s="15">
        <v>80</v>
      </c>
      <c r="K1658" s="15" t="str">
        <f t="shared" si="25"/>
        <v>seagazershoals</v>
      </c>
      <c r="L1658" s="15" t="s">
        <v>12487</v>
      </c>
      <c r="M1658" s="15">
        <v>3</v>
      </c>
      <c r="N1658" s="15" t="s">
        <v>11222</v>
      </c>
      <c r="O1658" s="15" t="s">
        <v>14015</v>
      </c>
      <c r="P1658" s="15"/>
      <c r="Q1658" s="15"/>
      <c r="R1658" s="15"/>
      <c r="S1658" s="15"/>
      <c r="T1658" s="15">
        <v>0</v>
      </c>
      <c r="U1658" s="15" t="s">
        <v>5893</v>
      </c>
      <c r="V1658" s="15" t="s">
        <v>5892</v>
      </c>
      <c r="W1658" s="15"/>
      <c r="X1658" s="15" t="s">
        <v>5970</v>
      </c>
      <c r="Y1658" s="15"/>
      <c r="Z1658" s="15"/>
    </row>
    <row r="1659" spans="1:26" x14ac:dyDescent="0.25">
      <c r="A1659" s="15" t="s">
        <v>13631</v>
      </c>
      <c r="B1659" s="15">
        <v>1658</v>
      </c>
      <c r="C1659" s="15" t="s">
        <v>11277</v>
      </c>
      <c r="D1659" s="15" t="s">
        <v>11277</v>
      </c>
      <c r="E1659" s="15" t="s">
        <v>102</v>
      </c>
      <c r="F1659" s="15" t="s">
        <v>15208</v>
      </c>
      <c r="G1659" s="15" t="s">
        <v>13703</v>
      </c>
      <c r="H1659" s="15">
        <v>16</v>
      </c>
      <c r="I1659" s="15">
        <v>35</v>
      </c>
      <c r="J1659" s="15">
        <v>80</v>
      </c>
      <c r="K1659" s="15" t="str">
        <f t="shared" si="25"/>
        <v>seagazershoals</v>
      </c>
      <c r="L1659" s="15" t="s">
        <v>13675</v>
      </c>
      <c r="M1659" s="15">
        <v>3</v>
      </c>
      <c r="N1659" s="15" t="s">
        <v>11223</v>
      </c>
      <c r="O1659" s="15" t="s">
        <v>14017</v>
      </c>
      <c r="P1659" s="15" t="s">
        <v>15209</v>
      </c>
      <c r="Q1659" s="15"/>
      <c r="R1659" s="15"/>
      <c r="S1659" s="15"/>
      <c r="T1659" s="15">
        <v>0</v>
      </c>
      <c r="U1659" s="15" t="s">
        <v>5893</v>
      </c>
      <c r="V1659" s="15" t="s">
        <v>5892</v>
      </c>
      <c r="W1659" s="15"/>
      <c r="X1659" s="15" t="s">
        <v>5970</v>
      </c>
      <c r="Y1659" s="15"/>
      <c r="Z1659" s="15"/>
    </row>
    <row r="1660" spans="1:26" x14ac:dyDescent="0.25">
      <c r="A1660" s="15" t="s">
        <v>13633</v>
      </c>
      <c r="B1660" s="15">
        <v>1659</v>
      </c>
      <c r="C1660" s="15" t="s">
        <v>11277</v>
      </c>
      <c r="D1660" s="15" t="s">
        <v>11277</v>
      </c>
      <c r="E1660" s="15" t="s">
        <v>102</v>
      </c>
      <c r="F1660" s="15" t="s">
        <v>15210</v>
      </c>
      <c r="G1660" s="15" t="s">
        <v>13674</v>
      </c>
      <c r="H1660" s="15">
        <v>35</v>
      </c>
      <c r="I1660" s="15">
        <v>35</v>
      </c>
      <c r="J1660" s="15">
        <v>71</v>
      </c>
      <c r="K1660" s="15" t="str">
        <f t="shared" si="25"/>
        <v>theeasternkholusiancoast</v>
      </c>
      <c r="L1660" s="15" t="s">
        <v>13675</v>
      </c>
      <c r="M1660" s="15">
        <v>1</v>
      </c>
      <c r="N1660" s="15" t="s">
        <v>11222</v>
      </c>
      <c r="O1660" s="15"/>
      <c r="P1660" s="15"/>
      <c r="Q1660" s="15" t="s">
        <v>13705</v>
      </c>
      <c r="R1660" s="15"/>
      <c r="S1660" s="15"/>
      <c r="T1660" s="15">
        <v>0</v>
      </c>
      <c r="U1660" s="15"/>
      <c r="V1660" s="15"/>
      <c r="W1660" s="15"/>
      <c r="X1660" s="15"/>
      <c r="Y1660" s="15"/>
      <c r="Z1660" s="15"/>
    </row>
    <row r="1661" spans="1:26" x14ac:dyDescent="0.25">
      <c r="A1661" s="15" t="s">
        <v>13635</v>
      </c>
      <c r="B1661" s="15">
        <v>1660</v>
      </c>
      <c r="C1661" s="15" t="s">
        <v>11277</v>
      </c>
      <c r="D1661" s="15" t="s">
        <v>11277</v>
      </c>
      <c r="E1661" s="15" t="s">
        <v>102</v>
      </c>
      <c r="F1661" s="15" t="s">
        <v>15210</v>
      </c>
      <c r="G1661" s="15" t="s">
        <v>13679</v>
      </c>
      <c r="H1661" s="15">
        <v>35</v>
      </c>
      <c r="I1661" s="15">
        <v>35</v>
      </c>
      <c r="J1661" s="15">
        <v>71</v>
      </c>
      <c r="K1661" s="15" t="str">
        <f t="shared" si="25"/>
        <v>theeasternkholusiancoast</v>
      </c>
      <c r="L1661" s="15" t="s">
        <v>13544</v>
      </c>
      <c r="M1661" s="15">
        <v>1</v>
      </c>
      <c r="N1661" s="15" t="s">
        <v>11222</v>
      </c>
      <c r="O1661" s="15"/>
      <c r="P1661" s="15"/>
      <c r="Q1661" s="15"/>
      <c r="R1661" s="15"/>
      <c r="S1661" s="15"/>
      <c r="T1661" s="15">
        <v>0</v>
      </c>
      <c r="U1661" s="15"/>
      <c r="V1661" s="15"/>
      <c r="W1661" s="15"/>
      <c r="X1661" s="15"/>
      <c r="Y1661" s="15"/>
      <c r="Z1661" s="15"/>
    </row>
    <row r="1662" spans="1:26" x14ac:dyDescent="0.25">
      <c r="A1662" s="15" t="s">
        <v>13637</v>
      </c>
      <c r="B1662" s="15">
        <v>1661</v>
      </c>
      <c r="C1662" s="15" t="s">
        <v>11277</v>
      </c>
      <c r="D1662" s="15" t="s">
        <v>11277</v>
      </c>
      <c r="E1662" s="15" t="s">
        <v>102</v>
      </c>
      <c r="F1662" s="15" t="s">
        <v>15210</v>
      </c>
      <c r="G1662" s="15" t="s">
        <v>13693</v>
      </c>
      <c r="H1662" s="15">
        <v>35</v>
      </c>
      <c r="I1662" s="15">
        <v>35</v>
      </c>
      <c r="J1662" s="15">
        <v>71</v>
      </c>
      <c r="K1662" s="15" t="str">
        <f t="shared" si="25"/>
        <v>theeasternkholusiancoast</v>
      </c>
      <c r="L1662" s="15" t="s">
        <v>13544</v>
      </c>
      <c r="M1662" s="15">
        <v>1</v>
      </c>
      <c r="N1662" s="15" t="s">
        <v>11222</v>
      </c>
      <c r="O1662" s="15"/>
      <c r="P1662" s="15"/>
      <c r="Q1662" s="15"/>
      <c r="R1662" s="15"/>
      <c r="S1662" s="15"/>
      <c r="T1662" s="15">
        <v>0</v>
      </c>
      <c r="U1662" s="15"/>
      <c r="V1662" s="15"/>
      <c r="W1662" s="15"/>
      <c r="X1662" s="15"/>
      <c r="Y1662" s="15"/>
      <c r="Z1662" s="15"/>
    </row>
    <row r="1663" spans="1:26" x14ac:dyDescent="0.25">
      <c r="A1663" s="15" t="s">
        <v>13639</v>
      </c>
      <c r="B1663" s="15">
        <v>1662</v>
      </c>
      <c r="C1663" s="15" t="s">
        <v>11277</v>
      </c>
      <c r="D1663" s="15" t="s">
        <v>11277</v>
      </c>
      <c r="E1663" s="15" t="s">
        <v>102</v>
      </c>
      <c r="F1663" s="15" t="s">
        <v>15210</v>
      </c>
      <c r="G1663" s="15" t="s">
        <v>13705</v>
      </c>
      <c r="H1663" s="15">
        <v>35</v>
      </c>
      <c r="I1663" s="15">
        <v>35</v>
      </c>
      <c r="J1663" s="15">
        <v>72</v>
      </c>
      <c r="K1663" s="15" t="str">
        <f t="shared" si="25"/>
        <v>theeasternkholusiancoast</v>
      </c>
      <c r="L1663" s="15" t="s">
        <v>13675</v>
      </c>
      <c r="M1663" s="15">
        <v>1</v>
      </c>
      <c r="N1663" s="15" t="s">
        <v>11222</v>
      </c>
      <c r="O1663" s="15"/>
      <c r="P1663" s="15"/>
      <c r="Q1663" s="15"/>
      <c r="R1663" s="15"/>
      <c r="S1663" s="15"/>
      <c r="T1663" s="15">
        <v>0</v>
      </c>
      <c r="U1663" s="15"/>
      <c r="V1663" s="15"/>
      <c r="W1663" s="15"/>
      <c r="X1663" s="15"/>
      <c r="Y1663" s="15"/>
      <c r="Z1663" s="15"/>
    </row>
    <row r="1664" spans="1:26" x14ac:dyDescent="0.25">
      <c r="A1664" s="15" t="s">
        <v>13641</v>
      </c>
      <c r="B1664" s="15">
        <v>1663</v>
      </c>
      <c r="C1664" s="15" t="s">
        <v>11277</v>
      </c>
      <c r="D1664" s="15" t="s">
        <v>11277</v>
      </c>
      <c r="E1664" s="15" t="s">
        <v>102</v>
      </c>
      <c r="F1664" s="15" t="s">
        <v>15210</v>
      </c>
      <c r="G1664" s="15" t="s">
        <v>13707</v>
      </c>
      <c r="H1664" s="15">
        <v>35</v>
      </c>
      <c r="I1664" s="15">
        <v>35</v>
      </c>
      <c r="J1664" s="15">
        <v>72</v>
      </c>
      <c r="K1664" s="15" t="str">
        <f t="shared" si="25"/>
        <v>theeasternkholusiancoast</v>
      </c>
      <c r="L1664" s="15" t="s">
        <v>14088</v>
      </c>
      <c r="M1664" s="15">
        <v>2</v>
      </c>
      <c r="N1664" s="15" t="s">
        <v>11223</v>
      </c>
      <c r="O1664" s="15"/>
      <c r="P1664" s="15"/>
      <c r="Q1664" s="15" t="s">
        <v>13705</v>
      </c>
      <c r="R1664" s="15"/>
      <c r="S1664" s="15"/>
      <c r="T1664" s="15">
        <v>0</v>
      </c>
      <c r="U1664" s="15"/>
      <c r="V1664" s="15"/>
      <c r="W1664" s="15"/>
      <c r="X1664" s="15"/>
      <c r="Y1664" s="15"/>
      <c r="Z1664" s="15"/>
    </row>
    <row r="1665" spans="1:26" x14ac:dyDescent="0.25">
      <c r="A1665" s="15" t="s">
        <v>13643</v>
      </c>
      <c r="B1665" s="15">
        <v>1664</v>
      </c>
      <c r="C1665" s="15" t="s">
        <v>11277</v>
      </c>
      <c r="D1665" s="15" t="s">
        <v>11277</v>
      </c>
      <c r="E1665" s="15" t="s">
        <v>102</v>
      </c>
      <c r="F1665" s="15" t="s">
        <v>15210</v>
      </c>
      <c r="G1665" s="15" t="s">
        <v>13709</v>
      </c>
      <c r="H1665" s="15">
        <v>35</v>
      </c>
      <c r="I1665" s="15">
        <v>35</v>
      </c>
      <c r="J1665" s="15">
        <v>72</v>
      </c>
      <c r="K1665" s="15" t="str">
        <f t="shared" si="25"/>
        <v>theeasternkholusiancoast</v>
      </c>
      <c r="L1665" s="15" t="s">
        <v>13675</v>
      </c>
      <c r="M1665" s="15">
        <v>1</v>
      </c>
      <c r="N1665" s="15" t="s">
        <v>11222</v>
      </c>
      <c r="O1665" s="15"/>
      <c r="P1665" s="15"/>
      <c r="Q1665" s="15" t="s">
        <v>13705</v>
      </c>
      <c r="R1665" s="15"/>
      <c r="S1665" s="15"/>
      <c r="T1665" s="15">
        <v>0</v>
      </c>
      <c r="U1665" s="15"/>
      <c r="V1665" s="15"/>
      <c r="W1665" s="15"/>
      <c r="X1665" s="15"/>
      <c r="Y1665" s="15"/>
      <c r="Z1665" s="15"/>
    </row>
    <row r="1666" spans="1:26" x14ac:dyDescent="0.25">
      <c r="A1666" s="15" t="s">
        <v>13645</v>
      </c>
      <c r="B1666" s="15">
        <v>1665</v>
      </c>
      <c r="C1666" s="15" t="s">
        <v>11277</v>
      </c>
      <c r="D1666" s="15" t="s">
        <v>11277</v>
      </c>
      <c r="E1666" s="15" t="s">
        <v>102</v>
      </c>
      <c r="F1666" s="15" t="s">
        <v>15210</v>
      </c>
      <c r="G1666" s="15" t="s">
        <v>13711</v>
      </c>
      <c r="H1666" s="15">
        <v>35</v>
      </c>
      <c r="I1666" s="15">
        <v>35</v>
      </c>
      <c r="J1666" s="15">
        <v>80</v>
      </c>
      <c r="K1666" s="15" t="str">
        <f t="shared" ref="K1666:K1729" si="26">LOWER(SUBSTITUTE(SUBSTITUTE(SUBSTITUTE(SUBSTITUTE(SUBSTITUTE(F1666," ",""),"(",""),")",""),"'",""),"-",""))</f>
        <v>theeasternkholusiancoast</v>
      </c>
      <c r="L1666" s="15" t="s">
        <v>14088</v>
      </c>
      <c r="M1666" s="15">
        <v>3</v>
      </c>
      <c r="N1666" s="15" t="s">
        <v>11223</v>
      </c>
      <c r="O1666" s="15" t="s">
        <v>14037</v>
      </c>
      <c r="P1666" s="15"/>
      <c r="Q1666" s="15" t="s">
        <v>13705</v>
      </c>
      <c r="R1666" s="15"/>
      <c r="S1666" s="15"/>
      <c r="T1666" s="15">
        <v>0</v>
      </c>
      <c r="U1666" s="15" t="s">
        <v>5908</v>
      </c>
      <c r="V1666" s="15" t="s">
        <v>5914</v>
      </c>
      <c r="W1666" s="15"/>
      <c r="X1666" s="15"/>
      <c r="Y1666" s="15"/>
      <c r="Z1666" s="15"/>
    </row>
    <row r="1667" spans="1:26" x14ac:dyDescent="0.25">
      <c r="A1667" s="15" t="s">
        <v>13647</v>
      </c>
      <c r="B1667" s="15">
        <v>1666</v>
      </c>
      <c r="C1667" s="15" t="s">
        <v>11277</v>
      </c>
      <c r="D1667" s="15" t="s">
        <v>11277</v>
      </c>
      <c r="E1667" s="15" t="s">
        <v>133</v>
      </c>
      <c r="F1667" s="15" t="s">
        <v>15210</v>
      </c>
      <c r="G1667" s="15" t="s">
        <v>13713</v>
      </c>
      <c r="H1667" s="15">
        <v>35</v>
      </c>
      <c r="I1667" s="15">
        <v>35</v>
      </c>
      <c r="J1667" s="15">
        <v>81</v>
      </c>
      <c r="K1667" s="15" t="str">
        <f t="shared" si="26"/>
        <v>theeasternkholusiancoast</v>
      </c>
      <c r="L1667" s="15" t="s">
        <v>11560</v>
      </c>
      <c r="M1667" s="15">
        <v>1</v>
      </c>
      <c r="N1667" s="15" t="s">
        <v>11222</v>
      </c>
      <c r="O1667" s="15"/>
      <c r="P1667" s="15"/>
      <c r="Q1667" s="15"/>
      <c r="R1667" s="15"/>
      <c r="S1667" s="15"/>
      <c r="T1667" s="15">
        <v>0</v>
      </c>
      <c r="U1667" s="15"/>
      <c r="V1667" s="15"/>
      <c r="W1667" s="15"/>
      <c r="X1667" s="15"/>
      <c r="Y1667" s="15"/>
      <c r="Z1667" s="15"/>
    </row>
    <row r="1668" spans="1:26" x14ac:dyDescent="0.25">
      <c r="A1668" s="15" t="s">
        <v>13649</v>
      </c>
      <c r="B1668" s="15">
        <v>1667</v>
      </c>
      <c r="C1668" s="15" t="s">
        <v>11277</v>
      </c>
      <c r="D1668" s="15" t="s">
        <v>11277</v>
      </c>
      <c r="E1668" s="15" t="s">
        <v>102</v>
      </c>
      <c r="F1668" s="15" t="s">
        <v>15210</v>
      </c>
      <c r="G1668" s="15" t="s">
        <v>13715</v>
      </c>
      <c r="H1668" s="15">
        <v>35</v>
      </c>
      <c r="I1668" s="15">
        <v>35</v>
      </c>
      <c r="J1668" s="15">
        <v>80</v>
      </c>
      <c r="K1668" s="15" t="str">
        <f t="shared" si="26"/>
        <v>theeasternkholusiancoast</v>
      </c>
      <c r="L1668" s="15" t="s">
        <v>14088</v>
      </c>
      <c r="M1668" s="15">
        <v>3</v>
      </c>
      <c r="N1668" s="15" t="s">
        <v>11223</v>
      </c>
      <c r="O1668" s="15" t="s">
        <v>14072</v>
      </c>
      <c r="P1668" s="15"/>
      <c r="Q1668" s="15" t="s">
        <v>13705</v>
      </c>
      <c r="R1668" s="15"/>
      <c r="S1668" s="15"/>
      <c r="T1668" s="15">
        <v>0</v>
      </c>
      <c r="U1668" s="15"/>
      <c r="V1668" s="15"/>
      <c r="W1668" s="15"/>
      <c r="X1668" s="15"/>
      <c r="Y1668" s="15"/>
      <c r="Z1668" s="15"/>
    </row>
    <row r="1669" spans="1:26" x14ac:dyDescent="0.25">
      <c r="A1669" s="15" t="s">
        <v>13651</v>
      </c>
      <c r="B1669" s="15">
        <v>1668</v>
      </c>
      <c r="C1669" s="15" t="s">
        <v>11277</v>
      </c>
      <c r="D1669" s="15" t="s">
        <v>11277</v>
      </c>
      <c r="E1669" s="15" t="s">
        <v>102</v>
      </c>
      <c r="F1669" s="15" t="s">
        <v>15211</v>
      </c>
      <c r="G1669" s="15" t="s">
        <v>13717</v>
      </c>
      <c r="H1669" s="15">
        <v>31</v>
      </c>
      <c r="I1669" s="15">
        <v>12</v>
      </c>
      <c r="J1669" s="15">
        <v>72</v>
      </c>
      <c r="K1669" s="15" t="str">
        <f t="shared" si="26"/>
        <v>theriverofsand</v>
      </c>
      <c r="L1669" s="15" t="s">
        <v>13718</v>
      </c>
      <c r="M1669" s="15">
        <v>1</v>
      </c>
      <c r="N1669" s="15" t="s">
        <v>11222</v>
      </c>
      <c r="O1669" s="15"/>
      <c r="P1669" s="15"/>
      <c r="Q1669" s="15"/>
      <c r="R1669" s="15"/>
      <c r="S1669" s="15"/>
      <c r="T1669" s="15">
        <v>0</v>
      </c>
      <c r="U1669" s="15"/>
      <c r="V1669" s="15"/>
      <c r="W1669" s="15"/>
      <c r="X1669" s="15"/>
      <c r="Y1669" s="15"/>
      <c r="Z1669" s="15"/>
    </row>
    <row r="1670" spans="1:26" x14ac:dyDescent="0.25">
      <c r="A1670" s="15" t="s">
        <v>13653</v>
      </c>
      <c r="B1670" s="15">
        <v>1669</v>
      </c>
      <c r="C1670" s="15" t="s">
        <v>11277</v>
      </c>
      <c r="D1670" s="15" t="s">
        <v>11277</v>
      </c>
      <c r="E1670" s="15" t="s">
        <v>102</v>
      </c>
      <c r="F1670" s="15" t="s">
        <v>15211</v>
      </c>
      <c r="G1670" s="15" t="s">
        <v>13720</v>
      </c>
      <c r="H1670" s="15">
        <v>31</v>
      </c>
      <c r="I1670" s="15">
        <v>12</v>
      </c>
      <c r="J1670" s="15">
        <v>72</v>
      </c>
      <c r="K1670" s="15" t="str">
        <f t="shared" si="26"/>
        <v>theriverofsand</v>
      </c>
      <c r="L1670" s="15" t="s">
        <v>11560</v>
      </c>
      <c r="M1670" s="15">
        <v>1</v>
      </c>
      <c r="N1670" s="15" t="s">
        <v>11222</v>
      </c>
      <c r="O1670" s="15"/>
      <c r="P1670" s="15"/>
      <c r="Q1670" s="15" t="s">
        <v>13726</v>
      </c>
      <c r="R1670" s="15"/>
      <c r="S1670" s="15"/>
      <c r="T1670" s="15">
        <v>0</v>
      </c>
      <c r="U1670" s="15"/>
      <c r="V1670" s="15"/>
      <c r="W1670" s="15"/>
      <c r="X1670" s="15"/>
      <c r="Y1670" s="15"/>
      <c r="Z1670" s="15"/>
    </row>
    <row r="1671" spans="1:26" x14ac:dyDescent="0.25">
      <c r="A1671" s="15" t="s">
        <v>13655</v>
      </c>
      <c r="B1671" s="15">
        <v>1670</v>
      </c>
      <c r="C1671" s="15" t="s">
        <v>11277</v>
      </c>
      <c r="D1671" s="15" t="s">
        <v>11277</v>
      </c>
      <c r="E1671" s="15" t="s">
        <v>102</v>
      </c>
      <c r="F1671" s="15" t="s">
        <v>15211</v>
      </c>
      <c r="G1671" s="15" t="s">
        <v>13722</v>
      </c>
      <c r="H1671" s="15">
        <v>31</v>
      </c>
      <c r="I1671" s="15">
        <v>12</v>
      </c>
      <c r="J1671" s="15">
        <v>71</v>
      </c>
      <c r="K1671" s="15" t="str">
        <f t="shared" si="26"/>
        <v>theriverofsand</v>
      </c>
      <c r="L1671" s="15" t="s">
        <v>13718</v>
      </c>
      <c r="M1671" s="15">
        <v>1</v>
      </c>
      <c r="N1671" s="15" t="s">
        <v>11222</v>
      </c>
      <c r="O1671" s="15"/>
      <c r="P1671" s="15"/>
      <c r="Q1671" s="15"/>
      <c r="R1671" s="15"/>
      <c r="S1671" s="15"/>
      <c r="T1671" s="15">
        <v>0</v>
      </c>
      <c r="U1671" s="15"/>
      <c r="V1671" s="15"/>
      <c r="W1671" s="15"/>
      <c r="X1671" s="15"/>
      <c r="Y1671" s="15"/>
      <c r="Z1671" s="15"/>
    </row>
    <row r="1672" spans="1:26" x14ac:dyDescent="0.25">
      <c r="A1672" s="15" t="s">
        <v>13657</v>
      </c>
      <c r="B1672" s="15">
        <v>1671</v>
      </c>
      <c r="C1672" s="15" t="s">
        <v>11277</v>
      </c>
      <c r="D1672" s="15" t="s">
        <v>11277</v>
      </c>
      <c r="E1672" s="15" t="s">
        <v>102</v>
      </c>
      <c r="F1672" s="15" t="s">
        <v>15211</v>
      </c>
      <c r="G1672" s="15" t="s">
        <v>13724</v>
      </c>
      <c r="H1672" s="15">
        <v>31</v>
      </c>
      <c r="I1672" s="15">
        <v>12</v>
      </c>
      <c r="J1672" s="15">
        <v>73</v>
      </c>
      <c r="K1672" s="15" t="str">
        <f t="shared" si="26"/>
        <v>theriverofsand</v>
      </c>
      <c r="L1672" s="15" t="s">
        <v>13718</v>
      </c>
      <c r="M1672" s="15">
        <v>2</v>
      </c>
      <c r="N1672" s="15" t="s">
        <v>11223</v>
      </c>
      <c r="O1672" s="15"/>
      <c r="P1672" s="15"/>
      <c r="Q1672" s="15" t="s">
        <v>13726</v>
      </c>
      <c r="R1672" s="15"/>
      <c r="S1672" s="15"/>
      <c r="T1672" s="15">
        <v>0</v>
      </c>
      <c r="U1672" s="15"/>
      <c r="V1672" s="15"/>
      <c r="W1672" s="15"/>
      <c r="X1672" s="15"/>
      <c r="Y1672" s="15"/>
      <c r="Z1672" s="15"/>
    </row>
    <row r="1673" spans="1:26" x14ac:dyDescent="0.25">
      <c r="A1673" s="15" t="s">
        <v>13659</v>
      </c>
      <c r="B1673" s="15">
        <v>1672</v>
      </c>
      <c r="C1673" s="15" t="s">
        <v>11277</v>
      </c>
      <c r="D1673" s="15" t="s">
        <v>11277</v>
      </c>
      <c r="E1673" s="15" t="s">
        <v>102</v>
      </c>
      <c r="F1673" s="15" t="s">
        <v>15211</v>
      </c>
      <c r="G1673" s="15" t="s">
        <v>13726</v>
      </c>
      <c r="H1673" s="15">
        <v>31</v>
      </c>
      <c r="I1673" s="15">
        <v>12</v>
      </c>
      <c r="J1673" s="15">
        <v>73</v>
      </c>
      <c r="K1673" s="15" t="str">
        <f t="shared" si="26"/>
        <v>theriverofsand</v>
      </c>
      <c r="L1673" s="15" t="s">
        <v>13718</v>
      </c>
      <c r="M1673" s="15">
        <v>1</v>
      </c>
      <c r="N1673" s="15" t="s">
        <v>11222</v>
      </c>
      <c r="O1673" s="15"/>
      <c r="P1673" s="15"/>
      <c r="Q1673" s="15"/>
      <c r="R1673" s="15"/>
      <c r="S1673" s="15"/>
      <c r="T1673" s="15">
        <v>0</v>
      </c>
      <c r="U1673" s="15"/>
      <c r="V1673" s="15"/>
      <c r="W1673" s="15"/>
      <c r="X1673" s="15"/>
      <c r="Y1673" s="15"/>
      <c r="Z1673" s="15"/>
    </row>
    <row r="1674" spans="1:26" x14ac:dyDescent="0.25">
      <c r="A1674" s="15" t="s">
        <v>13661</v>
      </c>
      <c r="B1674" s="15">
        <v>1673</v>
      </c>
      <c r="C1674" s="15" t="s">
        <v>11277</v>
      </c>
      <c r="D1674" s="15" t="s">
        <v>11277</v>
      </c>
      <c r="E1674" s="15" t="s">
        <v>102</v>
      </c>
      <c r="F1674" s="15" t="s">
        <v>15211</v>
      </c>
      <c r="G1674" s="15" t="s">
        <v>13728</v>
      </c>
      <c r="H1674" s="15">
        <v>31</v>
      </c>
      <c r="I1674" s="15">
        <v>12</v>
      </c>
      <c r="J1674" s="15">
        <v>80</v>
      </c>
      <c r="K1674" s="15" t="str">
        <f t="shared" si="26"/>
        <v>theriverofsand</v>
      </c>
      <c r="L1674" s="15" t="s">
        <v>14088</v>
      </c>
      <c r="M1674" s="15">
        <v>3</v>
      </c>
      <c r="N1674" s="15" t="s">
        <v>11223</v>
      </c>
      <c r="O1674" s="15" t="s">
        <v>11239</v>
      </c>
      <c r="P1674" s="15"/>
      <c r="Q1674" s="15" t="s">
        <v>13724</v>
      </c>
      <c r="R1674" s="15"/>
      <c r="S1674" s="15"/>
      <c r="T1674" s="15">
        <v>0</v>
      </c>
      <c r="U1674" s="15"/>
      <c r="V1674" s="15"/>
      <c r="W1674" s="15"/>
      <c r="X1674" s="15"/>
      <c r="Y1674" s="15"/>
      <c r="Z1674" s="15"/>
    </row>
    <row r="1675" spans="1:26" x14ac:dyDescent="0.25">
      <c r="A1675" s="15" t="s">
        <v>13663</v>
      </c>
      <c r="B1675" s="15">
        <v>1674</v>
      </c>
      <c r="C1675" s="15" t="s">
        <v>11277</v>
      </c>
      <c r="D1675" s="15" t="s">
        <v>11277</v>
      </c>
      <c r="E1675" s="15" t="s">
        <v>102</v>
      </c>
      <c r="F1675" s="15" t="s">
        <v>15211</v>
      </c>
      <c r="G1675" s="15" t="s">
        <v>13730</v>
      </c>
      <c r="H1675" s="15">
        <v>31</v>
      </c>
      <c r="I1675" s="15">
        <v>12</v>
      </c>
      <c r="J1675" s="15">
        <v>80</v>
      </c>
      <c r="K1675" s="15" t="str">
        <f t="shared" si="26"/>
        <v>theriverofsand</v>
      </c>
      <c r="L1675" s="15" t="s">
        <v>13718</v>
      </c>
      <c r="M1675" s="15">
        <v>3</v>
      </c>
      <c r="N1675" s="15" t="s">
        <v>11222</v>
      </c>
      <c r="O1675" s="15" t="s">
        <v>2804</v>
      </c>
      <c r="P1675" s="15" t="s">
        <v>15212</v>
      </c>
      <c r="Q1675" s="15"/>
      <c r="R1675" s="15"/>
      <c r="S1675" s="15"/>
      <c r="T1675" s="15">
        <v>0</v>
      </c>
      <c r="U1675" s="15" t="s">
        <v>6034</v>
      </c>
      <c r="V1675" s="15"/>
      <c r="W1675" s="15"/>
      <c r="X1675" s="15" t="s">
        <v>6054</v>
      </c>
      <c r="Y1675" s="15"/>
      <c r="Z1675" s="15"/>
    </row>
    <row r="1676" spans="1:26" x14ac:dyDescent="0.25">
      <c r="A1676" s="15" t="s">
        <v>13665</v>
      </c>
      <c r="B1676" s="15">
        <v>1675</v>
      </c>
      <c r="C1676" s="15" t="s">
        <v>11277</v>
      </c>
      <c r="D1676" s="15" t="s">
        <v>11277</v>
      </c>
      <c r="E1676" s="15" t="s">
        <v>102</v>
      </c>
      <c r="F1676" s="15" t="s">
        <v>2165</v>
      </c>
      <c r="G1676" s="15" t="s">
        <v>13717</v>
      </c>
      <c r="H1676" s="15">
        <v>31</v>
      </c>
      <c r="I1676" s="15">
        <v>31</v>
      </c>
      <c r="J1676" s="15">
        <v>72</v>
      </c>
      <c r="K1676" s="15" t="str">
        <f t="shared" si="26"/>
        <v>thenabaathseverance</v>
      </c>
      <c r="L1676" s="15" t="s">
        <v>13718</v>
      </c>
      <c r="M1676" s="15">
        <v>1</v>
      </c>
      <c r="N1676" s="15" t="s">
        <v>11222</v>
      </c>
      <c r="O1676" s="15"/>
      <c r="P1676" s="15"/>
      <c r="Q1676" s="15"/>
      <c r="R1676" s="15"/>
      <c r="S1676" s="15"/>
      <c r="T1676" s="15">
        <v>0</v>
      </c>
      <c r="U1676" s="15"/>
      <c r="V1676" s="15"/>
      <c r="W1676" s="15"/>
      <c r="X1676" s="15"/>
      <c r="Y1676" s="15"/>
      <c r="Z1676" s="15"/>
    </row>
    <row r="1677" spans="1:26" x14ac:dyDescent="0.25">
      <c r="A1677" s="15" t="s">
        <v>13667</v>
      </c>
      <c r="B1677" s="15">
        <v>1676</v>
      </c>
      <c r="C1677" s="15" t="s">
        <v>11277</v>
      </c>
      <c r="D1677" s="15" t="s">
        <v>11277</v>
      </c>
      <c r="E1677" s="15" t="s">
        <v>102</v>
      </c>
      <c r="F1677" s="15" t="s">
        <v>2165</v>
      </c>
      <c r="G1677" s="15" t="s">
        <v>13720</v>
      </c>
      <c r="H1677" s="15">
        <v>31</v>
      </c>
      <c r="I1677" s="15">
        <v>31</v>
      </c>
      <c r="J1677" s="15">
        <v>72</v>
      </c>
      <c r="K1677" s="15" t="str">
        <f t="shared" si="26"/>
        <v>thenabaathseverance</v>
      </c>
      <c r="L1677" s="15" t="s">
        <v>13718</v>
      </c>
      <c r="M1677" s="15">
        <v>1</v>
      </c>
      <c r="N1677" s="15" t="s">
        <v>11222</v>
      </c>
      <c r="O1677" s="15"/>
      <c r="P1677" s="15"/>
      <c r="Q1677" s="15" t="s">
        <v>13726</v>
      </c>
      <c r="R1677" s="15"/>
      <c r="S1677" s="15"/>
      <c r="T1677" s="15">
        <v>0</v>
      </c>
      <c r="U1677" s="15"/>
      <c r="V1677" s="15"/>
      <c r="W1677" s="15"/>
      <c r="X1677" s="15"/>
      <c r="Y1677" s="15"/>
      <c r="Z1677" s="15"/>
    </row>
    <row r="1678" spans="1:26" x14ac:dyDescent="0.25">
      <c r="A1678" s="15" t="s">
        <v>13669</v>
      </c>
      <c r="B1678" s="15">
        <v>1677</v>
      </c>
      <c r="C1678" s="15" t="s">
        <v>11277</v>
      </c>
      <c r="D1678" s="15" t="s">
        <v>11277</v>
      </c>
      <c r="E1678" s="15" t="s">
        <v>102</v>
      </c>
      <c r="F1678" s="15" t="s">
        <v>2165</v>
      </c>
      <c r="G1678" s="15" t="s">
        <v>13732</v>
      </c>
      <c r="H1678" s="15">
        <v>31</v>
      </c>
      <c r="I1678" s="15">
        <v>31</v>
      </c>
      <c r="J1678" s="15">
        <v>72</v>
      </c>
      <c r="K1678" s="15" t="str">
        <f t="shared" si="26"/>
        <v>thenabaathseverance</v>
      </c>
      <c r="L1678" s="15" t="s">
        <v>13718</v>
      </c>
      <c r="M1678" s="15">
        <v>2</v>
      </c>
      <c r="N1678" s="15" t="s">
        <v>11223</v>
      </c>
      <c r="O1678" s="15"/>
      <c r="P1678" s="15"/>
      <c r="Q1678" s="15"/>
      <c r="R1678" s="15"/>
      <c r="S1678" s="15"/>
      <c r="T1678" s="15">
        <v>0</v>
      </c>
      <c r="U1678" s="15"/>
      <c r="V1678" s="15"/>
      <c r="W1678" s="15"/>
      <c r="X1678" s="15"/>
      <c r="Y1678" s="15"/>
      <c r="Z1678" s="15"/>
    </row>
    <row r="1679" spans="1:26" x14ac:dyDescent="0.25">
      <c r="A1679" s="15" t="s">
        <v>13671</v>
      </c>
      <c r="B1679" s="15">
        <v>1678</v>
      </c>
      <c r="C1679" s="15" t="s">
        <v>11277</v>
      </c>
      <c r="D1679" s="15" t="s">
        <v>11277</v>
      </c>
      <c r="E1679" s="15" t="s">
        <v>102</v>
      </c>
      <c r="F1679" s="15" t="s">
        <v>2165</v>
      </c>
      <c r="G1679" s="15" t="s">
        <v>13724</v>
      </c>
      <c r="H1679" s="15">
        <v>31</v>
      </c>
      <c r="I1679" s="15">
        <v>31</v>
      </c>
      <c r="J1679" s="15">
        <v>73</v>
      </c>
      <c r="K1679" s="15" t="str">
        <f t="shared" si="26"/>
        <v>thenabaathseverance</v>
      </c>
      <c r="L1679" s="15" t="s">
        <v>13735</v>
      </c>
      <c r="M1679" s="15">
        <v>2</v>
      </c>
      <c r="N1679" s="15" t="s">
        <v>11223</v>
      </c>
      <c r="O1679" s="15"/>
      <c r="P1679" s="15"/>
      <c r="Q1679" s="15" t="s">
        <v>13726</v>
      </c>
      <c r="R1679" s="15"/>
      <c r="S1679" s="15"/>
      <c r="T1679" s="15">
        <v>0</v>
      </c>
      <c r="U1679" s="15"/>
      <c r="V1679" s="15"/>
      <c r="W1679" s="15"/>
      <c r="X1679" s="15"/>
      <c r="Y1679" s="15"/>
      <c r="Z1679" s="15"/>
    </row>
    <row r="1680" spans="1:26" x14ac:dyDescent="0.25">
      <c r="A1680" s="15" t="s">
        <v>13673</v>
      </c>
      <c r="B1680" s="15">
        <v>1679</v>
      </c>
      <c r="C1680" s="15" t="s">
        <v>11277</v>
      </c>
      <c r="D1680" s="15" t="s">
        <v>11277</v>
      </c>
      <c r="E1680" s="15" t="s">
        <v>102</v>
      </c>
      <c r="F1680" s="15" t="s">
        <v>2165</v>
      </c>
      <c r="G1680" s="15" t="s">
        <v>13734</v>
      </c>
      <c r="H1680" s="15">
        <v>31</v>
      </c>
      <c r="I1680" s="15">
        <v>31</v>
      </c>
      <c r="J1680" s="15">
        <v>78</v>
      </c>
      <c r="K1680" s="15" t="str">
        <f t="shared" si="26"/>
        <v>thenabaathseverance</v>
      </c>
      <c r="L1680" s="15" t="s">
        <v>13735</v>
      </c>
      <c r="M1680" s="15">
        <v>3</v>
      </c>
      <c r="N1680" s="15" t="s">
        <v>11223</v>
      </c>
      <c r="O1680" s="15"/>
      <c r="P1680" s="15"/>
      <c r="Q1680" s="15"/>
      <c r="R1680" s="15"/>
      <c r="S1680" s="15"/>
      <c r="T1680" s="15">
        <v>0</v>
      </c>
      <c r="U1680" s="15"/>
      <c r="V1680" s="15"/>
      <c r="W1680" s="15"/>
      <c r="X1680" s="15"/>
      <c r="Y1680" s="15"/>
      <c r="Z1680" s="15"/>
    </row>
    <row r="1681" spans="1:26" x14ac:dyDescent="0.25">
      <c r="A1681" s="15" t="s">
        <v>13676</v>
      </c>
      <c r="B1681" s="15">
        <v>1680</v>
      </c>
      <c r="C1681" s="15" t="s">
        <v>11277</v>
      </c>
      <c r="D1681" s="15" t="s">
        <v>11277</v>
      </c>
      <c r="E1681" s="15" t="s">
        <v>102</v>
      </c>
      <c r="F1681" s="15" t="s">
        <v>2165</v>
      </c>
      <c r="G1681" s="15" t="s">
        <v>13737</v>
      </c>
      <c r="H1681" s="15">
        <v>31</v>
      </c>
      <c r="I1681" s="15">
        <v>31</v>
      </c>
      <c r="J1681" s="15">
        <v>74</v>
      </c>
      <c r="K1681" s="15" t="str">
        <f t="shared" si="26"/>
        <v>thenabaathseverance</v>
      </c>
      <c r="L1681" s="15" t="s">
        <v>11560</v>
      </c>
      <c r="M1681" s="15">
        <v>2</v>
      </c>
      <c r="N1681" s="15" t="s">
        <v>11223</v>
      </c>
      <c r="O1681" s="15"/>
      <c r="P1681" s="15"/>
      <c r="Q1681" s="15"/>
      <c r="R1681" s="15"/>
      <c r="S1681" s="15"/>
      <c r="T1681" s="15">
        <v>0</v>
      </c>
      <c r="U1681" s="15"/>
      <c r="V1681" s="15"/>
      <c r="W1681" s="15"/>
      <c r="X1681" s="15"/>
      <c r="Y1681" s="15"/>
      <c r="Z1681" s="15"/>
    </row>
    <row r="1682" spans="1:26" x14ac:dyDescent="0.25">
      <c r="A1682" s="15" t="s">
        <v>13678</v>
      </c>
      <c r="B1682" s="15">
        <v>1681</v>
      </c>
      <c r="C1682" s="15" t="s">
        <v>11277</v>
      </c>
      <c r="D1682" s="15" t="s">
        <v>11277</v>
      </c>
      <c r="E1682" s="15" t="s">
        <v>133</v>
      </c>
      <c r="F1682" s="15" t="s">
        <v>2165</v>
      </c>
      <c r="G1682" s="15" t="s">
        <v>13739</v>
      </c>
      <c r="H1682" s="15">
        <v>31</v>
      </c>
      <c r="I1682" s="15">
        <v>31</v>
      </c>
      <c r="J1682" s="15">
        <v>90</v>
      </c>
      <c r="K1682" s="15" t="str">
        <f t="shared" si="26"/>
        <v>thenabaathseverance</v>
      </c>
      <c r="L1682" s="15" t="s">
        <v>13560</v>
      </c>
      <c r="M1682" s="15">
        <v>1</v>
      </c>
      <c r="N1682" s="15" t="s">
        <v>11222</v>
      </c>
      <c r="O1682" s="15"/>
      <c r="P1682" s="15"/>
      <c r="Q1682" s="15"/>
      <c r="R1682" s="15"/>
      <c r="S1682" s="15"/>
      <c r="T1682" s="15">
        <v>0</v>
      </c>
      <c r="U1682" s="15"/>
      <c r="V1682" s="15"/>
      <c r="W1682" s="15"/>
      <c r="X1682" s="15"/>
      <c r="Y1682" s="15"/>
      <c r="Z1682" s="15"/>
    </row>
    <row r="1683" spans="1:26" x14ac:dyDescent="0.25">
      <c r="A1683" s="15" t="s">
        <v>13680</v>
      </c>
      <c r="B1683" s="15">
        <v>1682</v>
      </c>
      <c r="C1683" s="15" t="s">
        <v>11277</v>
      </c>
      <c r="D1683" s="15" t="s">
        <v>11277</v>
      </c>
      <c r="E1683" s="15" t="s">
        <v>102</v>
      </c>
      <c r="F1683" s="15" t="s">
        <v>2165</v>
      </c>
      <c r="G1683" s="15" t="s">
        <v>13741</v>
      </c>
      <c r="H1683" s="15">
        <v>31</v>
      </c>
      <c r="I1683" s="15">
        <v>31</v>
      </c>
      <c r="J1683" s="15">
        <v>80</v>
      </c>
      <c r="K1683" s="15" t="str">
        <f t="shared" si="26"/>
        <v>thenabaathseverance</v>
      </c>
      <c r="L1683" s="15" t="s">
        <v>14088</v>
      </c>
      <c r="M1683" s="15">
        <v>3</v>
      </c>
      <c r="N1683" s="15" t="s">
        <v>11223</v>
      </c>
      <c r="O1683" s="15" t="s">
        <v>11388</v>
      </c>
      <c r="P1683" s="15"/>
      <c r="Q1683" s="15" t="s">
        <v>13734</v>
      </c>
      <c r="R1683" s="15"/>
      <c r="S1683" s="15"/>
      <c r="T1683" s="15">
        <v>0</v>
      </c>
      <c r="U1683" s="15"/>
      <c r="V1683" s="15"/>
      <c r="W1683" s="15"/>
      <c r="X1683" s="15"/>
      <c r="Y1683" s="15"/>
      <c r="Z1683" s="15"/>
    </row>
    <row r="1684" spans="1:26" x14ac:dyDescent="0.25">
      <c r="A1684" s="15" t="s">
        <v>13682</v>
      </c>
      <c r="B1684" s="15">
        <v>1683</v>
      </c>
      <c r="C1684" s="15" t="s">
        <v>11277</v>
      </c>
      <c r="D1684" s="15" t="s">
        <v>11277</v>
      </c>
      <c r="E1684" s="15" t="s">
        <v>102</v>
      </c>
      <c r="F1684" s="15" t="s">
        <v>15213</v>
      </c>
      <c r="G1684" s="15" t="s">
        <v>13743</v>
      </c>
      <c r="H1684" s="15">
        <v>15</v>
      </c>
      <c r="I1684" s="15">
        <v>14</v>
      </c>
      <c r="J1684" s="15">
        <v>76</v>
      </c>
      <c r="K1684" s="15" t="str">
        <f t="shared" si="26"/>
        <v>thehillsofamber</v>
      </c>
      <c r="L1684" s="15" t="s">
        <v>13718</v>
      </c>
      <c r="M1684" s="15">
        <v>1</v>
      </c>
      <c r="N1684" s="15" t="s">
        <v>11222</v>
      </c>
      <c r="O1684" s="15"/>
      <c r="P1684" s="15"/>
      <c r="Q1684" s="15"/>
      <c r="R1684" s="15"/>
      <c r="S1684" s="15"/>
      <c r="T1684" s="15">
        <v>0</v>
      </c>
      <c r="U1684" s="15"/>
      <c r="V1684" s="15"/>
      <c r="W1684" s="15"/>
      <c r="X1684" s="15"/>
      <c r="Y1684" s="15"/>
      <c r="Z1684" s="15"/>
    </row>
    <row r="1685" spans="1:26" x14ac:dyDescent="0.25">
      <c r="A1685" s="15" t="s">
        <v>13684</v>
      </c>
      <c r="B1685" s="15">
        <v>1684</v>
      </c>
      <c r="C1685" s="15" t="s">
        <v>11277</v>
      </c>
      <c r="D1685" s="15" t="s">
        <v>11277</v>
      </c>
      <c r="E1685" s="15" t="s">
        <v>102</v>
      </c>
      <c r="F1685" s="15" t="s">
        <v>15213</v>
      </c>
      <c r="G1685" s="15" t="s">
        <v>13720</v>
      </c>
      <c r="H1685" s="15">
        <v>15</v>
      </c>
      <c r="I1685" s="15">
        <v>14</v>
      </c>
      <c r="J1685" s="15">
        <v>72</v>
      </c>
      <c r="K1685" s="15" t="str">
        <f t="shared" si="26"/>
        <v>thehillsofamber</v>
      </c>
      <c r="L1685" s="15" t="s">
        <v>13718</v>
      </c>
      <c r="M1685" s="15">
        <v>1</v>
      </c>
      <c r="N1685" s="15" t="s">
        <v>11222</v>
      </c>
      <c r="O1685" s="15"/>
      <c r="P1685" s="15"/>
      <c r="Q1685" s="15" t="s">
        <v>13726</v>
      </c>
      <c r="R1685" s="15"/>
      <c r="S1685" s="15"/>
      <c r="T1685" s="15">
        <v>0</v>
      </c>
      <c r="U1685" s="15"/>
      <c r="V1685" s="15"/>
      <c r="W1685" s="15"/>
      <c r="X1685" s="15"/>
      <c r="Y1685" s="15"/>
      <c r="Z1685" s="15"/>
    </row>
    <row r="1686" spans="1:26" x14ac:dyDescent="0.25">
      <c r="A1686" s="15" t="s">
        <v>13686</v>
      </c>
      <c r="B1686" s="15">
        <v>1685</v>
      </c>
      <c r="C1686" s="15" t="s">
        <v>11277</v>
      </c>
      <c r="D1686" s="15" t="s">
        <v>11277</v>
      </c>
      <c r="E1686" s="15" t="s">
        <v>102</v>
      </c>
      <c r="F1686" s="15" t="s">
        <v>15213</v>
      </c>
      <c r="G1686" s="15" t="s">
        <v>13726</v>
      </c>
      <c r="H1686" s="15">
        <v>15</v>
      </c>
      <c r="I1686" s="15">
        <v>14</v>
      </c>
      <c r="J1686" s="15">
        <v>73</v>
      </c>
      <c r="K1686" s="15" t="str">
        <f t="shared" si="26"/>
        <v>thehillsofamber</v>
      </c>
      <c r="L1686" s="15" t="s">
        <v>13718</v>
      </c>
      <c r="M1686" s="15">
        <v>1</v>
      </c>
      <c r="N1686" s="15" t="s">
        <v>11222</v>
      </c>
      <c r="O1686" s="15"/>
      <c r="P1686" s="15"/>
      <c r="Q1686" s="15"/>
      <c r="R1686" s="15"/>
      <c r="S1686" s="15"/>
      <c r="T1686" s="15">
        <v>0</v>
      </c>
      <c r="U1686" s="15"/>
      <c r="V1686" s="15"/>
      <c r="W1686" s="15"/>
      <c r="X1686" s="15"/>
      <c r="Y1686" s="15"/>
      <c r="Z1686" s="15"/>
    </row>
    <row r="1687" spans="1:26" x14ac:dyDescent="0.25">
      <c r="A1687" s="15" t="s">
        <v>13688</v>
      </c>
      <c r="B1687" s="15">
        <v>1686</v>
      </c>
      <c r="C1687" s="15" t="s">
        <v>11277</v>
      </c>
      <c r="D1687" s="15" t="s">
        <v>11277</v>
      </c>
      <c r="E1687" s="15" t="s">
        <v>102</v>
      </c>
      <c r="F1687" s="15" t="s">
        <v>15213</v>
      </c>
      <c r="G1687" s="15" t="s">
        <v>13745</v>
      </c>
      <c r="H1687" s="15">
        <v>15</v>
      </c>
      <c r="I1687" s="15">
        <v>14</v>
      </c>
      <c r="J1687" s="15">
        <v>77</v>
      </c>
      <c r="K1687" s="15" t="str">
        <f t="shared" si="26"/>
        <v>thehillsofamber</v>
      </c>
      <c r="L1687" s="15" t="s">
        <v>14088</v>
      </c>
      <c r="M1687" s="15">
        <v>2</v>
      </c>
      <c r="N1687" s="15" t="s">
        <v>11223</v>
      </c>
      <c r="O1687" s="15"/>
      <c r="P1687" s="15"/>
      <c r="Q1687" s="15" t="s">
        <v>13726</v>
      </c>
      <c r="R1687" s="15"/>
      <c r="S1687" s="15"/>
      <c r="T1687" s="15">
        <v>0</v>
      </c>
      <c r="U1687" s="15"/>
      <c r="V1687" s="15"/>
      <c r="W1687" s="15"/>
      <c r="X1687" s="15"/>
      <c r="Y1687" s="15"/>
      <c r="Z1687" s="15"/>
    </row>
    <row r="1688" spans="1:26" x14ac:dyDescent="0.25">
      <c r="A1688" s="15" t="s">
        <v>13690</v>
      </c>
      <c r="B1688" s="15">
        <v>1687</v>
      </c>
      <c r="C1688" s="15" t="s">
        <v>11277</v>
      </c>
      <c r="D1688" s="15" t="s">
        <v>11277</v>
      </c>
      <c r="E1688" s="15" t="s">
        <v>102</v>
      </c>
      <c r="F1688" s="15" t="s">
        <v>15213</v>
      </c>
      <c r="G1688" s="15" t="s">
        <v>13747</v>
      </c>
      <c r="H1688" s="15">
        <v>15</v>
      </c>
      <c r="I1688" s="15">
        <v>14</v>
      </c>
      <c r="J1688" s="15">
        <v>78</v>
      </c>
      <c r="K1688" s="15" t="str">
        <f t="shared" si="26"/>
        <v>thehillsofamber</v>
      </c>
      <c r="L1688" s="15" t="s">
        <v>13718</v>
      </c>
      <c r="M1688" s="15">
        <v>2</v>
      </c>
      <c r="N1688" s="15" t="s">
        <v>11223</v>
      </c>
      <c r="O1688" s="15"/>
      <c r="P1688" s="15"/>
      <c r="Q1688" s="15"/>
      <c r="R1688" s="15"/>
      <c r="S1688" s="15"/>
      <c r="T1688" s="15">
        <v>0</v>
      </c>
      <c r="U1688" s="15"/>
      <c r="V1688" s="15"/>
      <c r="W1688" s="15"/>
      <c r="X1688" s="15"/>
      <c r="Y1688" s="15"/>
      <c r="Z1688" s="15"/>
    </row>
    <row r="1689" spans="1:26" x14ac:dyDescent="0.25">
      <c r="A1689" s="15" t="s">
        <v>13692</v>
      </c>
      <c r="B1689" s="15">
        <v>1688</v>
      </c>
      <c r="C1689" s="15" t="s">
        <v>11277</v>
      </c>
      <c r="D1689" s="15" t="s">
        <v>11277</v>
      </c>
      <c r="E1689" s="15" t="s">
        <v>102</v>
      </c>
      <c r="F1689" s="15" t="s">
        <v>15213</v>
      </c>
      <c r="G1689" s="15" t="s">
        <v>13749</v>
      </c>
      <c r="H1689" s="15">
        <v>15</v>
      </c>
      <c r="I1689" s="15">
        <v>14</v>
      </c>
      <c r="J1689" s="15">
        <v>80</v>
      </c>
      <c r="K1689" s="15" t="str">
        <f t="shared" si="26"/>
        <v>thehillsofamber</v>
      </c>
      <c r="L1689" s="15" t="s">
        <v>14088</v>
      </c>
      <c r="M1689" s="15">
        <v>3</v>
      </c>
      <c r="N1689" s="15" t="s">
        <v>11223</v>
      </c>
      <c r="O1689" s="15" t="s">
        <v>14018</v>
      </c>
      <c r="P1689" s="15"/>
      <c r="Q1689" s="15" t="s">
        <v>13726</v>
      </c>
      <c r="R1689" s="15"/>
      <c r="S1689" s="15"/>
      <c r="T1689" s="15">
        <v>0</v>
      </c>
      <c r="U1689" s="15" t="s">
        <v>5893</v>
      </c>
      <c r="V1689" s="15" t="s">
        <v>5892</v>
      </c>
      <c r="W1689" s="15" t="s">
        <v>6054</v>
      </c>
      <c r="X1689" s="15"/>
      <c r="Y1689" s="15"/>
      <c r="Z1689" s="15"/>
    </row>
    <row r="1690" spans="1:26" x14ac:dyDescent="0.25">
      <c r="A1690" s="15" t="s">
        <v>13694</v>
      </c>
      <c r="B1690" s="15">
        <v>1689</v>
      </c>
      <c r="C1690" s="15" t="s">
        <v>11277</v>
      </c>
      <c r="D1690" s="15" t="s">
        <v>11277</v>
      </c>
      <c r="E1690" s="15" t="s">
        <v>102</v>
      </c>
      <c r="F1690" s="15" t="s">
        <v>15213</v>
      </c>
      <c r="G1690" s="15" t="s">
        <v>13751</v>
      </c>
      <c r="H1690" s="15">
        <v>15</v>
      </c>
      <c r="I1690" s="15">
        <v>14</v>
      </c>
      <c r="J1690" s="15">
        <v>80</v>
      </c>
      <c r="K1690" s="15" t="str">
        <f t="shared" si="26"/>
        <v>thehillsofamber</v>
      </c>
      <c r="L1690" s="15" t="s">
        <v>14088</v>
      </c>
      <c r="M1690" s="15">
        <v>3</v>
      </c>
      <c r="N1690" s="15" t="s">
        <v>11223</v>
      </c>
      <c r="O1690" s="15" t="s">
        <v>2819</v>
      </c>
      <c r="P1690" s="15"/>
      <c r="Q1690" s="15" t="s">
        <v>13726</v>
      </c>
      <c r="R1690" s="15"/>
      <c r="S1690" s="15"/>
      <c r="T1690" s="15">
        <v>0</v>
      </c>
      <c r="U1690" s="15" t="s">
        <v>5893</v>
      </c>
      <c r="V1690" s="15"/>
      <c r="W1690" s="15"/>
      <c r="X1690" s="15"/>
      <c r="Y1690" s="15"/>
      <c r="Z1690" s="15"/>
    </row>
    <row r="1691" spans="1:26" x14ac:dyDescent="0.25">
      <c r="A1691" s="15" t="s">
        <v>13696</v>
      </c>
      <c r="B1691" s="15">
        <v>1690</v>
      </c>
      <c r="C1691" s="15" t="s">
        <v>11277</v>
      </c>
      <c r="D1691" s="15" t="s">
        <v>11277</v>
      </c>
      <c r="E1691" s="15" t="s">
        <v>102</v>
      </c>
      <c r="F1691" s="15" t="s">
        <v>2190</v>
      </c>
      <c r="G1691" s="15" t="s">
        <v>13753</v>
      </c>
      <c r="H1691" s="15">
        <v>4</v>
      </c>
      <c r="I1691" s="15">
        <v>22</v>
      </c>
      <c r="J1691" s="15">
        <v>73</v>
      </c>
      <c r="K1691" s="15" t="str">
        <f t="shared" si="26"/>
        <v>handmirrorlake</v>
      </c>
      <c r="L1691" s="15" t="s">
        <v>13537</v>
      </c>
      <c r="M1691" s="15">
        <v>1</v>
      </c>
      <c r="N1691" s="15" t="s">
        <v>11222</v>
      </c>
      <c r="O1691" s="15"/>
      <c r="P1691" s="15"/>
      <c r="Q1691" s="15"/>
      <c r="R1691" s="15"/>
      <c r="S1691" s="15"/>
      <c r="T1691" s="15">
        <v>0</v>
      </c>
      <c r="U1691" s="15"/>
      <c r="V1691" s="15"/>
      <c r="W1691" s="15"/>
      <c r="X1691" s="15"/>
      <c r="Y1691" s="15"/>
      <c r="Z1691" s="15"/>
    </row>
    <row r="1692" spans="1:26" x14ac:dyDescent="0.25">
      <c r="A1692" s="15" t="s">
        <v>13698</v>
      </c>
      <c r="B1692" s="15">
        <v>1691</v>
      </c>
      <c r="C1692" s="15" t="s">
        <v>11277</v>
      </c>
      <c r="D1692" s="15" t="s">
        <v>11277</v>
      </c>
      <c r="E1692" s="15" t="s">
        <v>102</v>
      </c>
      <c r="F1692" s="15" t="s">
        <v>2190</v>
      </c>
      <c r="G1692" s="15" t="s">
        <v>13755</v>
      </c>
      <c r="H1692" s="15">
        <v>4</v>
      </c>
      <c r="I1692" s="15">
        <v>22</v>
      </c>
      <c r="J1692" s="15">
        <v>73</v>
      </c>
      <c r="K1692" s="15" t="str">
        <f t="shared" si="26"/>
        <v>handmirrorlake</v>
      </c>
      <c r="L1692" s="15" t="s">
        <v>13560</v>
      </c>
      <c r="M1692" s="15">
        <v>1</v>
      </c>
      <c r="N1692" s="15" t="s">
        <v>11222</v>
      </c>
      <c r="O1692" s="15"/>
      <c r="P1692" s="15"/>
      <c r="Q1692" s="15"/>
      <c r="R1692" s="15"/>
      <c r="S1692" s="15"/>
      <c r="T1692" s="15">
        <v>0</v>
      </c>
      <c r="U1692" s="15"/>
      <c r="V1692" s="15"/>
      <c r="W1692" s="15"/>
      <c r="X1692" s="15"/>
      <c r="Y1692" s="15"/>
      <c r="Z1692" s="15"/>
    </row>
    <row r="1693" spans="1:26" x14ac:dyDescent="0.25">
      <c r="A1693" s="15" t="s">
        <v>13700</v>
      </c>
      <c r="B1693" s="15">
        <v>1692</v>
      </c>
      <c r="C1693" s="15" t="s">
        <v>11277</v>
      </c>
      <c r="D1693" s="15" t="s">
        <v>11277</v>
      </c>
      <c r="E1693" s="15" t="s">
        <v>102</v>
      </c>
      <c r="F1693" s="15" t="s">
        <v>2190</v>
      </c>
      <c r="G1693" s="15" t="s">
        <v>13757</v>
      </c>
      <c r="H1693" s="15">
        <v>4</v>
      </c>
      <c r="I1693" s="15">
        <v>22</v>
      </c>
      <c r="J1693" s="15">
        <v>74</v>
      </c>
      <c r="K1693" s="15" t="str">
        <f t="shared" si="26"/>
        <v>handmirrorlake</v>
      </c>
      <c r="L1693" s="15" t="s">
        <v>13524</v>
      </c>
      <c r="M1693" s="15">
        <v>1</v>
      </c>
      <c r="N1693" s="15" t="s">
        <v>11222</v>
      </c>
      <c r="O1693" s="15"/>
      <c r="P1693" s="15"/>
      <c r="Q1693" s="15"/>
      <c r="R1693" s="15"/>
      <c r="S1693" s="15"/>
      <c r="T1693" s="15">
        <v>0</v>
      </c>
      <c r="U1693" s="15"/>
      <c r="V1693" s="15"/>
      <c r="W1693" s="15"/>
      <c r="X1693" s="15"/>
      <c r="Y1693" s="15"/>
      <c r="Z1693" s="15"/>
    </row>
    <row r="1694" spans="1:26" x14ac:dyDescent="0.25">
      <c r="A1694" s="15" t="s">
        <v>13702</v>
      </c>
      <c r="B1694" s="15">
        <v>1693</v>
      </c>
      <c r="C1694" s="15" t="s">
        <v>11277</v>
      </c>
      <c r="D1694" s="15" t="s">
        <v>11277</v>
      </c>
      <c r="E1694" s="15" t="s">
        <v>102</v>
      </c>
      <c r="F1694" s="15" t="s">
        <v>2190</v>
      </c>
      <c r="G1694" s="15" t="s">
        <v>13759</v>
      </c>
      <c r="H1694" s="15">
        <v>4</v>
      </c>
      <c r="I1694" s="15">
        <v>22</v>
      </c>
      <c r="J1694" s="15">
        <v>75</v>
      </c>
      <c r="K1694" s="15" t="str">
        <f t="shared" si="26"/>
        <v>handmirrorlake</v>
      </c>
      <c r="L1694" s="15" t="s">
        <v>13524</v>
      </c>
      <c r="M1694" s="15">
        <v>1</v>
      </c>
      <c r="N1694" s="15" t="s">
        <v>11222</v>
      </c>
      <c r="O1694" s="15"/>
      <c r="P1694" s="15"/>
      <c r="Q1694" s="15"/>
      <c r="R1694" s="15"/>
      <c r="S1694" s="15"/>
      <c r="T1694" s="15">
        <v>0</v>
      </c>
      <c r="U1694" s="15"/>
      <c r="V1694" s="15"/>
      <c r="W1694" s="15"/>
      <c r="X1694" s="15"/>
      <c r="Y1694" s="15"/>
      <c r="Z1694" s="15"/>
    </row>
    <row r="1695" spans="1:26" x14ac:dyDescent="0.25">
      <c r="A1695" s="15" t="s">
        <v>13704</v>
      </c>
      <c r="B1695" s="15">
        <v>1694</v>
      </c>
      <c r="C1695" s="15" t="s">
        <v>11277</v>
      </c>
      <c r="D1695" s="15" t="s">
        <v>11277</v>
      </c>
      <c r="E1695" s="15" t="s">
        <v>102</v>
      </c>
      <c r="F1695" s="15" t="s">
        <v>2190</v>
      </c>
      <c r="G1695" s="15" t="s">
        <v>13761</v>
      </c>
      <c r="H1695" s="15">
        <v>4</v>
      </c>
      <c r="I1695" s="15">
        <v>22</v>
      </c>
      <c r="J1695" s="15">
        <v>73</v>
      </c>
      <c r="K1695" s="15" t="str">
        <f t="shared" si="26"/>
        <v>handmirrorlake</v>
      </c>
      <c r="L1695" s="15" t="s">
        <v>11560</v>
      </c>
      <c r="M1695" s="15">
        <v>1</v>
      </c>
      <c r="N1695" s="15" t="s">
        <v>11222</v>
      </c>
      <c r="O1695" s="15"/>
      <c r="P1695" s="15"/>
      <c r="Q1695" s="15"/>
      <c r="R1695" s="15"/>
      <c r="S1695" s="15"/>
      <c r="T1695" s="15">
        <v>0</v>
      </c>
      <c r="U1695" s="15"/>
      <c r="V1695" s="15"/>
      <c r="W1695" s="15"/>
      <c r="X1695" s="15"/>
      <c r="Y1695" s="15"/>
      <c r="Z1695" s="15"/>
    </row>
    <row r="1696" spans="1:26" x14ac:dyDescent="0.25">
      <c r="A1696" s="15" t="s">
        <v>13706</v>
      </c>
      <c r="B1696" s="15">
        <v>1695</v>
      </c>
      <c r="C1696" s="15" t="s">
        <v>11277</v>
      </c>
      <c r="D1696" s="15" t="s">
        <v>11277</v>
      </c>
      <c r="E1696" s="15" t="s">
        <v>133</v>
      </c>
      <c r="F1696" s="15" t="s">
        <v>2190</v>
      </c>
      <c r="G1696" s="15" t="s">
        <v>13763</v>
      </c>
      <c r="H1696" s="15">
        <v>4</v>
      </c>
      <c r="I1696" s="15">
        <v>22</v>
      </c>
      <c r="J1696" s="15">
        <v>90</v>
      </c>
      <c r="K1696" s="15" t="str">
        <f t="shared" si="26"/>
        <v>handmirrorlake</v>
      </c>
      <c r="L1696" s="15" t="s">
        <v>13560</v>
      </c>
      <c r="M1696" s="15">
        <v>1</v>
      </c>
      <c r="N1696" s="15" t="s">
        <v>11222</v>
      </c>
      <c r="O1696" s="15"/>
      <c r="P1696" s="15"/>
      <c r="Q1696" s="15"/>
      <c r="R1696" s="15"/>
      <c r="S1696" s="15"/>
      <c r="T1696" s="15">
        <v>0</v>
      </c>
      <c r="U1696" s="15"/>
      <c r="V1696" s="15"/>
      <c r="W1696" s="15"/>
      <c r="X1696" s="15"/>
      <c r="Y1696" s="15"/>
      <c r="Z1696" s="15"/>
    </row>
    <row r="1697" spans="1:26" x14ac:dyDescent="0.25">
      <c r="A1697" s="15" t="s">
        <v>13708</v>
      </c>
      <c r="B1697" s="15">
        <v>1696</v>
      </c>
      <c r="C1697" s="15" t="s">
        <v>11277</v>
      </c>
      <c r="D1697" s="15" t="s">
        <v>11277</v>
      </c>
      <c r="E1697" s="15" t="s">
        <v>102</v>
      </c>
      <c r="F1697" s="15" t="s">
        <v>2190</v>
      </c>
      <c r="G1697" s="15" t="s">
        <v>13765</v>
      </c>
      <c r="H1697" s="15">
        <v>4</v>
      </c>
      <c r="I1697" s="15">
        <v>22</v>
      </c>
      <c r="J1697" s="15">
        <v>80</v>
      </c>
      <c r="K1697" s="15" t="str">
        <f t="shared" si="26"/>
        <v>handmirrorlake</v>
      </c>
      <c r="L1697" s="15" t="s">
        <v>13524</v>
      </c>
      <c r="M1697" s="15">
        <v>3</v>
      </c>
      <c r="N1697" s="15" t="s">
        <v>11223</v>
      </c>
      <c r="O1697" s="15" t="s">
        <v>11387</v>
      </c>
      <c r="P1697" s="15"/>
      <c r="Q1697" s="15"/>
      <c r="R1697" s="15"/>
      <c r="S1697" s="15"/>
      <c r="T1697" s="15">
        <v>2</v>
      </c>
      <c r="U1697" s="15" t="s">
        <v>5900</v>
      </c>
      <c r="V1697" s="15"/>
      <c r="W1697" s="15"/>
      <c r="X1697" s="15"/>
      <c r="Y1697" s="15"/>
      <c r="Z1697" s="15"/>
    </row>
    <row r="1698" spans="1:26" x14ac:dyDescent="0.25">
      <c r="A1698" s="15" t="s">
        <v>13710</v>
      </c>
      <c r="B1698" s="15">
        <v>1697</v>
      </c>
      <c r="C1698" s="15" t="s">
        <v>11277</v>
      </c>
      <c r="D1698" s="15" t="s">
        <v>11277</v>
      </c>
      <c r="E1698" s="15" t="s">
        <v>102</v>
      </c>
      <c r="F1698" s="15" t="s">
        <v>2196</v>
      </c>
      <c r="G1698" s="15" t="s">
        <v>13753</v>
      </c>
      <c r="H1698" s="15">
        <v>21</v>
      </c>
      <c r="I1698" s="15">
        <v>22</v>
      </c>
      <c r="J1698" s="15">
        <v>73</v>
      </c>
      <c r="K1698" s="15" t="str">
        <f t="shared" si="26"/>
        <v>longmirrorlake</v>
      </c>
      <c r="L1698" s="15" t="s">
        <v>13537</v>
      </c>
      <c r="M1698" s="15">
        <v>1</v>
      </c>
      <c r="N1698" s="15" t="s">
        <v>11222</v>
      </c>
      <c r="O1698" s="15"/>
      <c r="P1698" s="15"/>
      <c r="Q1698" s="15"/>
      <c r="R1698" s="15"/>
      <c r="S1698" s="15"/>
      <c r="T1698" s="15">
        <v>0</v>
      </c>
      <c r="U1698" s="15"/>
      <c r="V1698" s="15"/>
      <c r="W1698" s="15"/>
      <c r="X1698" s="15"/>
      <c r="Y1698" s="15"/>
      <c r="Z1698" s="15"/>
    </row>
    <row r="1699" spans="1:26" x14ac:dyDescent="0.25">
      <c r="A1699" s="15" t="s">
        <v>13712</v>
      </c>
      <c r="B1699" s="15">
        <v>1698</v>
      </c>
      <c r="C1699" s="15" t="s">
        <v>11277</v>
      </c>
      <c r="D1699" s="15" t="s">
        <v>11277</v>
      </c>
      <c r="E1699" s="15" t="s">
        <v>102</v>
      </c>
      <c r="F1699" s="15" t="s">
        <v>2196</v>
      </c>
      <c r="G1699" s="15" t="s">
        <v>13767</v>
      </c>
      <c r="H1699" s="15">
        <v>21</v>
      </c>
      <c r="I1699" s="15">
        <v>22</v>
      </c>
      <c r="J1699" s="15">
        <v>73</v>
      </c>
      <c r="K1699" s="15" t="str">
        <f t="shared" si="26"/>
        <v>longmirrorlake</v>
      </c>
      <c r="L1699" s="15" t="s">
        <v>13537</v>
      </c>
      <c r="M1699" s="15">
        <v>1</v>
      </c>
      <c r="N1699" s="15" t="s">
        <v>11222</v>
      </c>
      <c r="O1699" s="15"/>
      <c r="P1699" s="15"/>
      <c r="Q1699" s="15"/>
      <c r="R1699" s="15"/>
      <c r="S1699" s="15"/>
      <c r="T1699" s="15">
        <v>0</v>
      </c>
      <c r="U1699" s="15"/>
      <c r="V1699" s="15"/>
      <c r="W1699" s="15"/>
      <c r="X1699" s="15"/>
      <c r="Y1699" s="15"/>
      <c r="Z1699" s="15"/>
    </row>
    <row r="1700" spans="1:26" x14ac:dyDescent="0.25">
      <c r="A1700" s="15" t="s">
        <v>13714</v>
      </c>
      <c r="B1700" s="15">
        <v>1699</v>
      </c>
      <c r="C1700" s="15" t="s">
        <v>11277</v>
      </c>
      <c r="D1700" s="15" t="s">
        <v>11277</v>
      </c>
      <c r="E1700" s="15" t="s">
        <v>102</v>
      </c>
      <c r="F1700" s="15" t="s">
        <v>2196</v>
      </c>
      <c r="G1700" s="15" t="s">
        <v>13769</v>
      </c>
      <c r="H1700" s="15">
        <v>21</v>
      </c>
      <c r="I1700" s="15">
        <v>22</v>
      </c>
      <c r="J1700" s="15">
        <v>73</v>
      </c>
      <c r="K1700" s="15" t="str">
        <f t="shared" si="26"/>
        <v>longmirrorlake</v>
      </c>
      <c r="L1700" s="15" t="s">
        <v>13524</v>
      </c>
      <c r="M1700" s="15">
        <v>1</v>
      </c>
      <c r="N1700" s="15" t="s">
        <v>11222</v>
      </c>
      <c r="O1700" s="15"/>
      <c r="P1700" s="15"/>
      <c r="Q1700" s="15"/>
      <c r="R1700" s="15"/>
      <c r="S1700" s="15"/>
      <c r="T1700" s="15">
        <v>0</v>
      </c>
      <c r="U1700" s="15"/>
      <c r="V1700" s="15"/>
      <c r="W1700" s="15"/>
      <c r="X1700" s="15"/>
      <c r="Y1700" s="15"/>
      <c r="Z1700" s="15"/>
    </row>
    <row r="1701" spans="1:26" x14ac:dyDescent="0.25">
      <c r="A1701" s="15" t="s">
        <v>13716</v>
      </c>
      <c r="B1701" s="15">
        <v>1700</v>
      </c>
      <c r="C1701" s="15" t="s">
        <v>11277</v>
      </c>
      <c r="D1701" s="15" t="s">
        <v>11277</v>
      </c>
      <c r="E1701" s="15" t="s">
        <v>102</v>
      </c>
      <c r="F1701" s="15" t="s">
        <v>2196</v>
      </c>
      <c r="G1701" s="15" t="s">
        <v>13771</v>
      </c>
      <c r="H1701" s="15">
        <v>21</v>
      </c>
      <c r="I1701" s="15">
        <v>22</v>
      </c>
      <c r="J1701" s="15">
        <v>74</v>
      </c>
      <c r="K1701" s="15" t="str">
        <f t="shared" si="26"/>
        <v>longmirrorlake</v>
      </c>
      <c r="L1701" s="15" t="s">
        <v>13521</v>
      </c>
      <c r="M1701" s="15">
        <v>1</v>
      </c>
      <c r="N1701" s="15" t="s">
        <v>11222</v>
      </c>
      <c r="O1701" s="15"/>
      <c r="P1701" s="15"/>
      <c r="Q1701" s="15"/>
      <c r="R1701" s="15"/>
      <c r="S1701" s="15"/>
      <c r="T1701" s="15">
        <v>0</v>
      </c>
      <c r="U1701" s="15"/>
      <c r="V1701" s="15"/>
      <c r="W1701" s="15"/>
      <c r="X1701" s="15"/>
      <c r="Y1701" s="15"/>
      <c r="Z1701" s="15"/>
    </row>
    <row r="1702" spans="1:26" x14ac:dyDescent="0.25">
      <c r="A1702" s="15" t="s">
        <v>13719</v>
      </c>
      <c r="B1702" s="15">
        <v>1701</v>
      </c>
      <c r="C1702" s="15" t="s">
        <v>11277</v>
      </c>
      <c r="D1702" s="15" t="s">
        <v>11277</v>
      </c>
      <c r="E1702" s="15" t="s">
        <v>102</v>
      </c>
      <c r="F1702" s="15" t="s">
        <v>2196</v>
      </c>
      <c r="G1702" s="15" t="s">
        <v>15214</v>
      </c>
      <c r="H1702" s="15">
        <v>21</v>
      </c>
      <c r="I1702" s="15">
        <v>22</v>
      </c>
      <c r="J1702" s="15">
        <v>74</v>
      </c>
      <c r="K1702" s="15" t="str">
        <f t="shared" si="26"/>
        <v>longmirrorlake</v>
      </c>
      <c r="L1702" s="15" t="s">
        <v>13521</v>
      </c>
      <c r="M1702" s="15">
        <v>1</v>
      </c>
      <c r="N1702" s="15" t="s">
        <v>11222</v>
      </c>
      <c r="O1702" s="15"/>
      <c r="P1702" s="15"/>
      <c r="Q1702" s="15"/>
      <c r="R1702" s="15"/>
      <c r="S1702" s="15"/>
      <c r="T1702" s="15">
        <v>0</v>
      </c>
      <c r="U1702" s="15"/>
      <c r="V1702" s="15"/>
      <c r="W1702" s="15"/>
      <c r="X1702" s="15"/>
      <c r="Y1702" s="15"/>
      <c r="Z1702" s="15"/>
    </row>
    <row r="1703" spans="1:26" x14ac:dyDescent="0.25">
      <c r="A1703" s="15" t="s">
        <v>13721</v>
      </c>
      <c r="B1703" s="15">
        <v>1702</v>
      </c>
      <c r="C1703" s="15" t="s">
        <v>11277</v>
      </c>
      <c r="D1703" s="15" t="s">
        <v>11277</v>
      </c>
      <c r="E1703" s="15" t="s">
        <v>102</v>
      </c>
      <c r="F1703" s="15" t="s">
        <v>2196</v>
      </c>
      <c r="G1703" s="15" t="s">
        <v>131</v>
      </c>
      <c r="H1703" s="15">
        <v>21</v>
      </c>
      <c r="I1703" s="15">
        <v>22</v>
      </c>
      <c r="J1703" s="15">
        <v>80</v>
      </c>
      <c r="K1703" s="15" t="str">
        <f t="shared" si="26"/>
        <v>longmirrorlake</v>
      </c>
      <c r="L1703" s="15" t="s">
        <v>13521</v>
      </c>
      <c r="M1703" s="15">
        <v>1</v>
      </c>
      <c r="N1703" s="15" t="s">
        <v>11222</v>
      </c>
      <c r="O1703" s="15"/>
      <c r="P1703" s="15"/>
      <c r="Q1703" s="15"/>
      <c r="R1703" s="15"/>
      <c r="S1703" s="15"/>
      <c r="T1703" s="15">
        <v>0</v>
      </c>
      <c r="U1703" s="15"/>
      <c r="V1703" s="15"/>
      <c r="W1703" s="15"/>
      <c r="X1703" s="15"/>
      <c r="Y1703" s="15"/>
      <c r="Z1703" s="15"/>
    </row>
    <row r="1704" spans="1:26" x14ac:dyDescent="0.25">
      <c r="A1704" s="15" t="s">
        <v>13723</v>
      </c>
      <c r="B1704" s="15">
        <v>1703</v>
      </c>
      <c r="C1704" s="15" t="s">
        <v>11277</v>
      </c>
      <c r="D1704" s="15" t="s">
        <v>11277</v>
      </c>
      <c r="E1704" s="15" t="s">
        <v>102</v>
      </c>
      <c r="F1704" s="15" t="s">
        <v>2196</v>
      </c>
      <c r="G1704" s="15" t="s">
        <v>13774</v>
      </c>
      <c r="H1704" s="15">
        <v>21</v>
      </c>
      <c r="I1704" s="15">
        <v>22</v>
      </c>
      <c r="J1704" s="15">
        <v>80</v>
      </c>
      <c r="K1704" s="15" t="str">
        <f t="shared" si="26"/>
        <v>longmirrorlake</v>
      </c>
      <c r="L1704" s="15" t="s">
        <v>13537</v>
      </c>
      <c r="M1704" s="15">
        <v>3</v>
      </c>
      <c r="N1704" s="15" t="s">
        <v>11222</v>
      </c>
      <c r="O1704" s="15" t="s">
        <v>2825</v>
      </c>
      <c r="P1704" s="15"/>
      <c r="Q1704" s="15"/>
      <c r="R1704" s="15"/>
      <c r="S1704" s="15"/>
      <c r="T1704" s="15">
        <v>0</v>
      </c>
      <c r="U1704" s="15"/>
      <c r="V1704" s="15"/>
      <c r="W1704" s="15"/>
      <c r="X1704" s="15"/>
      <c r="Y1704" s="15"/>
      <c r="Z1704" s="15"/>
    </row>
    <row r="1705" spans="1:26" x14ac:dyDescent="0.25">
      <c r="A1705" s="15" t="s">
        <v>13725</v>
      </c>
      <c r="B1705" s="15">
        <v>1704</v>
      </c>
      <c r="C1705" s="15" t="s">
        <v>11277</v>
      </c>
      <c r="D1705" s="15" t="s">
        <v>11277</v>
      </c>
      <c r="E1705" s="15" t="s">
        <v>102</v>
      </c>
      <c r="F1705" s="15" t="s">
        <v>2196</v>
      </c>
      <c r="G1705" s="15" t="s">
        <v>13776</v>
      </c>
      <c r="H1705" s="15">
        <v>21</v>
      </c>
      <c r="I1705" s="15">
        <v>22</v>
      </c>
      <c r="J1705" s="15">
        <v>80</v>
      </c>
      <c r="K1705" s="15" t="str">
        <f t="shared" si="26"/>
        <v>longmirrorlake</v>
      </c>
      <c r="L1705" s="15" t="s">
        <v>13537</v>
      </c>
      <c r="M1705" s="15">
        <v>3</v>
      </c>
      <c r="N1705" s="15" t="s">
        <v>11222</v>
      </c>
      <c r="O1705" s="15" t="s">
        <v>14075</v>
      </c>
      <c r="P1705" s="15"/>
      <c r="Q1705" s="15"/>
      <c r="R1705" s="15"/>
      <c r="S1705" s="15"/>
      <c r="T1705" s="15">
        <v>0</v>
      </c>
      <c r="U1705" s="15" t="s">
        <v>5982</v>
      </c>
      <c r="V1705" s="15"/>
      <c r="W1705" s="15"/>
      <c r="X1705" s="15" t="s">
        <v>5893</v>
      </c>
      <c r="Y1705" s="15"/>
      <c r="Z1705" s="15"/>
    </row>
    <row r="1706" spans="1:26" x14ac:dyDescent="0.25">
      <c r="A1706" s="15" t="s">
        <v>13727</v>
      </c>
      <c r="B1706" s="15">
        <v>1705</v>
      </c>
      <c r="C1706" s="15" t="s">
        <v>11277</v>
      </c>
      <c r="D1706" s="15" t="s">
        <v>11277</v>
      </c>
      <c r="E1706" s="15" t="s">
        <v>102</v>
      </c>
      <c r="F1706" s="15" t="s">
        <v>15215</v>
      </c>
      <c r="G1706" s="15" t="s">
        <v>13753</v>
      </c>
      <c r="H1706" s="15">
        <v>22</v>
      </c>
      <c r="I1706" s="15">
        <v>9</v>
      </c>
      <c r="J1706" s="15">
        <v>73</v>
      </c>
      <c r="K1706" s="15" t="str">
        <f t="shared" si="26"/>
        <v>thehaughtyone</v>
      </c>
      <c r="L1706" s="15" t="s">
        <v>13537</v>
      </c>
      <c r="M1706" s="15">
        <v>1</v>
      </c>
      <c r="N1706" s="15" t="s">
        <v>11222</v>
      </c>
      <c r="O1706" s="15"/>
      <c r="P1706" s="15"/>
      <c r="Q1706" s="15"/>
      <c r="R1706" s="15"/>
      <c r="S1706" s="15"/>
      <c r="T1706" s="15">
        <v>0</v>
      </c>
      <c r="U1706" s="15"/>
      <c r="V1706" s="15"/>
      <c r="W1706" s="15"/>
      <c r="X1706" s="15"/>
      <c r="Y1706" s="15"/>
      <c r="Z1706" s="15"/>
    </row>
    <row r="1707" spans="1:26" x14ac:dyDescent="0.25">
      <c r="A1707" s="15" t="s">
        <v>13729</v>
      </c>
      <c r="B1707" s="15">
        <v>1706</v>
      </c>
      <c r="C1707" s="15" t="s">
        <v>11277</v>
      </c>
      <c r="D1707" s="15" t="s">
        <v>11277</v>
      </c>
      <c r="E1707" s="15" t="s">
        <v>102</v>
      </c>
      <c r="F1707" s="15" t="s">
        <v>15215</v>
      </c>
      <c r="G1707" s="15" t="s">
        <v>13767</v>
      </c>
      <c r="H1707" s="15">
        <v>22</v>
      </c>
      <c r="I1707" s="15">
        <v>9</v>
      </c>
      <c r="J1707" s="15">
        <v>73</v>
      </c>
      <c r="K1707" s="15" t="str">
        <f t="shared" si="26"/>
        <v>thehaughtyone</v>
      </c>
      <c r="L1707" s="15" t="s">
        <v>13537</v>
      </c>
      <c r="M1707" s="15">
        <v>1</v>
      </c>
      <c r="N1707" s="15" t="s">
        <v>11222</v>
      </c>
      <c r="O1707" s="15"/>
      <c r="P1707" s="15"/>
      <c r="Q1707" s="15"/>
      <c r="R1707" s="15"/>
      <c r="S1707" s="15"/>
      <c r="T1707" s="15">
        <v>0</v>
      </c>
      <c r="U1707" s="15"/>
      <c r="V1707" s="15"/>
      <c r="W1707" s="15"/>
      <c r="X1707" s="15"/>
      <c r="Y1707" s="15"/>
      <c r="Z1707" s="15"/>
    </row>
    <row r="1708" spans="1:26" x14ac:dyDescent="0.25">
      <c r="A1708" s="15" t="s">
        <v>13731</v>
      </c>
      <c r="B1708" s="15">
        <v>1707</v>
      </c>
      <c r="C1708" s="15" t="s">
        <v>11277</v>
      </c>
      <c r="D1708" s="15" t="s">
        <v>11277</v>
      </c>
      <c r="E1708" s="15" t="s">
        <v>102</v>
      </c>
      <c r="F1708" s="15" t="s">
        <v>15215</v>
      </c>
      <c r="G1708" s="15" t="s">
        <v>13769</v>
      </c>
      <c r="H1708" s="15">
        <v>22</v>
      </c>
      <c r="I1708" s="15">
        <v>9</v>
      </c>
      <c r="J1708" s="15">
        <v>73</v>
      </c>
      <c r="K1708" s="15" t="str">
        <f t="shared" si="26"/>
        <v>thehaughtyone</v>
      </c>
      <c r="L1708" s="15" t="s">
        <v>13537</v>
      </c>
      <c r="M1708" s="15">
        <v>1</v>
      </c>
      <c r="N1708" s="15" t="s">
        <v>11222</v>
      </c>
      <c r="O1708" s="15"/>
      <c r="P1708" s="15"/>
      <c r="Q1708" s="15"/>
      <c r="R1708" s="15"/>
      <c r="S1708" s="15"/>
      <c r="T1708" s="15">
        <v>0</v>
      </c>
      <c r="U1708" s="15"/>
      <c r="V1708" s="15"/>
      <c r="W1708" s="15"/>
      <c r="X1708" s="15"/>
      <c r="Y1708" s="15"/>
      <c r="Z1708" s="15"/>
    </row>
    <row r="1709" spans="1:26" x14ac:dyDescent="0.25">
      <c r="A1709" s="15" t="s">
        <v>13733</v>
      </c>
      <c r="B1709" s="15">
        <v>1708</v>
      </c>
      <c r="C1709" s="15" t="s">
        <v>11277</v>
      </c>
      <c r="D1709" s="15" t="s">
        <v>11277</v>
      </c>
      <c r="E1709" s="15" t="s">
        <v>102</v>
      </c>
      <c r="F1709" s="15" t="s">
        <v>15215</v>
      </c>
      <c r="G1709" s="15" t="s">
        <v>13778</v>
      </c>
      <c r="H1709" s="15">
        <v>22</v>
      </c>
      <c r="I1709" s="15">
        <v>9</v>
      </c>
      <c r="J1709" s="15">
        <v>74</v>
      </c>
      <c r="K1709" s="15" t="str">
        <f t="shared" si="26"/>
        <v>thehaughtyone</v>
      </c>
      <c r="L1709" s="15" t="s">
        <v>13524</v>
      </c>
      <c r="M1709" s="15">
        <v>1</v>
      </c>
      <c r="N1709" s="15" t="s">
        <v>11222</v>
      </c>
      <c r="O1709" s="15"/>
      <c r="P1709" s="15"/>
      <c r="Q1709" s="15"/>
      <c r="R1709" s="15"/>
      <c r="S1709" s="15"/>
      <c r="T1709" s="15">
        <v>0</v>
      </c>
      <c r="U1709" s="15"/>
      <c r="V1709" s="15"/>
      <c r="W1709" s="15"/>
      <c r="X1709" s="15"/>
      <c r="Y1709" s="15"/>
      <c r="Z1709" s="15"/>
    </row>
    <row r="1710" spans="1:26" x14ac:dyDescent="0.25">
      <c r="A1710" s="15" t="s">
        <v>13736</v>
      </c>
      <c r="B1710" s="15">
        <v>1709</v>
      </c>
      <c r="C1710" s="15" t="s">
        <v>11277</v>
      </c>
      <c r="D1710" s="15" t="s">
        <v>11277</v>
      </c>
      <c r="E1710" s="15" t="s">
        <v>102</v>
      </c>
      <c r="F1710" s="15" t="s">
        <v>15215</v>
      </c>
      <c r="G1710" s="15" t="s">
        <v>13780</v>
      </c>
      <c r="H1710" s="15">
        <v>22</v>
      </c>
      <c r="I1710" s="15">
        <v>9</v>
      </c>
      <c r="J1710" s="15">
        <v>75</v>
      </c>
      <c r="K1710" s="15" t="str">
        <f t="shared" si="26"/>
        <v>thehaughtyone</v>
      </c>
      <c r="L1710" s="15" t="s">
        <v>13524</v>
      </c>
      <c r="M1710" s="15">
        <v>1</v>
      </c>
      <c r="N1710" s="15" t="s">
        <v>11222</v>
      </c>
      <c r="O1710" s="15"/>
      <c r="P1710" s="15"/>
      <c r="Q1710" s="15"/>
      <c r="R1710" s="15"/>
      <c r="S1710" s="15"/>
      <c r="T1710" s="15">
        <v>0</v>
      </c>
      <c r="U1710" s="15"/>
      <c r="V1710" s="15"/>
      <c r="W1710" s="15"/>
      <c r="X1710" s="15"/>
      <c r="Y1710" s="15"/>
      <c r="Z1710" s="15"/>
    </row>
    <row r="1711" spans="1:26" x14ac:dyDescent="0.25">
      <c r="A1711" s="15" t="s">
        <v>13738</v>
      </c>
      <c r="B1711" s="15">
        <v>1710</v>
      </c>
      <c r="C1711" s="15" t="s">
        <v>11277</v>
      </c>
      <c r="D1711" s="15" t="s">
        <v>11277</v>
      </c>
      <c r="E1711" s="15" t="s">
        <v>102</v>
      </c>
      <c r="F1711" s="15" t="s">
        <v>15215</v>
      </c>
      <c r="G1711" s="15" t="s">
        <v>13782</v>
      </c>
      <c r="H1711" s="15">
        <v>22</v>
      </c>
      <c r="I1711" s="15">
        <v>9</v>
      </c>
      <c r="J1711" s="15">
        <v>80</v>
      </c>
      <c r="K1711" s="15" t="str">
        <f t="shared" si="26"/>
        <v>thehaughtyone</v>
      </c>
      <c r="L1711" s="15" t="s">
        <v>13524</v>
      </c>
      <c r="M1711" s="15">
        <v>3</v>
      </c>
      <c r="N1711" s="15" t="s">
        <v>11222</v>
      </c>
      <c r="O1711" s="15" t="s">
        <v>2819</v>
      </c>
      <c r="P1711" s="15"/>
      <c r="Q1711" s="15"/>
      <c r="R1711" s="15"/>
      <c r="S1711" s="15"/>
      <c r="T1711" s="15">
        <v>0</v>
      </c>
      <c r="U1711" s="15" t="s">
        <v>5892</v>
      </c>
      <c r="V1711" s="15"/>
      <c r="W1711" s="15"/>
      <c r="X1711" s="15" t="s">
        <v>5982</v>
      </c>
      <c r="Y1711" s="15"/>
      <c r="Z1711" s="15"/>
    </row>
    <row r="1712" spans="1:26" x14ac:dyDescent="0.25">
      <c r="A1712" s="15" t="s">
        <v>13740</v>
      </c>
      <c r="B1712" s="15">
        <v>1711</v>
      </c>
      <c r="C1712" s="15" t="s">
        <v>11277</v>
      </c>
      <c r="D1712" s="15" t="s">
        <v>11277</v>
      </c>
      <c r="E1712" s="15" t="s">
        <v>102</v>
      </c>
      <c r="F1712" s="15" t="s">
        <v>15216</v>
      </c>
      <c r="G1712" s="15" t="s">
        <v>13753</v>
      </c>
      <c r="H1712" s="15">
        <v>25</v>
      </c>
      <c r="I1712" s="15">
        <v>9</v>
      </c>
      <c r="J1712" s="15">
        <v>73</v>
      </c>
      <c r="K1712" s="15" t="str">
        <f t="shared" si="26"/>
        <v>thejealousone</v>
      </c>
      <c r="L1712" s="15" t="s">
        <v>13537</v>
      </c>
      <c r="M1712" s="15">
        <v>1</v>
      </c>
      <c r="N1712" s="15" t="s">
        <v>11222</v>
      </c>
      <c r="O1712" s="15"/>
      <c r="P1712" s="15"/>
      <c r="Q1712" s="15"/>
      <c r="R1712" s="15"/>
      <c r="S1712" s="15"/>
      <c r="T1712" s="15">
        <v>0</v>
      </c>
      <c r="U1712" s="15"/>
      <c r="V1712" s="15"/>
      <c r="W1712" s="15"/>
      <c r="X1712" s="15"/>
      <c r="Y1712" s="15"/>
      <c r="Z1712" s="15"/>
    </row>
    <row r="1713" spans="1:26" x14ac:dyDescent="0.25">
      <c r="A1713" s="15" t="s">
        <v>13742</v>
      </c>
      <c r="B1713" s="15">
        <v>1712</v>
      </c>
      <c r="C1713" s="15" t="s">
        <v>11277</v>
      </c>
      <c r="D1713" s="15" t="s">
        <v>11277</v>
      </c>
      <c r="E1713" s="15" t="s">
        <v>102</v>
      </c>
      <c r="F1713" s="15" t="s">
        <v>15216</v>
      </c>
      <c r="G1713" s="15" t="s">
        <v>13767</v>
      </c>
      <c r="H1713" s="15">
        <v>25</v>
      </c>
      <c r="I1713" s="15">
        <v>9</v>
      </c>
      <c r="J1713" s="15">
        <v>73</v>
      </c>
      <c r="K1713" s="15" t="str">
        <f t="shared" si="26"/>
        <v>thejealousone</v>
      </c>
      <c r="L1713" s="15" t="s">
        <v>13537</v>
      </c>
      <c r="M1713" s="15">
        <v>1</v>
      </c>
      <c r="N1713" s="15" t="s">
        <v>11222</v>
      </c>
      <c r="O1713" s="15"/>
      <c r="P1713" s="15"/>
      <c r="Q1713" s="15"/>
      <c r="R1713" s="15"/>
      <c r="S1713" s="15"/>
      <c r="T1713" s="15">
        <v>0</v>
      </c>
      <c r="U1713" s="15"/>
      <c r="V1713" s="15"/>
      <c r="W1713" s="15"/>
      <c r="X1713" s="15"/>
      <c r="Y1713" s="15"/>
      <c r="Z1713" s="15"/>
    </row>
    <row r="1714" spans="1:26" x14ac:dyDescent="0.25">
      <c r="A1714" s="15" t="s">
        <v>13744</v>
      </c>
      <c r="B1714" s="15">
        <v>1713</v>
      </c>
      <c r="C1714" s="15" t="s">
        <v>11277</v>
      </c>
      <c r="D1714" s="15" t="s">
        <v>11277</v>
      </c>
      <c r="E1714" s="15" t="s">
        <v>102</v>
      </c>
      <c r="F1714" s="15" t="s">
        <v>15216</v>
      </c>
      <c r="G1714" s="15" t="s">
        <v>13778</v>
      </c>
      <c r="H1714" s="15">
        <v>25</v>
      </c>
      <c r="I1714" s="15">
        <v>9</v>
      </c>
      <c r="J1714" s="15">
        <v>74</v>
      </c>
      <c r="K1714" s="15" t="str">
        <f t="shared" si="26"/>
        <v>thejealousone</v>
      </c>
      <c r="L1714" s="15" t="s">
        <v>13524</v>
      </c>
      <c r="M1714" s="15">
        <v>1</v>
      </c>
      <c r="N1714" s="15" t="s">
        <v>11222</v>
      </c>
      <c r="O1714" s="15"/>
      <c r="P1714" s="15"/>
      <c r="Q1714" s="15"/>
      <c r="R1714" s="15"/>
      <c r="S1714" s="15"/>
      <c r="T1714" s="15">
        <v>0</v>
      </c>
      <c r="U1714" s="15"/>
      <c r="V1714" s="15"/>
      <c r="W1714" s="15"/>
      <c r="X1714" s="15"/>
      <c r="Y1714" s="15"/>
      <c r="Z1714" s="15"/>
    </row>
    <row r="1715" spans="1:26" x14ac:dyDescent="0.25">
      <c r="A1715" s="15" t="s">
        <v>13746</v>
      </c>
      <c r="B1715" s="15">
        <v>1714</v>
      </c>
      <c r="C1715" s="15" t="s">
        <v>11277</v>
      </c>
      <c r="D1715" s="15" t="s">
        <v>11277</v>
      </c>
      <c r="E1715" s="15" t="s">
        <v>102</v>
      </c>
      <c r="F1715" s="15" t="s">
        <v>15216</v>
      </c>
      <c r="G1715" s="15" t="s">
        <v>13784</v>
      </c>
      <c r="H1715" s="15">
        <v>25</v>
      </c>
      <c r="I1715" s="15">
        <v>9</v>
      </c>
      <c r="J1715" s="15">
        <v>74</v>
      </c>
      <c r="K1715" s="15" t="str">
        <f t="shared" si="26"/>
        <v>thejealousone</v>
      </c>
      <c r="L1715" s="15" t="s">
        <v>13524</v>
      </c>
      <c r="M1715" s="15">
        <v>1</v>
      </c>
      <c r="N1715" s="15" t="s">
        <v>11222</v>
      </c>
      <c r="O1715" s="15"/>
      <c r="P1715" s="15"/>
      <c r="Q1715" s="15"/>
      <c r="R1715" s="15"/>
      <c r="S1715" s="15"/>
      <c r="T1715" s="15">
        <v>0</v>
      </c>
      <c r="U1715" s="15"/>
      <c r="V1715" s="15"/>
      <c r="W1715" s="15"/>
      <c r="X1715" s="15"/>
      <c r="Y1715" s="15"/>
      <c r="Z1715" s="15"/>
    </row>
    <row r="1716" spans="1:26" x14ac:dyDescent="0.25">
      <c r="A1716" s="15" t="s">
        <v>13748</v>
      </c>
      <c r="B1716" s="15">
        <v>1715</v>
      </c>
      <c r="C1716" s="15" t="s">
        <v>11277</v>
      </c>
      <c r="D1716" s="15" t="s">
        <v>11277</v>
      </c>
      <c r="E1716" s="15" t="s">
        <v>102</v>
      </c>
      <c r="F1716" s="15" t="s">
        <v>15216</v>
      </c>
      <c r="G1716" s="15" t="s">
        <v>13786</v>
      </c>
      <c r="H1716" s="15">
        <v>25</v>
      </c>
      <c r="I1716" s="15">
        <v>9</v>
      </c>
      <c r="J1716" s="15">
        <v>80</v>
      </c>
      <c r="K1716" s="15" t="str">
        <f t="shared" si="26"/>
        <v>thejealousone</v>
      </c>
      <c r="L1716" s="15" t="s">
        <v>13524</v>
      </c>
      <c r="M1716" s="15">
        <v>3</v>
      </c>
      <c r="N1716" s="15" t="s">
        <v>11222</v>
      </c>
      <c r="O1716" s="15"/>
      <c r="P1716" s="15"/>
      <c r="Q1716" s="15"/>
      <c r="R1716" s="15"/>
      <c r="S1716" s="15"/>
      <c r="T1716" s="15">
        <v>2</v>
      </c>
      <c r="U1716" s="15" t="s">
        <v>5893</v>
      </c>
      <c r="V1716" s="15" t="s">
        <v>5892</v>
      </c>
      <c r="W1716" s="15"/>
      <c r="X1716" s="15" t="s">
        <v>5914</v>
      </c>
      <c r="Y1716" s="15"/>
      <c r="Z1716" s="15"/>
    </row>
    <row r="1717" spans="1:26" x14ac:dyDescent="0.25">
      <c r="A1717" s="15" t="s">
        <v>13750</v>
      </c>
      <c r="B1717" s="15">
        <v>1716</v>
      </c>
      <c r="C1717" s="15" t="s">
        <v>11277</v>
      </c>
      <c r="D1717" s="15" t="s">
        <v>11277</v>
      </c>
      <c r="E1717" s="15" t="s">
        <v>102</v>
      </c>
      <c r="F1717" s="15" t="s">
        <v>15217</v>
      </c>
      <c r="G1717" s="15" t="s">
        <v>13788</v>
      </c>
      <c r="H1717" s="15">
        <v>28</v>
      </c>
      <c r="I1717" s="15">
        <v>13</v>
      </c>
      <c r="J1717" s="15">
        <v>75</v>
      </c>
      <c r="K1717" s="15" t="str">
        <f t="shared" si="26"/>
        <v>thespoiledone</v>
      </c>
      <c r="L1717" s="15" t="s">
        <v>13516</v>
      </c>
      <c r="M1717" s="15">
        <v>1</v>
      </c>
      <c r="N1717" s="15" t="s">
        <v>11222</v>
      </c>
      <c r="O1717" s="15"/>
      <c r="P1717" s="15"/>
      <c r="Q1717" s="15"/>
      <c r="R1717" s="15"/>
      <c r="S1717" s="15"/>
      <c r="T1717" s="15">
        <v>0</v>
      </c>
      <c r="U1717" s="15"/>
      <c r="V1717" s="15"/>
      <c r="W1717" s="15"/>
      <c r="X1717" s="15"/>
      <c r="Y1717" s="15"/>
      <c r="Z1717" s="15"/>
    </row>
    <row r="1718" spans="1:26" x14ac:dyDescent="0.25">
      <c r="A1718" s="15" t="s">
        <v>13752</v>
      </c>
      <c r="B1718" s="15">
        <v>1717</v>
      </c>
      <c r="C1718" s="15" t="s">
        <v>11277</v>
      </c>
      <c r="D1718" s="15" t="s">
        <v>11277</v>
      </c>
      <c r="E1718" s="15" t="s">
        <v>102</v>
      </c>
      <c r="F1718" s="15" t="s">
        <v>15217</v>
      </c>
      <c r="G1718" s="15" t="s">
        <v>13753</v>
      </c>
      <c r="H1718" s="15">
        <v>28</v>
      </c>
      <c r="I1718" s="15">
        <v>13</v>
      </c>
      <c r="J1718" s="15">
        <v>73</v>
      </c>
      <c r="K1718" s="15" t="str">
        <f t="shared" si="26"/>
        <v>thespoiledone</v>
      </c>
      <c r="L1718" s="15" t="s">
        <v>13537</v>
      </c>
      <c r="M1718" s="15">
        <v>1</v>
      </c>
      <c r="N1718" s="15" t="s">
        <v>11222</v>
      </c>
      <c r="O1718" s="15"/>
      <c r="P1718" s="15"/>
      <c r="Q1718" s="15"/>
      <c r="R1718" s="15"/>
      <c r="S1718" s="15"/>
      <c r="T1718" s="15">
        <v>0</v>
      </c>
      <c r="U1718" s="15"/>
      <c r="V1718" s="15"/>
      <c r="W1718" s="15"/>
      <c r="X1718" s="15"/>
      <c r="Y1718" s="15"/>
      <c r="Z1718" s="15"/>
    </row>
    <row r="1719" spans="1:26" x14ac:dyDescent="0.25">
      <c r="A1719" s="15" t="s">
        <v>13754</v>
      </c>
      <c r="B1719" s="15">
        <v>1718</v>
      </c>
      <c r="C1719" s="15" t="s">
        <v>11277</v>
      </c>
      <c r="D1719" s="15" t="s">
        <v>11277</v>
      </c>
      <c r="E1719" s="15" t="s">
        <v>102</v>
      </c>
      <c r="F1719" s="15" t="s">
        <v>15217</v>
      </c>
      <c r="G1719" s="15" t="s">
        <v>13767</v>
      </c>
      <c r="H1719" s="15">
        <v>28</v>
      </c>
      <c r="I1719" s="15">
        <v>13</v>
      </c>
      <c r="J1719" s="15">
        <v>73</v>
      </c>
      <c r="K1719" s="15" t="str">
        <f t="shared" si="26"/>
        <v>thespoiledone</v>
      </c>
      <c r="L1719" s="15" t="s">
        <v>13537</v>
      </c>
      <c r="M1719" s="15">
        <v>1</v>
      </c>
      <c r="N1719" s="15" t="s">
        <v>11222</v>
      </c>
      <c r="O1719" s="15"/>
      <c r="P1719" s="15"/>
      <c r="Q1719" s="15"/>
      <c r="R1719" s="15"/>
      <c r="S1719" s="15"/>
      <c r="T1719" s="15">
        <v>0</v>
      </c>
      <c r="U1719" s="15"/>
      <c r="V1719" s="15"/>
      <c r="W1719" s="15"/>
      <c r="X1719" s="15"/>
      <c r="Y1719" s="15"/>
      <c r="Z1719" s="15"/>
    </row>
    <row r="1720" spans="1:26" x14ac:dyDescent="0.25">
      <c r="A1720" s="15" t="s">
        <v>13756</v>
      </c>
      <c r="B1720" s="15">
        <v>1719</v>
      </c>
      <c r="C1720" s="15" t="s">
        <v>11277</v>
      </c>
      <c r="D1720" s="15" t="s">
        <v>11277</v>
      </c>
      <c r="E1720" s="15" t="s">
        <v>102</v>
      </c>
      <c r="F1720" s="15" t="s">
        <v>15217</v>
      </c>
      <c r="G1720" s="15" t="s">
        <v>13790</v>
      </c>
      <c r="H1720" s="15">
        <v>28</v>
      </c>
      <c r="I1720" s="15">
        <v>13</v>
      </c>
      <c r="J1720" s="15">
        <v>73</v>
      </c>
      <c r="K1720" s="15" t="str">
        <f t="shared" si="26"/>
        <v>thespoiledone</v>
      </c>
      <c r="L1720" s="15" t="s">
        <v>13537</v>
      </c>
      <c r="M1720" s="15">
        <v>1</v>
      </c>
      <c r="N1720" s="15" t="s">
        <v>11222</v>
      </c>
      <c r="O1720" s="15"/>
      <c r="P1720" s="15"/>
      <c r="Q1720" s="15"/>
      <c r="R1720" s="15"/>
      <c r="S1720" s="15"/>
      <c r="T1720" s="15">
        <v>0</v>
      </c>
      <c r="U1720" s="15"/>
      <c r="V1720" s="15"/>
      <c r="W1720" s="15"/>
      <c r="X1720" s="15"/>
      <c r="Y1720" s="15"/>
      <c r="Z1720" s="15"/>
    </row>
    <row r="1721" spans="1:26" x14ac:dyDescent="0.25">
      <c r="A1721" s="15" t="s">
        <v>13758</v>
      </c>
      <c r="B1721" s="15">
        <v>1720</v>
      </c>
      <c r="C1721" s="15" t="s">
        <v>11277</v>
      </c>
      <c r="D1721" s="15" t="s">
        <v>11277</v>
      </c>
      <c r="E1721" s="15" t="s">
        <v>102</v>
      </c>
      <c r="F1721" s="15" t="s">
        <v>15217</v>
      </c>
      <c r="G1721" s="15" t="s">
        <v>13792</v>
      </c>
      <c r="H1721" s="15">
        <v>28</v>
      </c>
      <c r="I1721" s="15">
        <v>13</v>
      </c>
      <c r="J1721" s="15">
        <v>80</v>
      </c>
      <c r="K1721" s="15" t="str">
        <f t="shared" si="26"/>
        <v>thespoiledone</v>
      </c>
      <c r="L1721" s="15" t="s">
        <v>13537</v>
      </c>
      <c r="M1721" s="15">
        <v>3</v>
      </c>
      <c r="N1721" s="15" t="s">
        <v>11222</v>
      </c>
      <c r="O1721" s="15"/>
      <c r="P1721" s="15"/>
      <c r="Q1721" s="15"/>
      <c r="R1721" s="15"/>
      <c r="S1721" s="15"/>
      <c r="T1721" s="15">
        <v>0</v>
      </c>
      <c r="U1721" s="15"/>
      <c r="V1721" s="15"/>
      <c r="W1721" s="15"/>
      <c r="X1721" s="15"/>
      <c r="Y1721" s="15"/>
      <c r="Z1721" s="15"/>
    </row>
    <row r="1722" spans="1:26" x14ac:dyDescent="0.25">
      <c r="A1722" s="15" t="s">
        <v>13760</v>
      </c>
      <c r="B1722" s="15">
        <v>1721</v>
      </c>
      <c r="C1722" s="15" t="s">
        <v>11277</v>
      </c>
      <c r="D1722" s="15" t="s">
        <v>11277</v>
      </c>
      <c r="E1722" s="15" t="s">
        <v>102</v>
      </c>
      <c r="F1722" s="15" t="s">
        <v>2215</v>
      </c>
      <c r="G1722" s="15" t="s">
        <v>13753</v>
      </c>
      <c r="H1722" s="15">
        <v>34</v>
      </c>
      <c r="I1722" s="15">
        <v>26</v>
      </c>
      <c r="J1722" s="15">
        <v>73</v>
      </c>
      <c r="K1722" s="15" t="str">
        <f t="shared" si="26"/>
        <v>saintfathricstemple</v>
      </c>
      <c r="L1722" s="15" t="s">
        <v>13537</v>
      </c>
      <c r="M1722" s="15">
        <v>1</v>
      </c>
      <c r="N1722" s="15" t="s">
        <v>11222</v>
      </c>
      <c r="O1722" s="15"/>
      <c r="P1722" s="15"/>
      <c r="Q1722" s="15"/>
      <c r="R1722" s="15"/>
      <c r="S1722" s="15"/>
      <c r="T1722" s="15">
        <v>0</v>
      </c>
      <c r="U1722" s="15"/>
      <c r="V1722" s="15"/>
      <c r="W1722" s="15"/>
      <c r="X1722" s="15"/>
      <c r="Y1722" s="15"/>
      <c r="Z1722" s="15"/>
    </row>
    <row r="1723" spans="1:26" x14ac:dyDescent="0.25">
      <c r="A1723" s="15" t="s">
        <v>13762</v>
      </c>
      <c r="B1723" s="15">
        <v>1722</v>
      </c>
      <c r="C1723" s="15" t="s">
        <v>11277</v>
      </c>
      <c r="D1723" s="15" t="s">
        <v>11277</v>
      </c>
      <c r="E1723" s="15" t="s">
        <v>102</v>
      </c>
      <c r="F1723" s="15" t="s">
        <v>2215</v>
      </c>
      <c r="G1723" s="15" t="s">
        <v>13767</v>
      </c>
      <c r="H1723" s="15">
        <v>34</v>
      </c>
      <c r="I1723" s="15">
        <v>26</v>
      </c>
      <c r="J1723" s="15">
        <v>73</v>
      </c>
      <c r="K1723" s="15" t="str">
        <f t="shared" si="26"/>
        <v>saintfathricstemple</v>
      </c>
      <c r="L1723" s="15" t="s">
        <v>13537</v>
      </c>
      <c r="M1723" s="15">
        <v>1</v>
      </c>
      <c r="N1723" s="15" t="s">
        <v>11222</v>
      </c>
      <c r="O1723" s="15"/>
      <c r="P1723" s="15"/>
      <c r="Q1723" s="15"/>
      <c r="R1723" s="15"/>
      <c r="S1723" s="15"/>
      <c r="T1723" s="15">
        <v>0</v>
      </c>
      <c r="U1723" s="15"/>
      <c r="V1723" s="15"/>
      <c r="W1723" s="15"/>
      <c r="X1723" s="15"/>
      <c r="Y1723" s="15"/>
      <c r="Z1723" s="15"/>
    </row>
    <row r="1724" spans="1:26" x14ac:dyDescent="0.25">
      <c r="A1724" s="15" t="s">
        <v>13764</v>
      </c>
      <c r="B1724" s="15">
        <v>1723</v>
      </c>
      <c r="C1724" s="15" t="s">
        <v>11277</v>
      </c>
      <c r="D1724" s="15" t="s">
        <v>11277</v>
      </c>
      <c r="E1724" s="15" t="s">
        <v>102</v>
      </c>
      <c r="F1724" s="15" t="s">
        <v>2215</v>
      </c>
      <c r="G1724" s="15" t="s">
        <v>13778</v>
      </c>
      <c r="H1724" s="15">
        <v>34</v>
      </c>
      <c r="I1724" s="15">
        <v>26</v>
      </c>
      <c r="J1724" s="15">
        <v>74</v>
      </c>
      <c r="K1724" s="15" t="str">
        <f t="shared" si="26"/>
        <v>saintfathricstemple</v>
      </c>
      <c r="L1724" s="15" t="s">
        <v>13524</v>
      </c>
      <c r="M1724" s="15">
        <v>1</v>
      </c>
      <c r="N1724" s="15" t="s">
        <v>11222</v>
      </c>
      <c r="O1724" s="15"/>
      <c r="P1724" s="15"/>
      <c r="Q1724" s="15"/>
      <c r="R1724" s="15"/>
      <c r="S1724" s="15"/>
      <c r="T1724" s="15">
        <v>0</v>
      </c>
      <c r="U1724" s="15"/>
      <c r="V1724" s="15"/>
      <c r="W1724" s="15"/>
      <c r="X1724" s="15"/>
      <c r="Y1724" s="15"/>
      <c r="Z1724" s="15"/>
    </row>
    <row r="1725" spans="1:26" x14ac:dyDescent="0.25">
      <c r="A1725" s="15" t="s">
        <v>13766</v>
      </c>
      <c r="B1725" s="15">
        <v>1724</v>
      </c>
      <c r="C1725" s="15" t="s">
        <v>11277</v>
      </c>
      <c r="D1725" s="15" t="s">
        <v>11277</v>
      </c>
      <c r="E1725" s="15" t="s">
        <v>102</v>
      </c>
      <c r="F1725" s="15" t="s">
        <v>2215</v>
      </c>
      <c r="G1725" s="15" t="s">
        <v>13794</v>
      </c>
      <c r="H1725" s="15">
        <v>34</v>
      </c>
      <c r="I1725" s="15">
        <v>26</v>
      </c>
      <c r="J1725" s="15">
        <v>74</v>
      </c>
      <c r="K1725" s="15" t="str">
        <f t="shared" si="26"/>
        <v>saintfathricstemple</v>
      </c>
      <c r="L1725" s="15" t="s">
        <v>13524</v>
      </c>
      <c r="M1725" s="15">
        <v>1</v>
      </c>
      <c r="N1725" s="15" t="s">
        <v>11222</v>
      </c>
      <c r="O1725" s="15"/>
      <c r="P1725" s="15"/>
      <c r="Q1725" s="15"/>
      <c r="R1725" s="15"/>
      <c r="S1725" s="15"/>
      <c r="T1725" s="15">
        <v>0</v>
      </c>
      <c r="U1725" s="15"/>
      <c r="V1725" s="15"/>
      <c r="W1725" s="15"/>
      <c r="X1725" s="15"/>
      <c r="Y1725" s="15"/>
      <c r="Z1725" s="15"/>
    </row>
    <row r="1726" spans="1:26" x14ac:dyDescent="0.25">
      <c r="A1726" s="15" t="s">
        <v>13768</v>
      </c>
      <c r="B1726" s="15">
        <v>1725</v>
      </c>
      <c r="C1726" s="15" t="s">
        <v>11277</v>
      </c>
      <c r="D1726" s="15" t="s">
        <v>11277</v>
      </c>
      <c r="E1726" s="15" t="s">
        <v>133</v>
      </c>
      <c r="F1726" s="15" t="s">
        <v>2215</v>
      </c>
      <c r="G1726" s="15" t="s">
        <v>13796</v>
      </c>
      <c r="H1726" s="15">
        <v>34</v>
      </c>
      <c r="I1726" s="15">
        <v>26</v>
      </c>
      <c r="J1726" s="15">
        <v>90</v>
      </c>
      <c r="K1726" s="15" t="str">
        <f t="shared" si="26"/>
        <v>saintfathricstemple</v>
      </c>
      <c r="L1726" s="15" t="s">
        <v>13560</v>
      </c>
      <c r="M1726" s="15">
        <v>1</v>
      </c>
      <c r="N1726" s="15" t="s">
        <v>11222</v>
      </c>
      <c r="O1726" s="15"/>
      <c r="P1726" s="15"/>
      <c r="Q1726" s="15"/>
      <c r="R1726" s="15"/>
      <c r="S1726" s="15"/>
      <c r="T1726" s="15">
        <v>4</v>
      </c>
      <c r="U1726" s="15"/>
      <c r="V1726" s="15"/>
      <c r="W1726" s="15"/>
      <c r="X1726" s="15"/>
      <c r="Y1726" s="15"/>
      <c r="Z1726" s="15"/>
    </row>
    <row r="1727" spans="1:26" x14ac:dyDescent="0.25">
      <c r="A1727" s="15" t="s">
        <v>13770</v>
      </c>
      <c r="B1727" s="15">
        <v>1726</v>
      </c>
      <c r="C1727" s="15" t="s">
        <v>11277</v>
      </c>
      <c r="D1727" s="15" t="s">
        <v>11277</v>
      </c>
      <c r="E1727" s="15" t="s">
        <v>133</v>
      </c>
      <c r="F1727" s="15" t="s">
        <v>2215</v>
      </c>
      <c r="G1727" s="15" t="s">
        <v>13798</v>
      </c>
      <c r="H1727" s="15">
        <v>34</v>
      </c>
      <c r="I1727" s="15">
        <v>26</v>
      </c>
      <c r="J1727" s="15">
        <v>90</v>
      </c>
      <c r="K1727" s="15" t="str">
        <f t="shared" si="26"/>
        <v>saintfathricstemple</v>
      </c>
      <c r="L1727" s="15" t="s">
        <v>13560</v>
      </c>
      <c r="M1727" s="15">
        <v>2</v>
      </c>
      <c r="N1727" s="15" t="s">
        <v>11223</v>
      </c>
      <c r="O1727" s="15"/>
      <c r="P1727" s="15" t="s">
        <v>15218</v>
      </c>
      <c r="Q1727" s="15"/>
      <c r="R1727" s="15"/>
      <c r="S1727" s="15"/>
      <c r="T1727" s="15">
        <v>4</v>
      </c>
      <c r="U1727" s="15"/>
      <c r="V1727" s="15"/>
      <c r="W1727" s="15"/>
      <c r="X1727" s="15"/>
      <c r="Y1727" s="15"/>
      <c r="Z1727" s="15"/>
    </row>
    <row r="1728" spans="1:26" x14ac:dyDescent="0.25">
      <c r="A1728" s="15" t="s">
        <v>13772</v>
      </c>
      <c r="B1728" s="15">
        <v>1727</v>
      </c>
      <c r="C1728" s="15" t="s">
        <v>11277</v>
      </c>
      <c r="D1728" s="15" t="s">
        <v>11277</v>
      </c>
      <c r="E1728" s="15" t="s">
        <v>102</v>
      </c>
      <c r="F1728" s="15" t="s">
        <v>2215</v>
      </c>
      <c r="G1728" s="15" t="s">
        <v>13800</v>
      </c>
      <c r="H1728" s="15">
        <v>34</v>
      </c>
      <c r="I1728" s="15">
        <v>26</v>
      </c>
      <c r="J1728" s="15">
        <v>80</v>
      </c>
      <c r="K1728" s="15" t="str">
        <f t="shared" si="26"/>
        <v>saintfathricstemple</v>
      </c>
      <c r="L1728" s="15" t="s">
        <v>13537</v>
      </c>
      <c r="M1728" s="15">
        <v>3</v>
      </c>
      <c r="N1728" s="15" t="s">
        <v>11222</v>
      </c>
      <c r="O1728" s="15"/>
      <c r="P1728" s="15"/>
      <c r="Q1728" s="15"/>
      <c r="R1728" s="15"/>
      <c r="S1728" s="15"/>
      <c r="T1728" s="15">
        <v>2</v>
      </c>
      <c r="U1728" s="15" t="s">
        <v>5893</v>
      </c>
      <c r="V1728" s="15" t="s">
        <v>5892</v>
      </c>
      <c r="W1728" s="15"/>
      <c r="X1728" s="15" t="s">
        <v>5893</v>
      </c>
      <c r="Y1728" s="15"/>
      <c r="Z1728" s="15"/>
    </row>
    <row r="1729" spans="1:26" x14ac:dyDescent="0.25">
      <c r="A1729" s="15" t="s">
        <v>13773</v>
      </c>
      <c r="B1729" s="15">
        <v>1728</v>
      </c>
      <c r="C1729" s="15" t="s">
        <v>11277</v>
      </c>
      <c r="D1729" s="15" t="s">
        <v>11277</v>
      </c>
      <c r="E1729" s="15" t="s">
        <v>102</v>
      </c>
      <c r="F1729" s="15" t="s">
        <v>15219</v>
      </c>
      <c r="G1729" s="15" t="s">
        <v>13753</v>
      </c>
      <c r="H1729" s="15">
        <v>31</v>
      </c>
      <c r="I1729" s="15">
        <v>22</v>
      </c>
      <c r="J1729" s="15">
        <v>73</v>
      </c>
      <c r="K1729" s="15" t="str">
        <f t="shared" si="26"/>
        <v>fathercollardsfailings</v>
      </c>
      <c r="L1729" s="15" t="s">
        <v>13537</v>
      </c>
      <c r="M1729" s="15">
        <v>1</v>
      </c>
      <c r="N1729" s="15" t="s">
        <v>11222</v>
      </c>
      <c r="O1729" s="15"/>
      <c r="P1729" s="15"/>
      <c r="Q1729" s="15"/>
      <c r="R1729" s="15"/>
      <c r="S1729" s="15"/>
      <c r="T1729" s="15">
        <v>0</v>
      </c>
      <c r="U1729" s="15"/>
      <c r="V1729" s="15"/>
      <c r="W1729" s="15"/>
      <c r="X1729" s="15"/>
      <c r="Y1729" s="15"/>
      <c r="Z1729" s="15"/>
    </row>
    <row r="1730" spans="1:26" x14ac:dyDescent="0.25">
      <c r="A1730" s="15" t="s">
        <v>13775</v>
      </c>
      <c r="B1730" s="15">
        <v>1729</v>
      </c>
      <c r="C1730" s="15" t="s">
        <v>11277</v>
      </c>
      <c r="D1730" s="15" t="s">
        <v>11277</v>
      </c>
      <c r="E1730" s="15" t="s">
        <v>102</v>
      </c>
      <c r="F1730" s="15" t="s">
        <v>15219</v>
      </c>
      <c r="G1730" s="15" t="s">
        <v>13755</v>
      </c>
      <c r="H1730" s="15">
        <v>31</v>
      </c>
      <c r="I1730" s="15">
        <v>22</v>
      </c>
      <c r="J1730" s="15">
        <v>73</v>
      </c>
      <c r="K1730" s="15" t="str">
        <f t="shared" ref="K1730:K1793" si="27">LOWER(SUBSTITUTE(SUBSTITUTE(SUBSTITUTE(SUBSTITUTE(SUBSTITUTE(F1730," ",""),"(",""),")",""),"'",""),"-",""))</f>
        <v>fathercollardsfailings</v>
      </c>
      <c r="L1730" s="15" t="s">
        <v>13560</v>
      </c>
      <c r="M1730" s="15">
        <v>1</v>
      </c>
      <c r="N1730" s="15" t="s">
        <v>11222</v>
      </c>
      <c r="O1730" s="15"/>
      <c r="P1730" s="15"/>
      <c r="Q1730" s="15"/>
      <c r="R1730" s="15"/>
      <c r="S1730" s="15"/>
      <c r="T1730" s="15">
        <v>0</v>
      </c>
      <c r="U1730" s="15"/>
      <c r="V1730" s="15"/>
      <c r="W1730" s="15"/>
      <c r="X1730" s="15"/>
      <c r="Y1730" s="15"/>
      <c r="Z1730" s="15"/>
    </row>
    <row r="1731" spans="1:26" x14ac:dyDescent="0.25">
      <c r="A1731" s="15" t="s">
        <v>13777</v>
      </c>
      <c r="B1731" s="15">
        <v>1730</v>
      </c>
      <c r="C1731" s="15" t="s">
        <v>11277</v>
      </c>
      <c r="D1731" s="15" t="s">
        <v>11277</v>
      </c>
      <c r="E1731" s="15" t="s">
        <v>102</v>
      </c>
      <c r="F1731" s="15" t="s">
        <v>15219</v>
      </c>
      <c r="G1731" s="15" t="s">
        <v>13769</v>
      </c>
      <c r="H1731" s="15">
        <v>31</v>
      </c>
      <c r="I1731" s="15">
        <v>22</v>
      </c>
      <c r="J1731" s="15">
        <v>73</v>
      </c>
      <c r="K1731" s="15" t="str">
        <f t="shared" si="27"/>
        <v>fathercollardsfailings</v>
      </c>
      <c r="L1731" s="15" t="s">
        <v>13537</v>
      </c>
      <c r="M1731" s="15">
        <v>1</v>
      </c>
      <c r="N1731" s="15" t="s">
        <v>11222</v>
      </c>
      <c r="O1731" s="15"/>
      <c r="P1731" s="15"/>
      <c r="Q1731" s="15"/>
      <c r="R1731" s="15"/>
      <c r="S1731" s="15"/>
      <c r="T1731" s="15">
        <v>0</v>
      </c>
      <c r="U1731" s="15"/>
      <c r="V1731" s="15"/>
      <c r="W1731" s="15"/>
      <c r="X1731" s="15"/>
      <c r="Y1731" s="15"/>
      <c r="Z1731" s="15"/>
    </row>
    <row r="1732" spans="1:26" x14ac:dyDescent="0.25">
      <c r="A1732" s="15" t="s">
        <v>13779</v>
      </c>
      <c r="B1732" s="15">
        <v>1731</v>
      </c>
      <c r="C1732" s="15" t="s">
        <v>11277</v>
      </c>
      <c r="D1732" s="15" t="s">
        <v>11277</v>
      </c>
      <c r="E1732" s="15" t="s">
        <v>102</v>
      </c>
      <c r="F1732" s="15" t="s">
        <v>15219</v>
      </c>
      <c r="G1732" s="15" t="s">
        <v>13802</v>
      </c>
      <c r="H1732" s="15">
        <v>31</v>
      </c>
      <c r="I1732" s="15">
        <v>22</v>
      </c>
      <c r="J1732" s="15">
        <v>80</v>
      </c>
      <c r="K1732" s="15" t="str">
        <f t="shared" si="27"/>
        <v>fathercollardsfailings</v>
      </c>
      <c r="L1732" s="15" t="s">
        <v>13537</v>
      </c>
      <c r="M1732" s="15">
        <v>1</v>
      </c>
      <c r="N1732" s="15" t="s">
        <v>11222</v>
      </c>
      <c r="O1732" s="15"/>
      <c r="P1732" s="15"/>
      <c r="Q1732" s="15"/>
      <c r="R1732" s="15"/>
      <c r="S1732" s="15"/>
      <c r="T1732" s="15">
        <v>0</v>
      </c>
      <c r="U1732" s="15" t="s">
        <v>5893</v>
      </c>
      <c r="V1732" s="15"/>
      <c r="W1732" s="15"/>
      <c r="X1732" s="15"/>
      <c r="Y1732" s="15"/>
      <c r="Z1732" s="15"/>
    </row>
    <row r="1733" spans="1:26" x14ac:dyDescent="0.25">
      <c r="A1733" s="15" t="s">
        <v>13781</v>
      </c>
      <c r="B1733" s="15">
        <v>1732</v>
      </c>
      <c r="C1733" s="15" t="s">
        <v>11277</v>
      </c>
      <c r="D1733" s="15" t="s">
        <v>11277</v>
      </c>
      <c r="E1733" s="15" t="s">
        <v>102</v>
      </c>
      <c r="F1733" s="15" t="s">
        <v>15219</v>
      </c>
      <c r="G1733" s="15" t="s">
        <v>13804</v>
      </c>
      <c r="H1733" s="15">
        <v>31</v>
      </c>
      <c r="I1733" s="15">
        <v>22</v>
      </c>
      <c r="J1733" s="15">
        <v>80</v>
      </c>
      <c r="K1733" s="15" t="str">
        <f t="shared" si="27"/>
        <v>fathercollardsfailings</v>
      </c>
      <c r="L1733" s="15" t="s">
        <v>13537</v>
      </c>
      <c r="M1733" s="15">
        <v>3</v>
      </c>
      <c r="N1733" s="15" t="s">
        <v>11222</v>
      </c>
      <c r="O1733" s="15" t="s">
        <v>14002</v>
      </c>
      <c r="P1733" s="15"/>
      <c r="Q1733" s="15"/>
      <c r="R1733" s="15"/>
      <c r="S1733" s="15"/>
      <c r="T1733" s="15">
        <v>0</v>
      </c>
      <c r="U1733" s="15"/>
      <c r="V1733" s="15"/>
      <c r="W1733" s="15"/>
      <c r="X1733" s="15"/>
      <c r="Y1733" s="15"/>
      <c r="Z1733" s="15"/>
    </row>
    <row r="1734" spans="1:26" x14ac:dyDescent="0.25">
      <c r="A1734" s="15" t="s">
        <v>13783</v>
      </c>
      <c r="B1734" s="15">
        <v>1733</v>
      </c>
      <c r="C1734" s="15" t="s">
        <v>11277</v>
      </c>
      <c r="D1734" s="15" t="s">
        <v>11647</v>
      </c>
      <c r="E1734" s="15" t="s">
        <v>102</v>
      </c>
      <c r="F1734" s="15" t="s">
        <v>15220</v>
      </c>
      <c r="G1734" s="15" t="s">
        <v>13842</v>
      </c>
      <c r="H1734" s="15">
        <v>20</v>
      </c>
      <c r="I1734" s="15">
        <v>13</v>
      </c>
      <c r="J1734" s="15">
        <v>73</v>
      </c>
      <c r="K1734" s="15" t="str">
        <f t="shared" si="27"/>
        <v>northlyheghiah</v>
      </c>
      <c r="L1734" s="15"/>
      <c r="M1734" s="15"/>
      <c r="N1734" s="15"/>
      <c r="O1734" s="15"/>
      <c r="P1734" s="15"/>
      <c r="Q1734" s="15"/>
      <c r="R1734" s="15"/>
      <c r="S1734" s="15"/>
      <c r="T1734" s="15">
        <v>0</v>
      </c>
      <c r="U1734" s="15"/>
      <c r="V1734" s="15"/>
      <c r="W1734" s="15"/>
      <c r="X1734" s="15"/>
      <c r="Y1734" s="15"/>
      <c r="Z1734" s="15"/>
    </row>
    <row r="1735" spans="1:26" x14ac:dyDescent="0.25">
      <c r="A1735" s="15" t="s">
        <v>13785</v>
      </c>
      <c r="B1735" s="15">
        <v>1734</v>
      </c>
      <c r="C1735" s="15" t="s">
        <v>11277</v>
      </c>
      <c r="D1735" s="15" t="s">
        <v>11647</v>
      </c>
      <c r="E1735" s="15" t="s">
        <v>102</v>
      </c>
      <c r="F1735" s="15" t="s">
        <v>15220</v>
      </c>
      <c r="G1735" s="15" t="s">
        <v>13844</v>
      </c>
      <c r="H1735" s="15">
        <v>20</v>
      </c>
      <c r="I1735" s="15">
        <v>13</v>
      </c>
      <c r="J1735" s="15">
        <v>73</v>
      </c>
      <c r="K1735" s="15" t="str">
        <f t="shared" si="27"/>
        <v>northlyheghiah</v>
      </c>
      <c r="L1735" s="15"/>
      <c r="M1735" s="15"/>
      <c r="N1735" s="15"/>
      <c r="O1735" s="15"/>
      <c r="P1735" s="15"/>
      <c r="Q1735" s="15"/>
      <c r="R1735" s="15"/>
      <c r="S1735" s="15"/>
      <c r="T1735" s="15">
        <v>0</v>
      </c>
      <c r="U1735" s="15"/>
      <c r="V1735" s="15"/>
      <c r="W1735" s="15"/>
      <c r="X1735" s="15"/>
      <c r="Y1735" s="15"/>
      <c r="Z1735" s="15"/>
    </row>
    <row r="1736" spans="1:26" x14ac:dyDescent="0.25">
      <c r="A1736" s="15" t="s">
        <v>13787</v>
      </c>
      <c r="B1736" s="15">
        <v>1735</v>
      </c>
      <c r="C1736" s="15" t="s">
        <v>11277</v>
      </c>
      <c r="D1736" s="15" t="s">
        <v>11647</v>
      </c>
      <c r="E1736" s="15" t="s">
        <v>102</v>
      </c>
      <c r="F1736" s="15" t="s">
        <v>15220</v>
      </c>
      <c r="G1736" s="15" t="s">
        <v>13846</v>
      </c>
      <c r="H1736" s="15">
        <v>20</v>
      </c>
      <c r="I1736" s="15">
        <v>13</v>
      </c>
      <c r="J1736" s="15">
        <v>74</v>
      </c>
      <c r="K1736" s="15" t="str">
        <f t="shared" si="27"/>
        <v>northlyheghiah</v>
      </c>
      <c r="L1736" s="15"/>
      <c r="M1736" s="15"/>
      <c r="N1736" s="15"/>
      <c r="O1736" s="15"/>
      <c r="P1736" s="15"/>
      <c r="Q1736" s="15"/>
      <c r="R1736" s="15"/>
      <c r="S1736" s="15"/>
      <c r="T1736" s="15">
        <v>0</v>
      </c>
      <c r="U1736" s="15"/>
      <c r="V1736" s="15"/>
      <c r="W1736" s="15"/>
      <c r="X1736" s="15"/>
      <c r="Y1736" s="15"/>
      <c r="Z1736" s="15"/>
    </row>
    <row r="1737" spans="1:26" x14ac:dyDescent="0.25">
      <c r="A1737" s="15" t="s">
        <v>13789</v>
      </c>
      <c r="B1737" s="15">
        <v>1736</v>
      </c>
      <c r="C1737" s="15" t="s">
        <v>11277</v>
      </c>
      <c r="D1737" s="15" t="s">
        <v>11647</v>
      </c>
      <c r="E1737" s="15" t="s">
        <v>102</v>
      </c>
      <c r="F1737" s="15" t="s">
        <v>15220</v>
      </c>
      <c r="G1737" s="15" t="s">
        <v>13848</v>
      </c>
      <c r="H1737" s="15">
        <v>20</v>
      </c>
      <c r="I1737" s="15">
        <v>13</v>
      </c>
      <c r="J1737" s="15">
        <v>74</v>
      </c>
      <c r="K1737" s="15" t="str">
        <f t="shared" si="27"/>
        <v>northlyheghiah</v>
      </c>
      <c r="L1737" s="15"/>
      <c r="M1737" s="15"/>
      <c r="N1737" s="15"/>
      <c r="O1737" s="15"/>
      <c r="P1737" s="15"/>
      <c r="Q1737" s="15"/>
      <c r="R1737" s="15"/>
      <c r="S1737" s="15"/>
      <c r="T1737" s="15">
        <v>0</v>
      </c>
      <c r="U1737" s="15"/>
      <c r="V1737" s="15"/>
      <c r="W1737" s="15"/>
      <c r="X1737" s="15"/>
      <c r="Y1737" s="15"/>
      <c r="Z1737" s="15"/>
    </row>
    <row r="1738" spans="1:26" x14ac:dyDescent="0.25">
      <c r="A1738" s="15" t="s">
        <v>13791</v>
      </c>
      <c r="B1738" s="15">
        <v>1737</v>
      </c>
      <c r="C1738" s="15" t="s">
        <v>11277</v>
      </c>
      <c r="D1738" s="15" t="s">
        <v>11647</v>
      </c>
      <c r="E1738" s="15" t="s">
        <v>102</v>
      </c>
      <c r="F1738" s="15" t="s">
        <v>15220</v>
      </c>
      <c r="G1738" s="15" t="s">
        <v>13850</v>
      </c>
      <c r="H1738" s="15">
        <v>20</v>
      </c>
      <c r="I1738" s="15">
        <v>13</v>
      </c>
      <c r="J1738" s="15">
        <v>74</v>
      </c>
      <c r="K1738" s="15" t="str">
        <f t="shared" si="27"/>
        <v>northlyheghiah</v>
      </c>
      <c r="L1738" s="15"/>
      <c r="M1738" s="15"/>
      <c r="N1738" s="15"/>
      <c r="O1738" s="15"/>
      <c r="P1738" s="15"/>
      <c r="Q1738" s="15"/>
      <c r="R1738" s="15"/>
      <c r="S1738" s="15"/>
      <c r="T1738" s="15">
        <v>0</v>
      </c>
      <c r="U1738" s="15"/>
      <c r="V1738" s="15"/>
      <c r="W1738" s="15"/>
      <c r="X1738" s="15"/>
      <c r="Y1738" s="15"/>
      <c r="Z1738" s="15"/>
    </row>
    <row r="1739" spans="1:26" x14ac:dyDescent="0.25">
      <c r="A1739" s="15" t="s">
        <v>13793</v>
      </c>
      <c r="B1739" s="15">
        <v>1738</v>
      </c>
      <c r="C1739" s="15" t="s">
        <v>11277</v>
      </c>
      <c r="D1739" s="15" t="s">
        <v>11647</v>
      </c>
      <c r="E1739" s="15" t="s">
        <v>102</v>
      </c>
      <c r="F1739" s="15" t="s">
        <v>15220</v>
      </c>
      <c r="G1739" s="15" t="s">
        <v>108</v>
      </c>
      <c r="H1739" s="15">
        <v>20</v>
      </c>
      <c r="I1739" s="15">
        <v>13</v>
      </c>
      <c r="J1739" s="15">
        <v>75</v>
      </c>
      <c r="K1739" s="15" t="str">
        <f t="shared" si="27"/>
        <v>northlyheghiah</v>
      </c>
      <c r="L1739" s="15"/>
      <c r="M1739" s="15"/>
      <c r="N1739" s="15"/>
      <c r="O1739" s="15"/>
      <c r="P1739" s="15"/>
      <c r="Q1739" s="15"/>
      <c r="R1739" s="15"/>
      <c r="S1739" s="15"/>
      <c r="T1739" s="15">
        <v>0</v>
      </c>
      <c r="U1739" s="15"/>
      <c r="V1739" s="15"/>
      <c r="W1739" s="15"/>
      <c r="X1739" s="15"/>
      <c r="Y1739" s="15"/>
      <c r="Z1739" s="15"/>
    </row>
    <row r="1740" spans="1:26" x14ac:dyDescent="0.25">
      <c r="A1740" s="15" t="s">
        <v>13795</v>
      </c>
      <c r="B1740" s="15">
        <v>1739</v>
      </c>
      <c r="C1740" s="15" t="s">
        <v>11277</v>
      </c>
      <c r="D1740" s="15" t="s">
        <v>11647</v>
      </c>
      <c r="E1740" s="15" t="s">
        <v>102</v>
      </c>
      <c r="F1740" s="15" t="s">
        <v>2199</v>
      </c>
      <c r="G1740" s="15" t="s">
        <v>13853</v>
      </c>
      <c r="H1740" s="15">
        <v>20</v>
      </c>
      <c r="I1740" s="15">
        <v>21</v>
      </c>
      <c r="J1740" s="15">
        <v>74</v>
      </c>
      <c r="K1740" s="15" t="str">
        <f t="shared" si="27"/>
        <v>deepwoodswim</v>
      </c>
      <c r="L1740" s="15"/>
      <c r="M1740" s="15"/>
      <c r="N1740" s="15"/>
      <c r="O1740" s="15"/>
      <c r="P1740" s="15"/>
      <c r="Q1740" s="15"/>
      <c r="R1740" s="15"/>
      <c r="S1740" s="15"/>
      <c r="T1740" s="15">
        <v>0</v>
      </c>
      <c r="U1740" s="15"/>
      <c r="V1740" s="15"/>
      <c r="W1740" s="15"/>
      <c r="X1740" s="15"/>
      <c r="Y1740" s="15"/>
      <c r="Z1740" s="15"/>
    </row>
    <row r="1741" spans="1:26" x14ac:dyDescent="0.25">
      <c r="A1741" s="15" t="s">
        <v>13797</v>
      </c>
      <c r="B1741" s="15">
        <v>1740</v>
      </c>
      <c r="C1741" s="15" t="s">
        <v>11277</v>
      </c>
      <c r="D1741" s="15" t="s">
        <v>11647</v>
      </c>
      <c r="E1741" s="15" t="s">
        <v>102</v>
      </c>
      <c r="F1741" s="15" t="s">
        <v>2199</v>
      </c>
      <c r="G1741" s="15" t="s">
        <v>13855</v>
      </c>
      <c r="H1741" s="15">
        <v>20</v>
      </c>
      <c r="I1741" s="15">
        <v>21</v>
      </c>
      <c r="J1741" s="15">
        <v>74</v>
      </c>
      <c r="K1741" s="15" t="str">
        <f t="shared" si="27"/>
        <v>deepwoodswim</v>
      </c>
      <c r="L1741" s="15"/>
      <c r="M1741" s="15"/>
      <c r="N1741" s="15"/>
      <c r="O1741" s="15"/>
      <c r="P1741" s="15"/>
      <c r="Q1741" s="15"/>
      <c r="R1741" s="15"/>
      <c r="S1741" s="15"/>
      <c r="T1741" s="15">
        <v>0</v>
      </c>
      <c r="U1741" s="15"/>
      <c r="V1741" s="15"/>
      <c r="W1741" s="15"/>
      <c r="X1741" s="15"/>
      <c r="Y1741" s="15"/>
      <c r="Z1741" s="15"/>
    </row>
    <row r="1742" spans="1:26" x14ac:dyDescent="0.25">
      <c r="A1742" s="15" t="s">
        <v>13799</v>
      </c>
      <c r="B1742" s="15">
        <v>1741</v>
      </c>
      <c r="C1742" s="15" t="s">
        <v>11277</v>
      </c>
      <c r="D1742" s="15" t="s">
        <v>11647</v>
      </c>
      <c r="E1742" s="15" t="s">
        <v>102</v>
      </c>
      <c r="F1742" s="15" t="s">
        <v>2199</v>
      </c>
      <c r="G1742" s="15" t="s">
        <v>13857</v>
      </c>
      <c r="H1742" s="15">
        <v>20</v>
      </c>
      <c r="I1742" s="15">
        <v>21</v>
      </c>
      <c r="J1742" s="15">
        <v>71</v>
      </c>
      <c r="K1742" s="15" t="str">
        <f t="shared" si="27"/>
        <v>deepwoodswim</v>
      </c>
      <c r="L1742" s="15"/>
      <c r="M1742" s="15"/>
      <c r="N1742" s="15"/>
      <c r="O1742" s="15"/>
      <c r="P1742" s="15"/>
      <c r="Q1742" s="15"/>
      <c r="R1742" s="15"/>
      <c r="S1742" s="15"/>
      <c r="T1742" s="15">
        <v>0</v>
      </c>
      <c r="U1742" s="15"/>
      <c r="V1742" s="15"/>
      <c r="W1742" s="15"/>
      <c r="X1742" s="15"/>
      <c r="Y1742" s="15"/>
      <c r="Z1742" s="15"/>
    </row>
    <row r="1743" spans="1:26" x14ac:dyDescent="0.25">
      <c r="A1743" s="15" t="s">
        <v>13801</v>
      </c>
      <c r="B1743" s="15">
        <v>1742</v>
      </c>
      <c r="C1743" s="15" t="s">
        <v>11277</v>
      </c>
      <c r="D1743" s="15" t="s">
        <v>11647</v>
      </c>
      <c r="E1743" s="15" t="s">
        <v>102</v>
      </c>
      <c r="F1743" s="15" t="s">
        <v>2199</v>
      </c>
      <c r="G1743" s="15" t="s">
        <v>115</v>
      </c>
      <c r="H1743" s="15">
        <v>20</v>
      </c>
      <c r="I1743" s="15">
        <v>21</v>
      </c>
      <c r="J1743" s="15">
        <v>75</v>
      </c>
      <c r="K1743" s="15" t="str">
        <f t="shared" si="27"/>
        <v>deepwoodswim</v>
      </c>
      <c r="L1743" s="15"/>
      <c r="M1743" s="15"/>
      <c r="N1743" s="15"/>
      <c r="O1743" s="15"/>
      <c r="P1743" s="15"/>
      <c r="Q1743" s="15"/>
      <c r="R1743" s="15"/>
      <c r="S1743" s="15"/>
      <c r="T1743" s="15">
        <v>0</v>
      </c>
      <c r="U1743" s="15"/>
      <c r="V1743" s="15"/>
      <c r="W1743" s="15"/>
      <c r="X1743" s="15"/>
      <c r="Y1743" s="15"/>
      <c r="Z1743" s="15"/>
    </row>
    <row r="1744" spans="1:26" x14ac:dyDescent="0.25">
      <c r="A1744" s="15" t="s">
        <v>13803</v>
      </c>
      <c r="B1744" s="15">
        <v>1743</v>
      </c>
      <c r="C1744" s="15" t="s">
        <v>11277</v>
      </c>
      <c r="D1744" s="15" t="s">
        <v>11647</v>
      </c>
      <c r="E1744" s="15" t="s">
        <v>102</v>
      </c>
      <c r="F1744" s="15" t="s">
        <v>2199</v>
      </c>
      <c r="G1744" s="15" t="s">
        <v>13860</v>
      </c>
      <c r="H1744" s="15">
        <v>20</v>
      </c>
      <c r="I1744" s="15">
        <v>21</v>
      </c>
      <c r="J1744" s="15">
        <v>75</v>
      </c>
      <c r="K1744" s="15" t="str">
        <f t="shared" si="27"/>
        <v>deepwoodswim</v>
      </c>
      <c r="L1744" s="15"/>
      <c r="M1744" s="15"/>
      <c r="N1744" s="15"/>
      <c r="O1744" s="15"/>
      <c r="P1744" s="15"/>
      <c r="Q1744" s="15"/>
      <c r="R1744" s="15"/>
      <c r="S1744" s="15"/>
      <c r="T1744" s="15">
        <v>0</v>
      </c>
      <c r="U1744" s="15"/>
      <c r="V1744" s="15"/>
      <c r="W1744" s="15"/>
      <c r="X1744" s="15"/>
      <c r="Y1744" s="15"/>
      <c r="Z1744" s="15"/>
    </row>
    <row r="1745" spans="1:26" x14ac:dyDescent="0.25">
      <c r="A1745" s="15" t="s">
        <v>13805</v>
      </c>
      <c r="B1745" s="15">
        <v>1744</v>
      </c>
      <c r="C1745" s="15" t="s">
        <v>11277</v>
      </c>
      <c r="D1745" s="15" t="s">
        <v>11647</v>
      </c>
      <c r="E1745" s="15" t="s">
        <v>102</v>
      </c>
      <c r="F1745" s="15" t="s">
        <v>2199</v>
      </c>
      <c r="G1745" s="15" t="s">
        <v>13862</v>
      </c>
      <c r="H1745" s="15">
        <v>20</v>
      </c>
      <c r="I1745" s="15">
        <v>21</v>
      </c>
      <c r="J1745" s="15">
        <v>75</v>
      </c>
      <c r="K1745" s="15" t="str">
        <f t="shared" si="27"/>
        <v>deepwoodswim</v>
      </c>
      <c r="L1745" s="15"/>
      <c r="M1745" s="15"/>
      <c r="N1745" s="15"/>
      <c r="O1745" s="15"/>
      <c r="P1745" s="15"/>
      <c r="Q1745" s="15"/>
      <c r="R1745" s="15"/>
      <c r="S1745" s="15"/>
      <c r="T1745" s="15">
        <v>0</v>
      </c>
      <c r="U1745" s="15"/>
      <c r="V1745" s="15"/>
      <c r="W1745" s="15"/>
      <c r="X1745" s="15"/>
      <c r="Y1745" s="15"/>
      <c r="Z1745" s="15"/>
    </row>
    <row r="1746" spans="1:26" x14ac:dyDescent="0.25">
      <c r="A1746" s="15" t="s">
        <v>13807</v>
      </c>
      <c r="B1746" s="15">
        <v>1745</v>
      </c>
      <c r="C1746" s="15" t="s">
        <v>11277</v>
      </c>
      <c r="D1746" s="15" t="s">
        <v>11647</v>
      </c>
      <c r="E1746" s="15" t="s">
        <v>102</v>
      </c>
      <c r="F1746" s="15" t="s">
        <v>15221</v>
      </c>
      <c r="G1746" s="15" t="s">
        <v>13864</v>
      </c>
      <c r="H1746" s="15">
        <v>25</v>
      </c>
      <c r="I1746" s="15">
        <v>25</v>
      </c>
      <c r="J1746" s="15">
        <v>76</v>
      </c>
      <c r="K1746" s="15" t="str">
        <f t="shared" si="27"/>
        <v>centrallongmirrorlake</v>
      </c>
      <c r="L1746" s="15"/>
      <c r="M1746" s="15"/>
      <c r="N1746" s="15"/>
      <c r="O1746" s="15"/>
      <c r="P1746" s="15"/>
      <c r="Q1746" s="15"/>
      <c r="R1746" s="15"/>
      <c r="S1746" s="15"/>
      <c r="T1746" s="15">
        <v>0</v>
      </c>
      <c r="U1746" s="15"/>
      <c r="V1746" s="15"/>
      <c r="W1746" s="15"/>
      <c r="X1746" s="15"/>
      <c r="Y1746" s="15"/>
      <c r="Z1746" s="15"/>
    </row>
    <row r="1747" spans="1:26" x14ac:dyDescent="0.25">
      <c r="A1747" s="15" t="s">
        <v>13809</v>
      </c>
      <c r="B1747" s="15">
        <v>1746</v>
      </c>
      <c r="C1747" s="15" t="s">
        <v>11277</v>
      </c>
      <c r="D1747" s="15" t="s">
        <v>11647</v>
      </c>
      <c r="E1747" s="15" t="s">
        <v>102</v>
      </c>
      <c r="F1747" s="15" t="s">
        <v>15221</v>
      </c>
      <c r="G1747" s="15" t="s">
        <v>13866</v>
      </c>
      <c r="H1747" s="15">
        <v>25</v>
      </c>
      <c r="I1747" s="15">
        <v>25</v>
      </c>
      <c r="J1747" s="15">
        <v>76</v>
      </c>
      <c r="K1747" s="15" t="str">
        <f t="shared" si="27"/>
        <v>centrallongmirrorlake</v>
      </c>
      <c r="L1747" s="15"/>
      <c r="M1747" s="15"/>
      <c r="N1747" s="15"/>
      <c r="O1747" s="15"/>
      <c r="P1747" s="15"/>
      <c r="Q1747" s="15"/>
      <c r="R1747" s="15"/>
      <c r="S1747" s="15"/>
      <c r="T1747" s="15">
        <v>0</v>
      </c>
      <c r="U1747" s="15"/>
      <c r="V1747" s="15"/>
      <c r="W1747" s="15"/>
      <c r="X1747" s="15"/>
      <c r="Y1747" s="15"/>
      <c r="Z1747" s="15"/>
    </row>
    <row r="1748" spans="1:26" x14ac:dyDescent="0.25">
      <c r="A1748" s="15" t="s">
        <v>13811</v>
      </c>
      <c r="B1748" s="15">
        <v>1747</v>
      </c>
      <c r="C1748" s="15" t="s">
        <v>11277</v>
      </c>
      <c r="D1748" s="15" t="s">
        <v>11647</v>
      </c>
      <c r="E1748" s="15" t="s">
        <v>102</v>
      </c>
      <c r="F1748" s="15" t="s">
        <v>15221</v>
      </c>
      <c r="G1748" s="15" t="s">
        <v>13868</v>
      </c>
      <c r="H1748" s="15">
        <v>25</v>
      </c>
      <c r="I1748" s="15">
        <v>25</v>
      </c>
      <c r="J1748" s="15">
        <v>76</v>
      </c>
      <c r="K1748" s="15" t="str">
        <f t="shared" si="27"/>
        <v>centrallongmirrorlake</v>
      </c>
      <c r="L1748" s="15"/>
      <c r="M1748" s="15"/>
      <c r="N1748" s="15"/>
      <c r="O1748" s="15"/>
      <c r="P1748" s="15"/>
      <c r="Q1748" s="15"/>
      <c r="R1748" s="15"/>
      <c r="S1748" s="15"/>
      <c r="T1748" s="15">
        <v>0</v>
      </c>
      <c r="U1748" s="15"/>
      <c r="V1748" s="15"/>
      <c r="W1748" s="15"/>
      <c r="X1748" s="15"/>
      <c r="Y1748" s="15"/>
      <c r="Z1748" s="15"/>
    </row>
    <row r="1749" spans="1:26" x14ac:dyDescent="0.25">
      <c r="A1749" s="15" t="s">
        <v>13813</v>
      </c>
      <c r="B1749" s="15">
        <v>1748</v>
      </c>
      <c r="C1749" s="15" t="s">
        <v>11277</v>
      </c>
      <c r="D1749" s="15" t="s">
        <v>11647</v>
      </c>
      <c r="E1749" s="15" t="s">
        <v>102</v>
      </c>
      <c r="F1749" s="15" t="s">
        <v>15221</v>
      </c>
      <c r="G1749" s="15" t="s">
        <v>13870</v>
      </c>
      <c r="H1749" s="15">
        <v>25</v>
      </c>
      <c r="I1749" s="15">
        <v>25</v>
      </c>
      <c r="J1749" s="15">
        <v>76</v>
      </c>
      <c r="K1749" s="15" t="str">
        <f t="shared" si="27"/>
        <v>centrallongmirrorlake</v>
      </c>
      <c r="L1749" s="15"/>
      <c r="M1749" s="15"/>
      <c r="N1749" s="15"/>
      <c r="O1749" s="15"/>
      <c r="P1749" s="15"/>
      <c r="Q1749" s="15"/>
      <c r="R1749" s="15"/>
      <c r="S1749" s="15"/>
      <c r="T1749" s="15">
        <v>0</v>
      </c>
      <c r="U1749" s="15"/>
      <c r="V1749" s="15"/>
      <c r="W1749" s="15"/>
      <c r="X1749" s="15"/>
      <c r="Y1749" s="15"/>
      <c r="Z1749" s="15"/>
    </row>
    <row r="1750" spans="1:26" x14ac:dyDescent="0.25">
      <c r="A1750" s="15" t="s">
        <v>13815</v>
      </c>
      <c r="B1750" s="15">
        <v>1749</v>
      </c>
      <c r="C1750" s="15" t="s">
        <v>11277</v>
      </c>
      <c r="D1750" s="15" t="s">
        <v>11647</v>
      </c>
      <c r="E1750" s="15" t="s">
        <v>102</v>
      </c>
      <c r="F1750" s="15" t="s">
        <v>15221</v>
      </c>
      <c r="G1750" s="15" t="s">
        <v>13872</v>
      </c>
      <c r="H1750" s="15">
        <v>25</v>
      </c>
      <c r="I1750" s="15">
        <v>25</v>
      </c>
      <c r="J1750" s="15">
        <v>76</v>
      </c>
      <c r="K1750" s="15" t="str">
        <f t="shared" si="27"/>
        <v>centrallongmirrorlake</v>
      </c>
      <c r="L1750" s="15"/>
      <c r="M1750" s="15"/>
      <c r="N1750" s="15"/>
      <c r="O1750" s="15"/>
      <c r="P1750" s="15"/>
      <c r="Q1750" s="15"/>
      <c r="R1750" s="15"/>
      <c r="S1750" s="15"/>
      <c r="T1750" s="15">
        <v>0</v>
      </c>
      <c r="U1750" s="15"/>
      <c r="V1750" s="15"/>
      <c r="W1750" s="15"/>
      <c r="X1750" s="15"/>
      <c r="Y1750" s="15"/>
      <c r="Z1750" s="15"/>
    </row>
    <row r="1751" spans="1:26" x14ac:dyDescent="0.25">
      <c r="A1751" s="15" t="s">
        <v>13817</v>
      </c>
      <c r="B1751" s="15">
        <v>1750</v>
      </c>
      <c r="C1751" s="15" t="s">
        <v>11277</v>
      </c>
      <c r="D1751" s="15" t="s">
        <v>11647</v>
      </c>
      <c r="E1751" s="15" t="s">
        <v>102</v>
      </c>
      <c r="F1751" s="15" t="s">
        <v>15221</v>
      </c>
      <c r="G1751" s="15" t="s">
        <v>13874</v>
      </c>
      <c r="H1751" s="15">
        <v>25</v>
      </c>
      <c r="I1751" s="15">
        <v>25</v>
      </c>
      <c r="J1751" s="15">
        <v>77</v>
      </c>
      <c r="K1751" s="15" t="str">
        <f t="shared" si="27"/>
        <v>centrallongmirrorlake</v>
      </c>
      <c r="L1751" s="15"/>
      <c r="M1751" s="15"/>
      <c r="N1751" s="15"/>
      <c r="O1751" s="15"/>
      <c r="P1751" s="15"/>
      <c r="Q1751" s="15"/>
      <c r="R1751" s="15"/>
      <c r="S1751" s="15"/>
      <c r="T1751" s="15">
        <v>0</v>
      </c>
      <c r="U1751" s="15"/>
      <c r="V1751" s="15"/>
      <c r="W1751" s="15"/>
      <c r="X1751" s="15"/>
      <c r="Y1751" s="15"/>
      <c r="Z1751" s="15"/>
    </row>
    <row r="1752" spans="1:26" x14ac:dyDescent="0.25">
      <c r="A1752" s="15" t="s">
        <v>13819</v>
      </c>
      <c r="B1752" s="15">
        <v>1751</v>
      </c>
      <c r="C1752" s="15" t="s">
        <v>11277</v>
      </c>
      <c r="D1752" s="15" t="s">
        <v>11647</v>
      </c>
      <c r="E1752" s="15" t="s">
        <v>102</v>
      </c>
      <c r="F1752" s="15" t="s">
        <v>2197</v>
      </c>
      <c r="G1752" s="15" t="s">
        <v>13876</v>
      </c>
      <c r="H1752" s="15">
        <v>30</v>
      </c>
      <c r="I1752" s="15">
        <v>30</v>
      </c>
      <c r="J1752" s="15">
        <v>76</v>
      </c>
      <c r="K1752" s="15" t="str">
        <f t="shared" si="27"/>
        <v>thysmlran</v>
      </c>
      <c r="L1752" s="15"/>
      <c r="M1752" s="15"/>
      <c r="N1752" s="15"/>
      <c r="O1752" s="15"/>
      <c r="P1752" s="15"/>
      <c r="Q1752" s="15"/>
      <c r="R1752" s="15"/>
      <c r="S1752" s="15"/>
      <c r="T1752" s="15">
        <v>0</v>
      </c>
      <c r="U1752" s="15"/>
      <c r="V1752" s="15"/>
      <c r="W1752" s="15"/>
      <c r="X1752" s="15"/>
      <c r="Y1752" s="15"/>
      <c r="Z1752" s="15"/>
    </row>
    <row r="1753" spans="1:26" x14ac:dyDescent="0.25">
      <c r="A1753" s="15" t="s">
        <v>13821</v>
      </c>
      <c r="B1753" s="15">
        <v>1752</v>
      </c>
      <c r="C1753" s="15" t="s">
        <v>11277</v>
      </c>
      <c r="D1753" s="15" t="s">
        <v>11647</v>
      </c>
      <c r="E1753" s="15" t="s">
        <v>102</v>
      </c>
      <c r="F1753" s="15" t="s">
        <v>2197</v>
      </c>
      <c r="G1753" s="15" t="s">
        <v>13878</v>
      </c>
      <c r="H1753" s="15">
        <v>30</v>
      </c>
      <c r="I1753" s="15">
        <v>30</v>
      </c>
      <c r="J1753" s="15">
        <v>76</v>
      </c>
      <c r="K1753" s="15" t="str">
        <f t="shared" si="27"/>
        <v>thysmlran</v>
      </c>
      <c r="L1753" s="15"/>
      <c r="M1753" s="15"/>
      <c r="N1753" s="15"/>
      <c r="O1753" s="15"/>
      <c r="P1753" s="15"/>
      <c r="Q1753" s="15"/>
      <c r="R1753" s="15"/>
      <c r="S1753" s="15"/>
      <c r="T1753" s="15">
        <v>0</v>
      </c>
      <c r="U1753" s="15"/>
      <c r="V1753" s="15"/>
      <c r="W1753" s="15"/>
      <c r="X1753" s="15"/>
      <c r="Y1753" s="15"/>
      <c r="Z1753" s="15"/>
    </row>
    <row r="1754" spans="1:26" x14ac:dyDescent="0.25">
      <c r="A1754" s="15" t="s">
        <v>13823</v>
      </c>
      <c r="B1754" s="15">
        <v>1753</v>
      </c>
      <c r="C1754" s="15" t="s">
        <v>11277</v>
      </c>
      <c r="D1754" s="15" t="s">
        <v>11647</v>
      </c>
      <c r="E1754" s="15" t="s">
        <v>102</v>
      </c>
      <c r="F1754" s="15" t="s">
        <v>2197</v>
      </c>
      <c r="G1754" s="15" t="s">
        <v>13880</v>
      </c>
      <c r="H1754" s="15">
        <v>30</v>
      </c>
      <c r="I1754" s="15">
        <v>30</v>
      </c>
      <c r="J1754" s="15">
        <v>76</v>
      </c>
      <c r="K1754" s="15" t="str">
        <f t="shared" si="27"/>
        <v>thysmlran</v>
      </c>
      <c r="L1754" s="15"/>
      <c r="M1754" s="15"/>
      <c r="N1754" s="15"/>
      <c r="O1754" s="15"/>
      <c r="P1754" s="15"/>
      <c r="Q1754" s="15"/>
      <c r="R1754" s="15"/>
      <c r="S1754" s="15"/>
      <c r="T1754" s="15">
        <v>0</v>
      </c>
      <c r="U1754" s="15"/>
      <c r="V1754" s="15"/>
      <c r="W1754" s="15"/>
      <c r="X1754" s="15"/>
      <c r="Y1754" s="15"/>
      <c r="Z1754" s="15"/>
    </row>
    <row r="1755" spans="1:26" x14ac:dyDescent="0.25">
      <c r="A1755" s="15" t="s">
        <v>13825</v>
      </c>
      <c r="B1755" s="15">
        <v>1754</v>
      </c>
      <c r="C1755" s="15" t="s">
        <v>11277</v>
      </c>
      <c r="D1755" s="15" t="s">
        <v>11647</v>
      </c>
      <c r="E1755" s="15" t="s">
        <v>102</v>
      </c>
      <c r="F1755" s="15" t="s">
        <v>2197</v>
      </c>
      <c r="G1755" s="15" t="s">
        <v>13882</v>
      </c>
      <c r="H1755" s="15">
        <v>30</v>
      </c>
      <c r="I1755" s="15">
        <v>30</v>
      </c>
      <c r="J1755" s="15">
        <v>77</v>
      </c>
      <c r="K1755" s="15" t="str">
        <f t="shared" si="27"/>
        <v>thysmlran</v>
      </c>
      <c r="L1755" s="15"/>
      <c r="M1755" s="15"/>
      <c r="N1755" s="15"/>
      <c r="O1755" s="15"/>
      <c r="P1755" s="15"/>
      <c r="Q1755" s="15"/>
      <c r="R1755" s="15"/>
      <c r="S1755" s="15"/>
      <c r="T1755" s="15">
        <v>0</v>
      </c>
      <c r="U1755" s="15"/>
      <c r="V1755" s="15"/>
      <c r="W1755" s="15"/>
      <c r="X1755" s="15"/>
      <c r="Y1755" s="15"/>
      <c r="Z1755" s="15"/>
    </row>
    <row r="1756" spans="1:26" x14ac:dyDescent="0.25">
      <c r="A1756" s="15" t="s">
        <v>13827</v>
      </c>
      <c r="B1756" s="15">
        <v>1755</v>
      </c>
      <c r="C1756" s="15" t="s">
        <v>11277</v>
      </c>
      <c r="D1756" s="15" t="s">
        <v>11647</v>
      </c>
      <c r="E1756" s="15" t="s">
        <v>102</v>
      </c>
      <c r="F1756" s="15" t="s">
        <v>2197</v>
      </c>
      <c r="G1756" s="15" t="s">
        <v>13884</v>
      </c>
      <c r="H1756" s="15">
        <v>30</v>
      </c>
      <c r="I1756" s="15">
        <v>30</v>
      </c>
      <c r="J1756" s="15">
        <v>77</v>
      </c>
      <c r="K1756" s="15" t="str">
        <f t="shared" si="27"/>
        <v>thysmlran</v>
      </c>
      <c r="L1756" s="15"/>
      <c r="M1756" s="15"/>
      <c r="N1756" s="15"/>
      <c r="O1756" s="15"/>
      <c r="P1756" s="15"/>
      <c r="Q1756" s="15"/>
      <c r="R1756" s="15"/>
      <c r="S1756" s="15"/>
      <c r="T1756" s="15">
        <v>0</v>
      </c>
      <c r="U1756" s="15"/>
      <c r="V1756" s="15"/>
      <c r="W1756" s="15"/>
      <c r="X1756" s="15"/>
      <c r="Y1756" s="15"/>
      <c r="Z1756" s="15"/>
    </row>
    <row r="1757" spans="1:26" x14ac:dyDescent="0.25">
      <c r="A1757" s="15" t="s">
        <v>13829</v>
      </c>
      <c r="B1757" s="15">
        <v>1756</v>
      </c>
      <c r="C1757" s="15" t="s">
        <v>11277</v>
      </c>
      <c r="D1757" s="15" t="s">
        <v>11647</v>
      </c>
      <c r="E1757" s="15" t="s">
        <v>102</v>
      </c>
      <c r="F1757" s="15" t="s">
        <v>2197</v>
      </c>
      <c r="G1757" s="15" t="s">
        <v>13886</v>
      </c>
      <c r="H1757" s="15">
        <v>30</v>
      </c>
      <c r="I1757" s="15">
        <v>30</v>
      </c>
      <c r="J1757" s="15">
        <v>77</v>
      </c>
      <c r="K1757" s="15" t="str">
        <f t="shared" si="27"/>
        <v>thysmlran</v>
      </c>
      <c r="L1757" s="15"/>
      <c r="M1757" s="15"/>
      <c r="N1757" s="15"/>
      <c r="O1757" s="15"/>
      <c r="P1757" s="15"/>
      <c r="Q1757" s="15"/>
      <c r="R1757" s="15"/>
      <c r="S1757" s="15"/>
      <c r="T1757" s="15">
        <v>0</v>
      </c>
      <c r="U1757" s="15"/>
      <c r="V1757" s="15"/>
      <c r="W1757" s="15"/>
      <c r="X1757" s="15"/>
      <c r="Y1757" s="15"/>
      <c r="Z1757" s="15"/>
    </row>
    <row r="1758" spans="1:26" x14ac:dyDescent="0.25">
      <c r="A1758" s="15" t="s">
        <v>13831</v>
      </c>
      <c r="B1758" s="15">
        <v>1757</v>
      </c>
      <c r="C1758" s="15" t="s">
        <v>11277</v>
      </c>
      <c r="D1758" s="15" t="s">
        <v>11647</v>
      </c>
      <c r="E1758" s="15" t="s">
        <v>102</v>
      </c>
      <c r="F1758" s="15" t="s">
        <v>15222</v>
      </c>
      <c r="G1758" s="15" t="s">
        <v>13888</v>
      </c>
      <c r="H1758" s="15">
        <v>29</v>
      </c>
      <c r="I1758" s="15">
        <v>38</v>
      </c>
      <c r="J1758" s="15">
        <v>76</v>
      </c>
      <c r="K1758" s="15" t="str">
        <f t="shared" si="27"/>
        <v>southlongmirrorlake</v>
      </c>
      <c r="L1758" s="15"/>
      <c r="M1758" s="15"/>
      <c r="N1758" s="15"/>
      <c r="O1758" s="15"/>
      <c r="P1758" s="15"/>
      <c r="Q1758" s="15"/>
      <c r="R1758" s="15"/>
      <c r="S1758" s="15"/>
      <c r="T1758" s="15">
        <v>0</v>
      </c>
      <c r="U1758" s="15"/>
      <c r="V1758" s="15"/>
      <c r="W1758" s="15"/>
      <c r="X1758" s="15"/>
      <c r="Y1758" s="15"/>
      <c r="Z1758" s="15"/>
    </row>
    <row r="1759" spans="1:26" x14ac:dyDescent="0.25">
      <c r="A1759" s="15" t="s">
        <v>13833</v>
      </c>
      <c r="B1759" s="15">
        <v>1758</v>
      </c>
      <c r="C1759" s="15" t="s">
        <v>11277</v>
      </c>
      <c r="D1759" s="15" t="s">
        <v>11647</v>
      </c>
      <c r="E1759" s="15" t="s">
        <v>102</v>
      </c>
      <c r="F1759" s="15" t="s">
        <v>15222</v>
      </c>
      <c r="G1759" s="15" t="s">
        <v>13890</v>
      </c>
      <c r="H1759" s="15">
        <v>29</v>
      </c>
      <c r="I1759" s="15">
        <v>38</v>
      </c>
      <c r="J1759" s="15">
        <v>76</v>
      </c>
      <c r="K1759" s="15" t="str">
        <f t="shared" si="27"/>
        <v>southlongmirrorlake</v>
      </c>
      <c r="L1759" s="15"/>
      <c r="M1759" s="15"/>
      <c r="N1759" s="15"/>
      <c r="O1759" s="15"/>
      <c r="P1759" s="15"/>
      <c r="Q1759" s="15"/>
      <c r="R1759" s="15"/>
      <c r="S1759" s="15"/>
      <c r="T1759" s="15">
        <v>0</v>
      </c>
      <c r="U1759" s="15"/>
      <c r="V1759" s="15"/>
      <c r="W1759" s="15"/>
      <c r="X1759" s="15"/>
      <c r="Y1759" s="15"/>
      <c r="Z1759" s="15"/>
    </row>
    <row r="1760" spans="1:26" x14ac:dyDescent="0.25">
      <c r="A1760" s="15" t="s">
        <v>13835</v>
      </c>
      <c r="B1760" s="15">
        <v>1759</v>
      </c>
      <c r="C1760" s="15" t="s">
        <v>11277</v>
      </c>
      <c r="D1760" s="15" t="s">
        <v>11647</v>
      </c>
      <c r="E1760" s="15" t="s">
        <v>102</v>
      </c>
      <c r="F1760" s="15" t="s">
        <v>15222</v>
      </c>
      <c r="G1760" s="15" t="s">
        <v>13892</v>
      </c>
      <c r="H1760" s="15">
        <v>29</v>
      </c>
      <c r="I1760" s="15">
        <v>38</v>
      </c>
      <c r="J1760" s="15">
        <v>78</v>
      </c>
      <c r="K1760" s="15" t="str">
        <f t="shared" si="27"/>
        <v>southlongmirrorlake</v>
      </c>
      <c r="L1760" s="15"/>
      <c r="M1760" s="15"/>
      <c r="N1760" s="15"/>
      <c r="O1760" s="15"/>
      <c r="P1760" s="15"/>
      <c r="Q1760" s="15"/>
      <c r="R1760" s="15"/>
      <c r="S1760" s="15"/>
      <c r="T1760" s="15">
        <v>0</v>
      </c>
      <c r="U1760" s="15"/>
      <c r="V1760" s="15"/>
      <c r="W1760" s="15"/>
      <c r="X1760" s="15"/>
      <c r="Y1760" s="15"/>
      <c r="Z1760" s="15"/>
    </row>
    <row r="1761" spans="1:26" x14ac:dyDescent="0.25">
      <c r="A1761" s="15" t="s">
        <v>13837</v>
      </c>
      <c r="B1761" s="15">
        <v>1760</v>
      </c>
      <c r="C1761" s="15" t="s">
        <v>11277</v>
      </c>
      <c r="D1761" s="15" t="s">
        <v>11647</v>
      </c>
      <c r="E1761" s="15" t="s">
        <v>102</v>
      </c>
      <c r="F1761" s="15" t="s">
        <v>15222</v>
      </c>
      <c r="G1761" s="15" t="s">
        <v>13894</v>
      </c>
      <c r="H1761" s="15">
        <v>29</v>
      </c>
      <c r="I1761" s="15">
        <v>38</v>
      </c>
      <c r="J1761" s="15">
        <v>78</v>
      </c>
      <c r="K1761" s="15" t="str">
        <f t="shared" si="27"/>
        <v>southlongmirrorlake</v>
      </c>
      <c r="L1761" s="15"/>
      <c r="M1761" s="15"/>
      <c r="N1761" s="15"/>
      <c r="O1761" s="15"/>
      <c r="P1761" s="15"/>
      <c r="Q1761" s="15"/>
      <c r="R1761" s="15"/>
      <c r="S1761" s="15"/>
      <c r="T1761" s="15">
        <v>0</v>
      </c>
      <c r="U1761" s="15"/>
      <c r="V1761" s="15"/>
      <c r="W1761" s="15"/>
      <c r="X1761" s="15"/>
      <c r="Y1761" s="15"/>
      <c r="Z1761" s="15"/>
    </row>
    <row r="1762" spans="1:26" x14ac:dyDescent="0.25">
      <c r="A1762" s="15" t="s">
        <v>13839</v>
      </c>
      <c r="B1762" s="15">
        <v>1761</v>
      </c>
      <c r="C1762" s="15" t="s">
        <v>11277</v>
      </c>
      <c r="D1762" s="15" t="s">
        <v>11647</v>
      </c>
      <c r="E1762" s="15" t="s">
        <v>102</v>
      </c>
      <c r="F1762" s="15" t="s">
        <v>15222</v>
      </c>
      <c r="G1762" s="15" t="s">
        <v>13896</v>
      </c>
      <c r="H1762" s="15">
        <v>29</v>
      </c>
      <c r="I1762" s="15">
        <v>38</v>
      </c>
      <c r="J1762" s="15">
        <v>78</v>
      </c>
      <c r="K1762" s="15" t="str">
        <f t="shared" si="27"/>
        <v>southlongmirrorlake</v>
      </c>
      <c r="L1762" s="15"/>
      <c r="M1762" s="15"/>
      <c r="N1762" s="15"/>
      <c r="O1762" s="15"/>
      <c r="P1762" s="15"/>
      <c r="Q1762" s="15"/>
      <c r="R1762" s="15"/>
      <c r="S1762" s="15"/>
      <c r="T1762" s="15">
        <v>0</v>
      </c>
      <c r="U1762" s="15"/>
      <c r="V1762" s="15"/>
      <c r="W1762" s="15"/>
      <c r="X1762" s="15"/>
      <c r="Y1762" s="15"/>
      <c r="Z1762" s="15"/>
    </row>
    <row r="1763" spans="1:26" x14ac:dyDescent="0.25">
      <c r="A1763" s="15" t="s">
        <v>13841</v>
      </c>
      <c r="B1763" s="15">
        <v>1762</v>
      </c>
      <c r="C1763" s="15" t="s">
        <v>11277</v>
      </c>
      <c r="D1763" s="15" t="s">
        <v>11647</v>
      </c>
      <c r="E1763" s="15" t="s">
        <v>102</v>
      </c>
      <c r="F1763" s="15" t="s">
        <v>15222</v>
      </c>
      <c r="G1763" s="15" t="s">
        <v>13898</v>
      </c>
      <c r="H1763" s="15">
        <v>29</v>
      </c>
      <c r="I1763" s="15">
        <v>38</v>
      </c>
      <c r="J1763" s="15">
        <v>78</v>
      </c>
      <c r="K1763" s="15" t="str">
        <f t="shared" si="27"/>
        <v>southlongmirrorlake</v>
      </c>
      <c r="L1763" s="15"/>
      <c r="M1763" s="15"/>
      <c r="N1763" s="15"/>
      <c r="O1763" s="15"/>
      <c r="P1763" s="15"/>
      <c r="Q1763" s="15"/>
      <c r="R1763" s="15"/>
      <c r="S1763" s="15"/>
      <c r="T1763" s="15">
        <v>0</v>
      </c>
      <c r="U1763" s="15"/>
      <c r="V1763" s="15"/>
      <c r="W1763" s="15"/>
      <c r="X1763" s="15"/>
      <c r="Y1763" s="15"/>
      <c r="Z1763" s="15"/>
    </row>
    <row r="1764" spans="1:26" x14ac:dyDescent="0.25">
      <c r="A1764" s="15" t="s">
        <v>13843</v>
      </c>
      <c r="B1764" s="15">
        <v>1763</v>
      </c>
      <c r="C1764" s="15" t="s">
        <v>11277</v>
      </c>
      <c r="D1764" s="15" t="s">
        <v>11647</v>
      </c>
      <c r="E1764" s="15" t="s">
        <v>102</v>
      </c>
      <c r="F1764" s="15" t="s">
        <v>15223</v>
      </c>
      <c r="G1764" s="15" t="s">
        <v>13866</v>
      </c>
      <c r="H1764" s="15">
        <v>29</v>
      </c>
      <c r="I1764" s="15">
        <v>25</v>
      </c>
      <c r="J1764" s="15">
        <v>76</v>
      </c>
      <c r="K1764" s="15" t="str">
        <f t="shared" si="27"/>
        <v>eastlongmirrorlake</v>
      </c>
      <c r="L1764" s="15"/>
      <c r="M1764" s="15"/>
      <c r="N1764" s="15"/>
      <c r="O1764" s="15"/>
      <c r="P1764" s="15"/>
      <c r="Q1764" s="15"/>
      <c r="R1764" s="15"/>
      <c r="S1764" s="15"/>
      <c r="T1764" s="15">
        <v>0</v>
      </c>
      <c r="U1764" s="15"/>
      <c r="V1764" s="15"/>
      <c r="W1764" s="15"/>
      <c r="X1764" s="15"/>
      <c r="Y1764" s="15"/>
      <c r="Z1764" s="15"/>
    </row>
    <row r="1765" spans="1:26" x14ac:dyDescent="0.25">
      <c r="A1765" s="15" t="s">
        <v>13845</v>
      </c>
      <c r="B1765" s="15">
        <v>1764</v>
      </c>
      <c r="C1765" s="15" t="s">
        <v>11277</v>
      </c>
      <c r="D1765" s="15" t="s">
        <v>11647</v>
      </c>
      <c r="E1765" s="15" t="s">
        <v>102</v>
      </c>
      <c r="F1765" s="15" t="s">
        <v>15223</v>
      </c>
      <c r="G1765" s="15" t="s">
        <v>13876</v>
      </c>
      <c r="H1765" s="15">
        <v>29</v>
      </c>
      <c r="I1765" s="15">
        <v>25</v>
      </c>
      <c r="J1765" s="15">
        <v>76</v>
      </c>
      <c r="K1765" s="15" t="str">
        <f t="shared" si="27"/>
        <v>eastlongmirrorlake</v>
      </c>
      <c r="L1765" s="15"/>
      <c r="M1765" s="15"/>
      <c r="N1765" s="15"/>
      <c r="O1765" s="15"/>
      <c r="P1765" s="15"/>
      <c r="Q1765" s="15"/>
      <c r="R1765" s="15"/>
      <c r="S1765" s="15"/>
      <c r="T1765" s="15">
        <v>0</v>
      </c>
      <c r="U1765" s="15"/>
      <c r="V1765" s="15"/>
      <c r="W1765" s="15"/>
      <c r="X1765" s="15"/>
      <c r="Y1765" s="15"/>
      <c r="Z1765" s="15"/>
    </row>
    <row r="1766" spans="1:26" x14ac:dyDescent="0.25">
      <c r="A1766" s="15" t="s">
        <v>13847</v>
      </c>
      <c r="B1766" s="15">
        <v>1765</v>
      </c>
      <c r="C1766" s="15" t="s">
        <v>11277</v>
      </c>
      <c r="D1766" s="15" t="s">
        <v>11647</v>
      </c>
      <c r="E1766" s="15" t="s">
        <v>102</v>
      </c>
      <c r="F1766" s="15" t="s">
        <v>15223</v>
      </c>
      <c r="G1766" s="15" t="s">
        <v>13884</v>
      </c>
      <c r="H1766" s="15">
        <v>29</v>
      </c>
      <c r="I1766" s="15">
        <v>25</v>
      </c>
      <c r="J1766" s="15">
        <v>77</v>
      </c>
      <c r="K1766" s="15" t="str">
        <f t="shared" si="27"/>
        <v>eastlongmirrorlake</v>
      </c>
      <c r="L1766" s="15"/>
      <c r="M1766" s="15"/>
      <c r="N1766" s="15"/>
      <c r="O1766" s="15"/>
      <c r="P1766" s="15"/>
      <c r="Q1766" s="15"/>
      <c r="R1766" s="15"/>
      <c r="S1766" s="15"/>
      <c r="T1766" s="15">
        <v>0</v>
      </c>
      <c r="U1766" s="15"/>
      <c r="V1766" s="15"/>
      <c r="W1766" s="15"/>
      <c r="X1766" s="15"/>
      <c r="Y1766" s="15"/>
      <c r="Z1766" s="15"/>
    </row>
    <row r="1767" spans="1:26" x14ac:dyDescent="0.25">
      <c r="A1767" s="15" t="s">
        <v>13849</v>
      </c>
      <c r="B1767" s="15">
        <v>1766</v>
      </c>
      <c r="C1767" s="15" t="s">
        <v>11277</v>
      </c>
      <c r="D1767" s="15" t="s">
        <v>11647</v>
      </c>
      <c r="E1767" s="15" t="s">
        <v>102</v>
      </c>
      <c r="F1767" s="15" t="s">
        <v>15223</v>
      </c>
      <c r="G1767" s="15" t="s">
        <v>13896</v>
      </c>
      <c r="H1767" s="15">
        <v>29</v>
      </c>
      <c r="I1767" s="15">
        <v>25</v>
      </c>
      <c r="J1767" s="15">
        <v>78</v>
      </c>
      <c r="K1767" s="15" t="str">
        <f t="shared" si="27"/>
        <v>eastlongmirrorlake</v>
      </c>
      <c r="L1767" s="15"/>
      <c r="M1767" s="15"/>
      <c r="N1767" s="15"/>
      <c r="O1767" s="15"/>
      <c r="P1767" s="15"/>
      <c r="Q1767" s="15"/>
      <c r="R1767" s="15"/>
      <c r="S1767" s="15"/>
      <c r="T1767" s="15">
        <v>0</v>
      </c>
      <c r="U1767" s="15"/>
      <c r="V1767" s="15"/>
      <c r="W1767" s="15"/>
      <c r="X1767" s="15"/>
      <c r="Y1767" s="15"/>
      <c r="Z1767" s="15"/>
    </row>
    <row r="1768" spans="1:26" x14ac:dyDescent="0.25">
      <c r="A1768" s="15" t="s">
        <v>13851</v>
      </c>
      <c r="B1768" s="15">
        <v>1767</v>
      </c>
      <c r="C1768" s="15" t="s">
        <v>11277</v>
      </c>
      <c r="D1768" s="15" t="s">
        <v>11647</v>
      </c>
      <c r="E1768" s="15" t="s">
        <v>102</v>
      </c>
      <c r="F1768" s="15" t="s">
        <v>15223</v>
      </c>
      <c r="G1768" s="15" t="s">
        <v>13900</v>
      </c>
      <c r="H1768" s="15">
        <v>29</v>
      </c>
      <c r="I1768" s="15">
        <v>25</v>
      </c>
      <c r="J1768" s="15">
        <v>79</v>
      </c>
      <c r="K1768" s="15" t="str">
        <f t="shared" si="27"/>
        <v>eastlongmirrorlake</v>
      </c>
      <c r="L1768" s="15"/>
      <c r="M1768" s="15"/>
      <c r="N1768" s="15"/>
      <c r="O1768" s="15"/>
      <c r="P1768" s="15"/>
      <c r="Q1768" s="15"/>
      <c r="R1768" s="15"/>
      <c r="S1768" s="15"/>
      <c r="T1768" s="15">
        <v>0</v>
      </c>
      <c r="U1768" s="15"/>
      <c r="V1768" s="15"/>
      <c r="W1768" s="15"/>
      <c r="X1768" s="15"/>
      <c r="Y1768" s="15"/>
      <c r="Z1768" s="15"/>
    </row>
    <row r="1769" spans="1:26" x14ac:dyDescent="0.25">
      <c r="A1769" s="15" t="s">
        <v>13852</v>
      </c>
      <c r="B1769" s="15">
        <v>1768</v>
      </c>
      <c r="C1769" s="15" t="s">
        <v>11277</v>
      </c>
      <c r="D1769" s="15" t="s">
        <v>11647</v>
      </c>
      <c r="E1769" s="15" t="s">
        <v>102</v>
      </c>
      <c r="F1769" s="15" t="s">
        <v>15223</v>
      </c>
      <c r="G1769" s="15" t="s">
        <v>13902</v>
      </c>
      <c r="H1769" s="15">
        <v>29</v>
      </c>
      <c r="I1769" s="15">
        <v>25</v>
      </c>
      <c r="J1769" s="15">
        <v>80</v>
      </c>
      <c r="K1769" s="15" t="str">
        <f t="shared" si="27"/>
        <v>eastlongmirrorlake</v>
      </c>
      <c r="L1769" s="15"/>
      <c r="M1769" s="15"/>
      <c r="N1769" s="15"/>
      <c r="O1769" s="15"/>
      <c r="P1769" s="15"/>
      <c r="Q1769" s="15"/>
      <c r="R1769" s="15"/>
      <c r="S1769" s="15"/>
      <c r="T1769" s="15">
        <v>0</v>
      </c>
      <c r="U1769" s="15"/>
      <c r="V1769" s="15"/>
      <c r="W1769" s="15"/>
      <c r="X1769" s="15"/>
      <c r="Y1769" s="15"/>
      <c r="Z1769" s="15"/>
    </row>
    <row r="1770" spans="1:26" x14ac:dyDescent="0.25">
      <c r="A1770" s="15" t="s">
        <v>13854</v>
      </c>
      <c r="B1770" s="15">
        <v>1769</v>
      </c>
      <c r="C1770" s="15" t="s">
        <v>11277</v>
      </c>
      <c r="D1770" s="15" t="s">
        <v>11647</v>
      </c>
      <c r="E1770" s="15" t="s">
        <v>102</v>
      </c>
      <c r="F1770" s="15" t="s">
        <v>2201</v>
      </c>
      <c r="G1770" s="15" t="s">
        <v>13864</v>
      </c>
      <c r="H1770" s="15">
        <v>15</v>
      </c>
      <c r="I1770" s="15">
        <v>17</v>
      </c>
      <c r="J1770" s="15">
        <v>76</v>
      </c>
      <c r="K1770" s="15" t="str">
        <f t="shared" si="27"/>
        <v>thehouseofthefirstlight</v>
      </c>
      <c r="L1770" s="15"/>
      <c r="M1770" s="15"/>
      <c r="N1770" s="15"/>
      <c r="O1770" s="15"/>
      <c r="P1770" s="15"/>
      <c r="Q1770" s="15"/>
      <c r="R1770" s="15"/>
      <c r="S1770" s="15"/>
      <c r="T1770" s="15">
        <v>0</v>
      </c>
      <c r="U1770" s="15"/>
      <c r="V1770" s="15"/>
      <c r="W1770" s="15"/>
      <c r="X1770" s="15"/>
      <c r="Y1770" s="15"/>
      <c r="Z1770" s="15"/>
    </row>
    <row r="1771" spans="1:26" x14ac:dyDescent="0.25">
      <c r="A1771" s="15" t="s">
        <v>13856</v>
      </c>
      <c r="B1771" s="15">
        <v>1770</v>
      </c>
      <c r="C1771" s="15" t="s">
        <v>11277</v>
      </c>
      <c r="D1771" s="15" t="s">
        <v>11647</v>
      </c>
      <c r="E1771" s="15" t="s">
        <v>102</v>
      </c>
      <c r="F1771" s="15" t="s">
        <v>2201</v>
      </c>
      <c r="G1771" s="15" t="s">
        <v>13880</v>
      </c>
      <c r="H1771" s="15">
        <v>15</v>
      </c>
      <c r="I1771" s="15">
        <v>17</v>
      </c>
      <c r="J1771" s="15">
        <v>76</v>
      </c>
      <c r="K1771" s="15" t="str">
        <f t="shared" si="27"/>
        <v>thehouseofthefirstlight</v>
      </c>
      <c r="L1771" s="15"/>
      <c r="M1771" s="15"/>
      <c r="N1771" s="15"/>
      <c r="O1771" s="15"/>
      <c r="P1771" s="15"/>
      <c r="Q1771" s="15"/>
      <c r="R1771" s="15"/>
      <c r="S1771" s="15"/>
      <c r="T1771" s="15">
        <v>0</v>
      </c>
      <c r="U1771" s="15"/>
      <c r="V1771" s="15"/>
      <c r="W1771" s="15"/>
      <c r="X1771" s="15"/>
      <c r="Y1771" s="15"/>
      <c r="Z1771" s="15"/>
    </row>
    <row r="1772" spans="1:26" x14ac:dyDescent="0.25">
      <c r="A1772" s="15" t="s">
        <v>13858</v>
      </c>
      <c r="B1772" s="15">
        <v>1771</v>
      </c>
      <c r="C1772" s="15" t="s">
        <v>11277</v>
      </c>
      <c r="D1772" s="15" t="s">
        <v>11647</v>
      </c>
      <c r="E1772" s="15" t="s">
        <v>102</v>
      </c>
      <c r="F1772" s="15" t="s">
        <v>2201</v>
      </c>
      <c r="G1772" s="15" t="s">
        <v>13886</v>
      </c>
      <c r="H1772" s="15">
        <v>15</v>
      </c>
      <c r="I1772" s="15">
        <v>17</v>
      </c>
      <c r="J1772" s="15">
        <v>77</v>
      </c>
      <c r="K1772" s="15" t="str">
        <f t="shared" si="27"/>
        <v>thehouseofthefirstlight</v>
      </c>
      <c r="L1772" s="15"/>
      <c r="M1772" s="15"/>
      <c r="N1772" s="15"/>
      <c r="O1772" s="15"/>
      <c r="P1772" s="15"/>
      <c r="Q1772" s="15"/>
      <c r="R1772" s="15"/>
      <c r="S1772" s="15"/>
      <c r="T1772" s="15">
        <v>0</v>
      </c>
      <c r="U1772" s="15"/>
      <c r="V1772" s="15"/>
      <c r="W1772" s="15"/>
      <c r="X1772" s="15"/>
      <c r="Y1772" s="15"/>
      <c r="Z1772" s="15"/>
    </row>
    <row r="1773" spans="1:26" x14ac:dyDescent="0.25">
      <c r="A1773" s="15" t="s">
        <v>13859</v>
      </c>
      <c r="B1773" s="15">
        <v>1772</v>
      </c>
      <c r="C1773" s="15" t="s">
        <v>11277</v>
      </c>
      <c r="D1773" s="15" t="s">
        <v>11647</v>
      </c>
      <c r="E1773" s="15" t="s">
        <v>133</v>
      </c>
      <c r="F1773" s="15" t="s">
        <v>2201</v>
      </c>
      <c r="G1773" s="15" t="s">
        <v>13904</v>
      </c>
      <c r="H1773" s="15">
        <v>15</v>
      </c>
      <c r="I1773" s="15">
        <v>17</v>
      </c>
      <c r="J1773" s="15">
        <v>84</v>
      </c>
      <c r="K1773" s="15" t="str">
        <f t="shared" si="27"/>
        <v>thehouseofthefirstlight</v>
      </c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spans="1:26" x14ac:dyDescent="0.25">
      <c r="A1774" s="15" t="s">
        <v>13861</v>
      </c>
      <c r="B1774" s="15">
        <v>1773</v>
      </c>
      <c r="C1774" s="15" t="s">
        <v>11277</v>
      </c>
      <c r="D1774" s="15" t="s">
        <v>11277</v>
      </c>
      <c r="E1774" s="15" t="s">
        <v>102</v>
      </c>
      <c r="F1774" s="15" t="s">
        <v>2243</v>
      </c>
      <c r="G1774" s="15" t="s">
        <v>13806</v>
      </c>
      <c r="H1774" s="15">
        <v>7</v>
      </c>
      <c r="I1774" s="15">
        <v>28</v>
      </c>
      <c r="J1774" s="15">
        <v>74</v>
      </c>
      <c r="K1774" s="15" t="str">
        <f t="shared" si="27"/>
        <v>laketusimekta</v>
      </c>
      <c r="L1774" s="15" t="s">
        <v>13521</v>
      </c>
      <c r="M1774" s="15">
        <v>1</v>
      </c>
      <c r="N1774" s="15" t="s">
        <v>11222</v>
      </c>
      <c r="O1774" s="15"/>
      <c r="P1774" s="15"/>
      <c r="Q1774" s="15"/>
      <c r="R1774" s="15"/>
      <c r="S1774" s="15"/>
      <c r="T1774" s="15">
        <v>0</v>
      </c>
      <c r="U1774" s="15"/>
      <c r="V1774" s="15"/>
      <c r="W1774" s="15"/>
      <c r="X1774" s="15"/>
      <c r="Y1774" s="15"/>
      <c r="Z1774" s="15"/>
    </row>
    <row r="1775" spans="1:26" x14ac:dyDescent="0.25">
      <c r="A1775" s="15" t="s">
        <v>13863</v>
      </c>
      <c r="B1775" s="15">
        <v>1774</v>
      </c>
      <c r="C1775" s="15" t="s">
        <v>11277</v>
      </c>
      <c r="D1775" s="15" t="s">
        <v>11277</v>
      </c>
      <c r="E1775" s="15" t="s">
        <v>102</v>
      </c>
      <c r="F1775" s="15" t="s">
        <v>2243</v>
      </c>
      <c r="G1775" s="15" t="s">
        <v>13808</v>
      </c>
      <c r="H1775" s="15">
        <v>7</v>
      </c>
      <c r="I1775" s="15">
        <v>28</v>
      </c>
      <c r="J1775" s="15">
        <v>74</v>
      </c>
      <c r="K1775" s="15" t="str">
        <f t="shared" si="27"/>
        <v>laketusimekta</v>
      </c>
      <c r="L1775" s="15" t="s">
        <v>13521</v>
      </c>
      <c r="M1775" s="15">
        <v>1</v>
      </c>
      <c r="N1775" s="15" t="s">
        <v>11222</v>
      </c>
      <c r="O1775" s="15"/>
      <c r="P1775" s="15"/>
      <c r="Q1775" s="15" t="s">
        <v>13812</v>
      </c>
      <c r="R1775" s="15"/>
      <c r="S1775" s="15"/>
      <c r="T1775" s="15">
        <v>0</v>
      </c>
      <c r="U1775" s="15"/>
      <c r="V1775" s="15"/>
      <c r="W1775" s="15"/>
      <c r="X1775" s="15"/>
      <c r="Y1775" s="15"/>
      <c r="Z1775" s="15"/>
    </row>
    <row r="1776" spans="1:26" x14ac:dyDescent="0.25">
      <c r="A1776" s="15" t="s">
        <v>13865</v>
      </c>
      <c r="B1776" s="15">
        <v>1775</v>
      </c>
      <c r="C1776" s="15" t="s">
        <v>11277</v>
      </c>
      <c r="D1776" s="15" t="s">
        <v>11277</v>
      </c>
      <c r="E1776" s="15" t="s">
        <v>102</v>
      </c>
      <c r="F1776" s="15" t="s">
        <v>2243</v>
      </c>
      <c r="G1776" s="15" t="s">
        <v>13810</v>
      </c>
      <c r="H1776" s="15">
        <v>7</v>
      </c>
      <c r="I1776" s="15">
        <v>28</v>
      </c>
      <c r="J1776" s="15">
        <v>75</v>
      </c>
      <c r="K1776" s="15" t="str">
        <f t="shared" si="27"/>
        <v>laketusimekta</v>
      </c>
      <c r="L1776" s="15" t="s">
        <v>13521</v>
      </c>
      <c r="M1776" s="15">
        <v>1</v>
      </c>
      <c r="N1776" s="15" t="s">
        <v>11222</v>
      </c>
      <c r="O1776" s="15"/>
      <c r="P1776" s="15"/>
      <c r="Q1776" s="15" t="s">
        <v>13812</v>
      </c>
      <c r="R1776" s="15"/>
      <c r="S1776" s="15"/>
      <c r="T1776" s="15">
        <v>0</v>
      </c>
      <c r="U1776" s="15"/>
      <c r="V1776" s="15"/>
      <c r="W1776" s="15"/>
      <c r="X1776" s="15"/>
      <c r="Y1776" s="15"/>
      <c r="Z1776" s="15"/>
    </row>
    <row r="1777" spans="1:26" x14ac:dyDescent="0.25">
      <c r="A1777" s="15" t="s">
        <v>13867</v>
      </c>
      <c r="B1777" s="15">
        <v>1776</v>
      </c>
      <c r="C1777" s="15" t="s">
        <v>11277</v>
      </c>
      <c r="D1777" s="15" t="s">
        <v>11277</v>
      </c>
      <c r="E1777" s="15" t="s">
        <v>102</v>
      </c>
      <c r="F1777" s="15" t="s">
        <v>2243</v>
      </c>
      <c r="G1777" s="15" t="s">
        <v>13812</v>
      </c>
      <c r="H1777" s="15">
        <v>7</v>
      </c>
      <c r="I1777" s="15">
        <v>28</v>
      </c>
      <c r="J1777" s="15">
        <v>76</v>
      </c>
      <c r="K1777" s="15" t="str">
        <f t="shared" si="27"/>
        <v>laketusimekta</v>
      </c>
      <c r="L1777" s="15" t="s">
        <v>13521</v>
      </c>
      <c r="M1777" s="15">
        <v>1</v>
      </c>
      <c r="N1777" s="15" t="s">
        <v>11222</v>
      </c>
      <c r="O1777" s="15"/>
      <c r="P1777" s="15"/>
      <c r="Q1777" s="15"/>
      <c r="R1777" s="15"/>
      <c r="S1777" s="15"/>
      <c r="T1777" s="15">
        <v>0</v>
      </c>
      <c r="U1777" s="15"/>
      <c r="V1777" s="15"/>
      <c r="W1777" s="15"/>
      <c r="X1777" s="15"/>
      <c r="Y1777" s="15"/>
      <c r="Z1777" s="15"/>
    </row>
    <row r="1778" spans="1:26" x14ac:dyDescent="0.25">
      <c r="A1778" s="15" t="s">
        <v>13869</v>
      </c>
      <c r="B1778" s="15">
        <v>1777</v>
      </c>
      <c r="C1778" s="15" t="s">
        <v>11277</v>
      </c>
      <c r="D1778" s="15" t="s">
        <v>11277</v>
      </c>
      <c r="E1778" s="15" t="s">
        <v>102</v>
      </c>
      <c r="F1778" s="15" t="s">
        <v>2243</v>
      </c>
      <c r="G1778" s="15" t="s">
        <v>13814</v>
      </c>
      <c r="H1778" s="15">
        <v>7</v>
      </c>
      <c r="I1778" s="15">
        <v>28</v>
      </c>
      <c r="J1778" s="15">
        <v>76</v>
      </c>
      <c r="K1778" s="15" t="str">
        <f t="shared" si="27"/>
        <v>laketusimekta</v>
      </c>
      <c r="L1778" s="15" t="s">
        <v>13812</v>
      </c>
      <c r="M1778" s="15">
        <v>2</v>
      </c>
      <c r="N1778" s="15" t="s">
        <v>11223</v>
      </c>
      <c r="O1778" s="15"/>
      <c r="P1778" s="15"/>
      <c r="Q1778" s="15" t="s">
        <v>13812</v>
      </c>
      <c r="R1778" s="15"/>
      <c r="S1778" s="15"/>
      <c r="T1778" s="15">
        <v>0</v>
      </c>
      <c r="U1778" s="15"/>
      <c r="V1778" s="15"/>
      <c r="W1778" s="15"/>
      <c r="X1778" s="15"/>
      <c r="Y1778" s="15"/>
      <c r="Z1778" s="15"/>
    </row>
    <row r="1779" spans="1:26" x14ac:dyDescent="0.25">
      <c r="A1779" s="15" t="s">
        <v>13871</v>
      </c>
      <c r="B1779" s="15">
        <v>1778</v>
      </c>
      <c r="C1779" s="15" t="s">
        <v>11277</v>
      </c>
      <c r="D1779" s="15" t="s">
        <v>11277</v>
      </c>
      <c r="E1779" s="15" t="s">
        <v>133</v>
      </c>
      <c r="F1779" s="15" t="s">
        <v>2243</v>
      </c>
      <c r="G1779" s="15" t="s">
        <v>13816</v>
      </c>
      <c r="H1779" s="15">
        <v>7</v>
      </c>
      <c r="I1779" s="15">
        <v>28</v>
      </c>
      <c r="J1779" s="15">
        <v>90</v>
      </c>
      <c r="K1779" s="15" t="str">
        <f t="shared" si="27"/>
        <v>laketusimekta</v>
      </c>
      <c r="L1779" s="15" t="s">
        <v>13560</v>
      </c>
      <c r="M1779" s="15">
        <v>2</v>
      </c>
      <c r="N1779" s="15" t="s">
        <v>11223</v>
      </c>
      <c r="O1779" s="15"/>
      <c r="P1779" s="15"/>
      <c r="Q1779" s="15"/>
      <c r="R1779" s="15"/>
      <c r="S1779" s="15"/>
      <c r="T1779" s="15">
        <v>0</v>
      </c>
      <c r="U1779" s="15"/>
      <c r="V1779" s="15"/>
      <c r="W1779" s="15"/>
      <c r="X1779" s="15"/>
      <c r="Y1779" s="15"/>
      <c r="Z1779" s="15"/>
    </row>
    <row r="1780" spans="1:26" x14ac:dyDescent="0.25">
      <c r="A1780" s="15" t="s">
        <v>13873</v>
      </c>
      <c r="B1780" s="15">
        <v>1779</v>
      </c>
      <c r="C1780" s="15" t="s">
        <v>11277</v>
      </c>
      <c r="D1780" s="15" t="s">
        <v>11277</v>
      </c>
      <c r="E1780" s="15" t="s">
        <v>102</v>
      </c>
      <c r="F1780" s="15" t="s">
        <v>2243</v>
      </c>
      <c r="G1780" s="15" t="s">
        <v>13818</v>
      </c>
      <c r="H1780" s="15">
        <v>7</v>
      </c>
      <c r="I1780" s="15">
        <v>28</v>
      </c>
      <c r="J1780" s="15">
        <v>80</v>
      </c>
      <c r="K1780" s="15" t="str">
        <f t="shared" si="27"/>
        <v>laketusimekta</v>
      </c>
      <c r="L1780" s="15" t="s">
        <v>13814</v>
      </c>
      <c r="M1780" s="15">
        <v>3</v>
      </c>
      <c r="N1780" s="15" t="s">
        <v>11223</v>
      </c>
      <c r="O1780" s="15" t="s">
        <v>2817</v>
      </c>
      <c r="P1780" s="15"/>
      <c r="Q1780" s="15" t="s">
        <v>13814</v>
      </c>
      <c r="R1780" s="15"/>
      <c r="S1780" s="15"/>
      <c r="T1780" s="15">
        <v>0</v>
      </c>
      <c r="U1780" s="15"/>
      <c r="V1780" s="15"/>
      <c r="W1780" s="15"/>
      <c r="X1780" s="15"/>
      <c r="Y1780" s="15"/>
      <c r="Z1780" s="15"/>
    </row>
    <row r="1781" spans="1:26" x14ac:dyDescent="0.25">
      <c r="A1781" s="15" t="s">
        <v>13875</v>
      </c>
      <c r="B1781" s="15">
        <v>1780</v>
      </c>
      <c r="C1781" s="15" t="s">
        <v>11277</v>
      </c>
      <c r="D1781" s="15" t="s">
        <v>11277</v>
      </c>
      <c r="E1781" s="15" t="s">
        <v>102</v>
      </c>
      <c r="F1781" s="15" t="s">
        <v>2243</v>
      </c>
      <c r="G1781" s="15" t="s">
        <v>13820</v>
      </c>
      <c r="H1781" s="15">
        <v>7</v>
      </c>
      <c r="I1781" s="15">
        <v>28</v>
      </c>
      <c r="J1781" s="15">
        <v>80</v>
      </c>
      <c r="K1781" s="15" t="str">
        <f t="shared" si="27"/>
        <v>laketusimekta</v>
      </c>
      <c r="L1781" s="15" t="s">
        <v>13818</v>
      </c>
      <c r="M1781" s="15">
        <v>3</v>
      </c>
      <c r="N1781" s="15" t="s">
        <v>11223</v>
      </c>
      <c r="O1781" s="15" t="s">
        <v>2817</v>
      </c>
      <c r="P1781" s="15"/>
      <c r="Q1781" s="15" t="s">
        <v>13818</v>
      </c>
      <c r="R1781" s="15"/>
      <c r="S1781" s="15"/>
      <c r="T1781" s="15">
        <v>0</v>
      </c>
      <c r="U1781" s="15"/>
      <c r="V1781" s="15"/>
      <c r="W1781" s="15"/>
      <c r="X1781" s="15"/>
      <c r="Y1781" s="15"/>
      <c r="Z1781" s="15"/>
    </row>
    <row r="1782" spans="1:26" x14ac:dyDescent="0.25">
      <c r="A1782" s="15" t="s">
        <v>13877</v>
      </c>
      <c r="B1782" s="15">
        <v>1781</v>
      </c>
      <c r="C1782" s="15" t="s">
        <v>11277</v>
      </c>
      <c r="D1782" s="15" t="s">
        <v>11277</v>
      </c>
      <c r="E1782" s="15" t="s">
        <v>102</v>
      </c>
      <c r="F1782" s="15" t="s">
        <v>2233</v>
      </c>
      <c r="G1782" s="15" t="s">
        <v>13806</v>
      </c>
      <c r="H1782" s="15">
        <v>9</v>
      </c>
      <c r="I1782" s="15">
        <v>20</v>
      </c>
      <c r="J1782" s="15">
        <v>74</v>
      </c>
      <c r="K1782" s="15" t="str">
        <f t="shared" si="27"/>
        <v>theredchalice</v>
      </c>
      <c r="L1782" s="15" t="s">
        <v>13516</v>
      </c>
      <c r="M1782" s="15">
        <v>1</v>
      </c>
      <c r="N1782" s="15" t="s">
        <v>11222</v>
      </c>
      <c r="O1782" s="15"/>
      <c r="P1782" s="15"/>
      <c r="Q1782" s="15"/>
      <c r="R1782" s="15"/>
      <c r="S1782" s="15"/>
      <c r="T1782" s="15">
        <v>0</v>
      </c>
      <c r="U1782" s="15"/>
      <c r="V1782" s="15"/>
      <c r="W1782" s="15"/>
      <c r="X1782" s="15"/>
      <c r="Y1782" s="15"/>
      <c r="Z1782" s="15"/>
    </row>
    <row r="1783" spans="1:26" x14ac:dyDescent="0.25">
      <c r="A1783" s="15" t="s">
        <v>13879</v>
      </c>
      <c r="B1783" s="15">
        <v>1782</v>
      </c>
      <c r="C1783" s="15" t="s">
        <v>11277</v>
      </c>
      <c r="D1783" s="15" t="s">
        <v>11277</v>
      </c>
      <c r="E1783" s="15" t="s">
        <v>102</v>
      </c>
      <c r="F1783" s="15" t="s">
        <v>2233</v>
      </c>
      <c r="G1783" s="15" t="s">
        <v>13808</v>
      </c>
      <c r="H1783" s="15">
        <v>9</v>
      </c>
      <c r="I1783" s="15">
        <v>20</v>
      </c>
      <c r="J1783" s="15">
        <v>74</v>
      </c>
      <c r="K1783" s="15" t="str">
        <f t="shared" si="27"/>
        <v>theredchalice</v>
      </c>
      <c r="L1783" s="15" t="s">
        <v>13516</v>
      </c>
      <c r="M1783" s="15">
        <v>1</v>
      </c>
      <c r="N1783" s="15" t="s">
        <v>11222</v>
      </c>
      <c r="O1783" s="15"/>
      <c r="P1783" s="15"/>
      <c r="Q1783" s="15" t="s">
        <v>13812</v>
      </c>
      <c r="R1783" s="15"/>
      <c r="S1783" s="15"/>
      <c r="T1783" s="15">
        <v>0</v>
      </c>
      <c r="U1783" s="15"/>
      <c r="V1783" s="15"/>
      <c r="W1783" s="15"/>
      <c r="X1783" s="15"/>
      <c r="Y1783" s="15"/>
      <c r="Z1783" s="15"/>
    </row>
    <row r="1784" spans="1:26" x14ac:dyDescent="0.25">
      <c r="A1784" s="15" t="s">
        <v>13881</v>
      </c>
      <c r="B1784" s="15">
        <v>1783</v>
      </c>
      <c r="C1784" s="15" t="s">
        <v>11277</v>
      </c>
      <c r="D1784" s="15" t="s">
        <v>11277</v>
      </c>
      <c r="E1784" s="15" t="s">
        <v>102</v>
      </c>
      <c r="F1784" s="15" t="s">
        <v>2233</v>
      </c>
      <c r="G1784" s="15" t="s">
        <v>13822</v>
      </c>
      <c r="H1784" s="15">
        <v>9</v>
      </c>
      <c r="I1784" s="15">
        <v>20</v>
      </c>
      <c r="J1784" s="15">
        <v>74</v>
      </c>
      <c r="K1784" s="15" t="str">
        <f t="shared" si="27"/>
        <v>theredchalice</v>
      </c>
      <c r="L1784" s="15" t="s">
        <v>13521</v>
      </c>
      <c r="M1784" s="15">
        <v>2</v>
      </c>
      <c r="N1784" s="15" t="s">
        <v>11223</v>
      </c>
      <c r="O1784" s="15"/>
      <c r="P1784" s="15"/>
      <c r="Q1784" s="15"/>
      <c r="R1784" s="15"/>
      <c r="S1784" s="15"/>
      <c r="T1784" s="15">
        <v>0</v>
      </c>
      <c r="U1784" s="15"/>
      <c r="V1784" s="15"/>
      <c r="W1784" s="15"/>
      <c r="X1784" s="15"/>
      <c r="Y1784" s="15"/>
      <c r="Z1784" s="15"/>
    </row>
    <row r="1785" spans="1:26" x14ac:dyDescent="0.25">
      <c r="A1785" s="15" t="s">
        <v>13883</v>
      </c>
      <c r="B1785" s="15">
        <v>1784</v>
      </c>
      <c r="C1785" s="15" t="s">
        <v>11277</v>
      </c>
      <c r="D1785" s="15" t="s">
        <v>11277</v>
      </c>
      <c r="E1785" s="15" t="s">
        <v>102</v>
      </c>
      <c r="F1785" s="15" t="s">
        <v>2233</v>
      </c>
      <c r="G1785" s="15" t="s">
        <v>13824</v>
      </c>
      <c r="H1785" s="15">
        <v>9</v>
      </c>
      <c r="I1785" s="15">
        <v>20</v>
      </c>
      <c r="J1785" s="15">
        <v>75</v>
      </c>
      <c r="K1785" s="15" t="str">
        <f t="shared" si="27"/>
        <v>theredchalice</v>
      </c>
      <c r="L1785" s="15" t="s">
        <v>13521</v>
      </c>
      <c r="M1785" s="15">
        <v>2</v>
      </c>
      <c r="N1785" s="15" t="s">
        <v>11223</v>
      </c>
      <c r="O1785" s="15"/>
      <c r="P1785" s="15"/>
      <c r="Q1785" s="15"/>
      <c r="R1785" s="15"/>
      <c r="S1785" s="15"/>
      <c r="T1785" s="15">
        <v>0</v>
      </c>
      <c r="U1785" s="15"/>
      <c r="V1785" s="15"/>
      <c r="W1785" s="15"/>
      <c r="X1785" s="15"/>
      <c r="Y1785" s="15"/>
      <c r="Z1785" s="15"/>
    </row>
    <row r="1786" spans="1:26" x14ac:dyDescent="0.25">
      <c r="A1786" s="15" t="s">
        <v>13885</v>
      </c>
      <c r="B1786" s="15">
        <v>1785</v>
      </c>
      <c r="C1786" s="15" t="s">
        <v>11277</v>
      </c>
      <c r="D1786" s="15" t="s">
        <v>11277</v>
      </c>
      <c r="E1786" s="15" t="s">
        <v>102</v>
      </c>
      <c r="F1786" s="15" t="s">
        <v>2233</v>
      </c>
      <c r="G1786" s="15" t="s">
        <v>13826</v>
      </c>
      <c r="H1786" s="15">
        <v>9</v>
      </c>
      <c r="I1786" s="15">
        <v>20</v>
      </c>
      <c r="J1786" s="15">
        <v>76</v>
      </c>
      <c r="K1786" s="15" t="str">
        <f t="shared" si="27"/>
        <v>theredchalice</v>
      </c>
      <c r="L1786" s="15" t="s">
        <v>13521</v>
      </c>
      <c r="M1786" s="15">
        <v>2</v>
      </c>
      <c r="N1786" s="15" t="s">
        <v>11223</v>
      </c>
      <c r="O1786" s="15" t="s">
        <v>14023</v>
      </c>
      <c r="P1786" s="15"/>
      <c r="Q1786" s="15"/>
      <c r="R1786" s="15"/>
      <c r="S1786" s="15"/>
      <c r="T1786" s="15">
        <v>0</v>
      </c>
      <c r="U1786" s="15"/>
      <c r="V1786" s="15"/>
      <c r="W1786" s="15"/>
      <c r="X1786" s="15"/>
      <c r="Y1786" s="15"/>
      <c r="Z1786" s="15"/>
    </row>
    <row r="1787" spans="1:26" x14ac:dyDescent="0.25">
      <c r="A1787" s="15" t="s">
        <v>13887</v>
      </c>
      <c r="B1787" s="15">
        <v>1786</v>
      </c>
      <c r="C1787" s="15" t="s">
        <v>11277</v>
      </c>
      <c r="D1787" s="15" t="s">
        <v>11277</v>
      </c>
      <c r="E1787" s="15" t="s">
        <v>102</v>
      </c>
      <c r="F1787" s="15" t="s">
        <v>2233</v>
      </c>
      <c r="G1787" s="15" t="s">
        <v>13828</v>
      </c>
      <c r="H1787" s="15">
        <v>9</v>
      </c>
      <c r="I1787" s="15">
        <v>20</v>
      </c>
      <c r="J1787" s="15">
        <v>80</v>
      </c>
      <c r="K1787" s="15" t="str">
        <f t="shared" si="27"/>
        <v>theredchalice</v>
      </c>
      <c r="L1787" s="15" t="s">
        <v>13826</v>
      </c>
      <c r="M1787" s="15">
        <v>3</v>
      </c>
      <c r="N1787" s="15" t="s">
        <v>11223</v>
      </c>
      <c r="O1787" s="15" t="s">
        <v>2822</v>
      </c>
      <c r="P1787" s="15"/>
      <c r="Q1787" s="15"/>
      <c r="R1787" s="15"/>
      <c r="S1787" s="15"/>
      <c r="T1787" s="15">
        <v>0</v>
      </c>
      <c r="U1787" s="15"/>
      <c r="V1787" s="15"/>
      <c r="W1787" s="15"/>
      <c r="X1787" s="15"/>
      <c r="Y1787" s="15"/>
      <c r="Z1787" s="15"/>
    </row>
    <row r="1788" spans="1:26" x14ac:dyDescent="0.25">
      <c r="A1788" s="15" t="s">
        <v>13889</v>
      </c>
      <c r="B1788" s="15">
        <v>1787</v>
      </c>
      <c r="C1788" s="15" t="s">
        <v>11277</v>
      </c>
      <c r="D1788" s="15" t="s">
        <v>11277</v>
      </c>
      <c r="E1788" s="15" t="s">
        <v>102</v>
      </c>
      <c r="F1788" s="15" t="s">
        <v>15224</v>
      </c>
      <c r="G1788" s="15" t="s">
        <v>13806</v>
      </c>
      <c r="H1788" s="15">
        <v>16</v>
      </c>
      <c r="I1788" s="15">
        <v>21</v>
      </c>
      <c r="J1788" s="15">
        <v>74</v>
      </c>
      <c r="K1788" s="15" t="str">
        <f t="shared" si="27"/>
        <v>thelozatl</v>
      </c>
      <c r="L1788" s="15" t="s">
        <v>13516</v>
      </c>
      <c r="M1788" s="15">
        <v>1</v>
      </c>
      <c r="N1788" s="15" t="s">
        <v>11222</v>
      </c>
      <c r="O1788" s="15"/>
      <c r="P1788" s="15"/>
      <c r="Q1788" s="15"/>
      <c r="R1788" s="15"/>
      <c r="S1788" s="15"/>
      <c r="T1788" s="15">
        <v>0</v>
      </c>
      <c r="U1788" s="15"/>
      <c r="V1788" s="15"/>
      <c r="W1788" s="15"/>
      <c r="X1788" s="15"/>
      <c r="Y1788" s="15"/>
      <c r="Z1788" s="15"/>
    </row>
    <row r="1789" spans="1:26" x14ac:dyDescent="0.25">
      <c r="A1789" s="15" t="s">
        <v>13891</v>
      </c>
      <c r="B1789" s="15">
        <v>1788</v>
      </c>
      <c r="C1789" s="15" t="s">
        <v>11277</v>
      </c>
      <c r="D1789" s="15" t="s">
        <v>11277</v>
      </c>
      <c r="E1789" s="15" t="s">
        <v>102</v>
      </c>
      <c r="F1789" s="15" t="s">
        <v>15224</v>
      </c>
      <c r="G1789" s="15" t="s">
        <v>13808</v>
      </c>
      <c r="H1789" s="15">
        <v>16</v>
      </c>
      <c r="I1789" s="15">
        <v>21</v>
      </c>
      <c r="J1789" s="15">
        <v>74</v>
      </c>
      <c r="K1789" s="15" t="str">
        <f t="shared" si="27"/>
        <v>thelozatl</v>
      </c>
      <c r="L1789" s="15" t="s">
        <v>13516</v>
      </c>
      <c r="M1789" s="15">
        <v>1</v>
      </c>
      <c r="N1789" s="15" t="s">
        <v>11222</v>
      </c>
      <c r="O1789" s="15"/>
      <c r="P1789" s="15"/>
      <c r="Q1789" s="15" t="s">
        <v>13812</v>
      </c>
      <c r="R1789" s="15"/>
      <c r="S1789" s="15"/>
      <c r="T1789" s="15">
        <v>0</v>
      </c>
      <c r="U1789" s="15"/>
      <c r="V1789" s="15"/>
      <c r="W1789" s="15"/>
      <c r="X1789" s="15"/>
      <c r="Y1789" s="15"/>
      <c r="Z1789" s="15"/>
    </row>
    <row r="1790" spans="1:26" x14ac:dyDescent="0.25">
      <c r="A1790" s="15" t="s">
        <v>13893</v>
      </c>
      <c r="B1790" s="15">
        <v>1789</v>
      </c>
      <c r="C1790" s="15" t="s">
        <v>11277</v>
      </c>
      <c r="D1790" s="15" t="s">
        <v>11277</v>
      </c>
      <c r="E1790" s="15" t="s">
        <v>102</v>
      </c>
      <c r="F1790" s="15" t="s">
        <v>15224</v>
      </c>
      <c r="G1790" s="15" t="s">
        <v>13830</v>
      </c>
      <c r="H1790" s="15">
        <v>16</v>
      </c>
      <c r="I1790" s="15">
        <v>21</v>
      </c>
      <c r="J1790" s="15">
        <v>75</v>
      </c>
      <c r="K1790" s="15" t="str">
        <f t="shared" si="27"/>
        <v>thelozatl</v>
      </c>
      <c r="L1790" s="15" t="s">
        <v>13521</v>
      </c>
      <c r="M1790" s="15">
        <v>1</v>
      </c>
      <c r="N1790" s="15" t="s">
        <v>11222</v>
      </c>
      <c r="O1790" s="15"/>
      <c r="P1790" s="15"/>
      <c r="Q1790" s="15"/>
      <c r="R1790" s="15"/>
      <c r="S1790" s="15"/>
      <c r="T1790" s="15">
        <v>0</v>
      </c>
      <c r="U1790" s="15"/>
      <c r="V1790" s="15"/>
      <c r="W1790" s="15"/>
      <c r="X1790" s="15"/>
      <c r="Y1790" s="15"/>
      <c r="Z1790" s="15"/>
    </row>
    <row r="1791" spans="1:26" x14ac:dyDescent="0.25">
      <c r="A1791" s="15" t="s">
        <v>13895</v>
      </c>
      <c r="B1791" s="15">
        <v>1790</v>
      </c>
      <c r="C1791" s="15" t="s">
        <v>11277</v>
      </c>
      <c r="D1791" s="15" t="s">
        <v>11277</v>
      </c>
      <c r="E1791" s="15" t="s">
        <v>102</v>
      </c>
      <c r="F1791" s="15" t="s">
        <v>15224</v>
      </c>
      <c r="G1791" s="15" t="s">
        <v>13832</v>
      </c>
      <c r="H1791" s="15">
        <v>16</v>
      </c>
      <c r="I1791" s="15">
        <v>21</v>
      </c>
      <c r="J1791" s="15">
        <v>75</v>
      </c>
      <c r="K1791" s="15" t="str">
        <f t="shared" si="27"/>
        <v>thelozatl</v>
      </c>
      <c r="L1791" s="15" t="s">
        <v>13521</v>
      </c>
      <c r="M1791" s="15">
        <v>1</v>
      </c>
      <c r="N1791" s="15" t="s">
        <v>11222</v>
      </c>
      <c r="O1791" s="15"/>
      <c r="P1791" s="15"/>
      <c r="Q1791" s="15"/>
      <c r="R1791" s="15"/>
      <c r="S1791" s="15"/>
      <c r="T1791" s="15">
        <v>0</v>
      </c>
      <c r="U1791" s="15"/>
      <c r="V1791" s="15"/>
      <c r="W1791" s="15"/>
      <c r="X1791" s="15"/>
      <c r="Y1791" s="15"/>
      <c r="Z1791" s="15"/>
    </row>
    <row r="1792" spans="1:26" x14ac:dyDescent="0.25">
      <c r="A1792" s="15" t="s">
        <v>13897</v>
      </c>
      <c r="B1792" s="15">
        <v>1791</v>
      </c>
      <c r="C1792" s="15" t="s">
        <v>11277</v>
      </c>
      <c r="D1792" s="15" t="s">
        <v>11277</v>
      </c>
      <c r="E1792" s="15" t="s">
        <v>102</v>
      </c>
      <c r="F1792" s="15" t="s">
        <v>15224</v>
      </c>
      <c r="G1792" s="15" t="s">
        <v>13834</v>
      </c>
      <c r="H1792" s="15">
        <v>16</v>
      </c>
      <c r="I1792" s="15">
        <v>21</v>
      </c>
      <c r="J1792" s="15">
        <v>77</v>
      </c>
      <c r="K1792" s="15" t="str">
        <f t="shared" si="27"/>
        <v>thelozatl</v>
      </c>
      <c r="L1792" s="15" t="s">
        <v>13521</v>
      </c>
      <c r="M1792" s="15">
        <v>1</v>
      </c>
      <c r="N1792" s="15" t="s">
        <v>11222</v>
      </c>
      <c r="O1792" s="15"/>
      <c r="P1792" s="15"/>
      <c r="Q1792" s="15"/>
      <c r="R1792" s="15"/>
      <c r="S1792" s="15"/>
      <c r="T1792" s="15">
        <v>0</v>
      </c>
      <c r="U1792" s="15"/>
      <c r="V1792" s="15"/>
      <c r="W1792" s="15"/>
      <c r="X1792" s="15"/>
      <c r="Y1792" s="15"/>
      <c r="Z1792" s="15"/>
    </row>
    <row r="1793" spans="1:26" x14ac:dyDescent="0.25">
      <c r="A1793" s="15" t="s">
        <v>13899</v>
      </c>
      <c r="B1793" s="15">
        <v>1792</v>
      </c>
      <c r="C1793" s="15" t="s">
        <v>11277</v>
      </c>
      <c r="D1793" s="15" t="s">
        <v>11277</v>
      </c>
      <c r="E1793" s="15" t="s">
        <v>102</v>
      </c>
      <c r="F1793" s="15" t="s">
        <v>15224</v>
      </c>
      <c r="G1793" s="15" t="s">
        <v>13836</v>
      </c>
      <c r="H1793" s="15">
        <v>16</v>
      </c>
      <c r="I1793" s="15">
        <v>21</v>
      </c>
      <c r="J1793" s="15">
        <v>80</v>
      </c>
      <c r="K1793" s="15" t="str">
        <f t="shared" si="27"/>
        <v>thelozatl</v>
      </c>
      <c r="L1793" s="15" t="s">
        <v>13521</v>
      </c>
      <c r="M1793" s="15">
        <v>3</v>
      </c>
      <c r="N1793" s="15" t="s">
        <v>11222</v>
      </c>
      <c r="O1793" s="15" t="s">
        <v>11298</v>
      </c>
      <c r="P1793" s="15"/>
      <c r="Q1793" s="15"/>
      <c r="R1793" s="15"/>
      <c r="S1793" s="15"/>
      <c r="T1793" s="15">
        <v>2</v>
      </c>
      <c r="U1793" s="15" t="s">
        <v>5908</v>
      </c>
      <c r="V1793" s="15" t="s">
        <v>5914</v>
      </c>
      <c r="W1793" s="15"/>
      <c r="X1793" s="15" t="s">
        <v>5892</v>
      </c>
      <c r="Y1793" s="15"/>
      <c r="Z1793" s="15"/>
    </row>
    <row r="1794" spans="1:26" x14ac:dyDescent="0.25">
      <c r="A1794" s="15" t="s">
        <v>13901</v>
      </c>
      <c r="B1794" s="15">
        <v>1793</v>
      </c>
      <c r="C1794" s="15" t="s">
        <v>11277</v>
      </c>
      <c r="D1794" s="15" t="s">
        <v>11277</v>
      </c>
      <c r="E1794" s="15" t="s">
        <v>102</v>
      </c>
      <c r="F1794" s="15" t="s">
        <v>15225</v>
      </c>
      <c r="G1794" s="15" t="s">
        <v>13806</v>
      </c>
      <c r="H1794" s="15">
        <v>24</v>
      </c>
      <c r="I1794" s="15">
        <v>31</v>
      </c>
      <c r="J1794" s="15">
        <v>74</v>
      </c>
      <c r="K1794" s="15" t="str">
        <f t="shared" ref="K1794:K1857" si="28">LOWER(SUBSTITUTE(SUBSTITUTE(SUBSTITUTE(SUBSTITUTE(SUBSTITUTE(F1794," ",""),"(",""),")",""),"'",""),"-",""))</f>
        <v>southmjrlsregret</v>
      </c>
      <c r="L1794" s="15" t="s">
        <v>13516</v>
      </c>
      <c r="M1794" s="15">
        <v>1</v>
      </c>
      <c r="N1794" s="15" t="s">
        <v>11222</v>
      </c>
      <c r="O1794" s="15"/>
      <c r="P1794" s="15"/>
      <c r="Q1794" s="15"/>
      <c r="R1794" s="15"/>
      <c r="S1794" s="15"/>
      <c r="T1794" s="15">
        <v>0</v>
      </c>
      <c r="U1794" s="15"/>
      <c r="V1794" s="15"/>
      <c r="W1794" s="15"/>
      <c r="X1794" s="15"/>
      <c r="Y1794" s="15"/>
      <c r="Z1794" s="15"/>
    </row>
    <row r="1795" spans="1:26" x14ac:dyDescent="0.25">
      <c r="A1795" s="15" t="s">
        <v>13903</v>
      </c>
      <c r="B1795" s="15">
        <v>1794</v>
      </c>
      <c r="C1795" s="15" t="s">
        <v>11277</v>
      </c>
      <c r="D1795" s="15" t="s">
        <v>11277</v>
      </c>
      <c r="E1795" s="15" t="s">
        <v>102</v>
      </c>
      <c r="F1795" s="15" t="s">
        <v>15225</v>
      </c>
      <c r="G1795" s="15" t="s">
        <v>13808</v>
      </c>
      <c r="H1795" s="15">
        <v>24</v>
      </c>
      <c r="I1795" s="15">
        <v>31</v>
      </c>
      <c r="J1795" s="15">
        <v>74</v>
      </c>
      <c r="K1795" s="15" t="str">
        <f t="shared" si="28"/>
        <v>southmjrlsregret</v>
      </c>
      <c r="L1795" s="15" t="s">
        <v>13516</v>
      </c>
      <c r="M1795" s="15">
        <v>1</v>
      </c>
      <c r="N1795" s="15" t="s">
        <v>11222</v>
      </c>
      <c r="O1795" s="15"/>
      <c r="P1795" s="15"/>
      <c r="Q1795" s="15" t="s">
        <v>13812</v>
      </c>
      <c r="R1795" s="15"/>
      <c r="S1795" s="15"/>
      <c r="T1795" s="15">
        <v>0</v>
      </c>
      <c r="U1795" s="15"/>
      <c r="V1795" s="15"/>
      <c r="W1795" s="15"/>
      <c r="X1795" s="15"/>
      <c r="Y1795" s="15"/>
      <c r="Z1795" s="15"/>
    </row>
    <row r="1796" spans="1:26" x14ac:dyDescent="0.25">
      <c r="A1796" s="15" t="s">
        <v>13905</v>
      </c>
      <c r="B1796" s="15">
        <v>1795</v>
      </c>
      <c r="C1796" s="15" t="s">
        <v>11277</v>
      </c>
      <c r="D1796" s="15" t="s">
        <v>11277</v>
      </c>
      <c r="E1796" s="15" t="s">
        <v>102</v>
      </c>
      <c r="F1796" s="15" t="s">
        <v>15225</v>
      </c>
      <c r="G1796" s="15" t="s">
        <v>13830</v>
      </c>
      <c r="H1796" s="15">
        <v>24</v>
      </c>
      <c r="I1796" s="15">
        <v>31</v>
      </c>
      <c r="J1796" s="15">
        <v>75</v>
      </c>
      <c r="K1796" s="15" t="str">
        <f t="shared" si="28"/>
        <v>southmjrlsregret</v>
      </c>
      <c r="L1796" s="15" t="s">
        <v>13521</v>
      </c>
      <c r="M1796" s="15">
        <v>1</v>
      </c>
      <c r="N1796" s="15" t="s">
        <v>11222</v>
      </c>
      <c r="O1796" s="15"/>
      <c r="P1796" s="15"/>
      <c r="Q1796" s="15"/>
      <c r="R1796" s="15"/>
      <c r="S1796" s="15"/>
      <c r="T1796" s="15">
        <v>0</v>
      </c>
      <c r="U1796" s="15"/>
      <c r="V1796" s="15"/>
      <c r="W1796" s="15"/>
      <c r="X1796" s="15"/>
      <c r="Y1796" s="15"/>
      <c r="Z1796" s="15"/>
    </row>
    <row r="1797" spans="1:26" x14ac:dyDescent="0.25">
      <c r="A1797" s="15" t="s">
        <v>13907</v>
      </c>
      <c r="B1797" s="15">
        <v>1796</v>
      </c>
      <c r="C1797" s="15" t="s">
        <v>11277</v>
      </c>
      <c r="D1797" s="15" t="s">
        <v>11277</v>
      </c>
      <c r="E1797" s="15" t="s">
        <v>102</v>
      </c>
      <c r="F1797" s="15" t="s">
        <v>15225</v>
      </c>
      <c r="G1797" s="15" t="s">
        <v>13832</v>
      </c>
      <c r="H1797" s="15">
        <v>24</v>
      </c>
      <c r="I1797" s="15">
        <v>31</v>
      </c>
      <c r="J1797" s="15">
        <v>75</v>
      </c>
      <c r="K1797" s="15" t="str">
        <f t="shared" si="28"/>
        <v>southmjrlsregret</v>
      </c>
      <c r="L1797" s="15" t="s">
        <v>13521</v>
      </c>
      <c r="M1797" s="15">
        <v>1</v>
      </c>
      <c r="N1797" s="15" t="s">
        <v>11222</v>
      </c>
      <c r="O1797" s="15"/>
      <c r="P1797" s="15"/>
      <c r="Q1797" s="15"/>
      <c r="R1797" s="15"/>
      <c r="S1797" s="15"/>
      <c r="T1797" s="15">
        <v>0</v>
      </c>
      <c r="U1797" s="15"/>
      <c r="V1797" s="15"/>
      <c r="W1797" s="15"/>
      <c r="X1797" s="15"/>
      <c r="Y1797" s="15"/>
      <c r="Z1797" s="15"/>
    </row>
    <row r="1798" spans="1:26" x14ac:dyDescent="0.25">
      <c r="A1798" s="15" t="s">
        <v>13909</v>
      </c>
      <c r="B1798" s="15">
        <v>1797</v>
      </c>
      <c r="C1798" s="15" t="s">
        <v>11277</v>
      </c>
      <c r="D1798" s="15" t="s">
        <v>11277</v>
      </c>
      <c r="E1798" s="15" t="s">
        <v>102</v>
      </c>
      <c r="F1798" s="15" t="s">
        <v>15225</v>
      </c>
      <c r="G1798" s="15" t="s">
        <v>13810</v>
      </c>
      <c r="H1798" s="15">
        <v>24</v>
      </c>
      <c r="I1798" s="15">
        <v>31</v>
      </c>
      <c r="J1798" s="15">
        <v>75</v>
      </c>
      <c r="K1798" s="15" t="str">
        <f t="shared" si="28"/>
        <v>southmjrlsregret</v>
      </c>
      <c r="L1798" s="15" t="s">
        <v>13521</v>
      </c>
      <c r="M1798" s="15">
        <v>1</v>
      </c>
      <c r="N1798" s="15" t="s">
        <v>11222</v>
      </c>
      <c r="O1798" s="15"/>
      <c r="P1798" s="15"/>
      <c r="Q1798" s="15" t="s">
        <v>13812</v>
      </c>
      <c r="R1798" s="15"/>
      <c r="S1798" s="15"/>
      <c r="T1798" s="15">
        <v>0</v>
      </c>
      <c r="U1798" s="15"/>
      <c r="V1798" s="15"/>
      <c r="W1798" s="15"/>
      <c r="X1798" s="15"/>
      <c r="Y1798" s="15"/>
      <c r="Z1798" s="15"/>
    </row>
    <row r="1799" spans="1:26" x14ac:dyDescent="0.25">
      <c r="A1799" s="15" t="s">
        <v>13911</v>
      </c>
      <c r="B1799" s="15">
        <v>1798</v>
      </c>
      <c r="C1799" s="15" t="s">
        <v>11277</v>
      </c>
      <c r="D1799" s="15" t="s">
        <v>11277</v>
      </c>
      <c r="E1799" s="15" t="s">
        <v>102</v>
      </c>
      <c r="F1799" s="15" t="s">
        <v>15225</v>
      </c>
      <c r="G1799" s="15" t="s">
        <v>13838</v>
      </c>
      <c r="H1799" s="15">
        <v>24</v>
      </c>
      <c r="I1799" s="15">
        <v>31</v>
      </c>
      <c r="J1799" s="15">
        <v>77</v>
      </c>
      <c r="K1799" s="15" t="str">
        <f t="shared" si="28"/>
        <v>southmjrlsregret</v>
      </c>
      <c r="L1799" s="15" t="s">
        <v>13537</v>
      </c>
      <c r="M1799" s="15">
        <v>1</v>
      </c>
      <c r="N1799" s="15" t="s">
        <v>11222</v>
      </c>
      <c r="O1799" s="15"/>
      <c r="P1799" s="15"/>
      <c r="Q1799" s="15"/>
      <c r="R1799" s="15"/>
      <c r="S1799" s="15"/>
      <c r="T1799" s="15">
        <v>0</v>
      </c>
      <c r="U1799" s="15"/>
      <c r="V1799" s="15"/>
      <c r="W1799" s="15"/>
      <c r="X1799" s="15"/>
      <c r="Y1799" s="15"/>
      <c r="Z1799" s="15"/>
    </row>
    <row r="1800" spans="1:26" x14ac:dyDescent="0.25">
      <c r="A1800" s="15" t="s">
        <v>13913</v>
      </c>
      <c r="B1800" s="15">
        <v>1799</v>
      </c>
      <c r="C1800" s="15" t="s">
        <v>11277</v>
      </c>
      <c r="D1800" s="15" t="s">
        <v>11277</v>
      </c>
      <c r="E1800" s="15" t="s">
        <v>102</v>
      </c>
      <c r="F1800" s="15" t="s">
        <v>15225</v>
      </c>
      <c r="G1800" s="15" t="s">
        <v>13840</v>
      </c>
      <c r="H1800" s="15">
        <v>24</v>
      </c>
      <c r="I1800" s="15">
        <v>31</v>
      </c>
      <c r="J1800" s="15">
        <v>80</v>
      </c>
      <c r="K1800" s="15" t="str">
        <f t="shared" si="28"/>
        <v>southmjrlsregret</v>
      </c>
      <c r="L1800" s="15" t="s">
        <v>13537</v>
      </c>
      <c r="M1800" s="15">
        <v>3</v>
      </c>
      <c r="N1800" s="15" t="s">
        <v>11222</v>
      </c>
      <c r="O1800" s="15" t="s">
        <v>14055</v>
      </c>
      <c r="P1800" s="15"/>
      <c r="Q1800" s="15"/>
      <c r="R1800" s="15"/>
      <c r="S1800" s="15"/>
      <c r="T1800" s="15">
        <v>2</v>
      </c>
      <c r="U1800" s="15" t="s">
        <v>5893</v>
      </c>
      <c r="V1800" s="15" t="s">
        <v>5892</v>
      </c>
      <c r="W1800" s="15"/>
      <c r="X1800" s="15" t="s">
        <v>5914</v>
      </c>
      <c r="Y1800" s="15"/>
      <c r="Z1800" s="15"/>
    </row>
    <row r="1801" spans="1:26" x14ac:dyDescent="0.25">
      <c r="A1801" s="15" t="s">
        <v>13915</v>
      </c>
      <c r="B1801" s="15">
        <v>1800</v>
      </c>
      <c r="C1801" s="15" t="s">
        <v>11277</v>
      </c>
      <c r="D1801" s="15" t="s">
        <v>11277</v>
      </c>
      <c r="E1801" s="15" t="s">
        <v>102</v>
      </c>
      <c r="F1801" s="15" t="s">
        <v>2235</v>
      </c>
      <c r="G1801" s="15" t="s">
        <v>13806</v>
      </c>
      <c r="H1801" s="15">
        <v>7</v>
      </c>
      <c r="I1801" s="15">
        <v>16</v>
      </c>
      <c r="J1801" s="15">
        <v>74</v>
      </c>
      <c r="K1801" s="15" t="str">
        <f t="shared" si="28"/>
        <v>wovenoath</v>
      </c>
      <c r="L1801" s="15" t="s">
        <v>13516</v>
      </c>
      <c r="M1801" s="15">
        <v>1</v>
      </c>
      <c r="N1801" s="15" t="s">
        <v>11222</v>
      </c>
      <c r="O1801" s="15"/>
      <c r="P1801" s="15"/>
      <c r="Q1801" s="15"/>
      <c r="R1801" s="15"/>
      <c r="S1801" s="15"/>
      <c r="T1801" s="15">
        <v>0</v>
      </c>
      <c r="U1801" s="15"/>
      <c r="V1801" s="15"/>
      <c r="W1801" s="15"/>
      <c r="X1801" s="15"/>
      <c r="Y1801" s="15"/>
      <c r="Z1801" s="15"/>
    </row>
    <row r="1802" spans="1:26" x14ac:dyDescent="0.25">
      <c r="A1802" s="15" t="s">
        <v>13917</v>
      </c>
      <c r="B1802" s="15">
        <v>1801</v>
      </c>
      <c r="C1802" s="15" t="s">
        <v>11277</v>
      </c>
      <c r="D1802" s="15" t="s">
        <v>11277</v>
      </c>
      <c r="E1802" s="15" t="s">
        <v>102</v>
      </c>
      <c r="F1802" s="15" t="s">
        <v>2235</v>
      </c>
      <c r="G1802" s="15" t="s">
        <v>13822</v>
      </c>
      <c r="H1802" s="15">
        <v>7</v>
      </c>
      <c r="I1802" s="15">
        <v>16</v>
      </c>
      <c r="J1802" s="15">
        <v>74</v>
      </c>
      <c r="K1802" s="15" t="str">
        <f t="shared" si="28"/>
        <v>wovenoath</v>
      </c>
      <c r="L1802" s="15" t="s">
        <v>13521</v>
      </c>
      <c r="M1802" s="15">
        <v>2</v>
      </c>
      <c r="N1802" s="15" t="s">
        <v>11223</v>
      </c>
      <c r="O1802" s="15"/>
      <c r="P1802" s="15"/>
      <c r="Q1802" s="15"/>
      <c r="R1802" s="15"/>
      <c r="S1802" s="15"/>
      <c r="T1802" s="15">
        <v>0</v>
      </c>
      <c r="U1802" s="15"/>
      <c r="V1802" s="15"/>
      <c r="W1802" s="15"/>
      <c r="X1802" s="15"/>
      <c r="Y1802" s="15"/>
      <c r="Z1802" s="15"/>
    </row>
    <row r="1803" spans="1:26" x14ac:dyDescent="0.25">
      <c r="A1803" s="15" t="s">
        <v>13919</v>
      </c>
      <c r="B1803" s="15">
        <v>1802</v>
      </c>
      <c r="C1803" s="15" t="s">
        <v>11277</v>
      </c>
      <c r="D1803" s="15" t="s">
        <v>11277</v>
      </c>
      <c r="E1803" s="15" t="s">
        <v>102</v>
      </c>
      <c r="F1803" s="15" t="s">
        <v>2235</v>
      </c>
      <c r="G1803" s="15" t="s">
        <v>13824</v>
      </c>
      <c r="H1803" s="15">
        <v>7</v>
      </c>
      <c r="I1803" s="15">
        <v>16</v>
      </c>
      <c r="J1803" s="15">
        <v>75</v>
      </c>
      <c r="K1803" s="15" t="str">
        <f t="shared" si="28"/>
        <v>wovenoath</v>
      </c>
      <c r="L1803" s="15" t="s">
        <v>13521</v>
      </c>
      <c r="M1803" s="15">
        <v>2</v>
      </c>
      <c r="N1803" s="15" t="s">
        <v>11223</v>
      </c>
      <c r="O1803" s="15"/>
      <c r="P1803" s="15"/>
      <c r="Q1803" s="15"/>
      <c r="R1803" s="15"/>
      <c r="S1803" s="15"/>
      <c r="T1803" s="15">
        <v>0</v>
      </c>
      <c r="U1803" s="15"/>
      <c r="V1803" s="15"/>
      <c r="W1803" s="15"/>
      <c r="X1803" s="15"/>
      <c r="Y1803" s="15"/>
      <c r="Z1803" s="15"/>
    </row>
    <row r="1804" spans="1:26" x14ac:dyDescent="0.25">
      <c r="A1804" s="15" t="s">
        <v>13921</v>
      </c>
      <c r="B1804" s="15">
        <v>1803</v>
      </c>
      <c r="C1804" s="15" t="s">
        <v>11277</v>
      </c>
      <c r="D1804" s="15" t="s">
        <v>11277</v>
      </c>
      <c r="E1804" s="15" t="s">
        <v>102</v>
      </c>
      <c r="F1804" s="15" t="s">
        <v>2235</v>
      </c>
      <c r="G1804" s="15" t="s">
        <v>13906</v>
      </c>
      <c r="H1804" s="15">
        <v>7</v>
      </c>
      <c r="I1804" s="15">
        <v>16</v>
      </c>
      <c r="J1804" s="15">
        <v>80</v>
      </c>
      <c r="K1804" s="15" t="str">
        <f t="shared" si="28"/>
        <v>wovenoath</v>
      </c>
      <c r="L1804" s="15" t="s">
        <v>13537</v>
      </c>
      <c r="M1804" s="15">
        <v>1</v>
      </c>
      <c r="N1804" s="15" t="s">
        <v>11222</v>
      </c>
      <c r="O1804" s="15" t="s">
        <v>11240</v>
      </c>
      <c r="P1804" s="15"/>
      <c r="Q1804" s="15"/>
      <c r="R1804" s="15"/>
      <c r="S1804" s="15"/>
      <c r="T1804" s="15">
        <v>0</v>
      </c>
      <c r="U1804" s="15" t="s">
        <v>5914</v>
      </c>
      <c r="V1804" s="15"/>
      <c r="W1804" s="15"/>
      <c r="X1804" s="15"/>
      <c r="Y1804" s="15"/>
      <c r="Z1804" s="15"/>
    </row>
    <row r="1805" spans="1:26" x14ac:dyDescent="0.25">
      <c r="A1805" s="15" t="s">
        <v>13923</v>
      </c>
      <c r="B1805" s="15">
        <v>1804</v>
      </c>
      <c r="C1805" s="15" t="s">
        <v>11277</v>
      </c>
      <c r="D1805" s="15" t="s">
        <v>11277</v>
      </c>
      <c r="E1805" s="15" t="s">
        <v>102</v>
      </c>
      <c r="F1805" s="15" t="s">
        <v>2235</v>
      </c>
      <c r="G1805" s="15" t="s">
        <v>13908</v>
      </c>
      <c r="H1805" s="15">
        <v>7</v>
      </c>
      <c r="I1805" s="15">
        <v>16</v>
      </c>
      <c r="J1805" s="15">
        <v>80</v>
      </c>
      <c r="K1805" s="15" t="str">
        <f t="shared" si="28"/>
        <v>wovenoath</v>
      </c>
      <c r="L1805" s="15" t="s">
        <v>13537</v>
      </c>
      <c r="M1805" s="15">
        <v>3</v>
      </c>
      <c r="N1805" s="15" t="s">
        <v>11222</v>
      </c>
      <c r="O1805" s="15" t="s">
        <v>11296</v>
      </c>
      <c r="P1805" s="15"/>
      <c r="Q1805" s="15"/>
      <c r="R1805" s="15"/>
      <c r="S1805" s="15"/>
      <c r="T1805" s="15">
        <v>0</v>
      </c>
      <c r="U1805" s="15" t="s">
        <v>5908</v>
      </c>
      <c r="V1805" s="15"/>
      <c r="W1805" s="15"/>
      <c r="X1805" s="15" t="s">
        <v>5914</v>
      </c>
      <c r="Y1805" s="15"/>
      <c r="Z1805" s="15"/>
    </row>
    <row r="1806" spans="1:26" x14ac:dyDescent="0.25">
      <c r="A1806" s="15" t="s">
        <v>13925</v>
      </c>
      <c r="B1806" s="15">
        <v>1805</v>
      </c>
      <c r="C1806" s="15" t="s">
        <v>11277</v>
      </c>
      <c r="D1806" s="15" t="s">
        <v>11277</v>
      </c>
      <c r="E1806" s="15" t="s">
        <v>102</v>
      </c>
      <c r="F1806" s="15" t="s">
        <v>15226</v>
      </c>
      <c r="G1806" s="15" t="s">
        <v>13806</v>
      </c>
      <c r="H1806" s="15">
        <v>25</v>
      </c>
      <c r="I1806" s="15">
        <v>36</v>
      </c>
      <c r="J1806" s="15">
        <v>74</v>
      </c>
      <c r="K1806" s="15" t="str">
        <f t="shared" si="28"/>
        <v>mjrlstears</v>
      </c>
      <c r="L1806" s="15" t="s">
        <v>13521</v>
      </c>
      <c r="M1806" s="15">
        <v>1</v>
      </c>
      <c r="N1806" s="15" t="s">
        <v>11222</v>
      </c>
      <c r="O1806" s="15"/>
      <c r="P1806" s="15"/>
      <c r="Q1806" s="15"/>
      <c r="R1806" s="15"/>
      <c r="S1806" s="15"/>
      <c r="T1806" s="15">
        <v>0</v>
      </c>
      <c r="U1806" s="15"/>
      <c r="V1806" s="15"/>
      <c r="W1806" s="15"/>
      <c r="X1806" s="15"/>
      <c r="Y1806" s="15"/>
      <c r="Z1806" s="15"/>
    </row>
    <row r="1807" spans="1:26" x14ac:dyDescent="0.25">
      <c r="A1807" s="15" t="s">
        <v>13927</v>
      </c>
      <c r="B1807" s="15">
        <v>1806</v>
      </c>
      <c r="C1807" s="15" t="s">
        <v>11277</v>
      </c>
      <c r="D1807" s="15" t="s">
        <v>11277</v>
      </c>
      <c r="E1807" s="15" t="s">
        <v>102</v>
      </c>
      <c r="F1807" s="15" t="s">
        <v>15226</v>
      </c>
      <c r="G1807" s="15" t="s">
        <v>13808</v>
      </c>
      <c r="H1807" s="15">
        <v>25</v>
      </c>
      <c r="I1807" s="15">
        <v>36</v>
      </c>
      <c r="J1807" s="15">
        <v>74</v>
      </c>
      <c r="K1807" s="15" t="str">
        <f t="shared" si="28"/>
        <v>mjrlstears</v>
      </c>
      <c r="L1807" s="15" t="s">
        <v>13521</v>
      </c>
      <c r="M1807" s="15">
        <v>1</v>
      </c>
      <c r="N1807" s="15" t="s">
        <v>11222</v>
      </c>
      <c r="O1807" s="15"/>
      <c r="P1807" s="15"/>
      <c r="Q1807" s="15" t="s">
        <v>13812</v>
      </c>
      <c r="R1807" s="15"/>
      <c r="S1807" s="15"/>
      <c r="T1807" s="15">
        <v>0</v>
      </c>
      <c r="U1807" s="15"/>
      <c r="V1807" s="15"/>
      <c r="W1807" s="15"/>
      <c r="X1807" s="15"/>
      <c r="Y1807" s="15"/>
      <c r="Z1807" s="15"/>
    </row>
    <row r="1808" spans="1:26" x14ac:dyDescent="0.25">
      <c r="A1808" s="15" t="s">
        <v>13929</v>
      </c>
      <c r="B1808" s="15">
        <v>1807</v>
      </c>
      <c r="C1808" s="15" t="s">
        <v>11277</v>
      </c>
      <c r="D1808" s="15" t="s">
        <v>11277</v>
      </c>
      <c r="E1808" s="15" t="s">
        <v>133</v>
      </c>
      <c r="F1808" s="15" t="s">
        <v>15226</v>
      </c>
      <c r="G1808" s="15" t="s">
        <v>13910</v>
      </c>
      <c r="H1808" s="15">
        <v>25</v>
      </c>
      <c r="I1808" s="15">
        <v>36</v>
      </c>
      <c r="J1808" s="15">
        <v>90</v>
      </c>
      <c r="K1808" s="15" t="str">
        <f t="shared" si="28"/>
        <v>mjrlstears</v>
      </c>
      <c r="L1808" s="15" t="s">
        <v>13560</v>
      </c>
      <c r="M1808" s="15">
        <v>1</v>
      </c>
      <c r="N1808" s="15" t="s">
        <v>11222</v>
      </c>
      <c r="O1808" s="15"/>
      <c r="P1808" s="15"/>
      <c r="Q1808" s="15"/>
      <c r="R1808" s="15"/>
      <c r="S1808" s="15"/>
      <c r="T1808" s="15">
        <v>0</v>
      </c>
      <c r="U1808" s="15"/>
      <c r="V1808" s="15"/>
      <c r="W1808" s="15"/>
      <c r="X1808" s="15"/>
      <c r="Y1808" s="15"/>
      <c r="Z1808" s="15"/>
    </row>
    <row r="1809" spans="1:26" x14ac:dyDescent="0.25">
      <c r="A1809" s="15" t="s">
        <v>13931</v>
      </c>
      <c r="B1809" s="15">
        <v>1808</v>
      </c>
      <c r="C1809" s="15" t="s">
        <v>11277</v>
      </c>
      <c r="D1809" s="15" t="s">
        <v>11277</v>
      </c>
      <c r="E1809" s="15" t="s">
        <v>133</v>
      </c>
      <c r="F1809" s="15" t="s">
        <v>15226</v>
      </c>
      <c r="G1809" s="15" t="s">
        <v>13912</v>
      </c>
      <c r="H1809" s="15">
        <v>25</v>
      </c>
      <c r="I1809" s="15">
        <v>36</v>
      </c>
      <c r="J1809" s="15">
        <v>90</v>
      </c>
      <c r="K1809" s="15" t="str">
        <f t="shared" si="28"/>
        <v>mjrlstears</v>
      </c>
      <c r="L1809" s="15" t="s">
        <v>13560</v>
      </c>
      <c r="M1809" s="15">
        <v>2</v>
      </c>
      <c r="N1809" s="15" t="s">
        <v>11223</v>
      </c>
      <c r="O1809" s="15"/>
      <c r="P1809" s="15"/>
      <c r="Q1809" s="15" t="s">
        <v>13910</v>
      </c>
      <c r="R1809" s="15"/>
      <c r="S1809" s="15"/>
      <c r="T1809" s="15">
        <v>4</v>
      </c>
      <c r="U1809" s="15"/>
      <c r="V1809" s="15"/>
      <c r="W1809" s="15"/>
      <c r="X1809" s="15"/>
      <c r="Y1809" s="15"/>
      <c r="Z1809" s="15"/>
    </row>
    <row r="1810" spans="1:26" x14ac:dyDescent="0.25">
      <c r="A1810" s="15" t="s">
        <v>13933</v>
      </c>
      <c r="B1810" s="15">
        <v>1809</v>
      </c>
      <c r="C1810" s="15" t="s">
        <v>11277</v>
      </c>
      <c r="D1810" s="15" t="s">
        <v>11277</v>
      </c>
      <c r="E1810" s="15" t="s">
        <v>133</v>
      </c>
      <c r="F1810" s="15" t="s">
        <v>15226</v>
      </c>
      <c r="G1810" s="15" t="s">
        <v>13914</v>
      </c>
      <c r="H1810" s="15">
        <v>25</v>
      </c>
      <c r="I1810" s="15">
        <v>36</v>
      </c>
      <c r="J1810" s="15">
        <v>90</v>
      </c>
      <c r="K1810" s="15" t="str">
        <f t="shared" si="28"/>
        <v>mjrlstears</v>
      </c>
      <c r="L1810" s="15" t="s">
        <v>14088</v>
      </c>
      <c r="M1810" s="15">
        <v>2</v>
      </c>
      <c r="N1810" s="15" t="s">
        <v>11223</v>
      </c>
      <c r="O1810" s="15"/>
      <c r="P1810" s="15"/>
      <c r="Q1810" s="15" t="s">
        <v>13910</v>
      </c>
      <c r="R1810" s="15"/>
      <c r="S1810" s="15"/>
      <c r="T1810" s="15">
        <v>4</v>
      </c>
      <c r="U1810" s="15"/>
      <c r="V1810" s="15"/>
      <c r="W1810" s="15"/>
      <c r="X1810" s="15"/>
      <c r="Y1810" s="15"/>
      <c r="Z1810" s="15"/>
    </row>
    <row r="1811" spans="1:26" x14ac:dyDescent="0.25">
      <c r="A1811" s="15" t="s">
        <v>13935</v>
      </c>
      <c r="B1811" s="15">
        <v>1810</v>
      </c>
      <c r="C1811" s="15" t="s">
        <v>11277</v>
      </c>
      <c r="D1811" s="15" t="s">
        <v>11277</v>
      </c>
      <c r="E1811" s="15" t="s">
        <v>102</v>
      </c>
      <c r="F1811" s="15" t="s">
        <v>15226</v>
      </c>
      <c r="G1811" s="15" t="s">
        <v>13916</v>
      </c>
      <c r="H1811" s="15">
        <v>25</v>
      </c>
      <c r="I1811" s="15">
        <v>36</v>
      </c>
      <c r="J1811" s="15">
        <v>80</v>
      </c>
      <c r="K1811" s="15" t="str">
        <f t="shared" si="28"/>
        <v>mjrlstears</v>
      </c>
      <c r="L1811" s="15" t="s">
        <v>13521</v>
      </c>
      <c r="M1811" s="15">
        <v>3</v>
      </c>
      <c r="N1811" s="15" t="s">
        <v>11223</v>
      </c>
      <c r="O1811" s="15" t="s">
        <v>11386</v>
      </c>
      <c r="P1811" s="15"/>
      <c r="Q1811" s="15"/>
      <c r="R1811" s="15"/>
      <c r="S1811" s="15"/>
      <c r="T1811" s="15">
        <v>0</v>
      </c>
      <c r="U1811" s="15"/>
      <c r="V1811" s="15"/>
      <c r="W1811" s="15"/>
      <c r="X1811" s="15"/>
      <c r="Y1811" s="15"/>
      <c r="Z1811" s="15"/>
    </row>
    <row r="1812" spans="1:26" x14ac:dyDescent="0.25">
      <c r="A1812" s="15" t="s">
        <v>13937</v>
      </c>
      <c r="B1812" s="15">
        <v>1811</v>
      </c>
      <c r="C1812" s="15" t="s">
        <v>11277</v>
      </c>
      <c r="D1812" s="15" t="s">
        <v>11647</v>
      </c>
      <c r="E1812" s="15" t="s">
        <v>102</v>
      </c>
      <c r="F1812" s="15" t="s">
        <v>15227</v>
      </c>
      <c r="G1812" s="15" t="s">
        <v>13975</v>
      </c>
      <c r="H1812" s="15">
        <v>4</v>
      </c>
      <c r="I1812" s="15">
        <v>26</v>
      </c>
      <c r="J1812" s="15">
        <v>76</v>
      </c>
      <c r="K1812" s="15" t="str">
        <f t="shared" si="28"/>
        <v>northlaketusimekta</v>
      </c>
      <c r="L1812" s="15"/>
      <c r="M1812" s="15"/>
      <c r="N1812" s="15"/>
      <c r="O1812" s="15"/>
      <c r="P1812" s="15"/>
      <c r="Q1812" s="15"/>
      <c r="R1812" s="15"/>
      <c r="S1812" s="15"/>
      <c r="T1812" s="15">
        <v>0</v>
      </c>
      <c r="U1812" s="15"/>
      <c r="V1812" s="15"/>
      <c r="W1812" s="15"/>
      <c r="X1812" s="15"/>
      <c r="Y1812" s="15"/>
      <c r="Z1812" s="15"/>
    </row>
    <row r="1813" spans="1:26" x14ac:dyDescent="0.25">
      <c r="A1813" s="15" t="s">
        <v>13939</v>
      </c>
      <c r="B1813" s="15">
        <v>1812</v>
      </c>
      <c r="C1813" s="15" t="s">
        <v>11277</v>
      </c>
      <c r="D1813" s="15" t="s">
        <v>11647</v>
      </c>
      <c r="E1813" s="15" t="s">
        <v>102</v>
      </c>
      <c r="F1813" s="15" t="s">
        <v>15227</v>
      </c>
      <c r="G1813" s="15" t="s">
        <v>13977</v>
      </c>
      <c r="H1813" s="15">
        <v>4</v>
      </c>
      <c r="I1813" s="15">
        <v>26</v>
      </c>
      <c r="J1813" s="15">
        <v>76</v>
      </c>
      <c r="K1813" s="15" t="str">
        <f t="shared" si="28"/>
        <v>northlaketusimekta</v>
      </c>
      <c r="L1813" s="15"/>
      <c r="M1813" s="15"/>
      <c r="N1813" s="15"/>
      <c r="O1813" s="15"/>
      <c r="P1813" s="15"/>
      <c r="Q1813" s="15"/>
      <c r="R1813" s="15"/>
      <c r="S1813" s="15"/>
      <c r="T1813" s="15">
        <v>0</v>
      </c>
      <c r="U1813" s="15"/>
      <c r="V1813" s="15"/>
      <c r="W1813" s="15"/>
      <c r="X1813" s="15"/>
      <c r="Y1813" s="15"/>
      <c r="Z1813" s="15"/>
    </row>
    <row r="1814" spans="1:26" x14ac:dyDescent="0.25">
      <c r="A1814" s="15" t="s">
        <v>13941</v>
      </c>
      <c r="B1814" s="15">
        <v>1813</v>
      </c>
      <c r="C1814" s="15" t="s">
        <v>11277</v>
      </c>
      <c r="D1814" s="15" t="s">
        <v>11647</v>
      </c>
      <c r="E1814" s="15" t="s">
        <v>102</v>
      </c>
      <c r="F1814" s="15" t="s">
        <v>15227</v>
      </c>
      <c r="G1814" s="15" t="s">
        <v>13979</v>
      </c>
      <c r="H1814" s="15">
        <v>4</v>
      </c>
      <c r="I1814" s="15">
        <v>26</v>
      </c>
      <c r="J1814" s="15">
        <v>76</v>
      </c>
      <c r="K1814" s="15" t="str">
        <f t="shared" si="28"/>
        <v>northlaketusimekta</v>
      </c>
      <c r="L1814" s="15"/>
      <c r="M1814" s="15"/>
      <c r="N1814" s="15"/>
      <c r="O1814" s="15"/>
      <c r="P1814" s="15"/>
      <c r="Q1814" s="15"/>
      <c r="R1814" s="15"/>
      <c r="S1814" s="15"/>
      <c r="T1814" s="15">
        <v>0</v>
      </c>
      <c r="U1814" s="15"/>
      <c r="V1814" s="15"/>
      <c r="W1814" s="15"/>
      <c r="X1814" s="15"/>
      <c r="Y1814" s="15"/>
      <c r="Z1814" s="15"/>
    </row>
    <row r="1815" spans="1:26" x14ac:dyDescent="0.25">
      <c r="A1815" s="15" t="s">
        <v>13943</v>
      </c>
      <c r="B1815" s="15">
        <v>1814</v>
      </c>
      <c r="C1815" s="15" t="s">
        <v>11277</v>
      </c>
      <c r="D1815" s="15" t="s">
        <v>11647</v>
      </c>
      <c r="E1815" s="15" t="s">
        <v>102</v>
      </c>
      <c r="F1815" s="15" t="s">
        <v>15227</v>
      </c>
      <c r="G1815" s="15" t="s">
        <v>13981</v>
      </c>
      <c r="H1815" s="15">
        <v>4</v>
      </c>
      <c r="I1815" s="15">
        <v>26</v>
      </c>
      <c r="J1815" s="15">
        <v>76</v>
      </c>
      <c r="K1815" s="15" t="str">
        <f t="shared" si="28"/>
        <v>northlaketusimekta</v>
      </c>
      <c r="L1815" s="15"/>
      <c r="M1815" s="15"/>
      <c r="N1815" s="15"/>
      <c r="O1815" s="15"/>
      <c r="P1815" s="15"/>
      <c r="Q1815" s="15"/>
      <c r="R1815" s="15"/>
      <c r="S1815" s="15"/>
      <c r="T1815" s="15">
        <v>0</v>
      </c>
      <c r="U1815" s="15"/>
      <c r="V1815" s="15"/>
      <c r="W1815" s="15"/>
      <c r="X1815" s="15"/>
      <c r="Y1815" s="15"/>
      <c r="Z1815" s="15"/>
    </row>
    <row r="1816" spans="1:26" x14ac:dyDescent="0.25">
      <c r="A1816" s="15" t="s">
        <v>13945</v>
      </c>
      <c r="B1816" s="15">
        <v>1815</v>
      </c>
      <c r="C1816" s="15" t="s">
        <v>11277</v>
      </c>
      <c r="D1816" s="15" t="s">
        <v>11647</v>
      </c>
      <c r="E1816" s="15" t="s">
        <v>102</v>
      </c>
      <c r="F1816" s="15" t="s">
        <v>15227</v>
      </c>
      <c r="G1816" s="15" t="s">
        <v>13983</v>
      </c>
      <c r="H1816" s="15">
        <v>4</v>
      </c>
      <c r="I1816" s="15">
        <v>26</v>
      </c>
      <c r="J1816" s="15">
        <v>79</v>
      </c>
      <c r="K1816" s="15" t="str">
        <f t="shared" si="28"/>
        <v>northlaketusimekta</v>
      </c>
      <c r="L1816" s="15"/>
      <c r="M1816" s="15"/>
      <c r="N1816" s="15"/>
      <c r="O1816" s="15"/>
      <c r="P1816" s="15"/>
      <c r="Q1816" s="15"/>
      <c r="R1816" s="15"/>
      <c r="S1816" s="15"/>
      <c r="T1816" s="15">
        <v>0</v>
      </c>
      <c r="U1816" s="15"/>
      <c r="V1816" s="15"/>
      <c r="W1816" s="15"/>
      <c r="X1816" s="15"/>
      <c r="Y1816" s="15"/>
      <c r="Z1816" s="15"/>
    </row>
    <row r="1817" spans="1:26" x14ac:dyDescent="0.25">
      <c r="A1817" s="15" t="s">
        <v>13947</v>
      </c>
      <c r="B1817" s="15">
        <v>1816</v>
      </c>
      <c r="C1817" s="15" t="s">
        <v>11277</v>
      </c>
      <c r="D1817" s="15" t="s">
        <v>11647</v>
      </c>
      <c r="E1817" s="15" t="s">
        <v>102</v>
      </c>
      <c r="F1817" s="15" t="s">
        <v>15227</v>
      </c>
      <c r="G1817" s="15" t="s">
        <v>13985</v>
      </c>
      <c r="H1817" s="15">
        <v>4</v>
      </c>
      <c r="I1817" s="15">
        <v>26</v>
      </c>
      <c r="J1817" s="15">
        <v>80</v>
      </c>
      <c r="K1817" s="15" t="str">
        <f t="shared" si="28"/>
        <v>northlaketusimekta</v>
      </c>
      <c r="L1817" s="15"/>
      <c r="M1817" s="15"/>
      <c r="N1817" s="15"/>
      <c r="O1817" s="15"/>
      <c r="P1817" s="15"/>
      <c r="Q1817" s="15"/>
      <c r="R1817" s="15"/>
      <c r="S1817" s="15"/>
      <c r="T1817" s="15">
        <v>0</v>
      </c>
      <c r="U1817" s="15"/>
      <c r="V1817" s="15"/>
      <c r="W1817" s="15"/>
      <c r="X1817" s="15"/>
      <c r="Y1817" s="15"/>
      <c r="Z1817" s="15"/>
    </row>
    <row r="1818" spans="1:26" x14ac:dyDescent="0.25">
      <c r="A1818" s="15" t="s">
        <v>13949</v>
      </c>
      <c r="B1818" s="15">
        <v>1817</v>
      </c>
      <c r="C1818" s="15" t="s">
        <v>11277</v>
      </c>
      <c r="D1818" s="15" t="s">
        <v>11647</v>
      </c>
      <c r="E1818" s="15" t="s">
        <v>102</v>
      </c>
      <c r="F1818" s="15" t="s">
        <v>2246</v>
      </c>
      <c r="G1818" s="15" t="s">
        <v>13987</v>
      </c>
      <c r="H1818" s="15">
        <v>9</v>
      </c>
      <c r="I1818" s="15">
        <v>29</v>
      </c>
      <c r="J1818" s="15">
        <v>77</v>
      </c>
      <c r="K1818" s="15" t="str">
        <f t="shared" si="28"/>
        <v>thecoveredhallsofdwatl</v>
      </c>
      <c r="L1818" s="15"/>
      <c r="M1818" s="15"/>
      <c r="N1818" s="15"/>
      <c r="O1818" s="15"/>
      <c r="P1818" s="15"/>
      <c r="Q1818" s="15"/>
      <c r="R1818" s="15"/>
      <c r="S1818" s="15"/>
      <c r="T1818" s="15">
        <v>0</v>
      </c>
      <c r="U1818" s="15"/>
      <c r="V1818" s="15"/>
      <c r="W1818" s="15"/>
      <c r="X1818" s="15"/>
      <c r="Y1818" s="15"/>
      <c r="Z1818" s="15"/>
    </row>
    <row r="1819" spans="1:26" x14ac:dyDescent="0.25">
      <c r="A1819" s="15" t="s">
        <v>13951</v>
      </c>
      <c r="B1819" s="15">
        <v>1818</v>
      </c>
      <c r="C1819" s="15" t="s">
        <v>11277</v>
      </c>
      <c r="D1819" s="15" t="s">
        <v>11647</v>
      </c>
      <c r="E1819" s="15" t="s">
        <v>102</v>
      </c>
      <c r="F1819" s="15" t="s">
        <v>2246</v>
      </c>
      <c r="G1819" s="15" t="s">
        <v>13989</v>
      </c>
      <c r="H1819" s="15">
        <v>9</v>
      </c>
      <c r="I1819" s="15">
        <v>29</v>
      </c>
      <c r="J1819" s="15">
        <v>78</v>
      </c>
      <c r="K1819" s="15" t="str">
        <f t="shared" si="28"/>
        <v>thecoveredhallsofdwatl</v>
      </c>
      <c r="L1819" s="15"/>
      <c r="M1819" s="15"/>
      <c r="N1819" s="15"/>
      <c r="O1819" s="15"/>
      <c r="P1819" s="15"/>
      <c r="Q1819" s="15"/>
      <c r="R1819" s="15"/>
      <c r="S1819" s="15"/>
      <c r="T1819" s="15">
        <v>0</v>
      </c>
      <c r="U1819" s="15"/>
      <c r="V1819" s="15"/>
      <c r="W1819" s="15"/>
      <c r="X1819" s="15"/>
      <c r="Y1819" s="15"/>
      <c r="Z1819" s="15"/>
    </row>
    <row r="1820" spans="1:26" x14ac:dyDescent="0.25">
      <c r="A1820" s="15" t="s">
        <v>13953</v>
      </c>
      <c r="B1820" s="15">
        <v>1819</v>
      </c>
      <c r="C1820" s="15" t="s">
        <v>11277</v>
      </c>
      <c r="D1820" s="15" t="s">
        <v>11647</v>
      </c>
      <c r="E1820" s="15" t="s">
        <v>102</v>
      </c>
      <c r="F1820" s="15" t="s">
        <v>2246</v>
      </c>
      <c r="G1820" s="15" t="s">
        <v>13991</v>
      </c>
      <c r="H1820" s="15">
        <v>9</v>
      </c>
      <c r="I1820" s="15">
        <v>29</v>
      </c>
      <c r="J1820" s="15">
        <v>78</v>
      </c>
      <c r="K1820" s="15" t="str">
        <f t="shared" si="28"/>
        <v>thecoveredhallsofdwatl</v>
      </c>
      <c r="L1820" s="15"/>
      <c r="M1820" s="15"/>
      <c r="N1820" s="15"/>
      <c r="O1820" s="15"/>
      <c r="P1820" s="15"/>
      <c r="Q1820" s="15"/>
      <c r="R1820" s="15"/>
      <c r="S1820" s="15"/>
      <c r="T1820" s="15">
        <v>0</v>
      </c>
      <c r="U1820" s="15"/>
      <c r="V1820" s="15"/>
      <c r="W1820" s="15"/>
      <c r="X1820" s="15"/>
      <c r="Y1820" s="15"/>
      <c r="Z1820" s="15"/>
    </row>
    <row r="1821" spans="1:26" x14ac:dyDescent="0.25">
      <c r="A1821" s="15" t="s">
        <v>13955</v>
      </c>
      <c r="B1821" s="15">
        <v>1820</v>
      </c>
      <c r="C1821" s="15" t="s">
        <v>11277</v>
      </c>
      <c r="D1821" s="15" t="s">
        <v>11647</v>
      </c>
      <c r="E1821" s="15" t="s">
        <v>102</v>
      </c>
      <c r="F1821" s="15" t="s">
        <v>2246</v>
      </c>
      <c r="G1821" s="15" t="s">
        <v>13993</v>
      </c>
      <c r="H1821" s="15">
        <v>9</v>
      </c>
      <c r="I1821" s="15">
        <v>29</v>
      </c>
      <c r="J1821" s="15">
        <v>79</v>
      </c>
      <c r="K1821" s="15" t="str">
        <f t="shared" si="28"/>
        <v>thecoveredhallsofdwatl</v>
      </c>
      <c r="L1821" s="15"/>
      <c r="M1821" s="15"/>
      <c r="N1821" s="15"/>
      <c r="O1821" s="15"/>
      <c r="P1821" s="15"/>
      <c r="Q1821" s="15"/>
      <c r="R1821" s="15"/>
      <c r="S1821" s="15"/>
      <c r="T1821" s="15">
        <v>0</v>
      </c>
      <c r="U1821" s="15"/>
      <c r="V1821" s="15"/>
      <c r="W1821" s="15"/>
      <c r="X1821" s="15"/>
      <c r="Y1821" s="15"/>
      <c r="Z1821" s="15"/>
    </row>
    <row r="1822" spans="1:26" x14ac:dyDescent="0.25">
      <c r="A1822" s="15" t="s">
        <v>13957</v>
      </c>
      <c r="B1822" s="15">
        <v>1821</v>
      </c>
      <c r="C1822" s="15" t="s">
        <v>11277</v>
      </c>
      <c r="D1822" s="15" t="s">
        <v>11647</v>
      </c>
      <c r="E1822" s="15" t="s">
        <v>102</v>
      </c>
      <c r="F1822" s="15" t="s">
        <v>2246</v>
      </c>
      <c r="G1822" s="15" t="s">
        <v>13995</v>
      </c>
      <c r="H1822" s="15">
        <v>9</v>
      </c>
      <c r="I1822" s="15">
        <v>29</v>
      </c>
      <c r="J1822" s="15">
        <v>79</v>
      </c>
      <c r="K1822" s="15" t="str">
        <f t="shared" si="28"/>
        <v>thecoveredhallsofdwatl</v>
      </c>
      <c r="L1822" s="15"/>
      <c r="M1822" s="15"/>
      <c r="N1822" s="15"/>
      <c r="O1822" s="15"/>
      <c r="P1822" s="15"/>
      <c r="Q1822" s="15"/>
      <c r="R1822" s="15"/>
      <c r="S1822" s="15"/>
      <c r="T1822" s="15">
        <v>0</v>
      </c>
      <c r="U1822" s="15"/>
      <c r="V1822" s="15"/>
      <c r="W1822" s="15"/>
      <c r="X1822" s="15"/>
      <c r="Y1822" s="15"/>
      <c r="Z1822" s="15"/>
    </row>
    <row r="1823" spans="1:26" x14ac:dyDescent="0.25">
      <c r="A1823" s="15" t="s">
        <v>13959</v>
      </c>
      <c r="B1823" s="15">
        <v>1822</v>
      </c>
      <c r="C1823" s="15" t="s">
        <v>11277</v>
      </c>
      <c r="D1823" s="15" t="s">
        <v>11647</v>
      </c>
      <c r="E1823" s="15" t="s">
        <v>102</v>
      </c>
      <c r="F1823" s="15" t="s">
        <v>2246</v>
      </c>
      <c r="G1823" s="15" t="s">
        <v>13997</v>
      </c>
      <c r="H1823" s="15">
        <v>9</v>
      </c>
      <c r="I1823" s="15">
        <v>29</v>
      </c>
      <c r="J1823" s="15">
        <v>80</v>
      </c>
      <c r="K1823" s="15" t="str">
        <f t="shared" si="28"/>
        <v>thecoveredhallsofdwatl</v>
      </c>
      <c r="L1823" s="15"/>
      <c r="M1823" s="15"/>
      <c r="N1823" s="15"/>
      <c r="O1823" s="15"/>
      <c r="P1823" s="15"/>
      <c r="Q1823" s="15"/>
      <c r="R1823" s="15"/>
      <c r="S1823" s="15"/>
      <c r="T1823" s="15">
        <v>0</v>
      </c>
      <c r="U1823" s="15"/>
      <c r="V1823" s="15"/>
      <c r="W1823" s="15"/>
      <c r="X1823" s="15"/>
      <c r="Y1823" s="15"/>
      <c r="Z1823" s="15"/>
    </row>
    <row r="1824" spans="1:26" x14ac:dyDescent="0.25">
      <c r="A1824" s="15" t="s">
        <v>13961</v>
      </c>
      <c r="B1824" s="15">
        <v>1823</v>
      </c>
      <c r="C1824" s="15" t="s">
        <v>11277</v>
      </c>
      <c r="D1824" s="15" t="s">
        <v>11647</v>
      </c>
      <c r="E1824" s="15" t="s">
        <v>102</v>
      </c>
      <c r="F1824" s="15" t="s">
        <v>15228</v>
      </c>
      <c r="G1824" s="15" t="s">
        <v>13989</v>
      </c>
      <c r="H1824" s="15">
        <v>6</v>
      </c>
      <c r="I1824" s="15">
        <v>27</v>
      </c>
      <c r="J1824" s="15">
        <v>78</v>
      </c>
      <c r="K1824" s="15" t="str">
        <f t="shared" si="28"/>
        <v>centrallaketusimekta</v>
      </c>
      <c r="L1824" s="15"/>
      <c r="M1824" s="15"/>
      <c r="N1824" s="15"/>
      <c r="O1824" s="15"/>
      <c r="P1824" s="15"/>
      <c r="Q1824" s="15"/>
      <c r="R1824" s="15"/>
      <c r="S1824" s="15"/>
      <c r="T1824" s="15">
        <v>0</v>
      </c>
      <c r="U1824" s="15"/>
      <c r="V1824" s="15"/>
      <c r="W1824" s="15"/>
      <c r="X1824" s="15"/>
      <c r="Y1824" s="15"/>
      <c r="Z1824" s="15"/>
    </row>
    <row r="1825" spans="1:26" x14ac:dyDescent="0.25">
      <c r="A1825" s="15" t="s">
        <v>13963</v>
      </c>
      <c r="B1825" s="15">
        <v>1824</v>
      </c>
      <c r="C1825" s="15" t="s">
        <v>11277</v>
      </c>
      <c r="D1825" s="15" t="s">
        <v>11647</v>
      </c>
      <c r="E1825" s="15" t="s">
        <v>102</v>
      </c>
      <c r="F1825" s="15" t="s">
        <v>15228</v>
      </c>
      <c r="G1825" s="15" t="s">
        <v>13979</v>
      </c>
      <c r="H1825" s="15">
        <v>6</v>
      </c>
      <c r="I1825" s="15">
        <v>27</v>
      </c>
      <c r="J1825" s="15">
        <v>76</v>
      </c>
      <c r="K1825" s="15" t="str">
        <f t="shared" si="28"/>
        <v>centrallaketusimekta</v>
      </c>
      <c r="L1825" s="15"/>
      <c r="M1825" s="15"/>
      <c r="N1825" s="15"/>
      <c r="O1825" s="15"/>
      <c r="P1825" s="15"/>
      <c r="Q1825" s="15"/>
      <c r="R1825" s="15"/>
      <c r="S1825" s="15"/>
      <c r="T1825" s="15">
        <v>0</v>
      </c>
      <c r="U1825" s="15"/>
      <c r="V1825" s="15"/>
      <c r="W1825" s="15"/>
      <c r="X1825" s="15"/>
      <c r="Y1825" s="15"/>
      <c r="Z1825" s="15"/>
    </row>
    <row r="1826" spans="1:26" x14ac:dyDescent="0.25">
      <c r="A1826" s="15" t="s">
        <v>13965</v>
      </c>
      <c r="B1826" s="15">
        <v>1825</v>
      </c>
      <c r="C1826" s="15" t="s">
        <v>11277</v>
      </c>
      <c r="D1826" s="15" t="s">
        <v>11647</v>
      </c>
      <c r="E1826" s="15" t="s">
        <v>102</v>
      </c>
      <c r="F1826" s="15" t="s">
        <v>15229</v>
      </c>
      <c r="G1826" s="15" t="s">
        <v>13989</v>
      </c>
      <c r="H1826" s="15">
        <v>4</v>
      </c>
      <c r="I1826" s="15">
        <v>30</v>
      </c>
      <c r="J1826" s="15">
        <v>78</v>
      </c>
      <c r="K1826" s="15" t="str">
        <f t="shared" si="28"/>
        <v>southlaketusimekta</v>
      </c>
      <c r="L1826" s="15"/>
      <c r="M1826" s="15"/>
      <c r="N1826" s="15"/>
      <c r="O1826" s="15"/>
      <c r="P1826" s="15"/>
      <c r="Q1826" s="15"/>
      <c r="R1826" s="15"/>
      <c r="S1826" s="15"/>
      <c r="T1826" s="15">
        <v>0</v>
      </c>
      <c r="U1826" s="15"/>
      <c r="V1826" s="15"/>
      <c r="W1826" s="15"/>
      <c r="X1826" s="15"/>
      <c r="Y1826" s="15"/>
      <c r="Z1826" s="15"/>
    </row>
    <row r="1827" spans="1:26" x14ac:dyDescent="0.25">
      <c r="A1827" s="15" t="s">
        <v>13967</v>
      </c>
      <c r="B1827" s="15">
        <v>1826</v>
      </c>
      <c r="C1827" s="15" t="s">
        <v>11277</v>
      </c>
      <c r="D1827" s="15" t="s">
        <v>11647</v>
      </c>
      <c r="E1827" s="15" t="s">
        <v>102</v>
      </c>
      <c r="F1827" s="15" t="s">
        <v>15229</v>
      </c>
      <c r="G1827" s="15" t="s">
        <v>13979</v>
      </c>
      <c r="H1827" s="15">
        <v>4</v>
      </c>
      <c r="I1827" s="15">
        <v>30</v>
      </c>
      <c r="J1827" s="15">
        <v>76</v>
      </c>
      <c r="K1827" s="15" t="str">
        <f t="shared" si="28"/>
        <v>southlaketusimekta</v>
      </c>
      <c r="L1827" s="15"/>
      <c r="M1827" s="15"/>
      <c r="N1827" s="15"/>
      <c r="O1827" s="15"/>
      <c r="P1827" s="15"/>
      <c r="Q1827" s="15"/>
      <c r="R1827" s="15"/>
      <c r="S1827" s="15"/>
      <c r="T1827" s="15">
        <v>0</v>
      </c>
      <c r="U1827" s="15"/>
      <c r="V1827" s="15"/>
      <c r="W1827" s="15"/>
      <c r="X1827" s="15"/>
      <c r="Y1827" s="15"/>
      <c r="Z1827" s="15"/>
    </row>
    <row r="1828" spans="1:26" x14ac:dyDescent="0.25">
      <c r="A1828" s="15" t="s">
        <v>13969</v>
      </c>
      <c r="B1828" s="15">
        <v>1827</v>
      </c>
      <c r="C1828" s="15" t="s">
        <v>11277</v>
      </c>
      <c r="D1828" s="15" t="s">
        <v>11647</v>
      </c>
      <c r="E1828" s="15" t="s">
        <v>102</v>
      </c>
      <c r="F1828" s="15" t="s">
        <v>15230</v>
      </c>
      <c r="G1828" s="15" t="s">
        <v>13981</v>
      </c>
      <c r="H1828" s="15">
        <v>5</v>
      </c>
      <c r="I1828" s="15">
        <v>29</v>
      </c>
      <c r="J1828" s="15">
        <v>76</v>
      </c>
      <c r="K1828" s="15" t="str">
        <f t="shared" si="28"/>
        <v>deeplaketusimekta</v>
      </c>
      <c r="L1828" s="15"/>
      <c r="M1828" s="15"/>
      <c r="N1828" s="15"/>
      <c r="O1828" s="15"/>
      <c r="P1828" s="15"/>
      <c r="Q1828" s="15"/>
      <c r="R1828" s="15"/>
      <c r="S1828" s="15"/>
      <c r="T1828" s="15">
        <v>0</v>
      </c>
      <c r="U1828" s="15"/>
      <c r="V1828" s="15"/>
      <c r="W1828" s="15"/>
      <c r="X1828" s="15"/>
      <c r="Y1828" s="15"/>
      <c r="Z1828" s="15"/>
    </row>
    <row r="1829" spans="1:26" x14ac:dyDescent="0.25">
      <c r="A1829" s="15" t="s">
        <v>13970</v>
      </c>
      <c r="B1829" s="15">
        <v>1828</v>
      </c>
      <c r="C1829" s="15" t="s">
        <v>11277</v>
      </c>
      <c r="D1829" s="15" t="s">
        <v>11647</v>
      </c>
      <c r="E1829" s="15" t="s">
        <v>102</v>
      </c>
      <c r="F1829" s="15" t="s">
        <v>15230</v>
      </c>
      <c r="G1829" s="15" t="s">
        <v>13991</v>
      </c>
      <c r="H1829" s="15">
        <v>5</v>
      </c>
      <c r="I1829" s="15">
        <v>29</v>
      </c>
      <c r="J1829" s="15">
        <v>78</v>
      </c>
      <c r="K1829" s="15" t="str">
        <f t="shared" si="28"/>
        <v>deeplaketusimekta</v>
      </c>
      <c r="L1829" s="15"/>
      <c r="M1829" s="15"/>
      <c r="N1829" s="15"/>
      <c r="O1829" s="15"/>
      <c r="P1829" s="15"/>
      <c r="Q1829" s="15"/>
      <c r="R1829" s="15"/>
      <c r="S1829" s="15"/>
      <c r="T1829" s="15">
        <v>0</v>
      </c>
      <c r="U1829" s="15"/>
      <c r="V1829" s="15"/>
      <c r="W1829" s="15"/>
      <c r="X1829" s="15"/>
      <c r="Y1829" s="15"/>
      <c r="Z1829" s="15"/>
    </row>
    <row r="1830" spans="1:26" x14ac:dyDescent="0.25">
      <c r="A1830" s="15" t="s">
        <v>13972</v>
      </c>
      <c r="B1830" s="15">
        <v>1829</v>
      </c>
      <c r="C1830" s="15" t="s">
        <v>11277</v>
      </c>
      <c r="D1830" s="15" t="s">
        <v>11647</v>
      </c>
      <c r="E1830" s="15" t="s">
        <v>102</v>
      </c>
      <c r="F1830" s="15" t="s">
        <v>15230</v>
      </c>
      <c r="G1830" s="15" t="s">
        <v>13999</v>
      </c>
      <c r="H1830" s="15">
        <v>5</v>
      </c>
      <c r="I1830" s="15">
        <v>29</v>
      </c>
      <c r="J1830" s="15">
        <v>79</v>
      </c>
      <c r="K1830" s="15" t="str">
        <f t="shared" si="28"/>
        <v>deeplaketusimekta</v>
      </c>
      <c r="L1830" s="15"/>
      <c r="M1830" s="15"/>
      <c r="N1830" s="15"/>
      <c r="O1830" s="15"/>
      <c r="P1830" s="15"/>
      <c r="Q1830" s="15"/>
      <c r="R1830" s="15"/>
      <c r="S1830" s="15"/>
      <c r="T1830" s="15">
        <v>0</v>
      </c>
      <c r="U1830" s="15"/>
      <c r="V1830" s="15"/>
      <c r="W1830" s="15"/>
      <c r="X1830" s="15"/>
      <c r="Y1830" s="15"/>
      <c r="Z1830" s="15"/>
    </row>
    <row r="1831" spans="1:26" x14ac:dyDescent="0.25">
      <c r="A1831" s="15" t="s">
        <v>13974</v>
      </c>
      <c r="B1831" s="15">
        <v>1830</v>
      </c>
      <c r="C1831" s="15" t="s">
        <v>11277</v>
      </c>
      <c r="D1831" s="15" t="s">
        <v>11647</v>
      </c>
      <c r="E1831" s="15" t="s">
        <v>102</v>
      </c>
      <c r="F1831" s="15" t="s">
        <v>15230</v>
      </c>
      <c r="G1831" s="15" t="s">
        <v>13985</v>
      </c>
      <c r="H1831" s="15">
        <v>5</v>
      </c>
      <c r="I1831" s="15">
        <v>29</v>
      </c>
      <c r="J1831" s="15">
        <v>80</v>
      </c>
      <c r="K1831" s="15" t="str">
        <f t="shared" si="28"/>
        <v>deeplaketusimekta</v>
      </c>
      <c r="L1831" s="15"/>
      <c r="M1831" s="15"/>
      <c r="N1831" s="15"/>
      <c r="O1831" s="15"/>
      <c r="P1831" s="15"/>
      <c r="Q1831" s="15"/>
      <c r="R1831" s="15"/>
      <c r="S1831" s="15"/>
      <c r="T1831" s="15">
        <v>0</v>
      </c>
      <c r="U1831" s="15"/>
      <c r="V1831" s="15"/>
      <c r="W1831" s="15"/>
      <c r="X1831" s="15"/>
      <c r="Y1831" s="15"/>
      <c r="Z1831" s="15"/>
    </row>
    <row r="1832" spans="1:26" x14ac:dyDescent="0.25">
      <c r="A1832" s="15" t="s">
        <v>13976</v>
      </c>
      <c r="B1832" s="15">
        <v>1831</v>
      </c>
      <c r="C1832" s="15" t="s">
        <v>11277</v>
      </c>
      <c r="D1832" s="15" t="s">
        <v>11647</v>
      </c>
      <c r="E1832" s="15" t="s">
        <v>102</v>
      </c>
      <c r="F1832" s="15" t="s">
        <v>15230</v>
      </c>
      <c r="G1832" s="15" t="s">
        <v>13997</v>
      </c>
      <c r="H1832" s="15">
        <v>5</v>
      </c>
      <c r="I1832" s="15">
        <v>29</v>
      </c>
      <c r="J1832" s="15">
        <v>80</v>
      </c>
      <c r="K1832" s="15" t="str">
        <f t="shared" si="28"/>
        <v>deeplaketusimekta</v>
      </c>
      <c r="L1832" s="15"/>
      <c r="M1832" s="15"/>
      <c r="N1832" s="15"/>
      <c r="O1832" s="15"/>
      <c r="P1832" s="15"/>
      <c r="Q1832" s="15"/>
      <c r="R1832" s="15"/>
      <c r="S1832" s="15"/>
      <c r="T1832" s="15">
        <v>0</v>
      </c>
      <c r="U1832" s="15"/>
      <c r="V1832" s="15"/>
      <c r="W1832" s="15"/>
      <c r="X1832" s="15"/>
      <c r="Y1832" s="15"/>
      <c r="Z1832" s="15"/>
    </row>
    <row r="1833" spans="1:26" x14ac:dyDescent="0.25">
      <c r="A1833" s="15" t="s">
        <v>13978</v>
      </c>
      <c r="B1833" s="15">
        <v>1832</v>
      </c>
      <c r="C1833" s="15" t="s">
        <v>11277</v>
      </c>
      <c r="D1833" s="15" t="s">
        <v>11647</v>
      </c>
      <c r="E1833" s="15" t="s">
        <v>102</v>
      </c>
      <c r="F1833" s="15" t="s">
        <v>15230</v>
      </c>
      <c r="G1833" s="15" t="s">
        <v>14001</v>
      </c>
      <c r="H1833" s="15">
        <v>5</v>
      </c>
      <c r="I1833" s="15">
        <v>29</v>
      </c>
      <c r="J1833" s="15">
        <v>80</v>
      </c>
      <c r="K1833" s="15" t="str">
        <f t="shared" si="28"/>
        <v>deeplaketusimekta</v>
      </c>
      <c r="L1833" s="15"/>
      <c r="M1833" s="15"/>
      <c r="N1833" s="15"/>
      <c r="O1833" s="15"/>
      <c r="P1833" s="15"/>
      <c r="Q1833" s="15"/>
      <c r="R1833" s="15"/>
      <c r="S1833" s="15"/>
      <c r="T1833" s="15">
        <v>0</v>
      </c>
      <c r="U1833" s="15"/>
      <c r="V1833" s="15"/>
      <c r="W1833" s="15"/>
      <c r="X1833" s="15"/>
      <c r="Y1833" s="15"/>
      <c r="Z1833" s="15"/>
    </row>
    <row r="1834" spans="1:26" x14ac:dyDescent="0.25">
      <c r="A1834" s="15" t="s">
        <v>13980</v>
      </c>
      <c r="B1834" s="15">
        <v>1833</v>
      </c>
      <c r="C1834" s="15" t="s">
        <v>11277</v>
      </c>
      <c r="D1834" s="15" t="s">
        <v>11277</v>
      </c>
      <c r="E1834" s="15" t="s">
        <v>102</v>
      </c>
      <c r="F1834" s="15" t="s">
        <v>15231</v>
      </c>
      <c r="G1834" s="15" t="s">
        <v>13918</v>
      </c>
      <c r="H1834" s="15">
        <v>11</v>
      </c>
      <c r="I1834" s="15">
        <v>6</v>
      </c>
      <c r="J1834" s="15">
        <v>77</v>
      </c>
      <c r="K1834" s="15" t="str">
        <f t="shared" si="28"/>
        <v>thefloundersfloor</v>
      </c>
      <c r="L1834" s="15" t="s">
        <v>13544</v>
      </c>
      <c r="M1834" s="15">
        <v>2</v>
      </c>
      <c r="N1834" s="15" t="s">
        <v>11223</v>
      </c>
      <c r="O1834" s="15"/>
      <c r="P1834" s="15"/>
      <c r="Q1834" s="15" t="s">
        <v>13938</v>
      </c>
      <c r="R1834" s="15"/>
      <c r="S1834" s="15"/>
      <c r="T1834" s="15">
        <v>0</v>
      </c>
      <c r="U1834" s="15"/>
      <c r="V1834" s="15"/>
      <c r="W1834" s="15"/>
      <c r="X1834" s="15"/>
      <c r="Y1834" s="15"/>
      <c r="Z1834" s="15"/>
    </row>
    <row r="1835" spans="1:26" x14ac:dyDescent="0.25">
      <c r="A1835" s="15" t="s">
        <v>13982</v>
      </c>
      <c r="B1835" s="15">
        <v>1834</v>
      </c>
      <c r="C1835" s="15" t="s">
        <v>11277</v>
      </c>
      <c r="D1835" s="15" t="s">
        <v>11277</v>
      </c>
      <c r="E1835" s="15" t="s">
        <v>102</v>
      </c>
      <c r="F1835" s="15" t="s">
        <v>15231</v>
      </c>
      <c r="G1835" s="15" t="s">
        <v>13920</v>
      </c>
      <c r="H1835" s="15">
        <v>11</v>
      </c>
      <c r="I1835" s="15">
        <v>6</v>
      </c>
      <c r="J1835" s="15">
        <v>79</v>
      </c>
      <c r="K1835" s="15" t="str">
        <f t="shared" si="28"/>
        <v>thefloundersfloor</v>
      </c>
      <c r="L1835" s="15" t="s">
        <v>13675</v>
      </c>
      <c r="M1835" s="15">
        <v>1</v>
      </c>
      <c r="N1835" s="15" t="s">
        <v>11222</v>
      </c>
      <c r="O1835" s="15"/>
      <c r="P1835" s="15"/>
      <c r="Q1835" s="15"/>
      <c r="R1835" s="15"/>
      <c r="S1835" s="15"/>
      <c r="T1835" s="15">
        <v>0</v>
      </c>
      <c r="U1835" s="15"/>
      <c r="V1835" s="15"/>
      <c r="W1835" s="15"/>
      <c r="X1835" s="15"/>
      <c r="Y1835" s="15"/>
      <c r="Z1835" s="15"/>
    </row>
    <row r="1836" spans="1:26" x14ac:dyDescent="0.25">
      <c r="A1836" s="15" t="s">
        <v>13984</v>
      </c>
      <c r="B1836" s="15">
        <v>1835</v>
      </c>
      <c r="C1836" s="15" t="s">
        <v>11277</v>
      </c>
      <c r="D1836" s="15" t="s">
        <v>11277</v>
      </c>
      <c r="E1836" s="15" t="s">
        <v>102</v>
      </c>
      <c r="F1836" s="15" t="s">
        <v>15231</v>
      </c>
      <c r="G1836" s="15" t="s">
        <v>13922</v>
      </c>
      <c r="H1836" s="15">
        <v>11</v>
      </c>
      <c r="I1836" s="15">
        <v>6</v>
      </c>
      <c r="J1836" s="15">
        <v>79</v>
      </c>
      <c r="K1836" s="15" t="str">
        <f t="shared" si="28"/>
        <v>thefloundersfloor</v>
      </c>
      <c r="L1836" s="15" t="s">
        <v>13544</v>
      </c>
      <c r="M1836" s="15">
        <v>2</v>
      </c>
      <c r="N1836" s="15" t="s">
        <v>11223</v>
      </c>
      <c r="O1836" s="15"/>
      <c r="P1836" s="15"/>
      <c r="Q1836" s="15"/>
      <c r="R1836" s="15"/>
      <c r="S1836" s="15"/>
      <c r="T1836" s="15">
        <v>0</v>
      </c>
      <c r="U1836" s="15"/>
      <c r="V1836" s="15"/>
      <c r="W1836" s="15"/>
      <c r="X1836" s="15"/>
      <c r="Y1836" s="15"/>
      <c r="Z1836" s="15"/>
    </row>
    <row r="1837" spans="1:26" x14ac:dyDescent="0.25">
      <c r="A1837" s="15" t="s">
        <v>13986</v>
      </c>
      <c r="B1837" s="15">
        <v>1836</v>
      </c>
      <c r="C1837" s="15" t="s">
        <v>11277</v>
      </c>
      <c r="D1837" s="15" t="s">
        <v>11277</v>
      </c>
      <c r="E1837" s="15" t="s">
        <v>102</v>
      </c>
      <c r="F1837" s="15" t="s">
        <v>15231</v>
      </c>
      <c r="G1837" s="15" t="s">
        <v>13924</v>
      </c>
      <c r="H1837" s="15">
        <v>11</v>
      </c>
      <c r="I1837" s="15">
        <v>6</v>
      </c>
      <c r="J1837" s="15">
        <v>80</v>
      </c>
      <c r="K1837" s="15" t="str">
        <f t="shared" si="28"/>
        <v>thefloundersfloor</v>
      </c>
      <c r="L1837" s="15" t="s">
        <v>12487</v>
      </c>
      <c r="M1837" s="15">
        <v>1</v>
      </c>
      <c r="N1837" s="15" t="s">
        <v>11222</v>
      </c>
      <c r="O1837" s="15"/>
      <c r="P1837" s="15"/>
      <c r="Q1837" s="15"/>
      <c r="R1837" s="15"/>
      <c r="S1837" s="15"/>
      <c r="T1837" s="15">
        <v>0</v>
      </c>
      <c r="U1837" s="15"/>
      <c r="V1837" s="15"/>
      <c r="W1837" s="15"/>
      <c r="X1837" s="15"/>
      <c r="Y1837" s="15"/>
      <c r="Z1837" s="15"/>
    </row>
    <row r="1838" spans="1:26" x14ac:dyDescent="0.25">
      <c r="A1838" s="15" t="s">
        <v>13988</v>
      </c>
      <c r="B1838" s="15">
        <v>1837</v>
      </c>
      <c r="C1838" s="15" t="s">
        <v>11277</v>
      </c>
      <c r="D1838" s="15" t="s">
        <v>11277</v>
      </c>
      <c r="E1838" s="15" t="s">
        <v>102</v>
      </c>
      <c r="F1838" s="15" t="s">
        <v>15231</v>
      </c>
      <c r="G1838" s="15" t="s">
        <v>13926</v>
      </c>
      <c r="H1838" s="15">
        <v>11</v>
      </c>
      <c r="I1838" s="15">
        <v>6</v>
      </c>
      <c r="J1838" s="15">
        <v>80</v>
      </c>
      <c r="K1838" s="15" t="str">
        <f t="shared" si="28"/>
        <v>thefloundersfloor</v>
      </c>
      <c r="L1838" s="15" t="s">
        <v>12487</v>
      </c>
      <c r="M1838" s="15">
        <v>2</v>
      </c>
      <c r="N1838" s="15" t="s">
        <v>11223</v>
      </c>
      <c r="O1838" s="15"/>
      <c r="P1838" s="15"/>
      <c r="Q1838" s="15"/>
      <c r="R1838" s="15"/>
      <c r="S1838" s="15"/>
      <c r="T1838" s="15">
        <v>0</v>
      </c>
      <c r="U1838" s="15"/>
      <c r="V1838" s="15"/>
      <c r="W1838" s="15"/>
      <c r="X1838" s="15"/>
      <c r="Y1838" s="15"/>
      <c r="Z1838" s="15"/>
    </row>
    <row r="1839" spans="1:26" x14ac:dyDescent="0.25">
      <c r="A1839" s="15" t="s">
        <v>13990</v>
      </c>
      <c r="B1839" s="15">
        <v>1838</v>
      </c>
      <c r="C1839" s="15" t="s">
        <v>11277</v>
      </c>
      <c r="D1839" s="15" t="s">
        <v>11277</v>
      </c>
      <c r="E1839" s="15" t="s">
        <v>102</v>
      </c>
      <c r="F1839" s="15" t="s">
        <v>15231</v>
      </c>
      <c r="G1839" s="15" t="s">
        <v>13928</v>
      </c>
      <c r="H1839" s="15">
        <v>11</v>
      </c>
      <c r="I1839" s="15">
        <v>6</v>
      </c>
      <c r="J1839" s="15">
        <v>80</v>
      </c>
      <c r="K1839" s="15" t="str">
        <f t="shared" si="28"/>
        <v>thefloundersfloor</v>
      </c>
      <c r="L1839" s="15" t="s">
        <v>12487</v>
      </c>
      <c r="M1839" s="15">
        <v>3</v>
      </c>
      <c r="N1839" s="15" t="s">
        <v>11222</v>
      </c>
      <c r="O1839" s="15" t="s">
        <v>14020</v>
      </c>
      <c r="P1839" s="15"/>
      <c r="Q1839" s="15"/>
      <c r="R1839" s="15"/>
      <c r="S1839" s="15"/>
      <c r="T1839" s="15">
        <v>0</v>
      </c>
      <c r="U1839" s="15" t="s">
        <v>5893</v>
      </c>
      <c r="V1839" s="15" t="s">
        <v>5892</v>
      </c>
      <c r="W1839" s="15"/>
      <c r="X1839" s="15"/>
      <c r="Y1839" s="15"/>
      <c r="Z1839" s="15"/>
    </row>
    <row r="1840" spans="1:26" x14ac:dyDescent="0.25">
      <c r="A1840" s="15" t="s">
        <v>13992</v>
      </c>
      <c r="B1840" s="15">
        <v>1839</v>
      </c>
      <c r="C1840" s="15" t="s">
        <v>11277</v>
      </c>
      <c r="D1840" s="15" t="s">
        <v>11277</v>
      </c>
      <c r="E1840" s="15" t="s">
        <v>102</v>
      </c>
      <c r="F1840" s="15" t="s">
        <v>2286</v>
      </c>
      <c r="G1840" s="15" t="s">
        <v>13918</v>
      </c>
      <c r="H1840" s="15">
        <v>37</v>
      </c>
      <c r="I1840" s="15">
        <v>7</v>
      </c>
      <c r="J1840" s="15">
        <v>77</v>
      </c>
      <c r="K1840" s="15" t="str">
        <f t="shared" si="28"/>
        <v>wherethedryreturn</v>
      </c>
      <c r="L1840" s="15" t="s">
        <v>13544</v>
      </c>
      <c r="M1840" s="15">
        <v>2</v>
      </c>
      <c r="N1840" s="15" t="s">
        <v>11223</v>
      </c>
      <c r="O1840" s="15"/>
      <c r="P1840" s="15"/>
      <c r="Q1840" s="15" t="s">
        <v>13938</v>
      </c>
      <c r="R1840" s="15"/>
      <c r="S1840" s="15"/>
      <c r="T1840" s="15">
        <v>0</v>
      </c>
      <c r="U1840" s="15"/>
      <c r="V1840" s="15"/>
      <c r="W1840" s="15"/>
      <c r="X1840" s="15"/>
      <c r="Y1840" s="15"/>
      <c r="Z1840" s="15"/>
    </row>
    <row r="1841" spans="1:26" x14ac:dyDescent="0.25">
      <c r="A1841" s="15" t="s">
        <v>13994</v>
      </c>
      <c r="B1841" s="15">
        <v>1840</v>
      </c>
      <c r="C1841" s="15" t="s">
        <v>11277</v>
      </c>
      <c r="D1841" s="15" t="s">
        <v>11277</v>
      </c>
      <c r="E1841" s="15" t="s">
        <v>102</v>
      </c>
      <c r="F1841" s="15" t="s">
        <v>2286</v>
      </c>
      <c r="G1841" s="15" t="s">
        <v>13920</v>
      </c>
      <c r="H1841" s="15">
        <v>37</v>
      </c>
      <c r="I1841" s="15">
        <v>7</v>
      </c>
      <c r="J1841" s="15">
        <v>79</v>
      </c>
      <c r="K1841" s="15" t="str">
        <f t="shared" si="28"/>
        <v>wherethedryreturn</v>
      </c>
      <c r="L1841" s="15" t="s">
        <v>13675</v>
      </c>
      <c r="M1841" s="15">
        <v>1</v>
      </c>
      <c r="N1841" s="15" t="s">
        <v>11222</v>
      </c>
      <c r="O1841" s="15"/>
      <c r="P1841" s="15"/>
      <c r="Q1841" s="15"/>
      <c r="R1841" s="15"/>
      <c r="S1841" s="15"/>
      <c r="T1841" s="15">
        <v>0</v>
      </c>
      <c r="U1841" s="15"/>
      <c r="V1841" s="15"/>
      <c r="W1841" s="15"/>
      <c r="X1841" s="15"/>
      <c r="Y1841" s="15"/>
      <c r="Z1841" s="15"/>
    </row>
    <row r="1842" spans="1:26" x14ac:dyDescent="0.25">
      <c r="A1842" s="15" t="s">
        <v>13996</v>
      </c>
      <c r="B1842" s="15">
        <v>1841</v>
      </c>
      <c r="C1842" s="15" t="s">
        <v>11277</v>
      </c>
      <c r="D1842" s="15" t="s">
        <v>11277</v>
      </c>
      <c r="E1842" s="15" t="s">
        <v>102</v>
      </c>
      <c r="F1842" s="15" t="s">
        <v>2286</v>
      </c>
      <c r="G1842" s="15" t="s">
        <v>13922</v>
      </c>
      <c r="H1842" s="15">
        <v>37</v>
      </c>
      <c r="I1842" s="15">
        <v>7</v>
      </c>
      <c r="J1842" s="15">
        <v>79</v>
      </c>
      <c r="K1842" s="15" t="str">
        <f t="shared" si="28"/>
        <v>wherethedryreturn</v>
      </c>
      <c r="L1842" s="15" t="s">
        <v>13544</v>
      </c>
      <c r="M1842" s="15">
        <v>2</v>
      </c>
      <c r="N1842" s="15" t="s">
        <v>11223</v>
      </c>
      <c r="O1842" s="15"/>
      <c r="P1842" s="15"/>
      <c r="Q1842" s="15"/>
      <c r="R1842" s="15"/>
      <c r="S1842" s="15"/>
      <c r="T1842" s="15">
        <v>0</v>
      </c>
      <c r="U1842" s="15"/>
      <c r="V1842" s="15"/>
      <c r="W1842" s="15"/>
      <c r="X1842" s="15"/>
      <c r="Y1842" s="15"/>
      <c r="Z1842" s="15"/>
    </row>
    <row r="1843" spans="1:26" x14ac:dyDescent="0.25">
      <c r="A1843" s="15" t="s">
        <v>13998</v>
      </c>
      <c r="B1843" s="15">
        <v>1842</v>
      </c>
      <c r="C1843" s="15" t="s">
        <v>11277</v>
      </c>
      <c r="D1843" s="15" t="s">
        <v>11277</v>
      </c>
      <c r="E1843" s="15" t="s">
        <v>102</v>
      </c>
      <c r="F1843" s="15" t="s">
        <v>2286</v>
      </c>
      <c r="G1843" s="15" t="s">
        <v>13930</v>
      </c>
      <c r="H1843" s="15">
        <v>37</v>
      </c>
      <c r="I1843" s="15">
        <v>7</v>
      </c>
      <c r="J1843" s="15">
        <v>79</v>
      </c>
      <c r="K1843" s="15" t="str">
        <f t="shared" si="28"/>
        <v>wherethedryreturn</v>
      </c>
      <c r="L1843" s="15" t="s">
        <v>13675</v>
      </c>
      <c r="M1843" s="15">
        <v>1</v>
      </c>
      <c r="N1843" s="15" t="s">
        <v>11222</v>
      </c>
      <c r="O1843" s="15"/>
      <c r="P1843" s="15"/>
      <c r="Q1843" s="15"/>
      <c r="R1843" s="15"/>
      <c r="S1843" s="15"/>
      <c r="T1843" s="15">
        <v>0</v>
      </c>
      <c r="U1843" s="15"/>
      <c r="V1843" s="15"/>
      <c r="W1843" s="15"/>
      <c r="X1843" s="15"/>
      <c r="Y1843" s="15"/>
      <c r="Z1843" s="15"/>
    </row>
    <row r="1844" spans="1:26" x14ac:dyDescent="0.25">
      <c r="A1844" s="15" t="s">
        <v>14000</v>
      </c>
      <c r="B1844" s="15">
        <v>1843</v>
      </c>
      <c r="C1844" s="15" t="s">
        <v>11277</v>
      </c>
      <c r="D1844" s="15" t="s">
        <v>11277</v>
      </c>
      <c r="E1844" s="15" t="s">
        <v>102</v>
      </c>
      <c r="F1844" s="15" t="s">
        <v>2286</v>
      </c>
      <c r="G1844" s="15" t="s">
        <v>13932</v>
      </c>
      <c r="H1844" s="15">
        <v>37</v>
      </c>
      <c r="I1844" s="15">
        <v>7</v>
      </c>
      <c r="J1844" s="15">
        <v>80</v>
      </c>
      <c r="K1844" s="15" t="str">
        <f t="shared" si="28"/>
        <v>wherethedryreturn</v>
      </c>
      <c r="L1844" s="15" t="s">
        <v>12487</v>
      </c>
      <c r="M1844" s="15">
        <v>2</v>
      </c>
      <c r="N1844" s="15" t="s">
        <v>11223</v>
      </c>
      <c r="O1844" s="15"/>
      <c r="P1844" s="15"/>
      <c r="Q1844" s="15"/>
      <c r="R1844" s="15"/>
      <c r="S1844" s="15"/>
      <c r="T1844" s="15">
        <v>0</v>
      </c>
      <c r="U1844" s="15"/>
      <c r="V1844" s="15"/>
      <c r="W1844" s="15"/>
      <c r="X1844" s="15"/>
      <c r="Y1844" s="15"/>
      <c r="Z1844" s="15"/>
    </row>
    <row r="1845" spans="1:26" x14ac:dyDescent="0.25">
      <c r="A1845" s="15" t="s">
        <v>15232</v>
      </c>
      <c r="B1845" s="15">
        <v>1844</v>
      </c>
      <c r="C1845" s="15" t="s">
        <v>11277</v>
      </c>
      <c r="D1845" s="15" t="s">
        <v>11277</v>
      </c>
      <c r="E1845" s="15" t="s">
        <v>102</v>
      </c>
      <c r="F1845" s="15" t="s">
        <v>2286</v>
      </c>
      <c r="G1845" s="15" t="s">
        <v>13934</v>
      </c>
      <c r="H1845" s="15">
        <v>37</v>
      </c>
      <c r="I1845" s="15">
        <v>7</v>
      </c>
      <c r="J1845" s="15">
        <v>80</v>
      </c>
      <c r="K1845" s="15" t="str">
        <f t="shared" si="28"/>
        <v>wherethedryreturn</v>
      </c>
      <c r="L1845" s="15" t="s">
        <v>12487</v>
      </c>
      <c r="M1845" s="15">
        <v>3</v>
      </c>
      <c r="N1845" s="15" t="s">
        <v>11223</v>
      </c>
      <c r="O1845" s="15" t="s">
        <v>14003</v>
      </c>
      <c r="P1845" s="15"/>
      <c r="Q1845" s="15"/>
      <c r="R1845" s="15"/>
      <c r="S1845" s="15"/>
      <c r="T1845" s="15">
        <v>0</v>
      </c>
      <c r="U1845" s="15"/>
      <c r="V1845" s="15"/>
      <c r="W1845" s="15"/>
      <c r="X1845" s="15"/>
      <c r="Y1845" s="15"/>
      <c r="Z1845" s="15"/>
    </row>
    <row r="1846" spans="1:26" x14ac:dyDescent="0.25">
      <c r="A1846" s="15" t="s">
        <v>15233</v>
      </c>
      <c r="B1846" s="15">
        <v>1845</v>
      </c>
      <c r="C1846" s="15" t="s">
        <v>11277</v>
      </c>
      <c r="D1846" s="15" t="s">
        <v>11277</v>
      </c>
      <c r="E1846" s="15" t="s">
        <v>102</v>
      </c>
      <c r="F1846" s="15" t="s">
        <v>15234</v>
      </c>
      <c r="G1846" s="15" t="s">
        <v>13918</v>
      </c>
      <c r="H1846" s="15">
        <v>11</v>
      </c>
      <c r="I1846" s="15">
        <v>10</v>
      </c>
      <c r="J1846" s="15">
        <v>77</v>
      </c>
      <c r="K1846" s="15" t="str">
        <f t="shared" si="28"/>
        <v>northwestcalibangorge</v>
      </c>
      <c r="L1846" s="15" t="s">
        <v>13544</v>
      </c>
      <c r="M1846" s="15">
        <v>2</v>
      </c>
      <c r="N1846" s="15" t="s">
        <v>11223</v>
      </c>
      <c r="O1846" s="15"/>
      <c r="P1846" s="15"/>
      <c r="Q1846" s="15" t="s">
        <v>13938</v>
      </c>
      <c r="R1846" s="15"/>
      <c r="S1846" s="15"/>
      <c r="T1846" s="15">
        <v>0</v>
      </c>
      <c r="U1846" s="15"/>
      <c r="V1846" s="15"/>
      <c r="W1846" s="15"/>
      <c r="X1846" s="15"/>
      <c r="Y1846" s="15"/>
      <c r="Z1846" s="15"/>
    </row>
    <row r="1847" spans="1:26" x14ac:dyDescent="0.25">
      <c r="A1847" s="15" t="s">
        <v>15235</v>
      </c>
      <c r="B1847" s="15">
        <v>1846</v>
      </c>
      <c r="C1847" s="15" t="s">
        <v>11277</v>
      </c>
      <c r="D1847" s="15" t="s">
        <v>11277</v>
      </c>
      <c r="E1847" s="15" t="s">
        <v>102</v>
      </c>
      <c r="F1847" s="15" t="s">
        <v>15234</v>
      </c>
      <c r="G1847" s="15" t="s">
        <v>13936</v>
      </c>
      <c r="H1847" s="15">
        <v>11</v>
      </c>
      <c r="I1847" s="15">
        <v>10</v>
      </c>
      <c r="J1847" s="15">
        <v>77</v>
      </c>
      <c r="K1847" s="15" t="str">
        <f t="shared" si="28"/>
        <v>northwestcalibangorge</v>
      </c>
      <c r="L1847" s="15" t="s">
        <v>13544</v>
      </c>
      <c r="M1847" s="15">
        <v>1</v>
      </c>
      <c r="N1847" s="15" t="s">
        <v>11222</v>
      </c>
      <c r="O1847" s="15"/>
      <c r="P1847" s="15"/>
      <c r="Q1847" s="15"/>
      <c r="R1847" s="15"/>
      <c r="S1847" s="15"/>
      <c r="T1847" s="15">
        <v>0</v>
      </c>
      <c r="U1847" s="15"/>
      <c r="V1847" s="15"/>
      <c r="W1847" s="15"/>
      <c r="X1847" s="15"/>
      <c r="Y1847" s="15"/>
      <c r="Z1847" s="15"/>
    </row>
    <row r="1848" spans="1:26" x14ac:dyDescent="0.25">
      <c r="A1848" s="15" t="s">
        <v>15236</v>
      </c>
      <c r="B1848" s="15">
        <v>1847</v>
      </c>
      <c r="C1848" s="15" t="s">
        <v>11277</v>
      </c>
      <c r="D1848" s="15" t="s">
        <v>11277</v>
      </c>
      <c r="E1848" s="15" t="s">
        <v>102</v>
      </c>
      <c r="F1848" s="15" t="s">
        <v>15234</v>
      </c>
      <c r="G1848" s="15" t="s">
        <v>13922</v>
      </c>
      <c r="H1848" s="15">
        <v>11</v>
      </c>
      <c r="I1848" s="15">
        <v>10</v>
      </c>
      <c r="J1848" s="15">
        <v>79</v>
      </c>
      <c r="K1848" s="15" t="str">
        <f t="shared" si="28"/>
        <v>northwestcalibangorge</v>
      </c>
      <c r="L1848" s="15" t="s">
        <v>13544</v>
      </c>
      <c r="M1848" s="15">
        <v>2</v>
      </c>
      <c r="N1848" s="15" t="s">
        <v>11223</v>
      </c>
      <c r="O1848" s="15"/>
      <c r="P1848" s="15"/>
      <c r="Q1848" s="15"/>
      <c r="R1848" s="15"/>
      <c r="S1848" s="15"/>
      <c r="T1848" s="15">
        <v>0</v>
      </c>
      <c r="U1848" s="15"/>
      <c r="V1848" s="15"/>
      <c r="W1848" s="15"/>
      <c r="X1848" s="15"/>
      <c r="Y1848" s="15"/>
      <c r="Z1848" s="15"/>
    </row>
    <row r="1849" spans="1:26" x14ac:dyDescent="0.25">
      <c r="A1849" s="15" t="s">
        <v>15237</v>
      </c>
      <c r="B1849" s="15">
        <v>1848</v>
      </c>
      <c r="C1849" s="15" t="s">
        <v>11277</v>
      </c>
      <c r="D1849" s="15" t="s">
        <v>11277</v>
      </c>
      <c r="E1849" s="15" t="s">
        <v>102</v>
      </c>
      <c r="F1849" s="15" t="s">
        <v>15234</v>
      </c>
      <c r="G1849" s="15" t="s">
        <v>13948</v>
      </c>
      <c r="H1849" s="15">
        <v>11</v>
      </c>
      <c r="I1849" s="15">
        <v>10</v>
      </c>
      <c r="J1849" s="15">
        <v>80</v>
      </c>
      <c r="K1849" s="15" t="str">
        <f t="shared" si="28"/>
        <v>northwestcalibangorge</v>
      </c>
      <c r="L1849" s="15" t="s">
        <v>13675</v>
      </c>
      <c r="M1849" s="15">
        <v>2</v>
      </c>
      <c r="N1849" s="15" t="s">
        <v>11223</v>
      </c>
      <c r="O1849" s="15"/>
      <c r="P1849" s="15"/>
      <c r="Q1849" s="15"/>
      <c r="R1849" s="15"/>
      <c r="S1849" s="15"/>
      <c r="T1849" s="15">
        <v>0</v>
      </c>
      <c r="U1849" s="15" t="s">
        <v>5892</v>
      </c>
      <c r="V1849" s="15"/>
      <c r="W1849" s="15"/>
      <c r="X1849" s="15"/>
      <c r="Y1849" s="15"/>
      <c r="Z1849" s="15"/>
    </row>
    <row r="1850" spans="1:26" x14ac:dyDescent="0.25">
      <c r="A1850" s="15" t="s">
        <v>15238</v>
      </c>
      <c r="B1850" s="15">
        <v>1849</v>
      </c>
      <c r="C1850" s="15" t="s">
        <v>11277</v>
      </c>
      <c r="D1850" s="15" t="s">
        <v>11277</v>
      </c>
      <c r="E1850" s="15" t="s">
        <v>102</v>
      </c>
      <c r="F1850" s="15" t="s">
        <v>15234</v>
      </c>
      <c r="G1850" s="15" t="s">
        <v>15239</v>
      </c>
      <c r="H1850" s="15">
        <v>11</v>
      </c>
      <c r="I1850" s="15">
        <v>10</v>
      </c>
      <c r="J1850" s="15">
        <v>80</v>
      </c>
      <c r="K1850" s="15" t="str">
        <f t="shared" si="28"/>
        <v>northwestcalibangorge</v>
      </c>
      <c r="L1850" s="15" t="s">
        <v>12487</v>
      </c>
      <c r="M1850" s="15">
        <v>1</v>
      </c>
      <c r="N1850" s="15" t="s">
        <v>11222</v>
      </c>
      <c r="O1850" s="15"/>
      <c r="P1850" s="15"/>
      <c r="Q1850" s="15"/>
      <c r="R1850" s="15"/>
      <c r="S1850" s="15"/>
      <c r="T1850" s="15">
        <v>0</v>
      </c>
      <c r="U1850" s="15"/>
      <c r="V1850" s="15"/>
      <c r="W1850" s="15"/>
      <c r="X1850" s="15"/>
      <c r="Y1850" s="15"/>
      <c r="Z1850" s="15"/>
    </row>
    <row r="1851" spans="1:26" x14ac:dyDescent="0.25">
      <c r="A1851" s="15" t="s">
        <v>15240</v>
      </c>
      <c r="B1851" s="15">
        <v>1850</v>
      </c>
      <c r="C1851" s="15" t="s">
        <v>11277</v>
      </c>
      <c r="D1851" s="15" t="s">
        <v>11277</v>
      </c>
      <c r="E1851" s="15" t="s">
        <v>102</v>
      </c>
      <c r="F1851" s="15" t="s">
        <v>15234</v>
      </c>
      <c r="G1851" s="15" t="s">
        <v>15241</v>
      </c>
      <c r="H1851" s="15">
        <v>11</v>
      </c>
      <c r="I1851" s="15">
        <v>10</v>
      </c>
      <c r="J1851" s="15">
        <v>80</v>
      </c>
      <c r="K1851" s="15" t="str">
        <f t="shared" si="28"/>
        <v>northwestcalibangorge</v>
      </c>
      <c r="L1851" s="15" t="s">
        <v>12487</v>
      </c>
      <c r="M1851" s="15">
        <v>1</v>
      </c>
      <c r="N1851" s="15" t="s">
        <v>11222</v>
      </c>
      <c r="O1851" s="15"/>
      <c r="P1851" s="15"/>
      <c r="Q1851" s="15"/>
      <c r="R1851" s="15"/>
      <c r="S1851" s="15"/>
      <c r="T1851" s="15">
        <v>0</v>
      </c>
      <c r="U1851" s="15"/>
      <c r="V1851" s="15"/>
      <c r="W1851" s="15"/>
      <c r="X1851" s="15"/>
      <c r="Y1851" s="15"/>
      <c r="Z1851" s="15"/>
    </row>
    <row r="1852" spans="1:26" x14ac:dyDescent="0.25">
      <c r="A1852" s="15" t="s">
        <v>15242</v>
      </c>
      <c r="B1852" s="15">
        <v>1851</v>
      </c>
      <c r="C1852" s="15" t="s">
        <v>11277</v>
      </c>
      <c r="D1852" s="15" t="s">
        <v>11277</v>
      </c>
      <c r="E1852" s="15" t="s">
        <v>102</v>
      </c>
      <c r="F1852" s="15" t="s">
        <v>15234</v>
      </c>
      <c r="G1852" s="15" t="s">
        <v>15243</v>
      </c>
      <c r="H1852" s="15">
        <v>11</v>
      </c>
      <c r="I1852" s="15">
        <v>10</v>
      </c>
      <c r="J1852" s="15">
        <v>80</v>
      </c>
      <c r="K1852" s="15" t="str">
        <f t="shared" si="28"/>
        <v>northwestcalibangorge</v>
      </c>
      <c r="L1852" s="15" t="s">
        <v>13675</v>
      </c>
      <c r="M1852" s="15">
        <v>3</v>
      </c>
      <c r="N1852" s="15" t="s">
        <v>11223</v>
      </c>
      <c r="O1852" s="15" t="s">
        <v>14072</v>
      </c>
      <c r="P1852" s="15"/>
      <c r="Q1852" s="15"/>
      <c r="R1852" s="15"/>
      <c r="S1852" s="15"/>
      <c r="T1852" s="15">
        <v>0</v>
      </c>
      <c r="U1852" s="15"/>
      <c r="V1852" s="15"/>
      <c r="W1852" s="15"/>
      <c r="X1852" s="15"/>
      <c r="Y1852" s="15"/>
      <c r="Z1852" s="15"/>
    </row>
    <row r="1853" spans="1:26" x14ac:dyDescent="0.25">
      <c r="A1853" s="15" t="s">
        <v>15244</v>
      </c>
      <c r="B1853" s="15">
        <v>1852</v>
      </c>
      <c r="C1853" s="15" t="s">
        <v>11277</v>
      </c>
      <c r="D1853" s="15" t="s">
        <v>11277</v>
      </c>
      <c r="E1853" s="15" t="s">
        <v>102</v>
      </c>
      <c r="F1853" s="15" t="s">
        <v>15234</v>
      </c>
      <c r="G1853" s="15" t="s">
        <v>15245</v>
      </c>
      <c r="H1853" s="15">
        <v>11</v>
      </c>
      <c r="I1853" s="15">
        <v>10</v>
      </c>
      <c r="J1853" s="15">
        <v>80</v>
      </c>
      <c r="K1853" s="15" t="str">
        <f t="shared" si="28"/>
        <v>northwestcalibangorge</v>
      </c>
      <c r="L1853" s="15" t="s">
        <v>12487</v>
      </c>
      <c r="M1853" s="15">
        <v>3</v>
      </c>
      <c r="N1853" s="15" t="s">
        <v>11223</v>
      </c>
      <c r="O1853" s="15" t="s">
        <v>2804</v>
      </c>
      <c r="P1853" s="15" t="s">
        <v>15246</v>
      </c>
      <c r="Q1853" s="15"/>
      <c r="R1853" s="15"/>
      <c r="S1853" s="15"/>
      <c r="T1853" s="15">
        <v>0</v>
      </c>
      <c r="U1853" s="15" t="s">
        <v>5892</v>
      </c>
      <c r="V1853" s="15"/>
      <c r="W1853" s="15"/>
      <c r="X1853" s="15" t="s">
        <v>5908</v>
      </c>
      <c r="Y1853" s="15"/>
      <c r="Z1853" s="15"/>
    </row>
    <row r="1854" spans="1:26" x14ac:dyDescent="0.25">
      <c r="A1854" s="15" t="s">
        <v>15247</v>
      </c>
      <c r="B1854" s="15">
        <v>1853</v>
      </c>
      <c r="C1854" s="15" t="s">
        <v>11277</v>
      </c>
      <c r="D1854" s="15" t="s">
        <v>11277</v>
      </c>
      <c r="E1854" s="15" t="s">
        <v>102</v>
      </c>
      <c r="F1854" s="15" t="s">
        <v>15248</v>
      </c>
      <c r="G1854" s="15" t="s">
        <v>13918</v>
      </c>
      <c r="H1854" s="15">
        <v>8</v>
      </c>
      <c r="I1854" s="15">
        <v>15</v>
      </c>
      <c r="J1854" s="15">
        <v>77</v>
      </c>
      <c r="K1854" s="15" t="str">
        <f t="shared" si="28"/>
        <v>eastcalibangap</v>
      </c>
      <c r="L1854" s="15" t="s">
        <v>13675</v>
      </c>
      <c r="M1854" s="15">
        <v>2</v>
      </c>
      <c r="N1854" s="15" t="s">
        <v>11223</v>
      </c>
      <c r="O1854" s="15"/>
      <c r="P1854" s="15"/>
      <c r="Q1854" s="15" t="s">
        <v>13938</v>
      </c>
      <c r="R1854" s="15"/>
      <c r="S1854" s="15"/>
      <c r="T1854" s="15">
        <v>0</v>
      </c>
      <c r="U1854" s="15"/>
      <c r="V1854" s="15"/>
      <c r="W1854" s="15"/>
      <c r="X1854" s="15"/>
      <c r="Y1854" s="15"/>
      <c r="Z1854" s="15"/>
    </row>
    <row r="1855" spans="1:26" x14ac:dyDescent="0.25">
      <c r="A1855" s="15" t="s">
        <v>15249</v>
      </c>
      <c r="B1855" s="15">
        <v>1854</v>
      </c>
      <c r="C1855" s="15" t="s">
        <v>11277</v>
      </c>
      <c r="D1855" s="15" t="s">
        <v>11277</v>
      </c>
      <c r="E1855" s="15" t="s">
        <v>102</v>
      </c>
      <c r="F1855" s="15" t="s">
        <v>15248</v>
      </c>
      <c r="G1855" s="15" t="s">
        <v>13936</v>
      </c>
      <c r="H1855" s="15">
        <v>8</v>
      </c>
      <c r="I1855" s="15">
        <v>15</v>
      </c>
      <c r="J1855" s="15">
        <v>77</v>
      </c>
      <c r="K1855" s="15" t="str">
        <f t="shared" si="28"/>
        <v>eastcalibangap</v>
      </c>
      <c r="L1855" s="15" t="s">
        <v>13675</v>
      </c>
      <c r="M1855" s="15">
        <v>1</v>
      </c>
      <c r="N1855" s="15" t="s">
        <v>11222</v>
      </c>
      <c r="O1855" s="15"/>
      <c r="P1855" s="15"/>
      <c r="Q1855" s="15"/>
      <c r="R1855" s="15"/>
      <c r="S1855" s="15"/>
      <c r="T1855" s="15">
        <v>0</v>
      </c>
      <c r="U1855" s="15"/>
      <c r="V1855" s="15"/>
      <c r="W1855" s="15"/>
      <c r="X1855" s="15"/>
      <c r="Y1855" s="15"/>
      <c r="Z1855" s="15"/>
    </row>
    <row r="1856" spans="1:26" x14ac:dyDescent="0.25">
      <c r="A1856" s="15" t="s">
        <v>15250</v>
      </c>
      <c r="B1856" s="15">
        <v>1855</v>
      </c>
      <c r="C1856" s="15" t="s">
        <v>11277</v>
      </c>
      <c r="D1856" s="15" t="s">
        <v>11277</v>
      </c>
      <c r="E1856" s="15" t="s">
        <v>102</v>
      </c>
      <c r="F1856" s="15" t="s">
        <v>15248</v>
      </c>
      <c r="G1856" s="15" t="s">
        <v>13948</v>
      </c>
      <c r="H1856" s="15">
        <v>8</v>
      </c>
      <c r="I1856" s="15">
        <v>15</v>
      </c>
      <c r="J1856" s="15">
        <v>80</v>
      </c>
      <c r="K1856" s="15" t="str">
        <f t="shared" si="28"/>
        <v>eastcalibangap</v>
      </c>
      <c r="L1856" s="15" t="s">
        <v>12487</v>
      </c>
      <c r="M1856" s="15">
        <v>2</v>
      </c>
      <c r="N1856" s="15" t="s">
        <v>11223</v>
      </c>
      <c r="O1856" s="15"/>
      <c r="P1856" s="15"/>
      <c r="Q1856" s="15"/>
      <c r="R1856" s="15"/>
      <c r="S1856" s="15"/>
      <c r="T1856" s="15">
        <v>0</v>
      </c>
      <c r="U1856" s="15" t="s">
        <v>5892</v>
      </c>
      <c r="V1856" s="15"/>
      <c r="W1856" s="15"/>
      <c r="X1856" s="15"/>
      <c r="Y1856" s="15"/>
      <c r="Z1856" s="15"/>
    </row>
    <row r="1857" spans="1:26" x14ac:dyDescent="0.25">
      <c r="A1857" s="15" t="s">
        <v>15251</v>
      </c>
      <c r="B1857" s="15">
        <v>1856</v>
      </c>
      <c r="C1857" s="15" t="s">
        <v>11277</v>
      </c>
      <c r="D1857" s="15" t="s">
        <v>11277</v>
      </c>
      <c r="E1857" s="15" t="s">
        <v>102</v>
      </c>
      <c r="F1857" s="15" t="s">
        <v>15248</v>
      </c>
      <c r="G1857" s="15" t="s">
        <v>13950</v>
      </c>
      <c r="H1857" s="15">
        <v>8</v>
      </c>
      <c r="I1857" s="15">
        <v>15</v>
      </c>
      <c r="J1857" s="15">
        <v>79</v>
      </c>
      <c r="K1857" s="15" t="str">
        <f t="shared" si="28"/>
        <v>eastcalibangap</v>
      </c>
      <c r="L1857" s="15" t="s">
        <v>13675</v>
      </c>
      <c r="M1857" s="15">
        <v>2</v>
      </c>
      <c r="N1857" s="15" t="s">
        <v>11223</v>
      </c>
      <c r="O1857" s="15"/>
      <c r="P1857" s="15"/>
      <c r="Q1857" s="15"/>
      <c r="R1857" s="15"/>
      <c r="S1857" s="15"/>
      <c r="T1857" s="15">
        <v>0</v>
      </c>
      <c r="U1857" s="15"/>
      <c r="V1857" s="15"/>
      <c r="W1857" s="15"/>
      <c r="X1857" s="15"/>
      <c r="Y1857" s="15"/>
      <c r="Z1857" s="15"/>
    </row>
    <row r="1858" spans="1:26" x14ac:dyDescent="0.25">
      <c r="A1858" s="15" t="s">
        <v>15252</v>
      </c>
      <c r="B1858" s="15">
        <v>1857</v>
      </c>
      <c r="C1858" s="15" t="s">
        <v>11277</v>
      </c>
      <c r="D1858" s="15" t="s">
        <v>11277</v>
      </c>
      <c r="E1858" s="15" t="s">
        <v>102</v>
      </c>
      <c r="F1858" s="15" t="s">
        <v>15248</v>
      </c>
      <c r="G1858" s="15" t="s">
        <v>13952</v>
      </c>
      <c r="H1858" s="15">
        <v>8</v>
      </c>
      <c r="I1858" s="15">
        <v>15</v>
      </c>
      <c r="J1858" s="15">
        <v>80</v>
      </c>
      <c r="K1858" s="15" t="str">
        <f t="shared" ref="K1858:K1921" si="29">LOWER(SUBSTITUTE(SUBSTITUTE(SUBSTITUTE(SUBSTITUTE(SUBSTITUTE(F1858," ",""),"(",""),")",""),"'",""),"-",""))</f>
        <v>eastcalibangap</v>
      </c>
      <c r="L1858" s="15" t="s">
        <v>12487</v>
      </c>
      <c r="M1858" s="15">
        <v>1</v>
      </c>
      <c r="N1858" s="15" t="s">
        <v>11222</v>
      </c>
      <c r="O1858" s="15"/>
      <c r="P1858" s="15"/>
      <c r="Q1858" s="15"/>
      <c r="R1858" s="15"/>
      <c r="S1858" s="15"/>
      <c r="T1858" s="15">
        <v>0</v>
      </c>
      <c r="U1858" s="15"/>
      <c r="V1858" s="15"/>
      <c r="W1858" s="15"/>
      <c r="X1858" s="15"/>
      <c r="Y1858" s="15"/>
      <c r="Z1858" s="15"/>
    </row>
    <row r="1859" spans="1:26" x14ac:dyDescent="0.25">
      <c r="A1859" s="15" t="s">
        <v>15253</v>
      </c>
      <c r="B1859" s="15">
        <v>1858</v>
      </c>
      <c r="C1859" s="15" t="s">
        <v>11277</v>
      </c>
      <c r="D1859" s="15" t="s">
        <v>11277</v>
      </c>
      <c r="E1859" s="15" t="s">
        <v>102</v>
      </c>
      <c r="F1859" s="15" t="s">
        <v>15248</v>
      </c>
      <c r="G1859" s="15" t="s">
        <v>13954</v>
      </c>
      <c r="H1859" s="15">
        <v>8</v>
      </c>
      <c r="I1859" s="15">
        <v>15</v>
      </c>
      <c r="J1859" s="15">
        <v>80</v>
      </c>
      <c r="K1859" s="15" t="str">
        <f t="shared" si="29"/>
        <v>eastcalibangap</v>
      </c>
      <c r="L1859" s="15" t="s">
        <v>12487</v>
      </c>
      <c r="M1859" s="15">
        <v>3</v>
      </c>
      <c r="N1859" s="15" t="s">
        <v>11222</v>
      </c>
      <c r="O1859" s="15" t="s">
        <v>11221</v>
      </c>
      <c r="P1859" s="15"/>
      <c r="Q1859" s="15"/>
      <c r="R1859" s="15"/>
      <c r="S1859" s="15"/>
      <c r="T1859" s="15">
        <v>2</v>
      </c>
      <c r="U1859" s="15" t="s">
        <v>5908</v>
      </c>
      <c r="V1859" s="15"/>
      <c r="W1859" s="15"/>
      <c r="X1859" s="15" t="s">
        <v>5893</v>
      </c>
      <c r="Y1859" s="15"/>
      <c r="Z1859" s="15"/>
    </row>
    <row r="1860" spans="1:26" x14ac:dyDescent="0.25">
      <c r="A1860" s="15" t="s">
        <v>15254</v>
      </c>
      <c r="B1860" s="15">
        <v>1859</v>
      </c>
      <c r="C1860" s="15" t="s">
        <v>11277</v>
      </c>
      <c r="D1860" s="15" t="s">
        <v>11277</v>
      </c>
      <c r="E1860" s="15" t="s">
        <v>102</v>
      </c>
      <c r="F1860" s="15" t="s">
        <v>2303</v>
      </c>
      <c r="G1860" s="15" t="s">
        <v>13918</v>
      </c>
      <c r="H1860" s="15">
        <v>33</v>
      </c>
      <c r="I1860" s="15">
        <v>30</v>
      </c>
      <c r="J1860" s="15">
        <v>77</v>
      </c>
      <c r="K1860" s="15" t="str">
        <f t="shared" si="29"/>
        <v>purpure</v>
      </c>
      <c r="L1860" s="15" t="s">
        <v>13544</v>
      </c>
      <c r="M1860" s="15">
        <v>2</v>
      </c>
      <c r="N1860" s="15" t="s">
        <v>11223</v>
      </c>
      <c r="O1860" s="15"/>
      <c r="P1860" s="15"/>
      <c r="Q1860" s="15" t="s">
        <v>13938</v>
      </c>
      <c r="R1860" s="15"/>
      <c r="S1860" s="15"/>
      <c r="T1860" s="15">
        <v>0</v>
      </c>
      <c r="U1860" s="15"/>
      <c r="V1860" s="15"/>
      <c r="W1860" s="15"/>
      <c r="X1860" s="15"/>
      <c r="Y1860" s="15"/>
      <c r="Z1860" s="15"/>
    </row>
    <row r="1861" spans="1:26" x14ac:dyDescent="0.25">
      <c r="A1861" s="15" t="s">
        <v>15255</v>
      </c>
      <c r="B1861" s="15">
        <v>1860</v>
      </c>
      <c r="C1861" s="15" t="s">
        <v>11277</v>
      </c>
      <c r="D1861" s="15" t="s">
        <v>11277</v>
      </c>
      <c r="E1861" s="15" t="s">
        <v>102</v>
      </c>
      <c r="F1861" s="15" t="s">
        <v>2303</v>
      </c>
      <c r="G1861" s="15" t="s">
        <v>13936</v>
      </c>
      <c r="H1861" s="15">
        <v>33</v>
      </c>
      <c r="I1861" s="15">
        <v>30</v>
      </c>
      <c r="J1861" s="15">
        <v>77</v>
      </c>
      <c r="K1861" s="15" t="str">
        <f t="shared" si="29"/>
        <v>purpure</v>
      </c>
      <c r="L1861" s="15" t="s">
        <v>13544</v>
      </c>
      <c r="M1861" s="15">
        <v>1</v>
      </c>
      <c r="N1861" s="15" t="s">
        <v>11222</v>
      </c>
      <c r="O1861" s="15"/>
      <c r="P1861" s="15"/>
      <c r="Q1861" s="15"/>
      <c r="R1861" s="15"/>
      <c r="S1861" s="15"/>
      <c r="T1861" s="15">
        <v>0</v>
      </c>
      <c r="U1861" s="15"/>
      <c r="V1861" s="15"/>
      <c r="W1861" s="15"/>
      <c r="X1861" s="15"/>
      <c r="Y1861" s="15"/>
      <c r="Z1861" s="15"/>
    </row>
    <row r="1862" spans="1:26" x14ac:dyDescent="0.25">
      <c r="A1862" s="15" t="s">
        <v>15256</v>
      </c>
      <c r="B1862" s="15">
        <v>1861</v>
      </c>
      <c r="C1862" s="15" t="s">
        <v>11277</v>
      </c>
      <c r="D1862" s="15" t="s">
        <v>11277</v>
      </c>
      <c r="E1862" s="15" t="s">
        <v>102</v>
      </c>
      <c r="F1862" s="15" t="s">
        <v>2303</v>
      </c>
      <c r="G1862" s="15" t="s">
        <v>13956</v>
      </c>
      <c r="H1862" s="15">
        <v>33</v>
      </c>
      <c r="I1862" s="15">
        <v>30</v>
      </c>
      <c r="J1862" s="15">
        <v>78</v>
      </c>
      <c r="K1862" s="15" t="str">
        <f t="shared" si="29"/>
        <v>purpure</v>
      </c>
      <c r="L1862" s="15" t="s">
        <v>12487</v>
      </c>
      <c r="M1862" s="15">
        <v>1</v>
      </c>
      <c r="N1862" s="15" t="s">
        <v>11222</v>
      </c>
      <c r="O1862" s="15"/>
      <c r="P1862" s="15"/>
      <c r="Q1862" s="15"/>
      <c r="R1862" s="15"/>
      <c r="S1862" s="15"/>
      <c r="T1862" s="15">
        <v>0</v>
      </c>
      <c r="U1862" s="15"/>
      <c r="V1862" s="15"/>
      <c r="W1862" s="15"/>
      <c r="X1862" s="15"/>
      <c r="Y1862" s="15"/>
      <c r="Z1862" s="15"/>
    </row>
    <row r="1863" spans="1:26" x14ac:dyDescent="0.25">
      <c r="A1863" s="15" t="s">
        <v>15257</v>
      </c>
      <c r="B1863" s="15">
        <v>1862</v>
      </c>
      <c r="C1863" s="15" t="s">
        <v>11277</v>
      </c>
      <c r="D1863" s="15" t="s">
        <v>11277</v>
      </c>
      <c r="E1863" s="15" t="s">
        <v>102</v>
      </c>
      <c r="F1863" s="15" t="s">
        <v>2303</v>
      </c>
      <c r="G1863" s="15" t="s">
        <v>13958</v>
      </c>
      <c r="H1863" s="15">
        <v>33</v>
      </c>
      <c r="I1863" s="15">
        <v>30</v>
      </c>
      <c r="J1863" s="15">
        <v>78</v>
      </c>
      <c r="K1863" s="15" t="str">
        <f t="shared" si="29"/>
        <v>purpure</v>
      </c>
      <c r="L1863" s="15" t="s">
        <v>12487</v>
      </c>
      <c r="M1863" s="15">
        <v>1</v>
      </c>
      <c r="N1863" s="15" t="s">
        <v>11222</v>
      </c>
      <c r="O1863" s="15"/>
      <c r="P1863" s="15"/>
      <c r="Q1863" s="15"/>
      <c r="R1863" s="15"/>
      <c r="S1863" s="15"/>
      <c r="T1863" s="15">
        <v>0</v>
      </c>
      <c r="U1863" s="15"/>
      <c r="V1863" s="15"/>
      <c r="W1863" s="15"/>
      <c r="X1863" s="15"/>
      <c r="Y1863" s="15"/>
      <c r="Z1863" s="15"/>
    </row>
    <row r="1864" spans="1:26" x14ac:dyDescent="0.25">
      <c r="A1864" s="15" t="s">
        <v>15258</v>
      </c>
      <c r="B1864" s="15">
        <v>1863</v>
      </c>
      <c r="C1864" s="15" t="s">
        <v>11277</v>
      </c>
      <c r="D1864" s="15" t="s">
        <v>11277</v>
      </c>
      <c r="E1864" s="15" t="s">
        <v>102</v>
      </c>
      <c r="F1864" s="15" t="s">
        <v>2303</v>
      </c>
      <c r="G1864" s="15" t="s">
        <v>13960</v>
      </c>
      <c r="H1864" s="15">
        <v>33</v>
      </c>
      <c r="I1864" s="15">
        <v>30</v>
      </c>
      <c r="J1864" s="15">
        <v>80</v>
      </c>
      <c r="K1864" s="15" t="str">
        <f t="shared" si="29"/>
        <v>purpure</v>
      </c>
      <c r="L1864" s="15" t="s">
        <v>12487</v>
      </c>
      <c r="M1864" s="15">
        <v>1</v>
      </c>
      <c r="N1864" s="15" t="s">
        <v>11222</v>
      </c>
      <c r="O1864" s="15"/>
      <c r="P1864" s="15"/>
      <c r="Q1864" s="15"/>
      <c r="R1864" s="15"/>
      <c r="S1864" s="15"/>
      <c r="T1864" s="15">
        <v>0</v>
      </c>
      <c r="U1864" s="15"/>
      <c r="V1864" s="15"/>
      <c r="W1864" s="15"/>
      <c r="X1864" s="15"/>
      <c r="Y1864" s="15"/>
      <c r="Z1864" s="15"/>
    </row>
    <row r="1865" spans="1:26" x14ac:dyDescent="0.25">
      <c r="A1865" s="15" t="s">
        <v>15259</v>
      </c>
      <c r="B1865" s="15">
        <v>1864</v>
      </c>
      <c r="C1865" s="15" t="s">
        <v>11277</v>
      </c>
      <c r="D1865" s="15" t="s">
        <v>11277</v>
      </c>
      <c r="E1865" s="15" t="s">
        <v>133</v>
      </c>
      <c r="F1865" s="15" t="s">
        <v>2303</v>
      </c>
      <c r="G1865" s="15" t="s">
        <v>13962</v>
      </c>
      <c r="H1865" s="15">
        <v>33</v>
      </c>
      <c r="I1865" s="15">
        <v>30</v>
      </c>
      <c r="J1865" s="15">
        <v>83</v>
      </c>
      <c r="K1865" s="15" t="str">
        <f t="shared" si="29"/>
        <v>purpure</v>
      </c>
      <c r="L1865" s="15" t="s">
        <v>11560</v>
      </c>
      <c r="M1865" s="15">
        <v>1</v>
      </c>
      <c r="N1865" s="15" t="s">
        <v>11222</v>
      </c>
      <c r="O1865" s="15"/>
      <c r="P1865" s="15"/>
      <c r="Q1865" s="15"/>
      <c r="R1865" s="15"/>
      <c r="S1865" s="15"/>
      <c r="T1865" s="15">
        <v>0</v>
      </c>
      <c r="U1865" s="15"/>
      <c r="V1865" s="15"/>
      <c r="W1865" s="15"/>
      <c r="X1865" s="15"/>
      <c r="Y1865" s="15"/>
      <c r="Z1865" s="15"/>
    </row>
    <row r="1866" spans="1:26" x14ac:dyDescent="0.25">
      <c r="A1866" s="15" t="s">
        <v>15260</v>
      </c>
      <c r="B1866" s="15">
        <v>1865</v>
      </c>
      <c r="C1866" s="15" t="s">
        <v>11277</v>
      </c>
      <c r="D1866" s="15" t="s">
        <v>11277</v>
      </c>
      <c r="E1866" s="15" t="s">
        <v>102</v>
      </c>
      <c r="F1866" s="15" t="s">
        <v>2303</v>
      </c>
      <c r="G1866" s="15" t="s">
        <v>13964</v>
      </c>
      <c r="H1866" s="15">
        <v>33</v>
      </c>
      <c r="I1866" s="15">
        <v>30</v>
      </c>
      <c r="J1866" s="15">
        <v>80</v>
      </c>
      <c r="K1866" s="15" t="str">
        <f t="shared" si="29"/>
        <v>purpure</v>
      </c>
      <c r="L1866" s="15" t="s">
        <v>12487</v>
      </c>
      <c r="M1866" s="15">
        <v>3</v>
      </c>
      <c r="N1866" s="15" t="s">
        <v>11222</v>
      </c>
      <c r="O1866" s="15" t="s">
        <v>11388</v>
      </c>
      <c r="P1866" s="15"/>
      <c r="Q1866" s="15"/>
      <c r="R1866" s="15"/>
      <c r="S1866" s="15"/>
      <c r="T1866" s="15">
        <v>0</v>
      </c>
      <c r="U1866" s="15" t="s">
        <v>5908</v>
      </c>
      <c r="V1866" s="15"/>
      <c r="W1866" s="15"/>
      <c r="X1866" s="15"/>
      <c r="Y1866" s="15"/>
      <c r="Z1866" s="15"/>
    </row>
    <row r="1867" spans="1:26" x14ac:dyDescent="0.25">
      <c r="A1867" s="15" t="s">
        <v>15261</v>
      </c>
      <c r="B1867" s="15">
        <v>1866</v>
      </c>
      <c r="C1867" s="15" t="s">
        <v>11277</v>
      </c>
      <c r="D1867" s="15" t="s">
        <v>11277</v>
      </c>
      <c r="E1867" s="15" t="s">
        <v>102</v>
      </c>
      <c r="F1867" s="15" t="s">
        <v>2285</v>
      </c>
      <c r="G1867" s="15" t="s">
        <v>13918</v>
      </c>
      <c r="H1867" s="15">
        <v>29</v>
      </c>
      <c r="I1867" s="15">
        <v>14</v>
      </c>
      <c r="J1867" s="15">
        <v>77</v>
      </c>
      <c r="K1867" s="15" t="str">
        <f t="shared" si="29"/>
        <v>thenorvrandtslope</v>
      </c>
      <c r="L1867" s="15" t="s">
        <v>13544</v>
      </c>
      <c r="M1867" s="15">
        <v>2</v>
      </c>
      <c r="N1867" s="15" t="s">
        <v>11223</v>
      </c>
      <c r="O1867" s="15"/>
      <c r="P1867" s="15"/>
      <c r="Q1867" s="15" t="s">
        <v>13938</v>
      </c>
      <c r="R1867" s="15"/>
      <c r="S1867" s="15"/>
      <c r="T1867" s="15">
        <v>0</v>
      </c>
      <c r="U1867" s="15"/>
      <c r="V1867" s="15"/>
      <c r="W1867" s="15"/>
      <c r="X1867" s="15"/>
      <c r="Y1867" s="15"/>
      <c r="Z1867" s="15"/>
    </row>
    <row r="1868" spans="1:26" x14ac:dyDescent="0.25">
      <c r="A1868" s="15" t="s">
        <v>15262</v>
      </c>
      <c r="B1868" s="15">
        <v>1867</v>
      </c>
      <c r="C1868" s="15" t="s">
        <v>11277</v>
      </c>
      <c r="D1868" s="15" t="s">
        <v>11277</v>
      </c>
      <c r="E1868" s="15" t="s">
        <v>102</v>
      </c>
      <c r="F1868" s="15" t="s">
        <v>2285</v>
      </c>
      <c r="G1868" s="15" t="s">
        <v>13936</v>
      </c>
      <c r="H1868" s="15">
        <v>29</v>
      </c>
      <c r="I1868" s="15">
        <v>14</v>
      </c>
      <c r="J1868" s="15">
        <v>77</v>
      </c>
      <c r="K1868" s="15" t="str">
        <f t="shared" si="29"/>
        <v>thenorvrandtslope</v>
      </c>
      <c r="L1868" s="15" t="s">
        <v>13544</v>
      </c>
      <c r="M1868" s="15">
        <v>1</v>
      </c>
      <c r="N1868" s="15" t="s">
        <v>11222</v>
      </c>
      <c r="O1868" s="15"/>
      <c r="P1868" s="15"/>
      <c r="Q1868" s="15"/>
      <c r="R1868" s="15"/>
      <c r="S1868" s="15"/>
      <c r="T1868" s="15">
        <v>0</v>
      </c>
      <c r="U1868" s="15"/>
      <c r="V1868" s="15"/>
      <c r="W1868" s="15"/>
      <c r="X1868" s="15"/>
      <c r="Y1868" s="15"/>
      <c r="Z1868" s="15"/>
    </row>
    <row r="1869" spans="1:26" x14ac:dyDescent="0.25">
      <c r="A1869" s="15" t="s">
        <v>15263</v>
      </c>
      <c r="B1869" s="15">
        <v>1868</v>
      </c>
      <c r="C1869" s="15" t="s">
        <v>11277</v>
      </c>
      <c r="D1869" s="15" t="s">
        <v>11277</v>
      </c>
      <c r="E1869" s="15" t="s">
        <v>102</v>
      </c>
      <c r="F1869" s="15" t="s">
        <v>2285</v>
      </c>
      <c r="G1869" s="15" t="s">
        <v>13966</v>
      </c>
      <c r="H1869" s="15">
        <v>29</v>
      </c>
      <c r="I1869" s="15">
        <v>14</v>
      </c>
      <c r="J1869" s="15">
        <v>79</v>
      </c>
      <c r="K1869" s="15" t="str">
        <f t="shared" si="29"/>
        <v>thenorvrandtslope</v>
      </c>
      <c r="L1869" s="15" t="s">
        <v>13675</v>
      </c>
      <c r="M1869" s="15">
        <v>1</v>
      </c>
      <c r="N1869" s="15" t="s">
        <v>11222</v>
      </c>
      <c r="O1869" s="15"/>
      <c r="P1869" s="15"/>
      <c r="Q1869" s="15"/>
      <c r="R1869" s="15"/>
      <c r="S1869" s="15"/>
      <c r="T1869" s="15">
        <v>0</v>
      </c>
      <c r="U1869" s="15"/>
      <c r="V1869" s="15"/>
      <c r="W1869" s="15"/>
      <c r="X1869" s="15"/>
      <c r="Y1869" s="15"/>
      <c r="Z1869" s="15"/>
    </row>
    <row r="1870" spans="1:26" x14ac:dyDescent="0.25">
      <c r="A1870" s="15" t="s">
        <v>15264</v>
      </c>
      <c r="B1870" s="15">
        <v>1869</v>
      </c>
      <c r="C1870" s="15" t="s">
        <v>11277</v>
      </c>
      <c r="D1870" s="15" t="s">
        <v>11277</v>
      </c>
      <c r="E1870" s="15" t="s">
        <v>102</v>
      </c>
      <c r="F1870" s="15" t="s">
        <v>2285</v>
      </c>
      <c r="G1870" s="15" t="s">
        <v>13958</v>
      </c>
      <c r="H1870" s="15">
        <v>29</v>
      </c>
      <c r="I1870" s="15">
        <v>14</v>
      </c>
      <c r="J1870" s="15">
        <v>78</v>
      </c>
      <c r="K1870" s="15" t="str">
        <f t="shared" si="29"/>
        <v>thenorvrandtslope</v>
      </c>
      <c r="L1870" s="15" t="s">
        <v>13675</v>
      </c>
      <c r="M1870" s="15">
        <v>1</v>
      </c>
      <c r="N1870" s="15" t="s">
        <v>11222</v>
      </c>
      <c r="O1870" s="15"/>
      <c r="P1870" s="15"/>
      <c r="Q1870" s="15"/>
      <c r="R1870" s="15"/>
      <c r="S1870" s="15"/>
      <c r="T1870" s="15">
        <v>0</v>
      </c>
      <c r="U1870" s="15"/>
      <c r="V1870" s="15"/>
      <c r="W1870" s="15"/>
      <c r="X1870" s="15"/>
      <c r="Y1870" s="15"/>
      <c r="Z1870" s="15"/>
    </row>
    <row r="1871" spans="1:26" x14ac:dyDescent="0.25">
      <c r="A1871" s="15" t="s">
        <v>15265</v>
      </c>
      <c r="B1871" s="15">
        <v>1870</v>
      </c>
      <c r="C1871" s="15" t="s">
        <v>11277</v>
      </c>
      <c r="D1871" s="15" t="s">
        <v>11277</v>
      </c>
      <c r="E1871" s="15" t="s">
        <v>102</v>
      </c>
      <c r="F1871" s="15" t="s">
        <v>2285</v>
      </c>
      <c r="G1871" s="15" t="s">
        <v>13968</v>
      </c>
      <c r="H1871" s="15">
        <v>29</v>
      </c>
      <c r="I1871" s="15">
        <v>14</v>
      </c>
      <c r="J1871" s="15">
        <v>80</v>
      </c>
      <c r="K1871" s="15" t="str">
        <f t="shared" si="29"/>
        <v>thenorvrandtslope</v>
      </c>
      <c r="L1871" s="15" t="s">
        <v>13675</v>
      </c>
      <c r="M1871" s="15">
        <v>1</v>
      </c>
      <c r="N1871" s="15" t="s">
        <v>11222</v>
      </c>
      <c r="O1871" s="15"/>
      <c r="P1871" s="15"/>
      <c r="Q1871" s="15"/>
      <c r="R1871" s="15"/>
      <c r="S1871" s="15"/>
      <c r="T1871" s="15">
        <v>0</v>
      </c>
      <c r="U1871" s="15"/>
      <c r="V1871" s="15"/>
      <c r="W1871" s="15"/>
      <c r="X1871" s="15"/>
      <c r="Y1871" s="15"/>
      <c r="Z1871" s="15"/>
    </row>
    <row r="1872" spans="1:26" x14ac:dyDescent="0.25">
      <c r="A1872" s="15" t="s">
        <v>15266</v>
      </c>
      <c r="B1872" s="15">
        <v>1871</v>
      </c>
      <c r="C1872" s="15" t="s">
        <v>11277</v>
      </c>
      <c r="D1872" s="15" t="s">
        <v>11277</v>
      </c>
      <c r="E1872" s="15" t="s">
        <v>102</v>
      </c>
      <c r="F1872" s="15" t="s">
        <v>2285</v>
      </c>
      <c r="G1872" s="15" t="s">
        <v>123</v>
      </c>
      <c r="H1872" s="15">
        <v>29</v>
      </c>
      <c r="I1872" s="15">
        <v>14</v>
      </c>
      <c r="J1872" s="15">
        <v>80</v>
      </c>
      <c r="K1872" s="15" t="str">
        <f t="shared" si="29"/>
        <v>thenorvrandtslope</v>
      </c>
      <c r="L1872" s="15" t="s">
        <v>12487</v>
      </c>
      <c r="M1872" s="15">
        <v>2</v>
      </c>
      <c r="N1872" s="15" t="s">
        <v>11223</v>
      </c>
      <c r="O1872" s="15"/>
      <c r="P1872" s="15"/>
      <c r="Q1872" s="15"/>
      <c r="R1872" s="15"/>
      <c r="S1872" s="15"/>
      <c r="T1872" s="15">
        <v>0</v>
      </c>
      <c r="U1872" s="15"/>
      <c r="V1872" s="15"/>
      <c r="W1872" s="15"/>
      <c r="X1872" s="15"/>
      <c r="Y1872" s="15"/>
      <c r="Z1872" s="15"/>
    </row>
    <row r="1873" spans="1:26" x14ac:dyDescent="0.25">
      <c r="A1873" s="15" t="s">
        <v>15267</v>
      </c>
      <c r="B1873" s="15">
        <v>1872</v>
      </c>
      <c r="C1873" s="15" t="s">
        <v>11277</v>
      </c>
      <c r="D1873" s="15" t="s">
        <v>11277</v>
      </c>
      <c r="E1873" s="15" t="s">
        <v>133</v>
      </c>
      <c r="F1873" s="15" t="s">
        <v>2285</v>
      </c>
      <c r="G1873" s="15" t="s">
        <v>13971</v>
      </c>
      <c r="H1873" s="15">
        <v>29</v>
      </c>
      <c r="I1873" s="15">
        <v>14</v>
      </c>
      <c r="J1873" s="15">
        <v>85</v>
      </c>
      <c r="K1873" s="15" t="str">
        <f t="shared" si="29"/>
        <v>thenorvrandtslope</v>
      </c>
      <c r="L1873" s="15" t="s">
        <v>11560</v>
      </c>
      <c r="M1873" s="15">
        <v>1</v>
      </c>
      <c r="N1873" s="15" t="s">
        <v>11222</v>
      </c>
      <c r="O1873" s="15"/>
      <c r="P1873" s="15"/>
      <c r="Q1873" s="15"/>
      <c r="R1873" s="15"/>
      <c r="S1873" s="15"/>
      <c r="T1873" s="15">
        <v>0</v>
      </c>
      <c r="U1873" s="15"/>
      <c r="V1873" s="15"/>
      <c r="W1873" s="15"/>
      <c r="X1873" s="15"/>
      <c r="Y1873" s="15"/>
      <c r="Z1873" s="15"/>
    </row>
    <row r="1874" spans="1:26" x14ac:dyDescent="0.25">
      <c r="A1874" s="15" t="s">
        <v>15268</v>
      </c>
      <c r="B1874" s="15">
        <v>1873</v>
      </c>
      <c r="C1874" s="15" t="s">
        <v>11277</v>
      </c>
      <c r="D1874" s="15" t="s">
        <v>11277</v>
      </c>
      <c r="E1874" s="15" t="s">
        <v>102</v>
      </c>
      <c r="F1874" s="15" t="s">
        <v>2285</v>
      </c>
      <c r="G1874" s="15" t="s">
        <v>13973</v>
      </c>
      <c r="H1874" s="15">
        <v>29</v>
      </c>
      <c r="I1874" s="15">
        <v>14</v>
      </c>
      <c r="J1874" s="15">
        <v>80</v>
      </c>
      <c r="K1874" s="15" t="str">
        <f t="shared" si="29"/>
        <v>thenorvrandtslope</v>
      </c>
      <c r="L1874" s="15" t="s">
        <v>12487</v>
      </c>
      <c r="M1874" s="15">
        <v>3</v>
      </c>
      <c r="N1874" s="15" t="s">
        <v>11222</v>
      </c>
      <c r="O1874" s="15" t="s">
        <v>14052</v>
      </c>
      <c r="P1874" s="15"/>
      <c r="Q1874" s="15"/>
      <c r="R1874" s="15"/>
      <c r="S1874" s="15"/>
      <c r="T1874" s="15">
        <v>2</v>
      </c>
      <c r="U1874" s="15" t="s">
        <v>5893</v>
      </c>
      <c r="V1874" s="15"/>
      <c r="W1874" s="15"/>
      <c r="X1874" s="15" t="s">
        <v>5892</v>
      </c>
      <c r="Y1874" s="15" t="s">
        <v>5893</v>
      </c>
      <c r="Z1874" s="15" t="s">
        <v>5908</v>
      </c>
    </row>
    <row r="1875" spans="1:26" x14ac:dyDescent="0.25">
      <c r="A1875" s="15" t="s">
        <v>15269</v>
      </c>
      <c r="B1875" s="15">
        <v>1874</v>
      </c>
      <c r="C1875" s="15" t="s">
        <v>11277</v>
      </c>
      <c r="D1875" s="15" t="s">
        <v>11277</v>
      </c>
      <c r="E1875" s="15" t="s">
        <v>133</v>
      </c>
      <c r="F1875" s="15" t="s">
        <v>6650</v>
      </c>
      <c r="G1875" s="15" t="s">
        <v>11937</v>
      </c>
      <c r="H1875" s="15">
        <v>11</v>
      </c>
      <c r="I1875" s="15">
        <v>15</v>
      </c>
      <c r="J1875" s="15">
        <v>80</v>
      </c>
      <c r="K1875" s="15" t="str">
        <f t="shared" si="29"/>
        <v>scholarsharbor</v>
      </c>
      <c r="L1875" s="15" t="s">
        <v>11938</v>
      </c>
      <c r="M1875" s="15">
        <v>1</v>
      </c>
      <c r="N1875" s="15" t="s">
        <v>11222</v>
      </c>
      <c r="O1875" s="15"/>
      <c r="P1875" s="15"/>
      <c r="Q1875" s="15"/>
      <c r="R1875" s="15"/>
      <c r="S1875" s="15"/>
      <c r="T1875" s="15">
        <v>0</v>
      </c>
      <c r="U1875" s="15" t="s">
        <v>5908</v>
      </c>
      <c r="V1875" s="15"/>
      <c r="W1875" s="15"/>
      <c r="X1875" s="15"/>
      <c r="Y1875" s="15"/>
      <c r="Z1875" s="15"/>
    </row>
    <row r="1876" spans="1:26" x14ac:dyDescent="0.25">
      <c r="A1876" s="15" t="s">
        <v>15270</v>
      </c>
      <c r="B1876" s="15">
        <v>1875</v>
      </c>
      <c r="C1876" s="15" t="s">
        <v>11277</v>
      </c>
      <c r="D1876" s="15" t="s">
        <v>11277</v>
      </c>
      <c r="E1876" s="15" t="s">
        <v>133</v>
      </c>
      <c r="F1876" s="15" t="s">
        <v>6650</v>
      </c>
      <c r="G1876" s="15" t="s">
        <v>11939</v>
      </c>
      <c r="H1876" s="15">
        <v>11</v>
      </c>
      <c r="I1876" s="15">
        <v>15</v>
      </c>
      <c r="J1876" s="15">
        <v>81</v>
      </c>
      <c r="K1876" s="15" t="str">
        <f t="shared" si="29"/>
        <v>scholarsharbor</v>
      </c>
      <c r="L1876" s="15" t="s">
        <v>11938</v>
      </c>
      <c r="M1876" s="15">
        <v>1</v>
      </c>
      <c r="N1876" s="15" t="s">
        <v>11222</v>
      </c>
      <c r="O1876" s="15"/>
      <c r="P1876" s="15"/>
      <c r="Q1876" s="15"/>
      <c r="R1876" s="15"/>
      <c r="S1876" s="15"/>
      <c r="T1876" s="15">
        <v>0</v>
      </c>
      <c r="U1876" s="15"/>
      <c r="V1876" s="15"/>
      <c r="W1876" s="15"/>
      <c r="X1876" s="15"/>
      <c r="Y1876" s="15"/>
      <c r="Z1876" s="15"/>
    </row>
    <row r="1877" spans="1:26" x14ac:dyDescent="0.25">
      <c r="A1877" s="15" t="s">
        <v>15271</v>
      </c>
      <c r="B1877" s="15">
        <v>1876</v>
      </c>
      <c r="C1877" s="15" t="s">
        <v>11277</v>
      </c>
      <c r="D1877" s="15" t="s">
        <v>11277</v>
      </c>
      <c r="E1877" s="15" t="s">
        <v>133</v>
      </c>
      <c r="F1877" s="15" t="s">
        <v>6650</v>
      </c>
      <c r="G1877" s="15" t="s">
        <v>11940</v>
      </c>
      <c r="H1877" s="15">
        <v>11</v>
      </c>
      <c r="I1877" s="15">
        <v>15</v>
      </c>
      <c r="J1877" s="15">
        <v>81</v>
      </c>
      <c r="K1877" s="15" t="str">
        <f t="shared" si="29"/>
        <v>scholarsharbor</v>
      </c>
      <c r="L1877" s="15" t="s">
        <v>11938</v>
      </c>
      <c r="M1877" s="15">
        <v>1</v>
      </c>
      <c r="N1877" s="15" t="s">
        <v>11222</v>
      </c>
      <c r="O1877" s="15"/>
      <c r="P1877" s="15"/>
      <c r="Q1877" s="15"/>
      <c r="R1877" s="15"/>
      <c r="S1877" s="15"/>
      <c r="T1877" s="15">
        <v>0</v>
      </c>
      <c r="U1877" s="15"/>
      <c r="V1877" s="15"/>
      <c r="W1877" s="15"/>
      <c r="X1877" s="15"/>
      <c r="Y1877" s="15"/>
      <c r="Z1877" s="15"/>
    </row>
    <row r="1878" spans="1:26" x14ac:dyDescent="0.25">
      <c r="A1878" s="15" t="s">
        <v>15272</v>
      </c>
      <c r="B1878" s="15">
        <v>1877</v>
      </c>
      <c r="C1878" s="15" t="s">
        <v>11277</v>
      </c>
      <c r="D1878" s="15" t="s">
        <v>11277</v>
      </c>
      <c r="E1878" s="15" t="s">
        <v>133</v>
      </c>
      <c r="F1878" s="15" t="s">
        <v>6650</v>
      </c>
      <c r="G1878" s="15" t="s">
        <v>11941</v>
      </c>
      <c r="H1878" s="15">
        <v>11</v>
      </c>
      <c r="I1878" s="15">
        <v>15</v>
      </c>
      <c r="J1878" s="15">
        <v>82</v>
      </c>
      <c r="K1878" s="15" t="str">
        <f t="shared" si="29"/>
        <v>scholarsharbor</v>
      </c>
      <c r="L1878" s="15" t="s">
        <v>11938</v>
      </c>
      <c r="M1878" s="15">
        <v>2</v>
      </c>
      <c r="N1878" s="15" t="s">
        <v>11223</v>
      </c>
      <c r="O1878" s="15"/>
      <c r="P1878" s="15"/>
      <c r="Q1878" s="15"/>
      <c r="R1878" s="15"/>
      <c r="S1878" s="15"/>
      <c r="T1878" s="15">
        <v>0</v>
      </c>
      <c r="U1878" s="15" t="s">
        <v>5908</v>
      </c>
      <c r="V1878" s="15"/>
      <c r="W1878" s="15"/>
      <c r="X1878" s="15"/>
      <c r="Y1878" s="15"/>
      <c r="Z1878" s="15"/>
    </row>
    <row r="1879" spans="1:26" x14ac:dyDescent="0.25">
      <c r="A1879" s="15" t="s">
        <v>15273</v>
      </c>
      <c r="B1879" s="15">
        <v>1878</v>
      </c>
      <c r="C1879" s="15" t="s">
        <v>11277</v>
      </c>
      <c r="D1879" s="15" t="s">
        <v>11277</v>
      </c>
      <c r="E1879" s="15" t="s">
        <v>133</v>
      </c>
      <c r="F1879" s="15" t="s">
        <v>6650</v>
      </c>
      <c r="G1879" s="15" t="s">
        <v>11942</v>
      </c>
      <c r="H1879" s="15">
        <v>11</v>
      </c>
      <c r="I1879" s="15">
        <v>15</v>
      </c>
      <c r="J1879" s="15">
        <v>83</v>
      </c>
      <c r="K1879" s="15" t="str">
        <f t="shared" si="29"/>
        <v>scholarsharbor</v>
      </c>
      <c r="L1879" s="15" t="s">
        <v>11938</v>
      </c>
      <c r="M1879" s="15">
        <v>2</v>
      </c>
      <c r="N1879" s="15" t="s">
        <v>11223</v>
      </c>
      <c r="O1879" s="15"/>
      <c r="P1879" s="15"/>
      <c r="Q1879" s="15"/>
      <c r="R1879" s="15"/>
      <c r="S1879" s="15"/>
      <c r="T1879" s="15">
        <v>0</v>
      </c>
      <c r="U1879" s="15" t="s">
        <v>5908</v>
      </c>
      <c r="V1879" s="15"/>
      <c r="W1879" s="15"/>
      <c r="X1879" s="15"/>
      <c r="Y1879" s="15"/>
      <c r="Z1879" s="15"/>
    </row>
    <row r="1880" spans="1:26" x14ac:dyDescent="0.25">
      <c r="A1880" s="15" t="s">
        <v>15274</v>
      </c>
      <c r="B1880" s="15">
        <v>1879</v>
      </c>
      <c r="C1880" s="15" t="s">
        <v>11277</v>
      </c>
      <c r="D1880" s="15" t="s">
        <v>11277</v>
      </c>
      <c r="E1880" s="15" t="s">
        <v>133</v>
      </c>
      <c r="F1880" s="15" t="s">
        <v>6650</v>
      </c>
      <c r="G1880" s="15" t="s">
        <v>11943</v>
      </c>
      <c r="H1880" s="15">
        <v>11</v>
      </c>
      <c r="I1880" s="15">
        <v>15</v>
      </c>
      <c r="J1880" s="15">
        <v>90</v>
      </c>
      <c r="K1880" s="15" t="str">
        <f t="shared" si="29"/>
        <v>scholarsharbor</v>
      </c>
      <c r="L1880" s="15" t="s">
        <v>11944</v>
      </c>
      <c r="M1880" s="15">
        <v>3</v>
      </c>
      <c r="N1880" s="15" t="s">
        <v>11223</v>
      </c>
      <c r="O1880" s="15" t="s">
        <v>2825</v>
      </c>
      <c r="P1880" s="15"/>
      <c r="Q1880" s="15"/>
      <c r="R1880" s="15"/>
      <c r="S1880" s="15"/>
      <c r="T1880" s="15">
        <v>1</v>
      </c>
      <c r="U1880" s="15"/>
      <c r="V1880" s="15"/>
      <c r="W1880" s="15"/>
      <c r="X1880" s="15"/>
      <c r="Y1880" s="15"/>
      <c r="Z1880" s="15"/>
    </row>
    <row r="1881" spans="1:26" x14ac:dyDescent="0.25">
      <c r="A1881" s="15" t="s">
        <v>15275</v>
      </c>
      <c r="B1881" s="15">
        <v>1880</v>
      </c>
      <c r="C1881" s="15" t="s">
        <v>11277</v>
      </c>
      <c r="D1881" s="15" t="s">
        <v>11277</v>
      </c>
      <c r="E1881" s="15" t="s">
        <v>133</v>
      </c>
      <c r="F1881" s="15" t="s">
        <v>15276</v>
      </c>
      <c r="G1881" s="15" t="s">
        <v>11945</v>
      </c>
      <c r="H1881" s="15">
        <v>11</v>
      </c>
      <c r="I1881" s="15">
        <v>8</v>
      </c>
      <c r="J1881" s="15">
        <v>80</v>
      </c>
      <c r="K1881" s="15" t="str">
        <f t="shared" si="29"/>
        <v>oinops</v>
      </c>
      <c r="L1881" s="15" t="s">
        <v>11946</v>
      </c>
      <c r="M1881" s="15">
        <v>1</v>
      </c>
      <c r="N1881" s="15" t="s">
        <v>11222</v>
      </c>
      <c r="O1881" s="15"/>
      <c r="P1881" s="15"/>
      <c r="Q1881" s="15"/>
      <c r="R1881" s="15"/>
      <c r="S1881" s="15"/>
      <c r="T1881" s="15">
        <v>0</v>
      </c>
      <c r="U1881" s="15"/>
      <c r="V1881" s="15"/>
      <c r="W1881" s="15"/>
      <c r="X1881" s="15"/>
      <c r="Y1881" s="15"/>
      <c r="Z1881" s="15"/>
    </row>
    <row r="1882" spans="1:26" x14ac:dyDescent="0.25">
      <c r="A1882" s="15" t="s">
        <v>15277</v>
      </c>
      <c r="B1882" s="15">
        <v>1881</v>
      </c>
      <c r="C1882" s="15" t="s">
        <v>11277</v>
      </c>
      <c r="D1882" s="15" t="s">
        <v>11277</v>
      </c>
      <c r="E1882" s="15" t="s">
        <v>133</v>
      </c>
      <c r="F1882" s="15" t="s">
        <v>15276</v>
      </c>
      <c r="G1882" s="15" t="s">
        <v>11947</v>
      </c>
      <c r="H1882" s="15">
        <v>11</v>
      </c>
      <c r="I1882" s="15">
        <v>8</v>
      </c>
      <c r="J1882" s="15">
        <v>81</v>
      </c>
      <c r="K1882" s="15" t="str">
        <f t="shared" si="29"/>
        <v>oinops</v>
      </c>
      <c r="L1882" s="15" t="s">
        <v>11948</v>
      </c>
      <c r="M1882" s="15">
        <v>2</v>
      </c>
      <c r="N1882" s="15" t="s">
        <v>11223</v>
      </c>
      <c r="O1882" s="15"/>
      <c r="P1882" s="15"/>
      <c r="Q1882" s="15"/>
      <c r="R1882" s="15"/>
      <c r="S1882" s="15"/>
      <c r="T1882" s="15">
        <v>0</v>
      </c>
      <c r="U1882" s="15"/>
      <c r="V1882" s="15"/>
      <c r="W1882" s="15"/>
      <c r="X1882" s="15"/>
      <c r="Y1882" s="15"/>
      <c r="Z1882" s="15"/>
    </row>
    <row r="1883" spans="1:26" x14ac:dyDescent="0.25">
      <c r="A1883" s="15" t="s">
        <v>15278</v>
      </c>
      <c r="B1883" s="15">
        <v>1882</v>
      </c>
      <c r="C1883" s="15" t="s">
        <v>11277</v>
      </c>
      <c r="D1883" s="15" t="s">
        <v>11277</v>
      </c>
      <c r="E1883" s="15" t="s">
        <v>133</v>
      </c>
      <c r="F1883" s="15" t="s">
        <v>15276</v>
      </c>
      <c r="G1883" s="15" t="s">
        <v>11949</v>
      </c>
      <c r="H1883" s="15">
        <v>11</v>
      </c>
      <c r="I1883" s="15">
        <v>8</v>
      </c>
      <c r="J1883" s="15">
        <v>81</v>
      </c>
      <c r="K1883" s="15" t="str">
        <f t="shared" si="29"/>
        <v>oinops</v>
      </c>
      <c r="L1883" s="15" t="s">
        <v>11946</v>
      </c>
      <c r="M1883" s="15">
        <v>2</v>
      </c>
      <c r="N1883" s="15" t="s">
        <v>11223</v>
      </c>
      <c r="O1883" s="15"/>
      <c r="P1883" s="15"/>
      <c r="Q1883" s="15"/>
      <c r="R1883" s="15"/>
      <c r="S1883" s="15"/>
      <c r="T1883" s="15">
        <v>0</v>
      </c>
      <c r="U1883" s="15"/>
      <c r="V1883" s="15"/>
      <c r="W1883" s="15"/>
      <c r="X1883" s="15"/>
      <c r="Y1883" s="15"/>
      <c r="Z1883" s="15"/>
    </row>
    <row r="1884" spans="1:26" x14ac:dyDescent="0.25">
      <c r="A1884" s="15" t="s">
        <v>15279</v>
      </c>
      <c r="B1884" s="15">
        <v>1883</v>
      </c>
      <c r="C1884" s="15" t="s">
        <v>11277</v>
      </c>
      <c r="D1884" s="15" t="s">
        <v>11277</v>
      </c>
      <c r="E1884" s="15" t="s">
        <v>133</v>
      </c>
      <c r="F1884" s="15" t="s">
        <v>15276</v>
      </c>
      <c r="G1884" s="15" t="s">
        <v>11950</v>
      </c>
      <c r="H1884" s="15">
        <v>11</v>
      </c>
      <c r="I1884" s="15">
        <v>8</v>
      </c>
      <c r="J1884" s="15">
        <v>82</v>
      </c>
      <c r="K1884" s="15" t="str">
        <f t="shared" si="29"/>
        <v>oinops</v>
      </c>
      <c r="L1884" s="15" t="s">
        <v>11948</v>
      </c>
      <c r="M1884" s="15">
        <v>2</v>
      </c>
      <c r="N1884" s="15" t="s">
        <v>11223</v>
      </c>
      <c r="O1884" s="15"/>
      <c r="P1884" s="15"/>
      <c r="Q1884" s="15"/>
      <c r="R1884" s="15"/>
      <c r="S1884" s="15"/>
      <c r="T1884" s="15">
        <v>0</v>
      </c>
      <c r="U1884" s="15"/>
      <c r="V1884" s="15"/>
      <c r="W1884" s="15"/>
      <c r="X1884" s="15"/>
      <c r="Y1884" s="15"/>
      <c r="Z1884" s="15"/>
    </row>
    <row r="1885" spans="1:26" x14ac:dyDescent="0.25">
      <c r="A1885" s="15" t="s">
        <v>15280</v>
      </c>
      <c r="B1885" s="15">
        <v>1884</v>
      </c>
      <c r="C1885" s="15" t="s">
        <v>11277</v>
      </c>
      <c r="D1885" s="15" t="s">
        <v>11277</v>
      </c>
      <c r="E1885" s="15" t="s">
        <v>133</v>
      </c>
      <c r="F1885" s="15" t="s">
        <v>15276</v>
      </c>
      <c r="G1885" s="15" t="s">
        <v>11951</v>
      </c>
      <c r="H1885" s="15">
        <v>11</v>
      </c>
      <c r="I1885" s="15">
        <v>8</v>
      </c>
      <c r="J1885" s="15">
        <v>90</v>
      </c>
      <c r="K1885" s="15" t="str">
        <f t="shared" si="29"/>
        <v>oinops</v>
      </c>
      <c r="L1885" s="15" t="s">
        <v>11948</v>
      </c>
      <c r="M1885" s="15">
        <v>3</v>
      </c>
      <c r="N1885" s="15" t="s">
        <v>11223</v>
      </c>
      <c r="O1885" s="15" t="s">
        <v>2821</v>
      </c>
      <c r="P1885" s="15"/>
      <c r="Q1885" s="15"/>
      <c r="R1885" s="15"/>
      <c r="S1885" s="15"/>
      <c r="T1885" s="15">
        <v>2</v>
      </c>
      <c r="U1885" s="15" t="s">
        <v>14981</v>
      </c>
      <c r="V1885" s="15"/>
      <c r="W1885" s="15"/>
      <c r="X1885" s="15"/>
      <c r="Y1885" s="15"/>
      <c r="Z1885" s="15"/>
    </row>
    <row r="1886" spans="1:26" x14ac:dyDescent="0.25">
      <c r="A1886" s="15" t="s">
        <v>15281</v>
      </c>
      <c r="B1886" s="15">
        <v>1885</v>
      </c>
      <c r="C1886" s="15" t="s">
        <v>11277</v>
      </c>
      <c r="D1886" s="15" t="s">
        <v>11277</v>
      </c>
      <c r="E1886" s="15" t="s">
        <v>133</v>
      </c>
      <c r="F1886" s="15" t="s">
        <v>15282</v>
      </c>
      <c r="G1886" s="15" t="s">
        <v>11945</v>
      </c>
      <c r="H1886" s="15">
        <v>7.7</v>
      </c>
      <c r="I1886" s="15">
        <v>10.7</v>
      </c>
      <c r="J1886" s="15">
        <v>80</v>
      </c>
      <c r="K1886" s="15" t="str">
        <f t="shared" si="29"/>
        <v>reflectingpool</v>
      </c>
      <c r="L1886" s="15" t="s">
        <v>11946</v>
      </c>
      <c r="M1886" s="15">
        <v>1</v>
      </c>
      <c r="N1886" s="15" t="s">
        <v>11222</v>
      </c>
      <c r="O1886" s="15"/>
      <c r="P1886" s="15"/>
      <c r="Q1886" s="15"/>
      <c r="R1886" s="15"/>
      <c r="S1886" s="15"/>
      <c r="T1886" s="15">
        <v>0</v>
      </c>
      <c r="U1886" s="15"/>
      <c r="V1886" s="15"/>
      <c r="W1886" s="15"/>
      <c r="X1886" s="15"/>
      <c r="Y1886" s="15"/>
      <c r="Z1886" s="15"/>
    </row>
    <row r="1887" spans="1:26" x14ac:dyDescent="0.25">
      <c r="A1887" s="15" t="s">
        <v>15283</v>
      </c>
      <c r="B1887" s="15">
        <v>1886</v>
      </c>
      <c r="C1887" s="15" t="s">
        <v>11277</v>
      </c>
      <c r="D1887" s="15" t="s">
        <v>11277</v>
      </c>
      <c r="E1887" s="15" t="s">
        <v>133</v>
      </c>
      <c r="F1887" s="15" t="s">
        <v>15282</v>
      </c>
      <c r="G1887" s="15" t="s">
        <v>11952</v>
      </c>
      <c r="H1887" s="15">
        <v>7.7</v>
      </c>
      <c r="I1887" s="15">
        <v>10.7</v>
      </c>
      <c r="J1887" s="15">
        <v>80</v>
      </c>
      <c r="K1887" s="15" t="str">
        <f t="shared" si="29"/>
        <v>reflectingpool</v>
      </c>
      <c r="L1887" s="15" t="s">
        <v>11953</v>
      </c>
      <c r="M1887" s="15">
        <v>1</v>
      </c>
      <c r="N1887" s="15" t="s">
        <v>11222</v>
      </c>
      <c r="O1887" s="15"/>
      <c r="P1887" s="15"/>
      <c r="Q1887" s="15"/>
      <c r="R1887" s="15"/>
      <c r="S1887" s="15"/>
      <c r="T1887" s="15">
        <v>0</v>
      </c>
      <c r="U1887" s="15"/>
      <c r="V1887" s="15"/>
      <c r="W1887" s="15"/>
      <c r="X1887" s="15"/>
      <c r="Y1887" s="15"/>
      <c r="Z1887" s="15"/>
    </row>
    <row r="1888" spans="1:26" x14ac:dyDescent="0.25">
      <c r="A1888" s="15" t="s">
        <v>15284</v>
      </c>
      <c r="B1888" s="15">
        <v>1887</v>
      </c>
      <c r="C1888" s="15" t="s">
        <v>11277</v>
      </c>
      <c r="D1888" s="15" t="s">
        <v>11277</v>
      </c>
      <c r="E1888" s="15" t="s">
        <v>133</v>
      </c>
      <c r="F1888" s="15" t="s">
        <v>15282</v>
      </c>
      <c r="G1888" s="15" t="s">
        <v>11954</v>
      </c>
      <c r="H1888" s="15">
        <v>7.7</v>
      </c>
      <c r="I1888" s="15">
        <v>10.7</v>
      </c>
      <c r="J1888" s="15">
        <v>81</v>
      </c>
      <c r="K1888" s="15" t="str">
        <f t="shared" si="29"/>
        <v>reflectingpool</v>
      </c>
      <c r="L1888" s="15" t="s">
        <v>11948</v>
      </c>
      <c r="M1888" s="15">
        <v>1</v>
      </c>
      <c r="N1888" s="15" t="s">
        <v>11222</v>
      </c>
      <c r="O1888" s="15"/>
      <c r="P1888" s="15"/>
      <c r="Q1888" s="15"/>
      <c r="R1888" s="15"/>
      <c r="S1888" s="15"/>
      <c r="T1888" s="15">
        <v>0</v>
      </c>
      <c r="U1888" s="15"/>
      <c r="V1888" s="15"/>
      <c r="W1888" s="15"/>
      <c r="X1888" s="15"/>
      <c r="Y1888" s="15"/>
      <c r="Z1888" s="15"/>
    </row>
    <row r="1889" spans="1:26" x14ac:dyDescent="0.25">
      <c r="A1889" s="15" t="s">
        <v>15285</v>
      </c>
      <c r="B1889" s="15">
        <v>1888</v>
      </c>
      <c r="C1889" s="15" t="s">
        <v>11277</v>
      </c>
      <c r="D1889" s="15" t="s">
        <v>11277</v>
      </c>
      <c r="E1889" s="15" t="s">
        <v>133</v>
      </c>
      <c r="F1889" s="15" t="s">
        <v>15282</v>
      </c>
      <c r="G1889" s="15" t="s">
        <v>11955</v>
      </c>
      <c r="H1889" s="15">
        <v>7.7</v>
      </c>
      <c r="I1889" s="15">
        <v>10.7</v>
      </c>
      <c r="J1889" s="15">
        <v>90</v>
      </c>
      <c r="K1889" s="15" t="str">
        <f t="shared" si="29"/>
        <v>reflectingpool</v>
      </c>
      <c r="L1889" s="15" t="s">
        <v>11948</v>
      </c>
      <c r="M1889" s="15">
        <v>3</v>
      </c>
      <c r="N1889" s="15" t="s">
        <v>11222</v>
      </c>
      <c r="O1889" s="15" t="s">
        <v>14005</v>
      </c>
      <c r="P1889" s="15"/>
      <c r="Q1889" s="15"/>
      <c r="R1889" s="15"/>
      <c r="S1889" s="15"/>
      <c r="T1889" s="15">
        <v>3</v>
      </c>
      <c r="U1889" s="15"/>
      <c r="V1889" s="15"/>
      <c r="W1889" s="15"/>
      <c r="X1889" s="15"/>
      <c r="Y1889" s="15"/>
      <c r="Z1889" s="15"/>
    </row>
    <row r="1890" spans="1:26" x14ac:dyDescent="0.25">
      <c r="A1890" s="15" t="s">
        <v>15286</v>
      </c>
      <c r="B1890" s="15">
        <v>1889</v>
      </c>
      <c r="C1890" s="15" t="s">
        <v>11277</v>
      </c>
      <c r="D1890" s="15" t="s">
        <v>11277</v>
      </c>
      <c r="E1890" s="15" t="s">
        <v>133</v>
      </c>
      <c r="F1890" s="15" t="s">
        <v>15287</v>
      </c>
      <c r="G1890" s="15" t="s">
        <v>11956</v>
      </c>
      <c r="H1890" s="15">
        <v>17.7</v>
      </c>
      <c r="I1890" s="15">
        <v>5.3</v>
      </c>
      <c r="J1890" s="15">
        <v>81</v>
      </c>
      <c r="K1890" s="15" t="str">
        <f t="shared" si="29"/>
        <v>unmovedsourcealpha</v>
      </c>
      <c r="L1890" s="15" t="s">
        <v>11946</v>
      </c>
      <c r="M1890" s="15">
        <v>1</v>
      </c>
      <c r="N1890" s="15" t="s">
        <v>11222</v>
      </c>
      <c r="O1890" s="15"/>
      <c r="P1890" s="15"/>
      <c r="Q1890" s="15"/>
      <c r="R1890" s="15"/>
      <c r="S1890" s="15"/>
      <c r="T1890" s="15">
        <v>0</v>
      </c>
      <c r="U1890" s="15"/>
      <c r="V1890" s="15"/>
      <c r="W1890" s="15"/>
      <c r="X1890" s="15"/>
      <c r="Y1890" s="15"/>
      <c r="Z1890" s="15"/>
    </row>
    <row r="1891" spans="1:26" x14ac:dyDescent="0.25">
      <c r="A1891" s="15" t="s">
        <v>15288</v>
      </c>
      <c r="B1891" s="15">
        <v>1890</v>
      </c>
      <c r="C1891" s="15" t="s">
        <v>11277</v>
      </c>
      <c r="D1891" s="15" t="s">
        <v>11277</v>
      </c>
      <c r="E1891" s="15" t="s">
        <v>133</v>
      </c>
      <c r="F1891" s="15" t="s">
        <v>15287</v>
      </c>
      <c r="G1891" s="15" t="s">
        <v>11957</v>
      </c>
      <c r="H1891" s="15">
        <v>17.7</v>
      </c>
      <c r="I1891" s="15">
        <v>5.3</v>
      </c>
      <c r="J1891" s="15">
        <v>80</v>
      </c>
      <c r="K1891" s="15" t="str">
        <f t="shared" si="29"/>
        <v>unmovedsourcealpha</v>
      </c>
      <c r="L1891" s="15" t="s">
        <v>11946</v>
      </c>
      <c r="M1891" s="15">
        <v>1</v>
      </c>
      <c r="N1891" s="15" t="s">
        <v>11222</v>
      </c>
      <c r="O1891" s="15"/>
      <c r="P1891" s="15"/>
      <c r="Q1891" s="15"/>
      <c r="R1891" s="15"/>
      <c r="S1891" s="15"/>
      <c r="T1891" s="15">
        <v>0</v>
      </c>
      <c r="U1891" s="15"/>
      <c r="V1891" s="15"/>
      <c r="W1891" s="15"/>
      <c r="X1891" s="15"/>
      <c r="Y1891" s="15"/>
      <c r="Z1891" s="15"/>
    </row>
    <row r="1892" spans="1:26" x14ac:dyDescent="0.25">
      <c r="A1892" s="15" t="s">
        <v>15289</v>
      </c>
      <c r="B1892" s="15">
        <v>1891</v>
      </c>
      <c r="C1892" s="15" t="s">
        <v>11277</v>
      </c>
      <c r="D1892" s="15" t="s">
        <v>11277</v>
      </c>
      <c r="E1892" s="15" t="s">
        <v>133</v>
      </c>
      <c r="F1892" s="15" t="s">
        <v>15287</v>
      </c>
      <c r="G1892" s="15" t="s">
        <v>11958</v>
      </c>
      <c r="H1892" s="15">
        <v>17.7</v>
      </c>
      <c r="I1892" s="15">
        <v>5.3</v>
      </c>
      <c r="J1892" s="15">
        <v>82</v>
      </c>
      <c r="K1892" s="15" t="str">
        <f t="shared" si="29"/>
        <v>unmovedsourcealpha</v>
      </c>
      <c r="L1892" s="15" t="s">
        <v>11948</v>
      </c>
      <c r="M1892" s="15">
        <v>2</v>
      </c>
      <c r="N1892" s="15" t="s">
        <v>11223</v>
      </c>
      <c r="O1892" s="15"/>
      <c r="P1892" s="15"/>
      <c r="Q1892" s="15"/>
      <c r="R1892" s="15"/>
      <c r="S1892" s="15"/>
      <c r="T1892" s="15">
        <v>0</v>
      </c>
      <c r="U1892" s="15"/>
      <c r="V1892" s="15"/>
      <c r="W1892" s="15"/>
      <c r="X1892" s="15"/>
      <c r="Y1892" s="15"/>
      <c r="Z1892" s="15"/>
    </row>
    <row r="1893" spans="1:26" x14ac:dyDescent="0.25">
      <c r="A1893" s="15" t="s">
        <v>15290</v>
      </c>
      <c r="B1893" s="15">
        <v>1892</v>
      </c>
      <c r="C1893" s="15" t="s">
        <v>11277</v>
      </c>
      <c r="D1893" s="15" t="s">
        <v>11277</v>
      </c>
      <c r="E1893" s="15" t="s">
        <v>133</v>
      </c>
      <c r="F1893" s="15" t="s">
        <v>15287</v>
      </c>
      <c r="G1893" s="15" t="s">
        <v>11959</v>
      </c>
      <c r="H1893" s="15">
        <v>17.7</v>
      </c>
      <c r="I1893" s="15">
        <v>5.3</v>
      </c>
      <c r="J1893" s="15">
        <v>80</v>
      </c>
      <c r="K1893" s="15" t="str">
        <f t="shared" si="29"/>
        <v>unmovedsourcealpha</v>
      </c>
      <c r="L1893" s="15" t="s">
        <v>11946</v>
      </c>
      <c r="M1893" s="15">
        <v>1</v>
      </c>
      <c r="N1893" s="15" t="s">
        <v>11222</v>
      </c>
      <c r="O1893" s="15"/>
      <c r="P1893" s="15"/>
      <c r="Q1893" s="15"/>
      <c r="R1893" s="15"/>
      <c r="S1893" s="15"/>
      <c r="T1893" s="15">
        <v>0</v>
      </c>
      <c r="U1893" s="15"/>
      <c r="V1893" s="15"/>
      <c r="W1893" s="15"/>
      <c r="X1893" s="15"/>
      <c r="Y1893" s="15"/>
      <c r="Z1893" s="15"/>
    </row>
    <row r="1894" spans="1:26" x14ac:dyDescent="0.25">
      <c r="A1894" s="15" t="s">
        <v>15291</v>
      </c>
      <c r="B1894" s="15">
        <v>1893</v>
      </c>
      <c r="C1894" s="15" t="s">
        <v>11277</v>
      </c>
      <c r="D1894" s="15" t="s">
        <v>11277</v>
      </c>
      <c r="E1894" s="15" t="s">
        <v>133</v>
      </c>
      <c r="F1894" s="15" t="s">
        <v>15287</v>
      </c>
      <c r="G1894" s="15" t="s">
        <v>11960</v>
      </c>
      <c r="H1894" s="15">
        <v>17.7</v>
      </c>
      <c r="I1894" s="15">
        <v>5.3</v>
      </c>
      <c r="J1894" s="15">
        <v>83</v>
      </c>
      <c r="K1894" s="15" t="str">
        <f t="shared" si="29"/>
        <v>unmovedsourcealpha</v>
      </c>
      <c r="L1894" s="15" t="s">
        <v>11948</v>
      </c>
      <c r="M1894" s="15">
        <v>2</v>
      </c>
      <c r="N1894" s="15" t="s">
        <v>11223</v>
      </c>
      <c r="O1894" s="15"/>
      <c r="P1894" s="15"/>
      <c r="Q1894" s="15"/>
      <c r="R1894" s="15"/>
      <c r="S1894" s="15"/>
      <c r="T1894" s="15">
        <v>0</v>
      </c>
      <c r="U1894" s="15"/>
      <c r="V1894" s="15"/>
      <c r="W1894" s="15"/>
      <c r="X1894" s="15"/>
      <c r="Y1894" s="15"/>
      <c r="Z1894" s="15"/>
    </row>
    <row r="1895" spans="1:26" x14ac:dyDescent="0.25">
      <c r="A1895" s="15" t="s">
        <v>15292</v>
      </c>
      <c r="B1895" s="15">
        <v>1894</v>
      </c>
      <c r="C1895" s="15" t="s">
        <v>11277</v>
      </c>
      <c r="D1895" s="15" t="s">
        <v>11277</v>
      </c>
      <c r="E1895" s="15" t="s">
        <v>133</v>
      </c>
      <c r="F1895" s="15" t="s">
        <v>15287</v>
      </c>
      <c r="G1895" s="15" t="s">
        <v>11961</v>
      </c>
      <c r="H1895" s="15">
        <v>17.7</v>
      </c>
      <c r="I1895" s="15">
        <v>5.3</v>
      </c>
      <c r="J1895" s="15">
        <v>90</v>
      </c>
      <c r="K1895" s="15" t="str">
        <f t="shared" si="29"/>
        <v>unmovedsourcealpha</v>
      </c>
      <c r="L1895" s="15" t="s">
        <v>11948</v>
      </c>
      <c r="M1895" s="15">
        <v>3</v>
      </c>
      <c r="N1895" s="15" t="s">
        <v>11223</v>
      </c>
      <c r="O1895" s="15" t="s">
        <v>14053</v>
      </c>
      <c r="P1895" s="15"/>
      <c r="Q1895" s="15"/>
      <c r="R1895" s="15"/>
      <c r="S1895" s="15"/>
      <c r="T1895" s="15">
        <v>1</v>
      </c>
      <c r="U1895" s="15" t="s">
        <v>5908</v>
      </c>
      <c r="V1895" s="15"/>
      <c r="W1895" s="15"/>
      <c r="X1895" s="15"/>
      <c r="Y1895" s="15"/>
      <c r="Z1895" s="15"/>
    </row>
    <row r="1896" spans="1:26" x14ac:dyDescent="0.25">
      <c r="A1896" s="15" t="s">
        <v>15293</v>
      </c>
      <c r="B1896" s="15">
        <v>1895</v>
      </c>
      <c r="C1896" s="15" t="s">
        <v>11277</v>
      </c>
      <c r="D1896" s="15" t="s">
        <v>11277</v>
      </c>
      <c r="E1896" s="15" t="s">
        <v>133</v>
      </c>
      <c r="F1896" s="15" t="s">
        <v>15294</v>
      </c>
      <c r="G1896" s="15" t="s">
        <v>11956</v>
      </c>
      <c r="H1896" s="15">
        <v>18</v>
      </c>
      <c r="I1896" s="15">
        <v>9</v>
      </c>
      <c r="J1896" s="15">
        <v>81</v>
      </c>
      <c r="K1896" s="15" t="str">
        <f t="shared" si="29"/>
        <v>themoveralpha</v>
      </c>
      <c r="L1896" s="15" t="s">
        <v>11968</v>
      </c>
      <c r="M1896" s="15">
        <v>1</v>
      </c>
      <c r="N1896" s="15" t="s">
        <v>11222</v>
      </c>
      <c r="O1896" s="15"/>
      <c r="P1896" s="15"/>
      <c r="Q1896" s="15"/>
      <c r="R1896" s="15"/>
      <c r="S1896" s="15"/>
      <c r="T1896" s="15">
        <v>0</v>
      </c>
      <c r="U1896" s="15"/>
      <c r="V1896" s="15"/>
      <c r="W1896" s="15"/>
      <c r="X1896" s="15"/>
      <c r="Y1896" s="15"/>
      <c r="Z1896" s="15"/>
    </row>
    <row r="1897" spans="1:26" x14ac:dyDescent="0.25">
      <c r="A1897" s="15" t="s">
        <v>15295</v>
      </c>
      <c r="B1897" s="15">
        <v>1896</v>
      </c>
      <c r="C1897" s="15" t="s">
        <v>11277</v>
      </c>
      <c r="D1897" s="15" t="s">
        <v>11277</v>
      </c>
      <c r="E1897" s="15" t="s">
        <v>133</v>
      </c>
      <c r="F1897" s="15" t="s">
        <v>15294</v>
      </c>
      <c r="G1897" s="15" t="s">
        <v>11962</v>
      </c>
      <c r="H1897" s="15">
        <v>18</v>
      </c>
      <c r="I1897" s="15">
        <v>9</v>
      </c>
      <c r="J1897" s="15">
        <v>82</v>
      </c>
      <c r="K1897" s="15" t="str">
        <f t="shared" si="29"/>
        <v>themoveralpha</v>
      </c>
      <c r="L1897" s="15" t="s">
        <v>11946</v>
      </c>
      <c r="M1897" s="15">
        <v>1</v>
      </c>
      <c r="N1897" s="15" t="s">
        <v>11222</v>
      </c>
      <c r="O1897" s="15"/>
      <c r="P1897" s="15"/>
      <c r="Q1897" s="15"/>
      <c r="R1897" s="15"/>
      <c r="S1897" s="15"/>
      <c r="T1897" s="15">
        <v>0</v>
      </c>
      <c r="U1897" s="15"/>
      <c r="V1897" s="15"/>
      <c r="W1897" s="15"/>
      <c r="X1897" s="15"/>
      <c r="Y1897" s="15"/>
      <c r="Z1897" s="15"/>
    </row>
    <row r="1898" spans="1:26" x14ac:dyDescent="0.25">
      <c r="A1898" s="15" t="s">
        <v>15296</v>
      </c>
      <c r="B1898" s="15">
        <v>1897</v>
      </c>
      <c r="C1898" s="15" t="s">
        <v>11277</v>
      </c>
      <c r="D1898" s="15" t="s">
        <v>11277</v>
      </c>
      <c r="E1898" s="15" t="s">
        <v>133</v>
      </c>
      <c r="F1898" s="15" t="s">
        <v>15294</v>
      </c>
      <c r="G1898" s="15" t="s">
        <v>11963</v>
      </c>
      <c r="H1898" s="15">
        <v>18</v>
      </c>
      <c r="I1898" s="15">
        <v>9</v>
      </c>
      <c r="J1898" s="15">
        <v>81</v>
      </c>
      <c r="K1898" s="15" t="str">
        <f t="shared" si="29"/>
        <v>themoveralpha</v>
      </c>
      <c r="L1898" s="15" t="s">
        <v>11953</v>
      </c>
      <c r="M1898" s="15">
        <v>2</v>
      </c>
      <c r="N1898" s="15" t="s">
        <v>11223</v>
      </c>
      <c r="O1898" s="15"/>
      <c r="P1898" s="15"/>
      <c r="Q1898" s="15"/>
      <c r="R1898" s="15"/>
      <c r="S1898" s="15"/>
      <c r="T1898" s="15">
        <v>0</v>
      </c>
      <c r="U1898" s="15"/>
      <c r="V1898" s="15"/>
      <c r="W1898" s="15"/>
      <c r="X1898" s="15"/>
      <c r="Y1898" s="15"/>
      <c r="Z1898" s="15"/>
    </row>
    <row r="1899" spans="1:26" x14ac:dyDescent="0.25">
      <c r="A1899" s="15" t="s">
        <v>15297</v>
      </c>
      <c r="B1899" s="15">
        <v>1898</v>
      </c>
      <c r="C1899" s="15" t="s">
        <v>11277</v>
      </c>
      <c r="D1899" s="15" t="s">
        <v>11277</v>
      </c>
      <c r="E1899" s="15" t="s">
        <v>133</v>
      </c>
      <c r="F1899" s="15" t="s">
        <v>15294</v>
      </c>
      <c r="G1899" s="15" t="s">
        <v>11964</v>
      </c>
      <c r="H1899" s="15">
        <v>18</v>
      </c>
      <c r="I1899" s="15">
        <v>9</v>
      </c>
      <c r="J1899" s="15">
        <v>82</v>
      </c>
      <c r="K1899" s="15" t="str">
        <f t="shared" si="29"/>
        <v>themoveralpha</v>
      </c>
      <c r="L1899" s="15" t="s">
        <v>11948</v>
      </c>
      <c r="M1899" s="15">
        <v>2</v>
      </c>
      <c r="N1899" s="15" t="s">
        <v>11223</v>
      </c>
      <c r="O1899" s="15"/>
      <c r="P1899" s="15"/>
      <c r="Q1899" s="15"/>
      <c r="R1899" s="15"/>
      <c r="S1899" s="15"/>
      <c r="T1899" s="15">
        <v>0</v>
      </c>
      <c r="U1899" s="15"/>
      <c r="V1899" s="15"/>
      <c r="W1899" s="15"/>
      <c r="X1899" s="15"/>
      <c r="Y1899" s="15"/>
      <c r="Z1899" s="15"/>
    </row>
    <row r="1900" spans="1:26" x14ac:dyDescent="0.25">
      <c r="A1900" s="15" t="s">
        <v>15298</v>
      </c>
      <c r="B1900" s="15">
        <v>1899</v>
      </c>
      <c r="C1900" s="15" t="s">
        <v>11277</v>
      </c>
      <c r="D1900" s="15" t="s">
        <v>11277</v>
      </c>
      <c r="E1900" s="15" t="s">
        <v>133</v>
      </c>
      <c r="F1900" s="15" t="s">
        <v>15294</v>
      </c>
      <c r="G1900" s="15" t="s">
        <v>11965</v>
      </c>
      <c r="H1900" s="15">
        <v>18</v>
      </c>
      <c r="I1900" s="15">
        <v>9</v>
      </c>
      <c r="J1900" s="15">
        <v>83</v>
      </c>
      <c r="K1900" s="15" t="str">
        <f t="shared" si="29"/>
        <v>themoveralpha</v>
      </c>
      <c r="L1900" s="15" t="s">
        <v>11948</v>
      </c>
      <c r="M1900" s="15">
        <v>2</v>
      </c>
      <c r="N1900" s="15" t="s">
        <v>11223</v>
      </c>
      <c r="O1900" s="15"/>
      <c r="P1900" s="15"/>
      <c r="Q1900" s="15"/>
      <c r="R1900" s="15"/>
      <c r="S1900" s="15"/>
      <c r="T1900" s="15">
        <v>0</v>
      </c>
      <c r="U1900" s="15"/>
      <c r="V1900" s="15"/>
      <c r="W1900" s="15"/>
      <c r="X1900" s="15"/>
      <c r="Y1900" s="15"/>
      <c r="Z1900" s="15"/>
    </row>
    <row r="1901" spans="1:26" x14ac:dyDescent="0.25">
      <c r="A1901" s="15" t="s">
        <v>15299</v>
      </c>
      <c r="B1901" s="15">
        <v>1900</v>
      </c>
      <c r="C1901" s="15" t="s">
        <v>11277</v>
      </c>
      <c r="D1901" s="15" t="s">
        <v>11277</v>
      </c>
      <c r="E1901" s="15" t="s">
        <v>133</v>
      </c>
      <c r="F1901" s="15" t="s">
        <v>15294</v>
      </c>
      <c r="G1901" s="15" t="s">
        <v>11966</v>
      </c>
      <c r="H1901" s="15">
        <v>18</v>
      </c>
      <c r="I1901" s="15">
        <v>9</v>
      </c>
      <c r="J1901" s="15">
        <v>90</v>
      </c>
      <c r="K1901" s="15" t="str">
        <f t="shared" si="29"/>
        <v>themoveralpha</v>
      </c>
      <c r="L1901" s="15" t="s">
        <v>11953</v>
      </c>
      <c r="M1901" s="15">
        <v>3</v>
      </c>
      <c r="N1901" s="15" t="s">
        <v>11223</v>
      </c>
      <c r="O1901" s="15"/>
      <c r="P1901" s="15"/>
      <c r="Q1901" s="15"/>
      <c r="R1901" s="15"/>
      <c r="S1901" s="15"/>
      <c r="T1901" s="15">
        <v>3</v>
      </c>
      <c r="U1901" s="15" t="s">
        <v>5900</v>
      </c>
      <c r="V1901" s="15"/>
      <c r="W1901" s="15"/>
      <c r="X1901" s="15"/>
      <c r="Y1901" s="15"/>
      <c r="Z1901" s="15"/>
    </row>
    <row r="1902" spans="1:26" x14ac:dyDescent="0.25">
      <c r="A1902" s="15" t="s">
        <v>15300</v>
      </c>
      <c r="B1902" s="15">
        <v>1901</v>
      </c>
      <c r="C1902" s="15" t="s">
        <v>11277</v>
      </c>
      <c r="D1902" s="15" t="s">
        <v>11277</v>
      </c>
      <c r="E1902" s="15" t="s">
        <v>133</v>
      </c>
      <c r="F1902" s="15" t="s">
        <v>15301</v>
      </c>
      <c r="G1902" s="15" t="s">
        <v>11956</v>
      </c>
      <c r="H1902" s="15">
        <v>32.299999999999997</v>
      </c>
      <c r="I1902" s="15">
        <v>8.6</v>
      </c>
      <c r="J1902" s="15">
        <v>81</v>
      </c>
      <c r="K1902" s="15" t="str">
        <f t="shared" si="29"/>
        <v>unmovedsourcebeta</v>
      </c>
      <c r="L1902" s="15" t="s">
        <v>11946</v>
      </c>
      <c r="M1902" s="15">
        <v>1</v>
      </c>
      <c r="N1902" s="15" t="s">
        <v>11222</v>
      </c>
      <c r="O1902" s="15"/>
      <c r="P1902" s="15"/>
      <c r="Q1902" s="15"/>
      <c r="R1902" s="15"/>
      <c r="S1902" s="15"/>
      <c r="T1902" s="15">
        <v>0</v>
      </c>
      <c r="U1902" s="15"/>
      <c r="V1902" s="15"/>
      <c r="W1902" s="15"/>
      <c r="X1902" s="15"/>
      <c r="Y1902" s="15"/>
      <c r="Z1902" s="15"/>
    </row>
    <row r="1903" spans="1:26" x14ac:dyDescent="0.25">
      <c r="A1903" s="15" t="s">
        <v>15302</v>
      </c>
      <c r="B1903" s="15">
        <v>1902</v>
      </c>
      <c r="C1903" s="15" t="s">
        <v>11277</v>
      </c>
      <c r="D1903" s="15" t="s">
        <v>11277</v>
      </c>
      <c r="E1903" s="15" t="s">
        <v>133</v>
      </c>
      <c r="F1903" s="15" t="s">
        <v>15301</v>
      </c>
      <c r="G1903" s="15" t="s">
        <v>11967</v>
      </c>
      <c r="H1903" s="15">
        <v>32.299999999999997</v>
      </c>
      <c r="I1903" s="15">
        <v>8.6</v>
      </c>
      <c r="J1903" s="15">
        <v>83</v>
      </c>
      <c r="K1903" s="15" t="str">
        <f t="shared" si="29"/>
        <v>unmovedsourcebeta</v>
      </c>
      <c r="L1903" s="15" t="s">
        <v>11968</v>
      </c>
      <c r="M1903" s="15">
        <v>2</v>
      </c>
      <c r="N1903" s="15" t="s">
        <v>11223</v>
      </c>
      <c r="O1903" s="15"/>
      <c r="P1903" s="15"/>
      <c r="Q1903" s="15"/>
      <c r="R1903" s="15"/>
      <c r="S1903" s="15"/>
      <c r="T1903" s="15">
        <v>0</v>
      </c>
      <c r="U1903" s="15"/>
      <c r="V1903" s="15"/>
      <c r="W1903" s="15"/>
      <c r="X1903" s="15"/>
      <c r="Y1903" s="15"/>
      <c r="Z1903" s="15"/>
    </row>
    <row r="1904" spans="1:26" x14ac:dyDescent="0.25">
      <c r="A1904" s="15" t="s">
        <v>15303</v>
      </c>
      <c r="B1904" s="15">
        <v>1903</v>
      </c>
      <c r="C1904" s="15" t="s">
        <v>11277</v>
      </c>
      <c r="D1904" s="15" t="s">
        <v>11277</v>
      </c>
      <c r="E1904" s="15" t="s">
        <v>133</v>
      </c>
      <c r="F1904" s="15" t="s">
        <v>15301</v>
      </c>
      <c r="G1904" s="15" t="s">
        <v>11963</v>
      </c>
      <c r="H1904" s="15">
        <v>32.299999999999997</v>
      </c>
      <c r="I1904" s="15">
        <v>8.6</v>
      </c>
      <c r="J1904" s="15">
        <v>81</v>
      </c>
      <c r="K1904" s="15" t="str">
        <f t="shared" si="29"/>
        <v>unmovedsourcebeta</v>
      </c>
      <c r="L1904" s="15" t="s">
        <v>11946</v>
      </c>
      <c r="M1904" s="15">
        <v>2</v>
      </c>
      <c r="N1904" s="15" t="s">
        <v>11223</v>
      </c>
      <c r="O1904" s="15"/>
      <c r="P1904" s="15"/>
      <c r="Q1904" s="15"/>
      <c r="R1904" s="15"/>
      <c r="S1904" s="15"/>
      <c r="T1904" s="15">
        <v>0</v>
      </c>
      <c r="U1904" s="15"/>
      <c r="V1904" s="15"/>
      <c r="W1904" s="15"/>
      <c r="X1904" s="15"/>
      <c r="Y1904" s="15"/>
      <c r="Z1904" s="15"/>
    </row>
    <row r="1905" spans="1:26" x14ac:dyDescent="0.25">
      <c r="A1905" s="15" t="s">
        <v>15304</v>
      </c>
      <c r="B1905" s="15">
        <v>1904</v>
      </c>
      <c r="C1905" s="15" t="s">
        <v>11277</v>
      </c>
      <c r="D1905" s="15" t="s">
        <v>11277</v>
      </c>
      <c r="E1905" s="15" t="s">
        <v>133</v>
      </c>
      <c r="F1905" s="15" t="s">
        <v>15301</v>
      </c>
      <c r="G1905" s="15" t="s">
        <v>139</v>
      </c>
      <c r="H1905" s="15">
        <v>32.299999999999997</v>
      </c>
      <c r="I1905" s="15">
        <v>8.6</v>
      </c>
      <c r="J1905" s="15">
        <v>85</v>
      </c>
      <c r="K1905" s="15" t="str">
        <f t="shared" si="29"/>
        <v>unmovedsourcebeta</v>
      </c>
      <c r="L1905" s="15" t="s">
        <v>11948</v>
      </c>
      <c r="M1905" s="15">
        <v>2</v>
      </c>
      <c r="N1905" s="15" t="s">
        <v>11223</v>
      </c>
      <c r="O1905" s="15"/>
      <c r="P1905" s="15"/>
      <c r="Q1905" s="15"/>
      <c r="R1905" s="15"/>
      <c r="S1905" s="15"/>
      <c r="T1905" s="15">
        <v>0</v>
      </c>
      <c r="U1905" s="15"/>
      <c r="V1905" s="15"/>
      <c r="W1905" s="15"/>
      <c r="X1905" s="15"/>
      <c r="Y1905" s="15"/>
      <c r="Z1905" s="15"/>
    </row>
    <row r="1906" spans="1:26" x14ac:dyDescent="0.25">
      <c r="A1906" s="15" t="s">
        <v>15305</v>
      </c>
      <c r="B1906" s="15">
        <v>1905</v>
      </c>
      <c r="C1906" s="15" t="s">
        <v>11277</v>
      </c>
      <c r="D1906" s="15" t="s">
        <v>11277</v>
      </c>
      <c r="E1906" s="15" t="s">
        <v>133</v>
      </c>
      <c r="F1906" s="15" t="s">
        <v>15301</v>
      </c>
      <c r="G1906" s="15" t="s">
        <v>11969</v>
      </c>
      <c r="H1906" s="15">
        <v>32.299999999999997</v>
      </c>
      <c r="I1906" s="15">
        <v>8.6</v>
      </c>
      <c r="J1906" s="15">
        <v>90</v>
      </c>
      <c r="K1906" s="15" t="str">
        <f t="shared" si="29"/>
        <v>unmovedsourcebeta</v>
      </c>
      <c r="L1906" s="15" t="s">
        <v>11953</v>
      </c>
      <c r="M1906" s="15">
        <v>3</v>
      </c>
      <c r="N1906" s="15" t="s">
        <v>11223</v>
      </c>
      <c r="O1906" s="15" t="s">
        <v>14006</v>
      </c>
      <c r="P1906" s="15"/>
      <c r="Q1906" s="15"/>
      <c r="R1906" s="15"/>
      <c r="S1906" s="15"/>
      <c r="T1906" s="15">
        <v>2</v>
      </c>
      <c r="U1906" s="15" t="s">
        <v>5893</v>
      </c>
      <c r="V1906" s="15" t="s">
        <v>5892</v>
      </c>
      <c r="W1906" s="15"/>
      <c r="X1906" s="15" t="s">
        <v>5908</v>
      </c>
      <c r="Y1906" s="15"/>
      <c r="Z1906" s="15"/>
    </row>
    <row r="1907" spans="1:26" x14ac:dyDescent="0.25">
      <c r="A1907" s="15" t="s">
        <v>15306</v>
      </c>
      <c r="B1907" s="15">
        <v>1906</v>
      </c>
      <c r="C1907" s="15" t="s">
        <v>11277</v>
      </c>
      <c r="D1907" s="15" t="s">
        <v>11277</v>
      </c>
      <c r="E1907" s="15" t="s">
        <v>133</v>
      </c>
      <c r="F1907" s="15" t="s">
        <v>15307</v>
      </c>
      <c r="G1907" s="15" t="s">
        <v>11956</v>
      </c>
      <c r="H1907" s="15">
        <v>28</v>
      </c>
      <c r="I1907" s="15">
        <v>15</v>
      </c>
      <c r="J1907" s="15">
        <v>81</v>
      </c>
      <c r="K1907" s="15" t="str">
        <f t="shared" si="29"/>
        <v>themoverbeta</v>
      </c>
      <c r="L1907" s="15" t="s">
        <v>11946</v>
      </c>
      <c r="M1907" s="15">
        <v>1</v>
      </c>
      <c r="N1907" s="15" t="s">
        <v>11222</v>
      </c>
      <c r="O1907" s="15"/>
      <c r="P1907" s="15"/>
      <c r="Q1907" s="15"/>
      <c r="R1907" s="15"/>
      <c r="S1907" s="15"/>
      <c r="T1907" s="15">
        <v>0</v>
      </c>
      <c r="U1907" s="15"/>
      <c r="V1907" s="15"/>
      <c r="W1907" s="15"/>
      <c r="X1907" s="15"/>
      <c r="Y1907" s="15"/>
      <c r="Z1907" s="15"/>
    </row>
    <row r="1908" spans="1:26" x14ac:dyDescent="0.25">
      <c r="A1908" s="15" t="s">
        <v>15308</v>
      </c>
      <c r="B1908" s="15">
        <v>1907</v>
      </c>
      <c r="C1908" s="15" t="s">
        <v>11277</v>
      </c>
      <c r="D1908" s="15" t="s">
        <v>11277</v>
      </c>
      <c r="E1908" s="15" t="s">
        <v>133</v>
      </c>
      <c r="F1908" s="15" t="s">
        <v>15307</v>
      </c>
      <c r="G1908" s="15" t="s">
        <v>11970</v>
      </c>
      <c r="H1908" s="15">
        <v>28</v>
      </c>
      <c r="I1908" s="15">
        <v>15</v>
      </c>
      <c r="J1908" s="15">
        <v>82</v>
      </c>
      <c r="K1908" s="15" t="str">
        <f t="shared" si="29"/>
        <v>themoverbeta</v>
      </c>
      <c r="L1908" s="15" t="s">
        <v>11948</v>
      </c>
      <c r="M1908" s="15">
        <v>1</v>
      </c>
      <c r="N1908" s="15" t="s">
        <v>11222</v>
      </c>
      <c r="O1908" s="15"/>
      <c r="P1908" s="15"/>
      <c r="Q1908" s="15"/>
      <c r="R1908" s="15"/>
      <c r="S1908" s="15"/>
      <c r="T1908" s="15">
        <v>0</v>
      </c>
      <c r="U1908" s="15"/>
      <c r="V1908" s="15"/>
      <c r="W1908" s="15"/>
      <c r="X1908" s="15"/>
      <c r="Y1908" s="15"/>
      <c r="Z1908" s="15"/>
    </row>
    <row r="1909" spans="1:26" x14ac:dyDescent="0.25">
      <c r="A1909" s="15" t="s">
        <v>15309</v>
      </c>
      <c r="B1909" s="15">
        <v>1908</v>
      </c>
      <c r="C1909" s="15" t="s">
        <v>11277</v>
      </c>
      <c r="D1909" s="15" t="s">
        <v>11277</v>
      </c>
      <c r="E1909" s="15" t="s">
        <v>133</v>
      </c>
      <c r="F1909" s="15" t="s">
        <v>15307</v>
      </c>
      <c r="G1909" s="15" t="s">
        <v>11963</v>
      </c>
      <c r="H1909" s="15">
        <v>28</v>
      </c>
      <c r="I1909" s="15">
        <v>15</v>
      </c>
      <c r="J1909" s="15">
        <v>81</v>
      </c>
      <c r="K1909" s="15" t="str">
        <f t="shared" si="29"/>
        <v>themoverbeta</v>
      </c>
      <c r="L1909" s="15" t="s">
        <v>11953</v>
      </c>
      <c r="M1909" s="15">
        <v>2</v>
      </c>
      <c r="N1909" s="15" t="s">
        <v>11223</v>
      </c>
      <c r="O1909" s="15"/>
      <c r="P1909" s="15"/>
      <c r="Q1909" s="15"/>
      <c r="R1909" s="15"/>
      <c r="S1909" s="15"/>
      <c r="T1909" s="15">
        <v>0</v>
      </c>
      <c r="U1909" s="15"/>
      <c r="V1909" s="15"/>
      <c r="W1909" s="15"/>
      <c r="X1909" s="15"/>
      <c r="Y1909" s="15"/>
      <c r="Z1909" s="15"/>
    </row>
    <row r="1910" spans="1:26" x14ac:dyDescent="0.25">
      <c r="A1910" s="15" t="s">
        <v>15310</v>
      </c>
      <c r="B1910" s="15">
        <v>1909</v>
      </c>
      <c r="C1910" s="15" t="s">
        <v>11277</v>
      </c>
      <c r="D1910" s="15" t="s">
        <v>11277</v>
      </c>
      <c r="E1910" s="15" t="s">
        <v>133</v>
      </c>
      <c r="F1910" s="15" t="s">
        <v>15307</v>
      </c>
      <c r="G1910" s="15" t="s">
        <v>11971</v>
      </c>
      <c r="H1910" s="15">
        <v>28</v>
      </c>
      <c r="I1910" s="15">
        <v>15</v>
      </c>
      <c r="J1910" s="15">
        <v>83</v>
      </c>
      <c r="K1910" s="15" t="str">
        <f t="shared" si="29"/>
        <v>themoverbeta</v>
      </c>
      <c r="L1910" s="15" t="s">
        <v>11948</v>
      </c>
      <c r="M1910" s="15">
        <v>1</v>
      </c>
      <c r="N1910" s="15" t="s">
        <v>11222</v>
      </c>
      <c r="O1910" s="15"/>
      <c r="P1910" s="15"/>
      <c r="Q1910" s="15"/>
      <c r="R1910" s="15"/>
      <c r="S1910" s="15"/>
      <c r="T1910" s="15">
        <v>0</v>
      </c>
      <c r="U1910" s="15"/>
      <c r="V1910" s="15"/>
      <c r="W1910" s="15"/>
      <c r="X1910" s="15"/>
      <c r="Y1910" s="15"/>
      <c r="Z1910" s="15"/>
    </row>
    <row r="1911" spans="1:26" x14ac:dyDescent="0.25">
      <c r="A1911" s="15" t="s">
        <v>15311</v>
      </c>
      <c r="B1911" s="15">
        <v>1910</v>
      </c>
      <c r="C1911" s="15" t="s">
        <v>11277</v>
      </c>
      <c r="D1911" s="15" t="s">
        <v>11277</v>
      </c>
      <c r="E1911" s="15" t="s">
        <v>133</v>
      </c>
      <c r="F1911" s="15" t="s">
        <v>15307</v>
      </c>
      <c r="G1911" s="15" t="s">
        <v>187</v>
      </c>
      <c r="H1911" s="15">
        <v>28</v>
      </c>
      <c r="I1911" s="15">
        <v>15</v>
      </c>
      <c r="J1911" s="15">
        <v>90</v>
      </c>
      <c r="K1911" s="15" t="str">
        <f t="shared" si="29"/>
        <v>themoverbeta</v>
      </c>
      <c r="L1911" s="15" t="s">
        <v>11968</v>
      </c>
      <c r="M1911" s="15">
        <v>2</v>
      </c>
      <c r="N1911" s="15" t="s">
        <v>11223</v>
      </c>
      <c r="O1911" s="15" t="s">
        <v>14034</v>
      </c>
      <c r="P1911" s="15"/>
      <c r="Q1911" s="15"/>
      <c r="R1911" s="15"/>
      <c r="S1911" s="15"/>
      <c r="T1911" s="15">
        <v>3</v>
      </c>
      <c r="U1911" s="15"/>
      <c r="V1911" s="15"/>
      <c r="W1911" s="15"/>
      <c r="X1911" s="15"/>
      <c r="Y1911" s="15"/>
      <c r="Z1911" s="15"/>
    </row>
    <row r="1912" spans="1:26" x14ac:dyDescent="0.25">
      <c r="A1912" s="15" t="s">
        <v>15312</v>
      </c>
      <c r="B1912" s="15">
        <v>1911</v>
      </c>
      <c r="C1912" s="15" t="s">
        <v>11277</v>
      </c>
      <c r="D1912" s="15" t="s">
        <v>11277</v>
      </c>
      <c r="E1912" s="15" t="s">
        <v>133</v>
      </c>
      <c r="F1912" s="15" t="s">
        <v>15307</v>
      </c>
      <c r="G1912" s="15" t="s">
        <v>11972</v>
      </c>
      <c r="H1912" s="15">
        <v>28</v>
      </c>
      <c r="I1912" s="15">
        <v>15</v>
      </c>
      <c r="J1912" s="15">
        <v>84</v>
      </c>
      <c r="K1912" s="15" t="str">
        <f t="shared" si="29"/>
        <v>themoverbeta</v>
      </c>
      <c r="L1912" s="15" t="s">
        <v>11948</v>
      </c>
      <c r="M1912" s="15">
        <v>2</v>
      </c>
      <c r="N1912" s="15" t="s">
        <v>11223</v>
      </c>
      <c r="O1912" s="15"/>
      <c r="P1912" s="15"/>
      <c r="Q1912" s="15"/>
      <c r="R1912" s="15"/>
      <c r="S1912" s="15"/>
      <c r="T1912" s="15">
        <v>0</v>
      </c>
      <c r="U1912" s="15"/>
      <c r="V1912" s="15"/>
      <c r="W1912" s="15"/>
      <c r="X1912" s="15"/>
      <c r="Y1912" s="15"/>
      <c r="Z1912" s="15"/>
    </row>
    <row r="1913" spans="1:26" x14ac:dyDescent="0.25">
      <c r="A1913" s="15" t="s">
        <v>15313</v>
      </c>
      <c r="B1913" s="15">
        <v>1912</v>
      </c>
      <c r="C1913" s="15" t="s">
        <v>11277</v>
      </c>
      <c r="D1913" s="15" t="s">
        <v>11277</v>
      </c>
      <c r="E1913" s="15" t="s">
        <v>133</v>
      </c>
      <c r="F1913" s="15" t="s">
        <v>15307</v>
      </c>
      <c r="G1913" s="15" t="s">
        <v>11973</v>
      </c>
      <c r="H1913" s="15">
        <v>28</v>
      </c>
      <c r="I1913" s="15">
        <v>15</v>
      </c>
      <c r="J1913" s="15">
        <v>90</v>
      </c>
      <c r="K1913" s="15" t="str">
        <f t="shared" si="29"/>
        <v>themoverbeta</v>
      </c>
      <c r="L1913" s="15" t="s">
        <v>11948</v>
      </c>
      <c r="M1913" s="15">
        <v>3</v>
      </c>
      <c r="N1913" s="15" t="s">
        <v>11223</v>
      </c>
      <c r="O1913" s="15" t="s">
        <v>14069</v>
      </c>
      <c r="P1913" s="15"/>
      <c r="Q1913" s="15"/>
      <c r="R1913" s="15"/>
      <c r="S1913" s="15"/>
      <c r="T1913" s="15">
        <v>3</v>
      </c>
      <c r="U1913" s="15"/>
      <c r="V1913" s="15"/>
      <c r="W1913" s="15"/>
      <c r="X1913" s="15"/>
      <c r="Y1913" s="15"/>
      <c r="Z1913" s="15"/>
    </row>
    <row r="1914" spans="1:26" x14ac:dyDescent="0.25">
      <c r="A1914" s="15" t="s">
        <v>15314</v>
      </c>
      <c r="B1914" s="15">
        <v>1913</v>
      </c>
      <c r="C1914" s="15" t="s">
        <v>11277</v>
      </c>
      <c r="D1914" s="15" t="s">
        <v>11277</v>
      </c>
      <c r="E1914" s="15" t="s">
        <v>133</v>
      </c>
      <c r="F1914" s="15" t="s">
        <v>15315</v>
      </c>
      <c r="G1914" s="15" t="s">
        <v>11956</v>
      </c>
      <c r="H1914" s="15">
        <v>20</v>
      </c>
      <c r="I1914" s="15">
        <v>16</v>
      </c>
      <c r="J1914" s="15">
        <v>81</v>
      </c>
      <c r="K1914" s="15" t="str">
        <f t="shared" si="29"/>
        <v>deepmoat</v>
      </c>
      <c r="L1914" s="15" t="s">
        <v>11946</v>
      </c>
      <c r="M1914" s="15">
        <v>1</v>
      </c>
      <c r="N1914" s="15" t="s">
        <v>11222</v>
      </c>
      <c r="O1914" s="15"/>
      <c r="P1914" s="15"/>
      <c r="Q1914" s="15"/>
      <c r="R1914" s="15"/>
      <c r="S1914" s="15"/>
      <c r="T1914" s="15">
        <v>0</v>
      </c>
      <c r="U1914" s="15"/>
      <c r="V1914" s="15"/>
      <c r="W1914" s="15"/>
      <c r="X1914" s="15"/>
      <c r="Y1914" s="15"/>
      <c r="Z1914" s="15"/>
    </row>
    <row r="1915" spans="1:26" x14ac:dyDescent="0.25">
      <c r="A1915" s="15" t="s">
        <v>15316</v>
      </c>
      <c r="B1915" s="15">
        <v>1914</v>
      </c>
      <c r="C1915" s="15" t="s">
        <v>11277</v>
      </c>
      <c r="D1915" s="15" t="s">
        <v>11277</v>
      </c>
      <c r="E1915" s="15" t="s">
        <v>133</v>
      </c>
      <c r="F1915" s="15" t="s">
        <v>15315</v>
      </c>
      <c r="G1915" s="15" t="s">
        <v>11974</v>
      </c>
      <c r="H1915" s="15">
        <v>20</v>
      </c>
      <c r="I1915" s="15">
        <v>16</v>
      </c>
      <c r="J1915" s="15">
        <v>83</v>
      </c>
      <c r="K1915" s="15" t="str">
        <f t="shared" si="29"/>
        <v>deepmoat</v>
      </c>
      <c r="L1915" s="15" t="s">
        <v>11948</v>
      </c>
      <c r="M1915" s="15">
        <v>2</v>
      </c>
      <c r="N1915" s="15" t="s">
        <v>11223</v>
      </c>
      <c r="O1915" s="15"/>
      <c r="P1915" s="15"/>
      <c r="Q1915" s="15" t="s">
        <v>11974</v>
      </c>
      <c r="R1915" s="15"/>
      <c r="S1915" s="15"/>
      <c r="T1915" s="15">
        <v>0</v>
      </c>
      <c r="U1915" s="15"/>
      <c r="V1915" s="15"/>
      <c r="W1915" s="15"/>
      <c r="X1915" s="15"/>
      <c r="Y1915" s="15"/>
      <c r="Z1915" s="15"/>
    </row>
    <row r="1916" spans="1:26" x14ac:dyDescent="0.25">
      <c r="A1916" s="15" t="s">
        <v>15317</v>
      </c>
      <c r="B1916" s="15">
        <v>1915</v>
      </c>
      <c r="C1916" s="15" t="s">
        <v>11277</v>
      </c>
      <c r="D1916" s="15" t="s">
        <v>11277</v>
      </c>
      <c r="E1916" s="15" t="s">
        <v>133</v>
      </c>
      <c r="F1916" s="15" t="s">
        <v>15315</v>
      </c>
      <c r="G1916" s="15" t="s">
        <v>11963</v>
      </c>
      <c r="H1916" s="15">
        <v>20</v>
      </c>
      <c r="I1916" s="15">
        <v>16</v>
      </c>
      <c r="J1916" s="15">
        <v>81</v>
      </c>
      <c r="K1916" s="15" t="str">
        <f t="shared" si="29"/>
        <v>deepmoat</v>
      </c>
      <c r="L1916" s="15" t="s">
        <v>11953</v>
      </c>
      <c r="M1916" s="15">
        <v>2</v>
      </c>
      <c r="N1916" s="15" t="s">
        <v>11223</v>
      </c>
      <c r="O1916" s="15"/>
      <c r="P1916" s="15"/>
      <c r="Q1916" s="15" t="s">
        <v>11974</v>
      </c>
      <c r="R1916" s="15"/>
      <c r="S1916" s="15"/>
      <c r="T1916" s="15">
        <v>0</v>
      </c>
      <c r="U1916" s="15"/>
      <c r="V1916" s="15"/>
      <c r="W1916" s="15"/>
      <c r="X1916" s="15"/>
      <c r="Y1916" s="15"/>
      <c r="Z1916" s="15"/>
    </row>
    <row r="1917" spans="1:26" x14ac:dyDescent="0.25">
      <c r="A1917" s="15" t="s">
        <v>15318</v>
      </c>
      <c r="B1917" s="15">
        <v>1916</v>
      </c>
      <c r="C1917" s="15" t="s">
        <v>11277</v>
      </c>
      <c r="D1917" s="15" t="s">
        <v>11277</v>
      </c>
      <c r="E1917" s="15" t="s">
        <v>133</v>
      </c>
      <c r="F1917" s="15" t="s">
        <v>15315</v>
      </c>
      <c r="G1917" s="15" t="s">
        <v>11975</v>
      </c>
      <c r="H1917" s="15">
        <v>20</v>
      </c>
      <c r="I1917" s="15">
        <v>16</v>
      </c>
      <c r="J1917" s="15">
        <v>90</v>
      </c>
      <c r="K1917" s="15" t="str">
        <f t="shared" si="29"/>
        <v>deepmoat</v>
      </c>
      <c r="L1917" s="15" t="s">
        <v>14088</v>
      </c>
      <c r="M1917" s="15">
        <v>2</v>
      </c>
      <c r="N1917" s="15" t="s">
        <v>11223</v>
      </c>
      <c r="O1917" s="15" t="s">
        <v>14006</v>
      </c>
      <c r="P1917" s="15"/>
      <c r="Q1917" s="15" t="s">
        <v>11974</v>
      </c>
      <c r="R1917" s="15"/>
      <c r="S1917" s="15"/>
      <c r="T1917" s="15">
        <v>1</v>
      </c>
      <c r="U1917" s="15"/>
      <c r="V1917" s="15"/>
      <c r="W1917" s="15"/>
      <c r="X1917" s="15"/>
      <c r="Y1917" s="15"/>
      <c r="Z1917" s="15"/>
    </row>
    <row r="1918" spans="1:26" x14ac:dyDescent="0.25">
      <c r="A1918" s="15" t="s">
        <v>15319</v>
      </c>
      <c r="B1918" s="15">
        <v>1917</v>
      </c>
      <c r="C1918" s="15" t="s">
        <v>11277</v>
      </c>
      <c r="D1918" s="15" t="s">
        <v>11277</v>
      </c>
      <c r="E1918" s="15" t="s">
        <v>133</v>
      </c>
      <c r="F1918" s="15" t="s">
        <v>15315</v>
      </c>
      <c r="G1918" s="15" t="s">
        <v>11976</v>
      </c>
      <c r="H1918" s="15">
        <v>20</v>
      </c>
      <c r="I1918" s="15">
        <v>16</v>
      </c>
      <c r="J1918" s="15">
        <v>90</v>
      </c>
      <c r="K1918" s="15" t="str">
        <f t="shared" si="29"/>
        <v>deepmoat</v>
      </c>
      <c r="L1918" s="15" t="s">
        <v>14088</v>
      </c>
      <c r="M1918" s="15">
        <v>3</v>
      </c>
      <c r="N1918" s="15" t="s">
        <v>11223</v>
      </c>
      <c r="O1918" s="15" t="s">
        <v>2815</v>
      </c>
      <c r="P1918" s="15"/>
      <c r="Q1918" s="15" t="s">
        <v>11974</v>
      </c>
      <c r="R1918" s="15"/>
      <c r="S1918" s="15"/>
      <c r="T1918" s="15">
        <v>4</v>
      </c>
      <c r="U1918" s="15"/>
      <c r="V1918" s="15"/>
      <c r="W1918" s="15"/>
      <c r="X1918" s="15"/>
      <c r="Y1918" s="15"/>
      <c r="Z1918" s="15"/>
    </row>
    <row r="1919" spans="1:26" x14ac:dyDescent="0.25">
      <c r="A1919" s="15" t="s">
        <v>15320</v>
      </c>
      <c r="B1919" s="15">
        <v>1918</v>
      </c>
      <c r="C1919" s="15" t="s">
        <v>11277</v>
      </c>
      <c r="D1919" s="15" t="s">
        <v>11277</v>
      </c>
      <c r="E1919" s="15" t="s">
        <v>133</v>
      </c>
      <c r="F1919" s="15" t="s">
        <v>15315</v>
      </c>
      <c r="G1919" s="15" t="s">
        <v>11977</v>
      </c>
      <c r="H1919" s="15">
        <v>20</v>
      </c>
      <c r="I1919" s="15">
        <v>16</v>
      </c>
      <c r="J1919" s="15">
        <v>90</v>
      </c>
      <c r="K1919" s="15" t="str">
        <f t="shared" si="29"/>
        <v>deepmoat</v>
      </c>
      <c r="L1919" s="15" t="s">
        <v>14088</v>
      </c>
      <c r="M1919" s="15">
        <v>3</v>
      </c>
      <c r="N1919" s="15" t="s">
        <v>11223</v>
      </c>
      <c r="O1919" s="15" t="s">
        <v>2816</v>
      </c>
      <c r="P1919" s="15"/>
      <c r="Q1919" s="15" t="s">
        <v>11974</v>
      </c>
      <c r="R1919" s="15"/>
      <c r="S1919" s="15"/>
      <c r="T1919" s="15">
        <v>4</v>
      </c>
      <c r="U1919" s="15"/>
      <c r="V1919" s="15"/>
      <c r="W1919" s="15"/>
      <c r="X1919" s="15"/>
      <c r="Y1919" s="15"/>
      <c r="Z1919" s="15"/>
    </row>
    <row r="1920" spans="1:26" x14ac:dyDescent="0.25">
      <c r="A1920" s="15" t="s">
        <v>15321</v>
      </c>
      <c r="B1920" s="15">
        <v>1919</v>
      </c>
      <c r="C1920" s="15" t="s">
        <v>11277</v>
      </c>
      <c r="D1920" s="15" t="s">
        <v>11277</v>
      </c>
      <c r="E1920" s="15" t="s">
        <v>133</v>
      </c>
      <c r="F1920" s="15" t="s">
        <v>6685</v>
      </c>
      <c r="G1920" s="15" t="s">
        <v>11978</v>
      </c>
      <c r="H1920" s="15">
        <v>5</v>
      </c>
      <c r="I1920" s="15">
        <v>11</v>
      </c>
      <c r="J1920" s="15">
        <v>82</v>
      </c>
      <c r="K1920" s="15" t="str">
        <f t="shared" si="29"/>
        <v>meghaduta</v>
      </c>
      <c r="L1920" s="15" t="s">
        <v>11946</v>
      </c>
      <c r="M1920" s="15">
        <v>2</v>
      </c>
      <c r="N1920" s="15" t="s">
        <v>11223</v>
      </c>
      <c r="O1920" s="15"/>
      <c r="P1920" s="15"/>
      <c r="Q1920" s="15"/>
      <c r="R1920" s="15"/>
      <c r="S1920" s="15"/>
      <c r="T1920" s="15">
        <v>0</v>
      </c>
      <c r="U1920" s="15"/>
      <c r="V1920" s="15"/>
      <c r="W1920" s="15"/>
      <c r="X1920" s="15"/>
      <c r="Y1920" s="15"/>
      <c r="Z1920" s="15"/>
    </row>
    <row r="1921" spans="1:26" x14ac:dyDescent="0.25">
      <c r="A1921" s="15" t="s">
        <v>15322</v>
      </c>
      <c r="B1921" s="15">
        <v>1920</v>
      </c>
      <c r="C1921" s="15" t="s">
        <v>11277</v>
      </c>
      <c r="D1921" s="15" t="s">
        <v>11277</v>
      </c>
      <c r="E1921" s="15" t="s">
        <v>133</v>
      </c>
      <c r="F1921" s="15" t="s">
        <v>6685</v>
      </c>
      <c r="G1921" s="15" t="s">
        <v>11979</v>
      </c>
      <c r="H1921" s="15">
        <v>5</v>
      </c>
      <c r="I1921" s="15">
        <v>11</v>
      </c>
      <c r="J1921" s="15">
        <v>82</v>
      </c>
      <c r="K1921" s="15" t="str">
        <f t="shared" si="29"/>
        <v>meghaduta</v>
      </c>
      <c r="L1921" s="15" t="s">
        <v>11953</v>
      </c>
      <c r="M1921" s="15">
        <v>2</v>
      </c>
      <c r="N1921" s="15" t="s">
        <v>11223</v>
      </c>
      <c r="O1921" s="15"/>
      <c r="P1921" s="15"/>
      <c r="Q1921" s="15"/>
      <c r="R1921" s="15"/>
      <c r="S1921" s="15"/>
      <c r="T1921" s="15">
        <v>0</v>
      </c>
      <c r="U1921" s="15"/>
      <c r="V1921" s="15"/>
      <c r="W1921" s="15"/>
      <c r="X1921" s="15"/>
      <c r="Y1921" s="15"/>
      <c r="Z1921" s="15"/>
    </row>
    <row r="1922" spans="1:26" x14ac:dyDescent="0.25">
      <c r="A1922" s="15" t="s">
        <v>15323</v>
      </c>
      <c r="B1922" s="15">
        <v>1921</v>
      </c>
      <c r="C1922" s="15" t="s">
        <v>11277</v>
      </c>
      <c r="D1922" s="15" t="s">
        <v>11277</v>
      </c>
      <c r="E1922" s="15" t="s">
        <v>133</v>
      </c>
      <c r="F1922" s="15" t="s">
        <v>6685</v>
      </c>
      <c r="G1922" s="15" t="s">
        <v>11980</v>
      </c>
      <c r="H1922" s="15">
        <v>5</v>
      </c>
      <c r="I1922" s="15">
        <v>11</v>
      </c>
      <c r="J1922" s="15">
        <v>83</v>
      </c>
      <c r="K1922" s="15" t="str">
        <f t="shared" ref="K1922:K1985" si="30">LOWER(SUBSTITUTE(SUBSTITUTE(SUBSTITUTE(SUBSTITUTE(SUBSTITUTE(F1922," ",""),"(",""),")",""),"'",""),"-",""))</f>
        <v>meghaduta</v>
      </c>
      <c r="L1922" s="15" t="s">
        <v>11946</v>
      </c>
      <c r="M1922" s="15">
        <v>2</v>
      </c>
      <c r="N1922" s="15" t="s">
        <v>11223</v>
      </c>
      <c r="O1922" s="15"/>
      <c r="P1922" s="15"/>
      <c r="Q1922" s="15"/>
      <c r="R1922" s="15"/>
      <c r="S1922" s="15"/>
      <c r="T1922" s="15">
        <v>0</v>
      </c>
      <c r="U1922" s="15"/>
      <c r="V1922" s="15"/>
      <c r="W1922" s="15"/>
      <c r="X1922" s="15"/>
      <c r="Y1922" s="15"/>
      <c r="Z1922" s="15"/>
    </row>
    <row r="1923" spans="1:26" x14ac:dyDescent="0.25">
      <c r="A1923" s="15" t="s">
        <v>15324</v>
      </c>
      <c r="B1923" s="15">
        <v>1922</v>
      </c>
      <c r="C1923" s="15" t="s">
        <v>11277</v>
      </c>
      <c r="D1923" s="15" t="s">
        <v>11277</v>
      </c>
      <c r="E1923" s="15" t="s">
        <v>133</v>
      </c>
      <c r="F1923" s="15" t="s">
        <v>6685</v>
      </c>
      <c r="G1923" s="15" t="s">
        <v>11981</v>
      </c>
      <c r="H1923" s="15">
        <v>5</v>
      </c>
      <c r="I1923" s="15">
        <v>11</v>
      </c>
      <c r="J1923" s="15">
        <v>84</v>
      </c>
      <c r="K1923" s="15" t="str">
        <f t="shared" si="30"/>
        <v>meghaduta</v>
      </c>
      <c r="L1923" s="15" t="s">
        <v>11948</v>
      </c>
      <c r="M1923" s="15">
        <v>2</v>
      </c>
      <c r="N1923" s="15" t="s">
        <v>11223</v>
      </c>
      <c r="O1923" s="15"/>
      <c r="P1923" s="15"/>
      <c r="Q1923" s="15"/>
      <c r="R1923" s="15"/>
      <c r="S1923" s="15"/>
      <c r="T1923" s="15">
        <v>0</v>
      </c>
      <c r="U1923" s="15"/>
      <c r="V1923" s="15"/>
      <c r="W1923" s="15"/>
      <c r="X1923" s="15"/>
      <c r="Y1923" s="15"/>
      <c r="Z1923" s="15"/>
    </row>
    <row r="1924" spans="1:26" x14ac:dyDescent="0.25">
      <c r="A1924" s="15" t="s">
        <v>15325</v>
      </c>
      <c r="B1924" s="15">
        <v>1923</v>
      </c>
      <c r="C1924" s="15" t="s">
        <v>11277</v>
      </c>
      <c r="D1924" s="15" t="s">
        <v>11277</v>
      </c>
      <c r="E1924" s="15" t="s">
        <v>133</v>
      </c>
      <c r="F1924" s="15" t="s">
        <v>6685</v>
      </c>
      <c r="G1924" s="15" t="s">
        <v>11982</v>
      </c>
      <c r="H1924" s="15">
        <v>5</v>
      </c>
      <c r="I1924" s="15">
        <v>11</v>
      </c>
      <c r="J1924" s="15">
        <v>90</v>
      </c>
      <c r="K1924" s="15" t="str">
        <f t="shared" si="30"/>
        <v>meghaduta</v>
      </c>
      <c r="L1924" s="15" t="s">
        <v>11948</v>
      </c>
      <c r="M1924" s="15">
        <v>3</v>
      </c>
      <c r="N1924" s="15" t="s">
        <v>11223</v>
      </c>
      <c r="O1924" s="15" t="s">
        <v>2810</v>
      </c>
      <c r="P1924" s="15"/>
      <c r="Q1924" s="15"/>
      <c r="R1924" s="15"/>
      <c r="S1924" s="15"/>
      <c r="T1924" s="15">
        <v>0</v>
      </c>
      <c r="U1924" s="15"/>
      <c r="V1924" s="15"/>
      <c r="W1924" s="15"/>
      <c r="X1924" s="15"/>
      <c r="Y1924" s="15"/>
      <c r="Z1924" s="15"/>
    </row>
    <row r="1925" spans="1:26" x14ac:dyDescent="0.25">
      <c r="A1925" s="15" t="s">
        <v>15326</v>
      </c>
      <c r="B1925" s="15">
        <v>1924</v>
      </c>
      <c r="C1925" s="15" t="s">
        <v>11277</v>
      </c>
      <c r="D1925" s="15" t="s">
        <v>11277</v>
      </c>
      <c r="E1925" s="15" t="s">
        <v>133</v>
      </c>
      <c r="F1925" s="15" t="s">
        <v>2403</v>
      </c>
      <c r="G1925" s="15" t="s">
        <v>11983</v>
      </c>
      <c r="H1925" s="15">
        <v>27</v>
      </c>
      <c r="I1925" s="15">
        <v>35</v>
      </c>
      <c r="J1925" s="15">
        <v>81</v>
      </c>
      <c r="K1925" s="15" t="str">
        <f t="shared" si="30"/>
        <v>yedlihmad</v>
      </c>
      <c r="L1925" s="15" t="s">
        <v>11938</v>
      </c>
      <c r="M1925" s="15">
        <v>1</v>
      </c>
      <c r="N1925" s="15" t="s">
        <v>11222</v>
      </c>
      <c r="O1925" s="15"/>
      <c r="P1925" s="15"/>
      <c r="Q1925" s="15"/>
      <c r="R1925" s="15"/>
      <c r="S1925" s="15"/>
      <c r="T1925" s="15">
        <v>0</v>
      </c>
      <c r="U1925" s="15"/>
      <c r="V1925" s="15"/>
      <c r="W1925" s="15"/>
      <c r="X1925" s="15"/>
      <c r="Y1925" s="15"/>
      <c r="Z1925" s="15"/>
    </row>
    <row r="1926" spans="1:26" x14ac:dyDescent="0.25">
      <c r="A1926" s="15" t="s">
        <v>15327</v>
      </c>
      <c r="B1926" s="15">
        <v>1925</v>
      </c>
      <c r="C1926" s="15" t="s">
        <v>11277</v>
      </c>
      <c r="D1926" s="15" t="s">
        <v>11277</v>
      </c>
      <c r="E1926" s="15" t="s">
        <v>133</v>
      </c>
      <c r="F1926" s="15" t="s">
        <v>2403</v>
      </c>
      <c r="G1926" s="15" t="s">
        <v>11984</v>
      </c>
      <c r="H1926" s="15">
        <v>27</v>
      </c>
      <c r="I1926" s="15">
        <v>35</v>
      </c>
      <c r="J1926" s="15">
        <v>82</v>
      </c>
      <c r="K1926" s="15" t="str">
        <f t="shared" si="30"/>
        <v>yedlihmad</v>
      </c>
      <c r="L1926" s="15" t="s">
        <v>11938</v>
      </c>
      <c r="M1926" s="15">
        <v>1</v>
      </c>
      <c r="N1926" s="15" t="s">
        <v>11222</v>
      </c>
      <c r="O1926" s="15"/>
      <c r="P1926" s="15"/>
      <c r="Q1926" s="15"/>
      <c r="R1926" s="15"/>
      <c r="S1926" s="15"/>
      <c r="T1926" s="15">
        <v>0</v>
      </c>
      <c r="U1926" s="15"/>
      <c r="V1926" s="15"/>
      <c r="W1926" s="15"/>
      <c r="X1926" s="15"/>
      <c r="Y1926" s="15"/>
      <c r="Z1926" s="15"/>
    </row>
    <row r="1927" spans="1:26" x14ac:dyDescent="0.25">
      <c r="A1927" s="15" t="s">
        <v>15328</v>
      </c>
      <c r="B1927" s="15">
        <v>1926</v>
      </c>
      <c r="C1927" s="15" t="s">
        <v>11277</v>
      </c>
      <c r="D1927" s="15" t="s">
        <v>11277</v>
      </c>
      <c r="E1927" s="15" t="s">
        <v>133</v>
      </c>
      <c r="F1927" s="15" t="s">
        <v>2403</v>
      </c>
      <c r="G1927" s="15" t="s">
        <v>11985</v>
      </c>
      <c r="H1927" s="15">
        <v>27</v>
      </c>
      <c r="I1927" s="15">
        <v>35</v>
      </c>
      <c r="J1927" s="15">
        <v>83</v>
      </c>
      <c r="K1927" s="15" t="str">
        <f t="shared" si="30"/>
        <v>yedlihmad</v>
      </c>
      <c r="L1927" s="15" t="s">
        <v>11938</v>
      </c>
      <c r="M1927" s="15">
        <v>2</v>
      </c>
      <c r="N1927" s="15" t="s">
        <v>11223</v>
      </c>
      <c r="O1927" s="15"/>
      <c r="P1927" s="15"/>
      <c r="Q1927" s="15"/>
      <c r="R1927" s="15"/>
      <c r="S1927" s="15"/>
      <c r="T1927" s="15">
        <v>0</v>
      </c>
      <c r="U1927" s="15"/>
      <c r="V1927" s="15"/>
      <c r="W1927" s="15"/>
      <c r="X1927" s="15"/>
      <c r="Y1927" s="15"/>
      <c r="Z1927" s="15"/>
    </row>
    <row r="1928" spans="1:26" x14ac:dyDescent="0.25">
      <c r="A1928" s="15" t="s">
        <v>15329</v>
      </c>
      <c r="B1928" s="15">
        <v>1927</v>
      </c>
      <c r="C1928" s="15" t="s">
        <v>11277</v>
      </c>
      <c r="D1928" s="15" t="s">
        <v>11277</v>
      </c>
      <c r="E1928" s="15" t="s">
        <v>133</v>
      </c>
      <c r="F1928" s="15" t="s">
        <v>2403</v>
      </c>
      <c r="G1928" s="15" t="s">
        <v>11986</v>
      </c>
      <c r="H1928" s="15">
        <v>27</v>
      </c>
      <c r="I1928" s="15">
        <v>35</v>
      </c>
      <c r="J1928" s="15">
        <v>84</v>
      </c>
      <c r="K1928" s="15" t="str">
        <f t="shared" si="30"/>
        <v>yedlihmad</v>
      </c>
      <c r="L1928" s="15" t="s">
        <v>11944</v>
      </c>
      <c r="M1928" s="15">
        <v>2</v>
      </c>
      <c r="N1928" s="15" t="s">
        <v>11223</v>
      </c>
      <c r="O1928" s="15"/>
      <c r="P1928" s="15"/>
      <c r="Q1928" s="15"/>
      <c r="R1928" s="15"/>
      <c r="S1928" s="15"/>
      <c r="T1928" s="15">
        <v>0</v>
      </c>
      <c r="U1928" s="15"/>
      <c r="V1928" s="15"/>
      <c r="W1928" s="15"/>
      <c r="X1928" s="15"/>
      <c r="Y1928" s="15"/>
      <c r="Z1928" s="15"/>
    </row>
    <row r="1929" spans="1:26" x14ac:dyDescent="0.25">
      <c r="A1929" s="15" t="s">
        <v>15330</v>
      </c>
      <c r="B1929" s="15">
        <v>1928</v>
      </c>
      <c r="C1929" s="15" t="s">
        <v>11277</v>
      </c>
      <c r="D1929" s="15" t="s">
        <v>11277</v>
      </c>
      <c r="E1929" s="15" t="s">
        <v>133</v>
      </c>
      <c r="F1929" s="15" t="s">
        <v>2403</v>
      </c>
      <c r="G1929" s="15" t="s">
        <v>11987</v>
      </c>
      <c r="H1929" s="15">
        <v>27</v>
      </c>
      <c r="I1929" s="15">
        <v>35</v>
      </c>
      <c r="J1929" s="15">
        <v>90</v>
      </c>
      <c r="K1929" s="15" t="str">
        <f t="shared" si="30"/>
        <v>yedlihmad</v>
      </c>
      <c r="L1929" s="15" t="s">
        <v>11938</v>
      </c>
      <c r="M1929" s="15">
        <v>3</v>
      </c>
      <c r="N1929" s="15" t="s">
        <v>11223</v>
      </c>
      <c r="O1929" s="15"/>
      <c r="P1929" s="15"/>
      <c r="Q1929" s="15"/>
      <c r="R1929" s="15"/>
      <c r="S1929" s="15"/>
      <c r="T1929" s="15">
        <v>2</v>
      </c>
      <c r="U1929" s="15" t="s">
        <v>5893</v>
      </c>
      <c r="V1929" s="15" t="s">
        <v>5892</v>
      </c>
      <c r="W1929" s="15"/>
      <c r="X1929" s="15" t="s">
        <v>5914</v>
      </c>
      <c r="Y1929" s="15"/>
      <c r="Z1929" s="15"/>
    </row>
    <row r="1930" spans="1:26" x14ac:dyDescent="0.25">
      <c r="A1930" s="15" t="s">
        <v>15331</v>
      </c>
      <c r="B1930" s="15">
        <v>1929</v>
      </c>
      <c r="C1930" s="15" t="s">
        <v>11277</v>
      </c>
      <c r="D1930" s="15" t="s">
        <v>11277</v>
      </c>
      <c r="E1930" s="15" t="s">
        <v>133</v>
      </c>
      <c r="F1930" s="15" t="s">
        <v>15332</v>
      </c>
      <c r="G1930" s="15" t="s">
        <v>11983</v>
      </c>
      <c r="H1930" s="15">
        <v>9</v>
      </c>
      <c r="I1930" s="15">
        <v>33</v>
      </c>
      <c r="J1930" s="15">
        <v>81</v>
      </c>
      <c r="K1930" s="15" t="str">
        <f t="shared" si="30"/>
        <v>thethavnairiancoast</v>
      </c>
      <c r="L1930" s="15" t="s">
        <v>11938</v>
      </c>
      <c r="M1930" s="15">
        <v>1</v>
      </c>
      <c r="N1930" s="15" t="s">
        <v>11222</v>
      </c>
      <c r="O1930" s="15"/>
      <c r="P1930" s="15"/>
      <c r="Q1930" s="15"/>
      <c r="R1930" s="15"/>
      <c r="S1930" s="15"/>
      <c r="T1930" s="15">
        <v>0</v>
      </c>
      <c r="U1930" s="15"/>
      <c r="V1930" s="15"/>
      <c r="W1930" s="15"/>
      <c r="X1930" s="15"/>
      <c r="Y1930" s="15"/>
      <c r="Z1930" s="15"/>
    </row>
    <row r="1931" spans="1:26" x14ac:dyDescent="0.25">
      <c r="A1931" s="15" t="s">
        <v>15333</v>
      </c>
      <c r="B1931" s="15">
        <v>1930</v>
      </c>
      <c r="C1931" s="15" t="s">
        <v>11277</v>
      </c>
      <c r="D1931" s="15" t="s">
        <v>11277</v>
      </c>
      <c r="E1931" s="15" t="s">
        <v>133</v>
      </c>
      <c r="F1931" s="15" t="s">
        <v>15332</v>
      </c>
      <c r="G1931" s="15" t="s">
        <v>11984</v>
      </c>
      <c r="H1931" s="15">
        <v>9</v>
      </c>
      <c r="I1931" s="15">
        <v>33</v>
      </c>
      <c r="J1931" s="15">
        <v>82</v>
      </c>
      <c r="K1931" s="15" t="str">
        <f t="shared" si="30"/>
        <v>thethavnairiancoast</v>
      </c>
      <c r="L1931" s="15" t="s">
        <v>11938</v>
      </c>
      <c r="M1931" s="15">
        <v>1</v>
      </c>
      <c r="N1931" s="15" t="s">
        <v>11222</v>
      </c>
      <c r="O1931" s="15"/>
      <c r="P1931" s="15"/>
      <c r="Q1931" s="15"/>
      <c r="R1931" s="15"/>
      <c r="S1931" s="15"/>
      <c r="T1931" s="15">
        <v>0</v>
      </c>
      <c r="U1931" s="15"/>
      <c r="V1931" s="15"/>
      <c r="W1931" s="15"/>
      <c r="X1931" s="15"/>
      <c r="Y1931" s="15"/>
      <c r="Z1931" s="15"/>
    </row>
    <row r="1932" spans="1:26" x14ac:dyDescent="0.25">
      <c r="A1932" s="15" t="s">
        <v>15334</v>
      </c>
      <c r="B1932" s="15">
        <v>1931</v>
      </c>
      <c r="C1932" s="15" t="s">
        <v>11277</v>
      </c>
      <c r="D1932" s="15" t="s">
        <v>11277</v>
      </c>
      <c r="E1932" s="15" t="s">
        <v>133</v>
      </c>
      <c r="F1932" s="15" t="s">
        <v>15332</v>
      </c>
      <c r="G1932" s="15" t="s">
        <v>11988</v>
      </c>
      <c r="H1932" s="15">
        <v>9</v>
      </c>
      <c r="I1932" s="15">
        <v>33</v>
      </c>
      <c r="J1932" s="15">
        <v>83</v>
      </c>
      <c r="K1932" s="15" t="str">
        <f t="shared" si="30"/>
        <v>thethavnairiancoast</v>
      </c>
      <c r="L1932" s="15" t="s">
        <v>11944</v>
      </c>
      <c r="M1932" s="15">
        <v>2</v>
      </c>
      <c r="N1932" s="15" t="s">
        <v>11223</v>
      </c>
      <c r="O1932" s="15"/>
      <c r="P1932" s="15"/>
      <c r="Q1932" s="15" t="s">
        <v>11989</v>
      </c>
      <c r="R1932" s="15"/>
      <c r="S1932" s="15"/>
      <c r="T1932" s="15">
        <v>0</v>
      </c>
      <c r="U1932" s="15"/>
      <c r="V1932" s="15"/>
      <c r="W1932" s="15"/>
      <c r="X1932" s="15"/>
      <c r="Y1932" s="15"/>
      <c r="Z1932" s="15"/>
    </row>
    <row r="1933" spans="1:26" x14ac:dyDescent="0.25">
      <c r="A1933" s="15" t="s">
        <v>15335</v>
      </c>
      <c r="B1933" s="15">
        <v>1932</v>
      </c>
      <c r="C1933" s="15" t="s">
        <v>11277</v>
      </c>
      <c r="D1933" s="15" t="s">
        <v>11277</v>
      </c>
      <c r="E1933" s="15" t="s">
        <v>133</v>
      </c>
      <c r="F1933" s="15" t="s">
        <v>15332</v>
      </c>
      <c r="G1933" s="15" t="s">
        <v>11989</v>
      </c>
      <c r="H1933" s="15">
        <v>9</v>
      </c>
      <c r="I1933" s="15">
        <v>33</v>
      </c>
      <c r="J1933" s="15">
        <v>83</v>
      </c>
      <c r="K1933" s="15" t="str">
        <f t="shared" si="30"/>
        <v>thethavnairiancoast</v>
      </c>
      <c r="L1933" s="15" t="s">
        <v>11938</v>
      </c>
      <c r="M1933" s="15">
        <v>2</v>
      </c>
      <c r="N1933" s="15" t="s">
        <v>11223</v>
      </c>
      <c r="O1933" s="15"/>
      <c r="P1933" s="15"/>
      <c r="Q1933" s="15" t="s">
        <v>11989</v>
      </c>
      <c r="R1933" s="15"/>
      <c r="S1933" s="15"/>
      <c r="T1933" s="15">
        <v>0</v>
      </c>
      <c r="U1933" s="15"/>
      <c r="V1933" s="15"/>
      <c r="W1933" s="15"/>
      <c r="X1933" s="15"/>
      <c r="Y1933" s="15"/>
      <c r="Z1933" s="15"/>
    </row>
    <row r="1934" spans="1:26" x14ac:dyDescent="0.25">
      <c r="A1934" s="15" t="s">
        <v>15336</v>
      </c>
      <c r="B1934" s="15">
        <v>1933</v>
      </c>
      <c r="C1934" s="15" t="s">
        <v>11277</v>
      </c>
      <c r="D1934" s="15" t="s">
        <v>11277</v>
      </c>
      <c r="E1934" s="15" t="s">
        <v>133</v>
      </c>
      <c r="F1934" s="15" t="s">
        <v>15332</v>
      </c>
      <c r="G1934" s="15" t="s">
        <v>11990</v>
      </c>
      <c r="H1934" s="15">
        <v>9</v>
      </c>
      <c r="I1934" s="15">
        <v>33</v>
      </c>
      <c r="J1934" s="15">
        <v>84</v>
      </c>
      <c r="K1934" s="15" t="str">
        <f t="shared" si="30"/>
        <v>thethavnairiancoast</v>
      </c>
      <c r="L1934" s="15" t="s">
        <v>11944</v>
      </c>
      <c r="M1934" s="15">
        <v>2</v>
      </c>
      <c r="N1934" s="15" t="s">
        <v>11223</v>
      </c>
      <c r="O1934" s="15"/>
      <c r="P1934" s="15"/>
      <c r="Q1934" s="15" t="s">
        <v>11989</v>
      </c>
      <c r="R1934" s="15"/>
      <c r="S1934" s="15"/>
      <c r="T1934" s="15">
        <v>0</v>
      </c>
      <c r="U1934" s="15"/>
      <c r="V1934" s="15"/>
      <c r="W1934" s="15"/>
      <c r="X1934" s="15"/>
      <c r="Y1934" s="15"/>
      <c r="Z1934" s="15"/>
    </row>
    <row r="1935" spans="1:26" x14ac:dyDescent="0.25">
      <c r="A1935" s="15" t="s">
        <v>15337</v>
      </c>
      <c r="B1935" s="15">
        <v>1934</v>
      </c>
      <c r="C1935" s="15" t="s">
        <v>11277</v>
      </c>
      <c r="D1935" s="15" t="s">
        <v>11277</v>
      </c>
      <c r="E1935" s="15" t="s">
        <v>133</v>
      </c>
      <c r="F1935" s="15" t="s">
        <v>15332</v>
      </c>
      <c r="G1935" s="15" t="s">
        <v>11991</v>
      </c>
      <c r="H1935" s="15">
        <v>9</v>
      </c>
      <c r="I1935" s="15">
        <v>33</v>
      </c>
      <c r="J1935" s="15">
        <v>83</v>
      </c>
      <c r="K1935" s="15" t="str">
        <f t="shared" si="30"/>
        <v>thethavnairiancoast</v>
      </c>
      <c r="L1935" s="15" t="s">
        <v>11560</v>
      </c>
      <c r="M1935" s="15">
        <v>1</v>
      </c>
      <c r="N1935" s="15" t="s">
        <v>11222</v>
      </c>
      <c r="O1935" s="15"/>
      <c r="P1935" s="15"/>
      <c r="Q1935" s="15"/>
      <c r="R1935" s="15"/>
      <c r="S1935" s="15"/>
      <c r="T1935" s="15">
        <v>0</v>
      </c>
      <c r="U1935" s="15"/>
      <c r="V1935" s="15"/>
      <c r="W1935" s="15"/>
      <c r="X1935" s="15"/>
      <c r="Y1935" s="15"/>
      <c r="Z1935" s="15"/>
    </row>
    <row r="1936" spans="1:26" x14ac:dyDescent="0.25">
      <c r="A1936" s="15" t="s">
        <v>15338</v>
      </c>
      <c r="B1936" s="15">
        <v>1935</v>
      </c>
      <c r="C1936" s="15" t="s">
        <v>11277</v>
      </c>
      <c r="D1936" s="15" t="s">
        <v>11277</v>
      </c>
      <c r="E1936" s="15" t="s">
        <v>133</v>
      </c>
      <c r="F1936" s="15" t="s">
        <v>15332</v>
      </c>
      <c r="G1936" s="15" t="s">
        <v>11992</v>
      </c>
      <c r="H1936" s="15">
        <v>9</v>
      </c>
      <c r="I1936" s="15">
        <v>33</v>
      </c>
      <c r="J1936" s="15">
        <v>90</v>
      </c>
      <c r="K1936" s="15" t="str">
        <f t="shared" si="30"/>
        <v>thethavnairiancoast</v>
      </c>
      <c r="L1936" s="15" t="s">
        <v>11944</v>
      </c>
      <c r="M1936" s="15">
        <v>1</v>
      </c>
      <c r="N1936" s="15" t="s">
        <v>11222</v>
      </c>
      <c r="O1936" s="15"/>
      <c r="P1936" s="15"/>
      <c r="Q1936" s="15"/>
      <c r="R1936" s="15"/>
      <c r="S1936" s="15"/>
      <c r="T1936" s="15">
        <v>0</v>
      </c>
      <c r="U1936" s="15"/>
      <c r="V1936" s="15"/>
      <c r="W1936" s="15"/>
      <c r="X1936" s="15"/>
      <c r="Y1936" s="15"/>
      <c r="Z1936" s="15"/>
    </row>
    <row r="1937" spans="1:26" x14ac:dyDescent="0.25">
      <c r="A1937" s="15" t="s">
        <v>15339</v>
      </c>
      <c r="B1937" s="15">
        <v>1936</v>
      </c>
      <c r="C1937" s="15" t="s">
        <v>11277</v>
      </c>
      <c r="D1937" s="15" t="s">
        <v>11277</v>
      </c>
      <c r="E1937" s="15" t="s">
        <v>133</v>
      </c>
      <c r="F1937" s="15" t="s">
        <v>15332</v>
      </c>
      <c r="G1937" s="15" t="s">
        <v>11993</v>
      </c>
      <c r="H1937" s="15">
        <v>9</v>
      </c>
      <c r="I1937" s="15">
        <v>33</v>
      </c>
      <c r="J1937" s="15">
        <v>90</v>
      </c>
      <c r="K1937" s="15" t="str">
        <f t="shared" si="30"/>
        <v>thethavnairiancoast</v>
      </c>
      <c r="L1937" s="15" t="s">
        <v>14088</v>
      </c>
      <c r="M1937" s="15">
        <v>3</v>
      </c>
      <c r="N1937" s="15" t="s">
        <v>11223</v>
      </c>
      <c r="O1937" s="15" t="s">
        <v>2805</v>
      </c>
      <c r="P1937" s="15"/>
      <c r="Q1937" s="15" t="s">
        <v>11989</v>
      </c>
      <c r="R1937" s="15"/>
      <c r="S1937" s="15"/>
      <c r="T1937" s="15">
        <v>4</v>
      </c>
      <c r="U1937" s="15"/>
      <c r="V1937" s="15"/>
      <c r="W1937" s="15"/>
      <c r="X1937" s="15"/>
      <c r="Y1937" s="15"/>
      <c r="Z1937" s="15"/>
    </row>
    <row r="1938" spans="1:26" x14ac:dyDescent="0.25">
      <c r="A1938" s="15" t="s">
        <v>15340</v>
      </c>
      <c r="B1938" s="15">
        <v>1937</v>
      </c>
      <c r="C1938" s="15" t="s">
        <v>11277</v>
      </c>
      <c r="D1938" s="15" t="s">
        <v>11277</v>
      </c>
      <c r="E1938" s="15" t="s">
        <v>133</v>
      </c>
      <c r="F1938" s="15" t="s">
        <v>15341</v>
      </c>
      <c r="G1938" s="15" t="s">
        <v>11983</v>
      </c>
      <c r="H1938" s="15">
        <v>10.199999999999999</v>
      </c>
      <c r="I1938" s="15">
        <v>22.6</v>
      </c>
      <c r="J1938" s="15">
        <v>81</v>
      </c>
      <c r="K1938" s="15" t="str">
        <f t="shared" si="30"/>
        <v>thegreatrunoff</v>
      </c>
      <c r="L1938" s="15" t="s">
        <v>11938</v>
      </c>
      <c r="M1938" s="15">
        <v>1</v>
      </c>
      <c r="N1938" s="15" t="s">
        <v>11222</v>
      </c>
      <c r="O1938" s="15"/>
      <c r="P1938" s="15"/>
      <c r="Q1938" s="15"/>
      <c r="R1938" s="15"/>
      <c r="S1938" s="15"/>
      <c r="T1938" s="15">
        <v>0</v>
      </c>
      <c r="U1938" s="15"/>
      <c r="V1938" s="15"/>
      <c r="W1938" s="15"/>
      <c r="X1938" s="15"/>
      <c r="Y1938" s="15"/>
      <c r="Z1938" s="15"/>
    </row>
    <row r="1939" spans="1:26" x14ac:dyDescent="0.25">
      <c r="A1939" s="15" t="s">
        <v>15342</v>
      </c>
      <c r="B1939" s="15">
        <v>1938</v>
      </c>
      <c r="C1939" s="15" t="s">
        <v>11277</v>
      </c>
      <c r="D1939" s="15" t="s">
        <v>11277</v>
      </c>
      <c r="E1939" s="15" t="s">
        <v>133</v>
      </c>
      <c r="F1939" s="15" t="s">
        <v>15341</v>
      </c>
      <c r="G1939" s="15" t="s">
        <v>11984</v>
      </c>
      <c r="H1939" s="15">
        <v>10.199999999999999</v>
      </c>
      <c r="I1939" s="15">
        <v>22.6</v>
      </c>
      <c r="J1939" s="15">
        <v>82</v>
      </c>
      <c r="K1939" s="15" t="str">
        <f t="shared" si="30"/>
        <v>thegreatrunoff</v>
      </c>
      <c r="L1939" s="15" t="s">
        <v>11938</v>
      </c>
      <c r="M1939" s="15">
        <v>1</v>
      </c>
      <c r="N1939" s="15" t="s">
        <v>11222</v>
      </c>
      <c r="O1939" s="15"/>
      <c r="P1939" s="15"/>
      <c r="Q1939" s="15"/>
      <c r="R1939" s="15"/>
      <c r="S1939" s="15"/>
      <c r="T1939" s="15">
        <v>0</v>
      </c>
      <c r="U1939" s="15"/>
      <c r="V1939" s="15"/>
      <c r="W1939" s="15"/>
      <c r="X1939" s="15"/>
      <c r="Y1939" s="15"/>
      <c r="Z1939" s="15"/>
    </row>
    <row r="1940" spans="1:26" x14ac:dyDescent="0.25">
      <c r="A1940" s="15" t="s">
        <v>15343</v>
      </c>
      <c r="B1940" s="15">
        <v>1939</v>
      </c>
      <c r="C1940" s="15" t="s">
        <v>11277</v>
      </c>
      <c r="D1940" s="15" t="s">
        <v>11277</v>
      </c>
      <c r="E1940" s="15" t="s">
        <v>133</v>
      </c>
      <c r="F1940" s="15" t="s">
        <v>15341</v>
      </c>
      <c r="G1940" s="15" t="s">
        <v>11994</v>
      </c>
      <c r="H1940" s="15">
        <v>10.199999999999999</v>
      </c>
      <c r="I1940" s="15">
        <v>22.6</v>
      </c>
      <c r="J1940" s="15">
        <v>81</v>
      </c>
      <c r="K1940" s="15" t="str">
        <f t="shared" si="30"/>
        <v>thegreatrunoff</v>
      </c>
      <c r="L1940" s="15" t="s">
        <v>11938</v>
      </c>
      <c r="M1940" s="15">
        <v>2</v>
      </c>
      <c r="N1940" s="15" t="s">
        <v>11223</v>
      </c>
      <c r="O1940" s="15"/>
      <c r="P1940" s="15"/>
      <c r="Q1940" s="15"/>
      <c r="R1940" s="15"/>
      <c r="S1940" s="15"/>
      <c r="T1940" s="15">
        <v>0</v>
      </c>
      <c r="U1940" s="15"/>
      <c r="V1940" s="15"/>
      <c r="W1940" s="15"/>
      <c r="X1940" s="15"/>
      <c r="Y1940" s="15"/>
      <c r="Z1940" s="15"/>
    </row>
    <row r="1941" spans="1:26" x14ac:dyDescent="0.25">
      <c r="A1941" s="15" t="s">
        <v>15344</v>
      </c>
      <c r="B1941" s="15">
        <v>1940</v>
      </c>
      <c r="C1941" s="15" t="s">
        <v>11277</v>
      </c>
      <c r="D1941" s="15" t="s">
        <v>11277</v>
      </c>
      <c r="E1941" s="15" t="s">
        <v>133</v>
      </c>
      <c r="F1941" s="15" t="s">
        <v>15341</v>
      </c>
      <c r="G1941" s="15" t="s">
        <v>11995</v>
      </c>
      <c r="H1941" s="15">
        <v>10.199999999999999</v>
      </c>
      <c r="I1941" s="15">
        <v>22.6</v>
      </c>
      <c r="J1941" s="15">
        <v>85</v>
      </c>
      <c r="K1941" s="15" t="str">
        <f t="shared" si="30"/>
        <v>thegreatrunoff</v>
      </c>
      <c r="L1941" s="15" t="s">
        <v>11938</v>
      </c>
      <c r="M1941" s="15">
        <v>2</v>
      </c>
      <c r="N1941" s="15" t="s">
        <v>11223</v>
      </c>
      <c r="O1941" s="15"/>
      <c r="P1941" s="15"/>
      <c r="Q1941" s="15"/>
      <c r="R1941" s="15"/>
      <c r="S1941" s="15"/>
      <c r="T1941" s="15">
        <v>0</v>
      </c>
      <c r="U1941" s="15"/>
      <c r="V1941" s="15"/>
      <c r="W1941" s="15"/>
      <c r="X1941" s="15"/>
      <c r="Y1941" s="15"/>
      <c r="Z1941" s="15"/>
    </row>
    <row r="1942" spans="1:26" x14ac:dyDescent="0.25">
      <c r="A1942" s="15" t="s">
        <v>15345</v>
      </c>
      <c r="B1942" s="15">
        <v>1941</v>
      </c>
      <c r="C1942" s="15" t="s">
        <v>11277</v>
      </c>
      <c r="D1942" s="15" t="s">
        <v>11277</v>
      </c>
      <c r="E1942" s="15" t="s">
        <v>133</v>
      </c>
      <c r="F1942" s="15" t="s">
        <v>15341</v>
      </c>
      <c r="G1942" s="15" t="s">
        <v>11996</v>
      </c>
      <c r="H1942" s="15">
        <v>10.199999999999999</v>
      </c>
      <c r="I1942" s="15">
        <v>22.6</v>
      </c>
      <c r="J1942" s="15">
        <v>85</v>
      </c>
      <c r="K1942" s="15" t="str">
        <f t="shared" si="30"/>
        <v>thegreatrunoff</v>
      </c>
      <c r="L1942" s="15" t="s">
        <v>11560</v>
      </c>
      <c r="M1942" s="15">
        <v>2</v>
      </c>
      <c r="N1942" s="15" t="s">
        <v>11223</v>
      </c>
      <c r="O1942" s="15"/>
      <c r="P1942" s="15"/>
      <c r="Q1942" s="15"/>
      <c r="R1942" s="15"/>
      <c r="S1942" s="15"/>
      <c r="T1942" s="15">
        <v>0</v>
      </c>
      <c r="U1942" s="15"/>
      <c r="V1942" s="15"/>
      <c r="W1942" s="15"/>
      <c r="X1942" s="15"/>
      <c r="Y1942" s="15"/>
      <c r="Z1942" s="15"/>
    </row>
    <row r="1943" spans="1:26" x14ac:dyDescent="0.25">
      <c r="A1943" s="15" t="s">
        <v>15346</v>
      </c>
      <c r="B1943" s="15">
        <v>1942</v>
      </c>
      <c r="C1943" s="15" t="s">
        <v>11277</v>
      </c>
      <c r="D1943" s="15" t="s">
        <v>11277</v>
      </c>
      <c r="E1943" s="15" t="s">
        <v>133</v>
      </c>
      <c r="F1943" s="15" t="s">
        <v>15341</v>
      </c>
      <c r="G1943" s="15" t="s">
        <v>11997</v>
      </c>
      <c r="H1943" s="15">
        <v>10.199999999999999</v>
      </c>
      <c r="I1943" s="15">
        <v>22.6</v>
      </c>
      <c r="J1943" s="15">
        <v>90</v>
      </c>
      <c r="K1943" s="15" t="str">
        <f t="shared" si="30"/>
        <v>thegreatrunoff</v>
      </c>
      <c r="L1943" s="15" t="s">
        <v>11938</v>
      </c>
      <c r="M1943" s="15">
        <v>3</v>
      </c>
      <c r="N1943" s="15" t="s">
        <v>11223</v>
      </c>
      <c r="O1943" s="15" t="s">
        <v>2825</v>
      </c>
      <c r="P1943" s="15"/>
      <c r="Q1943" s="15"/>
      <c r="R1943" s="15"/>
      <c r="S1943" s="15"/>
      <c r="T1943" s="15">
        <v>3</v>
      </c>
      <c r="U1943" s="15" t="s">
        <v>5908</v>
      </c>
      <c r="V1943" s="15"/>
      <c r="W1943" s="15"/>
      <c r="X1943" s="15" t="s">
        <v>5893</v>
      </c>
      <c r="Y1943" s="15"/>
      <c r="Z1943" s="15"/>
    </row>
    <row r="1944" spans="1:26" x14ac:dyDescent="0.25">
      <c r="A1944" s="15" t="s">
        <v>15347</v>
      </c>
      <c r="B1944" s="15">
        <v>1943</v>
      </c>
      <c r="C1944" s="15" t="s">
        <v>11277</v>
      </c>
      <c r="D1944" s="15" t="s">
        <v>11277</v>
      </c>
      <c r="E1944" s="15" t="s">
        <v>133</v>
      </c>
      <c r="F1944" s="15" t="s">
        <v>2384</v>
      </c>
      <c r="G1944" s="15" t="s">
        <v>11998</v>
      </c>
      <c r="H1944" s="15">
        <v>20.7</v>
      </c>
      <c r="I1944" s="15">
        <v>7.9</v>
      </c>
      <c r="J1944" s="15">
        <v>82</v>
      </c>
      <c r="K1944" s="15" t="str">
        <f t="shared" si="30"/>
        <v>giantsgallgrounds</v>
      </c>
      <c r="L1944" s="15" t="s">
        <v>11946</v>
      </c>
      <c r="M1944" s="15">
        <v>1</v>
      </c>
      <c r="N1944" s="15" t="s">
        <v>11222</v>
      </c>
      <c r="O1944" s="15"/>
      <c r="P1944" s="15"/>
      <c r="Q1944" s="15"/>
      <c r="R1944" s="15"/>
      <c r="S1944" s="15"/>
      <c r="T1944" s="15">
        <v>0</v>
      </c>
      <c r="U1944" s="15"/>
      <c r="V1944" s="15"/>
      <c r="W1944" s="15"/>
      <c r="X1944" s="15"/>
      <c r="Y1944" s="15"/>
      <c r="Z1944" s="15"/>
    </row>
    <row r="1945" spans="1:26" x14ac:dyDescent="0.25">
      <c r="A1945" s="15" t="s">
        <v>15348</v>
      </c>
      <c r="B1945" s="15">
        <v>1944</v>
      </c>
      <c r="C1945" s="15" t="s">
        <v>11277</v>
      </c>
      <c r="D1945" s="15" t="s">
        <v>11277</v>
      </c>
      <c r="E1945" s="15" t="s">
        <v>133</v>
      </c>
      <c r="F1945" s="15" t="s">
        <v>2384</v>
      </c>
      <c r="G1945" s="15" t="s">
        <v>11999</v>
      </c>
      <c r="H1945" s="15">
        <v>20.7</v>
      </c>
      <c r="I1945" s="15">
        <v>7.9</v>
      </c>
      <c r="J1945" s="15">
        <v>83</v>
      </c>
      <c r="K1945" s="15" t="str">
        <f t="shared" si="30"/>
        <v>giantsgallgrounds</v>
      </c>
      <c r="L1945" s="15" t="s">
        <v>11968</v>
      </c>
      <c r="M1945" s="15">
        <v>2</v>
      </c>
      <c r="N1945" s="15" t="s">
        <v>11223</v>
      </c>
      <c r="O1945" s="15"/>
      <c r="P1945" s="15"/>
      <c r="Q1945" s="15"/>
      <c r="R1945" s="15"/>
      <c r="S1945" s="15"/>
      <c r="T1945" s="15">
        <v>0</v>
      </c>
      <c r="U1945" s="15"/>
      <c r="V1945" s="15"/>
      <c r="W1945" s="15"/>
      <c r="X1945" s="15"/>
      <c r="Y1945" s="15"/>
      <c r="Z1945" s="15"/>
    </row>
    <row r="1946" spans="1:26" x14ac:dyDescent="0.25">
      <c r="A1946" s="15" t="s">
        <v>15349</v>
      </c>
      <c r="B1946" s="15">
        <v>1945</v>
      </c>
      <c r="C1946" s="15" t="s">
        <v>11277</v>
      </c>
      <c r="D1946" s="15" t="s">
        <v>11277</v>
      </c>
      <c r="E1946" s="15" t="s">
        <v>133</v>
      </c>
      <c r="F1946" s="15" t="s">
        <v>2384</v>
      </c>
      <c r="G1946" s="15" t="s">
        <v>12000</v>
      </c>
      <c r="H1946" s="15">
        <v>20.7</v>
      </c>
      <c r="I1946" s="15">
        <v>7.9</v>
      </c>
      <c r="J1946" s="15">
        <v>84</v>
      </c>
      <c r="K1946" s="15" t="str">
        <f t="shared" si="30"/>
        <v>giantsgallgrounds</v>
      </c>
      <c r="L1946" s="15" t="s">
        <v>11953</v>
      </c>
      <c r="M1946" s="15">
        <v>2</v>
      </c>
      <c r="N1946" s="15" t="s">
        <v>11223</v>
      </c>
      <c r="O1946" s="15"/>
      <c r="P1946" s="15"/>
      <c r="Q1946" s="15"/>
      <c r="R1946" s="15"/>
      <c r="S1946" s="15"/>
      <c r="T1946" s="15">
        <v>0</v>
      </c>
      <c r="U1946" s="15"/>
      <c r="V1946" s="15"/>
      <c r="W1946" s="15"/>
      <c r="X1946" s="15"/>
      <c r="Y1946" s="15"/>
      <c r="Z1946" s="15"/>
    </row>
    <row r="1947" spans="1:26" x14ac:dyDescent="0.25">
      <c r="A1947" s="15" t="s">
        <v>15350</v>
      </c>
      <c r="B1947" s="15">
        <v>1946</v>
      </c>
      <c r="C1947" s="15" t="s">
        <v>11277</v>
      </c>
      <c r="D1947" s="15" t="s">
        <v>11277</v>
      </c>
      <c r="E1947" s="15" t="s">
        <v>133</v>
      </c>
      <c r="F1947" s="15" t="s">
        <v>2384</v>
      </c>
      <c r="G1947" s="15" t="s">
        <v>12001</v>
      </c>
      <c r="H1947" s="15">
        <v>20.7</v>
      </c>
      <c r="I1947" s="15">
        <v>7.9</v>
      </c>
      <c r="J1947" s="15">
        <v>85</v>
      </c>
      <c r="K1947" s="15" t="str">
        <f t="shared" si="30"/>
        <v>giantsgallgrounds</v>
      </c>
      <c r="L1947" s="15" t="s">
        <v>11968</v>
      </c>
      <c r="M1947" s="15">
        <v>2</v>
      </c>
      <c r="N1947" s="15" t="s">
        <v>11223</v>
      </c>
      <c r="O1947" s="15"/>
      <c r="P1947" s="15"/>
      <c r="Q1947" s="15"/>
      <c r="R1947" s="15"/>
      <c r="S1947" s="15"/>
      <c r="T1947" s="15">
        <v>0</v>
      </c>
      <c r="U1947" s="15"/>
      <c r="V1947" s="15"/>
      <c r="W1947" s="15"/>
      <c r="X1947" s="15"/>
      <c r="Y1947" s="15"/>
      <c r="Z1947" s="15"/>
    </row>
    <row r="1948" spans="1:26" x14ac:dyDescent="0.25">
      <c r="A1948" s="15" t="s">
        <v>15351</v>
      </c>
      <c r="B1948" s="15">
        <v>1947</v>
      </c>
      <c r="C1948" s="15" t="s">
        <v>11277</v>
      </c>
      <c r="D1948" s="15" t="s">
        <v>11277</v>
      </c>
      <c r="E1948" s="15" t="s">
        <v>133</v>
      </c>
      <c r="F1948" s="15" t="s">
        <v>2384</v>
      </c>
      <c r="G1948" s="15" t="s">
        <v>12002</v>
      </c>
      <c r="H1948" s="15">
        <v>20.7</v>
      </c>
      <c r="I1948" s="15">
        <v>7.9</v>
      </c>
      <c r="J1948" s="15">
        <v>90</v>
      </c>
      <c r="K1948" s="15" t="str">
        <f t="shared" si="30"/>
        <v>giantsgallgrounds</v>
      </c>
      <c r="L1948" s="15" t="s">
        <v>11948</v>
      </c>
      <c r="M1948" s="15">
        <v>3</v>
      </c>
      <c r="N1948" s="15" t="s">
        <v>11223</v>
      </c>
      <c r="O1948" s="15"/>
      <c r="P1948" s="15"/>
      <c r="Q1948" s="15"/>
      <c r="R1948" s="15"/>
      <c r="S1948" s="15"/>
      <c r="T1948" s="15">
        <v>0</v>
      </c>
      <c r="U1948" s="15" t="s">
        <v>5901</v>
      </c>
      <c r="V1948" s="15"/>
      <c r="W1948" s="15"/>
      <c r="X1948" s="15"/>
      <c r="Y1948" s="15"/>
      <c r="Z1948" s="15"/>
    </row>
    <row r="1949" spans="1:26" x14ac:dyDescent="0.25">
      <c r="A1949" s="15" t="s">
        <v>15352</v>
      </c>
      <c r="B1949" s="15">
        <v>1948</v>
      </c>
      <c r="C1949" s="15" t="s">
        <v>11277</v>
      </c>
      <c r="D1949" s="15" t="s">
        <v>11277</v>
      </c>
      <c r="E1949" s="15" t="s">
        <v>133</v>
      </c>
      <c r="F1949" s="15" t="s">
        <v>2371</v>
      </c>
      <c r="G1949" s="15" t="s">
        <v>12003</v>
      </c>
      <c r="H1949" s="15">
        <v>30</v>
      </c>
      <c r="I1949" s="15">
        <v>10</v>
      </c>
      <c r="J1949" s="15">
        <v>85</v>
      </c>
      <c r="K1949" s="15" t="str">
        <f t="shared" si="30"/>
        <v>thewakefultorana</v>
      </c>
      <c r="L1949" s="15" t="s">
        <v>11946</v>
      </c>
      <c r="M1949" s="15">
        <v>1</v>
      </c>
      <c r="N1949" s="15" t="s">
        <v>11222</v>
      </c>
      <c r="O1949" s="15"/>
      <c r="P1949" s="15"/>
      <c r="Q1949" s="15"/>
      <c r="R1949" s="15"/>
      <c r="S1949" s="15"/>
      <c r="T1949" s="15">
        <v>0</v>
      </c>
      <c r="U1949" s="15"/>
      <c r="V1949" s="15"/>
      <c r="W1949" s="15"/>
      <c r="X1949" s="15"/>
      <c r="Y1949" s="15"/>
      <c r="Z1949" s="15"/>
    </row>
    <row r="1950" spans="1:26" x14ac:dyDescent="0.25">
      <c r="A1950" s="15" t="s">
        <v>15353</v>
      </c>
      <c r="B1950" s="15">
        <v>1949</v>
      </c>
      <c r="C1950" s="15" t="s">
        <v>11277</v>
      </c>
      <c r="D1950" s="15" t="s">
        <v>11277</v>
      </c>
      <c r="E1950" s="15" t="s">
        <v>133</v>
      </c>
      <c r="F1950" s="15" t="s">
        <v>2371</v>
      </c>
      <c r="G1950" s="15" t="s">
        <v>12004</v>
      </c>
      <c r="H1950" s="15">
        <v>30</v>
      </c>
      <c r="I1950" s="15">
        <v>10</v>
      </c>
      <c r="J1950" s="15">
        <v>86</v>
      </c>
      <c r="K1950" s="15" t="str">
        <f t="shared" si="30"/>
        <v>thewakefultorana</v>
      </c>
      <c r="L1950" s="15" t="s">
        <v>11968</v>
      </c>
      <c r="M1950" s="15">
        <v>2</v>
      </c>
      <c r="N1950" s="15" t="s">
        <v>11223</v>
      </c>
      <c r="O1950" s="15"/>
      <c r="P1950" s="15"/>
      <c r="Q1950" s="15"/>
      <c r="R1950" s="15"/>
      <c r="S1950" s="15"/>
      <c r="T1950" s="15">
        <v>0</v>
      </c>
      <c r="U1950" s="15"/>
      <c r="V1950" s="15"/>
      <c r="W1950" s="15"/>
      <c r="X1950" s="15"/>
      <c r="Y1950" s="15"/>
      <c r="Z1950" s="15"/>
    </row>
    <row r="1951" spans="1:26" x14ac:dyDescent="0.25">
      <c r="A1951" s="15" t="s">
        <v>15354</v>
      </c>
      <c r="B1951" s="15">
        <v>1950</v>
      </c>
      <c r="C1951" s="15" t="s">
        <v>11277</v>
      </c>
      <c r="D1951" s="15" t="s">
        <v>11277</v>
      </c>
      <c r="E1951" s="15" t="s">
        <v>133</v>
      </c>
      <c r="F1951" s="15" t="s">
        <v>2371</v>
      </c>
      <c r="G1951" s="15" t="s">
        <v>12005</v>
      </c>
      <c r="H1951" s="15">
        <v>30</v>
      </c>
      <c r="I1951" s="15">
        <v>10</v>
      </c>
      <c r="J1951" s="15">
        <v>87</v>
      </c>
      <c r="K1951" s="15" t="str">
        <f t="shared" si="30"/>
        <v>thewakefultorana</v>
      </c>
      <c r="L1951" s="15" t="s">
        <v>11948</v>
      </c>
      <c r="M1951" s="15">
        <v>2</v>
      </c>
      <c r="N1951" s="15" t="s">
        <v>11223</v>
      </c>
      <c r="O1951" s="15"/>
      <c r="P1951" s="15"/>
      <c r="Q1951" s="15"/>
      <c r="R1951" s="15"/>
      <c r="S1951" s="15"/>
      <c r="T1951" s="15">
        <v>0</v>
      </c>
      <c r="U1951" s="15"/>
      <c r="V1951" s="15"/>
      <c r="W1951" s="15"/>
      <c r="X1951" s="15"/>
      <c r="Y1951" s="15"/>
      <c r="Z1951" s="15"/>
    </row>
    <row r="1952" spans="1:26" x14ac:dyDescent="0.25">
      <c r="A1952" s="15" t="s">
        <v>15355</v>
      </c>
      <c r="B1952" s="15">
        <v>1951</v>
      </c>
      <c r="C1952" s="15" t="s">
        <v>11277</v>
      </c>
      <c r="D1952" s="15" t="s">
        <v>11277</v>
      </c>
      <c r="E1952" s="15" t="s">
        <v>133</v>
      </c>
      <c r="F1952" s="15" t="s">
        <v>2371</v>
      </c>
      <c r="G1952" s="15" t="s">
        <v>12006</v>
      </c>
      <c r="H1952" s="15">
        <v>30</v>
      </c>
      <c r="I1952" s="15">
        <v>10</v>
      </c>
      <c r="J1952" s="15">
        <v>90</v>
      </c>
      <c r="K1952" s="15" t="str">
        <f t="shared" si="30"/>
        <v>thewakefultorana</v>
      </c>
      <c r="L1952" s="15" t="s">
        <v>11948</v>
      </c>
      <c r="M1952" s="15">
        <v>2</v>
      </c>
      <c r="N1952" s="15" t="s">
        <v>11223</v>
      </c>
      <c r="O1952" s="15" t="s">
        <v>14037</v>
      </c>
      <c r="P1952" s="15"/>
      <c r="Q1952" s="15"/>
      <c r="R1952" s="15"/>
      <c r="S1952" s="15"/>
      <c r="T1952" s="15">
        <v>1</v>
      </c>
      <c r="U1952" s="15" t="s">
        <v>5901</v>
      </c>
      <c r="V1952" s="15" t="s">
        <v>5908</v>
      </c>
      <c r="W1952" s="15"/>
      <c r="X1952" s="15" t="s">
        <v>5892</v>
      </c>
      <c r="Y1952" s="15"/>
      <c r="Z1952" s="15"/>
    </row>
    <row r="1953" spans="1:26" x14ac:dyDescent="0.25">
      <c r="A1953" s="15" t="s">
        <v>15356</v>
      </c>
      <c r="B1953" s="15">
        <v>1952</v>
      </c>
      <c r="C1953" s="15" t="s">
        <v>11277</v>
      </c>
      <c r="D1953" s="15" t="s">
        <v>11277</v>
      </c>
      <c r="E1953" s="15" t="s">
        <v>133</v>
      </c>
      <c r="F1953" s="15" t="s">
        <v>2371</v>
      </c>
      <c r="G1953" s="15" t="s">
        <v>12007</v>
      </c>
      <c r="H1953" s="15">
        <v>30</v>
      </c>
      <c r="I1953" s="15">
        <v>10</v>
      </c>
      <c r="J1953" s="15">
        <v>90</v>
      </c>
      <c r="K1953" s="15" t="str">
        <f t="shared" si="30"/>
        <v>thewakefultorana</v>
      </c>
      <c r="L1953" s="15" t="s">
        <v>11968</v>
      </c>
      <c r="M1953" s="15">
        <v>3</v>
      </c>
      <c r="N1953" s="15" t="s">
        <v>11223</v>
      </c>
      <c r="O1953" s="15"/>
      <c r="P1953" s="15"/>
      <c r="Q1953" s="15"/>
      <c r="R1953" s="15"/>
      <c r="S1953" s="15"/>
      <c r="T1953" s="15">
        <v>3</v>
      </c>
      <c r="U1953" s="15" t="s">
        <v>5914</v>
      </c>
      <c r="V1953" s="15"/>
      <c r="W1953" s="15"/>
      <c r="X1953" s="15" t="s">
        <v>5908</v>
      </c>
      <c r="Y1953" s="15"/>
      <c r="Z1953" s="15"/>
    </row>
    <row r="1954" spans="1:26" x14ac:dyDescent="0.25">
      <c r="A1954" s="15" t="s">
        <v>15357</v>
      </c>
      <c r="B1954" s="15">
        <v>1953</v>
      </c>
      <c r="C1954" s="15" t="s">
        <v>11277</v>
      </c>
      <c r="D1954" s="15" t="s">
        <v>11277</v>
      </c>
      <c r="E1954" s="15" t="s">
        <v>133</v>
      </c>
      <c r="F1954" s="15" t="s">
        <v>15358</v>
      </c>
      <c r="G1954" s="15" t="s">
        <v>12003</v>
      </c>
      <c r="H1954" s="15">
        <v>30</v>
      </c>
      <c r="I1954" s="15">
        <v>20</v>
      </c>
      <c r="J1954" s="15">
        <v>85</v>
      </c>
      <c r="K1954" s="15" t="str">
        <f t="shared" si="30"/>
        <v>ksiroda</v>
      </c>
      <c r="L1954" s="15" t="s">
        <v>11946</v>
      </c>
      <c r="M1954" s="15">
        <v>1</v>
      </c>
      <c r="N1954" s="15" t="s">
        <v>11222</v>
      </c>
      <c r="O1954" s="15"/>
      <c r="P1954" s="15"/>
      <c r="Q1954" s="15"/>
      <c r="R1954" s="15"/>
      <c r="S1954" s="15"/>
      <c r="T1954" s="15">
        <v>0</v>
      </c>
      <c r="U1954" s="15"/>
      <c r="V1954" s="15"/>
      <c r="W1954" s="15"/>
      <c r="X1954" s="15"/>
      <c r="Y1954" s="15"/>
      <c r="Z1954" s="15"/>
    </row>
    <row r="1955" spans="1:26" x14ac:dyDescent="0.25">
      <c r="A1955" s="15" t="s">
        <v>15359</v>
      </c>
      <c r="B1955" s="15">
        <v>1954</v>
      </c>
      <c r="C1955" s="15" t="s">
        <v>11277</v>
      </c>
      <c r="D1955" s="15" t="s">
        <v>11277</v>
      </c>
      <c r="E1955" s="15" t="s">
        <v>133</v>
      </c>
      <c r="F1955" s="15" t="s">
        <v>15358</v>
      </c>
      <c r="G1955" s="15" t="s">
        <v>12004</v>
      </c>
      <c r="H1955" s="15">
        <v>30</v>
      </c>
      <c r="I1955" s="15">
        <v>20</v>
      </c>
      <c r="J1955" s="15">
        <v>86</v>
      </c>
      <c r="K1955" s="15" t="str">
        <f t="shared" si="30"/>
        <v>ksiroda</v>
      </c>
      <c r="L1955" s="15" t="s">
        <v>11948</v>
      </c>
      <c r="M1955" s="15">
        <v>2</v>
      </c>
      <c r="N1955" s="15" t="s">
        <v>11223</v>
      </c>
      <c r="O1955" s="15"/>
      <c r="P1955" s="15"/>
      <c r="Q1955" s="15"/>
      <c r="R1955" s="15"/>
      <c r="S1955" s="15"/>
      <c r="T1955" s="15">
        <v>0</v>
      </c>
      <c r="U1955" s="15"/>
      <c r="V1955" s="15"/>
      <c r="W1955" s="15"/>
      <c r="X1955" s="15"/>
      <c r="Y1955" s="15"/>
      <c r="Z1955" s="15"/>
    </row>
    <row r="1956" spans="1:26" x14ac:dyDescent="0.25">
      <c r="A1956" s="15" t="s">
        <v>15360</v>
      </c>
      <c r="B1956" s="15">
        <v>1955</v>
      </c>
      <c r="C1956" s="15" t="s">
        <v>11277</v>
      </c>
      <c r="D1956" s="15" t="s">
        <v>11277</v>
      </c>
      <c r="E1956" s="15" t="s">
        <v>133</v>
      </c>
      <c r="F1956" s="15" t="s">
        <v>15358</v>
      </c>
      <c r="G1956" s="15" t="s">
        <v>12008</v>
      </c>
      <c r="H1956" s="15">
        <v>30</v>
      </c>
      <c r="I1956" s="15">
        <v>20</v>
      </c>
      <c r="J1956" s="15">
        <v>86</v>
      </c>
      <c r="K1956" s="15" t="str">
        <f t="shared" si="30"/>
        <v>ksiroda</v>
      </c>
      <c r="L1956" s="15" t="s">
        <v>11948</v>
      </c>
      <c r="M1956" s="15">
        <v>2</v>
      </c>
      <c r="N1956" s="15" t="s">
        <v>11223</v>
      </c>
      <c r="O1956" s="15"/>
      <c r="P1956" s="15"/>
      <c r="Q1956" s="15"/>
      <c r="R1956" s="15"/>
      <c r="S1956" s="15"/>
      <c r="T1956" s="15">
        <v>0</v>
      </c>
      <c r="U1956" s="15"/>
      <c r="V1956" s="15"/>
      <c r="W1956" s="15"/>
      <c r="X1956" s="15"/>
      <c r="Y1956" s="15"/>
      <c r="Z1956" s="15"/>
    </row>
    <row r="1957" spans="1:26" x14ac:dyDescent="0.25">
      <c r="A1957" s="15" t="s">
        <v>15361</v>
      </c>
      <c r="B1957" s="15">
        <v>1956</v>
      </c>
      <c r="C1957" s="15" t="s">
        <v>11277</v>
      </c>
      <c r="D1957" s="15" t="s">
        <v>11277</v>
      </c>
      <c r="E1957" s="15" t="s">
        <v>133</v>
      </c>
      <c r="F1957" s="15" t="s">
        <v>15358</v>
      </c>
      <c r="G1957" s="15" t="s">
        <v>12009</v>
      </c>
      <c r="H1957" s="15">
        <v>30</v>
      </c>
      <c r="I1957" s="15">
        <v>20</v>
      </c>
      <c r="J1957" s="15">
        <v>87</v>
      </c>
      <c r="K1957" s="15" t="str">
        <f t="shared" si="30"/>
        <v>ksiroda</v>
      </c>
      <c r="L1957" s="15" t="s">
        <v>11948</v>
      </c>
      <c r="M1957" s="15">
        <v>2</v>
      </c>
      <c r="N1957" s="15" t="s">
        <v>11223</v>
      </c>
      <c r="O1957" s="15"/>
      <c r="P1957" s="15"/>
      <c r="Q1957" s="15"/>
      <c r="R1957" s="15"/>
      <c r="S1957" s="15"/>
      <c r="T1957" s="15">
        <v>0</v>
      </c>
      <c r="U1957" s="15"/>
      <c r="V1957" s="15"/>
      <c r="W1957" s="15"/>
      <c r="X1957" s="15"/>
      <c r="Y1957" s="15"/>
      <c r="Z1957" s="15"/>
    </row>
    <row r="1958" spans="1:26" x14ac:dyDescent="0.25">
      <c r="A1958" s="15" t="s">
        <v>15362</v>
      </c>
      <c r="B1958" s="15">
        <v>1957</v>
      </c>
      <c r="C1958" s="15" t="s">
        <v>11277</v>
      </c>
      <c r="D1958" s="15" t="s">
        <v>11277</v>
      </c>
      <c r="E1958" s="15" t="s">
        <v>133</v>
      </c>
      <c r="F1958" s="15" t="s">
        <v>15358</v>
      </c>
      <c r="G1958" s="15" t="s">
        <v>12010</v>
      </c>
      <c r="H1958" s="15">
        <v>30</v>
      </c>
      <c r="I1958" s="15">
        <v>20</v>
      </c>
      <c r="J1958" s="15">
        <v>81</v>
      </c>
      <c r="K1958" s="15" t="str">
        <f t="shared" si="30"/>
        <v>ksiroda</v>
      </c>
      <c r="L1958" s="15" t="s">
        <v>11560</v>
      </c>
      <c r="M1958" s="15">
        <v>1</v>
      </c>
      <c r="N1958" s="15" t="s">
        <v>11222</v>
      </c>
      <c r="O1958" s="15"/>
      <c r="P1958" s="15"/>
      <c r="Q1958" s="15"/>
      <c r="R1958" s="15"/>
      <c r="S1958" s="15"/>
      <c r="T1958" s="15">
        <v>0</v>
      </c>
      <c r="U1958" s="15"/>
      <c r="V1958" s="15"/>
      <c r="W1958" s="15"/>
      <c r="X1958" s="15"/>
      <c r="Y1958" s="15"/>
      <c r="Z1958" s="15"/>
    </row>
    <row r="1959" spans="1:26" x14ac:dyDescent="0.25">
      <c r="A1959" s="15" t="s">
        <v>15363</v>
      </c>
      <c r="B1959" s="15">
        <v>1958</v>
      </c>
      <c r="C1959" s="15" t="s">
        <v>11277</v>
      </c>
      <c r="D1959" s="15" t="s">
        <v>11277</v>
      </c>
      <c r="E1959" s="15" t="s">
        <v>133</v>
      </c>
      <c r="F1959" s="15" t="s">
        <v>15358</v>
      </c>
      <c r="G1959" s="15" t="s">
        <v>12011</v>
      </c>
      <c r="H1959" s="15">
        <v>30</v>
      </c>
      <c r="I1959" s="15">
        <v>20</v>
      </c>
      <c r="J1959" s="15">
        <v>90</v>
      </c>
      <c r="K1959" s="15" t="str">
        <f t="shared" si="30"/>
        <v>ksiroda</v>
      </c>
      <c r="L1959" s="15" t="s">
        <v>11953</v>
      </c>
      <c r="M1959" s="15">
        <v>3</v>
      </c>
      <c r="N1959" s="15" t="s">
        <v>11223</v>
      </c>
      <c r="O1959" s="15" t="s">
        <v>14006</v>
      </c>
      <c r="P1959" s="15"/>
      <c r="Q1959" s="15"/>
      <c r="R1959" s="15"/>
      <c r="S1959" s="15"/>
      <c r="T1959" s="15">
        <v>2</v>
      </c>
      <c r="U1959" s="15" t="s">
        <v>5893</v>
      </c>
      <c r="V1959" s="15" t="s">
        <v>5892</v>
      </c>
      <c r="W1959" s="15"/>
      <c r="X1959" s="15" t="s">
        <v>5900</v>
      </c>
      <c r="Y1959" s="15" t="s">
        <v>5901</v>
      </c>
      <c r="Z1959" s="15"/>
    </row>
    <row r="1960" spans="1:26" x14ac:dyDescent="0.25">
      <c r="A1960" s="15" t="s">
        <v>15364</v>
      </c>
      <c r="B1960" s="15">
        <v>1959</v>
      </c>
      <c r="C1960" s="15" t="s">
        <v>11277</v>
      </c>
      <c r="D1960" s="15" t="s">
        <v>11277</v>
      </c>
      <c r="E1960" s="15" t="s">
        <v>133</v>
      </c>
      <c r="F1960" s="15" t="s">
        <v>2375</v>
      </c>
      <c r="G1960" s="15" t="s">
        <v>12003</v>
      </c>
      <c r="H1960" s="15">
        <v>23.8</v>
      </c>
      <c r="I1960" s="15">
        <v>14.2</v>
      </c>
      <c r="J1960" s="15">
        <v>85</v>
      </c>
      <c r="K1960" s="15" t="str">
        <f t="shared" si="30"/>
        <v>pavanasremorse</v>
      </c>
      <c r="L1960" s="15" t="s">
        <v>11946</v>
      </c>
      <c r="M1960" s="15">
        <v>1</v>
      </c>
      <c r="N1960" s="15" t="s">
        <v>11222</v>
      </c>
      <c r="O1960" s="15"/>
      <c r="P1960" s="15"/>
      <c r="Q1960" s="15"/>
      <c r="R1960" s="15"/>
      <c r="S1960" s="15"/>
      <c r="T1960" s="15">
        <v>0</v>
      </c>
      <c r="U1960" s="15"/>
      <c r="V1960" s="15"/>
      <c r="W1960" s="15"/>
      <c r="X1960" s="15"/>
      <c r="Y1960" s="15"/>
      <c r="Z1960" s="15"/>
    </row>
    <row r="1961" spans="1:26" x14ac:dyDescent="0.25">
      <c r="A1961" s="15" t="s">
        <v>15365</v>
      </c>
      <c r="B1961" s="15">
        <v>1960</v>
      </c>
      <c r="C1961" s="15" t="s">
        <v>11277</v>
      </c>
      <c r="D1961" s="15" t="s">
        <v>11277</v>
      </c>
      <c r="E1961" s="15" t="s">
        <v>133</v>
      </c>
      <c r="F1961" s="15" t="s">
        <v>2375</v>
      </c>
      <c r="G1961" s="15" t="s">
        <v>12012</v>
      </c>
      <c r="H1961" s="15">
        <v>23.8</v>
      </c>
      <c r="I1961" s="15">
        <v>14.2</v>
      </c>
      <c r="J1961" s="15">
        <v>86</v>
      </c>
      <c r="K1961" s="15" t="str">
        <f t="shared" si="30"/>
        <v>pavanasremorse</v>
      </c>
      <c r="L1961" s="15" t="s">
        <v>11948</v>
      </c>
      <c r="M1961" s="15">
        <v>2</v>
      </c>
      <c r="N1961" s="15" t="s">
        <v>11223</v>
      </c>
      <c r="O1961" s="15"/>
      <c r="P1961" s="15"/>
      <c r="Q1961" s="15"/>
      <c r="R1961" s="15"/>
      <c r="S1961" s="15"/>
      <c r="T1961" s="15">
        <v>0</v>
      </c>
      <c r="U1961" s="15"/>
      <c r="V1961" s="15"/>
      <c r="W1961" s="15"/>
      <c r="X1961" s="15"/>
      <c r="Y1961" s="15"/>
      <c r="Z1961" s="15"/>
    </row>
    <row r="1962" spans="1:26" x14ac:dyDescent="0.25">
      <c r="A1962" s="15" t="s">
        <v>15366</v>
      </c>
      <c r="B1962" s="15">
        <v>1961</v>
      </c>
      <c r="C1962" s="15" t="s">
        <v>11277</v>
      </c>
      <c r="D1962" s="15" t="s">
        <v>11277</v>
      </c>
      <c r="E1962" s="15" t="s">
        <v>133</v>
      </c>
      <c r="F1962" s="15" t="s">
        <v>2375</v>
      </c>
      <c r="G1962" s="15" t="s">
        <v>12013</v>
      </c>
      <c r="H1962" s="15">
        <v>23.8</v>
      </c>
      <c r="I1962" s="15">
        <v>14.2</v>
      </c>
      <c r="J1962" s="15">
        <v>87</v>
      </c>
      <c r="K1962" s="15" t="str">
        <f t="shared" si="30"/>
        <v>pavanasremorse</v>
      </c>
      <c r="L1962" s="15" t="s">
        <v>11948</v>
      </c>
      <c r="M1962" s="15">
        <v>1</v>
      </c>
      <c r="N1962" s="15" t="s">
        <v>11222</v>
      </c>
      <c r="O1962" s="15"/>
      <c r="P1962" s="15"/>
      <c r="Q1962" s="15"/>
      <c r="R1962" s="15"/>
      <c r="S1962" s="15"/>
      <c r="T1962" s="15">
        <v>0</v>
      </c>
      <c r="U1962" s="15"/>
      <c r="V1962" s="15"/>
      <c r="W1962" s="15"/>
      <c r="X1962" s="15"/>
      <c r="Y1962" s="15"/>
      <c r="Z1962" s="15"/>
    </row>
    <row r="1963" spans="1:26" x14ac:dyDescent="0.25">
      <c r="A1963" s="15" t="s">
        <v>15367</v>
      </c>
      <c r="B1963" s="15">
        <v>1962</v>
      </c>
      <c r="C1963" s="15" t="s">
        <v>11277</v>
      </c>
      <c r="D1963" s="15" t="s">
        <v>11277</v>
      </c>
      <c r="E1963" s="15" t="s">
        <v>133</v>
      </c>
      <c r="F1963" s="15" t="s">
        <v>2375</v>
      </c>
      <c r="G1963" s="15" t="s">
        <v>12014</v>
      </c>
      <c r="H1963" s="15">
        <v>23.8</v>
      </c>
      <c r="I1963" s="15">
        <v>14.2</v>
      </c>
      <c r="J1963" s="15">
        <v>88</v>
      </c>
      <c r="K1963" s="15" t="str">
        <f t="shared" si="30"/>
        <v>pavanasremorse</v>
      </c>
      <c r="L1963" s="15" t="s">
        <v>11948</v>
      </c>
      <c r="M1963" s="15">
        <v>2</v>
      </c>
      <c r="N1963" s="15" t="s">
        <v>11223</v>
      </c>
      <c r="O1963" s="15"/>
      <c r="P1963" s="15"/>
      <c r="Q1963" s="15"/>
      <c r="R1963" s="15"/>
      <c r="S1963" s="15"/>
      <c r="T1963" s="15">
        <v>0</v>
      </c>
      <c r="U1963" s="15"/>
      <c r="V1963" s="15"/>
      <c r="W1963" s="15"/>
      <c r="X1963" s="15"/>
      <c r="Y1963" s="15"/>
      <c r="Z1963" s="15"/>
    </row>
    <row r="1964" spans="1:26" x14ac:dyDescent="0.25">
      <c r="A1964" s="15" t="s">
        <v>15368</v>
      </c>
      <c r="B1964" s="15">
        <v>1963</v>
      </c>
      <c r="C1964" s="15" t="s">
        <v>11277</v>
      </c>
      <c r="D1964" s="15" t="s">
        <v>11277</v>
      </c>
      <c r="E1964" s="15" t="s">
        <v>133</v>
      </c>
      <c r="F1964" s="15" t="s">
        <v>2375</v>
      </c>
      <c r="G1964" s="15" t="s">
        <v>12015</v>
      </c>
      <c r="H1964" s="15">
        <v>23.8</v>
      </c>
      <c r="I1964" s="15">
        <v>14.2</v>
      </c>
      <c r="J1964" s="15">
        <v>90</v>
      </c>
      <c r="K1964" s="15" t="str">
        <f t="shared" si="30"/>
        <v>pavanasremorse</v>
      </c>
      <c r="L1964" s="15" t="s">
        <v>11948</v>
      </c>
      <c r="M1964" s="15">
        <v>3</v>
      </c>
      <c r="N1964" s="15" t="s">
        <v>11223</v>
      </c>
      <c r="O1964" s="15" t="s">
        <v>14069</v>
      </c>
      <c r="P1964" s="15"/>
      <c r="Q1964" s="15"/>
      <c r="R1964" s="15"/>
      <c r="S1964" s="15"/>
      <c r="T1964" s="15">
        <v>3</v>
      </c>
      <c r="U1964" s="15" t="s">
        <v>5900</v>
      </c>
      <c r="V1964" s="15"/>
      <c r="W1964" s="15"/>
      <c r="X1964" s="15"/>
      <c r="Y1964" s="15"/>
      <c r="Z1964" s="15"/>
    </row>
    <row r="1965" spans="1:26" x14ac:dyDescent="0.25">
      <c r="A1965" s="15" t="s">
        <v>15369</v>
      </c>
      <c r="B1965" s="15">
        <v>1964</v>
      </c>
      <c r="C1965" s="15" t="s">
        <v>11277</v>
      </c>
      <c r="D1965" s="15" t="s">
        <v>11277</v>
      </c>
      <c r="E1965" s="15" t="s">
        <v>133</v>
      </c>
      <c r="F1965" s="15" t="s">
        <v>2379</v>
      </c>
      <c r="G1965" s="15" t="s">
        <v>12003</v>
      </c>
      <c r="H1965" s="15">
        <v>24.5</v>
      </c>
      <c r="I1965" s="15">
        <v>24.4</v>
      </c>
      <c r="J1965" s="15">
        <v>85</v>
      </c>
      <c r="K1965" s="15" t="str">
        <f t="shared" si="30"/>
        <v>thefontofmaya</v>
      </c>
      <c r="L1965" s="15" t="s">
        <v>11946</v>
      </c>
      <c r="M1965" s="15">
        <v>1</v>
      </c>
      <c r="N1965" s="15" t="s">
        <v>11222</v>
      </c>
      <c r="O1965" s="15"/>
      <c r="P1965" s="15"/>
      <c r="Q1965" s="15"/>
      <c r="R1965" s="15"/>
      <c r="S1965" s="15"/>
      <c r="T1965" s="15">
        <v>0</v>
      </c>
      <c r="U1965" s="15"/>
      <c r="V1965" s="15"/>
      <c r="W1965" s="15"/>
      <c r="X1965" s="15"/>
      <c r="Y1965" s="15"/>
      <c r="Z1965" s="15"/>
    </row>
    <row r="1966" spans="1:26" x14ac:dyDescent="0.25">
      <c r="A1966" s="15" t="s">
        <v>15370</v>
      </c>
      <c r="B1966" s="15">
        <v>1965</v>
      </c>
      <c r="C1966" s="15" t="s">
        <v>11277</v>
      </c>
      <c r="D1966" s="15" t="s">
        <v>11277</v>
      </c>
      <c r="E1966" s="15" t="s">
        <v>133</v>
      </c>
      <c r="F1966" s="15" t="s">
        <v>2379</v>
      </c>
      <c r="G1966" s="15" t="s">
        <v>12012</v>
      </c>
      <c r="H1966" s="15">
        <v>24.5</v>
      </c>
      <c r="I1966" s="15">
        <v>24.4</v>
      </c>
      <c r="J1966" s="15">
        <v>86</v>
      </c>
      <c r="K1966" s="15" t="str">
        <f t="shared" si="30"/>
        <v>thefontofmaya</v>
      </c>
      <c r="L1966" s="15" t="s">
        <v>11968</v>
      </c>
      <c r="M1966" s="15">
        <v>2</v>
      </c>
      <c r="N1966" s="15" t="s">
        <v>11223</v>
      </c>
      <c r="O1966" s="15"/>
      <c r="P1966" s="15"/>
      <c r="Q1966" s="15"/>
      <c r="R1966" s="15"/>
      <c r="S1966" s="15"/>
      <c r="T1966" s="15">
        <v>0</v>
      </c>
      <c r="U1966" s="15"/>
      <c r="V1966" s="15"/>
      <c r="W1966" s="15"/>
      <c r="X1966" s="15"/>
      <c r="Y1966" s="15"/>
      <c r="Z1966" s="15"/>
    </row>
    <row r="1967" spans="1:26" x14ac:dyDescent="0.25">
      <c r="A1967" s="15" t="s">
        <v>15371</v>
      </c>
      <c r="B1967" s="15">
        <v>1966</v>
      </c>
      <c r="C1967" s="15" t="s">
        <v>11277</v>
      </c>
      <c r="D1967" s="15" t="s">
        <v>11277</v>
      </c>
      <c r="E1967" s="15" t="s">
        <v>133</v>
      </c>
      <c r="F1967" s="15" t="s">
        <v>2379</v>
      </c>
      <c r="G1967" s="15" t="s">
        <v>12016</v>
      </c>
      <c r="H1967" s="15">
        <v>24.5</v>
      </c>
      <c r="I1967" s="15">
        <v>24.4</v>
      </c>
      <c r="J1967" s="15">
        <v>87</v>
      </c>
      <c r="K1967" s="15" t="str">
        <f t="shared" si="30"/>
        <v>thefontofmaya</v>
      </c>
      <c r="L1967" s="15" t="s">
        <v>11948</v>
      </c>
      <c r="M1967" s="15">
        <v>1</v>
      </c>
      <c r="N1967" s="15" t="s">
        <v>11222</v>
      </c>
      <c r="O1967" s="15"/>
      <c r="P1967" s="15"/>
      <c r="Q1967" s="15"/>
      <c r="R1967" s="15"/>
      <c r="S1967" s="15"/>
      <c r="T1967" s="15">
        <v>0</v>
      </c>
      <c r="U1967" s="15"/>
      <c r="V1967" s="15"/>
      <c r="W1967" s="15"/>
      <c r="X1967" s="15"/>
      <c r="Y1967" s="15"/>
      <c r="Z1967" s="15"/>
    </row>
    <row r="1968" spans="1:26" x14ac:dyDescent="0.25">
      <c r="A1968" s="15" t="s">
        <v>15372</v>
      </c>
      <c r="B1968" s="15">
        <v>1967</v>
      </c>
      <c r="C1968" s="15" t="s">
        <v>11277</v>
      </c>
      <c r="D1968" s="15" t="s">
        <v>11277</v>
      </c>
      <c r="E1968" s="15" t="s">
        <v>133</v>
      </c>
      <c r="F1968" s="15" t="s">
        <v>2379</v>
      </c>
      <c r="G1968" s="15" t="s">
        <v>12017</v>
      </c>
      <c r="H1968" s="15">
        <v>24.5</v>
      </c>
      <c r="I1968" s="15">
        <v>24.4</v>
      </c>
      <c r="J1968" s="15">
        <v>86</v>
      </c>
      <c r="K1968" s="15" t="str">
        <f t="shared" si="30"/>
        <v>thefontofmaya</v>
      </c>
      <c r="L1968" s="15" t="s">
        <v>11948</v>
      </c>
      <c r="M1968" s="15">
        <v>2</v>
      </c>
      <c r="N1968" s="15" t="s">
        <v>11223</v>
      </c>
      <c r="O1968" s="15"/>
      <c r="P1968" s="15"/>
      <c r="Q1968" s="15"/>
      <c r="R1968" s="15"/>
      <c r="S1968" s="15"/>
      <c r="T1968" s="15">
        <v>0</v>
      </c>
      <c r="U1968" s="15"/>
      <c r="V1968" s="15"/>
      <c r="W1968" s="15"/>
      <c r="X1968" s="15"/>
      <c r="Y1968" s="15"/>
      <c r="Z1968" s="15"/>
    </row>
    <row r="1969" spans="1:26" x14ac:dyDescent="0.25">
      <c r="A1969" s="15" t="s">
        <v>15373</v>
      </c>
      <c r="B1969" s="15">
        <v>1968</v>
      </c>
      <c r="C1969" s="15" t="s">
        <v>11277</v>
      </c>
      <c r="D1969" s="15" t="s">
        <v>11277</v>
      </c>
      <c r="E1969" s="15" t="s">
        <v>133</v>
      </c>
      <c r="F1969" s="15" t="s">
        <v>2379</v>
      </c>
      <c r="G1969" s="15" t="s">
        <v>12018</v>
      </c>
      <c r="H1969" s="15">
        <v>24.5</v>
      </c>
      <c r="I1969" s="15">
        <v>24.4</v>
      </c>
      <c r="J1969" s="15">
        <v>88</v>
      </c>
      <c r="K1969" s="15" t="str">
        <f t="shared" si="30"/>
        <v>thefontofmaya</v>
      </c>
      <c r="L1969" s="15" t="s">
        <v>11948</v>
      </c>
      <c r="M1969" s="15">
        <v>2</v>
      </c>
      <c r="N1969" s="15" t="s">
        <v>11223</v>
      </c>
      <c r="O1969" s="15"/>
      <c r="P1969" s="15"/>
      <c r="Q1969" s="15"/>
      <c r="R1969" s="15"/>
      <c r="S1969" s="15"/>
      <c r="T1969" s="15">
        <v>0</v>
      </c>
      <c r="U1969" s="15"/>
      <c r="V1969" s="15"/>
      <c r="W1969" s="15"/>
      <c r="X1969" s="15"/>
      <c r="Y1969" s="15"/>
      <c r="Z1969" s="15"/>
    </row>
    <row r="1970" spans="1:26" x14ac:dyDescent="0.25">
      <c r="A1970" s="15" t="s">
        <v>15374</v>
      </c>
      <c r="B1970" s="15">
        <v>1969</v>
      </c>
      <c r="C1970" s="15" t="s">
        <v>11277</v>
      </c>
      <c r="D1970" s="15" t="s">
        <v>11277</v>
      </c>
      <c r="E1970" s="15" t="s">
        <v>133</v>
      </c>
      <c r="F1970" s="15" t="s">
        <v>2379</v>
      </c>
      <c r="G1970" s="15" t="s">
        <v>169</v>
      </c>
      <c r="H1970" s="15">
        <v>24.5</v>
      </c>
      <c r="I1970" s="15">
        <v>24.4</v>
      </c>
      <c r="J1970" s="15">
        <v>90</v>
      </c>
      <c r="K1970" s="15" t="str">
        <f t="shared" si="30"/>
        <v>thefontofmaya</v>
      </c>
      <c r="L1970" s="15" t="s">
        <v>14088</v>
      </c>
      <c r="M1970" s="15">
        <v>2</v>
      </c>
      <c r="N1970" s="15" t="s">
        <v>11223</v>
      </c>
      <c r="O1970" s="15" t="s">
        <v>2808</v>
      </c>
      <c r="P1970" s="15"/>
      <c r="Q1970" s="15" t="s">
        <v>12016</v>
      </c>
      <c r="R1970" s="15"/>
      <c r="S1970" s="15"/>
      <c r="T1970" s="15">
        <v>2</v>
      </c>
      <c r="U1970" s="15"/>
      <c r="V1970" s="15"/>
      <c r="W1970" s="15"/>
      <c r="X1970" s="15"/>
      <c r="Y1970" s="15"/>
      <c r="Z1970" s="15"/>
    </row>
    <row r="1971" spans="1:26" x14ac:dyDescent="0.25">
      <c r="A1971" s="15" t="s">
        <v>15375</v>
      </c>
      <c r="B1971" s="15">
        <v>1970</v>
      </c>
      <c r="C1971" s="15" t="s">
        <v>11277</v>
      </c>
      <c r="D1971" s="15" t="s">
        <v>11277</v>
      </c>
      <c r="E1971" s="15" t="s">
        <v>133</v>
      </c>
      <c r="F1971" s="15" t="s">
        <v>2379</v>
      </c>
      <c r="G1971" s="15" t="s">
        <v>12019</v>
      </c>
      <c r="H1971" s="15">
        <v>24.5</v>
      </c>
      <c r="I1971" s="15">
        <v>24.4</v>
      </c>
      <c r="J1971" s="15">
        <v>90</v>
      </c>
      <c r="K1971" s="15" t="str">
        <f t="shared" si="30"/>
        <v>thefontofmaya</v>
      </c>
      <c r="L1971" s="15" t="s">
        <v>11948</v>
      </c>
      <c r="M1971" s="15">
        <v>3</v>
      </c>
      <c r="N1971" s="15" t="s">
        <v>11223</v>
      </c>
      <c r="O1971" s="15" t="s">
        <v>2810</v>
      </c>
      <c r="P1971" s="15"/>
      <c r="Q1971" s="15"/>
      <c r="R1971" s="15"/>
      <c r="S1971" s="15"/>
      <c r="T1971" s="15">
        <v>4</v>
      </c>
      <c r="U1971" s="15"/>
      <c r="V1971" s="15"/>
      <c r="W1971" s="15"/>
      <c r="X1971" s="15"/>
      <c r="Y1971" s="15"/>
      <c r="Z1971" s="15"/>
    </row>
    <row r="1972" spans="1:26" x14ac:dyDescent="0.25">
      <c r="A1972" s="15" t="s">
        <v>15376</v>
      </c>
      <c r="B1972" s="15">
        <v>1971</v>
      </c>
      <c r="C1972" s="15" t="s">
        <v>11277</v>
      </c>
      <c r="D1972" s="15" t="s">
        <v>11277</v>
      </c>
      <c r="E1972" s="15" t="s">
        <v>133</v>
      </c>
      <c r="F1972" s="15" t="s">
        <v>15377</v>
      </c>
      <c r="G1972" s="15" t="s">
        <v>12020</v>
      </c>
      <c r="H1972" s="15">
        <v>6</v>
      </c>
      <c r="I1972" s="15">
        <v>8</v>
      </c>
      <c r="J1972" s="15">
        <v>86</v>
      </c>
      <c r="K1972" s="15" t="str">
        <f t="shared" si="30"/>
        <v>theperfumedtides</v>
      </c>
      <c r="L1972" s="15" t="s">
        <v>11938</v>
      </c>
      <c r="M1972" s="15">
        <v>1</v>
      </c>
      <c r="N1972" s="15" t="s">
        <v>11222</v>
      </c>
      <c r="O1972" s="15"/>
      <c r="P1972" s="15"/>
      <c r="Q1972" s="15"/>
      <c r="R1972" s="15"/>
      <c r="S1972" s="15"/>
      <c r="T1972" s="15">
        <v>0</v>
      </c>
      <c r="U1972" s="15"/>
      <c r="V1972" s="15"/>
      <c r="W1972" s="15"/>
      <c r="X1972" s="15"/>
      <c r="Y1972" s="15"/>
      <c r="Z1972" s="15"/>
    </row>
    <row r="1973" spans="1:26" x14ac:dyDescent="0.25">
      <c r="A1973" s="15" t="s">
        <v>15378</v>
      </c>
      <c r="B1973" s="15">
        <v>1972</v>
      </c>
      <c r="C1973" s="15" t="s">
        <v>11277</v>
      </c>
      <c r="D1973" s="15" t="s">
        <v>11277</v>
      </c>
      <c r="E1973" s="15" t="s">
        <v>133</v>
      </c>
      <c r="F1973" s="15" t="s">
        <v>15377</v>
      </c>
      <c r="G1973" s="15" t="s">
        <v>12021</v>
      </c>
      <c r="H1973" s="15">
        <v>6</v>
      </c>
      <c r="I1973" s="15">
        <v>8</v>
      </c>
      <c r="J1973" s="15">
        <v>85</v>
      </c>
      <c r="K1973" s="15" t="str">
        <f t="shared" si="30"/>
        <v>theperfumedtides</v>
      </c>
      <c r="L1973" s="15" t="s">
        <v>11944</v>
      </c>
      <c r="M1973" s="15">
        <v>1</v>
      </c>
      <c r="N1973" s="15" t="s">
        <v>11222</v>
      </c>
      <c r="O1973" s="15"/>
      <c r="P1973" s="15"/>
      <c r="Q1973" s="15"/>
      <c r="R1973" s="15"/>
      <c r="S1973" s="15"/>
      <c r="T1973" s="15">
        <v>0</v>
      </c>
      <c r="U1973" s="15"/>
      <c r="V1973" s="15"/>
      <c r="W1973" s="15"/>
      <c r="X1973" s="15"/>
      <c r="Y1973" s="15"/>
      <c r="Z1973" s="15"/>
    </row>
    <row r="1974" spans="1:26" x14ac:dyDescent="0.25">
      <c r="A1974" s="15" t="s">
        <v>15379</v>
      </c>
      <c r="B1974" s="15">
        <v>1973</v>
      </c>
      <c r="C1974" s="15" t="s">
        <v>11277</v>
      </c>
      <c r="D1974" s="15" t="s">
        <v>11277</v>
      </c>
      <c r="E1974" s="15" t="s">
        <v>133</v>
      </c>
      <c r="F1974" s="15" t="s">
        <v>15377</v>
      </c>
      <c r="G1974" s="15" t="s">
        <v>12022</v>
      </c>
      <c r="H1974" s="15">
        <v>6</v>
      </c>
      <c r="I1974" s="15">
        <v>8</v>
      </c>
      <c r="J1974" s="15">
        <v>87</v>
      </c>
      <c r="K1974" s="15" t="str">
        <f t="shared" si="30"/>
        <v>theperfumedtides</v>
      </c>
      <c r="L1974" s="15" t="s">
        <v>11938</v>
      </c>
      <c r="M1974" s="15">
        <v>2</v>
      </c>
      <c r="N1974" s="15" t="s">
        <v>11223</v>
      </c>
      <c r="O1974" s="15"/>
      <c r="P1974" s="15"/>
      <c r="Q1974" s="15" t="s">
        <v>12021</v>
      </c>
      <c r="R1974" s="15"/>
      <c r="S1974" s="15"/>
      <c r="T1974" s="15">
        <v>0</v>
      </c>
      <c r="U1974" s="15"/>
      <c r="V1974" s="15"/>
      <c r="W1974" s="15"/>
      <c r="X1974" s="15"/>
      <c r="Y1974" s="15"/>
      <c r="Z1974" s="15"/>
    </row>
    <row r="1975" spans="1:26" x14ac:dyDescent="0.25">
      <c r="A1975" s="15" t="s">
        <v>15380</v>
      </c>
      <c r="B1975" s="15">
        <v>1974</v>
      </c>
      <c r="C1975" s="15" t="s">
        <v>11277</v>
      </c>
      <c r="D1975" s="15" t="s">
        <v>11277</v>
      </c>
      <c r="E1975" s="15" t="s">
        <v>133</v>
      </c>
      <c r="F1975" s="15" t="s">
        <v>15377</v>
      </c>
      <c r="G1975" s="15" t="s">
        <v>12023</v>
      </c>
      <c r="H1975" s="15">
        <v>6</v>
      </c>
      <c r="I1975" s="15">
        <v>8</v>
      </c>
      <c r="J1975" s="15">
        <v>88</v>
      </c>
      <c r="K1975" s="15" t="str">
        <f t="shared" si="30"/>
        <v>theperfumedtides</v>
      </c>
      <c r="L1975" s="15" t="s">
        <v>11944</v>
      </c>
      <c r="M1975" s="15">
        <v>2</v>
      </c>
      <c r="N1975" s="15" t="s">
        <v>11223</v>
      </c>
      <c r="O1975" s="15"/>
      <c r="P1975" s="15"/>
      <c r="Q1975" s="15"/>
      <c r="R1975" s="15"/>
      <c r="S1975" s="15"/>
      <c r="T1975" s="15">
        <v>0</v>
      </c>
      <c r="U1975" s="15"/>
      <c r="V1975" s="15"/>
      <c r="W1975" s="15"/>
      <c r="X1975" s="15"/>
      <c r="Y1975" s="15"/>
      <c r="Z1975" s="15"/>
    </row>
    <row r="1976" spans="1:26" x14ac:dyDescent="0.25">
      <c r="A1976" s="15" t="s">
        <v>15381</v>
      </c>
      <c r="B1976" s="15">
        <v>1975</v>
      </c>
      <c r="C1976" s="15" t="s">
        <v>11277</v>
      </c>
      <c r="D1976" s="15" t="s">
        <v>11277</v>
      </c>
      <c r="E1976" s="15" t="s">
        <v>133</v>
      </c>
      <c r="F1976" s="15" t="s">
        <v>15377</v>
      </c>
      <c r="G1976" s="15" t="s">
        <v>12024</v>
      </c>
      <c r="H1976" s="15">
        <v>6</v>
      </c>
      <c r="I1976" s="15">
        <v>8</v>
      </c>
      <c r="J1976" s="15">
        <v>90</v>
      </c>
      <c r="K1976" s="15" t="str">
        <f t="shared" si="30"/>
        <v>theperfumedtides</v>
      </c>
      <c r="L1976" s="15" t="s">
        <v>14088</v>
      </c>
      <c r="M1976" s="15">
        <v>3</v>
      </c>
      <c r="N1976" s="15" t="s">
        <v>11223</v>
      </c>
      <c r="O1976" s="15"/>
      <c r="P1976" s="15"/>
      <c r="Q1976" s="15" t="s">
        <v>12021</v>
      </c>
      <c r="R1976" s="15"/>
      <c r="S1976" s="15"/>
      <c r="T1976" s="15">
        <v>1</v>
      </c>
      <c r="U1976" s="15" t="s">
        <v>5892</v>
      </c>
      <c r="V1976" s="15"/>
      <c r="W1976" s="15"/>
      <c r="X1976" s="15"/>
      <c r="Y1976" s="15"/>
      <c r="Z1976" s="15"/>
    </row>
    <row r="1977" spans="1:26" x14ac:dyDescent="0.25">
      <c r="A1977" s="15" t="s">
        <v>15382</v>
      </c>
      <c r="B1977" s="15">
        <v>1976</v>
      </c>
      <c r="C1977" s="15" t="s">
        <v>11277</v>
      </c>
      <c r="D1977" s="15" t="s">
        <v>11277</v>
      </c>
      <c r="E1977" s="15" t="s">
        <v>133</v>
      </c>
      <c r="F1977" s="15" t="s">
        <v>15377</v>
      </c>
      <c r="G1977" s="15" t="s">
        <v>12025</v>
      </c>
      <c r="H1977" s="15">
        <v>6</v>
      </c>
      <c r="I1977" s="15">
        <v>8</v>
      </c>
      <c r="J1977" s="15">
        <v>90</v>
      </c>
      <c r="K1977" s="15" t="str">
        <f t="shared" si="30"/>
        <v>theperfumedtides</v>
      </c>
      <c r="L1977" s="15" t="s">
        <v>11944</v>
      </c>
      <c r="M1977" s="15">
        <v>2</v>
      </c>
      <c r="N1977" s="15" t="s">
        <v>11223</v>
      </c>
      <c r="O1977" s="15"/>
      <c r="P1977" s="15"/>
      <c r="Q1977" s="15"/>
      <c r="R1977" s="15"/>
      <c r="S1977" s="15"/>
      <c r="T1977" s="15">
        <v>1</v>
      </c>
      <c r="U1977" s="15"/>
      <c r="V1977" s="15"/>
      <c r="W1977" s="15"/>
      <c r="X1977" s="15"/>
      <c r="Y1977" s="15"/>
      <c r="Z1977" s="15"/>
    </row>
    <row r="1978" spans="1:26" x14ac:dyDescent="0.25">
      <c r="A1978" s="15" t="s">
        <v>15383</v>
      </c>
      <c r="B1978" s="15">
        <v>1977</v>
      </c>
      <c r="C1978" s="15" t="s">
        <v>11277</v>
      </c>
      <c r="D1978" s="15" t="s">
        <v>11277</v>
      </c>
      <c r="E1978" s="15" t="s">
        <v>133</v>
      </c>
      <c r="F1978" s="15" t="s">
        <v>15377</v>
      </c>
      <c r="G1978" s="15" t="s">
        <v>12026</v>
      </c>
      <c r="H1978" s="15">
        <v>6</v>
      </c>
      <c r="I1978" s="15">
        <v>8</v>
      </c>
      <c r="J1978" s="15">
        <v>90</v>
      </c>
      <c r="K1978" s="15" t="str">
        <f t="shared" si="30"/>
        <v>theperfumedtides</v>
      </c>
      <c r="L1978" s="15" t="s">
        <v>14088</v>
      </c>
      <c r="M1978" s="15">
        <v>3</v>
      </c>
      <c r="N1978" s="15" t="s">
        <v>11223</v>
      </c>
      <c r="O1978" s="15"/>
      <c r="P1978" s="15"/>
      <c r="Q1978" s="15" t="s">
        <v>12024</v>
      </c>
      <c r="R1978" s="15"/>
      <c r="S1978" s="15"/>
      <c r="T1978" s="15">
        <v>3</v>
      </c>
      <c r="U1978" s="15" t="s">
        <v>5892</v>
      </c>
      <c r="V1978" s="15"/>
      <c r="W1978" s="15"/>
      <c r="X1978" s="15"/>
      <c r="Y1978" s="15"/>
      <c r="Z1978" s="15"/>
    </row>
    <row r="1979" spans="1:26" x14ac:dyDescent="0.25">
      <c r="A1979" s="15" t="s">
        <v>15384</v>
      </c>
      <c r="B1979" s="15">
        <v>1978</v>
      </c>
      <c r="C1979" s="15" t="s">
        <v>11277</v>
      </c>
      <c r="D1979" s="15" t="s">
        <v>11277</v>
      </c>
      <c r="E1979" s="15" t="s">
        <v>133</v>
      </c>
      <c r="F1979" s="15" t="s">
        <v>15377</v>
      </c>
      <c r="G1979" s="15" t="s">
        <v>12027</v>
      </c>
      <c r="H1979" s="15">
        <v>6</v>
      </c>
      <c r="I1979" s="15">
        <v>8</v>
      </c>
      <c r="J1979" s="15">
        <v>90</v>
      </c>
      <c r="K1979" s="15" t="str">
        <f t="shared" si="30"/>
        <v>theperfumedtides</v>
      </c>
      <c r="L1979" s="15" t="s">
        <v>11944</v>
      </c>
      <c r="M1979" s="15">
        <v>3</v>
      </c>
      <c r="N1979" s="15" t="s">
        <v>11223</v>
      </c>
      <c r="O1979" s="15" t="s">
        <v>14026</v>
      </c>
      <c r="P1979" s="15" t="s">
        <v>15385</v>
      </c>
      <c r="Q1979" s="15"/>
      <c r="R1979" s="15"/>
      <c r="S1979" s="15"/>
      <c r="T1979" s="15">
        <v>4</v>
      </c>
      <c r="U1979" s="15" t="s">
        <v>5901</v>
      </c>
      <c r="V1979" s="15"/>
      <c r="W1979" s="15"/>
      <c r="X1979" s="15" t="s">
        <v>5892</v>
      </c>
      <c r="Y1979" s="15"/>
      <c r="Z1979" s="15"/>
    </row>
    <row r="1980" spans="1:26" x14ac:dyDescent="0.25">
      <c r="A1980" s="15" t="s">
        <v>15386</v>
      </c>
      <c r="B1980" s="15">
        <v>1979</v>
      </c>
      <c r="C1980" s="15" t="s">
        <v>11277</v>
      </c>
      <c r="D1980" s="15" t="s">
        <v>11647</v>
      </c>
      <c r="E1980" s="15" t="s">
        <v>133</v>
      </c>
      <c r="F1980" s="15" t="s">
        <v>15387</v>
      </c>
      <c r="G1980" s="15" t="s">
        <v>12046</v>
      </c>
      <c r="H1980" s="15">
        <v>14</v>
      </c>
      <c r="I1980" s="15">
        <v>37</v>
      </c>
      <c r="J1980" s="15">
        <v>81</v>
      </c>
      <c r="K1980" s="15" t="str">
        <f t="shared" si="30"/>
        <v>southernakyaali</v>
      </c>
      <c r="L1980" s="15"/>
      <c r="M1980" s="15"/>
      <c r="N1980" s="15"/>
      <c r="O1980" s="15"/>
      <c r="P1980" s="15"/>
      <c r="Q1980" s="15"/>
      <c r="R1980" s="15"/>
      <c r="S1980" s="15"/>
      <c r="T1980" s="15">
        <v>0</v>
      </c>
      <c r="U1980" s="15"/>
      <c r="V1980" s="15"/>
      <c r="W1980" s="15"/>
      <c r="X1980" s="15"/>
      <c r="Y1980" s="15"/>
      <c r="Z1980" s="15"/>
    </row>
    <row r="1981" spans="1:26" x14ac:dyDescent="0.25">
      <c r="A1981" s="15" t="s">
        <v>15388</v>
      </c>
      <c r="B1981" s="15">
        <v>1980</v>
      </c>
      <c r="C1981" s="15" t="s">
        <v>11277</v>
      </c>
      <c r="D1981" s="15" t="s">
        <v>11647</v>
      </c>
      <c r="E1981" s="15" t="s">
        <v>133</v>
      </c>
      <c r="F1981" s="15" t="s">
        <v>15387</v>
      </c>
      <c r="G1981" s="15" t="s">
        <v>12047</v>
      </c>
      <c r="H1981" s="15">
        <v>14</v>
      </c>
      <c r="I1981" s="15">
        <v>37</v>
      </c>
      <c r="J1981" s="15">
        <v>83</v>
      </c>
      <c r="K1981" s="15" t="str">
        <f t="shared" si="30"/>
        <v>southernakyaali</v>
      </c>
      <c r="L1981" s="15"/>
      <c r="M1981" s="15"/>
      <c r="N1981" s="15"/>
      <c r="O1981" s="15"/>
      <c r="P1981" s="15"/>
      <c r="Q1981" s="15"/>
      <c r="R1981" s="15"/>
      <c r="S1981" s="15"/>
      <c r="T1981" s="15">
        <v>0</v>
      </c>
      <c r="U1981" s="15"/>
      <c r="V1981" s="15"/>
      <c r="W1981" s="15"/>
      <c r="X1981" s="15"/>
      <c r="Y1981" s="15"/>
      <c r="Z1981" s="15"/>
    </row>
    <row r="1982" spans="1:26" x14ac:dyDescent="0.25">
      <c r="A1982" s="15" t="s">
        <v>15389</v>
      </c>
      <c r="B1982" s="15">
        <v>1981</v>
      </c>
      <c r="C1982" s="15" t="s">
        <v>11277</v>
      </c>
      <c r="D1982" s="15" t="s">
        <v>11647</v>
      </c>
      <c r="E1982" s="15" t="s">
        <v>133</v>
      </c>
      <c r="F1982" s="15" t="s">
        <v>15387</v>
      </c>
      <c r="G1982" s="15" t="s">
        <v>12048</v>
      </c>
      <c r="H1982" s="15">
        <v>14</v>
      </c>
      <c r="I1982" s="15">
        <v>37</v>
      </c>
      <c r="J1982" s="15">
        <v>82</v>
      </c>
      <c r="K1982" s="15" t="str">
        <f t="shared" si="30"/>
        <v>southernakyaali</v>
      </c>
      <c r="L1982" s="15"/>
      <c r="M1982" s="15"/>
      <c r="N1982" s="15"/>
      <c r="O1982" s="15"/>
      <c r="P1982" s="15"/>
      <c r="Q1982" s="15"/>
      <c r="R1982" s="15"/>
      <c r="S1982" s="15"/>
      <c r="T1982" s="15">
        <v>0</v>
      </c>
      <c r="U1982" s="15"/>
      <c r="V1982" s="15"/>
      <c r="W1982" s="15"/>
      <c r="X1982" s="15"/>
      <c r="Y1982" s="15"/>
      <c r="Z1982" s="15"/>
    </row>
    <row r="1983" spans="1:26" x14ac:dyDescent="0.25">
      <c r="A1983" s="15" t="s">
        <v>15390</v>
      </c>
      <c r="B1983" s="15">
        <v>1982</v>
      </c>
      <c r="C1983" s="15" t="s">
        <v>11277</v>
      </c>
      <c r="D1983" s="15" t="s">
        <v>11647</v>
      </c>
      <c r="E1983" s="15" t="s">
        <v>133</v>
      </c>
      <c r="F1983" s="15" t="s">
        <v>15387</v>
      </c>
      <c r="G1983" s="15" t="s">
        <v>141</v>
      </c>
      <c r="H1983" s="15">
        <v>14</v>
      </c>
      <c r="I1983" s="15">
        <v>37</v>
      </c>
      <c r="J1983" s="15">
        <v>85</v>
      </c>
      <c r="K1983" s="15" t="str">
        <f t="shared" si="30"/>
        <v>southernakyaali</v>
      </c>
      <c r="L1983" s="15"/>
      <c r="M1983" s="15"/>
      <c r="N1983" s="15"/>
      <c r="O1983" s="15"/>
      <c r="P1983" s="15"/>
      <c r="Q1983" s="15"/>
      <c r="R1983" s="15"/>
      <c r="S1983" s="15"/>
      <c r="T1983" s="15">
        <v>0</v>
      </c>
      <c r="U1983" s="15"/>
      <c r="V1983" s="15"/>
      <c r="W1983" s="15"/>
      <c r="X1983" s="15"/>
      <c r="Y1983" s="15"/>
      <c r="Z1983" s="15"/>
    </row>
    <row r="1984" spans="1:26" x14ac:dyDescent="0.25">
      <c r="A1984" s="15" t="s">
        <v>15391</v>
      </c>
      <c r="B1984" s="15">
        <v>1983</v>
      </c>
      <c r="C1984" s="15" t="s">
        <v>11277</v>
      </c>
      <c r="D1984" s="15" t="s">
        <v>11647</v>
      </c>
      <c r="E1984" s="15" t="s">
        <v>133</v>
      </c>
      <c r="F1984" s="15" t="s">
        <v>15387</v>
      </c>
      <c r="G1984" s="15" t="s">
        <v>12049</v>
      </c>
      <c r="H1984" s="15">
        <v>14</v>
      </c>
      <c r="I1984" s="15">
        <v>37</v>
      </c>
      <c r="J1984" s="15">
        <v>81</v>
      </c>
      <c r="K1984" s="15" t="str">
        <f t="shared" si="30"/>
        <v>southernakyaali</v>
      </c>
      <c r="L1984" s="15"/>
      <c r="M1984" s="15"/>
      <c r="N1984" s="15"/>
      <c r="O1984" s="15"/>
      <c r="P1984" s="15"/>
      <c r="Q1984" s="15"/>
      <c r="R1984" s="15"/>
      <c r="S1984" s="15"/>
      <c r="T1984" s="15">
        <v>0</v>
      </c>
      <c r="U1984" s="15"/>
      <c r="V1984" s="15"/>
      <c r="W1984" s="15"/>
      <c r="X1984" s="15"/>
      <c r="Y1984" s="15"/>
      <c r="Z1984" s="15"/>
    </row>
    <row r="1985" spans="1:26" x14ac:dyDescent="0.25">
      <c r="A1985" s="15" t="s">
        <v>15392</v>
      </c>
      <c r="B1985" s="15">
        <v>1984</v>
      </c>
      <c r="C1985" s="15" t="s">
        <v>11277</v>
      </c>
      <c r="D1985" s="15" t="s">
        <v>11647</v>
      </c>
      <c r="E1985" s="15" t="s">
        <v>133</v>
      </c>
      <c r="F1985" s="15" t="s">
        <v>15387</v>
      </c>
      <c r="G1985" s="15" t="s">
        <v>12050</v>
      </c>
      <c r="H1985" s="15">
        <v>14</v>
      </c>
      <c r="I1985" s="15">
        <v>37</v>
      </c>
      <c r="J1985" s="15">
        <v>82</v>
      </c>
      <c r="K1985" s="15" t="str">
        <f t="shared" si="30"/>
        <v>southernakyaali</v>
      </c>
      <c r="L1985" s="15"/>
      <c r="M1985" s="15"/>
      <c r="N1985" s="15"/>
      <c r="O1985" s="15"/>
      <c r="P1985" s="15"/>
      <c r="Q1985" s="15"/>
      <c r="R1985" s="15"/>
      <c r="S1985" s="15"/>
      <c r="T1985" s="15">
        <v>0</v>
      </c>
      <c r="U1985" s="15"/>
      <c r="V1985" s="15"/>
      <c r="W1985" s="15"/>
      <c r="X1985" s="15"/>
      <c r="Y1985" s="15"/>
      <c r="Z1985" s="15"/>
    </row>
    <row r="1986" spans="1:26" x14ac:dyDescent="0.25">
      <c r="A1986" s="15" t="s">
        <v>15393</v>
      </c>
      <c r="B1986" s="15">
        <v>1985</v>
      </c>
      <c r="C1986" s="15" t="s">
        <v>11277</v>
      </c>
      <c r="D1986" s="15" t="s">
        <v>11647</v>
      </c>
      <c r="E1986" s="15" t="s">
        <v>133</v>
      </c>
      <c r="F1986" s="15" t="s">
        <v>15394</v>
      </c>
      <c r="G1986" s="15" t="s">
        <v>12051</v>
      </c>
      <c r="H1986" s="15">
        <v>8.1999999999999993</v>
      </c>
      <c r="I1986" s="15">
        <v>32.700000000000003</v>
      </c>
      <c r="J1986" s="15">
        <v>86</v>
      </c>
      <c r="K1986" s="15" t="str">
        <f t="shared" ref="K1986:K2049" si="31">LOWER(SUBSTITUTE(SUBSTITUTE(SUBSTITUTE(SUBSTITUTE(SUBSTITUTE(F1986," ",""),"(",""),")",""),"'",""),"-",""))</f>
        <v>westernakyaali</v>
      </c>
      <c r="L1986" s="15"/>
      <c r="M1986" s="15"/>
      <c r="N1986" s="15"/>
      <c r="O1986" s="15"/>
      <c r="P1986" s="15"/>
      <c r="Q1986" s="15"/>
      <c r="R1986" s="15"/>
      <c r="S1986" s="15"/>
      <c r="T1986" s="15">
        <v>0</v>
      </c>
      <c r="U1986" s="15"/>
      <c r="V1986" s="15"/>
      <c r="W1986" s="15"/>
      <c r="X1986" s="15"/>
      <c r="Y1986" s="15"/>
      <c r="Z1986" s="15"/>
    </row>
    <row r="1987" spans="1:26" x14ac:dyDescent="0.25">
      <c r="A1987" s="15" t="s">
        <v>15395</v>
      </c>
      <c r="B1987" s="15">
        <v>1986</v>
      </c>
      <c r="C1987" s="15" t="s">
        <v>11277</v>
      </c>
      <c r="D1987" s="15" t="s">
        <v>11647</v>
      </c>
      <c r="E1987" s="15" t="s">
        <v>133</v>
      </c>
      <c r="F1987" s="15" t="s">
        <v>15394</v>
      </c>
      <c r="G1987" s="15" t="s">
        <v>12052</v>
      </c>
      <c r="H1987" s="15">
        <v>8.1999999999999993</v>
      </c>
      <c r="I1987" s="15">
        <v>32.700000000000003</v>
      </c>
      <c r="J1987" s="15">
        <v>87</v>
      </c>
      <c r="K1987" s="15" t="str">
        <f t="shared" si="31"/>
        <v>westernakyaali</v>
      </c>
      <c r="L1987" s="15"/>
      <c r="M1987" s="15"/>
      <c r="N1987" s="15"/>
      <c r="O1987" s="15"/>
      <c r="P1987" s="15"/>
      <c r="Q1987" s="15"/>
      <c r="R1987" s="15"/>
      <c r="S1987" s="15"/>
      <c r="T1987" s="15">
        <v>0</v>
      </c>
      <c r="U1987" s="15"/>
      <c r="V1987" s="15"/>
      <c r="W1987" s="15"/>
      <c r="X1987" s="15"/>
      <c r="Y1987" s="15"/>
      <c r="Z1987" s="15"/>
    </row>
    <row r="1988" spans="1:26" x14ac:dyDescent="0.25">
      <c r="A1988" s="15" t="s">
        <v>15396</v>
      </c>
      <c r="B1988" s="15">
        <v>1987</v>
      </c>
      <c r="C1988" s="15" t="s">
        <v>11277</v>
      </c>
      <c r="D1988" s="15" t="s">
        <v>11647</v>
      </c>
      <c r="E1988" s="15" t="s">
        <v>133</v>
      </c>
      <c r="F1988" s="15" t="s">
        <v>15394</v>
      </c>
      <c r="G1988" s="15" t="s">
        <v>12053</v>
      </c>
      <c r="H1988" s="15">
        <v>8.1999999999999993</v>
      </c>
      <c r="I1988" s="15">
        <v>32.700000000000003</v>
      </c>
      <c r="J1988" s="15">
        <v>87</v>
      </c>
      <c r="K1988" s="15" t="str">
        <f t="shared" si="31"/>
        <v>westernakyaali</v>
      </c>
      <c r="L1988" s="15"/>
      <c r="M1988" s="15"/>
      <c r="N1988" s="15"/>
      <c r="O1988" s="15"/>
      <c r="P1988" s="15"/>
      <c r="Q1988" s="15"/>
      <c r="R1988" s="15"/>
      <c r="S1988" s="15"/>
      <c r="T1988" s="15">
        <v>0</v>
      </c>
      <c r="U1988" s="15"/>
      <c r="V1988" s="15"/>
      <c r="W1988" s="15"/>
      <c r="X1988" s="15"/>
      <c r="Y1988" s="15"/>
      <c r="Z1988" s="15"/>
    </row>
    <row r="1989" spans="1:26" x14ac:dyDescent="0.25">
      <c r="A1989" s="15" t="s">
        <v>15397</v>
      </c>
      <c r="B1989" s="15">
        <v>1988</v>
      </c>
      <c r="C1989" s="15" t="s">
        <v>11277</v>
      </c>
      <c r="D1989" s="15" t="s">
        <v>11647</v>
      </c>
      <c r="E1989" s="15" t="s">
        <v>133</v>
      </c>
      <c r="F1989" s="15" t="s">
        <v>15394</v>
      </c>
      <c r="G1989" s="15" t="s">
        <v>12054</v>
      </c>
      <c r="H1989" s="15">
        <v>8.1999999999999993</v>
      </c>
      <c r="I1989" s="15">
        <v>32.700000000000003</v>
      </c>
      <c r="J1989" s="15">
        <v>86</v>
      </c>
      <c r="K1989" s="15" t="str">
        <f t="shared" si="31"/>
        <v>westernakyaali</v>
      </c>
      <c r="L1989" s="15"/>
      <c r="M1989" s="15"/>
      <c r="N1989" s="15"/>
      <c r="O1989" s="15"/>
      <c r="P1989" s="15"/>
      <c r="Q1989" s="15"/>
      <c r="R1989" s="15"/>
      <c r="S1989" s="15"/>
      <c r="T1989" s="15">
        <v>0</v>
      </c>
      <c r="U1989" s="15"/>
      <c r="V1989" s="15"/>
      <c r="W1989" s="15"/>
      <c r="X1989" s="15"/>
      <c r="Y1989" s="15"/>
      <c r="Z1989" s="15"/>
    </row>
    <row r="1990" spans="1:26" x14ac:dyDescent="0.25">
      <c r="A1990" s="15" t="s">
        <v>15398</v>
      </c>
      <c r="B1990" s="15">
        <v>1989</v>
      </c>
      <c r="C1990" s="15" t="s">
        <v>11277</v>
      </c>
      <c r="D1990" s="15" t="s">
        <v>11647</v>
      </c>
      <c r="E1990" s="15" t="s">
        <v>133</v>
      </c>
      <c r="F1990" s="15" t="s">
        <v>15394</v>
      </c>
      <c r="G1990" s="15" t="s">
        <v>12055</v>
      </c>
      <c r="H1990" s="15">
        <v>8.1999999999999993</v>
      </c>
      <c r="I1990" s="15">
        <v>32.700000000000003</v>
      </c>
      <c r="J1990" s="15">
        <v>86</v>
      </c>
      <c r="K1990" s="15" t="str">
        <f t="shared" si="31"/>
        <v>westernakyaali</v>
      </c>
      <c r="L1990" s="15"/>
      <c r="M1990" s="15"/>
      <c r="N1990" s="15"/>
      <c r="O1990" s="15"/>
      <c r="P1990" s="15"/>
      <c r="Q1990" s="15"/>
      <c r="R1990" s="15"/>
      <c r="S1990" s="15"/>
      <c r="T1990" s="15">
        <v>0</v>
      </c>
      <c r="U1990" s="15"/>
      <c r="V1990" s="15"/>
      <c r="W1990" s="15"/>
      <c r="X1990" s="15"/>
      <c r="Y1990" s="15"/>
      <c r="Z1990" s="15"/>
    </row>
    <row r="1991" spans="1:26" x14ac:dyDescent="0.25">
      <c r="A1991" s="15" t="s">
        <v>15399</v>
      </c>
      <c r="B1991" s="15">
        <v>1990</v>
      </c>
      <c r="C1991" s="15" t="s">
        <v>11277</v>
      </c>
      <c r="D1991" s="15" t="s">
        <v>11647</v>
      </c>
      <c r="E1991" s="15" t="s">
        <v>133</v>
      </c>
      <c r="F1991" s="15" t="s">
        <v>15394</v>
      </c>
      <c r="G1991" s="15" t="s">
        <v>12056</v>
      </c>
      <c r="H1991" s="15">
        <v>8.1999999999999993</v>
      </c>
      <c r="I1991" s="15">
        <v>32.700000000000003</v>
      </c>
      <c r="J1991" s="15">
        <v>88</v>
      </c>
      <c r="K1991" s="15" t="str">
        <f t="shared" si="31"/>
        <v>westernakyaali</v>
      </c>
      <c r="L1991" s="15"/>
      <c r="M1991" s="15"/>
      <c r="N1991" s="15"/>
      <c r="O1991" s="15"/>
      <c r="P1991" s="15"/>
      <c r="Q1991" s="15"/>
      <c r="R1991" s="15"/>
      <c r="S1991" s="15"/>
      <c r="T1991" s="15">
        <v>0</v>
      </c>
      <c r="U1991" s="15"/>
      <c r="V1991" s="15"/>
      <c r="W1991" s="15"/>
      <c r="X1991" s="15"/>
      <c r="Y1991" s="15"/>
      <c r="Z1991" s="15"/>
    </row>
    <row r="1992" spans="1:26" x14ac:dyDescent="0.25">
      <c r="A1992" s="15" t="s">
        <v>15400</v>
      </c>
      <c r="B1992" s="15">
        <v>1991</v>
      </c>
      <c r="C1992" s="15" t="s">
        <v>11277</v>
      </c>
      <c r="D1992" s="15" t="s">
        <v>11647</v>
      </c>
      <c r="E1992" s="15" t="s">
        <v>133</v>
      </c>
      <c r="F1992" s="15" t="s">
        <v>15401</v>
      </c>
      <c r="G1992" s="15" t="s">
        <v>12057</v>
      </c>
      <c r="H1992" s="15">
        <v>4</v>
      </c>
      <c r="I1992" s="15">
        <v>28</v>
      </c>
      <c r="J1992" s="15">
        <v>88</v>
      </c>
      <c r="K1992" s="15" t="str">
        <f t="shared" si="31"/>
        <v>southerngreatrunoff</v>
      </c>
      <c r="L1992" s="15"/>
      <c r="M1992" s="15"/>
      <c r="N1992" s="15"/>
      <c r="O1992" s="15"/>
      <c r="P1992" s="15"/>
      <c r="Q1992" s="15"/>
      <c r="R1992" s="15"/>
      <c r="S1992" s="15"/>
      <c r="T1992" s="15">
        <v>0</v>
      </c>
      <c r="U1992" s="15"/>
      <c r="V1992" s="15"/>
      <c r="W1992" s="15"/>
      <c r="X1992" s="15"/>
      <c r="Y1992" s="15"/>
      <c r="Z1992" s="15"/>
    </row>
    <row r="1993" spans="1:26" x14ac:dyDescent="0.25">
      <c r="A1993" s="15" t="s">
        <v>15402</v>
      </c>
      <c r="B1993" s="15">
        <v>1992</v>
      </c>
      <c r="C1993" s="15" t="s">
        <v>11277</v>
      </c>
      <c r="D1993" s="15" t="s">
        <v>11647</v>
      </c>
      <c r="E1993" s="15" t="s">
        <v>133</v>
      </c>
      <c r="F1993" s="15" t="s">
        <v>15401</v>
      </c>
      <c r="G1993" s="15" t="s">
        <v>12058</v>
      </c>
      <c r="H1993" s="15">
        <v>4</v>
      </c>
      <c r="I1993" s="15">
        <v>28</v>
      </c>
      <c r="J1993" s="15">
        <v>86</v>
      </c>
      <c r="K1993" s="15" t="str">
        <f t="shared" si="31"/>
        <v>southerngreatrunoff</v>
      </c>
      <c r="L1993" s="15"/>
      <c r="M1993" s="15"/>
      <c r="N1993" s="15"/>
      <c r="O1993" s="15"/>
      <c r="P1993" s="15"/>
      <c r="Q1993" s="15"/>
      <c r="R1993" s="15"/>
      <c r="S1993" s="15"/>
      <c r="T1993" s="15">
        <v>0</v>
      </c>
      <c r="U1993" s="15"/>
      <c r="V1993" s="15"/>
      <c r="W1993" s="15"/>
      <c r="X1993" s="15"/>
      <c r="Y1993" s="15"/>
      <c r="Z1993" s="15"/>
    </row>
    <row r="1994" spans="1:26" x14ac:dyDescent="0.25">
      <c r="A1994" s="15" t="s">
        <v>15403</v>
      </c>
      <c r="B1994" s="15">
        <v>1993</v>
      </c>
      <c r="C1994" s="15" t="s">
        <v>11277</v>
      </c>
      <c r="D1994" s="15" t="s">
        <v>11647</v>
      </c>
      <c r="E1994" s="15" t="s">
        <v>133</v>
      </c>
      <c r="F1994" s="15" t="s">
        <v>15401</v>
      </c>
      <c r="G1994" s="15" t="s">
        <v>12059</v>
      </c>
      <c r="H1994" s="15">
        <v>4</v>
      </c>
      <c r="I1994" s="15">
        <v>28</v>
      </c>
      <c r="J1994" s="15">
        <v>88</v>
      </c>
      <c r="K1994" s="15" t="str">
        <f t="shared" si="31"/>
        <v>southerngreatrunoff</v>
      </c>
      <c r="L1994" s="15"/>
      <c r="M1994" s="15"/>
      <c r="N1994" s="15"/>
      <c r="O1994" s="15"/>
      <c r="P1994" s="15"/>
      <c r="Q1994" s="15"/>
      <c r="R1994" s="15"/>
      <c r="S1994" s="15"/>
      <c r="T1994" s="15">
        <v>0</v>
      </c>
      <c r="U1994" s="15"/>
      <c r="V1994" s="15"/>
      <c r="W1994" s="15"/>
      <c r="X1994" s="15"/>
      <c r="Y1994" s="15"/>
      <c r="Z1994" s="15"/>
    </row>
    <row r="1995" spans="1:26" x14ac:dyDescent="0.25">
      <c r="A1995" s="15" t="s">
        <v>15404</v>
      </c>
      <c r="B1995" s="15">
        <v>1994</v>
      </c>
      <c r="C1995" s="15" t="s">
        <v>11277</v>
      </c>
      <c r="D1995" s="15" t="s">
        <v>11647</v>
      </c>
      <c r="E1995" s="15" t="s">
        <v>133</v>
      </c>
      <c r="F1995" s="15" t="s">
        <v>15401</v>
      </c>
      <c r="G1995" s="15" t="s">
        <v>12060</v>
      </c>
      <c r="H1995" s="15">
        <v>4</v>
      </c>
      <c r="I1995" s="15">
        <v>28</v>
      </c>
      <c r="J1995" s="15">
        <v>88</v>
      </c>
      <c r="K1995" s="15" t="str">
        <f t="shared" si="31"/>
        <v>southerngreatrunoff</v>
      </c>
      <c r="L1995" s="15"/>
      <c r="M1995" s="15"/>
      <c r="N1995" s="15"/>
      <c r="O1995" s="15"/>
      <c r="P1995" s="15"/>
      <c r="Q1995" s="15"/>
      <c r="R1995" s="15"/>
      <c r="S1995" s="15"/>
      <c r="T1995" s="15">
        <v>0</v>
      </c>
      <c r="U1995" s="15"/>
      <c r="V1995" s="15"/>
      <c r="W1995" s="15"/>
      <c r="X1995" s="15"/>
      <c r="Y1995" s="15"/>
      <c r="Z1995" s="15"/>
    </row>
    <row r="1996" spans="1:26" x14ac:dyDescent="0.25">
      <c r="A1996" s="15" t="s">
        <v>15405</v>
      </c>
      <c r="B1996" s="15">
        <v>1995</v>
      </c>
      <c r="C1996" s="15" t="s">
        <v>11277</v>
      </c>
      <c r="D1996" s="15" t="s">
        <v>11647</v>
      </c>
      <c r="E1996" s="15" t="s">
        <v>133</v>
      </c>
      <c r="F1996" s="15" t="s">
        <v>15401</v>
      </c>
      <c r="G1996" s="15" t="s">
        <v>12061</v>
      </c>
      <c r="H1996" s="15">
        <v>4</v>
      </c>
      <c r="I1996" s="15">
        <v>28</v>
      </c>
      <c r="J1996" s="15">
        <v>87</v>
      </c>
      <c r="K1996" s="15" t="str">
        <f t="shared" si="31"/>
        <v>southerngreatrunoff</v>
      </c>
      <c r="L1996" s="15"/>
      <c r="M1996" s="15"/>
      <c r="N1996" s="15"/>
      <c r="O1996" s="15"/>
      <c r="P1996" s="15"/>
      <c r="Q1996" s="15"/>
      <c r="R1996" s="15"/>
      <c r="S1996" s="15"/>
      <c r="T1996" s="15">
        <v>0</v>
      </c>
      <c r="U1996" s="15"/>
      <c r="V1996" s="15"/>
      <c r="W1996" s="15"/>
      <c r="X1996" s="15"/>
      <c r="Y1996" s="15"/>
      <c r="Z1996" s="15"/>
    </row>
    <row r="1997" spans="1:26" x14ac:dyDescent="0.25">
      <c r="A1997" s="15" t="s">
        <v>15406</v>
      </c>
      <c r="B1997" s="15">
        <v>1996</v>
      </c>
      <c r="C1997" s="15" t="s">
        <v>11277</v>
      </c>
      <c r="D1997" s="15" t="s">
        <v>11647</v>
      </c>
      <c r="E1997" s="15" t="s">
        <v>133</v>
      </c>
      <c r="F1997" s="15" t="s">
        <v>15401</v>
      </c>
      <c r="G1997" s="15" t="s">
        <v>12062</v>
      </c>
      <c r="H1997" s="15">
        <v>4</v>
      </c>
      <c r="I1997" s="15">
        <v>28</v>
      </c>
      <c r="J1997" s="15">
        <v>90</v>
      </c>
      <c r="K1997" s="15" t="str">
        <f t="shared" si="31"/>
        <v>southerngreatrunoff</v>
      </c>
      <c r="L1997" s="15"/>
      <c r="M1997" s="15"/>
      <c r="N1997" s="15"/>
      <c r="O1997" s="15"/>
      <c r="P1997" s="15"/>
      <c r="Q1997" s="15"/>
      <c r="R1997" s="15"/>
      <c r="S1997" s="15"/>
      <c r="T1997" s="15">
        <v>0</v>
      </c>
      <c r="U1997" s="15"/>
      <c r="V1997" s="15"/>
      <c r="W1997" s="15"/>
      <c r="X1997" s="15"/>
      <c r="Y1997" s="15"/>
      <c r="Z1997" s="15"/>
    </row>
    <row r="1998" spans="1:26" x14ac:dyDescent="0.25">
      <c r="A1998" s="15" t="s">
        <v>15407</v>
      </c>
      <c r="B1998" s="15">
        <v>1997</v>
      </c>
      <c r="C1998" s="15" t="s">
        <v>11277</v>
      </c>
      <c r="D1998" s="15" t="s">
        <v>11647</v>
      </c>
      <c r="E1998" s="15" t="s">
        <v>133</v>
      </c>
      <c r="F1998" s="15" t="s">
        <v>2379</v>
      </c>
      <c r="G1998" s="15" t="s">
        <v>12063</v>
      </c>
      <c r="H1998" s="15">
        <v>24.5</v>
      </c>
      <c r="I1998" s="15">
        <v>24.4</v>
      </c>
      <c r="J1998" s="15">
        <v>87</v>
      </c>
      <c r="K1998" s="15" t="str">
        <f t="shared" si="31"/>
        <v>thefontofmaya</v>
      </c>
      <c r="L1998" s="15"/>
      <c r="M1998" s="15"/>
      <c r="N1998" s="15"/>
      <c r="O1998" s="15"/>
      <c r="P1998" s="15"/>
      <c r="Q1998" s="15"/>
      <c r="R1998" s="15"/>
      <c r="S1998" s="15"/>
      <c r="T1998" s="15">
        <v>0</v>
      </c>
      <c r="U1998" s="15"/>
      <c r="V1998" s="15"/>
      <c r="W1998" s="15"/>
      <c r="X1998" s="15"/>
      <c r="Y1998" s="15"/>
      <c r="Z1998" s="15"/>
    </row>
    <row r="1999" spans="1:26" x14ac:dyDescent="0.25">
      <c r="A1999" s="15" t="s">
        <v>15408</v>
      </c>
      <c r="B1999" s="15">
        <v>1998</v>
      </c>
      <c r="C1999" s="15" t="s">
        <v>11277</v>
      </c>
      <c r="D1999" s="15" t="s">
        <v>11647</v>
      </c>
      <c r="E1999" s="15" t="s">
        <v>133</v>
      </c>
      <c r="F1999" s="15" t="s">
        <v>2379</v>
      </c>
      <c r="G1999" s="15" t="s">
        <v>12064</v>
      </c>
      <c r="H1999" s="15">
        <v>24.5</v>
      </c>
      <c r="I1999" s="15">
        <v>24.4</v>
      </c>
      <c r="J1999" s="15">
        <v>88</v>
      </c>
      <c r="K1999" s="15" t="str">
        <f t="shared" si="31"/>
        <v>thefontofmaya</v>
      </c>
      <c r="L1999" s="15"/>
      <c r="M1999" s="15"/>
      <c r="N1999" s="15"/>
      <c r="O1999" s="15"/>
      <c r="P1999" s="15"/>
      <c r="Q1999" s="15"/>
      <c r="R1999" s="15"/>
      <c r="S1999" s="15"/>
      <c r="T1999" s="15">
        <v>0</v>
      </c>
      <c r="U1999" s="15"/>
      <c r="V1999" s="15"/>
      <c r="W1999" s="15"/>
      <c r="X1999" s="15"/>
      <c r="Y1999" s="15"/>
      <c r="Z1999" s="15"/>
    </row>
    <row r="2000" spans="1:26" x14ac:dyDescent="0.25">
      <c r="A2000" s="15" t="s">
        <v>15409</v>
      </c>
      <c r="B2000" s="15">
        <v>1999</v>
      </c>
      <c r="C2000" s="15" t="s">
        <v>11277</v>
      </c>
      <c r="D2000" s="15" t="s">
        <v>11647</v>
      </c>
      <c r="E2000" s="15" t="s">
        <v>133</v>
      </c>
      <c r="F2000" s="15" t="s">
        <v>2379</v>
      </c>
      <c r="G2000" s="15" t="s">
        <v>12065</v>
      </c>
      <c r="H2000" s="15">
        <v>24.5</v>
      </c>
      <c r="I2000" s="15">
        <v>24.4</v>
      </c>
      <c r="J2000" s="15">
        <v>87</v>
      </c>
      <c r="K2000" s="15" t="str">
        <f t="shared" si="31"/>
        <v>thefontofmaya</v>
      </c>
      <c r="L2000" s="15"/>
      <c r="M2000" s="15"/>
      <c r="N2000" s="15"/>
      <c r="O2000" s="15"/>
      <c r="P2000" s="15"/>
      <c r="Q2000" s="15"/>
      <c r="R2000" s="15"/>
      <c r="S2000" s="15"/>
      <c r="T2000" s="15">
        <v>0</v>
      </c>
      <c r="U2000" s="15"/>
      <c r="V2000" s="15"/>
      <c r="W2000" s="15"/>
      <c r="X2000" s="15"/>
      <c r="Y2000" s="15"/>
      <c r="Z2000" s="15"/>
    </row>
    <row r="2001" spans="1:26" x14ac:dyDescent="0.25">
      <c r="A2001" s="15" t="s">
        <v>15410</v>
      </c>
      <c r="B2001" s="15">
        <v>2000</v>
      </c>
      <c r="C2001" s="15" t="s">
        <v>11277</v>
      </c>
      <c r="D2001" s="15" t="s">
        <v>11647</v>
      </c>
      <c r="E2001" s="15" t="s">
        <v>133</v>
      </c>
      <c r="F2001" s="15" t="s">
        <v>2379</v>
      </c>
      <c r="G2001" s="15" t="s">
        <v>12066</v>
      </c>
      <c r="H2001" s="15">
        <v>24.5</v>
      </c>
      <c r="I2001" s="15">
        <v>24.4</v>
      </c>
      <c r="J2001" s="15">
        <v>88</v>
      </c>
      <c r="K2001" s="15" t="str">
        <f t="shared" si="31"/>
        <v>thefontofmaya</v>
      </c>
      <c r="L2001" s="15"/>
      <c r="M2001" s="15"/>
      <c r="N2001" s="15"/>
      <c r="O2001" s="15"/>
      <c r="P2001" s="15"/>
      <c r="Q2001" s="15"/>
      <c r="R2001" s="15"/>
      <c r="S2001" s="15"/>
      <c r="T2001" s="15">
        <v>0</v>
      </c>
      <c r="U2001" s="15"/>
      <c r="V2001" s="15"/>
      <c r="W2001" s="15"/>
      <c r="X2001" s="15"/>
      <c r="Y2001" s="15"/>
      <c r="Z2001" s="15"/>
    </row>
    <row r="2002" spans="1:26" x14ac:dyDescent="0.25">
      <c r="A2002" s="15" t="s">
        <v>15411</v>
      </c>
      <c r="B2002" s="15">
        <v>2001</v>
      </c>
      <c r="C2002" s="15" t="s">
        <v>11277</v>
      </c>
      <c r="D2002" s="15" t="s">
        <v>11647</v>
      </c>
      <c r="E2002" s="15" t="s">
        <v>133</v>
      </c>
      <c r="F2002" s="15" t="s">
        <v>2379</v>
      </c>
      <c r="G2002" s="15" t="s">
        <v>12067</v>
      </c>
      <c r="H2002" s="15">
        <v>24.5</v>
      </c>
      <c r="I2002" s="15">
        <v>24.4</v>
      </c>
      <c r="J2002" s="15">
        <v>86</v>
      </c>
      <c r="K2002" s="15" t="str">
        <f t="shared" si="31"/>
        <v>thefontofmaya</v>
      </c>
      <c r="L2002" s="15"/>
      <c r="M2002" s="15"/>
      <c r="N2002" s="15"/>
      <c r="O2002" s="15"/>
      <c r="P2002" s="15"/>
      <c r="Q2002" s="15"/>
      <c r="R2002" s="15"/>
      <c r="S2002" s="15"/>
      <c r="T2002" s="15">
        <v>0</v>
      </c>
      <c r="U2002" s="15"/>
      <c r="V2002" s="15"/>
      <c r="W2002" s="15"/>
      <c r="X2002" s="15"/>
      <c r="Y2002" s="15"/>
      <c r="Z2002" s="15"/>
    </row>
    <row r="2003" spans="1:26" x14ac:dyDescent="0.25">
      <c r="A2003" s="15" t="s">
        <v>15412</v>
      </c>
      <c r="B2003" s="15">
        <v>2002</v>
      </c>
      <c r="C2003" s="15" t="s">
        <v>11277</v>
      </c>
      <c r="D2003" s="15" t="s">
        <v>11647</v>
      </c>
      <c r="E2003" s="15" t="s">
        <v>133</v>
      </c>
      <c r="F2003" s="15" t="s">
        <v>2379</v>
      </c>
      <c r="G2003" s="15" t="s">
        <v>12068</v>
      </c>
      <c r="H2003" s="15">
        <v>24.5</v>
      </c>
      <c r="I2003" s="15">
        <v>24.4</v>
      </c>
      <c r="J2003" s="15">
        <v>89</v>
      </c>
      <c r="K2003" s="15" t="str">
        <f t="shared" si="31"/>
        <v>thefontofmaya</v>
      </c>
      <c r="L2003" s="15"/>
      <c r="M2003" s="15"/>
      <c r="N2003" s="15"/>
      <c r="O2003" s="15"/>
      <c r="P2003" s="15"/>
      <c r="Q2003" s="15"/>
      <c r="R2003" s="15"/>
      <c r="S2003" s="15"/>
      <c r="T2003" s="15">
        <v>0</v>
      </c>
      <c r="U2003" s="15"/>
      <c r="V2003" s="15"/>
      <c r="W2003" s="15"/>
      <c r="X2003" s="15"/>
      <c r="Y2003" s="15"/>
      <c r="Z2003" s="15"/>
    </row>
    <row r="2004" spans="1:26" x14ac:dyDescent="0.25">
      <c r="A2004" s="15" t="s">
        <v>15413</v>
      </c>
      <c r="B2004" s="15">
        <v>2003</v>
      </c>
      <c r="C2004" s="15" t="s">
        <v>11277</v>
      </c>
      <c r="D2004" s="15" t="s">
        <v>11647</v>
      </c>
      <c r="E2004" s="15" t="s">
        <v>133</v>
      </c>
      <c r="F2004" s="15" t="s">
        <v>15414</v>
      </c>
      <c r="G2004" s="15" t="s">
        <v>141</v>
      </c>
      <c r="H2004" s="15">
        <v>6</v>
      </c>
      <c r="I2004" s="15">
        <v>36</v>
      </c>
      <c r="J2004" s="15">
        <v>85</v>
      </c>
      <c r="K2004" s="15" t="str">
        <f t="shared" si="31"/>
        <v>outerakyaali</v>
      </c>
      <c r="L2004" s="15"/>
      <c r="M2004" s="15"/>
      <c r="N2004" s="15"/>
      <c r="O2004" s="15"/>
      <c r="P2004" s="15"/>
      <c r="Q2004" s="15"/>
      <c r="R2004" s="15"/>
      <c r="S2004" s="15"/>
      <c r="T2004" s="15">
        <v>0</v>
      </c>
      <c r="U2004" s="15"/>
      <c r="V2004" s="15"/>
      <c r="W2004" s="15"/>
      <c r="X2004" s="15"/>
      <c r="Y2004" s="15"/>
      <c r="Z2004" s="15"/>
    </row>
    <row r="2005" spans="1:26" x14ac:dyDescent="0.25">
      <c r="A2005" s="15" t="s">
        <v>15415</v>
      </c>
      <c r="B2005" s="15">
        <v>2004</v>
      </c>
      <c r="C2005" s="15" t="s">
        <v>11277</v>
      </c>
      <c r="D2005" s="15" t="s">
        <v>11647</v>
      </c>
      <c r="E2005" s="15" t="s">
        <v>133</v>
      </c>
      <c r="F2005" s="15" t="s">
        <v>15414</v>
      </c>
      <c r="G2005" s="15" t="s">
        <v>12058</v>
      </c>
      <c r="H2005" s="15">
        <v>6</v>
      </c>
      <c r="I2005" s="15">
        <v>36</v>
      </c>
      <c r="J2005" s="15">
        <v>86</v>
      </c>
      <c r="K2005" s="15" t="str">
        <f t="shared" si="31"/>
        <v>outerakyaali</v>
      </c>
      <c r="L2005" s="15"/>
      <c r="M2005" s="15"/>
      <c r="N2005" s="15"/>
      <c r="O2005" s="15"/>
      <c r="P2005" s="15"/>
      <c r="Q2005" s="15"/>
      <c r="R2005" s="15"/>
      <c r="S2005" s="15"/>
      <c r="T2005" s="15">
        <v>0</v>
      </c>
      <c r="U2005" s="15"/>
      <c r="V2005" s="15"/>
      <c r="W2005" s="15"/>
      <c r="X2005" s="15"/>
      <c r="Y2005" s="15"/>
      <c r="Z2005" s="15"/>
    </row>
    <row r="2006" spans="1:26" x14ac:dyDescent="0.25">
      <c r="A2006" s="15" t="s">
        <v>15416</v>
      </c>
      <c r="B2006" s="15">
        <v>2005</v>
      </c>
      <c r="C2006" s="15" t="s">
        <v>11277</v>
      </c>
      <c r="D2006" s="15" t="s">
        <v>11647</v>
      </c>
      <c r="E2006" s="15" t="s">
        <v>133</v>
      </c>
      <c r="F2006" s="15" t="s">
        <v>15414</v>
      </c>
      <c r="G2006" s="15" t="s">
        <v>12059</v>
      </c>
      <c r="H2006" s="15">
        <v>6</v>
      </c>
      <c r="I2006" s="15">
        <v>36</v>
      </c>
      <c r="J2006" s="15">
        <v>88</v>
      </c>
      <c r="K2006" s="15" t="str">
        <f t="shared" si="31"/>
        <v>outerakyaali</v>
      </c>
      <c r="L2006" s="15"/>
      <c r="M2006" s="15"/>
      <c r="N2006" s="15"/>
      <c r="O2006" s="15"/>
      <c r="P2006" s="15"/>
      <c r="Q2006" s="15"/>
      <c r="R2006" s="15"/>
      <c r="S2006" s="15"/>
      <c r="T2006" s="15">
        <v>0</v>
      </c>
      <c r="U2006" s="15"/>
      <c r="V2006" s="15"/>
      <c r="W2006" s="15"/>
      <c r="X2006" s="15"/>
      <c r="Y2006" s="15"/>
      <c r="Z2006" s="15"/>
    </row>
    <row r="2007" spans="1:26" x14ac:dyDescent="0.25">
      <c r="A2007" s="15" t="s">
        <v>15417</v>
      </c>
      <c r="B2007" s="15">
        <v>2006</v>
      </c>
      <c r="C2007" s="15" t="s">
        <v>11277</v>
      </c>
      <c r="D2007" s="15" t="s">
        <v>11647</v>
      </c>
      <c r="E2007" s="15" t="s">
        <v>133</v>
      </c>
      <c r="F2007" s="15" t="s">
        <v>15414</v>
      </c>
      <c r="G2007" s="15" t="s">
        <v>12062</v>
      </c>
      <c r="H2007" s="15">
        <v>6</v>
      </c>
      <c r="I2007" s="15">
        <v>36</v>
      </c>
      <c r="J2007" s="15">
        <v>90</v>
      </c>
      <c r="K2007" s="15" t="str">
        <f t="shared" si="31"/>
        <v>outerakyaali</v>
      </c>
      <c r="L2007" s="15"/>
      <c r="M2007" s="15"/>
      <c r="N2007" s="15"/>
      <c r="O2007" s="15"/>
      <c r="P2007" s="15"/>
      <c r="Q2007" s="15"/>
      <c r="R2007" s="15"/>
      <c r="S2007" s="15"/>
      <c r="T2007" s="15">
        <v>0</v>
      </c>
      <c r="U2007" s="15"/>
      <c r="V2007" s="15"/>
      <c r="W2007" s="15"/>
      <c r="X2007" s="15"/>
      <c r="Y2007" s="15"/>
      <c r="Z2007" s="15"/>
    </row>
    <row r="2008" spans="1:26" x14ac:dyDescent="0.25">
      <c r="A2008" s="15" t="s">
        <v>15418</v>
      </c>
      <c r="B2008" s="15">
        <v>2007</v>
      </c>
      <c r="C2008" s="15" t="s">
        <v>11277</v>
      </c>
      <c r="D2008" s="15" t="s">
        <v>11647</v>
      </c>
      <c r="E2008" s="15" t="s">
        <v>133</v>
      </c>
      <c r="F2008" s="15" t="s">
        <v>15414</v>
      </c>
      <c r="G2008" s="15" t="s">
        <v>12069</v>
      </c>
      <c r="H2008" s="15">
        <v>6</v>
      </c>
      <c r="I2008" s="15">
        <v>36</v>
      </c>
      <c r="J2008" s="15">
        <v>89</v>
      </c>
      <c r="K2008" s="15" t="str">
        <f t="shared" si="31"/>
        <v>outerakyaali</v>
      </c>
      <c r="L2008" s="15"/>
      <c r="M2008" s="15"/>
      <c r="N2008" s="15"/>
      <c r="O2008" s="15"/>
      <c r="P2008" s="15"/>
      <c r="Q2008" s="15"/>
      <c r="R2008" s="15"/>
      <c r="S2008" s="15"/>
      <c r="T2008" s="15">
        <v>0</v>
      </c>
      <c r="U2008" s="15"/>
      <c r="V2008" s="15"/>
      <c r="W2008" s="15"/>
      <c r="X2008" s="15"/>
      <c r="Y2008" s="15"/>
      <c r="Z2008" s="15"/>
    </row>
    <row r="2009" spans="1:26" x14ac:dyDescent="0.25">
      <c r="A2009" s="15" t="s">
        <v>15419</v>
      </c>
      <c r="B2009" s="15">
        <v>2008</v>
      </c>
      <c r="C2009" s="15" t="s">
        <v>11277</v>
      </c>
      <c r="D2009" s="15" t="s">
        <v>11647</v>
      </c>
      <c r="E2009" s="15" t="s">
        <v>133</v>
      </c>
      <c r="F2009" s="15" t="s">
        <v>15414</v>
      </c>
      <c r="G2009" s="15" t="s">
        <v>12070</v>
      </c>
      <c r="H2009" s="15">
        <v>6</v>
      </c>
      <c r="I2009" s="15">
        <v>36</v>
      </c>
      <c r="J2009" s="15">
        <v>90</v>
      </c>
      <c r="K2009" s="15" t="str">
        <f t="shared" si="31"/>
        <v>outerakyaali</v>
      </c>
      <c r="L2009" s="15"/>
      <c r="M2009" s="15"/>
      <c r="N2009" s="15"/>
      <c r="O2009" s="15"/>
      <c r="P2009" s="15"/>
      <c r="Q2009" s="15"/>
      <c r="R2009" s="15"/>
      <c r="S2009" s="15"/>
      <c r="T2009" s="15">
        <v>0</v>
      </c>
      <c r="U2009" s="15"/>
      <c r="V2009" s="15"/>
      <c r="W2009" s="15"/>
      <c r="X2009" s="15"/>
      <c r="Y2009" s="15"/>
      <c r="Z2009" s="15"/>
    </row>
    <row r="2010" spans="1:26" x14ac:dyDescent="0.25">
      <c r="A2010" s="15" t="s">
        <v>15420</v>
      </c>
      <c r="B2010" s="15">
        <v>2009</v>
      </c>
      <c r="C2010" s="15" t="s">
        <v>11277</v>
      </c>
      <c r="D2010" s="15" t="s">
        <v>11277</v>
      </c>
      <c r="E2010" s="15" t="s">
        <v>133</v>
      </c>
      <c r="F2010" s="15" t="s">
        <v>15421</v>
      </c>
      <c r="G2010" s="15" t="s">
        <v>12028</v>
      </c>
      <c r="H2010" s="15">
        <v>11</v>
      </c>
      <c r="I2010" s="15">
        <v>30.7</v>
      </c>
      <c r="J2010" s="15">
        <v>84</v>
      </c>
      <c r="K2010" s="15" t="str">
        <f t="shared" si="31"/>
        <v>theeblanthaw</v>
      </c>
      <c r="L2010" s="15" t="s">
        <v>15422</v>
      </c>
      <c r="M2010" s="15">
        <v>1</v>
      </c>
      <c r="N2010" s="15" t="s">
        <v>11222</v>
      </c>
      <c r="O2010" s="15"/>
      <c r="P2010" s="15"/>
      <c r="Q2010" s="15"/>
      <c r="R2010" s="15"/>
      <c r="S2010" s="15"/>
      <c r="T2010" s="15">
        <v>0</v>
      </c>
      <c r="U2010" s="15"/>
      <c r="V2010" s="15"/>
      <c r="W2010" s="15"/>
      <c r="X2010" s="15"/>
      <c r="Y2010" s="15"/>
      <c r="Z2010" s="15"/>
    </row>
    <row r="2011" spans="1:26" x14ac:dyDescent="0.25">
      <c r="A2011" s="15" t="s">
        <v>15423</v>
      </c>
      <c r="B2011" s="15">
        <v>2010</v>
      </c>
      <c r="C2011" s="15" t="s">
        <v>11277</v>
      </c>
      <c r="D2011" s="15" t="s">
        <v>11277</v>
      </c>
      <c r="E2011" s="15" t="s">
        <v>133</v>
      </c>
      <c r="F2011" s="15" t="s">
        <v>15421</v>
      </c>
      <c r="G2011" s="15" t="s">
        <v>12029</v>
      </c>
      <c r="H2011" s="15">
        <v>11</v>
      </c>
      <c r="I2011" s="15">
        <v>30.7</v>
      </c>
      <c r="J2011" s="15">
        <v>84</v>
      </c>
      <c r="K2011" s="15" t="str">
        <f t="shared" si="31"/>
        <v>theeblanthaw</v>
      </c>
      <c r="L2011" s="15" t="s">
        <v>11946</v>
      </c>
      <c r="M2011" s="15">
        <v>1</v>
      </c>
      <c r="N2011" s="15" t="s">
        <v>11222</v>
      </c>
      <c r="O2011" s="15"/>
      <c r="P2011" s="15"/>
      <c r="Q2011" s="15"/>
      <c r="R2011" s="15"/>
      <c r="S2011" s="15"/>
      <c r="T2011" s="15">
        <v>0</v>
      </c>
      <c r="U2011" s="15"/>
      <c r="V2011" s="15"/>
      <c r="W2011" s="15"/>
      <c r="X2011" s="15"/>
      <c r="Y2011" s="15"/>
      <c r="Z2011" s="15"/>
    </row>
    <row r="2012" spans="1:26" x14ac:dyDescent="0.25">
      <c r="A2012" s="15" t="s">
        <v>15424</v>
      </c>
      <c r="B2012" s="15">
        <v>2011</v>
      </c>
      <c r="C2012" s="15" t="s">
        <v>11277</v>
      </c>
      <c r="D2012" s="15" t="s">
        <v>11277</v>
      </c>
      <c r="E2012" s="15" t="s">
        <v>133</v>
      </c>
      <c r="F2012" s="15" t="s">
        <v>15421</v>
      </c>
      <c r="G2012" s="15" t="s">
        <v>12030</v>
      </c>
      <c r="H2012" s="15">
        <v>11</v>
      </c>
      <c r="I2012" s="15">
        <v>30.7</v>
      </c>
      <c r="J2012" s="15">
        <v>84</v>
      </c>
      <c r="K2012" s="15" t="str">
        <f t="shared" si="31"/>
        <v>theeblanthaw</v>
      </c>
      <c r="L2012" s="15" t="s">
        <v>11946</v>
      </c>
      <c r="M2012" s="15">
        <v>2</v>
      </c>
      <c r="N2012" s="15" t="s">
        <v>11223</v>
      </c>
      <c r="O2012" s="15"/>
      <c r="P2012" s="15"/>
      <c r="Q2012" s="15"/>
      <c r="R2012" s="15"/>
      <c r="S2012" s="15"/>
      <c r="T2012" s="15">
        <v>0</v>
      </c>
      <c r="U2012" s="15"/>
      <c r="V2012" s="15"/>
      <c r="W2012" s="15"/>
      <c r="X2012" s="15"/>
      <c r="Y2012" s="15"/>
      <c r="Z2012" s="15"/>
    </row>
    <row r="2013" spans="1:26" x14ac:dyDescent="0.25">
      <c r="A2013" s="15" t="s">
        <v>15425</v>
      </c>
      <c r="B2013" s="15">
        <v>2012</v>
      </c>
      <c r="C2013" s="15" t="s">
        <v>11277</v>
      </c>
      <c r="D2013" s="15" t="s">
        <v>11277</v>
      </c>
      <c r="E2013" s="15" t="s">
        <v>133</v>
      </c>
      <c r="F2013" s="15" t="s">
        <v>15421</v>
      </c>
      <c r="G2013" s="15" t="s">
        <v>12031</v>
      </c>
      <c r="H2013" s="15">
        <v>11</v>
      </c>
      <c r="I2013" s="15">
        <v>30.7</v>
      </c>
      <c r="J2013" s="15">
        <v>85</v>
      </c>
      <c r="K2013" s="15" t="str">
        <f t="shared" si="31"/>
        <v>theeblanthaw</v>
      </c>
      <c r="L2013" s="15" t="s">
        <v>11948</v>
      </c>
      <c r="M2013" s="15">
        <v>2</v>
      </c>
      <c r="N2013" s="15" t="s">
        <v>11223</v>
      </c>
      <c r="O2013" s="15"/>
      <c r="P2013" s="15"/>
      <c r="Q2013" s="15"/>
      <c r="R2013" s="15"/>
      <c r="S2013" s="15"/>
      <c r="T2013" s="15">
        <v>0</v>
      </c>
      <c r="U2013" s="15"/>
      <c r="V2013" s="15"/>
      <c r="W2013" s="15"/>
      <c r="X2013" s="15"/>
      <c r="Y2013" s="15"/>
      <c r="Z2013" s="15"/>
    </row>
    <row r="2014" spans="1:26" x14ac:dyDescent="0.25">
      <c r="A2014" s="15" t="s">
        <v>15426</v>
      </c>
      <c r="B2014" s="15">
        <v>2013</v>
      </c>
      <c r="C2014" s="15" t="s">
        <v>11277</v>
      </c>
      <c r="D2014" s="15" t="s">
        <v>11277</v>
      </c>
      <c r="E2014" s="15" t="s">
        <v>133</v>
      </c>
      <c r="F2014" s="15" t="s">
        <v>15421</v>
      </c>
      <c r="G2014" s="15" t="s">
        <v>12032</v>
      </c>
      <c r="H2014" s="15">
        <v>11</v>
      </c>
      <c r="I2014" s="15">
        <v>30.7</v>
      </c>
      <c r="J2014" s="15">
        <v>83</v>
      </c>
      <c r="K2014" s="15" t="str">
        <f t="shared" si="31"/>
        <v>theeblanthaw</v>
      </c>
      <c r="L2014" s="15" t="s">
        <v>11948</v>
      </c>
      <c r="M2014" s="15">
        <v>2</v>
      </c>
      <c r="N2014" s="15" t="s">
        <v>11223</v>
      </c>
      <c r="O2014" s="15"/>
      <c r="P2014" s="15"/>
      <c r="Q2014" s="15" t="s">
        <v>12031</v>
      </c>
      <c r="R2014" s="15"/>
      <c r="S2014" s="15"/>
      <c r="T2014" s="15">
        <v>0</v>
      </c>
      <c r="U2014" s="15"/>
      <c r="V2014" s="15"/>
      <c r="W2014" s="15"/>
      <c r="X2014" s="15"/>
      <c r="Y2014" s="15"/>
      <c r="Z2014" s="15"/>
    </row>
    <row r="2015" spans="1:26" x14ac:dyDescent="0.25">
      <c r="A2015" s="15" t="s">
        <v>15427</v>
      </c>
      <c r="B2015" s="15">
        <v>2014</v>
      </c>
      <c r="C2015" s="15" t="s">
        <v>11277</v>
      </c>
      <c r="D2015" s="15" t="s">
        <v>11277</v>
      </c>
      <c r="E2015" s="15" t="s">
        <v>133</v>
      </c>
      <c r="F2015" s="15" t="s">
        <v>15421</v>
      </c>
      <c r="G2015" s="15" t="s">
        <v>12033</v>
      </c>
      <c r="H2015" s="15">
        <v>11</v>
      </c>
      <c r="I2015" s="15">
        <v>30.7</v>
      </c>
      <c r="J2015" s="15">
        <v>90</v>
      </c>
      <c r="K2015" s="15" t="str">
        <f t="shared" si="31"/>
        <v>theeblanthaw</v>
      </c>
      <c r="L2015" s="15" t="s">
        <v>14088</v>
      </c>
      <c r="M2015" s="15">
        <v>3</v>
      </c>
      <c r="N2015" s="15" t="s">
        <v>11223</v>
      </c>
      <c r="O2015" s="15"/>
      <c r="P2015" s="15"/>
      <c r="Q2015" s="15" t="s">
        <v>12031</v>
      </c>
      <c r="R2015" s="15"/>
      <c r="S2015" s="15"/>
      <c r="T2015" s="15">
        <v>0</v>
      </c>
      <c r="U2015" s="15" t="s">
        <v>14981</v>
      </c>
      <c r="V2015" s="15"/>
      <c r="W2015" s="15"/>
      <c r="X2015" s="15"/>
      <c r="Y2015" s="15"/>
      <c r="Z2015" s="15"/>
    </row>
    <row r="2016" spans="1:26" x14ac:dyDescent="0.25">
      <c r="A2016" s="15" t="s">
        <v>15428</v>
      </c>
      <c r="B2016" s="15">
        <v>2015</v>
      </c>
      <c r="C2016" s="15" t="s">
        <v>11277</v>
      </c>
      <c r="D2016" s="15" t="s">
        <v>11277</v>
      </c>
      <c r="E2016" s="15" t="s">
        <v>133</v>
      </c>
      <c r="F2016" s="15" t="s">
        <v>15421</v>
      </c>
      <c r="G2016" s="15" t="s">
        <v>12034</v>
      </c>
      <c r="H2016" s="15">
        <v>11</v>
      </c>
      <c r="I2016" s="15">
        <v>30.7</v>
      </c>
      <c r="J2016" s="15">
        <v>90</v>
      </c>
      <c r="K2016" s="15" t="str">
        <f t="shared" si="31"/>
        <v>theeblanthaw</v>
      </c>
      <c r="L2016" s="15" t="s">
        <v>11948</v>
      </c>
      <c r="M2016" s="15">
        <v>3</v>
      </c>
      <c r="N2016" s="15" t="s">
        <v>11223</v>
      </c>
      <c r="O2016" s="15" t="s">
        <v>14037</v>
      </c>
      <c r="P2016" s="15"/>
      <c r="Q2016" s="15"/>
      <c r="R2016" s="15"/>
      <c r="S2016" s="15"/>
      <c r="T2016" s="15">
        <v>4</v>
      </c>
      <c r="U2016" s="15"/>
      <c r="V2016" s="15"/>
      <c r="W2016" s="15"/>
      <c r="X2016" s="15"/>
      <c r="Y2016" s="15"/>
      <c r="Z2016" s="15"/>
    </row>
    <row r="2017" spans="1:26" x14ac:dyDescent="0.25">
      <c r="A2017" s="15" t="s">
        <v>15429</v>
      </c>
      <c r="B2017" s="15">
        <v>2016</v>
      </c>
      <c r="C2017" s="15" t="s">
        <v>11277</v>
      </c>
      <c r="D2017" s="15" t="s">
        <v>11277</v>
      </c>
      <c r="E2017" s="15" t="s">
        <v>133</v>
      </c>
      <c r="F2017" s="15" t="s">
        <v>15430</v>
      </c>
      <c r="G2017" s="15" t="s">
        <v>12028</v>
      </c>
      <c r="H2017" s="15">
        <v>23</v>
      </c>
      <c r="I2017" s="15">
        <v>6</v>
      </c>
      <c r="J2017" s="15">
        <v>84</v>
      </c>
      <c r="K2017" s="15" t="str">
        <f t="shared" si="31"/>
        <v>thestainlesscourse</v>
      </c>
      <c r="L2017" s="15" t="s">
        <v>11946</v>
      </c>
      <c r="M2017" s="15">
        <v>1</v>
      </c>
      <c r="N2017" s="15" t="s">
        <v>11222</v>
      </c>
      <c r="O2017" s="15"/>
      <c r="P2017" s="15"/>
      <c r="Q2017" s="15"/>
      <c r="R2017" s="15"/>
      <c r="S2017" s="15"/>
      <c r="T2017" s="15">
        <v>0</v>
      </c>
      <c r="U2017" s="15"/>
      <c r="V2017" s="15"/>
      <c r="W2017" s="15"/>
      <c r="X2017" s="15"/>
      <c r="Y2017" s="15"/>
      <c r="Z2017" s="15"/>
    </row>
    <row r="2018" spans="1:26" x14ac:dyDescent="0.25">
      <c r="A2018" s="15" t="s">
        <v>15431</v>
      </c>
      <c r="B2018" s="15">
        <v>2017</v>
      </c>
      <c r="C2018" s="15" t="s">
        <v>11277</v>
      </c>
      <c r="D2018" s="15" t="s">
        <v>11277</v>
      </c>
      <c r="E2018" s="15" t="s">
        <v>133</v>
      </c>
      <c r="F2018" s="15" t="s">
        <v>15430</v>
      </c>
      <c r="G2018" s="15" t="s">
        <v>12035</v>
      </c>
      <c r="H2018" s="15">
        <v>23</v>
      </c>
      <c r="I2018" s="15">
        <v>6</v>
      </c>
      <c r="J2018" s="15">
        <v>83</v>
      </c>
      <c r="K2018" s="15" t="str">
        <f t="shared" si="31"/>
        <v>thestainlesscourse</v>
      </c>
      <c r="L2018" s="15" t="s">
        <v>15422</v>
      </c>
      <c r="M2018" s="15">
        <v>1</v>
      </c>
      <c r="N2018" s="15" t="s">
        <v>11222</v>
      </c>
      <c r="O2018" s="15"/>
      <c r="P2018" s="15"/>
      <c r="Q2018" s="15"/>
      <c r="R2018" s="15"/>
      <c r="S2018" s="15"/>
      <c r="T2018" s="15">
        <v>0</v>
      </c>
      <c r="U2018" s="15"/>
      <c r="V2018" s="15"/>
      <c r="W2018" s="15"/>
      <c r="X2018" s="15"/>
      <c r="Y2018" s="15"/>
      <c r="Z2018" s="15"/>
    </row>
    <row r="2019" spans="1:26" x14ac:dyDescent="0.25">
      <c r="A2019" s="15" t="s">
        <v>15432</v>
      </c>
      <c r="B2019" s="15">
        <v>2018</v>
      </c>
      <c r="C2019" s="15" t="s">
        <v>11277</v>
      </c>
      <c r="D2019" s="15" t="s">
        <v>11277</v>
      </c>
      <c r="E2019" s="15" t="s">
        <v>133</v>
      </c>
      <c r="F2019" s="15" t="s">
        <v>15430</v>
      </c>
      <c r="G2019" s="15" t="s">
        <v>12030</v>
      </c>
      <c r="H2019" s="15">
        <v>23</v>
      </c>
      <c r="I2019" s="15">
        <v>6</v>
      </c>
      <c r="J2019" s="15">
        <v>84</v>
      </c>
      <c r="K2019" s="15" t="str">
        <f t="shared" si="31"/>
        <v>thestainlesscourse</v>
      </c>
      <c r="L2019" s="15" t="s">
        <v>11946</v>
      </c>
      <c r="M2019" s="15">
        <v>2</v>
      </c>
      <c r="N2019" s="15" t="s">
        <v>11223</v>
      </c>
      <c r="O2019" s="15"/>
      <c r="P2019" s="15"/>
      <c r="Q2019" s="15"/>
      <c r="R2019" s="15"/>
      <c r="S2019" s="15"/>
      <c r="T2019" s="15">
        <v>0</v>
      </c>
      <c r="U2019" s="15"/>
      <c r="V2019" s="15"/>
      <c r="W2019" s="15"/>
      <c r="X2019" s="15"/>
      <c r="Y2019" s="15"/>
      <c r="Z2019" s="15"/>
    </row>
    <row r="2020" spans="1:26" x14ac:dyDescent="0.25">
      <c r="A2020" s="15" t="s">
        <v>15433</v>
      </c>
      <c r="B2020" s="15">
        <v>2019</v>
      </c>
      <c r="C2020" s="15" t="s">
        <v>11277</v>
      </c>
      <c r="D2020" s="15" t="s">
        <v>11277</v>
      </c>
      <c r="E2020" s="15" t="s">
        <v>133</v>
      </c>
      <c r="F2020" s="15" t="s">
        <v>15430</v>
      </c>
      <c r="G2020" s="15" t="s">
        <v>12036</v>
      </c>
      <c r="H2020" s="15">
        <v>23</v>
      </c>
      <c r="I2020" s="15">
        <v>6</v>
      </c>
      <c r="J2020" s="15">
        <v>84</v>
      </c>
      <c r="K2020" s="15" t="str">
        <f t="shared" si="31"/>
        <v>thestainlesscourse</v>
      </c>
      <c r="L2020" s="15" t="s">
        <v>11948</v>
      </c>
      <c r="M2020" s="15">
        <v>2</v>
      </c>
      <c r="N2020" s="15" t="s">
        <v>11223</v>
      </c>
      <c r="O2020" s="15"/>
      <c r="P2020" s="15"/>
      <c r="Q2020" s="15"/>
      <c r="R2020" s="15"/>
      <c r="S2020" s="15"/>
      <c r="T2020" s="15">
        <v>0</v>
      </c>
      <c r="U2020" s="15"/>
      <c r="V2020" s="15"/>
      <c r="W2020" s="15"/>
      <c r="X2020" s="15"/>
      <c r="Y2020" s="15"/>
      <c r="Z2020" s="15"/>
    </row>
    <row r="2021" spans="1:26" x14ac:dyDescent="0.25">
      <c r="A2021" s="15" t="s">
        <v>15434</v>
      </c>
      <c r="B2021" s="15">
        <v>2020</v>
      </c>
      <c r="C2021" s="15" t="s">
        <v>11277</v>
      </c>
      <c r="D2021" s="15" t="s">
        <v>11277</v>
      </c>
      <c r="E2021" s="15" t="s">
        <v>133</v>
      </c>
      <c r="F2021" s="15" t="s">
        <v>15430</v>
      </c>
      <c r="G2021" s="15" t="s">
        <v>12037</v>
      </c>
      <c r="H2021" s="15">
        <v>23</v>
      </c>
      <c r="I2021" s="15">
        <v>6</v>
      </c>
      <c r="J2021" s="15">
        <v>85</v>
      </c>
      <c r="K2021" s="15" t="str">
        <f t="shared" si="31"/>
        <v>thestainlesscourse</v>
      </c>
      <c r="L2021" s="15" t="s">
        <v>11948</v>
      </c>
      <c r="M2021" s="15">
        <v>2</v>
      </c>
      <c r="N2021" s="15" t="s">
        <v>11223</v>
      </c>
      <c r="O2021" s="15"/>
      <c r="P2021" s="15"/>
      <c r="Q2021" s="15"/>
      <c r="R2021" s="15"/>
      <c r="S2021" s="15"/>
      <c r="T2021" s="15">
        <v>0</v>
      </c>
      <c r="U2021" s="15"/>
      <c r="V2021" s="15"/>
      <c r="W2021" s="15"/>
      <c r="X2021" s="15"/>
      <c r="Y2021" s="15"/>
      <c r="Z2021" s="15"/>
    </row>
    <row r="2022" spans="1:26" x14ac:dyDescent="0.25">
      <c r="A2022" s="15" t="s">
        <v>15435</v>
      </c>
      <c r="B2022" s="15">
        <v>2021</v>
      </c>
      <c r="C2022" s="15" t="s">
        <v>11277</v>
      </c>
      <c r="D2022" s="15" t="s">
        <v>11277</v>
      </c>
      <c r="E2022" s="15" t="s">
        <v>133</v>
      </c>
      <c r="F2022" s="15" t="s">
        <v>15430</v>
      </c>
      <c r="G2022" s="15" t="s">
        <v>12038</v>
      </c>
      <c r="H2022" s="15">
        <v>23</v>
      </c>
      <c r="I2022" s="15">
        <v>6</v>
      </c>
      <c r="J2022" s="15">
        <v>82</v>
      </c>
      <c r="K2022" s="15" t="str">
        <f t="shared" si="31"/>
        <v>thestainlesscourse</v>
      </c>
      <c r="L2022" s="15" t="s">
        <v>11560</v>
      </c>
      <c r="M2022" s="15">
        <v>1</v>
      </c>
      <c r="N2022" s="15" t="s">
        <v>11222</v>
      </c>
      <c r="O2022" s="15"/>
      <c r="P2022" s="15"/>
      <c r="Q2022" s="15"/>
      <c r="R2022" s="15"/>
      <c r="S2022" s="15"/>
      <c r="T2022" s="15">
        <v>0</v>
      </c>
      <c r="U2022" s="15"/>
      <c r="V2022" s="15"/>
      <c r="W2022" s="15"/>
      <c r="X2022" s="15"/>
      <c r="Y2022" s="15"/>
      <c r="Z2022" s="15"/>
    </row>
    <row r="2023" spans="1:26" x14ac:dyDescent="0.25">
      <c r="A2023" s="15" t="s">
        <v>15436</v>
      </c>
      <c r="B2023" s="15">
        <v>2022</v>
      </c>
      <c r="C2023" s="15" t="s">
        <v>11277</v>
      </c>
      <c r="D2023" s="15" t="s">
        <v>11277</v>
      </c>
      <c r="E2023" s="15" t="s">
        <v>133</v>
      </c>
      <c r="F2023" s="15" t="s">
        <v>15430</v>
      </c>
      <c r="G2023" s="15" t="s">
        <v>12039</v>
      </c>
      <c r="H2023" s="15">
        <v>23</v>
      </c>
      <c r="I2023" s="15">
        <v>6</v>
      </c>
      <c r="J2023" s="15">
        <v>90</v>
      </c>
      <c r="K2023" s="15" t="str">
        <f t="shared" si="31"/>
        <v>thestainlesscourse</v>
      </c>
      <c r="L2023" s="15" t="s">
        <v>11948</v>
      </c>
      <c r="M2023" s="15">
        <v>3</v>
      </c>
      <c r="N2023" s="15" t="s">
        <v>11223</v>
      </c>
      <c r="O2023" s="15" t="s">
        <v>11297</v>
      </c>
      <c r="P2023" s="15"/>
      <c r="Q2023" s="15"/>
      <c r="R2023" s="15"/>
      <c r="S2023" s="15"/>
      <c r="T2023" s="15">
        <v>2</v>
      </c>
      <c r="U2023" s="15" t="s">
        <v>5908</v>
      </c>
      <c r="V2023" s="15" t="s">
        <v>5914</v>
      </c>
      <c r="W2023" s="15"/>
      <c r="X2023" s="15" t="s">
        <v>14981</v>
      </c>
      <c r="Y2023" s="15"/>
      <c r="Z2023" s="15"/>
    </row>
    <row r="2024" spans="1:26" x14ac:dyDescent="0.25">
      <c r="A2024" s="15" t="s">
        <v>15437</v>
      </c>
      <c r="B2024" s="15">
        <v>2023</v>
      </c>
      <c r="C2024" s="15" t="s">
        <v>11277</v>
      </c>
      <c r="D2024" s="15" t="s">
        <v>11277</v>
      </c>
      <c r="E2024" s="15" t="s">
        <v>133</v>
      </c>
      <c r="F2024" s="15" t="s">
        <v>2479</v>
      </c>
      <c r="G2024" s="15" t="s">
        <v>12040</v>
      </c>
      <c r="H2024" s="15">
        <v>32</v>
      </c>
      <c r="I2024" s="15">
        <v>10</v>
      </c>
      <c r="J2024" s="15">
        <v>84</v>
      </c>
      <c r="K2024" s="15" t="str">
        <f t="shared" si="31"/>
        <v>greatestendsvale</v>
      </c>
      <c r="L2024" s="15" t="s">
        <v>11946</v>
      </c>
      <c r="M2024" s="15">
        <v>1</v>
      </c>
      <c r="N2024" s="15" t="s">
        <v>11222</v>
      </c>
      <c r="O2024" s="15"/>
      <c r="P2024" s="15"/>
      <c r="Q2024" s="15"/>
      <c r="R2024" s="15"/>
      <c r="S2024" s="15"/>
      <c r="T2024" s="15">
        <v>0</v>
      </c>
      <c r="U2024" s="15"/>
      <c r="V2024" s="15"/>
      <c r="W2024" s="15"/>
      <c r="X2024" s="15"/>
      <c r="Y2024" s="15"/>
      <c r="Z2024" s="15"/>
    </row>
    <row r="2025" spans="1:26" x14ac:dyDescent="0.25">
      <c r="A2025" s="15" t="s">
        <v>15438</v>
      </c>
      <c r="B2025" s="15">
        <v>2024</v>
      </c>
      <c r="C2025" s="15" t="s">
        <v>11277</v>
      </c>
      <c r="D2025" s="15" t="s">
        <v>11277</v>
      </c>
      <c r="E2025" s="15" t="s">
        <v>133</v>
      </c>
      <c r="F2025" s="15" t="s">
        <v>2479</v>
      </c>
      <c r="G2025" s="15" t="s">
        <v>12041</v>
      </c>
      <c r="H2025" s="15">
        <v>32</v>
      </c>
      <c r="I2025" s="15">
        <v>10</v>
      </c>
      <c r="J2025" s="15">
        <v>85</v>
      </c>
      <c r="K2025" s="15" t="str">
        <f t="shared" si="31"/>
        <v>greatestendsvale</v>
      </c>
      <c r="L2025" s="15" t="s">
        <v>15422</v>
      </c>
      <c r="M2025" s="15">
        <v>1</v>
      </c>
      <c r="N2025" s="15" t="s">
        <v>11222</v>
      </c>
      <c r="O2025" s="15"/>
      <c r="P2025" s="15"/>
      <c r="Q2025" s="15"/>
      <c r="R2025" s="15"/>
      <c r="S2025" s="15"/>
      <c r="T2025" s="15">
        <v>0</v>
      </c>
      <c r="U2025" s="15"/>
      <c r="V2025" s="15"/>
      <c r="W2025" s="15"/>
      <c r="X2025" s="15"/>
      <c r="Y2025" s="15"/>
      <c r="Z2025" s="15"/>
    </row>
    <row r="2026" spans="1:26" x14ac:dyDescent="0.25">
      <c r="A2026" s="15" t="s">
        <v>15439</v>
      </c>
      <c r="B2026" s="15">
        <v>2025</v>
      </c>
      <c r="C2026" s="15" t="s">
        <v>11277</v>
      </c>
      <c r="D2026" s="15" t="s">
        <v>11277</v>
      </c>
      <c r="E2026" s="15" t="s">
        <v>133</v>
      </c>
      <c r="F2026" s="15" t="s">
        <v>2479</v>
      </c>
      <c r="G2026" s="15" t="s">
        <v>12042</v>
      </c>
      <c r="H2026" s="15">
        <v>32</v>
      </c>
      <c r="I2026" s="15">
        <v>10</v>
      </c>
      <c r="J2026" s="15">
        <v>85</v>
      </c>
      <c r="K2026" s="15" t="str">
        <f t="shared" si="31"/>
        <v>greatestendsvale</v>
      </c>
      <c r="L2026" s="15" t="s">
        <v>11946</v>
      </c>
      <c r="M2026" s="15">
        <v>1</v>
      </c>
      <c r="N2026" s="15" t="s">
        <v>11222</v>
      </c>
      <c r="O2026" s="15"/>
      <c r="P2026" s="15"/>
      <c r="Q2026" s="15"/>
      <c r="R2026" s="15"/>
      <c r="S2026" s="15"/>
      <c r="T2026" s="15">
        <v>0</v>
      </c>
      <c r="U2026" s="15"/>
      <c r="V2026" s="15"/>
      <c r="W2026" s="15"/>
      <c r="X2026" s="15"/>
      <c r="Y2026" s="15"/>
      <c r="Z2026" s="15"/>
    </row>
    <row r="2027" spans="1:26" x14ac:dyDescent="0.25">
      <c r="A2027" s="15" t="s">
        <v>15440</v>
      </c>
      <c r="B2027" s="15">
        <v>2026</v>
      </c>
      <c r="C2027" s="15" t="s">
        <v>11277</v>
      </c>
      <c r="D2027" s="15" t="s">
        <v>11277</v>
      </c>
      <c r="E2027" s="15" t="s">
        <v>133</v>
      </c>
      <c r="F2027" s="15" t="s">
        <v>2479</v>
      </c>
      <c r="G2027" s="15" t="s">
        <v>12043</v>
      </c>
      <c r="H2027" s="15">
        <v>32</v>
      </c>
      <c r="I2027" s="15">
        <v>10</v>
      </c>
      <c r="J2027" s="15">
        <v>86</v>
      </c>
      <c r="K2027" s="15" t="str">
        <f t="shared" si="31"/>
        <v>greatestendsvale</v>
      </c>
      <c r="L2027" s="15" t="s">
        <v>11948</v>
      </c>
      <c r="M2027" s="15">
        <v>2</v>
      </c>
      <c r="N2027" s="15" t="s">
        <v>11223</v>
      </c>
      <c r="O2027" s="15"/>
      <c r="P2027" s="15"/>
      <c r="Q2027" s="15"/>
      <c r="R2027" s="15"/>
      <c r="S2027" s="15"/>
      <c r="T2027" s="15">
        <v>0</v>
      </c>
      <c r="U2027" s="15"/>
      <c r="V2027" s="15"/>
      <c r="W2027" s="15"/>
      <c r="X2027" s="15"/>
      <c r="Y2027" s="15"/>
      <c r="Z2027" s="15"/>
    </row>
    <row r="2028" spans="1:26" x14ac:dyDescent="0.25">
      <c r="A2028" s="15" t="s">
        <v>15441</v>
      </c>
      <c r="B2028" s="15">
        <v>2027</v>
      </c>
      <c r="C2028" s="15" t="s">
        <v>11277</v>
      </c>
      <c r="D2028" s="15" t="s">
        <v>11277</v>
      </c>
      <c r="E2028" s="15" t="s">
        <v>133</v>
      </c>
      <c r="F2028" s="15" t="s">
        <v>2479</v>
      </c>
      <c r="G2028" s="15" t="s">
        <v>12044</v>
      </c>
      <c r="H2028" s="15">
        <v>32</v>
      </c>
      <c r="I2028" s="15">
        <v>10</v>
      </c>
      <c r="J2028" s="15">
        <v>81</v>
      </c>
      <c r="K2028" s="15" t="str">
        <f t="shared" si="31"/>
        <v>greatestendsvale</v>
      </c>
      <c r="L2028" s="15" t="s">
        <v>11560</v>
      </c>
      <c r="M2028" s="15">
        <v>1</v>
      </c>
      <c r="N2028" s="15" t="s">
        <v>11222</v>
      </c>
      <c r="O2028" s="15"/>
      <c r="P2028" s="15"/>
      <c r="Q2028" s="15"/>
      <c r="R2028" s="15"/>
      <c r="S2028" s="15"/>
      <c r="T2028" s="15">
        <v>0</v>
      </c>
      <c r="U2028" s="15"/>
      <c r="V2028" s="15"/>
      <c r="W2028" s="15"/>
      <c r="X2028" s="15"/>
      <c r="Y2028" s="15"/>
      <c r="Z2028" s="15"/>
    </row>
    <row r="2029" spans="1:26" x14ac:dyDescent="0.25">
      <c r="A2029" s="15" t="s">
        <v>15442</v>
      </c>
      <c r="B2029" s="15">
        <v>2028</v>
      </c>
      <c r="C2029" s="15" t="s">
        <v>11277</v>
      </c>
      <c r="D2029" s="15" t="s">
        <v>11277</v>
      </c>
      <c r="E2029" s="15" t="s">
        <v>133</v>
      </c>
      <c r="F2029" s="15" t="s">
        <v>2479</v>
      </c>
      <c r="G2029" s="15" t="s">
        <v>12045</v>
      </c>
      <c r="H2029" s="15">
        <v>32</v>
      </c>
      <c r="I2029" s="15">
        <v>10</v>
      </c>
      <c r="J2029" s="15">
        <v>90</v>
      </c>
      <c r="K2029" s="15" t="str">
        <f t="shared" si="31"/>
        <v>greatestendsvale</v>
      </c>
      <c r="L2029" s="15" t="s">
        <v>11948</v>
      </c>
      <c r="M2029" s="15">
        <v>3</v>
      </c>
      <c r="N2029" s="15" t="s">
        <v>11223</v>
      </c>
      <c r="O2029" s="15" t="s">
        <v>2804</v>
      </c>
      <c r="P2029" s="15"/>
      <c r="Q2029" s="15"/>
      <c r="R2029" s="15"/>
      <c r="S2029" s="15"/>
      <c r="T2029" s="15">
        <v>2</v>
      </c>
      <c r="U2029" s="15"/>
      <c r="V2029" s="15"/>
      <c r="W2029" s="15"/>
      <c r="X2029" s="15"/>
      <c r="Y2029" s="15"/>
      <c r="Z2029" s="15"/>
    </row>
    <row r="2030" spans="1:26" x14ac:dyDescent="0.25">
      <c r="A2030" s="15" t="s">
        <v>15443</v>
      </c>
      <c r="B2030" s="15">
        <v>2029</v>
      </c>
      <c r="C2030" s="15" t="s">
        <v>11277</v>
      </c>
      <c r="D2030" s="15" t="s">
        <v>11277</v>
      </c>
      <c r="E2030" s="15" t="s">
        <v>133</v>
      </c>
      <c r="F2030" s="15" t="s">
        <v>15444</v>
      </c>
      <c r="G2030" s="15" t="s">
        <v>12071</v>
      </c>
      <c r="H2030" s="15">
        <v>30</v>
      </c>
      <c r="I2030" s="15">
        <v>32</v>
      </c>
      <c r="J2030" s="15">
        <v>85</v>
      </c>
      <c r="K2030" s="15" t="str">
        <f t="shared" si="31"/>
        <v>thechlorophospond</v>
      </c>
      <c r="L2030" s="15" t="s">
        <v>12072</v>
      </c>
      <c r="M2030" s="15">
        <v>2</v>
      </c>
      <c r="N2030" s="15" t="s">
        <v>11223</v>
      </c>
      <c r="O2030" s="15"/>
      <c r="P2030" s="15"/>
      <c r="Q2030" s="15" t="s">
        <v>12073</v>
      </c>
      <c r="R2030" s="15"/>
      <c r="S2030" s="15"/>
      <c r="T2030" s="15">
        <v>0</v>
      </c>
      <c r="U2030" s="15"/>
      <c r="V2030" s="15"/>
      <c r="W2030" s="15"/>
      <c r="X2030" s="15"/>
      <c r="Y2030" s="15"/>
      <c r="Z2030" s="15"/>
    </row>
    <row r="2031" spans="1:26" x14ac:dyDescent="0.25">
      <c r="A2031" s="15" t="s">
        <v>15445</v>
      </c>
      <c r="B2031" s="15">
        <v>2030</v>
      </c>
      <c r="C2031" s="15" t="s">
        <v>11277</v>
      </c>
      <c r="D2031" s="15" t="s">
        <v>11277</v>
      </c>
      <c r="E2031" s="15" t="s">
        <v>133</v>
      </c>
      <c r="F2031" s="15" t="s">
        <v>15444</v>
      </c>
      <c r="G2031" s="15" t="s">
        <v>12073</v>
      </c>
      <c r="H2031" s="15">
        <v>30</v>
      </c>
      <c r="I2031" s="15">
        <v>32</v>
      </c>
      <c r="J2031" s="15">
        <v>86</v>
      </c>
      <c r="K2031" s="15" t="str">
        <f t="shared" si="31"/>
        <v>thechlorophospond</v>
      </c>
      <c r="L2031" s="15" t="s">
        <v>12074</v>
      </c>
      <c r="M2031" s="15">
        <v>1</v>
      </c>
      <c r="N2031" s="15" t="s">
        <v>11222</v>
      </c>
      <c r="O2031" s="15"/>
      <c r="P2031" s="15"/>
      <c r="Q2031" s="15"/>
      <c r="R2031" s="15"/>
      <c r="S2031" s="15"/>
      <c r="T2031" s="15">
        <v>0</v>
      </c>
      <c r="U2031" s="15"/>
      <c r="V2031" s="15"/>
      <c r="W2031" s="15"/>
      <c r="X2031" s="15"/>
      <c r="Y2031" s="15"/>
      <c r="Z2031" s="15"/>
    </row>
    <row r="2032" spans="1:26" x14ac:dyDescent="0.25">
      <c r="A2032" s="15" t="s">
        <v>15446</v>
      </c>
      <c r="B2032" s="15">
        <v>2031</v>
      </c>
      <c r="C2032" s="15" t="s">
        <v>11277</v>
      </c>
      <c r="D2032" s="15" t="s">
        <v>11277</v>
      </c>
      <c r="E2032" s="15" t="s">
        <v>133</v>
      </c>
      <c r="F2032" s="15" t="s">
        <v>15444</v>
      </c>
      <c r="G2032" s="15" t="s">
        <v>15447</v>
      </c>
      <c r="H2032" s="15">
        <v>30</v>
      </c>
      <c r="I2032" s="15">
        <v>32</v>
      </c>
      <c r="J2032" s="15">
        <v>86</v>
      </c>
      <c r="K2032" s="15" t="str">
        <f t="shared" si="31"/>
        <v>thechlorophospond</v>
      </c>
      <c r="L2032" s="15" t="s">
        <v>12072</v>
      </c>
      <c r="M2032" s="15">
        <v>2</v>
      </c>
      <c r="N2032" s="15" t="s">
        <v>11223</v>
      </c>
      <c r="O2032" s="15"/>
      <c r="P2032" s="15"/>
      <c r="Q2032" s="15"/>
      <c r="R2032" s="15"/>
      <c r="S2032" s="15"/>
      <c r="T2032" s="15">
        <v>0</v>
      </c>
      <c r="U2032" s="15"/>
      <c r="V2032" s="15"/>
      <c r="W2032" s="15"/>
      <c r="X2032" s="15"/>
      <c r="Y2032" s="15"/>
      <c r="Z2032" s="15"/>
    </row>
    <row r="2033" spans="1:26" x14ac:dyDescent="0.25">
      <c r="A2033" s="15" t="s">
        <v>15448</v>
      </c>
      <c r="B2033" s="15">
        <v>2032</v>
      </c>
      <c r="C2033" s="15" t="s">
        <v>11277</v>
      </c>
      <c r="D2033" s="15" t="s">
        <v>11277</v>
      </c>
      <c r="E2033" s="15" t="s">
        <v>133</v>
      </c>
      <c r="F2033" s="15" t="s">
        <v>15444</v>
      </c>
      <c r="G2033" s="15" t="s">
        <v>12075</v>
      </c>
      <c r="H2033" s="15">
        <v>30</v>
      </c>
      <c r="I2033" s="15">
        <v>32</v>
      </c>
      <c r="J2033" s="15">
        <v>90</v>
      </c>
      <c r="K2033" s="15" t="str">
        <f t="shared" si="31"/>
        <v>thechlorophospond</v>
      </c>
      <c r="L2033" s="15" t="s">
        <v>14088</v>
      </c>
      <c r="M2033" s="15">
        <v>3</v>
      </c>
      <c r="N2033" s="15" t="s">
        <v>11223</v>
      </c>
      <c r="O2033" s="15"/>
      <c r="P2033" s="15"/>
      <c r="Q2033" s="15" t="s">
        <v>12073</v>
      </c>
      <c r="R2033" s="15"/>
      <c r="S2033" s="15"/>
      <c r="T2033" s="15">
        <v>1</v>
      </c>
      <c r="U2033" s="15"/>
      <c r="V2033" s="15"/>
      <c r="W2033" s="15"/>
      <c r="X2033" s="15"/>
      <c r="Y2033" s="15"/>
      <c r="Z2033" s="15"/>
    </row>
    <row r="2034" spans="1:26" x14ac:dyDescent="0.25">
      <c r="A2034" s="15" t="s">
        <v>15449</v>
      </c>
      <c r="B2034" s="15">
        <v>2033</v>
      </c>
      <c r="C2034" s="15" t="s">
        <v>11277</v>
      </c>
      <c r="D2034" s="15" t="s">
        <v>11277</v>
      </c>
      <c r="E2034" s="15" t="s">
        <v>133</v>
      </c>
      <c r="F2034" s="15" t="s">
        <v>15444</v>
      </c>
      <c r="G2034" s="15" t="s">
        <v>12076</v>
      </c>
      <c r="H2034" s="15">
        <v>30</v>
      </c>
      <c r="I2034" s="15">
        <v>32</v>
      </c>
      <c r="J2034" s="15">
        <v>90</v>
      </c>
      <c r="K2034" s="15" t="str">
        <f t="shared" si="31"/>
        <v>thechlorophospond</v>
      </c>
      <c r="L2034" s="15" t="s">
        <v>14088</v>
      </c>
      <c r="M2034" s="15">
        <v>3</v>
      </c>
      <c r="N2034" s="15" t="s">
        <v>11223</v>
      </c>
      <c r="O2034" s="15" t="s">
        <v>11297</v>
      </c>
      <c r="P2034" s="15"/>
      <c r="Q2034" s="15" t="s">
        <v>12073</v>
      </c>
      <c r="R2034" s="15"/>
      <c r="S2034" s="15"/>
      <c r="T2034" s="15">
        <v>4</v>
      </c>
      <c r="U2034" s="15"/>
      <c r="V2034" s="15"/>
      <c r="W2034" s="15"/>
      <c r="X2034" s="15"/>
      <c r="Y2034" s="15"/>
      <c r="Z2034" s="15"/>
    </row>
    <row r="2035" spans="1:26" x14ac:dyDescent="0.25">
      <c r="A2035" s="15" t="s">
        <v>15450</v>
      </c>
      <c r="B2035" s="15">
        <v>2034</v>
      </c>
      <c r="C2035" s="15" t="s">
        <v>11277</v>
      </c>
      <c r="D2035" s="15" t="s">
        <v>11277</v>
      </c>
      <c r="E2035" s="15" t="s">
        <v>133</v>
      </c>
      <c r="F2035" s="15" t="s">
        <v>15444</v>
      </c>
      <c r="G2035" s="15" t="s">
        <v>12077</v>
      </c>
      <c r="H2035" s="15">
        <v>30</v>
      </c>
      <c r="I2035" s="15">
        <v>32</v>
      </c>
      <c r="J2035" s="15">
        <v>90</v>
      </c>
      <c r="K2035" s="15" t="str">
        <f t="shared" si="31"/>
        <v>thechlorophospond</v>
      </c>
      <c r="L2035" s="15" t="s">
        <v>12074</v>
      </c>
      <c r="M2035" s="15">
        <v>3</v>
      </c>
      <c r="N2035" s="15" t="s">
        <v>11223</v>
      </c>
      <c r="O2035" s="15" t="s">
        <v>14003</v>
      </c>
      <c r="P2035" s="15"/>
      <c r="Q2035" s="15"/>
      <c r="R2035" s="15"/>
      <c r="S2035" s="15"/>
      <c r="T2035" s="15">
        <v>4</v>
      </c>
      <c r="U2035" s="15"/>
      <c r="V2035" s="15"/>
      <c r="W2035" s="15"/>
      <c r="X2035" s="15"/>
      <c r="Y2035" s="15"/>
      <c r="Z2035" s="15"/>
    </row>
    <row r="2036" spans="1:26" x14ac:dyDescent="0.25">
      <c r="A2036" s="15" t="s">
        <v>15451</v>
      </c>
      <c r="B2036" s="15">
        <v>2035</v>
      </c>
      <c r="C2036" s="15" t="s">
        <v>11277</v>
      </c>
      <c r="D2036" s="15" t="s">
        <v>11277</v>
      </c>
      <c r="E2036" s="15" t="s">
        <v>133</v>
      </c>
      <c r="F2036" s="15" t="s">
        <v>15452</v>
      </c>
      <c r="G2036" s="15" t="s">
        <v>12071</v>
      </c>
      <c r="H2036" s="15">
        <v>22</v>
      </c>
      <c r="I2036" s="15">
        <v>31</v>
      </c>
      <c r="J2036" s="15">
        <v>85</v>
      </c>
      <c r="K2036" s="15" t="str">
        <f t="shared" si="31"/>
        <v>thefrozenfissure</v>
      </c>
      <c r="L2036" s="15" t="s">
        <v>12072</v>
      </c>
      <c r="M2036" s="15">
        <v>2</v>
      </c>
      <c r="N2036" s="15" t="s">
        <v>11223</v>
      </c>
      <c r="O2036" s="15"/>
      <c r="P2036" s="15"/>
      <c r="Q2036" s="15" t="s">
        <v>12073</v>
      </c>
      <c r="R2036" s="15"/>
      <c r="S2036" s="15"/>
      <c r="T2036" s="15">
        <v>0</v>
      </c>
      <c r="U2036" s="15"/>
      <c r="V2036" s="15"/>
      <c r="W2036" s="15"/>
      <c r="X2036" s="15"/>
      <c r="Y2036" s="15"/>
      <c r="Z2036" s="15"/>
    </row>
    <row r="2037" spans="1:26" x14ac:dyDescent="0.25">
      <c r="A2037" s="15" t="s">
        <v>15453</v>
      </c>
      <c r="B2037" s="15">
        <v>2036</v>
      </c>
      <c r="C2037" s="15" t="s">
        <v>11277</v>
      </c>
      <c r="D2037" s="15" t="s">
        <v>11277</v>
      </c>
      <c r="E2037" s="15" t="s">
        <v>133</v>
      </c>
      <c r="F2037" s="15" t="s">
        <v>15452</v>
      </c>
      <c r="G2037" s="15" t="s">
        <v>12073</v>
      </c>
      <c r="H2037" s="15">
        <v>22</v>
      </c>
      <c r="I2037" s="15">
        <v>31</v>
      </c>
      <c r="J2037" s="15">
        <v>86</v>
      </c>
      <c r="K2037" s="15" t="str">
        <f t="shared" si="31"/>
        <v>thefrozenfissure</v>
      </c>
      <c r="L2037" s="15" t="s">
        <v>12072</v>
      </c>
      <c r="M2037" s="15">
        <v>1</v>
      </c>
      <c r="N2037" s="15" t="s">
        <v>11222</v>
      </c>
      <c r="O2037" s="15"/>
      <c r="P2037" s="15"/>
      <c r="Q2037" s="15"/>
      <c r="R2037" s="15"/>
      <c r="S2037" s="15"/>
      <c r="T2037" s="15">
        <v>0</v>
      </c>
      <c r="U2037" s="15"/>
      <c r="V2037" s="15"/>
      <c r="W2037" s="15"/>
      <c r="X2037" s="15"/>
      <c r="Y2037" s="15"/>
      <c r="Z2037" s="15"/>
    </row>
    <row r="2038" spans="1:26" x14ac:dyDescent="0.25">
      <c r="A2038" s="15" t="s">
        <v>15454</v>
      </c>
      <c r="B2038" s="15">
        <v>2037</v>
      </c>
      <c r="C2038" s="15" t="s">
        <v>11277</v>
      </c>
      <c r="D2038" s="15" t="s">
        <v>11277</v>
      </c>
      <c r="E2038" s="15" t="s">
        <v>133</v>
      </c>
      <c r="F2038" s="15" t="s">
        <v>15452</v>
      </c>
      <c r="G2038" s="15" t="s">
        <v>12078</v>
      </c>
      <c r="H2038" s="15">
        <v>22</v>
      </c>
      <c r="I2038" s="15">
        <v>31</v>
      </c>
      <c r="J2038" s="15">
        <v>86</v>
      </c>
      <c r="K2038" s="15" t="str">
        <f t="shared" si="31"/>
        <v>thefrozenfissure</v>
      </c>
      <c r="L2038" s="15" t="s">
        <v>12079</v>
      </c>
      <c r="M2038" s="15">
        <v>2</v>
      </c>
      <c r="N2038" s="15" t="s">
        <v>11223</v>
      </c>
      <c r="O2038" s="15"/>
      <c r="P2038" s="15"/>
      <c r="Q2038" s="15" t="s">
        <v>12073</v>
      </c>
      <c r="R2038" s="15"/>
      <c r="S2038" s="15"/>
      <c r="T2038" s="15">
        <v>0</v>
      </c>
      <c r="U2038" s="15"/>
      <c r="V2038" s="15"/>
      <c r="W2038" s="15"/>
      <c r="X2038" s="15"/>
      <c r="Y2038" s="15"/>
      <c r="Z2038" s="15"/>
    </row>
    <row r="2039" spans="1:26" x14ac:dyDescent="0.25">
      <c r="A2039" s="15" t="s">
        <v>15455</v>
      </c>
      <c r="B2039" s="15">
        <v>2038</v>
      </c>
      <c r="C2039" s="15" t="s">
        <v>11277</v>
      </c>
      <c r="D2039" s="15" t="s">
        <v>11277</v>
      </c>
      <c r="E2039" s="15" t="s">
        <v>133</v>
      </c>
      <c r="F2039" s="15" t="s">
        <v>15452</v>
      </c>
      <c r="G2039" s="15" t="s">
        <v>12080</v>
      </c>
      <c r="H2039" s="15">
        <v>22</v>
      </c>
      <c r="I2039" s="15">
        <v>31</v>
      </c>
      <c r="J2039" s="15">
        <v>87</v>
      </c>
      <c r="K2039" s="15" t="str">
        <f t="shared" si="31"/>
        <v>thefrozenfissure</v>
      </c>
      <c r="L2039" s="15" t="s">
        <v>12074</v>
      </c>
      <c r="M2039" s="15">
        <v>2</v>
      </c>
      <c r="N2039" s="15" t="s">
        <v>11223</v>
      </c>
      <c r="O2039" s="15"/>
      <c r="P2039" s="15"/>
      <c r="Q2039" s="15"/>
      <c r="R2039" s="15"/>
      <c r="S2039" s="15"/>
      <c r="T2039" s="15">
        <v>0</v>
      </c>
      <c r="U2039" s="15"/>
      <c r="V2039" s="15"/>
      <c r="W2039" s="15"/>
      <c r="X2039" s="15"/>
      <c r="Y2039" s="15"/>
      <c r="Z2039" s="15"/>
    </row>
    <row r="2040" spans="1:26" x14ac:dyDescent="0.25">
      <c r="A2040" s="15" t="s">
        <v>15456</v>
      </c>
      <c r="B2040" s="15">
        <v>2039</v>
      </c>
      <c r="C2040" s="15" t="s">
        <v>11277</v>
      </c>
      <c r="D2040" s="15" t="s">
        <v>11277</v>
      </c>
      <c r="E2040" s="15" t="s">
        <v>133</v>
      </c>
      <c r="F2040" s="15" t="s">
        <v>15452</v>
      </c>
      <c r="G2040" s="15" t="s">
        <v>12081</v>
      </c>
      <c r="H2040" s="15">
        <v>22</v>
      </c>
      <c r="I2040" s="15">
        <v>31</v>
      </c>
      <c r="J2040" s="15">
        <v>90</v>
      </c>
      <c r="K2040" s="15" t="str">
        <f t="shared" si="31"/>
        <v>thefrozenfissure</v>
      </c>
      <c r="L2040" s="15" t="s">
        <v>12074</v>
      </c>
      <c r="M2040" s="15">
        <v>3</v>
      </c>
      <c r="N2040" s="15" t="s">
        <v>11223</v>
      </c>
      <c r="O2040" s="15" t="s">
        <v>2818</v>
      </c>
      <c r="P2040" s="15"/>
      <c r="Q2040" s="15"/>
      <c r="R2040" s="15"/>
      <c r="S2040" s="15"/>
      <c r="T2040" s="15">
        <v>2</v>
      </c>
      <c r="U2040" s="15" t="s">
        <v>15457</v>
      </c>
      <c r="V2040" s="15"/>
      <c r="W2040" s="15"/>
      <c r="X2040" s="15"/>
      <c r="Y2040" s="15"/>
      <c r="Z2040" s="15"/>
    </row>
    <row r="2041" spans="1:26" x14ac:dyDescent="0.25">
      <c r="A2041" s="15" t="s">
        <v>15458</v>
      </c>
      <c r="B2041" s="15">
        <v>2040</v>
      </c>
      <c r="C2041" s="15" t="s">
        <v>11277</v>
      </c>
      <c r="D2041" s="15" t="s">
        <v>11277</v>
      </c>
      <c r="E2041" s="15" t="s">
        <v>133</v>
      </c>
      <c r="F2041" s="15" t="s">
        <v>15459</v>
      </c>
      <c r="G2041" s="15" t="s">
        <v>12082</v>
      </c>
      <c r="H2041" s="15">
        <v>7</v>
      </c>
      <c r="I2041" s="15">
        <v>22.5</v>
      </c>
      <c r="J2041" s="15">
        <v>88</v>
      </c>
      <c r="K2041" s="15" t="str">
        <f t="shared" si="31"/>
        <v>apohelos18α</v>
      </c>
      <c r="L2041" s="15" t="s">
        <v>12072</v>
      </c>
      <c r="M2041" s="15">
        <v>1</v>
      </c>
      <c r="N2041" s="15" t="s">
        <v>11222</v>
      </c>
      <c r="O2041" s="15"/>
      <c r="P2041" s="15"/>
      <c r="Q2041" s="15"/>
      <c r="R2041" s="15"/>
      <c r="S2041" s="15"/>
      <c r="T2041" s="15">
        <v>0</v>
      </c>
      <c r="U2041" s="15"/>
      <c r="V2041" s="15"/>
      <c r="W2041" s="15"/>
      <c r="X2041" s="15"/>
      <c r="Y2041" s="15"/>
      <c r="Z2041" s="15"/>
    </row>
    <row r="2042" spans="1:26" x14ac:dyDescent="0.25">
      <c r="A2042" s="15" t="s">
        <v>15460</v>
      </c>
      <c r="B2042" s="15">
        <v>2041</v>
      </c>
      <c r="C2042" s="15" t="s">
        <v>11277</v>
      </c>
      <c r="D2042" s="15" t="s">
        <v>11277</v>
      </c>
      <c r="E2042" s="15" t="s">
        <v>133</v>
      </c>
      <c r="F2042" s="15" t="s">
        <v>15459</v>
      </c>
      <c r="G2042" s="15" t="s">
        <v>12083</v>
      </c>
      <c r="H2042" s="15">
        <v>7</v>
      </c>
      <c r="I2042" s="15">
        <v>22.5</v>
      </c>
      <c r="J2042" s="15">
        <v>89</v>
      </c>
      <c r="K2042" s="15" t="str">
        <f t="shared" si="31"/>
        <v>apohelos18α</v>
      </c>
      <c r="L2042" s="15" t="s">
        <v>12074</v>
      </c>
      <c r="M2042" s="15">
        <v>1</v>
      </c>
      <c r="N2042" s="15" t="s">
        <v>11222</v>
      </c>
      <c r="O2042" s="15"/>
      <c r="P2042" s="15"/>
      <c r="Q2042" s="15"/>
      <c r="R2042" s="15"/>
      <c r="S2042" s="15"/>
      <c r="T2042" s="15">
        <v>0</v>
      </c>
      <c r="U2042" s="15"/>
      <c r="V2042" s="15"/>
      <c r="W2042" s="15"/>
      <c r="X2042" s="15"/>
      <c r="Y2042" s="15"/>
      <c r="Z2042" s="15"/>
    </row>
    <row r="2043" spans="1:26" x14ac:dyDescent="0.25">
      <c r="A2043" s="15" t="s">
        <v>15461</v>
      </c>
      <c r="B2043" s="15">
        <v>2042</v>
      </c>
      <c r="C2043" s="15" t="s">
        <v>11277</v>
      </c>
      <c r="D2043" s="15" t="s">
        <v>11277</v>
      </c>
      <c r="E2043" s="15" t="s">
        <v>133</v>
      </c>
      <c r="F2043" s="15" t="s">
        <v>15459</v>
      </c>
      <c r="G2043" s="15" t="s">
        <v>12084</v>
      </c>
      <c r="H2043" s="15">
        <v>7</v>
      </c>
      <c r="I2043" s="15">
        <v>22.5</v>
      </c>
      <c r="J2043" s="15">
        <v>89</v>
      </c>
      <c r="K2043" s="15" t="str">
        <f t="shared" si="31"/>
        <v>apohelos18α</v>
      </c>
      <c r="L2043" s="15" t="s">
        <v>12072</v>
      </c>
      <c r="M2043" s="15">
        <v>2</v>
      </c>
      <c r="N2043" s="15" t="s">
        <v>11223</v>
      </c>
      <c r="O2043" s="15"/>
      <c r="P2043" s="15"/>
      <c r="Q2043" s="15"/>
      <c r="R2043" s="15"/>
      <c r="S2043" s="15"/>
      <c r="T2043" s="15">
        <v>0</v>
      </c>
      <c r="U2043" s="15"/>
      <c r="V2043" s="15"/>
      <c r="W2043" s="15"/>
      <c r="X2043" s="15"/>
      <c r="Y2043" s="15"/>
      <c r="Z2043" s="15"/>
    </row>
    <row r="2044" spans="1:26" x14ac:dyDescent="0.25">
      <c r="A2044" s="15" t="s">
        <v>15462</v>
      </c>
      <c r="B2044" s="15">
        <v>2043</v>
      </c>
      <c r="C2044" s="15" t="s">
        <v>11277</v>
      </c>
      <c r="D2044" s="15" t="s">
        <v>11277</v>
      </c>
      <c r="E2044" s="15" t="s">
        <v>133</v>
      </c>
      <c r="F2044" s="15" t="s">
        <v>15459</v>
      </c>
      <c r="G2044" s="15" t="s">
        <v>12085</v>
      </c>
      <c r="H2044" s="15">
        <v>7</v>
      </c>
      <c r="I2044" s="15">
        <v>22.5</v>
      </c>
      <c r="J2044" s="15">
        <v>90</v>
      </c>
      <c r="K2044" s="15" t="str">
        <f t="shared" si="31"/>
        <v>apohelos18α</v>
      </c>
      <c r="L2044" s="15" t="s">
        <v>12074</v>
      </c>
      <c r="M2044" s="15">
        <v>2</v>
      </c>
      <c r="N2044" s="15" t="s">
        <v>11223</v>
      </c>
      <c r="O2044" s="15"/>
      <c r="P2044" s="15"/>
      <c r="Q2044" s="15"/>
      <c r="R2044" s="15"/>
      <c r="S2044" s="15"/>
      <c r="T2044" s="15">
        <v>0</v>
      </c>
      <c r="U2044" s="15"/>
      <c r="V2044" s="15"/>
      <c r="W2044" s="15"/>
      <c r="X2044" s="15"/>
      <c r="Y2044" s="15"/>
      <c r="Z2044" s="15"/>
    </row>
    <row r="2045" spans="1:26" x14ac:dyDescent="0.25">
      <c r="A2045" s="15" t="s">
        <v>15463</v>
      </c>
      <c r="B2045" s="15">
        <v>2044</v>
      </c>
      <c r="C2045" s="15" t="s">
        <v>11277</v>
      </c>
      <c r="D2045" s="15" t="s">
        <v>11277</v>
      </c>
      <c r="E2045" s="15" t="s">
        <v>133</v>
      </c>
      <c r="F2045" s="15" t="s">
        <v>15459</v>
      </c>
      <c r="G2045" s="15" t="s">
        <v>149</v>
      </c>
      <c r="H2045" s="15">
        <v>7</v>
      </c>
      <c r="I2045" s="15">
        <v>22.5</v>
      </c>
      <c r="J2045" s="15">
        <v>90</v>
      </c>
      <c r="K2045" s="15" t="str">
        <f t="shared" si="31"/>
        <v>apohelos18α</v>
      </c>
      <c r="L2045" s="15" t="s">
        <v>12074</v>
      </c>
      <c r="M2045" s="15">
        <v>2</v>
      </c>
      <c r="N2045" s="15" t="s">
        <v>11223</v>
      </c>
      <c r="O2045" s="15"/>
      <c r="P2045" s="15"/>
      <c r="Q2045" s="15"/>
      <c r="R2045" s="15"/>
      <c r="S2045" s="15"/>
      <c r="T2045" s="15">
        <v>0</v>
      </c>
      <c r="U2045" s="15"/>
      <c r="V2045" s="15"/>
      <c r="W2045" s="15"/>
      <c r="X2045" s="15"/>
      <c r="Y2045" s="15"/>
      <c r="Z2045" s="15"/>
    </row>
    <row r="2046" spans="1:26" x14ac:dyDescent="0.25">
      <c r="A2046" s="15" t="s">
        <v>15464</v>
      </c>
      <c r="B2046" s="15">
        <v>2045</v>
      </c>
      <c r="C2046" s="15" t="s">
        <v>11277</v>
      </c>
      <c r="D2046" s="15" t="s">
        <v>11277</v>
      </c>
      <c r="E2046" s="15" t="s">
        <v>133</v>
      </c>
      <c r="F2046" s="15" t="s">
        <v>15459</v>
      </c>
      <c r="G2046" s="15" t="s">
        <v>196</v>
      </c>
      <c r="H2046" s="15">
        <v>7</v>
      </c>
      <c r="I2046" s="15">
        <v>22.5</v>
      </c>
      <c r="J2046" s="15">
        <v>90</v>
      </c>
      <c r="K2046" s="15" t="str">
        <f t="shared" si="31"/>
        <v>apohelos18α</v>
      </c>
      <c r="L2046" s="15" t="s">
        <v>12072</v>
      </c>
      <c r="M2046" s="15">
        <v>2</v>
      </c>
      <c r="N2046" s="15" t="s">
        <v>11223</v>
      </c>
      <c r="O2046" s="15" t="s">
        <v>2824</v>
      </c>
      <c r="P2046" s="15"/>
      <c r="Q2046" s="15"/>
      <c r="R2046" s="15"/>
      <c r="S2046" s="15"/>
      <c r="T2046" s="15">
        <v>4</v>
      </c>
      <c r="U2046" s="15"/>
      <c r="V2046" s="15"/>
      <c r="W2046" s="15"/>
      <c r="X2046" s="15"/>
      <c r="Y2046" s="15"/>
      <c r="Z2046" s="15"/>
    </row>
    <row r="2047" spans="1:26" x14ac:dyDescent="0.25">
      <c r="A2047" s="15" t="s">
        <v>15465</v>
      </c>
      <c r="B2047" s="15">
        <v>2046</v>
      </c>
      <c r="C2047" s="15" t="s">
        <v>11277</v>
      </c>
      <c r="D2047" s="15" t="s">
        <v>11277</v>
      </c>
      <c r="E2047" s="15" t="s">
        <v>133</v>
      </c>
      <c r="F2047" s="15" t="s">
        <v>15459</v>
      </c>
      <c r="G2047" s="15" t="s">
        <v>12086</v>
      </c>
      <c r="H2047" s="15">
        <v>7</v>
      </c>
      <c r="I2047" s="15">
        <v>22.5</v>
      </c>
      <c r="J2047" s="15">
        <v>90</v>
      </c>
      <c r="K2047" s="15" t="str">
        <f t="shared" si="31"/>
        <v>apohelos18α</v>
      </c>
      <c r="L2047" s="15" t="s">
        <v>12074</v>
      </c>
      <c r="M2047" s="15">
        <v>3</v>
      </c>
      <c r="N2047" s="15" t="s">
        <v>11223</v>
      </c>
      <c r="O2047" s="15" t="s">
        <v>14023</v>
      </c>
      <c r="P2047" s="15"/>
      <c r="Q2047" s="15"/>
      <c r="R2047" s="15"/>
      <c r="S2047" s="15"/>
      <c r="T2047" s="15">
        <v>3</v>
      </c>
      <c r="U2047" s="15" t="s">
        <v>15466</v>
      </c>
      <c r="V2047" s="15"/>
      <c r="W2047" s="15"/>
      <c r="X2047" s="15" t="s">
        <v>15457</v>
      </c>
      <c r="Y2047" s="15"/>
      <c r="Z2047" s="15"/>
    </row>
    <row r="2048" spans="1:26" x14ac:dyDescent="0.25">
      <c r="A2048" s="15" t="s">
        <v>15467</v>
      </c>
      <c r="B2048" s="15">
        <v>2047</v>
      </c>
      <c r="C2048" s="15" t="s">
        <v>11277</v>
      </c>
      <c r="D2048" s="15" t="s">
        <v>11277</v>
      </c>
      <c r="E2048" s="15" t="s">
        <v>133</v>
      </c>
      <c r="F2048" s="15" t="s">
        <v>15468</v>
      </c>
      <c r="G2048" s="15" t="s">
        <v>12082</v>
      </c>
      <c r="H2048" s="15">
        <v>9.3000000000000007</v>
      </c>
      <c r="I2048" s="15">
        <v>30.8</v>
      </c>
      <c r="J2048" s="15">
        <v>88</v>
      </c>
      <c r="K2048" s="15" t="str">
        <f t="shared" si="31"/>
        <v>apohelos18β</v>
      </c>
      <c r="L2048" s="15" t="s">
        <v>12072</v>
      </c>
      <c r="M2048" s="15">
        <v>1</v>
      </c>
      <c r="N2048" s="15" t="s">
        <v>11222</v>
      </c>
      <c r="O2048" s="15"/>
      <c r="P2048" s="15"/>
      <c r="Q2048" s="15"/>
      <c r="R2048" s="15"/>
      <c r="S2048" s="15"/>
      <c r="T2048" s="15">
        <v>0</v>
      </c>
      <c r="U2048" s="15"/>
      <c r="V2048" s="15"/>
      <c r="W2048" s="15"/>
      <c r="X2048" s="15"/>
      <c r="Y2048" s="15"/>
      <c r="Z2048" s="15"/>
    </row>
    <row r="2049" spans="1:26" x14ac:dyDescent="0.25">
      <c r="A2049" s="15" t="s">
        <v>15469</v>
      </c>
      <c r="B2049" s="15">
        <v>2048</v>
      </c>
      <c r="C2049" s="15" t="s">
        <v>11277</v>
      </c>
      <c r="D2049" s="15" t="s">
        <v>11277</v>
      </c>
      <c r="E2049" s="15" t="s">
        <v>133</v>
      </c>
      <c r="F2049" s="15" t="s">
        <v>15468</v>
      </c>
      <c r="G2049" s="15" t="s">
        <v>12087</v>
      </c>
      <c r="H2049" s="15">
        <v>9.3000000000000007</v>
      </c>
      <c r="I2049" s="15">
        <v>30.8</v>
      </c>
      <c r="J2049" s="15">
        <v>89</v>
      </c>
      <c r="K2049" s="15" t="str">
        <f t="shared" si="31"/>
        <v>apohelos18β</v>
      </c>
      <c r="L2049" s="15" t="s">
        <v>12074</v>
      </c>
      <c r="M2049" s="15">
        <v>1</v>
      </c>
      <c r="N2049" s="15" t="s">
        <v>11222</v>
      </c>
      <c r="O2049" s="15"/>
      <c r="P2049" s="15"/>
      <c r="Q2049" s="15"/>
      <c r="R2049" s="15"/>
      <c r="S2049" s="15"/>
      <c r="T2049" s="15">
        <v>0</v>
      </c>
      <c r="U2049" s="15"/>
      <c r="V2049" s="15"/>
      <c r="W2049" s="15"/>
      <c r="X2049" s="15"/>
      <c r="Y2049" s="15"/>
      <c r="Z2049" s="15"/>
    </row>
    <row r="2050" spans="1:26" x14ac:dyDescent="0.25">
      <c r="A2050" s="15" t="s">
        <v>15470</v>
      </c>
      <c r="B2050" s="15">
        <v>2049</v>
      </c>
      <c r="C2050" s="15" t="s">
        <v>11277</v>
      </c>
      <c r="D2050" s="15" t="s">
        <v>11277</v>
      </c>
      <c r="E2050" s="15" t="s">
        <v>133</v>
      </c>
      <c r="F2050" s="15" t="s">
        <v>15468</v>
      </c>
      <c r="G2050" s="15" t="s">
        <v>12084</v>
      </c>
      <c r="H2050" s="15">
        <v>9.3000000000000007</v>
      </c>
      <c r="I2050" s="15">
        <v>30.8</v>
      </c>
      <c r="J2050" s="15">
        <v>89</v>
      </c>
      <c r="K2050" s="15" t="str">
        <f t="shared" ref="K2050:K2113" si="32">LOWER(SUBSTITUTE(SUBSTITUTE(SUBSTITUTE(SUBSTITUTE(SUBSTITUTE(F2050," ",""),"(",""),")",""),"'",""),"-",""))</f>
        <v>apohelos18β</v>
      </c>
      <c r="L2050" s="15" t="s">
        <v>12072</v>
      </c>
      <c r="M2050" s="15">
        <v>2</v>
      </c>
      <c r="N2050" s="15" t="s">
        <v>11223</v>
      </c>
      <c r="O2050" s="15"/>
      <c r="P2050" s="15"/>
      <c r="Q2050" s="15"/>
      <c r="R2050" s="15"/>
      <c r="S2050" s="15"/>
      <c r="T2050" s="15">
        <v>0</v>
      </c>
      <c r="U2050" s="15"/>
      <c r="V2050" s="15"/>
      <c r="W2050" s="15"/>
      <c r="X2050" s="15"/>
      <c r="Y2050" s="15"/>
      <c r="Z2050" s="15"/>
    </row>
    <row r="2051" spans="1:26" x14ac:dyDescent="0.25">
      <c r="A2051" s="15" t="s">
        <v>15471</v>
      </c>
      <c r="B2051" s="15">
        <v>2050</v>
      </c>
      <c r="C2051" s="15" t="s">
        <v>11277</v>
      </c>
      <c r="D2051" s="15" t="s">
        <v>11277</v>
      </c>
      <c r="E2051" s="15" t="s">
        <v>133</v>
      </c>
      <c r="F2051" s="15" t="s">
        <v>15468</v>
      </c>
      <c r="G2051" s="15" t="s">
        <v>12088</v>
      </c>
      <c r="H2051" s="15">
        <v>9.3000000000000007</v>
      </c>
      <c r="I2051" s="15">
        <v>30.8</v>
      </c>
      <c r="J2051" s="15">
        <v>90</v>
      </c>
      <c r="K2051" s="15" t="str">
        <f t="shared" si="32"/>
        <v>apohelos18β</v>
      </c>
      <c r="L2051" s="15" t="s">
        <v>12074</v>
      </c>
      <c r="M2051" s="15">
        <v>2</v>
      </c>
      <c r="N2051" s="15" t="s">
        <v>11223</v>
      </c>
      <c r="O2051" s="15"/>
      <c r="P2051" s="15"/>
      <c r="Q2051" s="15"/>
      <c r="R2051" s="15"/>
      <c r="S2051" s="15"/>
      <c r="T2051" s="15">
        <v>0</v>
      </c>
      <c r="U2051" s="15"/>
      <c r="V2051" s="15"/>
      <c r="W2051" s="15"/>
      <c r="X2051" s="15"/>
      <c r="Y2051" s="15"/>
      <c r="Z2051" s="15"/>
    </row>
    <row r="2052" spans="1:26" x14ac:dyDescent="0.25">
      <c r="A2052" s="15" t="s">
        <v>15472</v>
      </c>
      <c r="B2052" s="15">
        <v>2051</v>
      </c>
      <c r="C2052" s="15" t="s">
        <v>11277</v>
      </c>
      <c r="D2052" s="15" t="s">
        <v>11277</v>
      </c>
      <c r="E2052" s="15" t="s">
        <v>133</v>
      </c>
      <c r="F2052" s="15" t="s">
        <v>15468</v>
      </c>
      <c r="G2052" s="15" t="s">
        <v>12089</v>
      </c>
      <c r="H2052" s="15">
        <v>9.3000000000000007</v>
      </c>
      <c r="I2052" s="15">
        <v>30.8</v>
      </c>
      <c r="J2052" s="15">
        <v>90</v>
      </c>
      <c r="K2052" s="15" t="str">
        <f t="shared" si="32"/>
        <v>apohelos18β</v>
      </c>
      <c r="L2052" s="15" t="s">
        <v>12074</v>
      </c>
      <c r="M2052" s="15">
        <v>3</v>
      </c>
      <c r="N2052" s="15" t="s">
        <v>11223</v>
      </c>
      <c r="O2052" s="15" t="s">
        <v>14015</v>
      </c>
      <c r="P2052" s="15"/>
      <c r="Q2052" s="15"/>
      <c r="R2052" s="15"/>
      <c r="S2052" s="15"/>
      <c r="T2052" s="15">
        <v>1</v>
      </c>
      <c r="U2052" s="15" t="s">
        <v>15457</v>
      </c>
      <c r="V2052" s="15"/>
      <c r="W2052" s="15"/>
      <c r="X2052" s="15"/>
      <c r="Y2052" s="15"/>
      <c r="Z2052" s="15"/>
    </row>
    <row r="2053" spans="1:26" x14ac:dyDescent="0.25">
      <c r="A2053" s="15" t="s">
        <v>15473</v>
      </c>
      <c r="B2053" s="15">
        <v>2052</v>
      </c>
      <c r="C2053" s="15" t="s">
        <v>11277</v>
      </c>
      <c r="D2053" s="15" t="s">
        <v>11277</v>
      </c>
      <c r="E2053" s="15" t="s">
        <v>133</v>
      </c>
      <c r="F2053" s="15" t="s">
        <v>15474</v>
      </c>
      <c r="G2053" s="15" t="s">
        <v>12082</v>
      </c>
      <c r="H2053" s="15">
        <v>20.6</v>
      </c>
      <c r="I2053" s="15">
        <v>36.5</v>
      </c>
      <c r="J2053" s="15">
        <v>88</v>
      </c>
      <c r="K2053" s="15" t="str">
        <f t="shared" si="32"/>
        <v>apohelos18γ</v>
      </c>
      <c r="L2053" s="15" t="s">
        <v>12072</v>
      </c>
      <c r="M2053" s="15">
        <v>1</v>
      </c>
      <c r="N2053" s="15" t="s">
        <v>11222</v>
      </c>
      <c r="O2053" s="15"/>
      <c r="P2053" s="15"/>
      <c r="Q2053" s="15"/>
      <c r="R2053" s="15"/>
      <c r="S2053" s="15"/>
      <c r="T2053" s="15">
        <v>0</v>
      </c>
      <c r="U2053" s="15"/>
      <c r="V2053" s="15"/>
      <c r="W2053" s="15"/>
      <c r="X2053" s="15"/>
      <c r="Y2053" s="15"/>
      <c r="Z2053" s="15"/>
    </row>
    <row r="2054" spans="1:26" x14ac:dyDescent="0.25">
      <c r="A2054" s="15" t="s">
        <v>15475</v>
      </c>
      <c r="B2054" s="15">
        <v>2053</v>
      </c>
      <c r="C2054" s="15" t="s">
        <v>11277</v>
      </c>
      <c r="D2054" s="15" t="s">
        <v>11277</v>
      </c>
      <c r="E2054" s="15" t="s">
        <v>133</v>
      </c>
      <c r="F2054" s="15" t="s">
        <v>15474</v>
      </c>
      <c r="G2054" s="15" t="s">
        <v>12090</v>
      </c>
      <c r="H2054" s="15">
        <v>20.6</v>
      </c>
      <c r="I2054" s="15">
        <v>36.5</v>
      </c>
      <c r="J2054" s="15">
        <v>88</v>
      </c>
      <c r="K2054" s="15" t="str">
        <f t="shared" si="32"/>
        <v>apohelos18γ</v>
      </c>
      <c r="L2054" s="15" t="s">
        <v>12074</v>
      </c>
      <c r="M2054" s="15">
        <v>2</v>
      </c>
      <c r="N2054" s="15" t="s">
        <v>11223</v>
      </c>
      <c r="O2054" s="15"/>
      <c r="P2054" s="15"/>
      <c r="Q2054" s="15"/>
      <c r="R2054" s="15"/>
      <c r="S2054" s="15"/>
      <c r="T2054" s="15">
        <v>0</v>
      </c>
      <c r="U2054" s="15"/>
      <c r="V2054" s="15"/>
      <c r="W2054" s="15"/>
      <c r="X2054" s="15"/>
      <c r="Y2054" s="15"/>
      <c r="Z2054" s="15"/>
    </row>
    <row r="2055" spans="1:26" x14ac:dyDescent="0.25">
      <c r="A2055" s="15" t="s">
        <v>15476</v>
      </c>
      <c r="B2055" s="15">
        <v>2054</v>
      </c>
      <c r="C2055" s="15" t="s">
        <v>11277</v>
      </c>
      <c r="D2055" s="15" t="s">
        <v>11277</v>
      </c>
      <c r="E2055" s="15" t="s">
        <v>133</v>
      </c>
      <c r="F2055" s="15" t="s">
        <v>15474</v>
      </c>
      <c r="G2055" s="15" t="s">
        <v>12084</v>
      </c>
      <c r="H2055" s="15">
        <v>20.6</v>
      </c>
      <c r="I2055" s="15">
        <v>36.5</v>
      </c>
      <c r="J2055" s="15">
        <v>89</v>
      </c>
      <c r="K2055" s="15" t="str">
        <f t="shared" si="32"/>
        <v>apohelos18γ</v>
      </c>
      <c r="L2055" s="15" t="s">
        <v>12072</v>
      </c>
      <c r="M2055" s="15">
        <v>2</v>
      </c>
      <c r="N2055" s="15" t="s">
        <v>11223</v>
      </c>
      <c r="O2055" s="15"/>
      <c r="P2055" s="15"/>
      <c r="Q2055" s="15"/>
      <c r="R2055" s="15"/>
      <c r="S2055" s="15"/>
      <c r="T2055" s="15">
        <v>0</v>
      </c>
      <c r="U2055" s="15"/>
      <c r="V2055" s="15"/>
      <c r="W2055" s="15"/>
      <c r="X2055" s="15"/>
      <c r="Y2055" s="15"/>
      <c r="Z2055" s="15"/>
    </row>
    <row r="2056" spans="1:26" x14ac:dyDescent="0.25">
      <c r="A2056" s="15" t="s">
        <v>15477</v>
      </c>
      <c r="B2056" s="15">
        <v>2055</v>
      </c>
      <c r="C2056" s="15" t="s">
        <v>11277</v>
      </c>
      <c r="D2056" s="15" t="s">
        <v>11277</v>
      </c>
      <c r="E2056" s="15" t="s">
        <v>133</v>
      </c>
      <c r="F2056" s="15" t="s">
        <v>15474</v>
      </c>
      <c r="G2056" s="15" t="s">
        <v>12091</v>
      </c>
      <c r="H2056" s="15">
        <v>20.6</v>
      </c>
      <c r="I2056" s="15">
        <v>36.5</v>
      </c>
      <c r="J2056" s="15">
        <v>89</v>
      </c>
      <c r="K2056" s="15" t="str">
        <f t="shared" si="32"/>
        <v>apohelos18γ</v>
      </c>
      <c r="L2056" s="15" t="s">
        <v>12074</v>
      </c>
      <c r="M2056" s="15">
        <v>2</v>
      </c>
      <c r="N2056" s="15" t="s">
        <v>11223</v>
      </c>
      <c r="O2056" s="15"/>
      <c r="P2056" s="15"/>
      <c r="Q2056" s="15"/>
      <c r="R2056" s="15"/>
      <c r="S2056" s="15"/>
      <c r="T2056" s="15">
        <v>0</v>
      </c>
      <c r="U2056" s="15"/>
      <c r="V2056" s="15"/>
      <c r="W2056" s="15"/>
      <c r="X2056" s="15"/>
      <c r="Y2056" s="15"/>
      <c r="Z2056" s="15"/>
    </row>
    <row r="2057" spans="1:26" x14ac:dyDescent="0.25">
      <c r="A2057" s="15" t="s">
        <v>15478</v>
      </c>
      <c r="B2057" s="15">
        <v>2056</v>
      </c>
      <c r="C2057" s="15" t="s">
        <v>11277</v>
      </c>
      <c r="D2057" s="15" t="s">
        <v>11277</v>
      </c>
      <c r="E2057" s="15" t="s">
        <v>133</v>
      </c>
      <c r="F2057" s="15" t="s">
        <v>15474</v>
      </c>
      <c r="G2057" s="15" t="s">
        <v>12092</v>
      </c>
      <c r="H2057" s="15">
        <v>20.6</v>
      </c>
      <c r="I2057" s="15">
        <v>36.5</v>
      </c>
      <c r="J2057" s="15">
        <v>90</v>
      </c>
      <c r="K2057" s="15" t="str">
        <f t="shared" si="32"/>
        <v>apohelos18γ</v>
      </c>
      <c r="L2057" s="15" t="s">
        <v>14088</v>
      </c>
      <c r="M2057" s="15">
        <v>3</v>
      </c>
      <c r="N2057" s="15" t="s">
        <v>11223</v>
      </c>
      <c r="O2057" s="15" t="s">
        <v>14063</v>
      </c>
      <c r="P2057" s="15"/>
      <c r="Q2057" s="15" t="s">
        <v>12090</v>
      </c>
      <c r="R2057" s="15"/>
      <c r="S2057" s="15"/>
      <c r="T2057" s="15">
        <v>0</v>
      </c>
      <c r="U2057" s="15" t="s">
        <v>15466</v>
      </c>
      <c r="V2057" s="15"/>
      <c r="W2057" s="15"/>
      <c r="X2057" s="15"/>
      <c r="Y2057" s="15"/>
      <c r="Z2057" s="15"/>
    </row>
    <row r="2058" spans="1:26" x14ac:dyDescent="0.25">
      <c r="A2058" s="15" t="s">
        <v>15479</v>
      </c>
      <c r="B2058" s="15">
        <v>2057</v>
      </c>
      <c r="C2058" s="15" t="s">
        <v>11277</v>
      </c>
      <c r="D2058" s="15" t="s">
        <v>11277</v>
      </c>
      <c r="E2058" s="15" t="s">
        <v>133</v>
      </c>
      <c r="F2058" s="15" t="s">
        <v>2492</v>
      </c>
      <c r="G2058" s="15" t="s">
        <v>12093</v>
      </c>
      <c r="H2058" s="15">
        <v>14.4</v>
      </c>
      <c r="I2058" s="15">
        <v>11.1</v>
      </c>
      <c r="J2058" s="15">
        <v>90</v>
      </c>
      <c r="K2058" s="15" t="str">
        <f t="shared" si="32"/>
        <v>thewellspringofregret</v>
      </c>
      <c r="L2058" s="15" t="s">
        <v>11946</v>
      </c>
      <c r="M2058" s="15">
        <v>1</v>
      </c>
      <c r="N2058" s="15" t="s">
        <v>11222</v>
      </c>
      <c r="O2058" s="15"/>
      <c r="P2058" s="15"/>
      <c r="Q2058" s="15"/>
      <c r="R2058" s="15"/>
      <c r="S2058" s="15"/>
      <c r="T2058" s="15">
        <v>0</v>
      </c>
      <c r="U2058" s="15"/>
      <c r="V2058" s="15"/>
      <c r="W2058" s="15"/>
      <c r="X2058" s="15"/>
      <c r="Y2058" s="15"/>
      <c r="Z2058" s="15"/>
    </row>
    <row r="2059" spans="1:26" x14ac:dyDescent="0.25">
      <c r="A2059" s="15" t="s">
        <v>15480</v>
      </c>
      <c r="B2059" s="15">
        <v>2058</v>
      </c>
      <c r="C2059" s="15" t="s">
        <v>11277</v>
      </c>
      <c r="D2059" s="15" t="s">
        <v>11277</v>
      </c>
      <c r="E2059" s="15" t="s">
        <v>133</v>
      </c>
      <c r="F2059" s="15" t="s">
        <v>2492</v>
      </c>
      <c r="G2059" s="15" t="s">
        <v>12094</v>
      </c>
      <c r="H2059" s="15">
        <v>14.4</v>
      </c>
      <c r="I2059" s="15">
        <v>11.1</v>
      </c>
      <c r="J2059" s="15">
        <v>90</v>
      </c>
      <c r="K2059" s="15" t="str">
        <f t="shared" si="32"/>
        <v>thewellspringofregret</v>
      </c>
      <c r="L2059" s="15" t="s">
        <v>11946</v>
      </c>
      <c r="M2059" s="15">
        <v>2</v>
      </c>
      <c r="N2059" s="15" t="s">
        <v>11223</v>
      </c>
      <c r="O2059" s="15"/>
      <c r="P2059" s="15"/>
      <c r="Q2059" s="15"/>
      <c r="R2059" s="15"/>
      <c r="S2059" s="15"/>
      <c r="T2059" s="15">
        <v>0</v>
      </c>
      <c r="U2059" s="15"/>
      <c r="V2059" s="15"/>
      <c r="W2059" s="15"/>
      <c r="X2059" s="15"/>
      <c r="Y2059" s="15"/>
      <c r="Z2059" s="15"/>
    </row>
    <row r="2060" spans="1:26" x14ac:dyDescent="0.25">
      <c r="A2060" s="15" t="s">
        <v>15481</v>
      </c>
      <c r="B2060" s="15">
        <v>2059</v>
      </c>
      <c r="C2060" s="15" t="s">
        <v>11277</v>
      </c>
      <c r="D2060" s="15" t="s">
        <v>11277</v>
      </c>
      <c r="E2060" s="15" t="s">
        <v>133</v>
      </c>
      <c r="F2060" s="15" t="s">
        <v>2492</v>
      </c>
      <c r="G2060" s="15" t="s">
        <v>12095</v>
      </c>
      <c r="H2060" s="15">
        <v>14.4</v>
      </c>
      <c r="I2060" s="15">
        <v>11.1</v>
      </c>
      <c r="J2060" s="15">
        <v>90</v>
      </c>
      <c r="K2060" s="15" t="str">
        <f t="shared" si="32"/>
        <v>thewellspringofregret</v>
      </c>
      <c r="L2060" s="15" t="s">
        <v>11948</v>
      </c>
      <c r="M2060" s="15">
        <v>1</v>
      </c>
      <c r="N2060" s="15" t="s">
        <v>11222</v>
      </c>
      <c r="O2060" s="15"/>
      <c r="P2060" s="15"/>
      <c r="Q2060" s="15"/>
      <c r="R2060" s="15"/>
      <c r="S2060" s="15"/>
      <c r="T2060" s="15">
        <v>0</v>
      </c>
      <c r="U2060" s="15"/>
      <c r="V2060" s="15"/>
      <c r="W2060" s="15"/>
      <c r="X2060" s="15"/>
      <c r="Y2060" s="15"/>
      <c r="Z2060" s="15"/>
    </row>
    <row r="2061" spans="1:26" x14ac:dyDescent="0.25">
      <c r="A2061" s="15" t="s">
        <v>15482</v>
      </c>
      <c r="B2061" s="15">
        <v>2060</v>
      </c>
      <c r="C2061" s="15" t="s">
        <v>11277</v>
      </c>
      <c r="D2061" s="15" t="s">
        <v>11277</v>
      </c>
      <c r="E2061" s="15" t="s">
        <v>133</v>
      </c>
      <c r="F2061" s="15" t="s">
        <v>2492</v>
      </c>
      <c r="G2061" s="15" t="s">
        <v>12096</v>
      </c>
      <c r="H2061" s="15">
        <v>14.4</v>
      </c>
      <c r="I2061" s="15">
        <v>11.1</v>
      </c>
      <c r="J2061" s="15">
        <v>90</v>
      </c>
      <c r="K2061" s="15" t="str">
        <f t="shared" si="32"/>
        <v>thewellspringofregret</v>
      </c>
      <c r="L2061" s="15" t="s">
        <v>11948</v>
      </c>
      <c r="M2061" s="15">
        <v>2</v>
      </c>
      <c r="N2061" s="15" t="s">
        <v>11223</v>
      </c>
      <c r="O2061" s="15"/>
      <c r="P2061" s="15"/>
      <c r="Q2061" s="15"/>
      <c r="R2061" s="15"/>
      <c r="S2061" s="15"/>
      <c r="T2061" s="15">
        <v>0</v>
      </c>
      <c r="U2061" s="15"/>
      <c r="V2061" s="15"/>
      <c r="W2061" s="15"/>
      <c r="X2061" s="15"/>
      <c r="Y2061" s="15"/>
      <c r="Z2061" s="15"/>
    </row>
    <row r="2062" spans="1:26" x14ac:dyDescent="0.25">
      <c r="A2062" s="15" t="s">
        <v>15483</v>
      </c>
      <c r="B2062" s="15">
        <v>2061</v>
      </c>
      <c r="C2062" s="15" t="s">
        <v>11277</v>
      </c>
      <c r="D2062" s="15" t="s">
        <v>11277</v>
      </c>
      <c r="E2062" s="15" t="s">
        <v>133</v>
      </c>
      <c r="F2062" s="15" t="s">
        <v>2492</v>
      </c>
      <c r="G2062" s="15" t="s">
        <v>12097</v>
      </c>
      <c r="H2062" s="15">
        <v>14.4</v>
      </c>
      <c r="I2062" s="15">
        <v>11.1</v>
      </c>
      <c r="J2062" s="15">
        <v>90</v>
      </c>
      <c r="K2062" s="15" t="str">
        <f t="shared" si="32"/>
        <v>thewellspringofregret</v>
      </c>
      <c r="L2062" s="15" t="s">
        <v>11948</v>
      </c>
      <c r="M2062" s="15">
        <v>3</v>
      </c>
      <c r="N2062" s="15" t="s">
        <v>11223</v>
      </c>
      <c r="O2062" s="15" t="s">
        <v>11295</v>
      </c>
      <c r="P2062" s="15"/>
      <c r="Q2062" s="15"/>
      <c r="R2062" s="15"/>
      <c r="S2062" s="15"/>
      <c r="T2062" s="15">
        <v>2</v>
      </c>
      <c r="U2062" s="15" t="s">
        <v>15466</v>
      </c>
      <c r="V2062" s="15"/>
      <c r="W2062" s="15"/>
      <c r="X2062" s="15"/>
      <c r="Y2062" s="15"/>
      <c r="Z2062" s="15"/>
    </row>
    <row r="2063" spans="1:26" x14ac:dyDescent="0.25">
      <c r="A2063" s="15" t="s">
        <v>15484</v>
      </c>
      <c r="B2063" s="15">
        <v>2062</v>
      </c>
      <c r="C2063" s="15" t="s">
        <v>11277</v>
      </c>
      <c r="D2063" s="15" t="s">
        <v>11277</v>
      </c>
      <c r="E2063" s="15" t="s">
        <v>133</v>
      </c>
      <c r="F2063" s="15" t="s">
        <v>3508</v>
      </c>
      <c r="G2063" s="15" t="s">
        <v>12093</v>
      </c>
      <c r="H2063" s="15">
        <v>22</v>
      </c>
      <c r="I2063" s="15">
        <v>8</v>
      </c>
      <c r="J2063" s="15">
        <v>90</v>
      </c>
      <c r="K2063" s="15" t="str">
        <f t="shared" si="32"/>
        <v>abodeoftheea</v>
      </c>
      <c r="L2063" s="15" t="s">
        <v>11946</v>
      </c>
      <c r="M2063" s="15">
        <v>1</v>
      </c>
      <c r="N2063" s="15" t="s">
        <v>11222</v>
      </c>
      <c r="O2063" s="15"/>
      <c r="P2063" s="15"/>
      <c r="Q2063" s="15"/>
      <c r="R2063" s="15"/>
      <c r="S2063" s="15"/>
      <c r="T2063" s="15">
        <v>0</v>
      </c>
      <c r="U2063" s="15"/>
      <c r="V2063" s="15"/>
      <c r="W2063" s="15"/>
      <c r="X2063" s="15"/>
      <c r="Y2063" s="15"/>
      <c r="Z2063" s="15"/>
    </row>
    <row r="2064" spans="1:26" x14ac:dyDescent="0.25">
      <c r="A2064" s="15" t="s">
        <v>15485</v>
      </c>
      <c r="B2064" s="15">
        <v>2063</v>
      </c>
      <c r="C2064" s="15" t="s">
        <v>11277</v>
      </c>
      <c r="D2064" s="15" t="s">
        <v>11277</v>
      </c>
      <c r="E2064" s="15" t="s">
        <v>133</v>
      </c>
      <c r="F2064" s="15" t="s">
        <v>3508</v>
      </c>
      <c r="G2064" s="15" t="s">
        <v>12094</v>
      </c>
      <c r="H2064" s="15">
        <v>22</v>
      </c>
      <c r="I2064" s="15">
        <v>8</v>
      </c>
      <c r="J2064" s="15">
        <v>90</v>
      </c>
      <c r="K2064" s="15" t="str">
        <f t="shared" si="32"/>
        <v>abodeoftheea</v>
      </c>
      <c r="L2064" s="15" t="s">
        <v>11946</v>
      </c>
      <c r="M2064" s="15">
        <v>2</v>
      </c>
      <c r="N2064" s="15" t="s">
        <v>11223</v>
      </c>
      <c r="O2064" s="15"/>
      <c r="P2064" s="15"/>
      <c r="Q2064" s="15"/>
      <c r="R2064" s="15"/>
      <c r="S2064" s="15"/>
      <c r="T2064" s="15">
        <v>0</v>
      </c>
      <c r="U2064" s="15"/>
      <c r="V2064" s="15"/>
      <c r="W2064" s="15"/>
      <c r="X2064" s="15"/>
      <c r="Y2064" s="15"/>
      <c r="Z2064" s="15"/>
    </row>
    <row r="2065" spans="1:26" x14ac:dyDescent="0.25">
      <c r="A2065" s="15" t="s">
        <v>15486</v>
      </c>
      <c r="B2065" s="15">
        <v>2064</v>
      </c>
      <c r="C2065" s="15" t="s">
        <v>11277</v>
      </c>
      <c r="D2065" s="15" t="s">
        <v>11277</v>
      </c>
      <c r="E2065" s="15" t="s">
        <v>133</v>
      </c>
      <c r="F2065" s="15" t="s">
        <v>3508</v>
      </c>
      <c r="G2065" s="15" t="s">
        <v>12098</v>
      </c>
      <c r="H2065" s="15">
        <v>22</v>
      </c>
      <c r="I2065" s="15">
        <v>8</v>
      </c>
      <c r="J2065" s="15">
        <v>90</v>
      </c>
      <c r="K2065" s="15" t="str">
        <f t="shared" si="32"/>
        <v>abodeoftheea</v>
      </c>
      <c r="L2065" s="15" t="s">
        <v>11948</v>
      </c>
      <c r="M2065" s="15">
        <v>2</v>
      </c>
      <c r="N2065" s="15" t="s">
        <v>11223</v>
      </c>
      <c r="O2065" s="15"/>
      <c r="P2065" s="15"/>
      <c r="Q2065" s="15"/>
      <c r="R2065" s="15"/>
      <c r="S2065" s="15"/>
      <c r="T2065" s="15">
        <v>0</v>
      </c>
      <c r="U2065" s="15"/>
      <c r="V2065" s="15"/>
      <c r="W2065" s="15"/>
      <c r="X2065" s="15"/>
      <c r="Y2065" s="15"/>
      <c r="Z2065" s="15"/>
    </row>
    <row r="2066" spans="1:26" x14ac:dyDescent="0.25">
      <c r="A2066" s="15" t="s">
        <v>15487</v>
      </c>
      <c r="B2066" s="15">
        <v>2065</v>
      </c>
      <c r="C2066" s="15" t="s">
        <v>11277</v>
      </c>
      <c r="D2066" s="15" t="s">
        <v>11277</v>
      </c>
      <c r="E2066" s="15" t="s">
        <v>133</v>
      </c>
      <c r="F2066" s="15" t="s">
        <v>3508</v>
      </c>
      <c r="G2066" s="15" t="s">
        <v>12099</v>
      </c>
      <c r="H2066" s="15">
        <v>22</v>
      </c>
      <c r="I2066" s="15">
        <v>8</v>
      </c>
      <c r="J2066" s="15">
        <v>90</v>
      </c>
      <c r="K2066" s="15" t="str">
        <f t="shared" si="32"/>
        <v>abodeoftheea</v>
      </c>
      <c r="L2066" s="15" t="s">
        <v>11948</v>
      </c>
      <c r="M2066" s="15">
        <v>3</v>
      </c>
      <c r="N2066" s="15" t="s">
        <v>11223</v>
      </c>
      <c r="O2066" s="15" t="s">
        <v>14053</v>
      </c>
      <c r="P2066" s="15"/>
      <c r="Q2066" s="15"/>
      <c r="R2066" s="15"/>
      <c r="S2066" s="15"/>
      <c r="T2066" s="15">
        <v>4</v>
      </c>
      <c r="U2066" s="15"/>
      <c r="V2066" s="15"/>
      <c r="W2066" s="15"/>
      <c r="X2066" s="15"/>
      <c r="Y2066" s="15"/>
      <c r="Z2066" s="15"/>
    </row>
    <row r="2067" spans="1:26" x14ac:dyDescent="0.25">
      <c r="A2067" s="15" t="s">
        <v>15488</v>
      </c>
      <c r="B2067" s="15">
        <v>2066</v>
      </c>
      <c r="C2067" s="15" t="s">
        <v>11277</v>
      </c>
      <c r="D2067" s="15" t="s">
        <v>11277</v>
      </c>
      <c r="E2067" s="15" t="s">
        <v>133</v>
      </c>
      <c r="F2067" s="15" t="s">
        <v>15489</v>
      </c>
      <c r="G2067" s="15" t="s">
        <v>12100</v>
      </c>
      <c r="H2067" s="15">
        <v>7</v>
      </c>
      <c r="I2067" s="15">
        <v>35</v>
      </c>
      <c r="J2067" s="15">
        <v>89</v>
      </c>
      <c r="K2067" s="15" t="str">
        <f t="shared" si="32"/>
        <v>limne18</v>
      </c>
      <c r="L2067" s="15" t="s">
        <v>12101</v>
      </c>
      <c r="M2067" s="15">
        <v>1</v>
      </c>
      <c r="N2067" s="15" t="s">
        <v>11222</v>
      </c>
      <c r="O2067" s="15"/>
      <c r="P2067" s="15"/>
      <c r="Q2067" s="15"/>
      <c r="R2067" s="15"/>
      <c r="S2067" s="15"/>
      <c r="T2067" s="15">
        <v>0</v>
      </c>
      <c r="U2067" s="15"/>
      <c r="V2067" s="15"/>
      <c r="W2067" s="15"/>
      <c r="X2067" s="15"/>
      <c r="Y2067" s="15"/>
      <c r="Z2067" s="15"/>
    </row>
    <row r="2068" spans="1:26" x14ac:dyDescent="0.25">
      <c r="A2068" s="15" t="s">
        <v>15490</v>
      </c>
      <c r="B2068" s="15">
        <v>2067</v>
      </c>
      <c r="C2068" s="15" t="s">
        <v>11277</v>
      </c>
      <c r="D2068" s="15" t="s">
        <v>11277</v>
      </c>
      <c r="E2068" s="15" t="s">
        <v>133</v>
      </c>
      <c r="F2068" s="15" t="s">
        <v>15489</v>
      </c>
      <c r="G2068" s="15" t="s">
        <v>12102</v>
      </c>
      <c r="H2068" s="15">
        <v>7</v>
      </c>
      <c r="I2068" s="15">
        <v>35</v>
      </c>
      <c r="J2068" s="15">
        <v>89</v>
      </c>
      <c r="K2068" s="15" t="str">
        <f t="shared" si="32"/>
        <v>limne18</v>
      </c>
      <c r="L2068" s="15" t="s">
        <v>12103</v>
      </c>
      <c r="M2068" s="15">
        <v>1</v>
      </c>
      <c r="N2068" s="15" t="s">
        <v>11222</v>
      </c>
      <c r="O2068" s="15"/>
      <c r="P2068" s="15"/>
      <c r="Q2068" s="15"/>
      <c r="R2068" s="15"/>
      <c r="S2068" s="15"/>
      <c r="T2068" s="15">
        <v>0</v>
      </c>
      <c r="U2068" s="15"/>
      <c r="V2068" s="15"/>
      <c r="W2068" s="15"/>
      <c r="X2068" s="15"/>
      <c r="Y2068" s="15"/>
      <c r="Z2068" s="15"/>
    </row>
    <row r="2069" spans="1:26" x14ac:dyDescent="0.25">
      <c r="A2069" s="15" t="s">
        <v>15491</v>
      </c>
      <c r="B2069" s="15">
        <v>2068</v>
      </c>
      <c r="C2069" s="15" t="s">
        <v>11277</v>
      </c>
      <c r="D2069" s="15" t="s">
        <v>11277</v>
      </c>
      <c r="E2069" s="15" t="s">
        <v>133</v>
      </c>
      <c r="F2069" s="15" t="s">
        <v>15489</v>
      </c>
      <c r="G2069" s="15" t="s">
        <v>12104</v>
      </c>
      <c r="H2069" s="15">
        <v>7</v>
      </c>
      <c r="I2069" s="15">
        <v>35</v>
      </c>
      <c r="J2069" s="15">
        <v>90</v>
      </c>
      <c r="K2069" s="15" t="str">
        <f t="shared" si="32"/>
        <v>limne18</v>
      </c>
      <c r="L2069" s="15" t="s">
        <v>12101</v>
      </c>
      <c r="M2069" s="15">
        <v>1</v>
      </c>
      <c r="N2069" s="15" t="s">
        <v>11222</v>
      </c>
      <c r="O2069" s="15"/>
      <c r="P2069" s="15"/>
      <c r="Q2069" s="15"/>
      <c r="R2069" s="15"/>
      <c r="S2069" s="15"/>
      <c r="T2069" s="15">
        <v>0</v>
      </c>
      <c r="U2069" s="15"/>
      <c r="V2069" s="15"/>
      <c r="W2069" s="15"/>
      <c r="X2069" s="15"/>
      <c r="Y2069" s="15"/>
      <c r="Z2069" s="15"/>
    </row>
    <row r="2070" spans="1:26" x14ac:dyDescent="0.25">
      <c r="A2070" s="15" t="s">
        <v>15492</v>
      </c>
      <c r="B2070" s="15">
        <v>2069</v>
      </c>
      <c r="C2070" s="15" t="s">
        <v>11277</v>
      </c>
      <c r="D2070" s="15" t="s">
        <v>11277</v>
      </c>
      <c r="E2070" s="15" t="s">
        <v>133</v>
      </c>
      <c r="F2070" s="15" t="s">
        <v>15489</v>
      </c>
      <c r="G2070" s="15" t="s">
        <v>12105</v>
      </c>
      <c r="H2070" s="15">
        <v>7</v>
      </c>
      <c r="I2070" s="15">
        <v>35</v>
      </c>
      <c r="J2070" s="15">
        <v>89</v>
      </c>
      <c r="K2070" s="15" t="str">
        <f t="shared" si="32"/>
        <v>limne18</v>
      </c>
      <c r="L2070" s="15" t="s">
        <v>12103</v>
      </c>
      <c r="M2070" s="15">
        <v>2</v>
      </c>
      <c r="N2070" s="15" t="s">
        <v>11223</v>
      </c>
      <c r="O2070" s="15"/>
      <c r="P2070" s="15"/>
      <c r="Q2070" s="15"/>
      <c r="R2070" s="15"/>
      <c r="S2070" s="15"/>
      <c r="T2070" s="15">
        <v>0</v>
      </c>
      <c r="U2070" s="15"/>
      <c r="V2070" s="15"/>
      <c r="W2070" s="15"/>
      <c r="X2070" s="15"/>
      <c r="Y2070" s="15"/>
      <c r="Z2070" s="15"/>
    </row>
    <row r="2071" spans="1:26" x14ac:dyDescent="0.25">
      <c r="A2071" s="15" t="s">
        <v>15493</v>
      </c>
      <c r="B2071" s="15">
        <v>2070</v>
      </c>
      <c r="C2071" s="15" t="s">
        <v>11277</v>
      </c>
      <c r="D2071" s="15" t="s">
        <v>11277</v>
      </c>
      <c r="E2071" s="15" t="s">
        <v>133</v>
      </c>
      <c r="F2071" s="15" t="s">
        <v>15489</v>
      </c>
      <c r="G2071" s="15" t="s">
        <v>12106</v>
      </c>
      <c r="H2071" s="15">
        <v>7</v>
      </c>
      <c r="I2071" s="15">
        <v>35</v>
      </c>
      <c r="J2071" s="15">
        <v>90</v>
      </c>
      <c r="K2071" s="15" t="str">
        <f t="shared" si="32"/>
        <v>limne18</v>
      </c>
      <c r="L2071" s="15" t="s">
        <v>12103</v>
      </c>
      <c r="M2071" s="15">
        <v>2</v>
      </c>
      <c r="N2071" s="15" t="s">
        <v>11223</v>
      </c>
      <c r="O2071" s="15"/>
      <c r="P2071" s="15"/>
      <c r="Q2071" s="15"/>
      <c r="R2071" s="15"/>
      <c r="S2071" s="15"/>
      <c r="T2071" s="15">
        <v>0</v>
      </c>
      <c r="U2071" s="15"/>
      <c r="V2071" s="15"/>
      <c r="W2071" s="15"/>
      <c r="X2071" s="15"/>
      <c r="Y2071" s="15"/>
      <c r="Z2071" s="15"/>
    </row>
    <row r="2072" spans="1:26" x14ac:dyDescent="0.25">
      <c r="A2072" s="15" t="s">
        <v>15494</v>
      </c>
      <c r="B2072" s="15">
        <v>2071</v>
      </c>
      <c r="C2072" s="15" t="s">
        <v>11277</v>
      </c>
      <c r="D2072" s="15" t="s">
        <v>11277</v>
      </c>
      <c r="E2072" s="15" t="s">
        <v>133</v>
      </c>
      <c r="F2072" s="15" t="s">
        <v>15489</v>
      </c>
      <c r="G2072" s="15" t="s">
        <v>12107</v>
      </c>
      <c r="H2072" s="15">
        <v>7</v>
      </c>
      <c r="I2072" s="15">
        <v>35</v>
      </c>
      <c r="J2072" s="15">
        <v>90</v>
      </c>
      <c r="K2072" s="15" t="str">
        <f t="shared" si="32"/>
        <v>limne18</v>
      </c>
      <c r="L2072" s="15" t="s">
        <v>12101</v>
      </c>
      <c r="M2072" s="15">
        <v>2</v>
      </c>
      <c r="N2072" s="15" t="s">
        <v>11223</v>
      </c>
      <c r="O2072" s="15"/>
      <c r="P2072" s="15"/>
      <c r="Q2072" s="15"/>
      <c r="R2072" s="15"/>
      <c r="S2072" s="15"/>
      <c r="T2072" s="15">
        <v>0</v>
      </c>
      <c r="U2072" s="15"/>
      <c r="V2072" s="15"/>
      <c r="W2072" s="15"/>
      <c r="X2072" s="15"/>
      <c r="Y2072" s="15"/>
      <c r="Z2072" s="15"/>
    </row>
    <row r="2073" spans="1:26" x14ac:dyDescent="0.25">
      <c r="A2073" s="15" t="s">
        <v>15495</v>
      </c>
      <c r="B2073" s="15">
        <v>2072</v>
      </c>
      <c r="C2073" s="15" t="s">
        <v>11277</v>
      </c>
      <c r="D2073" s="15" t="s">
        <v>11277</v>
      </c>
      <c r="E2073" s="15" t="s">
        <v>133</v>
      </c>
      <c r="F2073" s="15" t="s">
        <v>15489</v>
      </c>
      <c r="G2073" s="15" t="s">
        <v>12108</v>
      </c>
      <c r="H2073" s="15">
        <v>7</v>
      </c>
      <c r="I2073" s="15">
        <v>35</v>
      </c>
      <c r="J2073" s="15">
        <v>90</v>
      </c>
      <c r="K2073" s="15" t="str">
        <f t="shared" si="32"/>
        <v>limne18</v>
      </c>
      <c r="L2073" s="15" t="s">
        <v>12103</v>
      </c>
      <c r="M2073" s="15">
        <v>2</v>
      </c>
      <c r="N2073" s="15" t="s">
        <v>11223</v>
      </c>
      <c r="O2073" s="15"/>
      <c r="P2073" s="15"/>
      <c r="Q2073" s="15"/>
      <c r="R2073" s="15"/>
      <c r="S2073" s="15"/>
      <c r="T2073" s="15">
        <v>0</v>
      </c>
      <c r="U2073" s="15"/>
      <c r="V2073" s="15"/>
      <c r="W2073" s="15"/>
      <c r="X2073" s="15"/>
      <c r="Y2073" s="15"/>
      <c r="Z2073" s="15"/>
    </row>
    <row r="2074" spans="1:26" x14ac:dyDescent="0.25">
      <c r="A2074" s="15" t="s">
        <v>15496</v>
      </c>
      <c r="B2074" s="15">
        <v>2073</v>
      </c>
      <c r="C2074" s="15" t="s">
        <v>11277</v>
      </c>
      <c r="D2074" s="15" t="s">
        <v>11277</v>
      </c>
      <c r="E2074" s="15" t="s">
        <v>133</v>
      </c>
      <c r="F2074" s="15" t="s">
        <v>15489</v>
      </c>
      <c r="G2074" s="15" t="s">
        <v>12109</v>
      </c>
      <c r="H2074" s="15">
        <v>7</v>
      </c>
      <c r="I2074" s="15">
        <v>35</v>
      </c>
      <c r="J2074" s="15">
        <v>90</v>
      </c>
      <c r="K2074" s="15" t="str">
        <f t="shared" si="32"/>
        <v>limne18</v>
      </c>
      <c r="L2074" s="15" t="s">
        <v>12103</v>
      </c>
      <c r="M2074" s="15">
        <v>3</v>
      </c>
      <c r="N2074" s="15" t="s">
        <v>11223</v>
      </c>
      <c r="O2074" s="15" t="s">
        <v>2815</v>
      </c>
      <c r="P2074" s="15"/>
      <c r="Q2074" s="15"/>
      <c r="R2074" s="15"/>
      <c r="S2074" s="15"/>
      <c r="T2074" s="15">
        <v>0</v>
      </c>
      <c r="U2074" s="15" t="s">
        <v>15466</v>
      </c>
      <c r="V2074" s="15"/>
      <c r="W2074" s="15"/>
      <c r="X2074" s="15"/>
      <c r="Y2074" s="15"/>
      <c r="Z2074" s="15"/>
    </row>
    <row r="2075" spans="1:26" x14ac:dyDescent="0.25">
      <c r="A2075" s="15" t="s">
        <v>15497</v>
      </c>
      <c r="B2075" s="15">
        <v>2074</v>
      </c>
      <c r="C2075" s="15" t="s">
        <v>11277</v>
      </c>
      <c r="D2075" s="15" t="s">
        <v>11277</v>
      </c>
      <c r="E2075" s="15" t="s">
        <v>133</v>
      </c>
      <c r="F2075" s="15" t="s">
        <v>15498</v>
      </c>
      <c r="G2075" s="15" t="s">
        <v>12100</v>
      </c>
      <c r="H2075" s="15">
        <v>36</v>
      </c>
      <c r="I2075" s="15">
        <v>9</v>
      </c>
      <c r="J2075" s="15">
        <v>89</v>
      </c>
      <c r="K2075" s="15" t="str">
        <f t="shared" si="32"/>
        <v>limne3α</v>
      </c>
      <c r="L2075" s="15" t="s">
        <v>12101</v>
      </c>
      <c r="M2075" s="15">
        <v>1</v>
      </c>
      <c r="N2075" s="15" t="s">
        <v>11222</v>
      </c>
      <c r="O2075" s="15"/>
      <c r="P2075" s="15"/>
      <c r="Q2075" s="15"/>
      <c r="R2075" s="15"/>
      <c r="S2075" s="15"/>
      <c r="T2075" s="15">
        <v>0</v>
      </c>
      <c r="U2075" s="15"/>
      <c r="V2075" s="15"/>
      <c r="W2075" s="15"/>
      <c r="X2075" s="15"/>
      <c r="Y2075" s="15"/>
      <c r="Z2075" s="15"/>
    </row>
    <row r="2076" spans="1:26" x14ac:dyDescent="0.25">
      <c r="A2076" s="15" t="s">
        <v>15499</v>
      </c>
      <c r="B2076" s="15">
        <v>2075</v>
      </c>
      <c r="C2076" s="15" t="s">
        <v>11277</v>
      </c>
      <c r="D2076" s="15" t="s">
        <v>11277</v>
      </c>
      <c r="E2076" s="15" t="s">
        <v>133</v>
      </c>
      <c r="F2076" s="15" t="s">
        <v>15498</v>
      </c>
      <c r="G2076" s="15" t="s">
        <v>12102</v>
      </c>
      <c r="H2076" s="15">
        <v>36</v>
      </c>
      <c r="I2076" s="15">
        <v>9</v>
      </c>
      <c r="J2076" s="15">
        <v>89</v>
      </c>
      <c r="K2076" s="15" t="str">
        <f t="shared" si="32"/>
        <v>limne3α</v>
      </c>
      <c r="L2076" s="15" t="s">
        <v>12103</v>
      </c>
      <c r="M2076" s="15">
        <v>1</v>
      </c>
      <c r="N2076" s="15" t="s">
        <v>11222</v>
      </c>
      <c r="O2076" s="15"/>
      <c r="P2076" s="15"/>
      <c r="Q2076" s="15"/>
      <c r="R2076" s="15"/>
      <c r="S2076" s="15"/>
      <c r="T2076" s="15">
        <v>0</v>
      </c>
      <c r="U2076" s="15"/>
      <c r="V2076" s="15"/>
      <c r="W2076" s="15"/>
      <c r="X2076" s="15"/>
      <c r="Y2076" s="15"/>
      <c r="Z2076" s="15"/>
    </row>
    <row r="2077" spans="1:26" x14ac:dyDescent="0.25">
      <c r="A2077" s="15" t="s">
        <v>15500</v>
      </c>
      <c r="B2077" s="15">
        <v>2076</v>
      </c>
      <c r="C2077" s="15" t="s">
        <v>11277</v>
      </c>
      <c r="D2077" s="15" t="s">
        <v>11277</v>
      </c>
      <c r="E2077" s="15" t="s">
        <v>133</v>
      </c>
      <c r="F2077" s="15" t="s">
        <v>15498</v>
      </c>
      <c r="G2077" s="15" t="s">
        <v>12110</v>
      </c>
      <c r="H2077" s="15">
        <v>36</v>
      </c>
      <c r="I2077" s="15">
        <v>9</v>
      </c>
      <c r="J2077" s="15">
        <v>90</v>
      </c>
      <c r="K2077" s="15" t="str">
        <f t="shared" si="32"/>
        <v>limne3α</v>
      </c>
      <c r="L2077" s="15" t="s">
        <v>12101</v>
      </c>
      <c r="M2077" s="15">
        <v>2</v>
      </c>
      <c r="N2077" s="15" t="s">
        <v>11223</v>
      </c>
      <c r="O2077" s="15"/>
      <c r="P2077" s="15"/>
      <c r="Q2077" s="15"/>
      <c r="R2077" s="15"/>
      <c r="S2077" s="15"/>
      <c r="T2077" s="15">
        <v>0</v>
      </c>
      <c r="U2077" s="15"/>
      <c r="V2077" s="15"/>
      <c r="W2077" s="15"/>
      <c r="X2077" s="15"/>
      <c r="Y2077" s="15"/>
      <c r="Z2077" s="15"/>
    </row>
    <row r="2078" spans="1:26" x14ac:dyDescent="0.25">
      <c r="A2078" s="15" t="s">
        <v>15501</v>
      </c>
      <c r="B2078" s="15">
        <v>2077</v>
      </c>
      <c r="C2078" s="15" t="s">
        <v>11277</v>
      </c>
      <c r="D2078" s="15" t="s">
        <v>11277</v>
      </c>
      <c r="E2078" s="15" t="s">
        <v>133</v>
      </c>
      <c r="F2078" s="15" t="s">
        <v>15498</v>
      </c>
      <c r="G2078" s="15" t="s">
        <v>12111</v>
      </c>
      <c r="H2078" s="15">
        <v>36</v>
      </c>
      <c r="I2078" s="15">
        <v>9</v>
      </c>
      <c r="J2078" s="15">
        <v>90</v>
      </c>
      <c r="K2078" s="15" t="str">
        <f t="shared" si="32"/>
        <v>limne3α</v>
      </c>
      <c r="L2078" s="15" t="s">
        <v>12101</v>
      </c>
      <c r="M2078" s="15">
        <v>1</v>
      </c>
      <c r="N2078" s="15" t="s">
        <v>11222</v>
      </c>
      <c r="O2078" s="15"/>
      <c r="P2078" s="15"/>
      <c r="Q2078" s="15"/>
      <c r="R2078" s="15"/>
      <c r="S2078" s="15"/>
      <c r="T2078" s="15">
        <v>0</v>
      </c>
      <c r="U2078" s="15"/>
      <c r="V2078" s="15"/>
      <c r="W2078" s="15"/>
      <c r="X2078" s="15"/>
      <c r="Y2078" s="15"/>
      <c r="Z2078" s="15"/>
    </row>
    <row r="2079" spans="1:26" x14ac:dyDescent="0.25">
      <c r="A2079" s="15" t="s">
        <v>15502</v>
      </c>
      <c r="B2079" s="15">
        <v>2078</v>
      </c>
      <c r="C2079" s="15" t="s">
        <v>11277</v>
      </c>
      <c r="D2079" s="15" t="s">
        <v>11277</v>
      </c>
      <c r="E2079" s="15" t="s">
        <v>133</v>
      </c>
      <c r="F2079" s="15" t="s">
        <v>15498</v>
      </c>
      <c r="G2079" s="15" t="s">
        <v>12112</v>
      </c>
      <c r="H2079" s="15">
        <v>36</v>
      </c>
      <c r="I2079" s="15">
        <v>9</v>
      </c>
      <c r="J2079" s="15">
        <v>90</v>
      </c>
      <c r="K2079" s="15" t="str">
        <f t="shared" si="32"/>
        <v>limne3α</v>
      </c>
      <c r="L2079" s="15" t="s">
        <v>12103</v>
      </c>
      <c r="M2079" s="15">
        <v>2</v>
      </c>
      <c r="N2079" s="15" t="s">
        <v>11223</v>
      </c>
      <c r="O2079" s="15"/>
      <c r="P2079" s="15"/>
      <c r="Q2079" s="15"/>
      <c r="R2079" s="15"/>
      <c r="S2079" s="15"/>
      <c r="T2079" s="15">
        <v>0</v>
      </c>
      <c r="U2079" s="15" t="s">
        <v>5892</v>
      </c>
      <c r="V2079" s="15"/>
      <c r="W2079" s="15"/>
      <c r="X2079" s="15"/>
      <c r="Y2079" s="15"/>
      <c r="Z2079" s="15"/>
    </row>
    <row r="2080" spans="1:26" x14ac:dyDescent="0.25">
      <c r="A2080" s="15" t="s">
        <v>15503</v>
      </c>
      <c r="B2080" s="15">
        <v>2079</v>
      </c>
      <c r="C2080" s="15" t="s">
        <v>11277</v>
      </c>
      <c r="D2080" s="15" t="s">
        <v>11277</v>
      </c>
      <c r="E2080" s="15" t="s">
        <v>133</v>
      </c>
      <c r="F2080" s="15" t="s">
        <v>15498</v>
      </c>
      <c r="G2080" s="15" t="s">
        <v>12113</v>
      </c>
      <c r="H2080" s="15">
        <v>36</v>
      </c>
      <c r="I2080" s="15">
        <v>9</v>
      </c>
      <c r="J2080" s="15">
        <v>90</v>
      </c>
      <c r="K2080" s="15" t="str">
        <f t="shared" si="32"/>
        <v>limne3α</v>
      </c>
      <c r="L2080" s="15" t="s">
        <v>12101</v>
      </c>
      <c r="M2080" s="15">
        <v>2</v>
      </c>
      <c r="N2080" s="15" t="s">
        <v>11223</v>
      </c>
      <c r="O2080" s="15"/>
      <c r="P2080" s="15"/>
      <c r="Q2080" s="15"/>
      <c r="R2080" s="15"/>
      <c r="S2080" s="15"/>
      <c r="T2080" s="15">
        <v>0</v>
      </c>
      <c r="U2080" s="15"/>
      <c r="V2080" s="15"/>
      <c r="W2080" s="15"/>
      <c r="X2080" s="15"/>
      <c r="Y2080" s="15"/>
      <c r="Z2080" s="15"/>
    </row>
    <row r="2081" spans="1:26" x14ac:dyDescent="0.25">
      <c r="A2081" s="15" t="s">
        <v>15504</v>
      </c>
      <c r="B2081" s="15">
        <v>2080</v>
      </c>
      <c r="C2081" s="15" t="s">
        <v>11277</v>
      </c>
      <c r="D2081" s="15" t="s">
        <v>11277</v>
      </c>
      <c r="E2081" s="15" t="s">
        <v>133</v>
      </c>
      <c r="F2081" s="15" t="s">
        <v>15498</v>
      </c>
      <c r="G2081" s="15" t="s">
        <v>12114</v>
      </c>
      <c r="H2081" s="15">
        <v>36</v>
      </c>
      <c r="I2081" s="15">
        <v>9</v>
      </c>
      <c r="J2081" s="15">
        <v>90</v>
      </c>
      <c r="K2081" s="15" t="str">
        <f t="shared" si="32"/>
        <v>limne3α</v>
      </c>
      <c r="L2081" s="15" t="s">
        <v>12103</v>
      </c>
      <c r="M2081" s="15">
        <v>2</v>
      </c>
      <c r="N2081" s="15" t="s">
        <v>11223</v>
      </c>
      <c r="O2081" s="15"/>
      <c r="P2081" s="15"/>
      <c r="Q2081" s="15"/>
      <c r="R2081" s="15"/>
      <c r="S2081" s="15"/>
      <c r="T2081" s="15">
        <v>0</v>
      </c>
      <c r="U2081" s="15"/>
      <c r="V2081" s="15"/>
      <c r="W2081" s="15"/>
      <c r="X2081" s="15"/>
      <c r="Y2081" s="15"/>
      <c r="Z2081" s="15"/>
    </row>
    <row r="2082" spans="1:26" x14ac:dyDescent="0.25">
      <c r="A2082" s="15" t="s">
        <v>15505</v>
      </c>
      <c r="B2082" s="15">
        <v>2081</v>
      </c>
      <c r="C2082" s="15" t="s">
        <v>11277</v>
      </c>
      <c r="D2082" s="15" t="s">
        <v>11277</v>
      </c>
      <c r="E2082" s="15" t="s">
        <v>133</v>
      </c>
      <c r="F2082" s="15" t="s">
        <v>15498</v>
      </c>
      <c r="G2082" s="15" t="s">
        <v>12115</v>
      </c>
      <c r="H2082" s="15">
        <v>36</v>
      </c>
      <c r="I2082" s="15">
        <v>9</v>
      </c>
      <c r="J2082" s="15">
        <v>90</v>
      </c>
      <c r="K2082" s="15" t="str">
        <f t="shared" si="32"/>
        <v>limne3α</v>
      </c>
      <c r="L2082" s="15" t="s">
        <v>12103</v>
      </c>
      <c r="M2082" s="15">
        <v>3</v>
      </c>
      <c r="N2082" s="15" t="s">
        <v>11223</v>
      </c>
      <c r="O2082" s="15" t="s">
        <v>11295</v>
      </c>
      <c r="P2082" s="15"/>
      <c r="Q2082" s="15"/>
      <c r="R2082" s="15"/>
      <c r="S2082" s="15"/>
      <c r="T2082" s="15">
        <v>2</v>
      </c>
      <c r="U2082" s="15" t="s">
        <v>15457</v>
      </c>
      <c r="V2082" s="15"/>
      <c r="W2082" s="15"/>
      <c r="X2082" s="15"/>
      <c r="Y2082" s="15"/>
      <c r="Z2082" s="15"/>
    </row>
    <row r="2083" spans="1:26" x14ac:dyDescent="0.25">
      <c r="A2083" s="15" t="s">
        <v>15506</v>
      </c>
      <c r="B2083" s="15">
        <v>2082</v>
      </c>
      <c r="C2083" s="15" t="s">
        <v>11277</v>
      </c>
      <c r="D2083" s="15" t="s">
        <v>11277</v>
      </c>
      <c r="E2083" s="15" t="s">
        <v>133</v>
      </c>
      <c r="F2083" s="15" t="s">
        <v>15507</v>
      </c>
      <c r="G2083" s="15" t="s">
        <v>12100</v>
      </c>
      <c r="H2083" s="15">
        <v>25</v>
      </c>
      <c r="I2083" s="15">
        <v>17</v>
      </c>
      <c r="J2083" s="15">
        <v>89</v>
      </c>
      <c r="K2083" s="15" t="str">
        <f t="shared" si="32"/>
        <v>limne3β</v>
      </c>
      <c r="L2083" s="15" t="s">
        <v>12101</v>
      </c>
      <c r="M2083" s="15">
        <v>1</v>
      </c>
      <c r="N2083" s="15" t="s">
        <v>11222</v>
      </c>
      <c r="O2083" s="15"/>
      <c r="P2083" s="15"/>
      <c r="Q2083" s="15"/>
      <c r="R2083" s="15"/>
      <c r="S2083" s="15"/>
      <c r="T2083" s="15">
        <v>0</v>
      </c>
      <c r="U2083" s="15"/>
      <c r="V2083" s="15"/>
      <c r="W2083" s="15"/>
      <c r="X2083" s="15"/>
      <c r="Y2083" s="15"/>
      <c r="Z2083" s="15"/>
    </row>
    <row r="2084" spans="1:26" x14ac:dyDescent="0.25">
      <c r="A2084" s="15" t="s">
        <v>15508</v>
      </c>
      <c r="B2084" s="15">
        <v>2083</v>
      </c>
      <c r="C2084" s="15" t="s">
        <v>11277</v>
      </c>
      <c r="D2084" s="15" t="s">
        <v>11277</v>
      </c>
      <c r="E2084" s="15" t="s">
        <v>133</v>
      </c>
      <c r="F2084" s="15" t="s">
        <v>15507</v>
      </c>
      <c r="G2084" s="15" t="s">
        <v>12102</v>
      </c>
      <c r="H2084" s="15">
        <v>25</v>
      </c>
      <c r="I2084" s="15">
        <v>17</v>
      </c>
      <c r="J2084" s="15">
        <v>89</v>
      </c>
      <c r="K2084" s="15" t="str">
        <f t="shared" si="32"/>
        <v>limne3β</v>
      </c>
      <c r="L2084" s="15" t="s">
        <v>12103</v>
      </c>
      <c r="M2084" s="15">
        <v>1</v>
      </c>
      <c r="N2084" s="15" t="s">
        <v>11222</v>
      </c>
      <c r="O2084" s="15"/>
      <c r="P2084" s="15"/>
      <c r="Q2084" s="15"/>
      <c r="R2084" s="15"/>
      <c r="S2084" s="15"/>
      <c r="T2084" s="15">
        <v>0</v>
      </c>
      <c r="U2084" s="15"/>
      <c r="V2084" s="15"/>
      <c r="W2084" s="15"/>
      <c r="X2084" s="15"/>
      <c r="Y2084" s="15"/>
      <c r="Z2084" s="15"/>
    </row>
    <row r="2085" spans="1:26" x14ac:dyDescent="0.25">
      <c r="A2085" s="15" t="s">
        <v>15509</v>
      </c>
      <c r="B2085" s="15">
        <v>2084</v>
      </c>
      <c r="C2085" s="15" t="s">
        <v>11277</v>
      </c>
      <c r="D2085" s="15" t="s">
        <v>11277</v>
      </c>
      <c r="E2085" s="15" t="s">
        <v>133</v>
      </c>
      <c r="F2085" s="15" t="s">
        <v>15507</v>
      </c>
      <c r="G2085" s="15" t="s">
        <v>12110</v>
      </c>
      <c r="H2085" s="15">
        <v>25</v>
      </c>
      <c r="I2085" s="15">
        <v>17</v>
      </c>
      <c r="J2085" s="15">
        <v>90</v>
      </c>
      <c r="K2085" s="15" t="str">
        <f t="shared" si="32"/>
        <v>limne3β</v>
      </c>
      <c r="L2085" s="15" t="s">
        <v>12103</v>
      </c>
      <c r="M2085" s="15">
        <v>2</v>
      </c>
      <c r="N2085" s="15" t="s">
        <v>11223</v>
      </c>
      <c r="O2085" s="15"/>
      <c r="P2085" s="15"/>
      <c r="Q2085" s="15"/>
      <c r="R2085" s="15"/>
      <c r="S2085" s="15"/>
      <c r="T2085" s="15">
        <v>0</v>
      </c>
      <c r="U2085" s="15"/>
      <c r="V2085" s="15"/>
      <c r="W2085" s="15"/>
      <c r="X2085" s="15"/>
      <c r="Y2085" s="15"/>
      <c r="Z2085" s="15"/>
    </row>
    <row r="2086" spans="1:26" x14ac:dyDescent="0.25">
      <c r="A2086" s="15" t="s">
        <v>15510</v>
      </c>
      <c r="B2086" s="15">
        <v>2085</v>
      </c>
      <c r="C2086" s="15" t="s">
        <v>11277</v>
      </c>
      <c r="D2086" s="15" t="s">
        <v>11277</v>
      </c>
      <c r="E2086" s="15" t="s">
        <v>133</v>
      </c>
      <c r="F2086" s="15" t="s">
        <v>15507</v>
      </c>
      <c r="G2086" s="15" t="s">
        <v>12116</v>
      </c>
      <c r="H2086" s="15">
        <v>25</v>
      </c>
      <c r="I2086" s="15">
        <v>17</v>
      </c>
      <c r="J2086" s="15">
        <v>90</v>
      </c>
      <c r="K2086" s="15" t="str">
        <f t="shared" si="32"/>
        <v>limne3β</v>
      </c>
      <c r="L2086" s="15" t="s">
        <v>12103</v>
      </c>
      <c r="M2086" s="15">
        <v>2</v>
      </c>
      <c r="N2086" s="15" t="s">
        <v>11223</v>
      </c>
      <c r="O2086" s="15"/>
      <c r="P2086" s="15"/>
      <c r="Q2086" s="15"/>
      <c r="R2086" s="15"/>
      <c r="S2086" s="15"/>
      <c r="T2086" s="15">
        <v>0</v>
      </c>
      <c r="U2086" s="15"/>
      <c r="V2086" s="15"/>
      <c r="W2086" s="15"/>
      <c r="X2086" s="15"/>
      <c r="Y2086" s="15"/>
      <c r="Z2086" s="15"/>
    </row>
    <row r="2087" spans="1:26" x14ac:dyDescent="0.25">
      <c r="A2087" s="15" t="s">
        <v>15511</v>
      </c>
      <c r="B2087" s="15">
        <v>2086</v>
      </c>
      <c r="C2087" s="15" t="s">
        <v>11277</v>
      </c>
      <c r="D2087" s="15" t="s">
        <v>11277</v>
      </c>
      <c r="E2087" s="15" t="s">
        <v>133</v>
      </c>
      <c r="F2087" s="15" t="s">
        <v>15507</v>
      </c>
      <c r="G2087" s="15" t="s">
        <v>12117</v>
      </c>
      <c r="H2087" s="15">
        <v>25</v>
      </c>
      <c r="I2087" s="15">
        <v>17</v>
      </c>
      <c r="J2087" s="15">
        <v>90</v>
      </c>
      <c r="K2087" s="15" t="str">
        <f t="shared" si="32"/>
        <v>limne3β</v>
      </c>
      <c r="L2087" s="15" t="s">
        <v>12101</v>
      </c>
      <c r="M2087" s="15">
        <v>2</v>
      </c>
      <c r="N2087" s="15" t="s">
        <v>11223</v>
      </c>
      <c r="O2087" s="15"/>
      <c r="P2087" s="15"/>
      <c r="Q2087" s="15"/>
      <c r="R2087" s="15"/>
      <c r="S2087" s="15"/>
      <c r="T2087" s="15">
        <v>0</v>
      </c>
      <c r="U2087" s="15"/>
      <c r="V2087" s="15"/>
      <c r="W2087" s="15"/>
      <c r="X2087" s="15"/>
      <c r="Y2087" s="15"/>
      <c r="Z2087" s="15"/>
    </row>
    <row r="2088" spans="1:26" x14ac:dyDescent="0.25">
      <c r="A2088" s="15" t="s">
        <v>15512</v>
      </c>
      <c r="B2088" s="15">
        <v>2087</v>
      </c>
      <c r="C2088" s="15" t="s">
        <v>11277</v>
      </c>
      <c r="D2088" s="15" t="s">
        <v>11277</v>
      </c>
      <c r="E2088" s="15" t="s">
        <v>133</v>
      </c>
      <c r="F2088" s="15" t="s">
        <v>15507</v>
      </c>
      <c r="G2088" s="15" t="s">
        <v>12118</v>
      </c>
      <c r="H2088" s="15">
        <v>25</v>
      </c>
      <c r="I2088" s="15">
        <v>17</v>
      </c>
      <c r="J2088" s="15">
        <v>90</v>
      </c>
      <c r="K2088" s="15" t="str">
        <f t="shared" si="32"/>
        <v>limne3β</v>
      </c>
      <c r="L2088" s="15" t="s">
        <v>14088</v>
      </c>
      <c r="M2088" s="15">
        <v>2</v>
      </c>
      <c r="N2088" s="15" t="s">
        <v>11223</v>
      </c>
      <c r="O2088" s="15"/>
      <c r="P2088" s="15"/>
      <c r="Q2088" s="15" t="s">
        <v>12116</v>
      </c>
      <c r="R2088" s="15"/>
      <c r="S2088" s="15"/>
      <c r="T2088" s="15">
        <v>0</v>
      </c>
      <c r="U2088" s="15"/>
      <c r="V2088" s="15"/>
      <c r="W2088" s="15"/>
      <c r="X2088" s="15"/>
      <c r="Y2088" s="15"/>
      <c r="Z2088" s="15"/>
    </row>
    <row r="2089" spans="1:26" x14ac:dyDescent="0.25">
      <c r="A2089" s="15" t="s">
        <v>15513</v>
      </c>
      <c r="B2089" s="15">
        <v>2088</v>
      </c>
      <c r="C2089" s="15" t="s">
        <v>11277</v>
      </c>
      <c r="D2089" s="15" t="s">
        <v>11277</v>
      </c>
      <c r="E2089" s="15" t="s">
        <v>133</v>
      </c>
      <c r="F2089" s="15" t="s">
        <v>15507</v>
      </c>
      <c r="G2089" s="15" t="s">
        <v>12119</v>
      </c>
      <c r="H2089" s="15">
        <v>25</v>
      </c>
      <c r="I2089" s="15">
        <v>17</v>
      </c>
      <c r="J2089" s="15">
        <v>90</v>
      </c>
      <c r="K2089" s="15" t="str">
        <f t="shared" si="32"/>
        <v>limne3β</v>
      </c>
      <c r="L2089" s="15" t="s">
        <v>14088</v>
      </c>
      <c r="M2089" s="15">
        <v>3</v>
      </c>
      <c r="N2089" s="15" t="s">
        <v>11223</v>
      </c>
      <c r="O2089" s="15" t="s">
        <v>2805</v>
      </c>
      <c r="P2089" s="15"/>
      <c r="Q2089" s="15" t="s">
        <v>12116</v>
      </c>
      <c r="R2089" s="15"/>
      <c r="S2089" s="15"/>
      <c r="T2089" s="15">
        <v>1</v>
      </c>
      <c r="U2089" s="15"/>
      <c r="V2089" s="15"/>
      <c r="W2089" s="15"/>
      <c r="X2089" s="15"/>
      <c r="Y2089" s="15"/>
      <c r="Z2089" s="15"/>
    </row>
    <row r="2090" spans="1:26" x14ac:dyDescent="0.25">
      <c r="A2090" s="15" t="s">
        <v>15514</v>
      </c>
      <c r="B2090" s="15">
        <v>2089</v>
      </c>
      <c r="C2090" s="15" t="s">
        <v>11277</v>
      </c>
      <c r="D2090" s="15" t="s">
        <v>11277</v>
      </c>
      <c r="E2090" s="15" t="s">
        <v>133</v>
      </c>
      <c r="F2090" s="15" t="s">
        <v>15507</v>
      </c>
      <c r="G2090" s="15" t="s">
        <v>12120</v>
      </c>
      <c r="H2090" s="15">
        <v>25</v>
      </c>
      <c r="I2090" s="15">
        <v>17</v>
      </c>
      <c r="J2090" s="15">
        <v>90</v>
      </c>
      <c r="K2090" s="15" t="str">
        <f t="shared" si="32"/>
        <v>limne3β</v>
      </c>
      <c r="L2090" s="15" t="s">
        <v>12103</v>
      </c>
      <c r="M2090" s="15">
        <v>3</v>
      </c>
      <c r="N2090" s="15" t="s">
        <v>11223</v>
      </c>
      <c r="O2090" s="15" t="s">
        <v>2819</v>
      </c>
      <c r="P2090" s="15"/>
      <c r="Q2090" s="15"/>
      <c r="R2090" s="15"/>
      <c r="S2090" s="15"/>
      <c r="T2090" s="15">
        <v>4</v>
      </c>
      <c r="U2090" s="15"/>
      <c r="V2090" s="15"/>
      <c r="W2090" s="15"/>
      <c r="X2090" s="15"/>
      <c r="Y2090" s="15"/>
      <c r="Z2090" s="15"/>
    </row>
    <row r="2091" spans="1:26" x14ac:dyDescent="0.25">
      <c r="A2091" s="15" t="s">
        <v>15515</v>
      </c>
      <c r="B2091" s="15">
        <v>2090</v>
      </c>
      <c r="C2091" s="15" t="s">
        <v>11277</v>
      </c>
      <c r="D2091" s="15" t="s">
        <v>11277</v>
      </c>
      <c r="E2091" s="15" t="s">
        <v>133</v>
      </c>
      <c r="F2091" s="15" t="s">
        <v>15507</v>
      </c>
      <c r="G2091" s="15" t="s">
        <v>12121</v>
      </c>
      <c r="H2091" s="15">
        <v>25</v>
      </c>
      <c r="I2091" s="15">
        <v>17</v>
      </c>
      <c r="J2091" s="15">
        <v>90</v>
      </c>
      <c r="K2091" s="15" t="str">
        <f t="shared" si="32"/>
        <v>limne3β</v>
      </c>
      <c r="L2091" s="15" t="s">
        <v>14088</v>
      </c>
      <c r="M2091" s="15">
        <v>3</v>
      </c>
      <c r="N2091" s="15" t="s">
        <v>11223</v>
      </c>
      <c r="O2091" s="15" t="s">
        <v>11240</v>
      </c>
      <c r="P2091" s="15" t="s">
        <v>15516</v>
      </c>
      <c r="Q2091" s="15" t="s">
        <v>12116</v>
      </c>
      <c r="R2091" s="15"/>
      <c r="S2091" s="15"/>
      <c r="T2091" s="15">
        <v>4</v>
      </c>
      <c r="U2091" s="15" t="s">
        <v>15457</v>
      </c>
      <c r="V2091" s="15"/>
      <c r="W2091" s="15"/>
      <c r="X2091" s="15" t="s">
        <v>15466</v>
      </c>
      <c r="Y2091" s="15"/>
      <c r="Z2091" s="15"/>
    </row>
    <row r="2092" spans="1:26" x14ac:dyDescent="0.25">
      <c r="A2092" s="15" t="s">
        <v>15517</v>
      </c>
      <c r="B2092" s="15">
        <v>2091</v>
      </c>
      <c r="C2092" s="15" t="s">
        <v>11277</v>
      </c>
      <c r="D2092" s="15" t="s">
        <v>11277</v>
      </c>
      <c r="E2092" s="15" t="s">
        <v>133</v>
      </c>
      <c r="F2092" s="15" t="s">
        <v>15518</v>
      </c>
      <c r="G2092" s="15" t="s">
        <v>12122</v>
      </c>
      <c r="H2092" s="15">
        <v>11</v>
      </c>
      <c r="I2092" s="15">
        <v>19</v>
      </c>
      <c r="J2092" s="15">
        <v>86</v>
      </c>
      <c r="K2092" s="15" t="str">
        <f t="shared" si="32"/>
        <v>ruminationsramble</v>
      </c>
      <c r="L2092" s="15" t="s">
        <v>11946</v>
      </c>
      <c r="M2092" s="15">
        <v>1</v>
      </c>
      <c r="N2092" s="15" t="s">
        <v>11222</v>
      </c>
      <c r="O2092" s="15"/>
      <c r="P2092" s="15"/>
      <c r="Q2092" s="15"/>
      <c r="R2092" s="15"/>
      <c r="S2092" s="15"/>
      <c r="T2092" s="15">
        <v>0</v>
      </c>
      <c r="U2092" s="15"/>
      <c r="V2092" s="15"/>
      <c r="W2092" s="15"/>
      <c r="X2092" s="15"/>
      <c r="Y2092" s="15"/>
      <c r="Z2092" s="15"/>
    </row>
    <row r="2093" spans="1:26" x14ac:dyDescent="0.25">
      <c r="A2093" s="15" t="s">
        <v>15519</v>
      </c>
      <c r="B2093" s="15">
        <v>2092</v>
      </c>
      <c r="C2093" s="15" t="s">
        <v>11277</v>
      </c>
      <c r="D2093" s="15" t="s">
        <v>11277</v>
      </c>
      <c r="E2093" s="15" t="s">
        <v>133</v>
      </c>
      <c r="F2093" s="15" t="s">
        <v>15518</v>
      </c>
      <c r="G2093" s="15" t="s">
        <v>12123</v>
      </c>
      <c r="H2093" s="15">
        <v>11</v>
      </c>
      <c r="I2093" s="15">
        <v>19</v>
      </c>
      <c r="J2093" s="15">
        <v>87</v>
      </c>
      <c r="K2093" s="15" t="str">
        <f t="shared" si="32"/>
        <v>ruminationsramble</v>
      </c>
      <c r="L2093" s="15" t="s">
        <v>11948</v>
      </c>
      <c r="M2093" s="15">
        <v>1</v>
      </c>
      <c r="N2093" s="15" t="s">
        <v>11222</v>
      </c>
      <c r="O2093" s="15"/>
      <c r="P2093" s="15"/>
      <c r="Q2093" s="15"/>
      <c r="R2093" s="15"/>
      <c r="S2093" s="15"/>
      <c r="T2093" s="15">
        <v>0</v>
      </c>
      <c r="U2093" s="15"/>
      <c r="V2093" s="15"/>
      <c r="W2093" s="15"/>
      <c r="X2093" s="15"/>
      <c r="Y2093" s="15"/>
      <c r="Z2093" s="15"/>
    </row>
    <row r="2094" spans="1:26" x14ac:dyDescent="0.25">
      <c r="A2094" s="15" t="s">
        <v>15520</v>
      </c>
      <c r="B2094" s="15">
        <v>2093</v>
      </c>
      <c r="C2094" s="15" t="s">
        <v>11277</v>
      </c>
      <c r="D2094" s="15" t="s">
        <v>11277</v>
      </c>
      <c r="E2094" s="15" t="s">
        <v>133</v>
      </c>
      <c r="F2094" s="15" t="s">
        <v>15518</v>
      </c>
      <c r="G2094" s="15" t="s">
        <v>12124</v>
      </c>
      <c r="H2094" s="15">
        <v>11</v>
      </c>
      <c r="I2094" s="15">
        <v>19</v>
      </c>
      <c r="J2094" s="15">
        <v>86</v>
      </c>
      <c r="K2094" s="15" t="str">
        <f t="shared" si="32"/>
        <v>ruminationsramble</v>
      </c>
      <c r="L2094" s="15" t="s">
        <v>15422</v>
      </c>
      <c r="M2094" s="15">
        <v>2</v>
      </c>
      <c r="N2094" s="15" t="s">
        <v>11223</v>
      </c>
      <c r="O2094" s="15"/>
      <c r="P2094" s="15"/>
      <c r="Q2094" s="15"/>
      <c r="R2094" s="15"/>
      <c r="S2094" s="15"/>
      <c r="T2094" s="15">
        <v>0</v>
      </c>
      <c r="U2094" s="15"/>
      <c r="V2094" s="15"/>
      <c r="W2094" s="15"/>
      <c r="X2094" s="15"/>
      <c r="Y2094" s="15"/>
      <c r="Z2094" s="15"/>
    </row>
    <row r="2095" spans="1:26" x14ac:dyDescent="0.25">
      <c r="A2095" s="15" t="s">
        <v>15521</v>
      </c>
      <c r="B2095" s="15">
        <v>2094</v>
      </c>
      <c r="C2095" s="15" t="s">
        <v>11277</v>
      </c>
      <c r="D2095" s="15" t="s">
        <v>11277</v>
      </c>
      <c r="E2095" s="15" t="s">
        <v>133</v>
      </c>
      <c r="F2095" s="15" t="s">
        <v>15518</v>
      </c>
      <c r="G2095" s="15" t="s">
        <v>12125</v>
      </c>
      <c r="H2095" s="15">
        <v>11</v>
      </c>
      <c r="I2095" s="15">
        <v>19</v>
      </c>
      <c r="J2095" s="15">
        <v>87</v>
      </c>
      <c r="K2095" s="15" t="str">
        <f t="shared" si="32"/>
        <v>ruminationsramble</v>
      </c>
      <c r="L2095" s="15" t="s">
        <v>11948</v>
      </c>
      <c r="M2095" s="15">
        <v>2</v>
      </c>
      <c r="N2095" s="15" t="s">
        <v>11223</v>
      </c>
      <c r="O2095" s="15"/>
      <c r="P2095" s="15"/>
      <c r="Q2095" s="15" t="s">
        <v>12123</v>
      </c>
      <c r="R2095" s="15"/>
      <c r="S2095" s="15"/>
      <c r="T2095" s="15">
        <v>0</v>
      </c>
      <c r="U2095" s="15"/>
      <c r="V2095" s="15"/>
      <c r="W2095" s="15"/>
      <c r="X2095" s="15"/>
      <c r="Y2095" s="15"/>
      <c r="Z2095" s="15"/>
    </row>
    <row r="2096" spans="1:26" x14ac:dyDescent="0.25">
      <c r="A2096" s="15" t="s">
        <v>15522</v>
      </c>
      <c r="B2096" s="15">
        <v>2095</v>
      </c>
      <c r="C2096" s="15" t="s">
        <v>11277</v>
      </c>
      <c r="D2096" s="15" t="s">
        <v>11277</v>
      </c>
      <c r="E2096" s="15" t="s">
        <v>133</v>
      </c>
      <c r="F2096" s="15" t="s">
        <v>15518</v>
      </c>
      <c r="G2096" s="15" t="s">
        <v>12126</v>
      </c>
      <c r="H2096" s="15">
        <v>11</v>
      </c>
      <c r="I2096" s="15">
        <v>19</v>
      </c>
      <c r="J2096" s="15">
        <v>90</v>
      </c>
      <c r="K2096" s="15" t="str">
        <f t="shared" si="32"/>
        <v>ruminationsramble</v>
      </c>
      <c r="L2096" s="15" t="s">
        <v>14088</v>
      </c>
      <c r="M2096" s="15">
        <v>2</v>
      </c>
      <c r="N2096" s="15" t="s">
        <v>11223</v>
      </c>
      <c r="O2096" s="15"/>
      <c r="P2096" s="15"/>
      <c r="Q2096" s="15" t="s">
        <v>12123</v>
      </c>
      <c r="R2096" s="15"/>
      <c r="S2096" s="15"/>
      <c r="T2096" s="15">
        <v>1</v>
      </c>
      <c r="U2096" s="15" t="s">
        <v>5908</v>
      </c>
      <c r="V2096" s="15"/>
      <c r="W2096" s="15"/>
      <c r="X2096" s="15"/>
      <c r="Y2096" s="15"/>
      <c r="Z2096" s="15"/>
    </row>
    <row r="2097" spans="1:26" x14ac:dyDescent="0.25">
      <c r="A2097" s="15" t="s">
        <v>15523</v>
      </c>
      <c r="B2097" s="15">
        <v>2096</v>
      </c>
      <c r="C2097" s="15" t="s">
        <v>11277</v>
      </c>
      <c r="D2097" s="15" t="s">
        <v>11277</v>
      </c>
      <c r="E2097" s="15" t="s">
        <v>133</v>
      </c>
      <c r="F2097" s="15" t="s">
        <v>15518</v>
      </c>
      <c r="G2097" s="15" t="s">
        <v>12127</v>
      </c>
      <c r="H2097" s="15">
        <v>11</v>
      </c>
      <c r="I2097" s="15">
        <v>19</v>
      </c>
      <c r="J2097" s="15">
        <v>90</v>
      </c>
      <c r="K2097" s="15" t="str">
        <f t="shared" si="32"/>
        <v>ruminationsramble</v>
      </c>
      <c r="L2097" s="15" t="s">
        <v>14088</v>
      </c>
      <c r="M2097" s="15">
        <v>3</v>
      </c>
      <c r="N2097" s="15" t="s">
        <v>11223</v>
      </c>
      <c r="O2097" s="15"/>
      <c r="P2097" s="15"/>
      <c r="Q2097" s="15" t="s">
        <v>12123</v>
      </c>
      <c r="R2097" s="15"/>
      <c r="S2097" s="15"/>
      <c r="T2097" s="15">
        <v>2</v>
      </c>
      <c r="U2097" s="15" t="s">
        <v>15457</v>
      </c>
      <c r="V2097" s="15" t="s">
        <v>5892</v>
      </c>
      <c r="W2097" s="15"/>
      <c r="X2097" s="15"/>
      <c r="Y2097" s="15"/>
      <c r="Z2097" s="15"/>
    </row>
    <row r="2098" spans="1:26" x14ac:dyDescent="0.25">
      <c r="A2098" s="15" t="s">
        <v>15524</v>
      </c>
      <c r="B2098" s="15">
        <v>2097</v>
      </c>
      <c r="C2098" s="15" t="s">
        <v>11277</v>
      </c>
      <c r="D2098" s="15" t="s">
        <v>11277</v>
      </c>
      <c r="E2098" s="15" t="s">
        <v>133</v>
      </c>
      <c r="F2098" s="15" t="s">
        <v>15525</v>
      </c>
      <c r="G2098" s="15" t="s">
        <v>12122</v>
      </c>
      <c r="H2098" s="15">
        <v>25</v>
      </c>
      <c r="I2098" s="15">
        <v>10</v>
      </c>
      <c r="J2098" s="15">
        <v>86</v>
      </c>
      <c r="K2098" s="15" t="str">
        <f t="shared" si="32"/>
        <v>thelowerhungeringgardens</v>
      </c>
      <c r="L2098" s="15" t="s">
        <v>11946</v>
      </c>
      <c r="M2098" s="15">
        <v>1</v>
      </c>
      <c r="N2098" s="15" t="s">
        <v>11222</v>
      </c>
      <c r="O2098" s="15"/>
      <c r="P2098" s="15"/>
      <c r="Q2098" s="15"/>
      <c r="R2098" s="15"/>
      <c r="S2098" s="15"/>
      <c r="T2098" s="15">
        <v>0</v>
      </c>
      <c r="U2098" s="15"/>
      <c r="V2098" s="15"/>
      <c r="W2098" s="15"/>
      <c r="X2098" s="15"/>
      <c r="Y2098" s="15"/>
      <c r="Z2098" s="15"/>
    </row>
    <row r="2099" spans="1:26" x14ac:dyDescent="0.25">
      <c r="A2099" s="15" t="s">
        <v>15526</v>
      </c>
      <c r="B2099" s="15">
        <v>2098</v>
      </c>
      <c r="C2099" s="15" t="s">
        <v>11277</v>
      </c>
      <c r="D2099" s="15" t="s">
        <v>11277</v>
      </c>
      <c r="E2099" s="15" t="s">
        <v>133</v>
      </c>
      <c r="F2099" s="15" t="s">
        <v>15525</v>
      </c>
      <c r="G2099" s="15" t="s">
        <v>12128</v>
      </c>
      <c r="H2099" s="15">
        <v>25</v>
      </c>
      <c r="I2099" s="15">
        <v>10</v>
      </c>
      <c r="J2099" s="15">
        <v>87</v>
      </c>
      <c r="K2099" s="15" t="str">
        <f t="shared" si="32"/>
        <v>thelowerhungeringgardens</v>
      </c>
      <c r="L2099" s="15" t="s">
        <v>15422</v>
      </c>
      <c r="M2099" s="15">
        <v>1</v>
      </c>
      <c r="N2099" s="15" t="s">
        <v>11222</v>
      </c>
      <c r="O2099" s="15"/>
      <c r="P2099" s="15"/>
      <c r="Q2099" s="15"/>
      <c r="R2099" s="15"/>
      <c r="S2099" s="15"/>
      <c r="T2099" s="15">
        <v>0</v>
      </c>
      <c r="U2099" s="15"/>
      <c r="V2099" s="15"/>
      <c r="W2099" s="15"/>
      <c r="X2099" s="15"/>
      <c r="Y2099" s="15"/>
      <c r="Z2099" s="15"/>
    </row>
    <row r="2100" spans="1:26" x14ac:dyDescent="0.25">
      <c r="A2100" s="15" t="s">
        <v>15527</v>
      </c>
      <c r="B2100" s="15">
        <v>2099</v>
      </c>
      <c r="C2100" s="15" t="s">
        <v>11277</v>
      </c>
      <c r="D2100" s="15" t="s">
        <v>11277</v>
      </c>
      <c r="E2100" s="15" t="s">
        <v>133</v>
      </c>
      <c r="F2100" s="15" t="s">
        <v>15525</v>
      </c>
      <c r="G2100" s="15" t="s">
        <v>12124</v>
      </c>
      <c r="H2100" s="15">
        <v>25</v>
      </c>
      <c r="I2100" s="15">
        <v>10</v>
      </c>
      <c r="J2100" s="15">
        <v>86</v>
      </c>
      <c r="K2100" s="15" t="str">
        <f t="shared" si="32"/>
        <v>thelowerhungeringgardens</v>
      </c>
      <c r="L2100" s="15" t="s">
        <v>11946</v>
      </c>
      <c r="M2100" s="15">
        <v>2</v>
      </c>
      <c r="N2100" s="15" t="s">
        <v>11223</v>
      </c>
      <c r="O2100" s="15"/>
      <c r="P2100" s="15"/>
      <c r="Q2100" s="15"/>
      <c r="R2100" s="15"/>
      <c r="S2100" s="15"/>
      <c r="T2100" s="15">
        <v>0</v>
      </c>
      <c r="U2100" s="15"/>
      <c r="V2100" s="15"/>
      <c r="W2100" s="15"/>
      <c r="X2100" s="15"/>
      <c r="Y2100" s="15"/>
      <c r="Z2100" s="15"/>
    </row>
    <row r="2101" spans="1:26" x14ac:dyDescent="0.25">
      <c r="A2101" s="15" t="s">
        <v>15528</v>
      </c>
      <c r="B2101" s="15">
        <v>2100</v>
      </c>
      <c r="C2101" s="15" t="s">
        <v>11277</v>
      </c>
      <c r="D2101" s="15" t="s">
        <v>11277</v>
      </c>
      <c r="E2101" s="15" t="s">
        <v>133</v>
      </c>
      <c r="F2101" s="15" t="s">
        <v>15525</v>
      </c>
      <c r="G2101" s="15" t="s">
        <v>12129</v>
      </c>
      <c r="H2101" s="15">
        <v>25</v>
      </c>
      <c r="I2101" s="15">
        <v>10</v>
      </c>
      <c r="J2101" s="15">
        <v>88</v>
      </c>
      <c r="K2101" s="15" t="str">
        <f t="shared" si="32"/>
        <v>thelowerhungeringgardens</v>
      </c>
      <c r="L2101" s="15" t="s">
        <v>11948</v>
      </c>
      <c r="M2101" s="15">
        <v>2</v>
      </c>
      <c r="N2101" s="15" t="s">
        <v>11223</v>
      </c>
      <c r="O2101" s="15"/>
      <c r="P2101" s="15"/>
      <c r="Q2101" s="15"/>
      <c r="R2101" s="15"/>
      <c r="S2101" s="15"/>
      <c r="T2101" s="15">
        <v>0</v>
      </c>
      <c r="U2101" s="15"/>
      <c r="V2101" s="15"/>
      <c r="W2101" s="15"/>
      <c r="X2101" s="15"/>
      <c r="Y2101" s="15"/>
      <c r="Z2101" s="15"/>
    </row>
    <row r="2102" spans="1:26" x14ac:dyDescent="0.25">
      <c r="A2102" s="15" t="s">
        <v>15529</v>
      </c>
      <c r="B2102" s="15">
        <v>2101</v>
      </c>
      <c r="C2102" s="15" t="s">
        <v>11277</v>
      </c>
      <c r="D2102" s="15" t="s">
        <v>11277</v>
      </c>
      <c r="E2102" s="15" t="s">
        <v>133</v>
      </c>
      <c r="F2102" s="15" t="s">
        <v>15525</v>
      </c>
      <c r="G2102" s="15" t="s">
        <v>178</v>
      </c>
      <c r="H2102" s="15">
        <v>25</v>
      </c>
      <c r="I2102" s="15">
        <v>10</v>
      </c>
      <c r="J2102" s="15">
        <v>90</v>
      </c>
      <c r="K2102" s="15" t="str">
        <f t="shared" si="32"/>
        <v>thelowerhungeringgardens</v>
      </c>
      <c r="L2102" s="15" t="s">
        <v>11948</v>
      </c>
      <c r="M2102" s="15">
        <v>1</v>
      </c>
      <c r="N2102" s="15" t="s">
        <v>11222</v>
      </c>
      <c r="O2102" s="15" t="s">
        <v>2811</v>
      </c>
      <c r="P2102" s="15"/>
      <c r="Q2102" s="15"/>
      <c r="R2102" s="15"/>
      <c r="S2102" s="15"/>
      <c r="T2102" s="15">
        <v>2</v>
      </c>
      <c r="U2102" s="15"/>
      <c r="V2102" s="15"/>
      <c r="W2102" s="15"/>
      <c r="X2102" s="15"/>
      <c r="Y2102" s="15"/>
      <c r="Z2102" s="15"/>
    </row>
    <row r="2103" spans="1:26" x14ac:dyDescent="0.25">
      <c r="A2103" s="15" t="s">
        <v>15530</v>
      </c>
      <c r="B2103" s="15">
        <v>2102</v>
      </c>
      <c r="C2103" s="15" t="s">
        <v>11277</v>
      </c>
      <c r="D2103" s="15" t="s">
        <v>11277</v>
      </c>
      <c r="E2103" s="15" t="s">
        <v>133</v>
      </c>
      <c r="F2103" s="15" t="s">
        <v>15525</v>
      </c>
      <c r="G2103" s="15" t="s">
        <v>12130</v>
      </c>
      <c r="H2103" s="15">
        <v>25</v>
      </c>
      <c r="I2103" s="15">
        <v>10</v>
      </c>
      <c r="J2103" s="15">
        <v>90</v>
      </c>
      <c r="K2103" s="15" t="str">
        <f t="shared" si="32"/>
        <v>thelowerhungeringgardens</v>
      </c>
      <c r="L2103" s="15" t="s">
        <v>11953</v>
      </c>
      <c r="M2103" s="15">
        <v>3</v>
      </c>
      <c r="N2103" s="15" t="s">
        <v>11222</v>
      </c>
      <c r="O2103" s="15" t="s">
        <v>14064</v>
      </c>
      <c r="P2103" s="15"/>
      <c r="Q2103" s="15"/>
      <c r="R2103" s="15"/>
      <c r="S2103" s="15"/>
      <c r="T2103" s="15">
        <v>3</v>
      </c>
      <c r="U2103" s="15"/>
      <c r="V2103" s="15"/>
      <c r="W2103" s="15"/>
      <c r="X2103" s="15"/>
      <c r="Y2103" s="15"/>
      <c r="Z2103" s="15"/>
    </row>
    <row r="2104" spans="1:26" x14ac:dyDescent="0.25">
      <c r="A2104" s="15" t="s">
        <v>15531</v>
      </c>
      <c r="B2104" s="15">
        <v>2103</v>
      </c>
      <c r="C2104" s="15" t="s">
        <v>11277</v>
      </c>
      <c r="D2104" s="15" t="s">
        <v>11277</v>
      </c>
      <c r="E2104" s="15" t="s">
        <v>133</v>
      </c>
      <c r="F2104" s="15" t="s">
        <v>2538</v>
      </c>
      <c r="G2104" s="15" t="s">
        <v>12122</v>
      </c>
      <c r="H2104" s="15">
        <v>33</v>
      </c>
      <c r="I2104" s="15">
        <v>15</v>
      </c>
      <c r="J2104" s="15">
        <v>86</v>
      </c>
      <c r="K2104" s="15" t="str">
        <f t="shared" si="32"/>
        <v>lethe</v>
      </c>
      <c r="L2104" s="15" t="s">
        <v>11946</v>
      </c>
      <c r="M2104" s="15">
        <v>1</v>
      </c>
      <c r="N2104" s="15" t="s">
        <v>11222</v>
      </c>
      <c r="O2104" s="15"/>
      <c r="P2104" s="15"/>
      <c r="Q2104" s="15"/>
      <c r="R2104" s="15"/>
      <c r="S2104" s="15"/>
      <c r="T2104" s="15">
        <v>0</v>
      </c>
      <c r="U2104" s="15"/>
      <c r="V2104" s="15"/>
      <c r="W2104" s="15"/>
      <c r="X2104" s="15"/>
      <c r="Y2104" s="15"/>
      <c r="Z2104" s="15"/>
    </row>
    <row r="2105" spans="1:26" x14ac:dyDescent="0.25">
      <c r="A2105" s="15" t="s">
        <v>15532</v>
      </c>
      <c r="B2105" s="15">
        <v>2104</v>
      </c>
      <c r="C2105" s="15" t="s">
        <v>11277</v>
      </c>
      <c r="D2105" s="15" t="s">
        <v>11277</v>
      </c>
      <c r="E2105" s="15" t="s">
        <v>133</v>
      </c>
      <c r="F2105" s="15" t="s">
        <v>2538</v>
      </c>
      <c r="G2105" s="15" t="s">
        <v>12131</v>
      </c>
      <c r="H2105" s="15">
        <v>33</v>
      </c>
      <c r="I2105" s="15">
        <v>15</v>
      </c>
      <c r="J2105" s="15">
        <v>87</v>
      </c>
      <c r="K2105" s="15" t="str">
        <f t="shared" si="32"/>
        <v>lethe</v>
      </c>
      <c r="L2105" s="15" t="s">
        <v>11948</v>
      </c>
      <c r="M2105" s="15">
        <v>1</v>
      </c>
      <c r="N2105" s="15" t="s">
        <v>11222</v>
      </c>
      <c r="O2105" s="15"/>
      <c r="P2105" s="15"/>
      <c r="Q2105" s="15"/>
      <c r="R2105" s="15"/>
      <c r="S2105" s="15"/>
      <c r="T2105" s="15">
        <v>0</v>
      </c>
      <c r="U2105" s="15"/>
      <c r="V2105" s="15"/>
      <c r="W2105" s="15"/>
      <c r="X2105" s="15"/>
      <c r="Y2105" s="15"/>
      <c r="Z2105" s="15"/>
    </row>
    <row r="2106" spans="1:26" x14ac:dyDescent="0.25">
      <c r="A2106" s="15" t="s">
        <v>15533</v>
      </c>
      <c r="B2106" s="15">
        <v>2105</v>
      </c>
      <c r="C2106" s="15" t="s">
        <v>11277</v>
      </c>
      <c r="D2106" s="15" t="s">
        <v>11277</v>
      </c>
      <c r="E2106" s="15" t="s">
        <v>133</v>
      </c>
      <c r="F2106" s="15" t="s">
        <v>2538</v>
      </c>
      <c r="G2106" s="15" t="s">
        <v>12124</v>
      </c>
      <c r="H2106" s="15">
        <v>33</v>
      </c>
      <c r="I2106" s="15">
        <v>15</v>
      </c>
      <c r="J2106" s="15">
        <v>86</v>
      </c>
      <c r="K2106" s="15" t="str">
        <f t="shared" si="32"/>
        <v>lethe</v>
      </c>
      <c r="L2106" s="15" t="s">
        <v>15422</v>
      </c>
      <c r="M2106" s="15">
        <v>2</v>
      </c>
      <c r="N2106" s="15" t="s">
        <v>11223</v>
      </c>
      <c r="O2106" s="15"/>
      <c r="P2106" s="15"/>
      <c r="Q2106" s="15"/>
      <c r="R2106" s="15"/>
      <c r="S2106" s="15"/>
      <c r="T2106" s="15">
        <v>0</v>
      </c>
      <c r="U2106" s="15"/>
      <c r="V2106" s="15"/>
      <c r="W2106" s="15"/>
      <c r="X2106" s="15"/>
      <c r="Y2106" s="15"/>
      <c r="Z2106" s="15"/>
    </row>
    <row r="2107" spans="1:26" x14ac:dyDescent="0.25">
      <c r="A2107" s="15" t="s">
        <v>15534</v>
      </c>
      <c r="B2107" s="15">
        <v>2106</v>
      </c>
      <c r="C2107" s="15" t="s">
        <v>11277</v>
      </c>
      <c r="D2107" s="15" t="s">
        <v>11277</v>
      </c>
      <c r="E2107" s="15" t="s">
        <v>133</v>
      </c>
      <c r="F2107" s="15" t="s">
        <v>2538</v>
      </c>
      <c r="G2107" s="15" t="s">
        <v>12132</v>
      </c>
      <c r="H2107" s="15">
        <v>33</v>
      </c>
      <c r="I2107" s="15">
        <v>15</v>
      </c>
      <c r="J2107" s="15">
        <v>87</v>
      </c>
      <c r="K2107" s="15" t="str">
        <f t="shared" si="32"/>
        <v>lethe</v>
      </c>
      <c r="L2107" s="15" t="s">
        <v>11953</v>
      </c>
      <c r="M2107" s="15">
        <v>2</v>
      </c>
      <c r="N2107" s="15" t="s">
        <v>11223</v>
      </c>
      <c r="O2107" s="15"/>
      <c r="P2107" s="15"/>
      <c r="Q2107" s="15"/>
      <c r="R2107" s="15"/>
      <c r="S2107" s="15"/>
      <c r="T2107" s="15">
        <v>0</v>
      </c>
      <c r="U2107" s="15"/>
      <c r="V2107" s="15"/>
      <c r="W2107" s="15"/>
      <c r="X2107" s="15"/>
      <c r="Y2107" s="15"/>
      <c r="Z2107" s="15"/>
    </row>
    <row r="2108" spans="1:26" x14ac:dyDescent="0.25">
      <c r="A2108" s="15" t="s">
        <v>15535</v>
      </c>
      <c r="B2108" s="15">
        <v>2107</v>
      </c>
      <c r="C2108" s="15" t="s">
        <v>11277</v>
      </c>
      <c r="D2108" s="15" t="s">
        <v>11277</v>
      </c>
      <c r="E2108" s="15" t="s">
        <v>133</v>
      </c>
      <c r="F2108" s="15" t="s">
        <v>2538</v>
      </c>
      <c r="G2108" s="15" t="s">
        <v>12133</v>
      </c>
      <c r="H2108" s="15">
        <v>33</v>
      </c>
      <c r="I2108" s="15">
        <v>15</v>
      </c>
      <c r="J2108" s="15">
        <v>90</v>
      </c>
      <c r="K2108" s="15" t="str">
        <f t="shared" si="32"/>
        <v>lethe</v>
      </c>
      <c r="L2108" s="15" t="s">
        <v>11948</v>
      </c>
      <c r="M2108" s="15">
        <v>3</v>
      </c>
      <c r="N2108" s="15" t="s">
        <v>11222</v>
      </c>
      <c r="O2108" s="15" t="s">
        <v>11382</v>
      </c>
      <c r="P2108" s="15"/>
      <c r="Q2108" s="15"/>
      <c r="R2108" s="15"/>
      <c r="S2108" s="15"/>
      <c r="T2108" s="15">
        <v>0</v>
      </c>
      <c r="U2108" s="15" t="s">
        <v>5908</v>
      </c>
      <c r="V2108" s="15"/>
      <c r="W2108" s="15"/>
      <c r="X2108" s="15" t="s">
        <v>5893</v>
      </c>
      <c r="Y2108" s="15"/>
      <c r="Z2108" s="15"/>
    </row>
    <row r="2109" spans="1:26" x14ac:dyDescent="0.25">
      <c r="A2109" s="15" t="s">
        <v>15536</v>
      </c>
      <c r="B2109" s="15">
        <v>2108</v>
      </c>
      <c r="C2109" s="15" t="s">
        <v>11277</v>
      </c>
      <c r="D2109" s="15" t="s">
        <v>11277</v>
      </c>
      <c r="E2109" s="15" t="s">
        <v>133</v>
      </c>
      <c r="F2109" s="15" t="s">
        <v>2538</v>
      </c>
      <c r="G2109" s="15" t="s">
        <v>12134</v>
      </c>
      <c r="H2109" s="15">
        <v>33</v>
      </c>
      <c r="I2109" s="15">
        <v>15</v>
      </c>
      <c r="J2109" s="15">
        <v>90</v>
      </c>
      <c r="K2109" s="15" t="str">
        <f t="shared" si="32"/>
        <v>lethe</v>
      </c>
      <c r="L2109" s="15" t="s">
        <v>11953</v>
      </c>
      <c r="M2109" s="15">
        <v>3</v>
      </c>
      <c r="N2109" s="15" t="s">
        <v>11222</v>
      </c>
      <c r="O2109" s="15" t="s">
        <v>14030</v>
      </c>
      <c r="P2109" s="15"/>
      <c r="Q2109" s="15"/>
      <c r="R2109" s="15"/>
      <c r="S2109" s="15"/>
      <c r="T2109" s="15">
        <v>4</v>
      </c>
      <c r="U2109" s="15"/>
      <c r="V2109" s="15"/>
      <c r="W2109" s="15"/>
      <c r="X2109" s="15"/>
      <c r="Y2109" s="15"/>
      <c r="Z2109" s="15"/>
    </row>
    <row r="2110" spans="1:26" x14ac:dyDescent="0.25">
      <c r="A2110" s="15" t="s">
        <v>15537</v>
      </c>
      <c r="B2110" s="15">
        <v>2109</v>
      </c>
      <c r="C2110" s="15" t="s">
        <v>11277</v>
      </c>
      <c r="D2110" s="15" t="s">
        <v>11277</v>
      </c>
      <c r="E2110" s="15" t="s">
        <v>215</v>
      </c>
      <c r="F2110" s="15" t="s">
        <v>15538</v>
      </c>
      <c r="G2110" s="15" t="s">
        <v>11695</v>
      </c>
      <c r="H2110" s="15">
        <v>9</v>
      </c>
      <c r="I2110" s="15">
        <v>10.5</v>
      </c>
      <c r="J2110" s="15">
        <v>91</v>
      </c>
      <c r="K2110" s="15" t="str">
        <f t="shared" si="32"/>
        <v>downripple</v>
      </c>
      <c r="L2110" s="15" t="s">
        <v>11696</v>
      </c>
      <c r="M2110" s="15">
        <v>1</v>
      </c>
      <c r="N2110" s="15" t="s">
        <v>11222</v>
      </c>
      <c r="O2110" s="15"/>
      <c r="P2110" s="15"/>
      <c r="Q2110" s="15"/>
      <c r="R2110" s="15"/>
      <c r="S2110" s="15"/>
      <c r="T2110" s="15">
        <v>0</v>
      </c>
      <c r="U2110" s="15"/>
      <c r="V2110" s="15"/>
      <c r="W2110" s="15"/>
      <c r="X2110" s="15"/>
      <c r="Y2110" s="15"/>
      <c r="Z2110" s="15"/>
    </row>
    <row r="2111" spans="1:26" x14ac:dyDescent="0.25">
      <c r="A2111" s="15" t="s">
        <v>15539</v>
      </c>
      <c r="B2111" s="15">
        <v>2110</v>
      </c>
      <c r="C2111" s="15" t="s">
        <v>11277</v>
      </c>
      <c r="D2111" s="15" t="s">
        <v>11277</v>
      </c>
      <c r="E2111" s="15" t="s">
        <v>215</v>
      </c>
      <c r="F2111" s="15" t="s">
        <v>15538</v>
      </c>
      <c r="G2111" s="15" t="s">
        <v>11697</v>
      </c>
      <c r="H2111" s="15">
        <v>9</v>
      </c>
      <c r="I2111" s="15">
        <v>10.5</v>
      </c>
      <c r="J2111" s="15">
        <v>91</v>
      </c>
      <c r="K2111" s="15" t="str">
        <f t="shared" si="32"/>
        <v>downripple</v>
      </c>
      <c r="L2111" s="15" t="s">
        <v>11698</v>
      </c>
      <c r="M2111" s="15">
        <v>1</v>
      </c>
      <c r="N2111" s="15" t="s">
        <v>11222</v>
      </c>
      <c r="O2111" s="15"/>
      <c r="P2111" s="15"/>
      <c r="Q2111" s="15"/>
      <c r="R2111" s="15"/>
      <c r="S2111" s="15"/>
      <c r="T2111" s="15">
        <v>0</v>
      </c>
      <c r="U2111" s="15"/>
      <c r="V2111" s="15"/>
      <c r="W2111" s="15"/>
      <c r="X2111" s="15"/>
      <c r="Y2111" s="15"/>
      <c r="Z2111" s="15"/>
    </row>
    <row r="2112" spans="1:26" x14ac:dyDescent="0.25">
      <c r="A2112" s="15" t="s">
        <v>15540</v>
      </c>
      <c r="B2112" s="15">
        <v>2111</v>
      </c>
      <c r="C2112" s="15" t="s">
        <v>11277</v>
      </c>
      <c r="D2112" s="15" t="s">
        <v>11277</v>
      </c>
      <c r="E2112" s="15" t="s">
        <v>215</v>
      </c>
      <c r="F2112" s="15" t="s">
        <v>15538</v>
      </c>
      <c r="G2112" s="15" t="s">
        <v>11699</v>
      </c>
      <c r="H2112" s="15">
        <v>9</v>
      </c>
      <c r="I2112" s="15">
        <v>10.5</v>
      </c>
      <c r="J2112" s="15">
        <v>91</v>
      </c>
      <c r="K2112" s="15" t="str">
        <f t="shared" si="32"/>
        <v>downripple</v>
      </c>
      <c r="L2112" s="15" t="s">
        <v>11698</v>
      </c>
      <c r="M2112" s="15">
        <v>1</v>
      </c>
      <c r="N2112" s="15" t="s">
        <v>11222</v>
      </c>
      <c r="O2112" s="15"/>
      <c r="P2112" s="15"/>
      <c r="Q2112" s="15"/>
      <c r="R2112" s="15"/>
      <c r="S2112" s="15"/>
      <c r="T2112" s="15">
        <v>0</v>
      </c>
      <c r="U2112" s="15"/>
      <c r="V2112" s="15"/>
      <c r="W2112" s="15"/>
      <c r="X2112" s="15"/>
      <c r="Y2112" s="15"/>
      <c r="Z2112" s="15"/>
    </row>
    <row r="2113" spans="1:26" x14ac:dyDescent="0.25">
      <c r="A2113" s="15" t="s">
        <v>15541</v>
      </c>
      <c r="B2113" s="15">
        <v>2112</v>
      </c>
      <c r="C2113" s="15" t="s">
        <v>11277</v>
      </c>
      <c r="D2113" s="15" t="s">
        <v>11277</v>
      </c>
      <c r="E2113" s="15" t="s">
        <v>215</v>
      </c>
      <c r="F2113" s="15" t="s">
        <v>15538</v>
      </c>
      <c r="G2113" s="15" t="s">
        <v>11700</v>
      </c>
      <c r="H2113" s="15">
        <v>9</v>
      </c>
      <c r="I2113" s="15">
        <v>10.5</v>
      </c>
      <c r="J2113" s="15">
        <v>100</v>
      </c>
      <c r="K2113" s="15" t="str">
        <f t="shared" si="32"/>
        <v>downripple</v>
      </c>
      <c r="L2113" s="15" t="s">
        <v>11701</v>
      </c>
      <c r="M2113" s="15">
        <v>3</v>
      </c>
      <c r="N2113" s="15" t="s">
        <v>11222</v>
      </c>
      <c r="O2113" s="15"/>
      <c r="P2113" s="15"/>
      <c r="Q2113" s="15"/>
      <c r="R2113" s="15"/>
      <c r="S2113" s="15"/>
      <c r="T2113" s="15">
        <v>1</v>
      </c>
      <c r="U2113" s="15" t="s">
        <v>5914</v>
      </c>
      <c r="V2113" s="15"/>
      <c r="W2113" s="15"/>
      <c r="X2113" s="15"/>
      <c r="Y2113" s="15"/>
      <c r="Z2113" s="15"/>
    </row>
    <row r="2114" spans="1:26" x14ac:dyDescent="0.25">
      <c r="A2114" s="15" t="s">
        <v>15542</v>
      </c>
      <c r="B2114" s="15">
        <v>2113</v>
      </c>
      <c r="C2114" s="15" t="s">
        <v>11277</v>
      </c>
      <c r="D2114" s="15" t="s">
        <v>11277</v>
      </c>
      <c r="E2114" s="15" t="s">
        <v>215</v>
      </c>
      <c r="F2114" s="15" t="s">
        <v>6794</v>
      </c>
      <c r="G2114" s="15" t="s">
        <v>11702</v>
      </c>
      <c r="H2114" s="15">
        <v>10</v>
      </c>
      <c r="I2114" s="15">
        <v>19</v>
      </c>
      <c r="J2114" s="15">
        <v>91</v>
      </c>
      <c r="K2114" s="15" t="str">
        <f t="shared" ref="K2114:K2177" si="33">LOWER(SUBSTITUTE(SUBSTITUTE(SUBSTITUTE(SUBSTITUTE(SUBSTITUTE(F2114," ",""),"(",""),")",""),"'",""),"-",""))</f>
        <v>theforardcabins</v>
      </c>
      <c r="L2114" s="15" t="s">
        <v>11703</v>
      </c>
      <c r="M2114" s="15">
        <v>1</v>
      </c>
      <c r="N2114" s="15" t="s">
        <v>11222</v>
      </c>
      <c r="O2114" s="15"/>
      <c r="P2114" s="15"/>
      <c r="Q2114" s="15"/>
      <c r="R2114" s="15"/>
      <c r="S2114" s="15"/>
      <c r="T2114" s="15">
        <v>0</v>
      </c>
      <c r="U2114" s="15"/>
      <c r="V2114" s="15"/>
      <c r="W2114" s="15"/>
      <c r="X2114" s="15"/>
      <c r="Y2114" s="15"/>
      <c r="Z2114" s="15"/>
    </row>
    <row r="2115" spans="1:26" x14ac:dyDescent="0.25">
      <c r="A2115" s="15" t="s">
        <v>15543</v>
      </c>
      <c r="B2115" s="15">
        <v>2114</v>
      </c>
      <c r="C2115" s="15" t="s">
        <v>11277</v>
      </c>
      <c r="D2115" s="15" t="s">
        <v>11277</v>
      </c>
      <c r="E2115" s="15" t="s">
        <v>215</v>
      </c>
      <c r="F2115" s="15" t="s">
        <v>6794</v>
      </c>
      <c r="G2115" s="15" t="s">
        <v>11704</v>
      </c>
      <c r="H2115" s="15">
        <v>10</v>
      </c>
      <c r="I2115" s="15">
        <v>19</v>
      </c>
      <c r="J2115" s="15">
        <v>91</v>
      </c>
      <c r="K2115" s="15" t="str">
        <f t="shared" si="33"/>
        <v>theforardcabins</v>
      </c>
      <c r="L2115" s="15" t="s">
        <v>11705</v>
      </c>
      <c r="M2115" s="15">
        <v>1</v>
      </c>
      <c r="N2115" s="15" t="s">
        <v>11222</v>
      </c>
      <c r="O2115" s="15"/>
      <c r="P2115" s="15"/>
      <c r="Q2115" s="15"/>
      <c r="R2115" s="15"/>
      <c r="S2115" s="15"/>
      <c r="T2115" s="15">
        <v>0</v>
      </c>
      <c r="U2115" s="15"/>
      <c r="V2115" s="15"/>
      <c r="W2115" s="15"/>
      <c r="X2115" s="15"/>
      <c r="Y2115" s="15"/>
      <c r="Z2115" s="15"/>
    </row>
    <row r="2116" spans="1:26" x14ac:dyDescent="0.25">
      <c r="A2116" s="15" t="s">
        <v>15544</v>
      </c>
      <c r="B2116" s="15">
        <v>2115</v>
      </c>
      <c r="C2116" s="15" t="s">
        <v>11277</v>
      </c>
      <c r="D2116" s="15" t="s">
        <v>11277</v>
      </c>
      <c r="E2116" s="15" t="s">
        <v>215</v>
      </c>
      <c r="F2116" s="15" t="s">
        <v>6794</v>
      </c>
      <c r="G2116" s="15" t="s">
        <v>11706</v>
      </c>
      <c r="H2116" s="15">
        <v>10</v>
      </c>
      <c r="I2116" s="15">
        <v>19</v>
      </c>
      <c r="J2116" s="15">
        <v>91</v>
      </c>
      <c r="K2116" s="15" t="str">
        <f t="shared" si="33"/>
        <v>theforardcabins</v>
      </c>
      <c r="L2116" s="15" t="s">
        <v>11703</v>
      </c>
      <c r="M2116" s="15">
        <v>1</v>
      </c>
      <c r="N2116" s="15" t="s">
        <v>11222</v>
      </c>
      <c r="O2116" s="15"/>
      <c r="P2116" s="15"/>
      <c r="Q2116" s="15"/>
      <c r="R2116" s="15"/>
      <c r="S2116" s="15"/>
      <c r="T2116" s="15">
        <v>0</v>
      </c>
      <c r="U2116" s="15"/>
      <c r="V2116" s="15"/>
      <c r="W2116" s="15"/>
      <c r="X2116" s="15"/>
      <c r="Y2116" s="15"/>
      <c r="Z2116" s="15"/>
    </row>
    <row r="2117" spans="1:26" x14ac:dyDescent="0.25">
      <c r="A2117" s="15" t="s">
        <v>15545</v>
      </c>
      <c r="B2117" s="15">
        <v>2116</v>
      </c>
      <c r="C2117" s="15" t="s">
        <v>11277</v>
      </c>
      <c r="D2117" s="15" t="s">
        <v>11277</v>
      </c>
      <c r="E2117" s="15" t="s">
        <v>215</v>
      </c>
      <c r="F2117" s="15" t="s">
        <v>6794</v>
      </c>
      <c r="G2117" s="15" t="s">
        <v>11707</v>
      </c>
      <c r="H2117" s="15">
        <v>10</v>
      </c>
      <c r="I2117" s="15">
        <v>19</v>
      </c>
      <c r="J2117" s="15">
        <v>92</v>
      </c>
      <c r="K2117" s="15" t="str">
        <f t="shared" si="33"/>
        <v>theforardcabins</v>
      </c>
      <c r="L2117" s="15" t="s">
        <v>11703</v>
      </c>
      <c r="M2117" s="15">
        <v>2</v>
      </c>
      <c r="N2117" s="15" t="s">
        <v>11223</v>
      </c>
      <c r="O2117" s="15"/>
      <c r="P2117" s="15"/>
      <c r="Q2117" s="15"/>
      <c r="R2117" s="15"/>
      <c r="S2117" s="15"/>
      <c r="T2117" s="15">
        <v>0</v>
      </c>
      <c r="U2117" s="15"/>
      <c r="V2117" s="15"/>
      <c r="W2117" s="15"/>
      <c r="X2117" s="15"/>
      <c r="Y2117" s="15"/>
      <c r="Z2117" s="15"/>
    </row>
    <row r="2118" spans="1:26" x14ac:dyDescent="0.25">
      <c r="A2118" s="15" t="s">
        <v>15546</v>
      </c>
      <c r="B2118" s="15">
        <v>2117</v>
      </c>
      <c r="C2118" s="15" t="s">
        <v>11277</v>
      </c>
      <c r="D2118" s="15" t="s">
        <v>11277</v>
      </c>
      <c r="E2118" s="15" t="s">
        <v>215</v>
      </c>
      <c r="F2118" s="15" t="s">
        <v>6794</v>
      </c>
      <c r="G2118" s="15" t="s">
        <v>11708</v>
      </c>
      <c r="H2118" s="15">
        <v>10</v>
      </c>
      <c r="I2118" s="15">
        <v>19</v>
      </c>
      <c r="J2118" s="15">
        <v>92</v>
      </c>
      <c r="K2118" s="15" t="str">
        <f t="shared" si="33"/>
        <v>theforardcabins</v>
      </c>
      <c r="L2118" s="15" t="s">
        <v>11709</v>
      </c>
      <c r="M2118" s="15">
        <v>2</v>
      </c>
      <c r="N2118" s="15" t="s">
        <v>11223</v>
      </c>
      <c r="O2118" s="15"/>
      <c r="P2118" s="15"/>
      <c r="Q2118" s="15"/>
      <c r="R2118" s="15"/>
      <c r="S2118" s="15"/>
      <c r="T2118" s="15">
        <v>0</v>
      </c>
      <c r="U2118" s="15"/>
      <c r="V2118" s="15"/>
      <c r="W2118" s="15"/>
      <c r="X2118" s="15"/>
      <c r="Y2118" s="15"/>
      <c r="Z2118" s="15"/>
    </row>
    <row r="2119" spans="1:26" x14ac:dyDescent="0.25">
      <c r="A2119" s="15" t="s">
        <v>15547</v>
      </c>
      <c r="B2119" s="15">
        <v>2118</v>
      </c>
      <c r="C2119" s="15" t="s">
        <v>11277</v>
      </c>
      <c r="D2119" s="15" t="s">
        <v>11277</v>
      </c>
      <c r="E2119" s="15" t="s">
        <v>215</v>
      </c>
      <c r="F2119" s="15" t="s">
        <v>6794</v>
      </c>
      <c r="G2119" s="15" t="s">
        <v>11710</v>
      </c>
      <c r="H2119" s="15">
        <v>10</v>
      </c>
      <c r="I2119" s="15">
        <v>19</v>
      </c>
      <c r="J2119" s="15">
        <v>92</v>
      </c>
      <c r="K2119" s="15" t="str">
        <f t="shared" si="33"/>
        <v>theforardcabins</v>
      </c>
      <c r="L2119" s="15" t="s">
        <v>11560</v>
      </c>
      <c r="M2119" s="15">
        <v>2</v>
      </c>
      <c r="N2119" s="15" t="s">
        <v>11223</v>
      </c>
      <c r="O2119" s="15"/>
      <c r="P2119" s="15"/>
      <c r="Q2119" s="15"/>
      <c r="R2119" s="15"/>
      <c r="S2119" s="15"/>
      <c r="T2119" s="15">
        <v>0</v>
      </c>
      <c r="U2119" s="15"/>
      <c r="V2119" s="15"/>
      <c r="W2119" s="15"/>
      <c r="X2119" s="15"/>
      <c r="Y2119" s="15"/>
      <c r="Z2119" s="15"/>
    </row>
    <row r="2120" spans="1:26" x14ac:dyDescent="0.25">
      <c r="A2120" s="15" t="s">
        <v>15548</v>
      </c>
      <c r="B2120" s="15">
        <v>2119</v>
      </c>
      <c r="C2120" s="15" t="s">
        <v>11277</v>
      </c>
      <c r="D2120" s="15" t="s">
        <v>11277</v>
      </c>
      <c r="E2120" s="15" t="s">
        <v>215</v>
      </c>
      <c r="F2120" s="15" t="s">
        <v>6794</v>
      </c>
      <c r="G2120" s="15" t="s">
        <v>11711</v>
      </c>
      <c r="H2120" s="15">
        <v>10</v>
      </c>
      <c r="I2120" s="15">
        <v>19</v>
      </c>
      <c r="J2120" s="15">
        <v>100</v>
      </c>
      <c r="K2120" s="15" t="str">
        <f t="shared" si="33"/>
        <v>theforardcabins</v>
      </c>
      <c r="L2120" s="15" t="s">
        <v>11709</v>
      </c>
      <c r="M2120" s="15">
        <v>3</v>
      </c>
      <c r="N2120" s="15" t="s">
        <v>11223</v>
      </c>
      <c r="O2120" s="15" t="s">
        <v>11385</v>
      </c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 spans="1:26" x14ac:dyDescent="0.25">
      <c r="A2121" s="15" t="s">
        <v>15549</v>
      </c>
      <c r="B2121" s="15">
        <v>2120</v>
      </c>
      <c r="C2121" s="15" t="s">
        <v>11277</v>
      </c>
      <c r="D2121" s="15" t="s">
        <v>11277</v>
      </c>
      <c r="E2121" s="15" t="s">
        <v>215</v>
      </c>
      <c r="F2121" s="15" t="s">
        <v>6791</v>
      </c>
      <c r="G2121" s="15" t="s">
        <v>11702</v>
      </c>
      <c r="H2121" s="15">
        <v>16</v>
      </c>
      <c r="I2121" s="15">
        <v>14</v>
      </c>
      <c r="J2121" s="15">
        <v>91</v>
      </c>
      <c r="K2121" s="15" t="str">
        <f t="shared" si="33"/>
        <v>hightideharbor</v>
      </c>
      <c r="L2121" s="15" t="s">
        <v>11703</v>
      </c>
      <c r="M2121" s="15">
        <v>1</v>
      </c>
      <c r="N2121" s="15" t="s">
        <v>11222</v>
      </c>
      <c r="O2121" s="15"/>
      <c r="P2121" s="15"/>
      <c r="Q2121" s="15"/>
      <c r="R2121" s="15"/>
      <c r="S2121" s="15"/>
      <c r="T2121" s="15">
        <v>0</v>
      </c>
      <c r="U2121" s="15"/>
      <c r="V2121" s="15"/>
      <c r="W2121" s="15"/>
      <c r="X2121" s="15"/>
      <c r="Y2121" s="15"/>
      <c r="Z2121" s="15"/>
    </row>
    <row r="2122" spans="1:26" x14ac:dyDescent="0.25">
      <c r="A2122" s="15" t="s">
        <v>15550</v>
      </c>
      <c r="B2122" s="15">
        <v>2121</v>
      </c>
      <c r="C2122" s="15" t="s">
        <v>11277</v>
      </c>
      <c r="D2122" s="15" t="s">
        <v>11277</v>
      </c>
      <c r="E2122" s="15" t="s">
        <v>215</v>
      </c>
      <c r="F2122" s="15" t="s">
        <v>6791</v>
      </c>
      <c r="G2122" s="15" t="s">
        <v>11712</v>
      </c>
      <c r="H2122" s="15">
        <v>16</v>
      </c>
      <c r="I2122" s="15">
        <v>14</v>
      </c>
      <c r="J2122" s="15">
        <v>91</v>
      </c>
      <c r="K2122" s="15" t="str">
        <f t="shared" si="33"/>
        <v>hightideharbor</v>
      </c>
      <c r="L2122" s="15" t="s">
        <v>11703</v>
      </c>
      <c r="M2122" s="15">
        <v>2</v>
      </c>
      <c r="N2122" s="15" t="s">
        <v>11223</v>
      </c>
      <c r="O2122" s="15"/>
      <c r="P2122" s="15"/>
      <c r="Q2122" s="15"/>
      <c r="R2122" s="15"/>
      <c r="S2122" s="15"/>
      <c r="T2122" s="15">
        <v>0</v>
      </c>
      <c r="U2122" s="15"/>
      <c r="V2122" s="15"/>
      <c r="W2122" s="15"/>
      <c r="X2122" s="15"/>
      <c r="Y2122" s="15"/>
      <c r="Z2122" s="15"/>
    </row>
    <row r="2123" spans="1:26" x14ac:dyDescent="0.25">
      <c r="A2123" s="15" t="s">
        <v>15551</v>
      </c>
      <c r="B2123" s="15">
        <v>2122</v>
      </c>
      <c r="C2123" s="15" t="s">
        <v>11277</v>
      </c>
      <c r="D2123" s="15" t="s">
        <v>11277</v>
      </c>
      <c r="E2123" s="15" t="s">
        <v>215</v>
      </c>
      <c r="F2123" s="15" t="s">
        <v>6791</v>
      </c>
      <c r="G2123" s="15" t="s">
        <v>11713</v>
      </c>
      <c r="H2123" s="15">
        <v>16</v>
      </c>
      <c r="I2123" s="15">
        <v>14</v>
      </c>
      <c r="J2123" s="15">
        <v>91</v>
      </c>
      <c r="K2123" s="15" t="str">
        <f t="shared" si="33"/>
        <v>hightideharbor</v>
      </c>
      <c r="L2123" s="15" t="s">
        <v>11703</v>
      </c>
      <c r="M2123" s="15">
        <v>2</v>
      </c>
      <c r="N2123" s="15" t="s">
        <v>11223</v>
      </c>
      <c r="O2123" s="15"/>
      <c r="P2123" s="15"/>
      <c r="Q2123" s="15"/>
      <c r="R2123" s="15"/>
      <c r="S2123" s="15"/>
      <c r="T2123" s="15">
        <v>0</v>
      </c>
      <c r="U2123" s="15"/>
      <c r="V2123" s="15"/>
      <c r="W2123" s="15"/>
      <c r="X2123" s="15"/>
      <c r="Y2123" s="15"/>
      <c r="Z2123" s="15"/>
    </row>
    <row r="2124" spans="1:26" x14ac:dyDescent="0.25">
      <c r="A2124" s="15" t="s">
        <v>15552</v>
      </c>
      <c r="B2124" s="15">
        <v>2123</v>
      </c>
      <c r="C2124" s="15" t="s">
        <v>11277</v>
      </c>
      <c r="D2124" s="15" t="s">
        <v>11277</v>
      </c>
      <c r="E2124" s="15" t="s">
        <v>215</v>
      </c>
      <c r="F2124" s="15" t="s">
        <v>6791</v>
      </c>
      <c r="G2124" s="15" t="s">
        <v>11714</v>
      </c>
      <c r="H2124" s="15">
        <v>16</v>
      </c>
      <c r="I2124" s="15">
        <v>14</v>
      </c>
      <c r="J2124" s="15">
        <v>92</v>
      </c>
      <c r="K2124" s="15" t="str">
        <f t="shared" si="33"/>
        <v>hightideharbor</v>
      </c>
      <c r="L2124" s="15" t="s">
        <v>11703</v>
      </c>
      <c r="M2124" s="15">
        <v>2</v>
      </c>
      <c r="N2124" s="15" t="s">
        <v>11223</v>
      </c>
      <c r="O2124" s="15"/>
      <c r="P2124" s="15"/>
      <c r="Q2124" s="15"/>
      <c r="R2124" s="15"/>
      <c r="S2124" s="15"/>
      <c r="T2124" s="15">
        <v>0</v>
      </c>
      <c r="U2124" s="15"/>
      <c r="V2124" s="15"/>
      <c r="W2124" s="15"/>
      <c r="X2124" s="15"/>
      <c r="Y2124" s="15"/>
      <c r="Z2124" s="15"/>
    </row>
    <row r="2125" spans="1:26" x14ac:dyDescent="0.25">
      <c r="A2125" s="15" t="s">
        <v>15553</v>
      </c>
      <c r="B2125" s="15">
        <v>2124</v>
      </c>
      <c r="C2125" s="15" t="s">
        <v>11277</v>
      </c>
      <c r="D2125" s="15" t="s">
        <v>11277</v>
      </c>
      <c r="E2125" s="15" t="s">
        <v>215</v>
      </c>
      <c r="F2125" s="15" t="s">
        <v>6791</v>
      </c>
      <c r="G2125" s="15" t="s">
        <v>11715</v>
      </c>
      <c r="H2125" s="15">
        <v>16</v>
      </c>
      <c r="I2125" s="15">
        <v>14</v>
      </c>
      <c r="J2125" s="15">
        <v>92</v>
      </c>
      <c r="K2125" s="15" t="str">
        <f t="shared" si="33"/>
        <v>hightideharbor</v>
      </c>
      <c r="L2125" s="15" t="s">
        <v>11560</v>
      </c>
      <c r="M2125" s="15">
        <v>1</v>
      </c>
      <c r="N2125" s="15" t="s">
        <v>11222</v>
      </c>
      <c r="O2125" s="15"/>
      <c r="P2125" s="15"/>
      <c r="Q2125" s="15"/>
      <c r="R2125" s="15"/>
      <c r="S2125" s="15"/>
      <c r="T2125" s="15">
        <v>0</v>
      </c>
      <c r="U2125" s="15"/>
      <c r="V2125" s="15"/>
      <c r="W2125" s="15"/>
      <c r="X2125" s="15"/>
      <c r="Y2125" s="15"/>
      <c r="Z2125" s="15"/>
    </row>
    <row r="2126" spans="1:26" x14ac:dyDescent="0.25">
      <c r="A2126" s="15" t="s">
        <v>15554</v>
      </c>
      <c r="B2126" s="15">
        <v>2125</v>
      </c>
      <c r="C2126" s="15" t="s">
        <v>11277</v>
      </c>
      <c r="D2126" s="15" t="s">
        <v>11277</v>
      </c>
      <c r="E2126" s="15" t="s">
        <v>215</v>
      </c>
      <c r="F2126" s="15" t="s">
        <v>6791</v>
      </c>
      <c r="G2126" s="15" t="s">
        <v>11716</v>
      </c>
      <c r="H2126" s="15">
        <v>16</v>
      </c>
      <c r="I2126" s="15">
        <v>14</v>
      </c>
      <c r="J2126" s="15">
        <v>100</v>
      </c>
      <c r="K2126" s="15" t="str">
        <f t="shared" si="33"/>
        <v>hightideharbor</v>
      </c>
      <c r="L2126" s="15" t="s">
        <v>11709</v>
      </c>
      <c r="M2126" s="15">
        <v>3</v>
      </c>
      <c r="N2126" s="15" t="s">
        <v>11223</v>
      </c>
      <c r="O2126" s="15" t="s">
        <v>14033</v>
      </c>
      <c r="P2126" s="15"/>
      <c r="Q2126" s="15"/>
      <c r="R2126" s="15"/>
      <c r="S2126" s="15"/>
      <c r="T2126" s="15">
        <v>3</v>
      </c>
      <c r="U2126" s="15" t="s">
        <v>5908</v>
      </c>
      <c r="V2126" s="15"/>
      <c r="W2126" s="15"/>
      <c r="X2126" s="15" t="s">
        <v>5900</v>
      </c>
      <c r="Y2126" s="15"/>
      <c r="Z2126" s="15"/>
    </row>
    <row r="2127" spans="1:26" x14ac:dyDescent="0.25">
      <c r="A2127" s="15" t="s">
        <v>15555</v>
      </c>
      <c r="B2127" s="15">
        <v>2126</v>
      </c>
      <c r="C2127" s="15" t="s">
        <v>11277</v>
      </c>
      <c r="D2127" s="15" t="s">
        <v>11277</v>
      </c>
      <c r="E2127" s="15" t="s">
        <v>215</v>
      </c>
      <c r="F2127" s="15" t="s">
        <v>2568</v>
      </c>
      <c r="G2127" s="15" t="s">
        <v>11717</v>
      </c>
      <c r="H2127" s="15">
        <v>20</v>
      </c>
      <c r="I2127" s="15">
        <v>27</v>
      </c>
      <c r="J2127" s="15">
        <v>91</v>
      </c>
      <c r="K2127" s="15" t="str">
        <f t="shared" si="33"/>
        <v>sunkenstars</v>
      </c>
      <c r="L2127" s="15" t="s">
        <v>11718</v>
      </c>
      <c r="M2127" s="15">
        <v>1</v>
      </c>
      <c r="N2127" s="15" t="s">
        <v>11222</v>
      </c>
      <c r="O2127" s="15"/>
      <c r="P2127" s="15"/>
      <c r="Q2127" s="15"/>
      <c r="R2127" s="15"/>
      <c r="S2127" s="15"/>
      <c r="T2127" s="15">
        <v>0</v>
      </c>
      <c r="U2127" s="15"/>
      <c r="V2127" s="15"/>
      <c r="W2127" s="15"/>
      <c r="X2127" s="15"/>
      <c r="Y2127" s="15"/>
      <c r="Z2127" s="15"/>
    </row>
    <row r="2128" spans="1:26" x14ac:dyDescent="0.25">
      <c r="A2128" s="15" t="s">
        <v>15556</v>
      </c>
      <c r="B2128" s="15">
        <v>2127</v>
      </c>
      <c r="C2128" s="15" t="s">
        <v>11277</v>
      </c>
      <c r="D2128" s="15" t="s">
        <v>11277</v>
      </c>
      <c r="E2128" s="15" t="s">
        <v>215</v>
      </c>
      <c r="F2128" s="15" t="s">
        <v>2568</v>
      </c>
      <c r="G2128" s="15" t="s">
        <v>11719</v>
      </c>
      <c r="H2128" s="15">
        <v>20</v>
      </c>
      <c r="I2128" s="15">
        <v>27</v>
      </c>
      <c r="J2128" s="15">
        <v>91</v>
      </c>
      <c r="K2128" s="15" t="str">
        <f t="shared" si="33"/>
        <v>sunkenstars</v>
      </c>
      <c r="L2128" s="15" t="s">
        <v>11718</v>
      </c>
      <c r="M2128" s="15">
        <v>1</v>
      </c>
      <c r="N2128" s="15" t="s">
        <v>11222</v>
      </c>
      <c r="O2128" s="15"/>
      <c r="P2128" s="15"/>
      <c r="Q2128" s="15"/>
      <c r="R2128" s="15"/>
      <c r="S2128" s="15"/>
      <c r="T2128" s="15">
        <v>0</v>
      </c>
      <c r="U2128" s="15"/>
      <c r="V2128" s="15"/>
      <c r="W2128" s="15"/>
      <c r="X2128" s="15"/>
      <c r="Y2128" s="15"/>
      <c r="Z2128" s="15"/>
    </row>
    <row r="2129" spans="1:26" x14ac:dyDescent="0.25">
      <c r="A2129" s="15" t="s">
        <v>15557</v>
      </c>
      <c r="B2129" s="15">
        <v>2128</v>
      </c>
      <c r="C2129" s="15" t="s">
        <v>11277</v>
      </c>
      <c r="D2129" s="15" t="s">
        <v>11277</v>
      </c>
      <c r="E2129" s="15" t="s">
        <v>215</v>
      </c>
      <c r="F2129" s="15" t="s">
        <v>2568</v>
      </c>
      <c r="G2129" s="15" t="s">
        <v>11720</v>
      </c>
      <c r="H2129" s="15">
        <v>20</v>
      </c>
      <c r="I2129" s="15">
        <v>27</v>
      </c>
      <c r="J2129" s="15">
        <v>92</v>
      </c>
      <c r="K2129" s="15" t="str">
        <f t="shared" si="33"/>
        <v>sunkenstars</v>
      </c>
      <c r="L2129" s="15" t="s">
        <v>11718</v>
      </c>
      <c r="M2129" s="15">
        <v>1</v>
      </c>
      <c r="N2129" s="15" t="s">
        <v>11222</v>
      </c>
      <c r="O2129" s="15"/>
      <c r="P2129" s="15"/>
      <c r="Q2129" s="15"/>
      <c r="R2129" s="15"/>
      <c r="S2129" s="15"/>
      <c r="T2129" s="15">
        <v>0</v>
      </c>
      <c r="U2129" s="15"/>
      <c r="V2129" s="15"/>
      <c r="W2129" s="15"/>
      <c r="X2129" s="15"/>
      <c r="Y2129" s="15"/>
      <c r="Z2129" s="15"/>
    </row>
    <row r="2130" spans="1:26" x14ac:dyDescent="0.25">
      <c r="A2130" s="15" t="s">
        <v>15558</v>
      </c>
      <c r="B2130" s="15">
        <v>2129</v>
      </c>
      <c r="C2130" s="15" t="s">
        <v>11277</v>
      </c>
      <c r="D2130" s="15" t="s">
        <v>11277</v>
      </c>
      <c r="E2130" s="15" t="s">
        <v>215</v>
      </c>
      <c r="F2130" s="15" t="s">
        <v>2568</v>
      </c>
      <c r="G2130" s="15" t="s">
        <v>11721</v>
      </c>
      <c r="H2130" s="15">
        <v>20</v>
      </c>
      <c r="I2130" s="15">
        <v>27</v>
      </c>
      <c r="J2130" s="15">
        <v>92</v>
      </c>
      <c r="K2130" s="15" t="str">
        <f t="shared" si="33"/>
        <v>sunkenstars</v>
      </c>
      <c r="L2130" s="15" t="s">
        <v>11718</v>
      </c>
      <c r="M2130" s="15">
        <v>2</v>
      </c>
      <c r="N2130" s="15" t="s">
        <v>11223</v>
      </c>
      <c r="O2130" s="15"/>
      <c r="P2130" s="15"/>
      <c r="Q2130" s="15"/>
      <c r="R2130" s="15"/>
      <c r="S2130" s="15"/>
      <c r="T2130" s="15">
        <v>0</v>
      </c>
      <c r="U2130" s="15"/>
      <c r="V2130" s="15"/>
      <c r="W2130" s="15"/>
      <c r="X2130" s="15"/>
      <c r="Y2130" s="15"/>
      <c r="Z2130" s="15"/>
    </row>
    <row r="2131" spans="1:26" x14ac:dyDescent="0.25">
      <c r="A2131" s="15" t="s">
        <v>15559</v>
      </c>
      <c r="B2131" s="15">
        <v>2130</v>
      </c>
      <c r="C2131" s="15" t="s">
        <v>11277</v>
      </c>
      <c r="D2131" s="15" t="s">
        <v>11277</v>
      </c>
      <c r="E2131" s="15" t="s">
        <v>215</v>
      </c>
      <c r="F2131" s="15" t="s">
        <v>2568</v>
      </c>
      <c r="G2131" s="15" t="s">
        <v>11722</v>
      </c>
      <c r="H2131" s="15">
        <v>20</v>
      </c>
      <c r="I2131" s="15">
        <v>27</v>
      </c>
      <c r="J2131" s="15">
        <v>92</v>
      </c>
      <c r="K2131" s="15" t="str">
        <f t="shared" si="33"/>
        <v>sunkenstars</v>
      </c>
      <c r="L2131" s="15" t="s">
        <v>11718</v>
      </c>
      <c r="M2131" s="15">
        <v>2</v>
      </c>
      <c r="N2131" s="15" t="s">
        <v>11223</v>
      </c>
      <c r="O2131" s="15"/>
      <c r="P2131" s="15"/>
      <c r="Q2131" s="15"/>
      <c r="R2131" s="15"/>
      <c r="S2131" s="15"/>
      <c r="T2131" s="15">
        <v>0</v>
      </c>
      <c r="U2131" s="15"/>
      <c r="V2131" s="15"/>
      <c r="W2131" s="15"/>
      <c r="X2131" s="15"/>
      <c r="Y2131" s="15"/>
      <c r="Z2131" s="15"/>
    </row>
    <row r="2132" spans="1:26" x14ac:dyDescent="0.25">
      <c r="A2132" s="15" t="s">
        <v>15560</v>
      </c>
      <c r="B2132" s="15">
        <v>2131</v>
      </c>
      <c r="C2132" s="15" t="s">
        <v>11277</v>
      </c>
      <c r="D2132" s="15" t="s">
        <v>11277</v>
      </c>
      <c r="E2132" s="15" t="s">
        <v>215</v>
      </c>
      <c r="F2132" s="15" t="s">
        <v>2568</v>
      </c>
      <c r="G2132" s="15" t="s">
        <v>11723</v>
      </c>
      <c r="H2132" s="15">
        <v>20</v>
      </c>
      <c r="I2132" s="15">
        <v>27</v>
      </c>
      <c r="J2132" s="15">
        <v>100</v>
      </c>
      <c r="K2132" s="15" t="str">
        <f t="shared" si="33"/>
        <v>sunkenstars</v>
      </c>
      <c r="L2132" s="15" t="s">
        <v>11724</v>
      </c>
      <c r="M2132" s="15">
        <v>3</v>
      </c>
      <c r="N2132" s="15" t="s">
        <v>11222</v>
      </c>
      <c r="O2132" s="15" t="s">
        <v>14020</v>
      </c>
      <c r="P2132" s="15"/>
      <c r="Q2132" s="15"/>
      <c r="R2132" s="15"/>
      <c r="S2132" s="15"/>
      <c r="T2132" s="15">
        <v>1</v>
      </c>
      <c r="U2132" s="15"/>
      <c r="V2132" s="15"/>
      <c r="W2132" s="15"/>
      <c r="X2132" s="15"/>
      <c r="Y2132" s="15"/>
      <c r="Z2132" s="15"/>
    </row>
    <row r="2133" spans="1:26" x14ac:dyDescent="0.25">
      <c r="A2133" s="15" t="s">
        <v>15561</v>
      </c>
      <c r="B2133" s="15">
        <v>2132</v>
      </c>
      <c r="C2133" s="15" t="s">
        <v>11277</v>
      </c>
      <c r="D2133" s="15" t="s">
        <v>11277</v>
      </c>
      <c r="E2133" s="15" t="s">
        <v>215</v>
      </c>
      <c r="F2133" s="15" t="s">
        <v>2574</v>
      </c>
      <c r="G2133" s="15" t="s">
        <v>11725</v>
      </c>
      <c r="H2133" s="15">
        <v>20</v>
      </c>
      <c r="I2133" s="15">
        <v>36</v>
      </c>
      <c r="J2133" s="15">
        <v>91</v>
      </c>
      <c r="K2133" s="15" t="str">
        <f t="shared" si="33"/>
        <v>chirwagurlake</v>
      </c>
      <c r="L2133" s="15" t="s">
        <v>11718</v>
      </c>
      <c r="M2133" s="15">
        <v>1</v>
      </c>
      <c r="N2133" s="15" t="s">
        <v>11222</v>
      </c>
      <c r="O2133" s="15"/>
      <c r="P2133" s="15"/>
      <c r="Q2133" s="15"/>
      <c r="R2133" s="15"/>
      <c r="S2133" s="15"/>
      <c r="T2133" s="15">
        <v>0</v>
      </c>
      <c r="U2133" s="15"/>
      <c r="V2133" s="15"/>
      <c r="W2133" s="15"/>
      <c r="X2133" s="15"/>
      <c r="Y2133" s="15"/>
      <c r="Z2133" s="15"/>
    </row>
    <row r="2134" spans="1:26" x14ac:dyDescent="0.25">
      <c r="A2134" s="15" t="s">
        <v>15562</v>
      </c>
      <c r="B2134" s="15">
        <v>2133</v>
      </c>
      <c r="C2134" s="15" t="s">
        <v>11277</v>
      </c>
      <c r="D2134" s="15" t="s">
        <v>11277</v>
      </c>
      <c r="E2134" s="15" t="s">
        <v>215</v>
      </c>
      <c r="F2134" s="15" t="s">
        <v>2574</v>
      </c>
      <c r="G2134" s="15" t="s">
        <v>11726</v>
      </c>
      <c r="H2134" s="15">
        <v>20</v>
      </c>
      <c r="I2134" s="15">
        <v>36</v>
      </c>
      <c r="J2134" s="15">
        <v>93</v>
      </c>
      <c r="K2134" s="15" t="str">
        <f t="shared" si="33"/>
        <v>chirwagurlake</v>
      </c>
      <c r="L2134" s="15" t="s">
        <v>11718</v>
      </c>
      <c r="M2134" s="15">
        <v>2</v>
      </c>
      <c r="N2134" s="15" t="s">
        <v>11223</v>
      </c>
      <c r="O2134" s="15"/>
      <c r="P2134" s="15"/>
      <c r="Q2134" s="15"/>
      <c r="R2134" s="15"/>
      <c r="S2134" s="15"/>
      <c r="T2134" s="15">
        <v>0</v>
      </c>
      <c r="U2134" s="15"/>
      <c r="V2134" s="15"/>
      <c r="W2134" s="15"/>
      <c r="X2134" s="15"/>
      <c r="Y2134" s="15"/>
      <c r="Z2134" s="15"/>
    </row>
    <row r="2135" spans="1:26" x14ac:dyDescent="0.25">
      <c r="A2135" s="15" t="s">
        <v>15563</v>
      </c>
      <c r="B2135" s="15">
        <v>2134</v>
      </c>
      <c r="C2135" s="15" t="s">
        <v>11277</v>
      </c>
      <c r="D2135" s="15" t="s">
        <v>11277</v>
      </c>
      <c r="E2135" s="15" t="s">
        <v>215</v>
      </c>
      <c r="F2135" s="15" t="s">
        <v>2574</v>
      </c>
      <c r="G2135" s="15" t="s">
        <v>11727</v>
      </c>
      <c r="H2135" s="15">
        <v>20</v>
      </c>
      <c r="I2135" s="15">
        <v>36</v>
      </c>
      <c r="J2135" s="15">
        <v>91</v>
      </c>
      <c r="K2135" s="15" t="str">
        <f t="shared" si="33"/>
        <v>chirwagurlake</v>
      </c>
      <c r="L2135" s="15" t="s">
        <v>11718</v>
      </c>
      <c r="M2135" s="15">
        <v>2</v>
      </c>
      <c r="N2135" s="15" t="s">
        <v>11223</v>
      </c>
      <c r="O2135" s="15"/>
      <c r="P2135" s="15"/>
      <c r="Q2135" s="15"/>
      <c r="R2135" s="15"/>
      <c r="S2135" s="15"/>
      <c r="T2135" s="15">
        <v>0</v>
      </c>
      <c r="U2135" s="15"/>
      <c r="V2135" s="15"/>
      <c r="W2135" s="15"/>
      <c r="X2135" s="15"/>
      <c r="Y2135" s="15"/>
      <c r="Z2135" s="15"/>
    </row>
    <row r="2136" spans="1:26" x14ac:dyDescent="0.25">
      <c r="A2136" s="15" t="s">
        <v>15564</v>
      </c>
      <c r="B2136" s="15">
        <v>2135</v>
      </c>
      <c r="C2136" s="15" t="s">
        <v>11277</v>
      </c>
      <c r="D2136" s="15" t="s">
        <v>11277</v>
      </c>
      <c r="E2136" s="15" t="s">
        <v>215</v>
      </c>
      <c r="F2136" s="15" t="s">
        <v>2574</v>
      </c>
      <c r="G2136" s="15" t="s">
        <v>11728</v>
      </c>
      <c r="H2136" s="15">
        <v>20</v>
      </c>
      <c r="I2136" s="15">
        <v>36</v>
      </c>
      <c r="J2136" s="15">
        <v>92</v>
      </c>
      <c r="K2136" s="15" t="str">
        <f t="shared" si="33"/>
        <v>chirwagurlake</v>
      </c>
      <c r="L2136" s="15" t="s">
        <v>11718</v>
      </c>
      <c r="M2136" s="15">
        <v>2</v>
      </c>
      <c r="N2136" s="15" t="s">
        <v>11223</v>
      </c>
      <c r="O2136" s="15"/>
      <c r="P2136" s="15"/>
      <c r="Q2136" s="15"/>
      <c r="R2136" s="15"/>
      <c r="S2136" s="15"/>
      <c r="T2136" s="15">
        <v>0</v>
      </c>
      <c r="U2136" s="15"/>
      <c r="V2136" s="15"/>
      <c r="W2136" s="15"/>
      <c r="X2136" s="15"/>
      <c r="Y2136" s="15"/>
      <c r="Z2136" s="15"/>
    </row>
    <row r="2137" spans="1:26" x14ac:dyDescent="0.25">
      <c r="A2137" s="15" t="s">
        <v>15565</v>
      </c>
      <c r="B2137" s="15">
        <v>2136</v>
      </c>
      <c r="C2137" s="15" t="s">
        <v>11277</v>
      </c>
      <c r="D2137" s="15" t="s">
        <v>11277</v>
      </c>
      <c r="E2137" s="15" t="s">
        <v>215</v>
      </c>
      <c r="F2137" s="15" t="s">
        <v>2574</v>
      </c>
      <c r="G2137" s="15" t="s">
        <v>11729</v>
      </c>
      <c r="H2137" s="15">
        <v>20</v>
      </c>
      <c r="I2137" s="15">
        <v>36</v>
      </c>
      <c r="J2137" s="15">
        <v>100</v>
      </c>
      <c r="K2137" s="15" t="str">
        <f t="shared" si="33"/>
        <v>chirwagurlake</v>
      </c>
      <c r="L2137" s="15" t="s">
        <v>11724</v>
      </c>
      <c r="M2137" s="15">
        <v>3</v>
      </c>
      <c r="N2137" s="15" t="s">
        <v>11223</v>
      </c>
      <c r="O2137" s="15" t="s">
        <v>2804</v>
      </c>
      <c r="P2137" s="15"/>
      <c r="Q2137" s="15"/>
      <c r="R2137" s="15"/>
      <c r="S2137" s="15"/>
      <c r="T2137" s="15">
        <v>4</v>
      </c>
      <c r="U2137" s="15"/>
      <c r="V2137" s="15"/>
      <c r="W2137" s="15"/>
      <c r="X2137" s="15"/>
      <c r="Y2137" s="15"/>
      <c r="Z2137" s="15"/>
    </row>
    <row r="2138" spans="1:26" x14ac:dyDescent="0.25">
      <c r="A2138" s="15" t="s">
        <v>15566</v>
      </c>
      <c r="B2138" s="15">
        <v>2137</v>
      </c>
      <c r="C2138" s="15" t="s">
        <v>11277</v>
      </c>
      <c r="D2138" s="15" t="s">
        <v>11277</v>
      </c>
      <c r="E2138" s="15" t="s">
        <v>215</v>
      </c>
      <c r="F2138" s="15" t="s">
        <v>2583</v>
      </c>
      <c r="G2138" s="15" t="s">
        <v>11730</v>
      </c>
      <c r="H2138" s="15">
        <v>6</v>
      </c>
      <c r="I2138" s="15">
        <v>20</v>
      </c>
      <c r="J2138" s="15">
        <v>93</v>
      </c>
      <c r="K2138" s="15" t="str">
        <f t="shared" si="33"/>
        <v>karvarhurthefirst</v>
      </c>
      <c r="L2138" s="15" t="s">
        <v>11696</v>
      </c>
      <c r="M2138" s="15">
        <v>1</v>
      </c>
      <c r="N2138" s="15" t="s">
        <v>11222</v>
      </c>
      <c r="O2138" s="15"/>
      <c r="P2138" s="15"/>
      <c r="Q2138" s="15"/>
      <c r="R2138" s="15"/>
      <c r="S2138" s="15"/>
      <c r="T2138" s="15">
        <v>0</v>
      </c>
      <c r="U2138" s="15"/>
      <c r="V2138" s="15"/>
      <c r="W2138" s="15"/>
      <c r="X2138" s="15"/>
      <c r="Y2138" s="15"/>
      <c r="Z2138" s="15"/>
    </row>
    <row r="2139" spans="1:26" x14ac:dyDescent="0.25">
      <c r="A2139" s="15" t="s">
        <v>15567</v>
      </c>
      <c r="B2139" s="15">
        <v>2138</v>
      </c>
      <c r="C2139" s="15" t="s">
        <v>11277</v>
      </c>
      <c r="D2139" s="15" t="s">
        <v>11277</v>
      </c>
      <c r="E2139" s="15" t="s">
        <v>215</v>
      </c>
      <c r="F2139" s="15" t="s">
        <v>2583</v>
      </c>
      <c r="G2139" s="15" t="s">
        <v>11731</v>
      </c>
      <c r="H2139" s="15">
        <v>6</v>
      </c>
      <c r="I2139" s="15">
        <v>20</v>
      </c>
      <c r="J2139" s="15">
        <v>100</v>
      </c>
      <c r="K2139" s="15" t="str">
        <f t="shared" si="33"/>
        <v>karvarhurthefirst</v>
      </c>
      <c r="L2139" s="15" t="s">
        <v>11701</v>
      </c>
      <c r="M2139" s="15">
        <v>1</v>
      </c>
      <c r="N2139" s="15" t="s">
        <v>11222</v>
      </c>
      <c r="O2139" s="15" t="s">
        <v>2825</v>
      </c>
      <c r="P2139" s="15"/>
      <c r="Q2139" s="15"/>
      <c r="R2139" s="15"/>
      <c r="S2139" s="15"/>
      <c r="T2139" s="15">
        <v>1</v>
      </c>
      <c r="U2139" s="15"/>
      <c r="V2139" s="15"/>
      <c r="W2139" s="15"/>
      <c r="X2139" s="15"/>
      <c r="Y2139" s="15"/>
      <c r="Z2139" s="15"/>
    </row>
    <row r="2140" spans="1:26" x14ac:dyDescent="0.25">
      <c r="A2140" s="15" t="s">
        <v>15568</v>
      </c>
      <c r="B2140" s="15">
        <v>2139</v>
      </c>
      <c r="C2140" s="15" t="s">
        <v>11277</v>
      </c>
      <c r="D2140" s="15" t="s">
        <v>11277</v>
      </c>
      <c r="E2140" s="15" t="s">
        <v>215</v>
      </c>
      <c r="F2140" s="15" t="s">
        <v>2583</v>
      </c>
      <c r="G2140" s="15" t="s">
        <v>11732</v>
      </c>
      <c r="H2140" s="15">
        <v>6</v>
      </c>
      <c r="I2140" s="15">
        <v>20</v>
      </c>
      <c r="J2140" s="15">
        <v>93</v>
      </c>
      <c r="K2140" s="15" t="str">
        <f t="shared" si="33"/>
        <v>karvarhurthefirst</v>
      </c>
      <c r="L2140" s="15" t="s">
        <v>11698</v>
      </c>
      <c r="M2140" s="15">
        <v>1</v>
      </c>
      <c r="N2140" s="15" t="s">
        <v>11222</v>
      </c>
      <c r="O2140" s="15"/>
      <c r="P2140" s="15"/>
      <c r="Q2140" s="15"/>
      <c r="R2140" s="15"/>
      <c r="S2140" s="15"/>
      <c r="T2140" s="15">
        <v>0</v>
      </c>
      <c r="U2140" s="15"/>
      <c r="V2140" s="15"/>
      <c r="W2140" s="15"/>
      <c r="X2140" s="15"/>
      <c r="Y2140" s="15"/>
      <c r="Z2140" s="15"/>
    </row>
    <row r="2141" spans="1:26" x14ac:dyDescent="0.25">
      <c r="A2141" s="15" t="s">
        <v>15569</v>
      </c>
      <c r="B2141" s="15">
        <v>2140</v>
      </c>
      <c r="C2141" s="15" t="s">
        <v>11277</v>
      </c>
      <c r="D2141" s="15" t="s">
        <v>11277</v>
      </c>
      <c r="E2141" s="15" t="s">
        <v>215</v>
      </c>
      <c r="F2141" s="15" t="s">
        <v>2583</v>
      </c>
      <c r="G2141" s="15" t="s">
        <v>11733</v>
      </c>
      <c r="H2141" s="15">
        <v>6</v>
      </c>
      <c r="I2141" s="15">
        <v>20</v>
      </c>
      <c r="J2141" s="15">
        <v>93</v>
      </c>
      <c r="K2141" s="15" t="str">
        <f t="shared" si="33"/>
        <v>karvarhurthefirst</v>
      </c>
      <c r="L2141" s="15" t="s">
        <v>11696</v>
      </c>
      <c r="M2141" s="15">
        <v>2</v>
      </c>
      <c r="N2141" s="15" t="s">
        <v>11223</v>
      </c>
      <c r="O2141" s="15"/>
      <c r="P2141" s="15"/>
      <c r="Q2141" s="15"/>
      <c r="R2141" s="15"/>
      <c r="S2141" s="15"/>
      <c r="T2141" s="15">
        <v>0</v>
      </c>
      <c r="U2141" s="15"/>
      <c r="V2141" s="15"/>
      <c r="W2141" s="15"/>
      <c r="X2141" s="15"/>
      <c r="Y2141" s="15"/>
      <c r="Z2141" s="15"/>
    </row>
    <row r="2142" spans="1:26" x14ac:dyDescent="0.25">
      <c r="A2142" s="15" t="s">
        <v>15570</v>
      </c>
      <c r="B2142" s="15">
        <v>2141</v>
      </c>
      <c r="C2142" s="15" t="s">
        <v>11277</v>
      </c>
      <c r="D2142" s="15" t="s">
        <v>11277</v>
      </c>
      <c r="E2142" s="15" t="s">
        <v>215</v>
      </c>
      <c r="F2142" s="15" t="s">
        <v>2583</v>
      </c>
      <c r="G2142" s="15" t="s">
        <v>11734</v>
      </c>
      <c r="H2142" s="15">
        <v>6</v>
      </c>
      <c r="I2142" s="15">
        <v>20</v>
      </c>
      <c r="J2142" s="15">
        <v>94</v>
      </c>
      <c r="K2142" s="15" t="str">
        <f t="shared" si="33"/>
        <v>karvarhurthefirst</v>
      </c>
      <c r="L2142" s="15" t="s">
        <v>11701</v>
      </c>
      <c r="M2142" s="15">
        <v>2</v>
      </c>
      <c r="N2142" s="15" t="s">
        <v>11223</v>
      </c>
      <c r="O2142" s="15"/>
      <c r="P2142" s="15"/>
      <c r="Q2142" s="15"/>
      <c r="R2142" s="15"/>
      <c r="S2142" s="15"/>
      <c r="T2142" s="15">
        <v>0</v>
      </c>
      <c r="U2142" s="15"/>
      <c r="V2142" s="15"/>
      <c r="W2142" s="15"/>
      <c r="X2142" s="15"/>
      <c r="Y2142" s="15"/>
      <c r="Z2142" s="15"/>
    </row>
    <row r="2143" spans="1:26" x14ac:dyDescent="0.25">
      <c r="A2143" s="15" t="s">
        <v>15571</v>
      </c>
      <c r="B2143" s="15">
        <v>2142</v>
      </c>
      <c r="C2143" s="15" t="s">
        <v>11277</v>
      </c>
      <c r="D2143" s="15" t="s">
        <v>11277</v>
      </c>
      <c r="E2143" s="15" t="s">
        <v>215</v>
      </c>
      <c r="F2143" s="15" t="s">
        <v>2583</v>
      </c>
      <c r="G2143" s="15" t="s">
        <v>11735</v>
      </c>
      <c r="H2143" s="15">
        <v>6</v>
      </c>
      <c r="I2143" s="15">
        <v>20</v>
      </c>
      <c r="J2143" s="15">
        <v>100</v>
      </c>
      <c r="K2143" s="15" t="str">
        <f t="shared" si="33"/>
        <v>karvarhurthefirst</v>
      </c>
      <c r="L2143" s="15" t="s">
        <v>11701</v>
      </c>
      <c r="M2143" s="15">
        <v>3</v>
      </c>
      <c r="N2143" s="15" t="s">
        <v>11223</v>
      </c>
      <c r="O2143" s="15" t="s">
        <v>2819</v>
      </c>
      <c r="P2143" s="15"/>
      <c r="Q2143" s="15"/>
      <c r="R2143" s="15"/>
      <c r="S2143" s="15"/>
      <c r="T2143" s="15">
        <v>0</v>
      </c>
      <c r="U2143" s="15" t="s">
        <v>5892</v>
      </c>
      <c r="V2143" s="15"/>
      <c r="W2143" s="15"/>
      <c r="X2143" s="15" t="s">
        <v>5914</v>
      </c>
      <c r="Y2143" s="15"/>
      <c r="Z2143" s="15"/>
    </row>
    <row r="2144" spans="1:26" x14ac:dyDescent="0.25">
      <c r="A2144" s="15" t="s">
        <v>15572</v>
      </c>
      <c r="B2144" s="15">
        <v>2143</v>
      </c>
      <c r="C2144" s="15" t="s">
        <v>11277</v>
      </c>
      <c r="D2144" s="15" t="s">
        <v>11647</v>
      </c>
      <c r="E2144" s="15" t="s">
        <v>215</v>
      </c>
      <c r="F2144" s="15" t="s">
        <v>2583</v>
      </c>
      <c r="G2144" s="15" t="s">
        <v>11758</v>
      </c>
      <c r="H2144" s="15">
        <v>6</v>
      </c>
      <c r="I2144" s="15">
        <v>20</v>
      </c>
      <c r="J2144" s="15">
        <v>91</v>
      </c>
      <c r="K2144" s="15" t="str">
        <f t="shared" si="33"/>
        <v>karvarhurthefirst</v>
      </c>
      <c r="L2144" s="15"/>
      <c r="M2144" s="15"/>
      <c r="N2144" s="15"/>
      <c r="O2144" s="15"/>
      <c r="P2144" s="15"/>
      <c r="Q2144" s="15"/>
      <c r="R2144" s="15"/>
      <c r="S2144" s="15"/>
      <c r="T2144" s="15">
        <v>0</v>
      </c>
      <c r="U2144" s="15"/>
      <c r="V2144" s="15"/>
      <c r="W2144" s="15"/>
      <c r="X2144" s="15"/>
      <c r="Y2144" s="15"/>
      <c r="Z2144" s="15"/>
    </row>
    <row r="2145" spans="1:26" x14ac:dyDescent="0.25">
      <c r="A2145" s="15" t="s">
        <v>15573</v>
      </c>
      <c r="B2145" s="15">
        <v>2144</v>
      </c>
      <c r="C2145" s="15" t="s">
        <v>11277</v>
      </c>
      <c r="D2145" s="15" t="s">
        <v>11647</v>
      </c>
      <c r="E2145" s="15" t="s">
        <v>215</v>
      </c>
      <c r="F2145" s="15" t="s">
        <v>2583</v>
      </c>
      <c r="G2145" s="15" t="s">
        <v>11759</v>
      </c>
      <c r="H2145" s="15">
        <v>6</v>
      </c>
      <c r="I2145" s="15">
        <v>20</v>
      </c>
      <c r="J2145" s="15">
        <v>91</v>
      </c>
      <c r="K2145" s="15" t="str">
        <f t="shared" si="33"/>
        <v>karvarhurthefirst</v>
      </c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 spans="1:26" x14ac:dyDescent="0.25">
      <c r="A2146" s="15" t="s">
        <v>15574</v>
      </c>
      <c r="B2146" s="15">
        <v>2145</v>
      </c>
      <c r="C2146" s="15" t="s">
        <v>11277</v>
      </c>
      <c r="D2146" s="15" t="s">
        <v>11647</v>
      </c>
      <c r="E2146" s="15" t="s">
        <v>215</v>
      </c>
      <c r="F2146" s="15" t="s">
        <v>2583</v>
      </c>
      <c r="G2146" s="15" t="s">
        <v>11760</v>
      </c>
      <c r="H2146" s="15">
        <v>6</v>
      </c>
      <c r="I2146" s="15">
        <v>20</v>
      </c>
      <c r="J2146" s="15">
        <v>92</v>
      </c>
      <c r="K2146" s="15" t="str">
        <f t="shared" si="33"/>
        <v>karvarhurthefirst</v>
      </c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 spans="1:26" x14ac:dyDescent="0.25">
      <c r="A2147" s="15" t="s">
        <v>15575</v>
      </c>
      <c r="B2147" s="15">
        <v>2146</v>
      </c>
      <c r="C2147" s="15" t="s">
        <v>11277</v>
      </c>
      <c r="D2147" s="15" t="s">
        <v>11647</v>
      </c>
      <c r="E2147" s="15" t="s">
        <v>215</v>
      </c>
      <c r="F2147" s="15" t="s">
        <v>2583</v>
      </c>
      <c r="G2147" s="15" t="s">
        <v>11761</v>
      </c>
      <c r="H2147" s="15">
        <v>6</v>
      </c>
      <c r="I2147" s="15">
        <v>20</v>
      </c>
      <c r="J2147" s="15">
        <v>91</v>
      </c>
      <c r="K2147" s="15" t="str">
        <f t="shared" si="33"/>
        <v>karvarhurthefirst</v>
      </c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 spans="1:26" x14ac:dyDescent="0.25">
      <c r="A2148" s="15" t="s">
        <v>15576</v>
      </c>
      <c r="B2148" s="15">
        <v>2147</v>
      </c>
      <c r="C2148" s="15" t="s">
        <v>11277</v>
      </c>
      <c r="D2148" s="15" t="s">
        <v>11647</v>
      </c>
      <c r="E2148" s="15" t="s">
        <v>215</v>
      </c>
      <c r="F2148" s="15" t="s">
        <v>2583</v>
      </c>
      <c r="G2148" s="15" t="s">
        <v>11762</v>
      </c>
      <c r="H2148" s="15">
        <v>6</v>
      </c>
      <c r="I2148" s="15">
        <v>20</v>
      </c>
      <c r="J2148" s="15">
        <v>93</v>
      </c>
      <c r="K2148" s="15" t="str">
        <f t="shared" si="33"/>
        <v>karvarhurthefirst</v>
      </c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 spans="1:26" x14ac:dyDescent="0.25">
      <c r="A2149" s="15" t="s">
        <v>15577</v>
      </c>
      <c r="B2149" s="15">
        <v>2148</v>
      </c>
      <c r="C2149" s="15" t="s">
        <v>11277</v>
      </c>
      <c r="D2149" s="15" t="s">
        <v>11647</v>
      </c>
      <c r="E2149" s="15" t="s">
        <v>215</v>
      </c>
      <c r="F2149" s="15" t="s">
        <v>2583</v>
      </c>
      <c r="G2149" s="15" t="s">
        <v>11763</v>
      </c>
      <c r="H2149" s="15">
        <v>6</v>
      </c>
      <c r="I2149" s="15">
        <v>20</v>
      </c>
      <c r="J2149" s="15">
        <v>94</v>
      </c>
      <c r="K2149" s="15" t="str">
        <f t="shared" si="33"/>
        <v>karvarhurthefirst</v>
      </c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 spans="1:26" x14ac:dyDescent="0.25">
      <c r="A2150" s="15" t="s">
        <v>15578</v>
      </c>
      <c r="B2150" s="15">
        <v>2149</v>
      </c>
      <c r="C2150" s="15" t="s">
        <v>11277</v>
      </c>
      <c r="D2150" s="15" t="s">
        <v>11277</v>
      </c>
      <c r="E2150" s="15" t="s">
        <v>215</v>
      </c>
      <c r="F2150" s="15" t="s">
        <v>2601</v>
      </c>
      <c r="G2150" s="15" t="s">
        <v>11736</v>
      </c>
      <c r="H2150" s="15">
        <v>10</v>
      </c>
      <c r="I2150" s="15">
        <v>12</v>
      </c>
      <c r="J2150" s="15">
        <v>91</v>
      </c>
      <c r="K2150" s="15" t="str">
        <f t="shared" si="33"/>
        <v>bopouihih</v>
      </c>
      <c r="L2150" s="15" t="s">
        <v>11696</v>
      </c>
      <c r="M2150" s="15">
        <v>1</v>
      </c>
      <c r="N2150" s="15" t="s">
        <v>11222</v>
      </c>
      <c r="O2150" s="15"/>
      <c r="P2150" s="15"/>
      <c r="Q2150" s="15"/>
      <c r="R2150" s="15"/>
      <c r="S2150" s="15"/>
      <c r="T2150" s="15">
        <v>0</v>
      </c>
      <c r="U2150" s="15"/>
      <c r="V2150" s="15"/>
      <c r="W2150" s="15"/>
      <c r="X2150" s="15"/>
      <c r="Y2150" s="15"/>
      <c r="Z2150" s="15"/>
    </row>
    <row r="2151" spans="1:26" x14ac:dyDescent="0.25">
      <c r="A2151" s="15" t="s">
        <v>15579</v>
      </c>
      <c r="B2151" s="15">
        <v>2150</v>
      </c>
      <c r="C2151" s="15" t="s">
        <v>11277</v>
      </c>
      <c r="D2151" s="15" t="s">
        <v>11277</v>
      </c>
      <c r="E2151" s="15" t="s">
        <v>215</v>
      </c>
      <c r="F2151" s="15" t="s">
        <v>2601</v>
      </c>
      <c r="G2151" s="15" t="s">
        <v>11737</v>
      </c>
      <c r="H2151" s="15">
        <v>10</v>
      </c>
      <c r="I2151" s="15">
        <v>12</v>
      </c>
      <c r="J2151" s="15">
        <v>91</v>
      </c>
      <c r="K2151" s="15" t="str">
        <f t="shared" si="33"/>
        <v>bopouihih</v>
      </c>
      <c r="L2151" s="15" t="s">
        <v>11696</v>
      </c>
      <c r="M2151" s="15">
        <v>2</v>
      </c>
      <c r="N2151" s="15" t="s">
        <v>11223</v>
      </c>
      <c r="O2151" s="15"/>
      <c r="P2151" s="15"/>
      <c r="Q2151" s="15"/>
      <c r="R2151" s="15"/>
      <c r="S2151" s="15"/>
      <c r="T2151" s="15">
        <v>0</v>
      </c>
      <c r="U2151" s="15"/>
      <c r="V2151" s="15"/>
      <c r="W2151" s="15"/>
      <c r="X2151" s="15"/>
      <c r="Y2151" s="15"/>
      <c r="Z2151" s="15"/>
    </row>
    <row r="2152" spans="1:26" x14ac:dyDescent="0.25">
      <c r="A2152" s="15" t="s">
        <v>15580</v>
      </c>
      <c r="B2152" s="15">
        <v>2151</v>
      </c>
      <c r="C2152" s="15" t="s">
        <v>11277</v>
      </c>
      <c r="D2152" s="15" t="s">
        <v>11277</v>
      </c>
      <c r="E2152" s="15" t="s">
        <v>215</v>
      </c>
      <c r="F2152" s="15" t="s">
        <v>2601</v>
      </c>
      <c r="G2152" s="15" t="s">
        <v>11738</v>
      </c>
      <c r="H2152" s="15">
        <v>10</v>
      </c>
      <c r="I2152" s="15">
        <v>12</v>
      </c>
      <c r="J2152" s="15">
        <v>92</v>
      </c>
      <c r="K2152" s="15" t="str">
        <f t="shared" si="33"/>
        <v>bopouihih</v>
      </c>
      <c r="L2152" s="15" t="s">
        <v>11701</v>
      </c>
      <c r="M2152" s="15">
        <v>1</v>
      </c>
      <c r="N2152" s="15" t="s">
        <v>11222</v>
      </c>
      <c r="O2152" s="15"/>
      <c r="P2152" s="15"/>
      <c r="Q2152" s="15"/>
      <c r="R2152" s="15"/>
      <c r="S2152" s="15"/>
      <c r="T2152" s="15">
        <v>0</v>
      </c>
      <c r="U2152" s="15"/>
      <c r="V2152" s="15"/>
      <c r="W2152" s="15"/>
      <c r="X2152" s="15"/>
      <c r="Y2152" s="15"/>
      <c r="Z2152" s="15"/>
    </row>
    <row r="2153" spans="1:26" x14ac:dyDescent="0.25">
      <c r="A2153" s="15" t="s">
        <v>15581</v>
      </c>
      <c r="B2153" s="15">
        <v>2152</v>
      </c>
      <c r="C2153" s="15" t="s">
        <v>11277</v>
      </c>
      <c r="D2153" s="15" t="s">
        <v>11277</v>
      </c>
      <c r="E2153" s="15" t="s">
        <v>215</v>
      </c>
      <c r="F2153" s="15" t="s">
        <v>2601</v>
      </c>
      <c r="G2153" s="15" t="s">
        <v>11739</v>
      </c>
      <c r="H2153" s="15">
        <v>10</v>
      </c>
      <c r="I2153" s="15">
        <v>12</v>
      </c>
      <c r="J2153" s="15">
        <v>92</v>
      </c>
      <c r="K2153" s="15" t="str">
        <f t="shared" si="33"/>
        <v>bopouihih</v>
      </c>
      <c r="L2153" s="15" t="s">
        <v>14088</v>
      </c>
      <c r="M2153" s="15">
        <v>2</v>
      </c>
      <c r="N2153" s="15" t="s">
        <v>11223</v>
      </c>
      <c r="O2153" s="15"/>
      <c r="P2153" s="15"/>
      <c r="Q2153" s="15" t="s">
        <v>11738</v>
      </c>
      <c r="R2153" s="15"/>
      <c r="S2153" s="15"/>
      <c r="T2153" s="15">
        <v>0</v>
      </c>
      <c r="U2153" s="15"/>
      <c r="V2153" s="15"/>
      <c r="W2153" s="15"/>
      <c r="X2153" s="15"/>
      <c r="Y2153" s="15"/>
      <c r="Z2153" s="15"/>
    </row>
    <row r="2154" spans="1:26" x14ac:dyDescent="0.25">
      <c r="A2154" s="15" t="s">
        <v>15582</v>
      </c>
      <c r="B2154" s="15">
        <v>2153</v>
      </c>
      <c r="C2154" s="15" t="s">
        <v>11277</v>
      </c>
      <c r="D2154" s="15" t="s">
        <v>11277</v>
      </c>
      <c r="E2154" s="15" t="s">
        <v>215</v>
      </c>
      <c r="F2154" s="15" t="s">
        <v>2601</v>
      </c>
      <c r="G2154" s="15" t="s">
        <v>11740</v>
      </c>
      <c r="H2154" s="15">
        <v>10</v>
      </c>
      <c r="I2154" s="15">
        <v>12</v>
      </c>
      <c r="J2154" s="15">
        <v>92</v>
      </c>
      <c r="K2154" s="15" t="str">
        <f t="shared" si="33"/>
        <v>bopouihih</v>
      </c>
      <c r="L2154" s="15" t="s">
        <v>14088</v>
      </c>
      <c r="M2154" s="15">
        <v>2</v>
      </c>
      <c r="N2154" s="15" t="s">
        <v>11223</v>
      </c>
      <c r="O2154" s="15"/>
      <c r="P2154" s="15"/>
      <c r="Q2154" s="15" t="s">
        <v>11738</v>
      </c>
      <c r="R2154" s="15"/>
      <c r="S2154" s="15"/>
      <c r="T2154" s="15">
        <v>0</v>
      </c>
      <c r="U2154" s="15"/>
      <c r="V2154" s="15"/>
      <c r="W2154" s="15"/>
      <c r="X2154" s="15"/>
      <c r="Y2154" s="15"/>
      <c r="Z2154" s="15"/>
    </row>
    <row r="2155" spans="1:26" x14ac:dyDescent="0.25">
      <c r="A2155" s="15" t="s">
        <v>15583</v>
      </c>
      <c r="B2155" s="15">
        <v>2154</v>
      </c>
      <c r="C2155" s="15" t="s">
        <v>11277</v>
      </c>
      <c r="D2155" s="15" t="s">
        <v>11277</v>
      </c>
      <c r="E2155" s="15" t="s">
        <v>215</v>
      </c>
      <c r="F2155" s="15" t="s">
        <v>2601</v>
      </c>
      <c r="G2155" s="15" t="s">
        <v>11741</v>
      </c>
      <c r="H2155" s="15">
        <v>10</v>
      </c>
      <c r="I2155" s="15">
        <v>12</v>
      </c>
      <c r="J2155" s="15">
        <v>91</v>
      </c>
      <c r="K2155" s="15" t="str">
        <f t="shared" si="33"/>
        <v>bopouihih</v>
      </c>
      <c r="L2155" s="15" t="s">
        <v>11560</v>
      </c>
      <c r="M2155" s="15">
        <v>2</v>
      </c>
      <c r="N2155" s="15" t="s">
        <v>11223</v>
      </c>
      <c r="O2155" s="15"/>
      <c r="P2155" s="15"/>
      <c r="Q2155" s="15"/>
      <c r="R2155" s="15"/>
      <c r="S2155" s="15"/>
      <c r="T2155" s="15">
        <v>0</v>
      </c>
      <c r="U2155" s="15"/>
      <c r="V2155" s="15"/>
      <c r="W2155" s="15"/>
      <c r="X2155" s="15"/>
      <c r="Y2155" s="15"/>
      <c r="Z2155" s="15"/>
    </row>
    <row r="2156" spans="1:26" x14ac:dyDescent="0.25">
      <c r="A2156" s="15" t="s">
        <v>15584</v>
      </c>
      <c r="B2156" s="15">
        <v>2155</v>
      </c>
      <c r="C2156" s="15" t="s">
        <v>11277</v>
      </c>
      <c r="D2156" s="15" t="s">
        <v>11277</v>
      </c>
      <c r="E2156" s="15" t="s">
        <v>215</v>
      </c>
      <c r="F2156" s="15" t="s">
        <v>2601</v>
      </c>
      <c r="G2156" s="15" t="s">
        <v>11742</v>
      </c>
      <c r="H2156" s="15">
        <v>10</v>
      </c>
      <c r="I2156" s="15">
        <v>12</v>
      </c>
      <c r="J2156" s="15">
        <v>100</v>
      </c>
      <c r="K2156" s="15" t="str">
        <f t="shared" si="33"/>
        <v>bopouihih</v>
      </c>
      <c r="L2156" s="15" t="s">
        <v>14088</v>
      </c>
      <c r="M2156" s="15">
        <v>3</v>
      </c>
      <c r="N2156" s="15" t="s">
        <v>11223</v>
      </c>
      <c r="O2156" s="15" t="s">
        <v>14020</v>
      </c>
      <c r="P2156" s="15"/>
      <c r="Q2156" s="15" t="s">
        <v>11738</v>
      </c>
      <c r="R2156" s="15"/>
      <c r="S2156" s="15"/>
      <c r="T2156" s="15">
        <v>2</v>
      </c>
      <c r="U2156" s="15" t="s">
        <v>5893</v>
      </c>
      <c r="V2156" s="15"/>
      <c r="W2156" s="15"/>
      <c r="X2156" s="15"/>
      <c r="Y2156" s="15"/>
      <c r="Z2156" s="15"/>
    </row>
    <row r="2157" spans="1:26" x14ac:dyDescent="0.25">
      <c r="A2157" s="15" t="s">
        <v>15585</v>
      </c>
      <c r="B2157" s="15">
        <v>2156</v>
      </c>
      <c r="C2157" s="15" t="s">
        <v>11277</v>
      </c>
      <c r="D2157" s="15" t="s">
        <v>11277</v>
      </c>
      <c r="E2157" s="15" t="s">
        <v>215</v>
      </c>
      <c r="F2157" s="15" t="s">
        <v>15586</v>
      </c>
      <c r="G2157" s="15" t="s">
        <v>11736</v>
      </c>
      <c r="H2157" s="15">
        <v>23</v>
      </c>
      <c r="I2157" s="15">
        <v>13</v>
      </c>
      <c r="J2157" s="15">
        <v>91</v>
      </c>
      <c r="K2157" s="15" t="str">
        <f t="shared" si="33"/>
        <v>watershanu</v>
      </c>
      <c r="L2157" s="15" t="s">
        <v>11696</v>
      </c>
      <c r="M2157" s="15">
        <v>1</v>
      </c>
      <c r="N2157" s="15" t="s">
        <v>11222</v>
      </c>
      <c r="O2157" s="15"/>
      <c r="P2157" s="15"/>
      <c r="Q2157" s="15"/>
      <c r="R2157" s="15"/>
      <c r="S2157" s="15"/>
      <c r="T2157" s="15">
        <v>0</v>
      </c>
      <c r="U2157" s="15"/>
      <c r="V2157" s="15"/>
      <c r="W2157" s="15"/>
      <c r="X2157" s="15"/>
      <c r="Y2157" s="15"/>
      <c r="Z2157" s="15"/>
    </row>
    <row r="2158" spans="1:26" x14ac:dyDescent="0.25">
      <c r="A2158" s="15" t="s">
        <v>15587</v>
      </c>
      <c r="B2158" s="15">
        <v>2157</v>
      </c>
      <c r="C2158" s="15" t="s">
        <v>11277</v>
      </c>
      <c r="D2158" s="15" t="s">
        <v>11277</v>
      </c>
      <c r="E2158" s="15" t="s">
        <v>215</v>
      </c>
      <c r="F2158" s="15" t="s">
        <v>15586</v>
      </c>
      <c r="G2158" s="15" t="s">
        <v>11737</v>
      </c>
      <c r="H2158" s="15">
        <v>23</v>
      </c>
      <c r="I2158" s="15">
        <v>13</v>
      </c>
      <c r="J2158" s="15">
        <v>91</v>
      </c>
      <c r="K2158" s="15" t="str">
        <f t="shared" si="33"/>
        <v>watershanu</v>
      </c>
      <c r="L2158" s="15" t="s">
        <v>11696</v>
      </c>
      <c r="M2158" s="15">
        <v>2</v>
      </c>
      <c r="N2158" s="15" t="s">
        <v>11223</v>
      </c>
      <c r="O2158" s="15"/>
      <c r="P2158" s="15"/>
      <c r="Q2158" s="15"/>
      <c r="R2158" s="15"/>
      <c r="S2158" s="15"/>
      <c r="T2158" s="15">
        <v>0</v>
      </c>
      <c r="U2158" s="15"/>
      <c r="V2158" s="15"/>
      <c r="W2158" s="15"/>
      <c r="X2158" s="15"/>
      <c r="Y2158" s="15"/>
      <c r="Z2158" s="15"/>
    </row>
    <row r="2159" spans="1:26" x14ac:dyDescent="0.25">
      <c r="A2159" s="15" t="s">
        <v>15588</v>
      </c>
      <c r="B2159" s="15">
        <v>2158</v>
      </c>
      <c r="C2159" s="15" t="s">
        <v>11277</v>
      </c>
      <c r="D2159" s="15" t="s">
        <v>11277</v>
      </c>
      <c r="E2159" s="15" t="s">
        <v>215</v>
      </c>
      <c r="F2159" s="15" t="s">
        <v>15586</v>
      </c>
      <c r="G2159" s="15" t="s">
        <v>11743</v>
      </c>
      <c r="H2159" s="15">
        <v>23</v>
      </c>
      <c r="I2159" s="15">
        <v>13</v>
      </c>
      <c r="J2159" s="15">
        <v>92</v>
      </c>
      <c r="K2159" s="15" t="str">
        <f t="shared" si="33"/>
        <v>watershanu</v>
      </c>
      <c r="L2159" s="15" t="s">
        <v>11696</v>
      </c>
      <c r="M2159" s="15">
        <v>2</v>
      </c>
      <c r="N2159" s="15" t="s">
        <v>11223</v>
      </c>
      <c r="O2159" s="15"/>
      <c r="P2159" s="15"/>
      <c r="Q2159" s="15"/>
      <c r="R2159" s="15"/>
      <c r="S2159" s="15"/>
      <c r="T2159" s="15">
        <v>0</v>
      </c>
      <c r="U2159" s="15"/>
      <c r="V2159" s="15"/>
      <c r="W2159" s="15"/>
      <c r="X2159" s="15"/>
      <c r="Y2159" s="15"/>
      <c r="Z2159" s="15"/>
    </row>
    <row r="2160" spans="1:26" x14ac:dyDescent="0.25">
      <c r="A2160" s="15" t="s">
        <v>15589</v>
      </c>
      <c r="B2160" s="15">
        <v>2159</v>
      </c>
      <c r="C2160" s="15" t="s">
        <v>11277</v>
      </c>
      <c r="D2160" s="15" t="s">
        <v>11277</v>
      </c>
      <c r="E2160" s="15" t="s">
        <v>215</v>
      </c>
      <c r="F2160" s="15" t="s">
        <v>15586</v>
      </c>
      <c r="G2160" s="15" t="s">
        <v>11744</v>
      </c>
      <c r="H2160" s="15">
        <v>23</v>
      </c>
      <c r="I2160" s="15">
        <v>13</v>
      </c>
      <c r="J2160" s="15">
        <v>91</v>
      </c>
      <c r="K2160" s="15" t="str">
        <f t="shared" si="33"/>
        <v>watershanu</v>
      </c>
      <c r="L2160" s="15" t="s">
        <v>11560</v>
      </c>
      <c r="M2160" s="15">
        <v>2</v>
      </c>
      <c r="N2160" s="15" t="s">
        <v>11223</v>
      </c>
      <c r="O2160" s="15"/>
      <c r="P2160" s="15"/>
      <c r="Q2160" s="15"/>
      <c r="R2160" s="15"/>
      <c r="S2160" s="15"/>
      <c r="T2160" s="15">
        <v>0</v>
      </c>
      <c r="U2160" s="15"/>
      <c r="V2160" s="15"/>
      <c r="W2160" s="15"/>
      <c r="X2160" s="15"/>
      <c r="Y2160" s="15"/>
      <c r="Z2160" s="15"/>
    </row>
    <row r="2161" spans="1:26" x14ac:dyDescent="0.25">
      <c r="A2161" s="15" t="s">
        <v>15590</v>
      </c>
      <c r="B2161" s="15">
        <v>2160</v>
      </c>
      <c r="C2161" s="15" t="s">
        <v>11277</v>
      </c>
      <c r="D2161" s="15" t="s">
        <v>11277</v>
      </c>
      <c r="E2161" s="15" t="s">
        <v>215</v>
      </c>
      <c r="F2161" s="15" t="s">
        <v>15586</v>
      </c>
      <c r="G2161" s="15" t="s">
        <v>11745</v>
      </c>
      <c r="H2161" s="15">
        <v>23</v>
      </c>
      <c r="I2161" s="15">
        <v>13</v>
      </c>
      <c r="J2161" s="15">
        <v>100</v>
      </c>
      <c r="K2161" s="15" t="str">
        <f t="shared" si="33"/>
        <v>watershanu</v>
      </c>
      <c r="L2161" s="15" t="s">
        <v>11701</v>
      </c>
      <c r="M2161" s="15">
        <v>3</v>
      </c>
      <c r="N2161" s="15" t="s">
        <v>11223</v>
      </c>
      <c r="O2161" s="15" t="s">
        <v>2821</v>
      </c>
      <c r="P2161" s="15"/>
      <c r="Q2161" s="15"/>
      <c r="R2161" s="15"/>
      <c r="S2161" s="15"/>
      <c r="T2161" s="15">
        <v>1</v>
      </c>
      <c r="U2161" s="15" t="s">
        <v>5908</v>
      </c>
      <c r="V2161" s="15" t="s">
        <v>5914</v>
      </c>
      <c r="W2161" s="15"/>
      <c r="X2161" s="15"/>
      <c r="Y2161" s="15"/>
      <c r="Z2161" s="15"/>
    </row>
    <row r="2162" spans="1:26" x14ac:dyDescent="0.25">
      <c r="A2162" s="15" t="s">
        <v>15591</v>
      </c>
      <c r="B2162" s="15">
        <v>2161</v>
      </c>
      <c r="C2162" s="15" t="s">
        <v>11277</v>
      </c>
      <c r="D2162" s="15" t="s">
        <v>11277</v>
      </c>
      <c r="E2162" s="15" t="s">
        <v>215</v>
      </c>
      <c r="F2162" s="15" t="s">
        <v>2611</v>
      </c>
      <c r="G2162" s="15" t="s">
        <v>11736</v>
      </c>
      <c r="H2162" s="15">
        <v>29</v>
      </c>
      <c r="I2162" s="15">
        <v>12</v>
      </c>
      <c r="J2162" s="15">
        <v>91</v>
      </c>
      <c r="K2162" s="15" t="str">
        <f t="shared" si="33"/>
        <v>miyakabekzu</v>
      </c>
      <c r="L2162" s="15" t="s">
        <v>11698</v>
      </c>
      <c r="M2162" s="15">
        <v>1</v>
      </c>
      <c r="N2162" s="15" t="s">
        <v>11222</v>
      </c>
      <c r="O2162" s="15"/>
      <c r="P2162" s="15"/>
      <c r="Q2162" s="15"/>
      <c r="R2162" s="15"/>
      <c r="S2162" s="15"/>
      <c r="T2162" s="15">
        <v>0</v>
      </c>
      <c r="U2162" s="15"/>
      <c r="V2162" s="15"/>
      <c r="W2162" s="15"/>
      <c r="X2162" s="15"/>
      <c r="Y2162" s="15"/>
      <c r="Z2162" s="15"/>
    </row>
    <row r="2163" spans="1:26" x14ac:dyDescent="0.25">
      <c r="A2163" s="15" t="s">
        <v>15592</v>
      </c>
      <c r="B2163" s="15">
        <v>2162</v>
      </c>
      <c r="C2163" s="15" t="s">
        <v>11277</v>
      </c>
      <c r="D2163" s="15" t="s">
        <v>11277</v>
      </c>
      <c r="E2163" s="15" t="s">
        <v>215</v>
      </c>
      <c r="F2163" s="15" t="s">
        <v>2611</v>
      </c>
      <c r="G2163" s="15" t="s">
        <v>11737</v>
      </c>
      <c r="H2163" s="15">
        <v>29</v>
      </c>
      <c r="I2163" s="15">
        <v>12</v>
      </c>
      <c r="J2163" s="15">
        <v>91</v>
      </c>
      <c r="K2163" s="15" t="str">
        <f t="shared" si="33"/>
        <v>miyakabekzu</v>
      </c>
      <c r="L2163" s="15" t="s">
        <v>11698</v>
      </c>
      <c r="M2163" s="15">
        <v>2</v>
      </c>
      <c r="N2163" s="15" t="s">
        <v>11223</v>
      </c>
      <c r="O2163" s="15"/>
      <c r="P2163" s="15"/>
      <c r="Q2163" s="15"/>
      <c r="R2163" s="15"/>
      <c r="S2163" s="15"/>
      <c r="T2163" s="15">
        <v>0</v>
      </c>
      <c r="U2163" s="15"/>
      <c r="V2163" s="15"/>
      <c r="W2163" s="15"/>
      <c r="X2163" s="15"/>
      <c r="Y2163" s="15"/>
      <c r="Z2163" s="15"/>
    </row>
    <row r="2164" spans="1:26" x14ac:dyDescent="0.25">
      <c r="A2164" s="15" t="s">
        <v>15593</v>
      </c>
      <c r="B2164" s="15">
        <v>2163</v>
      </c>
      <c r="C2164" s="15" t="s">
        <v>11277</v>
      </c>
      <c r="D2164" s="15" t="s">
        <v>11277</v>
      </c>
      <c r="E2164" s="15" t="s">
        <v>215</v>
      </c>
      <c r="F2164" s="15" t="s">
        <v>2611</v>
      </c>
      <c r="G2164" s="15" t="s">
        <v>11746</v>
      </c>
      <c r="H2164" s="15">
        <v>29</v>
      </c>
      <c r="I2164" s="15">
        <v>12</v>
      </c>
      <c r="J2164" s="15">
        <v>92</v>
      </c>
      <c r="K2164" s="15" t="str">
        <f t="shared" si="33"/>
        <v>miyakabekzu</v>
      </c>
      <c r="L2164" s="15" t="s">
        <v>11698</v>
      </c>
      <c r="M2164" s="15">
        <v>2</v>
      </c>
      <c r="N2164" s="15" t="s">
        <v>11223</v>
      </c>
      <c r="O2164" s="15"/>
      <c r="P2164" s="15"/>
      <c r="Q2164" s="15"/>
      <c r="R2164" s="15"/>
      <c r="S2164" s="15"/>
      <c r="T2164" s="15">
        <v>0</v>
      </c>
      <c r="U2164" s="15"/>
      <c r="V2164" s="15"/>
      <c r="W2164" s="15"/>
      <c r="X2164" s="15"/>
      <c r="Y2164" s="15"/>
      <c r="Z2164" s="15"/>
    </row>
    <row r="2165" spans="1:26" x14ac:dyDescent="0.25">
      <c r="A2165" s="15" t="s">
        <v>15594</v>
      </c>
      <c r="B2165" s="15">
        <v>2164</v>
      </c>
      <c r="C2165" s="15" t="s">
        <v>11277</v>
      </c>
      <c r="D2165" s="15" t="s">
        <v>11277</v>
      </c>
      <c r="E2165" s="15" t="s">
        <v>215</v>
      </c>
      <c r="F2165" s="15" t="s">
        <v>2611</v>
      </c>
      <c r="G2165" s="15" t="s">
        <v>11747</v>
      </c>
      <c r="H2165" s="15">
        <v>29</v>
      </c>
      <c r="I2165" s="15">
        <v>12</v>
      </c>
      <c r="J2165" s="15">
        <v>93</v>
      </c>
      <c r="K2165" s="15" t="str">
        <f t="shared" si="33"/>
        <v>miyakabekzu</v>
      </c>
      <c r="L2165" s="15" t="s">
        <v>11698</v>
      </c>
      <c r="M2165" s="15">
        <v>2</v>
      </c>
      <c r="N2165" s="15" t="s">
        <v>11223</v>
      </c>
      <c r="O2165" s="15"/>
      <c r="P2165" s="15"/>
      <c r="Q2165" s="15"/>
      <c r="R2165" s="15"/>
      <c r="S2165" s="15"/>
      <c r="T2165" s="15">
        <v>0</v>
      </c>
      <c r="U2165" s="15"/>
      <c r="V2165" s="15"/>
      <c r="W2165" s="15"/>
      <c r="X2165" s="15"/>
      <c r="Y2165" s="15"/>
      <c r="Z2165" s="15"/>
    </row>
    <row r="2166" spans="1:26" x14ac:dyDescent="0.25">
      <c r="A2166" s="15" t="s">
        <v>15595</v>
      </c>
      <c r="B2166" s="15">
        <v>2165</v>
      </c>
      <c r="C2166" s="15" t="s">
        <v>11277</v>
      </c>
      <c r="D2166" s="15" t="s">
        <v>11277</v>
      </c>
      <c r="E2166" s="15" t="s">
        <v>215</v>
      </c>
      <c r="F2166" s="15" t="s">
        <v>2611</v>
      </c>
      <c r="G2166" s="15" t="s">
        <v>11748</v>
      </c>
      <c r="H2166" s="15">
        <v>29</v>
      </c>
      <c r="I2166" s="15">
        <v>12</v>
      </c>
      <c r="J2166" s="15">
        <v>93</v>
      </c>
      <c r="K2166" s="15" t="str">
        <f t="shared" si="33"/>
        <v>miyakabekzu</v>
      </c>
      <c r="L2166" s="15" t="s">
        <v>11698</v>
      </c>
      <c r="M2166" s="15">
        <v>2</v>
      </c>
      <c r="N2166" s="15" t="s">
        <v>11223</v>
      </c>
      <c r="O2166" s="15"/>
      <c r="P2166" s="15"/>
      <c r="Q2166" s="15"/>
      <c r="R2166" s="15"/>
      <c r="S2166" s="15"/>
      <c r="T2166" s="15">
        <v>0</v>
      </c>
      <c r="U2166" s="15"/>
      <c r="V2166" s="15"/>
      <c r="W2166" s="15"/>
      <c r="X2166" s="15"/>
      <c r="Y2166" s="15"/>
      <c r="Z2166" s="15"/>
    </row>
    <row r="2167" spans="1:26" x14ac:dyDescent="0.25">
      <c r="A2167" s="15" t="s">
        <v>15596</v>
      </c>
      <c r="B2167" s="15">
        <v>2166</v>
      </c>
      <c r="C2167" s="15" t="s">
        <v>11277</v>
      </c>
      <c r="D2167" s="15" t="s">
        <v>11277</v>
      </c>
      <c r="E2167" s="15" t="s">
        <v>215</v>
      </c>
      <c r="F2167" s="15" t="s">
        <v>2611</v>
      </c>
      <c r="G2167" s="15" t="s">
        <v>11749</v>
      </c>
      <c r="H2167" s="15">
        <v>29</v>
      </c>
      <c r="I2167" s="15">
        <v>12</v>
      </c>
      <c r="J2167" s="15">
        <v>100</v>
      </c>
      <c r="K2167" s="15" t="str">
        <f t="shared" si="33"/>
        <v>miyakabekzu</v>
      </c>
      <c r="L2167" s="15" t="s">
        <v>11701</v>
      </c>
      <c r="M2167" s="15">
        <v>3</v>
      </c>
      <c r="N2167" s="15" t="s">
        <v>11223</v>
      </c>
      <c r="O2167" s="15" t="s">
        <v>2805</v>
      </c>
      <c r="P2167" s="15"/>
      <c r="Q2167" s="15"/>
      <c r="R2167" s="15"/>
      <c r="S2167" s="15"/>
      <c r="T2167" s="15">
        <v>2</v>
      </c>
      <c r="U2167" s="15" t="s">
        <v>5892</v>
      </c>
      <c r="V2167" s="15"/>
      <c r="W2167" s="15"/>
      <c r="X2167" s="15" t="s">
        <v>5908</v>
      </c>
      <c r="Y2167" s="15"/>
      <c r="Z2167" s="15"/>
    </row>
    <row r="2168" spans="1:26" x14ac:dyDescent="0.25">
      <c r="A2168" s="15" t="s">
        <v>15597</v>
      </c>
      <c r="B2168" s="15">
        <v>2167</v>
      </c>
      <c r="C2168" s="15" t="s">
        <v>11277</v>
      </c>
      <c r="D2168" s="15" t="s">
        <v>11277</v>
      </c>
      <c r="E2168" s="15" t="s">
        <v>215</v>
      </c>
      <c r="F2168" s="15" t="s">
        <v>2631</v>
      </c>
      <c r="G2168" s="15" t="s">
        <v>11750</v>
      </c>
      <c r="H2168" s="15">
        <v>38</v>
      </c>
      <c r="I2168" s="15">
        <v>33</v>
      </c>
      <c r="J2168" s="15">
        <v>93</v>
      </c>
      <c r="K2168" s="15" t="str">
        <f t="shared" si="33"/>
        <v>thedewspunbank</v>
      </c>
      <c r="L2168" s="15" t="s">
        <v>11698</v>
      </c>
      <c r="M2168" s="15">
        <v>1</v>
      </c>
      <c r="N2168" s="15" t="s">
        <v>11222</v>
      </c>
      <c r="O2168" s="15"/>
      <c r="P2168" s="15"/>
      <c r="Q2168" s="15"/>
      <c r="R2168" s="15"/>
      <c r="S2168" s="15"/>
      <c r="T2168" s="15">
        <v>0</v>
      </c>
      <c r="U2168" s="15"/>
      <c r="V2168" s="15"/>
      <c r="W2168" s="15"/>
      <c r="X2168" s="15"/>
      <c r="Y2168" s="15"/>
      <c r="Z2168" s="15"/>
    </row>
    <row r="2169" spans="1:26" x14ac:dyDescent="0.25">
      <c r="A2169" s="15" t="s">
        <v>15598</v>
      </c>
      <c r="B2169" s="15">
        <v>2168</v>
      </c>
      <c r="C2169" s="15" t="s">
        <v>11277</v>
      </c>
      <c r="D2169" s="15" t="s">
        <v>11277</v>
      </c>
      <c r="E2169" s="15" t="s">
        <v>215</v>
      </c>
      <c r="F2169" s="15" t="s">
        <v>2631</v>
      </c>
      <c r="G2169" s="15" t="s">
        <v>11751</v>
      </c>
      <c r="H2169" s="15">
        <v>38</v>
      </c>
      <c r="I2169" s="15">
        <v>33</v>
      </c>
      <c r="J2169" s="15">
        <v>93</v>
      </c>
      <c r="K2169" s="15" t="str">
        <f t="shared" si="33"/>
        <v>thedewspunbank</v>
      </c>
      <c r="L2169" s="15" t="s">
        <v>11698</v>
      </c>
      <c r="M2169" s="15">
        <v>2</v>
      </c>
      <c r="N2169" s="15" t="s">
        <v>11223</v>
      </c>
      <c r="O2169" s="15"/>
      <c r="P2169" s="15"/>
      <c r="Q2169" s="15"/>
      <c r="R2169" s="15"/>
      <c r="S2169" s="15"/>
      <c r="T2169" s="15">
        <v>0</v>
      </c>
      <c r="U2169" s="15"/>
      <c r="V2169" s="15"/>
      <c r="W2169" s="15"/>
      <c r="X2169" s="15"/>
      <c r="Y2169" s="15"/>
      <c r="Z2169" s="15"/>
    </row>
    <row r="2170" spans="1:26" x14ac:dyDescent="0.25">
      <c r="A2170" s="15" t="s">
        <v>15599</v>
      </c>
      <c r="B2170" s="15">
        <v>2169</v>
      </c>
      <c r="C2170" s="15" t="s">
        <v>11277</v>
      </c>
      <c r="D2170" s="15" t="s">
        <v>11277</v>
      </c>
      <c r="E2170" s="15" t="s">
        <v>215</v>
      </c>
      <c r="F2170" s="15" t="s">
        <v>2631</v>
      </c>
      <c r="G2170" s="15" t="s">
        <v>11752</v>
      </c>
      <c r="H2170" s="15">
        <v>38</v>
      </c>
      <c r="I2170" s="15">
        <v>33</v>
      </c>
      <c r="J2170" s="15">
        <v>94</v>
      </c>
      <c r="K2170" s="15" t="str">
        <f t="shared" si="33"/>
        <v>thedewspunbank</v>
      </c>
      <c r="L2170" s="15" t="s">
        <v>11698</v>
      </c>
      <c r="M2170" s="15">
        <v>2</v>
      </c>
      <c r="N2170" s="15" t="s">
        <v>11223</v>
      </c>
      <c r="O2170" s="15"/>
      <c r="P2170" s="15"/>
      <c r="Q2170" s="15"/>
      <c r="R2170" s="15"/>
      <c r="S2170" s="15"/>
      <c r="T2170" s="15">
        <v>0</v>
      </c>
      <c r="U2170" s="15"/>
      <c r="V2170" s="15"/>
      <c r="W2170" s="15"/>
      <c r="X2170" s="15"/>
      <c r="Y2170" s="15"/>
      <c r="Z2170" s="15"/>
    </row>
    <row r="2171" spans="1:26" x14ac:dyDescent="0.25">
      <c r="A2171" s="15" t="s">
        <v>15600</v>
      </c>
      <c r="B2171" s="15">
        <v>2170</v>
      </c>
      <c r="C2171" s="15" t="s">
        <v>11277</v>
      </c>
      <c r="D2171" s="15" t="s">
        <v>11277</v>
      </c>
      <c r="E2171" s="15" t="s">
        <v>215</v>
      </c>
      <c r="F2171" s="15" t="s">
        <v>2631</v>
      </c>
      <c r="G2171" s="15" t="s">
        <v>11753</v>
      </c>
      <c r="H2171" s="15">
        <v>38</v>
      </c>
      <c r="I2171" s="15">
        <v>33</v>
      </c>
      <c r="J2171" s="15">
        <v>100</v>
      </c>
      <c r="K2171" s="15" t="str">
        <f t="shared" si="33"/>
        <v>thedewspunbank</v>
      </c>
      <c r="L2171" s="15" t="s">
        <v>11701</v>
      </c>
      <c r="M2171" s="15">
        <v>3</v>
      </c>
      <c r="N2171" s="15" t="s">
        <v>11223</v>
      </c>
      <c r="O2171" s="15" t="s">
        <v>11387</v>
      </c>
      <c r="P2171" s="15"/>
      <c r="Q2171" s="15"/>
      <c r="R2171" s="15"/>
      <c r="S2171" s="15"/>
      <c r="T2171" s="15">
        <v>2</v>
      </c>
      <c r="U2171" s="15" t="s">
        <v>5900</v>
      </c>
      <c r="V2171" s="15"/>
      <c r="W2171" s="15"/>
      <c r="X2171" s="15"/>
      <c r="Y2171" s="15"/>
      <c r="Z2171" s="15"/>
    </row>
    <row r="2172" spans="1:26" x14ac:dyDescent="0.25">
      <c r="A2172" s="15" t="s">
        <v>15601</v>
      </c>
      <c r="B2172" s="15">
        <v>2171</v>
      </c>
      <c r="C2172" s="15" t="s">
        <v>11277</v>
      </c>
      <c r="D2172" s="15" t="s">
        <v>11277</v>
      </c>
      <c r="E2172" s="15" t="s">
        <v>215</v>
      </c>
      <c r="F2172" s="15" t="s">
        <v>15602</v>
      </c>
      <c r="G2172" s="15" t="s">
        <v>11750</v>
      </c>
      <c r="H2172" s="15">
        <v>40</v>
      </c>
      <c r="I2172" s="15">
        <v>15</v>
      </c>
      <c r="J2172" s="15">
        <v>93</v>
      </c>
      <c r="K2172" s="15" t="str">
        <f t="shared" si="33"/>
        <v>peakspoga</v>
      </c>
      <c r="L2172" s="15" t="s">
        <v>11696</v>
      </c>
      <c r="M2172" s="15">
        <v>1</v>
      </c>
      <c r="N2172" s="15" t="s">
        <v>11222</v>
      </c>
      <c r="O2172" s="15"/>
      <c r="P2172" s="15"/>
      <c r="Q2172" s="15"/>
      <c r="R2172" s="15"/>
      <c r="S2172" s="15"/>
      <c r="T2172" s="15">
        <v>0</v>
      </c>
      <c r="U2172" s="15"/>
      <c r="V2172" s="15"/>
      <c r="W2172" s="15"/>
      <c r="X2172" s="15"/>
      <c r="Y2172" s="15"/>
      <c r="Z2172" s="15"/>
    </row>
    <row r="2173" spans="1:26" x14ac:dyDescent="0.25">
      <c r="A2173" s="15" t="s">
        <v>15603</v>
      </c>
      <c r="B2173" s="15">
        <v>2172</v>
      </c>
      <c r="C2173" s="15" t="s">
        <v>11277</v>
      </c>
      <c r="D2173" s="15" t="s">
        <v>11277</v>
      </c>
      <c r="E2173" s="15" t="s">
        <v>215</v>
      </c>
      <c r="F2173" s="15" t="s">
        <v>15602</v>
      </c>
      <c r="G2173" s="15" t="s">
        <v>11751</v>
      </c>
      <c r="H2173" s="15">
        <v>40</v>
      </c>
      <c r="I2173" s="15">
        <v>15</v>
      </c>
      <c r="J2173" s="15">
        <v>93</v>
      </c>
      <c r="K2173" s="15" t="str">
        <f t="shared" si="33"/>
        <v>peakspoga</v>
      </c>
      <c r="L2173" s="15" t="s">
        <v>11696</v>
      </c>
      <c r="M2173" s="15">
        <v>2</v>
      </c>
      <c r="N2173" s="15" t="s">
        <v>11223</v>
      </c>
      <c r="O2173" s="15"/>
      <c r="P2173" s="15"/>
      <c r="Q2173" s="15"/>
      <c r="R2173" s="15"/>
      <c r="S2173" s="15"/>
      <c r="T2173" s="15">
        <v>0</v>
      </c>
      <c r="U2173" s="15"/>
      <c r="V2173" s="15"/>
      <c r="W2173" s="15"/>
      <c r="X2173" s="15"/>
      <c r="Y2173" s="15"/>
      <c r="Z2173" s="15"/>
    </row>
    <row r="2174" spans="1:26" x14ac:dyDescent="0.25">
      <c r="A2174" s="15" t="s">
        <v>15604</v>
      </c>
      <c r="B2174" s="15">
        <v>2173</v>
      </c>
      <c r="C2174" s="15" t="s">
        <v>11277</v>
      </c>
      <c r="D2174" s="15" t="s">
        <v>11277</v>
      </c>
      <c r="E2174" s="15" t="s">
        <v>215</v>
      </c>
      <c r="F2174" s="15" t="s">
        <v>15602</v>
      </c>
      <c r="G2174" s="15" t="s">
        <v>11754</v>
      </c>
      <c r="H2174" s="15">
        <v>40</v>
      </c>
      <c r="I2174" s="15">
        <v>15</v>
      </c>
      <c r="J2174" s="15">
        <v>93</v>
      </c>
      <c r="K2174" s="15" t="str">
        <f t="shared" si="33"/>
        <v>peakspoga</v>
      </c>
      <c r="L2174" s="15" t="s">
        <v>11698</v>
      </c>
      <c r="M2174" s="15">
        <v>2</v>
      </c>
      <c r="N2174" s="15" t="s">
        <v>11223</v>
      </c>
      <c r="O2174" s="15"/>
      <c r="P2174" s="15"/>
      <c r="Q2174" s="15"/>
      <c r="R2174" s="15"/>
      <c r="S2174" s="15"/>
      <c r="T2174" s="15">
        <v>0</v>
      </c>
      <c r="U2174" s="15"/>
      <c r="V2174" s="15"/>
      <c r="W2174" s="15"/>
      <c r="X2174" s="15"/>
      <c r="Y2174" s="15"/>
      <c r="Z2174" s="15"/>
    </row>
    <row r="2175" spans="1:26" x14ac:dyDescent="0.25">
      <c r="A2175" s="15" t="s">
        <v>15605</v>
      </c>
      <c r="B2175" s="15">
        <v>2174</v>
      </c>
      <c r="C2175" s="15" t="s">
        <v>11277</v>
      </c>
      <c r="D2175" s="15" t="s">
        <v>11277</v>
      </c>
      <c r="E2175" s="15" t="s">
        <v>215</v>
      </c>
      <c r="F2175" s="15" t="s">
        <v>15602</v>
      </c>
      <c r="G2175" s="15" t="s">
        <v>11755</v>
      </c>
      <c r="H2175" s="15">
        <v>40</v>
      </c>
      <c r="I2175" s="15">
        <v>15</v>
      </c>
      <c r="J2175" s="15">
        <v>94</v>
      </c>
      <c r="K2175" s="15" t="str">
        <f t="shared" si="33"/>
        <v>peakspoga</v>
      </c>
      <c r="L2175" s="15" t="s">
        <v>11696</v>
      </c>
      <c r="M2175" s="15">
        <v>2</v>
      </c>
      <c r="N2175" s="15" t="s">
        <v>11223</v>
      </c>
      <c r="O2175" s="15"/>
      <c r="P2175" s="15"/>
      <c r="Q2175" s="15"/>
      <c r="R2175" s="15"/>
      <c r="S2175" s="15"/>
      <c r="T2175" s="15">
        <v>0</v>
      </c>
      <c r="U2175" s="15"/>
      <c r="V2175" s="15"/>
      <c r="W2175" s="15"/>
      <c r="X2175" s="15"/>
      <c r="Y2175" s="15"/>
      <c r="Z2175" s="15"/>
    </row>
    <row r="2176" spans="1:26" x14ac:dyDescent="0.25">
      <c r="A2176" s="15" t="s">
        <v>15606</v>
      </c>
      <c r="B2176" s="15">
        <v>2175</v>
      </c>
      <c r="C2176" s="15" t="s">
        <v>11277</v>
      </c>
      <c r="D2176" s="15" t="s">
        <v>11277</v>
      </c>
      <c r="E2176" s="15" t="s">
        <v>215</v>
      </c>
      <c r="F2176" s="15" t="s">
        <v>15602</v>
      </c>
      <c r="G2176" s="15" t="s">
        <v>11756</v>
      </c>
      <c r="H2176" s="15">
        <v>40</v>
      </c>
      <c r="I2176" s="15">
        <v>15</v>
      </c>
      <c r="J2176" s="15">
        <v>94</v>
      </c>
      <c r="K2176" s="15" t="str">
        <f t="shared" si="33"/>
        <v>peakspoga</v>
      </c>
      <c r="L2176" s="15" t="s">
        <v>11696</v>
      </c>
      <c r="M2176" s="15">
        <v>2</v>
      </c>
      <c r="N2176" s="15" t="s">
        <v>11223</v>
      </c>
      <c r="O2176" s="15"/>
      <c r="P2176" s="15"/>
      <c r="Q2176" s="15"/>
      <c r="R2176" s="15"/>
      <c r="S2176" s="15"/>
      <c r="T2176" s="15">
        <v>0</v>
      </c>
      <c r="U2176" s="15"/>
      <c r="V2176" s="15"/>
      <c r="W2176" s="15"/>
      <c r="X2176" s="15"/>
      <c r="Y2176" s="15"/>
      <c r="Z2176" s="15"/>
    </row>
    <row r="2177" spans="1:26" x14ac:dyDescent="0.25">
      <c r="A2177" s="15" t="s">
        <v>15607</v>
      </c>
      <c r="B2177" s="15">
        <v>2176</v>
      </c>
      <c r="C2177" s="15" t="s">
        <v>11277</v>
      </c>
      <c r="D2177" s="15" t="s">
        <v>11277</v>
      </c>
      <c r="E2177" s="15" t="s">
        <v>215</v>
      </c>
      <c r="F2177" s="15" t="s">
        <v>15602</v>
      </c>
      <c r="G2177" s="15" t="s">
        <v>11757</v>
      </c>
      <c r="H2177" s="15">
        <v>40</v>
      </c>
      <c r="I2177" s="15">
        <v>15</v>
      </c>
      <c r="J2177" s="15">
        <v>100</v>
      </c>
      <c r="K2177" s="15" t="str">
        <f t="shared" si="33"/>
        <v>peakspoga</v>
      </c>
      <c r="L2177" s="15" t="s">
        <v>14088</v>
      </c>
      <c r="M2177" s="15">
        <v>3</v>
      </c>
      <c r="N2177" s="15" t="s">
        <v>11223</v>
      </c>
      <c r="O2177" s="15" t="s">
        <v>2815</v>
      </c>
      <c r="P2177" s="15"/>
      <c r="Q2177" s="15" t="s">
        <v>11754</v>
      </c>
      <c r="R2177" s="15"/>
      <c r="S2177" s="15"/>
      <c r="T2177" s="15">
        <v>3</v>
      </c>
      <c r="U2177" s="15" t="s">
        <v>5908</v>
      </c>
      <c r="V2177" s="15"/>
      <c r="W2177" s="15"/>
      <c r="X2177" s="15" t="s">
        <v>5900</v>
      </c>
      <c r="Y2177" s="15"/>
      <c r="Z2177" s="15"/>
    </row>
    <row r="2178" spans="1:26" x14ac:dyDescent="0.25">
      <c r="A2178" s="15" t="s">
        <v>15608</v>
      </c>
      <c r="B2178" s="15">
        <v>2177</v>
      </c>
      <c r="C2178" s="15" t="s">
        <v>11277</v>
      </c>
      <c r="D2178" s="15" t="s">
        <v>11277</v>
      </c>
      <c r="E2178" s="15" t="s">
        <v>215</v>
      </c>
      <c r="F2178" s="15" t="s">
        <v>2622</v>
      </c>
      <c r="G2178" s="15" t="s">
        <v>11764</v>
      </c>
      <c r="H2178" s="15">
        <v>22</v>
      </c>
      <c r="I2178" s="15">
        <v>21</v>
      </c>
      <c r="J2178" s="15">
        <v>93</v>
      </c>
      <c r="K2178" s="15" t="str">
        <f t="shared" ref="K2178:K2241" si="34">LOWER(SUBSTITUTE(SUBSTITUTE(SUBSTITUTE(SUBSTITUTE(SUBSTITUTE(F2178," ",""),"(",""),")",""),"'",""),"-",""))</f>
        <v>kuuxage</v>
      </c>
      <c r="L2178" s="15" t="s">
        <v>11696</v>
      </c>
      <c r="M2178" s="15">
        <v>1</v>
      </c>
      <c r="N2178" s="15" t="s">
        <v>11222</v>
      </c>
      <c r="O2178" s="15"/>
      <c r="P2178" s="15"/>
      <c r="Q2178" s="15"/>
      <c r="R2178" s="15"/>
      <c r="S2178" s="15"/>
      <c r="T2178" s="15">
        <v>0</v>
      </c>
      <c r="U2178" s="15"/>
      <c r="V2178" s="15"/>
      <c r="W2178" s="15"/>
      <c r="X2178" s="15"/>
      <c r="Y2178" s="15"/>
      <c r="Z2178" s="15"/>
    </row>
    <row r="2179" spans="1:26" x14ac:dyDescent="0.25">
      <c r="A2179" s="15" t="s">
        <v>15609</v>
      </c>
      <c r="B2179" s="15">
        <v>2178</v>
      </c>
      <c r="C2179" s="15" t="s">
        <v>11277</v>
      </c>
      <c r="D2179" s="15" t="s">
        <v>11277</v>
      </c>
      <c r="E2179" s="15" t="s">
        <v>215</v>
      </c>
      <c r="F2179" s="15" t="s">
        <v>2622</v>
      </c>
      <c r="G2179" s="15" t="s">
        <v>11765</v>
      </c>
      <c r="H2179" s="15">
        <v>22</v>
      </c>
      <c r="I2179" s="15">
        <v>21</v>
      </c>
      <c r="J2179" s="15">
        <v>93</v>
      </c>
      <c r="K2179" s="15" t="str">
        <f t="shared" si="34"/>
        <v>kuuxage</v>
      </c>
      <c r="L2179" s="15" t="s">
        <v>11696</v>
      </c>
      <c r="M2179" s="15">
        <v>1</v>
      </c>
      <c r="N2179" s="15" t="s">
        <v>11222</v>
      </c>
      <c r="O2179" s="15"/>
      <c r="P2179" s="15"/>
      <c r="Q2179" s="15"/>
      <c r="R2179" s="15"/>
      <c r="S2179" s="15"/>
      <c r="T2179" s="15">
        <v>0</v>
      </c>
      <c r="U2179" s="15"/>
      <c r="V2179" s="15"/>
      <c r="W2179" s="15"/>
      <c r="X2179" s="15"/>
      <c r="Y2179" s="15"/>
      <c r="Z2179" s="15"/>
    </row>
    <row r="2180" spans="1:26" x14ac:dyDescent="0.25">
      <c r="A2180" s="15" t="s">
        <v>15610</v>
      </c>
      <c r="B2180" s="15">
        <v>2179</v>
      </c>
      <c r="C2180" s="15" t="s">
        <v>11277</v>
      </c>
      <c r="D2180" s="15" t="s">
        <v>11277</v>
      </c>
      <c r="E2180" s="15" t="s">
        <v>215</v>
      </c>
      <c r="F2180" s="15" t="s">
        <v>2622</v>
      </c>
      <c r="G2180" s="15" t="s">
        <v>11766</v>
      </c>
      <c r="H2180" s="15">
        <v>22</v>
      </c>
      <c r="I2180" s="15">
        <v>21</v>
      </c>
      <c r="J2180" s="15">
        <v>94</v>
      </c>
      <c r="K2180" s="15" t="str">
        <f t="shared" si="34"/>
        <v>kuuxage</v>
      </c>
      <c r="L2180" s="15" t="s">
        <v>11696</v>
      </c>
      <c r="M2180" s="15">
        <v>2</v>
      </c>
      <c r="N2180" s="15" t="s">
        <v>11223</v>
      </c>
      <c r="O2180" s="15"/>
      <c r="P2180" s="15"/>
      <c r="Q2180" s="15"/>
      <c r="R2180" s="15"/>
      <c r="S2180" s="15"/>
      <c r="T2180" s="15">
        <v>0</v>
      </c>
      <c r="U2180" s="15"/>
      <c r="V2180" s="15"/>
      <c r="W2180" s="15"/>
      <c r="X2180" s="15"/>
      <c r="Y2180" s="15"/>
      <c r="Z2180" s="15"/>
    </row>
    <row r="2181" spans="1:26" x14ac:dyDescent="0.25">
      <c r="A2181" s="15" t="s">
        <v>15611</v>
      </c>
      <c r="B2181" s="15">
        <v>2180</v>
      </c>
      <c r="C2181" s="15" t="s">
        <v>11277</v>
      </c>
      <c r="D2181" s="15" t="s">
        <v>11277</v>
      </c>
      <c r="E2181" s="15" t="s">
        <v>215</v>
      </c>
      <c r="F2181" s="15" t="s">
        <v>2622</v>
      </c>
      <c r="G2181" s="15" t="s">
        <v>11767</v>
      </c>
      <c r="H2181" s="15">
        <v>22</v>
      </c>
      <c r="I2181" s="15">
        <v>21</v>
      </c>
      <c r="J2181" s="15">
        <v>94</v>
      </c>
      <c r="K2181" s="15" t="str">
        <f t="shared" si="34"/>
        <v>kuuxage</v>
      </c>
      <c r="L2181" s="15" t="s">
        <v>11696</v>
      </c>
      <c r="M2181" s="15">
        <v>2</v>
      </c>
      <c r="N2181" s="15" t="s">
        <v>11223</v>
      </c>
      <c r="O2181" s="15"/>
      <c r="P2181" s="15"/>
      <c r="Q2181" s="15"/>
      <c r="R2181" s="15"/>
      <c r="S2181" s="15"/>
      <c r="T2181" s="15">
        <v>0</v>
      </c>
      <c r="U2181" s="15"/>
      <c r="V2181" s="15"/>
      <c r="W2181" s="15"/>
      <c r="X2181" s="15"/>
      <c r="Y2181" s="15"/>
      <c r="Z2181" s="15"/>
    </row>
    <row r="2182" spans="1:26" x14ac:dyDescent="0.25">
      <c r="A2182" s="15" t="s">
        <v>15612</v>
      </c>
      <c r="B2182" s="15">
        <v>2181</v>
      </c>
      <c r="C2182" s="15" t="s">
        <v>11277</v>
      </c>
      <c r="D2182" s="15" t="s">
        <v>11277</v>
      </c>
      <c r="E2182" s="15" t="s">
        <v>215</v>
      </c>
      <c r="F2182" s="15" t="s">
        <v>2622</v>
      </c>
      <c r="G2182" s="15" t="s">
        <v>11768</v>
      </c>
      <c r="H2182" s="15">
        <v>22</v>
      </c>
      <c r="I2182" s="15">
        <v>21</v>
      </c>
      <c r="J2182" s="15">
        <v>100</v>
      </c>
      <c r="K2182" s="15" t="str">
        <f t="shared" si="34"/>
        <v>kuuxage</v>
      </c>
      <c r="L2182" s="15" t="s">
        <v>11701</v>
      </c>
      <c r="M2182" s="15">
        <v>2</v>
      </c>
      <c r="N2182" s="15" t="s">
        <v>11223</v>
      </c>
      <c r="O2182" s="15"/>
      <c r="P2182" s="15"/>
      <c r="Q2182" s="15"/>
      <c r="R2182" s="15"/>
      <c r="S2182" s="15"/>
      <c r="T2182" s="15">
        <v>0</v>
      </c>
      <c r="U2182" s="15"/>
      <c r="V2182" s="15"/>
      <c r="W2182" s="15"/>
      <c r="X2182" s="15"/>
      <c r="Y2182" s="15"/>
      <c r="Z2182" s="15"/>
    </row>
    <row r="2183" spans="1:26" x14ac:dyDescent="0.25">
      <c r="A2183" s="15" t="s">
        <v>15613</v>
      </c>
      <c r="B2183" s="15">
        <v>2182</v>
      </c>
      <c r="C2183" s="15" t="s">
        <v>11277</v>
      </c>
      <c r="D2183" s="15" t="s">
        <v>11277</v>
      </c>
      <c r="E2183" s="15" t="s">
        <v>215</v>
      </c>
      <c r="F2183" s="15" t="s">
        <v>2622</v>
      </c>
      <c r="G2183" s="15" t="s">
        <v>11769</v>
      </c>
      <c r="H2183" s="15">
        <v>22</v>
      </c>
      <c r="I2183" s="15">
        <v>21</v>
      </c>
      <c r="J2183" s="15">
        <v>100</v>
      </c>
      <c r="K2183" s="15" t="str">
        <f t="shared" si="34"/>
        <v>kuuxage</v>
      </c>
      <c r="L2183" s="15" t="s">
        <v>11701</v>
      </c>
      <c r="M2183" s="15">
        <v>3</v>
      </c>
      <c r="N2183" s="15" t="s">
        <v>11223</v>
      </c>
      <c r="O2183" s="15" t="s">
        <v>11302</v>
      </c>
      <c r="P2183" s="15"/>
      <c r="Q2183" s="15"/>
      <c r="R2183" s="15"/>
      <c r="S2183" s="15"/>
      <c r="T2183" s="15">
        <v>3</v>
      </c>
      <c r="U2183" s="15" t="s">
        <v>5900</v>
      </c>
      <c r="V2183" s="15"/>
      <c r="W2183" s="15"/>
      <c r="X2183" s="15"/>
      <c r="Y2183" s="15"/>
      <c r="Z2183" s="15"/>
    </row>
    <row r="2184" spans="1:26" x14ac:dyDescent="0.25">
      <c r="A2184" s="15" t="s">
        <v>15614</v>
      </c>
      <c r="B2184" s="15">
        <v>2183</v>
      </c>
      <c r="C2184" s="15" t="s">
        <v>11277</v>
      </c>
      <c r="D2184" s="15" t="s">
        <v>11277</v>
      </c>
      <c r="E2184" s="15" t="s">
        <v>215</v>
      </c>
      <c r="F2184" s="15" t="s">
        <v>2636</v>
      </c>
      <c r="G2184" s="15" t="s">
        <v>11770</v>
      </c>
      <c r="H2184" s="15">
        <v>14</v>
      </c>
      <c r="I2184" s="15">
        <v>28</v>
      </c>
      <c r="J2184" s="15">
        <v>94</v>
      </c>
      <c r="K2184" s="15" t="str">
        <f t="shared" si="34"/>
        <v>miyakabekzoma</v>
      </c>
      <c r="L2184" s="15" t="s">
        <v>11698</v>
      </c>
      <c r="M2184" s="15">
        <v>1</v>
      </c>
      <c r="N2184" s="15" t="s">
        <v>11222</v>
      </c>
      <c r="O2184" s="15"/>
      <c r="P2184" s="15"/>
      <c r="Q2184" s="15"/>
      <c r="R2184" s="15"/>
      <c r="S2184" s="15"/>
      <c r="T2184" s="15">
        <v>0</v>
      </c>
      <c r="U2184" s="15"/>
      <c r="V2184" s="15"/>
      <c r="W2184" s="15"/>
      <c r="X2184" s="15"/>
      <c r="Y2184" s="15"/>
      <c r="Z2184" s="15"/>
    </row>
    <row r="2185" spans="1:26" x14ac:dyDescent="0.25">
      <c r="A2185" s="15" t="s">
        <v>15615</v>
      </c>
      <c r="B2185" s="15">
        <v>2184</v>
      </c>
      <c r="C2185" s="15" t="s">
        <v>11277</v>
      </c>
      <c r="D2185" s="15" t="s">
        <v>11277</v>
      </c>
      <c r="E2185" s="15" t="s">
        <v>215</v>
      </c>
      <c r="F2185" s="15" t="s">
        <v>2636</v>
      </c>
      <c r="G2185" s="15" t="s">
        <v>11771</v>
      </c>
      <c r="H2185" s="15">
        <v>14</v>
      </c>
      <c r="I2185" s="15">
        <v>28</v>
      </c>
      <c r="J2185" s="15">
        <v>94</v>
      </c>
      <c r="K2185" s="15" t="str">
        <f t="shared" si="34"/>
        <v>miyakabekzoma</v>
      </c>
      <c r="L2185" s="15" t="s">
        <v>11698</v>
      </c>
      <c r="M2185" s="15">
        <v>1</v>
      </c>
      <c r="N2185" s="15" t="s">
        <v>11222</v>
      </c>
      <c r="O2185" s="15"/>
      <c r="P2185" s="15"/>
      <c r="Q2185" s="15"/>
      <c r="R2185" s="15"/>
      <c r="S2185" s="15"/>
      <c r="T2185" s="15">
        <v>0</v>
      </c>
      <c r="U2185" s="15"/>
      <c r="V2185" s="15"/>
      <c r="W2185" s="15"/>
      <c r="X2185" s="15"/>
      <c r="Y2185" s="15"/>
      <c r="Z2185" s="15"/>
    </row>
    <row r="2186" spans="1:26" x14ac:dyDescent="0.25">
      <c r="A2186" s="15" t="s">
        <v>15616</v>
      </c>
      <c r="B2186" s="15">
        <v>2185</v>
      </c>
      <c r="C2186" s="15" t="s">
        <v>11277</v>
      </c>
      <c r="D2186" s="15" t="s">
        <v>11277</v>
      </c>
      <c r="E2186" s="15" t="s">
        <v>215</v>
      </c>
      <c r="F2186" s="15" t="s">
        <v>2636</v>
      </c>
      <c r="G2186" s="15" t="s">
        <v>11772</v>
      </c>
      <c r="H2186" s="15">
        <v>14</v>
      </c>
      <c r="I2186" s="15">
        <v>28</v>
      </c>
      <c r="J2186" s="15">
        <v>94</v>
      </c>
      <c r="K2186" s="15" t="str">
        <f t="shared" si="34"/>
        <v>miyakabekzoma</v>
      </c>
      <c r="L2186" s="15" t="s">
        <v>11696</v>
      </c>
      <c r="M2186" s="15">
        <v>2</v>
      </c>
      <c r="N2186" s="15" t="s">
        <v>11223</v>
      </c>
      <c r="O2186" s="15"/>
      <c r="P2186" s="15"/>
      <c r="Q2186" s="15" t="s">
        <v>11771</v>
      </c>
      <c r="R2186" s="15"/>
      <c r="S2186" s="15"/>
      <c r="T2186" s="15">
        <v>0</v>
      </c>
      <c r="U2186" s="15"/>
      <c r="V2186" s="15"/>
      <c r="W2186" s="15"/>
      <c r="X2186" s="15"/>
      <c r="Y2186" s="15"/>
      <c r="Z2186" s="15"/>
    </row>
    <row r="2187" spans="1:26" x14ac:dyDescent="0.25">
      <c r="A2187" s="15" t="s">
        <v>15617</v>
      </c>
      <c r="B2187" s="15">
        <v>2186</v>
      </c>
      <c r="C2187" s="15" t="s">
        <v>11277</v>
      </c>
      <c r="D2187" s="15" t="s">
        <v>11277</v>
      </c>
      <c r="E2187" s="15" t="s">
        <v>215</v>
      </c>
      <c r="F2187" s="15" t="s">
        <v>2636</v>
      </c>
      <c r="G2187" s="15" t="s">
        <v>11773</v>
      </c>
      <c r="H2187" s="15">
        <v>14</v>
      </c>
      <c r="I2187" s="15">
        <v>28</v>
      </c>
      <c r="J2187" s="15">
        <v>95</v>
      </c>
      <c r="K2187" s="15" t="str">
        <f t="shared" si="34"/>
        <v>miyakabekzoma</v>
      </c>
      <c r="L2187" s="15" t="s">
        <v>11774</v>
      </c>
      <c r="M2187" s="15">
        <v>2</v>
      </c>
      <c r="N2187" s="15" t="s">
        <v>11223</v>
      </c>
      <c r="O2187" s="15"/>
      <c r="P2187" s="15"/>
      <c r="Q2187" s="15" t="s">
        <v>11771</v>
      </c>
      <c r="R2187" s="15"/>
      <c r="S2187" s="15"/>
      <c r="T2187" s="15">
        <v>0</v>
      </c>
      <c r="U2187" s="15"/>
      <c r="V2187" s="15"/>
      <c r="W2187" s="15"/>
      <c r="X2187" s="15"/>
      <c r="Y2187" s="15"/>
      <c r="Z2187" s="15"/>
    </row>
    <row r="2188" spans="1:26" x14ac:dyDescent="0.25">
      <c r="A2188" s="15" t="s">
        <v>15618</v>
      </c>
      <c r="B2188" s="15">
        <v>2187</v>
      </c>
      <c r="C2188" s="15" t="s">
        <v>11277</v>
      </c>
      <c r="D2188" s="15" t="s">
        <v>11277</v>
      </c>
      <c r="E2188" s="15" t="s">
        <v>215</v>
      </c>
      <c r="F2188" s="15" t="s">
        <v>2636</v>
      </c>
      <c r="G2188" s="15" t="s">
        <v>11775</v>
      </c>
      <c r="H2188" s="15">
        <v>14</v>
      </c>
      <c r="I2188" s="15">
        <v>28</v>
      </c>
      <c r="J2188" s="15">
        <v>92</v>
      </c>
      <c r="K2188" s="15" t="str">
        <f t="shared" si="34"/>
        <v>miyakabekzoma</v>
      </c>
      <c r="L2188" s="15" t="s">
        <v>11560</v>
      </c>
      <c r="M2188" s="15">
        <v>1</v>
      </c>
      <c r="N2188" s="15" t="s">
        <v>11222</v>
      </c>
      <c r="O2188" s="15"/>
      <c r="P2188" s="15"/>
      <c r="Q2188" s="15"/>
      <c r="R2188" s="15"/>
      <c r="S2188" s="15"/>
      <c r="T2188" s="15">
        <v>0</v>
      </c>
      <c r="U2188" s="15"/>
      <c r="V2188" s="15"/>
      <c r="W2188" s="15"/>
      <c r="X2188" s="15"/>
      <c r="Y2188" s="15"/>
      <c r="Z2188" s="15"/>
    </row>
    <row r="2189" spans="1:26" x14ac:dyDescent="0.25">
      <c r="A2189" s="15" t="s">
        <v>15619</v>
      </c>
      <c r="B2189" s="15">
        <v>2188</v>
      </c>
      <c r="C2189" s="15" t="s">
        <v>11277</v>
      </c>
      <c r="D2189" s="15" t="s">
        <v>11277</v>
      </c>
      <c r="E2189" s="15" t="s">
        <v>215</v>
      </c>
      <c r="F2189" s="15" t="s">
        <v>2636</v>
      </c>
      <c r="G2189" s="15" t="s">
        <v>11776</v>
      </c>
      <c r="H2189" s="15">
        <v>14</v>
      </c>
      <c r="I2189" s="15">
        <v>28</v>
      </c>
      <c r="J2189" s="15">
        <v>100</v>
      </c>
      <c r="K2189" s="15" t="str">
        <f t="shared" si="34"/>
        <v>miyakabekzoma</v>
      </c>
      <c r="L2189" s="15" t="s">
        <v>14088</v>
      </c>
      <c r="M2189" s="15">
        <v>3</v>
      </c>
      <c r="N2189" s="15" t="s">
        <v>11223</v>
      </c>
      <c r="O2189" s="15" t="s">
        <v>14024</v>
      </c>
      <c r="P2189" s="15"/>
      <c r="Q2189" s="15" t="s">
        <v>11771</v>
      </c>
      <c r="R2189" s="15"/>
      <c r="S2189" s="15"/>
      <c r="T2189" s="15">
        <v>4</v>
      </c>
      <c r="U2189" s="15"/>
      <c r="V2189" s="15"/>
      <c r="W2189" s="15"/>
      <c r="X2189" s="15"/>
      <c r="Y2189" s="15"/>
      <c r="Z2189" s="15"/>
    </row>
    <row r="2190" spans="1:26" x14ac:dyDescent="0.25">
      <c r="A2190" s="15" t="s">
        <v>15620</v>
      </c>
      <c r="B2190" s="15">
        <v>2189</v>
      </c>
      <c r="C2190" s="15" t="s">
        <v>11277</v>
      </c>
      <c r="D2190" s="15" t="s">
        <v>11277</v>
      </c>
      <c r="E2190" s="15" t="s">
        <v>215</v>
      </c>
      <c r="F2190" s="15" t="s">
        <v>2637</v>
      </c>
      <c r="G2190" s="15" t="s">
        <v>11770</v>
      </c>
      <c r="H2190" s="15">
        <v>25</v>
      </c>
      <c r="I2190" s="15">
        <v>31</v>
      </c>
      <c r="J2190" s="15">
        <v>94</v>
      </c>
      <c r="K2190" s="15" t="str">
        <f t="shared" si="34"/>
        <v>marshligaka</v>
      </c>
      <c r="L2190" s="15" t="s">
        <v>11698</v>
      </c>
      <c r="M2190" s="15">
        <v>1</v>
      </c>
      <c r="N2190" s="15" t="s">
        <v>11222</v>
      </c>
      <c r="O2190" s="15"/>
      <c r="P2190" s="15"/>
      <c r="Q2190" s="15"/>
      <c r="R2190" s="15"/>
      <c r="S2190" s="15"/>
      <c r="T2190" s="15">
        <v>0</v>
      </c>
      <c r="U2190" s="15"/>
      <c r="V2190" s="15"/>
      <c r="W2190" s="15"/>
      <c r="X2190" s="15"/>
      <c r="Y2190" s="15"/>
      <c r="Z2190" s="15"/>
    </row>
    <row r="2191" spans="1:26" x14ac:dyDescent="0.25">
      <c r="A2191" s="15" t="s">
        <v>15621</v>
      </c>
      <c r="B2191" s="15">
        <v>2190</v>
      </c>
      <c r="C2191" s="15" t="s">
        <v>11277</v>
      </c>
      <c r="D2191" s="15" t="s">
        <v>11277</v>
      </c>
      <c r="E2191" s="15" t="s">
        <v>215</v>
      </c>
      <c r="F2191" s="15" t="s">
        <v>2637</v>
      </c>
      <c r="G2191" s="15" t="s">
        <v>11771</v>
      </c>
      <c r="H2191" s="15">
        <v>25</v>
      </c>
      <c r="I2191" s="15">
        <v>31</v>
      </c>
      <c r="J2191" s="15">
        <v>94</v>
      </c>
      <c r="K2191" s="15" t="str">
        <f t="shared" si="34"/>
        <v>marshligaka</v>
      </c>
      <c r="L2191" s="15" t="s">
        <v>11698</v>
      </c>
      <c r="M2191" s="15">
        <v>1</v>
      </c>
      <c r="N2191" s="15" t="s">
        <v>11222</v>
      </c>
      <c r="O2191" s="15"/>
      <c r="P2191" s="15"/>
      <c r="Q2191" s="15"/>
      <c r="R2191" s="15"/>
      <c r="S2191" s="15"/>
      <c r="T2191" s="15">
        <v>0</v>
      </c>
      <c r="U2191" s="15"/>
      <c r="V2191" s="15"/>
      <c r="W2191" s="15"/>
      <c r="X2191" s="15"/>
      <c r="Y2191" s="15"/>
      <c r="Z2191" s="15"/>
    </row>
    <row r="2192" spans="1:26" x14ac:dyDescent="0.25">
      <c r="A2192" s="15" t="s">
        <v>15622</v>
      </c>
      <c r="B2192" s="15">
        <v>2191</v>
      </c>
      <c r="C2192" s="15" t="s">
        <v>11277</v>
      </c>
      <c r="D2192" s="15" t="s">
        <v>11277</v>
      </c>
      <c r="E2192" s="15" t="s">
        <v>215</v>
      </c>
      <c r="F2192" s="15" t="s">
        <v>2637</v>
      </c>
      <c r="G2192" s="15" t="s">
        <v>11777</v>
      </c>
      <c r="H2192" s="15">
        <v>25</v>
      </c>
      <c r="I2192" s="15">
        <v>31</v>
      </c>
      <c r="J2192" s="15">
        <v>95</v>
      </c>
      <c r="K2192" s="15" t="str">
        <f t="shared" si="34"/>
        <v>marshligaka</v>
      </c>
      <c r="L2192" s="15" t="s">
        <v>11774</v>
      </c>
      <c r="M2192" s="15">
        <v>2</v>
      </c>
      <c r="N2192" s="15" t="s">
        <v>11223</v>
      </c>
      <c r="O2192" s="15"/>
      <c r="P2192" s="15"/>
      <c r="Q2192" s="15" t="s">
        <v>11771</v>
      </c>
      <c r="R2192" s="15"/>
      <c r="S2192" s="15"/>
      <c r="T2192" s="15">
        <v>0</v>
      </c>
      <c r="U2192" s="15"/>
      <c r="V2192" s="15"/>
      <c r="W2192" s="15"/>
      <c r="X2192" s="15"/>
      <c r="Y2192" s="15"/>
      <c r="Z2192" s="15"/>
    </row>
    <row r="2193" spans="1:26" x14ac:dyDescent="0.25">
      <c r="A2193" s="15" t="s">
        <v>15623</v>
      </c>
      <c r="B2193" s="15">
        <v>2192</v>
      </c>
      <c r="C2193" s="15" t="s">
        <v>11277</v>
      </c>
      <c r="D2193" s="15" t="s">
        <v>11277</v>
      </c>
      <c r="E2193" s="15" t="s">
        <v>215</v>
      </c>
      <c r="F2193" s="15" t="s">
        <v>2637</v>
      </c>
      <c r="G2193" s="15" t="s">
        <v>11778</v>
      </c>
      <c r="H2193" s="15">
        <v>25</v>
      </c>
      <c r="I2193" s="15">
        <v>31</v>
      </c>
      <c r="J2193" s="15">
        <v>100</v>
      </c>
      <c r="K2193" s="15" t="str">
        <f t="shared" si="34"/>
        <v>marshligaka</v>
      </c>
      <c r="L2193" s="15" t="s">
        <v>14088</v>
      </c>
      <c r="M2193" s="15">
        <v>2</v>
      </c>
      <c r="N2193" s="15" t="s">
        <v>11223</v>
      </c>
      <c r="O2193" s="15" t="s">
        <v>14019</v>
      </c>
      <c r="P2193" s="15"/>
      <c r="Q2193" s="15" t="s">
        <v>11771</v>
      </c>
      <c r="R2193" s="15"/>
      <c r="S2193" s="15"/>
      <c r="T2193" s="15">
        <v>1</v>
      </c>
      <c r="U2193" s="15"/>
      <c r="V2193" s="15"/>
      <c r="W2193" s="15"/>
      <c r="X2193" s="15"/>
      <c r="Y2193" s="15"/>
      <c r="Z2193" s="15"/>
    </row>
    <row r="2194" spans="1:26" x14ac:dyDescent="0.25">
      <c r="A2194" s="15" t="s">
        <v>15624</v>
      </c>
      <c r="B2194" s="15">
        <v>2193</v>
      </c>
      <c r="C2194" s="15" t="s">
        <v>11277</v>
      </c>
      <c r="D2194" s="15" t="s">
        <v>11277</v>
      </c>
      <c r="E2194" s="15" t="s">
        <v>215</v>
      </c>
      <c r="F2194" s="15" t="s">
        <v>2637</v>
      </c>
      <c r="G2194" s="15" t="s">
        <v>223</v>
      </c>
      <c r="H2194" s="15">
        <v>25</v>
      </c>
      <c r="I2194" s="15">
        <v>31</v>
      </c>
      <c r="J2194" s="15">
        <v>96</v>
      </c>
      <c r="K2194" s="15" t="str">
        <f t="shared" si="34"/>
        <v>marshligaka</v>
      </c>
      <c r="L2194" s="15" t="s">
        <v>11774</v>
      </c>
      <c r="M2194" s="15">
        <v>2</v>
      </c>
      <c r="N2194" s="15" t="s">
        <v>11223</v>
      </c>
      <c r="O2194" s="15"/>
      <c r="P2194" s="15"/>
      <c r="Q2194" s="15"/>
      <c r="R2194" s="15"/>
      <c r="S2194" s="15"/>
      <c r="T2194" s="15">
        <v>0</v>
      </c>
      <c r="U2194" s="15"/>
      <c r="V2194" s="15"/>
      <c r="W2194" s="15"/>
      <c r="X2194" s="15"/>
      <c r="Y2194" s="15"/>
      <c r="Z2194" s="15"/>
    </row>
    <row r="2195" spans="1:26" x14ac:dyDescent="0.25">
      <c r="A2195" s="15" t="s">
        <v>15625</v>
      </c>
      <c r="B2195" s="15">
        <v>2194</v>
      </c>
      <c r="C2195" s="15" t="s">
        <v>11277</v>
      </c>
      <c r="D2195" s="15" t="s">
        <v>11277</v>
      </c>
      <c r="E2195" s="15" t="s">
        <v>215</v>
      </c>
      <c r="F2195" s="15" t="s">
        <v>2637</v>
      </c>
      <c r="G2195" s="15" t="s">
        <v>11779</v>
      </c>
      <c r="H2195" s="15">
        <v>25</v>
      </c>
      <c r="I2195" s="15">
        <v>31</v>
      </c>
      <c r="J2195" s="15">
        <v>100</v>
      </c>
      <c r="K2195" s="15" t="str">
        <f t="shared" si="34"/>
        <v>marshligaka</v>
      </c>
      <c r="L2195" s="15" t="s">
        <v>11774</v>
      </c>
      <c r="M2195" s="15">
        <v>3</v>
      </c>
      <c r="N2195" s="15" t="s">
        <v>11223</v>
      </c>
      <c r="O2195" s="15" t="s">
        <v>11302</v>
      </c>
      <c r="P2195" s="15"/>
      <c r="Q2195" s="15"/>
      <c r="R2195" s="15"/>
      <c r="S2195" s="15"/>
      <c r="T2195" s="15">
        <v>4</v>
      </c>
      <c r="U2195" s="15"/>
      <c r="V2195" s="15"/>
      <c r="W2195" s="15"/>
      <c r="X2195" s="15"/>
      <c r="Y2195" s="15"/>
      <c r="Z2195" s="15"/>
    </row>
    <row r="2196" spans="1:26" x14ac:dyDescent="0.25">
      <c r="A2196" s="15" t="s">
        <v>15626</v>
      </c>
      <c r="B2196" s="15">
        <v>2195</v>
      </c>
      <c r="C2196" s="15" t="s">
        <v>11277</v>
      </c>
      <c r="D2196" s="15" t="s">
        <v>11647</v>
      </c>
      <c r="E2196" s="15" t="s">
        <v>215</v>
      </c>
      <c r="F2196" s="15" t="s">
        <v>15627</v>
      </c>
      <c r="G2196" s="15" t="s">
        <v>11806</v>
      </c>
      <c r="H2196" s="15">
        <v>24</v>
      </c>
      <c r="I2196" s="15">
        <v>32</v>
      </c>
      <c r="J2196" s="15">
        <v>92</v>
      </c>
      <c r="K2196" s="15" t="str">
        <f t="shared" si="34"/>
        <v>easternmarshligaka</v>
      </c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 spans="1:26" x14ac:dyDescent="0.25">
      <c r="A2197" s="15" t="s">
        <v>15628</v>
      </c>
      <c r="B2197" s="15">
        <v>2196</v>
      </c>
      <c r="C2197" s="15" t="s">
        <v>11277</v>
      </c>
      <c r="D2197" s="15" t="s">
        <v>11647</v>
      </c>
      <c r="E2197" s="15" t="s">
        <v>215</v>
      </c>
      <c r="F2197" s="15" t="s">
        <v>15627</v>
      </c>
      <c r="G2197" s="15" t="s">
        <v>11807</v>
      </c>
      <c r="H2197" s="15">
        <v>24</v>
      </c>
      <c r="I2197" s="15">
        <v>32</v>
      </c>
      <c r="J2197" s="15">
        <v>91</v>
      </c>
      <c r="K2197" s="15" t="str">
        <f t="shared" si="34"/>
        <v>easternmarshligaka</v>
      </c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 spans="1:26" x14ac:dyDescent="0.25">
      <c r="A2198" s="15" t="s">
        <v>15629</v>
      </c>
      <c r="B2198" s="15">
        <v>2197</v>
      </c>
      <c r="C2198" s="15" t="s">
        <v>11277</v>
      </c>
      <c r="D2198" s="15" t="s">
        <v>11647</v>
      </c>
      <c r="E2198" s="15" t="s">
        <v>215</v>
      </c>
      <c r="F2198" s="15" t="s">
        <v>15627</v>
      </c>
      <c r="G2198" s="15" t="s">
        <v>11808</v>
      </c>
      <c r="H2198" s="15">
        <v>24</v>
      </c>
      <c r="I2198" s="15">
        <v>32</v>
      </c>
      <c r="J2198" s="15">
        <v>92</v>
      </c>
      <c r="K2198" s="15" t="str">
        <f t="shared" si="34"/>
        <v>easternmarshligaka</v>
      </c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 spans="1:26" x14ac:dyDescent="0.25">
      <c r="A2199" s="15" t="s">
        <v>15630</v>
      </c>
      <c r="B2199" s="15">
        <v>2198</v>
      </c>
      <c r="C2199" s="15" t="s">
        <v>11277</v>
      </c>
      <c r="D2199" s="15" t="s">
        <v>11647</v>
      </c>
      <c r="E2199" s="15" t="s">
        <v>215</v>
      </c>
      <c r="F2199" s="15" t="s">
        <v>15627</v>
      </c>
      <c r="G2199" s="15" t="s">
        <v>11809</v>
      </c>
      <c r="H2199" s="15">
        <v>24</v>
      </c>
      <c r="I2199" s="15">
        <v>32</v>
      </c>
      <c r="J2199" s="15">
        <v>93</v>
      </c>
      <c r="K2199" s="15" t="str">
        <f t="shared" si="34"/>
        <v>easternmarshligaka</v>
      </c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 spans="1:26" x14ac:dyDescent="0.25">
      <c r="A2200" s="15" t="s">
        <v>15631</v>
      </c>
      <c r="B2200" s="15">
        <v>2199</v>
      </c>
      <c r="C2200" s="15" t="s">
        <v>11277</v>
      </c>
      <c r="D2200" s="15" t="s">
        <v>11647</v>
      </c>
      <c r="E2200" s="15" t="s">
        <v>215</v>
      </c>
      <c r="F2200" s="15" t="s">
        <v>15627</v>
      </c>
      <c r="G2200" s="15" t="s">
        <v>11810</v>
      </c>
      <c r="H2200" s="15">
        <v>24</v>
      </c>
      <c r="I2200" s="15">
        <v>32</v>
      </c>
      <c r="J2200" s="15">
        <v>95</v>
      </c>
      <c r="K2200" s="15" t="str">
        <f t="shared" si="34"/>
        <v>easternmarshligaka</v>
      </c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 spans="1:26" x14ac:dyDescent="0.25">
      <c r="A2201" s="15" t="s">
        <v>15632</v>
      </c>
      <c r="B2201" s="15">
        <v>2200</v>
      </c>
      <c r="C2201" s="15" t="s">
        <v>11277</v>
      </c>
      <c r="D2201" s="15" t="s">
        <v>11647</v>
      </c>
      <c r="E2201" s="15" t="s">
        <v>215</v>
      </c>
      <c r="F2201" s="15" t="s">
        <v>15627</v>
      </c>
      <c r="G2201" s="15" t="s">
        <v>11811</v>
      </c>
      <c r="H2201" s="15">
        <v>24</v>
      </c>
      <c r="I2201" s="15">
        <v>32</v>
      </c>
      <c r="J2201" s="15">
        <v>94</v>
      </c>
      <c r="K2201" s="15" t="str">
        <f t="shared" si="34"/>
        <v>easternmarshligaka</v>
      </c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 spans="1:26" x14ac:dyDescent="0.25">
      <c r="A2202" s="15" t="s">
        <v>15633</v>
      </c>
      <c r="B2202" s="15">
        <v>2201</v>
      </c>
      <c r="C2202" s="15" t="s">
        <v>11277</v>
      </c>
      <c r="D2202" s="15" t="s">
        <v>11647</v>
      </c>
      <c r="E2202" s="15" t="s">
        <v>215</v>
      </c>
      <c r="F2202" s="15" t="s">
        <v>15634</v>
      </c>
      <c r="G2202" s="15" t="s">
        <v>11812</v>
      </c>
      <c r="H2202" s="15">
        <v>21</v>
      </c>
      <c r="I2202" s="15">
        <v>33</v>
      </c>
      <c r="J2202" s="15">
        <v>94</v>
      </c>
      <c r="K2202" s="15" t="str">
        <f t="shared" si="34"/>
        <v>westernmarshligaka</v>
      </c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 spans="1:26" x14ac:dyDescent="0.25">
      <c r="A2203" s="15" t="s">
        <v>15635</v>
      </c>
      <c r="B2203" s="15">
        <v>2202</v>
      </c>
      <c r="C2203" s="15" t="s">
        <v>11277</v>
      </c>
      <c r="D2203" s="15" t="s">
        <v>11647</v>
      </c>
      <c r="E2203" s="15" t="s">
        <v>215</v>
      </c>
      <c r="F2203" s="15" t="s">
        <v>15634</v>
      </c>
      <c r="G2203" s="15" t="s">
        <v>11813</v>
      </c>
      <c r="H2203" s="15">
        <v>21</v>
      </c>
      <c r="I2203" s="15">
        <v>33</v>
      </c>
      <c r="J2203" s="15">
        <v>91</v>
      </c>
      <c r="K2203" s="15" t="str">
        <f t="shared" si="34"/>
        <v>westernmarshligaka</v>
      </c>
      <c r="L2203" s="15"/>
      <c r="M2203" s="15"/>
      <c r="N2203" s="15"/>
      <c r="O2203" s="15"/>
      <c r="P2203" s="15"/>
      <c r="Q2203" s="15"/>
      <c r="R2203" s="15"/>
      <c r="S2203" s="15"/>
      <c r="T2203" s="15">
        <v>0</v>
      </c>
      <c r="U2203" s="15"/>
      <c r="V2203" s="15"/>
      <c r="W2203" s="15"/>
      <c r="X2203" s="15"/>
      <c r="Y2203" s="15"/>
      <c r="Z2203" s="15"/>
    </row>
    <row r="2204" spans="1:26" x14ac:dyDescent="0.25">
      <c r="A2204" s="15" t="s">
        <v>15636</v>
      </c>
      <c r="B2204" s="15">
        <v>2203</v>
      </c>
      <c r="C2204" s="15" t="s">
        <v>11277</v>
      </c>
      <c r="D2204" s="15" t="s">
        <v>11647</v>
      </c>
      <c r="E2204" s="15" t="s">
        <v>215</v>
      </c>
      <c r="F2204" s="15" t="s">
        <v>15634</v>
      </c>
      <c r="G2204" s="15" t="s">
        <v>11814</v>
      </c>
      <c r="H2204" s="15">
        <v>21</v>
      </c>
      <c r="I2204" s="15">
        <v>33</v>
      </c>
      <c r="J2204" s="15">
        <v>93</v>
      </c>
      <c r="K2204" s="15" t="str">
        <f t="shared" si="34"/>
        <v>westernmarshligaka</v>
      </c>
      <c r="L2204" s="15"/>
      <c r="M2204" s="15"/>
      <c r="N2204" s="15"/>
      <c r="O2204" s="15"/>
      <c r="P2204" s="15"/>
      <c r="Q2204" s="15"/>
      <c r="R2204" s="15"/>
      <c r="S2204" s="15"/>
      <c r="T2204" s="15">
        <v>0</v>
      </c>
      <c r="U2204" s="15"/>
      <c r="V2204" s="15"/>
      <c r="W2204" s="15"/>
      <c r="X2204" s="15"/>
      <c r="Y2204" s="15"/>
      <c r="Z2204" s="15"/>
    </row>
    <row r="2205" spans="1:26" x14ac:dyDescent="0.25">
      <c r="A2205" s="15" t="s">
        <v>15637</v>
      </c>
      <c r="B2205" s="15">
        <v>2204</v>
      </c>
      <c r="C2205" s="15" t="s">
        <v>11277</v>
      </c>
      <c r="D2205" s="15" t="s">
        <v>11647</v>
      </c>
      <c r="E2205" s="15" t="s">
        <v>215</v>
      </c>
      <c r="F2205" s="15" t="s">
        <v>15634</v>
      </c>
      <c r="G2205" s="15" t="s">
        <v>11815</v>
      </c>
      <c r="H2205" s="15">
        <v>21</v>
      </c>
      <c r="I2205" s="15">
        <v>33</v>
      </c>
      <c r="J2205" s="15">
        <v>92</v>
      </c>
      <c r="K2205" s="15" t="str">
        <f t="shared" si="34"/>
        <v>westernmarshligaka</v>
      </c>
      <c r="L2205" s="15"/>
      <c r="M2205" s="15"/>
      <c r="N2205" s="15"/>
      <c r="O2205" s="15"/>
      <c r="P2205" s="15"/>
      <c r="Q2205" s="15"/>
      <c r="R2205" s="15"/>
      <c r="S2205" s="15"/>
      <c r="T2205" s="15">
        <v>0</v>
      </c>
      <c r="U2205" s="15"/>
      <c r="V2205" s="15"/>
      <c r="W2205" s="15"/>
      <c r="X2205" s="15"/>
      <c r="Y2205" s="15"/>
      <c r="Z2205" s="15"/>
    </row>
    <row r="2206" spans="1:26" x14ac:dyDescent="0.25">
      <c r="A2206" s="15" t="s">
        <v>15638</v>
      </c>
      <c r="B2206" s="15">
        <v>2205</v>
      </c>
      <c r="C2206" s="15" t="s">
        <v>11277</v>
      </c>
      <c r="D2206" s="15" t="s">
        <v>11647</v>
      </c>
      <c r="E2206" s="15" t="s">
        <v>215</v>
      </c>
      <c r="F2206" s="15" t="s">
        <v>15634</v>
      </c>
      <c r="G2206" s="15" t="s">
        <v>11816</v>
      </c>
      <c r="H2206" s="15">
        <v>21</v>
      </c>
      <c r="I2206" s="15">
        <v>33</v>
      </c>
      <c r="J2206" s="15">
        <v>92</v>
      </c>
      <c r="K2206" s="15" t="str">
        <f t="shared" si="34"/>
        <v>westernmarshligaka</v>
      </c>
      <c r="L2206" s="15"/>
      <c r="M2206" s="15"/>
      <c r="N2206" s="15"/>
      <c r="O2206" s="15"/>
      <c r="P2206" s="15"/>
      <c r="Q2206" s="15"/>
      <c r="R2206" s="15"/>
      <c r="S2206" s="15"/>
      <c r="T2206" s="15">
        <v>0</v>
      </c>
      <c r="U2206" s="15"/>
      <c r="V2206" s="15"/>
      <c r="W2206" s="15"/>
      <c r="X2206" s="15"/>
      <c r="Y2206" s="15"/>
      <c r="Z2206" s="15"/>
    </row>
    <row r="2207" spans="1:26" x14ac:dyDescent="0.25">
      <c r="A2207" s="15" t="s">
        <v>15639</v>
      </c>
      <c r="B2207" s="15">
        <v>2206</v>
      </c>
      <c r="C2207" s="15" t="s">
        <v>11277</v>
      </c>
      <c r="D2207" s="15" t="s">
        <v>11647</v>
      </c>
      <c r="E2207" s="15" t="s">
        <v>215</v>
      </c>
      <c r="F2207" s="15" t="s">
        <v>15634</v>
      </c>
      <c r="G2207" s="15" t="s">
        <v>11817</v>
      </c>
      <c r="H2207" s="15">
        <v>21</v>
      </c>
      <c r="I2207" s="15">
        <v>33</v>
      </c>
      <c r="J2207" s="15">
        <v>95</v>
      </c>
      <c r="K2207" s="15" t="str">
        <f t="shared" si="34"/>
        <v>westernmarshligaka</v>
      </c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 spans="1:26" x14ac:dyDescent="0.25">
      <c r="A2208" s="15" t="s">
        <v>15640</v>
      </c>
      <c r="B2208" s="15">
        <v>2207</v>
      </c>
      <c r="C2208" s="15" t="s">
        <v>11277</v>
      </c>
      <c r="D2208" s="15" t="s">
        <v>11647</v>
      </c>
      <c r="E2208" s="15" t="s">
        <v>215</v>
      </c>
      <c r="F2208" s="15" t="s">
        <v>15641</v>
      </c>
      <c r="G2208" s="15" t="s">
        <v>11806</v>
      </c>
      <c r="H2208" s="15">
        <v>25</v>
      </c>
      <c r="I2208" s="15">
        <v>31</v>
      </c>
      <c r="J2208" s="15">
        <v>92</v>
      </c>
      <c r="K2208" s="15" t="str">
        <f t="shared" si="34"/>
        <v>marshligakadepths</v>
      </c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 spans="1:26" x14ac:dyDescent="0.25">
      <c r="A2209" s="15" t="s">
        <v>15642</v>
      </c>
      <c r="B2209" s="15">
        <v>2208</v>
      </c>
      <c r="C2209" s="15" t="s">
        <v>11277</v>
      </c>
      <c r="D2209" s="15" t="s">
        <v>11647</v>
      </c>
      <c r="E2209" s="15" t="s">
        <v>215</v>
      </c>
      <c r="F2209" s="15" t="s">
        <v>15641</v>
      </c>
      <c r="G2209" s="15" t="s">
        <v>11810</v>
      </c>
      <c r="H2209" s="15">
        <v>25</v>
      </c>
      <c r="I2209" s="15">
        <v>31</v>
      </c>
      <c r="J2209" s="15">
        <v>95</v>
      </c>
      <c r="K2209" s="15" t="str">
        <f t="shared" si="34"/>
        <v>marshligakadepths</v>
      </c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 spans="1:26" x14ac:dyDescent="0.25">
      <c r="A2210" s="15" t="s">
        <v>15643</v>
      </c>
      <c r="B2210" s="15">
        <v>2209</v>
      </c>
      <c r="C2210" s="15" t="s">
        <v>11277</v>
      </c>
      <c r="D2210" s="15" t="s">
        <v>11647</v>
      </c>
      <c r="E2210" s="15" t="s">
        <v>215</v>
      </c>
      <c r="F2210" s="15" t="s">
        <v>15641</v>
      </c>
      <c r="G2210" s="15" t="s">
        <v>11812</v>
      </c>
      <c r="H2210" s="15">
        <v>25</v>
      </c>
      <c r="I2210" s="15">
        <v>31</v>
      </c>
      <c r="J2210" s="15">
        <v>94</v>
      </c>
      <c r="K2210" s="15" t="str">
        <f t="shared" si="34"/>
        <v>marshligakadepths</v>
      </c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 spans="1:26" x14ac:dyDescent="0.25">
      <c r="A2211" s="15" t="s">
        <v>15644</v>
      </c>
      <c r="B2211" s="15">
        <v>2210</v>
      </c>
      <c r="C2211" s="15" t="s">
        <v>11277</v>
      </c>
      <c r="D2211" s="15" t="s">
        <v>11647</v>
      </c>
      <c r="E2211" s="15" t="s">
        <v>215</v>
      </c>
      <c r="F2211" s="15" t="s">
        <v>15641</v>
      </c>
      <c r="G2211" s="15" t="s">
        <v>11814</v>
      </c>
      <c r="H2211" s="15">
        <v>25</v>
      </c>
      <c r="I2211" s="15">
        <v>31</v>
      </c>
      <c r="J2211" s="15">
        <v>93</v>
      </c>
      <c r="K2211" s="15" t="str">
        <f t="shared" si="34"/>
        <v>marshligakadepths</v>
      </c>
      <c r="L2211" s="15"/>
      <c r="M2211" s="15"/>
      <c r="N2211" s="15"/>
      <c r="O2211" s="15"/>
      <c r="P2211" s="15"/>
      <c r="Q2211" s="15"/>
      <c r="R2211" s="15"/>
      <c r="S2211" s="15"/>
      <c r="T2211" s="15">
        <v>0</v>
      </c>
      <c r="U2211" s="15"/>
      <c r="V2211" s="15"/>
      <c r="W2211" s="15"/>
      <c r="X2211" s="15"/>
      <c r="Y2211" s="15"/>
      <c r="Z2211" s="15"/>
    </row>
    <row r="2212" spans="1:26" x14ac:dyDescent="0.25">
      <c r="A2212" s="15" t="s">
        <v>15645</v>
      </c>
      <c r="B2212" s="15">
        <v>2211</v>
      </c>
      <c r="C2212" s="15" t="s">
        <v>11277</v>
      </c>
      <c r="D2212" s="15" t="s">
        <v>11647</v>
      </c>
      <c r="E2212" s="15" t="s">
        <v>215</v>
      </c>
      <c r="F2212" s="15" t="s">
        <v>15641</v>
      </c>
      <c r="G2212" s="15" t="s">
        <v>11818</v>
      </c>
      <c r="H2212" s="15">
        <v>25</v>
      </c>
      <c r="I2212" s="15">
        <v>31</v>
      </c>
      <c r="J2212" s="15">
        <v>95</v>
      </c>
      <c r="K2212" s="15" t="str">
        <f t="shared" si="34"/>
        <v>marshligakadepths</v>
      </c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 spans="1:26" x14ac:dyDescent="0.25">
      <c r="A2213" s="15" t="s">
        <v>15646</v>
      </c>
      <c r="B2213" s="15">
        <v>2212</v>
      </c>
      <c r="C2213" s="15" t="s">
        <v>11277</v>
      </c>
      <c r="D2213" s="15" t="s">
        <v>11647</v>
      </c>
      <c r="E2213" s="15" t="s">
        <v>215</v>
      </c>
      <c r="F2213" s="15" t="s">
        <v>15641</v>
      </c>
      <c r="G2213" s="15" t="s">
        <v>11819</v>
      </c>
      <c r="H2213" s="15">
        <v>25</v>
      </c>
      <c r="I2213" s="15">
        <v>31</v>
      </c>
      <c r="J2213" s="15">
        <v>93</v>
      </c>
      <c r="K2213" s="15" t="str">
        <f t="shared" si="34"/>
        <v>marshligakadepths</v>
      </c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 spans="1:26" x14ac:dyDescent="0.25">
      <c r="A2214" s="15" t="s">
        <v>15647</v>
      </c>
      <c r="B2214" s="15">
        <v>2213</v>
      </c>
      <c r="C2214" s="15" t="s">
        <v>11277</v>
      </c>
      <c r="D2214" s="15" t="s">
        <v>11277</v>
      </c>
      <c r="E2214" s="15" t="s">
        <v>215</v>
      </c>
      <c r="F2214" s="15" t="s">
        <v>2651</v>
      </c>
      <c r="G2214" s="15" t="s">
        <v>11780</v>
      </c>
      <c r="H2214" s="15">
        <v>8</v>
      </c>
      <c r="I2214" s="15">
        <v>11</v>
      </c>
      <c r="J2214" s="15">
        <v>92</v>
      </c>
      <c r="K2214" s="15" t="str">
        <f t="shared" si="34"/>
        <v>xdaatalattsoly</v>
      </c>
      <c r="L2214" s="15" t="s">
        <v>11774</v>
      </c>
      <c r="M2214" s="15">
        <v>1</v>
      </c>
      <c r="N2214" s="15" t="s">
        <v>11222</v>
      </c>
      <c r="O2214" s="15"/>
      <c r="P2214" s="15"/>
      <c r="Q2214" s="15"/>
      <c r="R2214" s="15"/>
      <c r="S2214" s="15"/>
      <c r="T2214" s="15">
        <v>0</v>
      </c>
      <c r="U2214" s="15"/>
      <c r="V2214" s="15"/>
      <c r="W2214" s="15"/>
      <c r="X2214" s="15"/>
      <c r="Y2214" s="15"/>
      <c r="Z2214" s="15"/>
    </row>
    <row r="2215" spans="1:26" x14ac:dyDescent="0.25">
      <c r="A2215" s="15" t="s">
        <v>15648</v>
      </c>
      <c r="B2215" s="15">
        <v>2214</v>
      </c>
      <c r="C2215" s="15" t="s">
        <v>11277</v>
      </c>
      <c r="D2215" s="15" t="s">
        <v>11277</v>
      </c>
      <c r="E2215" s="15" t="s">
        <v>215</v>
      </c>
      <c r="F2215" s="15" t="s">
        <v>2651</v>
      </c>
      <c r="G2215" s="15" t="s">
        <v>11781</v>
      </c>
      <c r="H2215" s="15">
        <v>8</v>
      </c>
      <c r="I2215" s="15">
        <v>11</v>
      </c>
      <c r="J2215" s="15">
        <v>93</v>
      </c>
      <c r="K2215" s="15" t="str">
        <f t="shared" si="34"/>
        <v>xdaatalattsoly</v>
      </c>
      <c r="L2215" s="15" t="s">
        <v>11698</v>
      </c>
      <c r="M2215" s="15">
        <v>1</v>
      </c>
      <c r="N2215" s="15" t="s">
        <v>11222</v>
      </c>
      <c r="O2215" s="15"/>
      <c r="P2215" s="15"/>
      <c r="Q2215" s="15"/>
      <c r="R2215" s="15"/>
      <c r="S2215" s="15"/>
      <c r="T2215" s="15">
        <v>0</v>
      </c>
      <c r="U2215" s="15"/>
      <c r="V2215" s="15"/>
      <c r="W2215" s="15"/>
      <c r="X2215" s="15"/>
      <c r="Y2215" s="15"/>
      <c r="Z2215" s="15"/>
    </row>
    <row r="2216" spans="1:26" x14ac:dyDescent="0.25">
      <c r="A2216" s="15" t="s">
        <v>15649</v>
      </c>
      <c r="B2216" s="15">
        <v>2215</v>
      </c>
      <c r="C2216" s="15" t="s">
        <v>11277</v>
      </c>
      <c r="D2216" s="15" t="s">
        <v>11277</v>
      </c>
      <c r="E2216" s="15" t="s">
        <v>215</v>
      </c>
      <c r="F2216" s="15" t="s">
        <v>2651</v>
      </c>
      <c r="G2216" s="15" t="s">
        <v>11782</v>
      </c>
      <c r="H2216" s="15">
        <v>8</v>
      </c>
      <c r="I2216" s="15">
        <v>11</v>
      </c>
      <c r="J2216" s="15">
        <v>93</v>
      </c>
      <c r="K2216" s="15" t="str">
        <f t="shared" si="34"/>
        <v>xdaatalattsoly</v>
      </c>
      <c r="L2216" s="15" t="s">
        <v>11774</v>
      </c>
      <c r="M2216" s="15">
        <v>2</v>
      </c>
      <c r="N2216" s="15" t="s">
        <v>11223</v>
      </c>
      <c r="O2216" s="15"/>
      <c r="P2216" s="15"/>
      <c r="Q2216" s="15"/>
      <c r="R2216" s="15"/>
      <c r="S2216" s="15"/>
      <c r="T2216" s="15">
        <v>0</v>
      </c>
      <c r="U2216" s="15"/>
      <c r="V2216" s="15"/>
      <c r="W2216" s="15"/>
      <c r="X2216" s="15"/>
      <c r="Y2216" s="15"/>
      <c r="Z2216" s="15"/>
    </row>
    <row r="2217" spans="1:26" x14ac:dyDescent="0.25">
      <c r="A2217" s="15" t="s">
        <v>15650</v>
      </c>
      <c r="B2217" s="15">
        <v>2216</v>
      </c>
      <c r="C2217" s="15" t="s">
        <v>11277</v>
      </c>
      <c r="D2217" s="15" t="s">
        <v>11277</v>
      </c>
      <c r="E2217" s="15" t="s">
        <v>215</v>
      </c>
      <c r="F2217" s="15" t="s">
        <v>2651</v>
      </c>
      <c r="G2217" s="15" t="s">
        <v>11783</v>
      </c>
      <c r="H2217" s="15">
        <v>8</v>
      </c>
      <c r="I2217" s="15">
        <v>11</v>
      </c>
      <c r="J2217" s="15">
        <v>94</v>
      </c>
      <c r="K2217" s="15" t="str">
        <f t="shared" si="34"/>
        <v>xdaatalattsoly</v>
      </c>
      <c r="L2217" s="15" t="s">
        <v>11774</v>
      </c>
      <c r="M2217" s="15">
        <v>2</v>
      </c>
      <c r="N2217" s="15" t="s">
        <v>11223</v>
      </c>
      <c r="O2217" s="15"/>
      <c r="P2217" s="15"/>
      <c r="Q2217" s="15"/>
      <c r="R2217" s="15"/>
      <c r="S2217" s="15"/>
      <c r="T2217" s="15">
        <v>0</v>
      </c>
      <c r="U2217" s="15"/>
      <c r="V2217" s="15"/>
      <c r="W2217" s="15"/>
      <c r="X2217" s="15"/>
      <c r="Y2217" s="15"/>
      <c r="Z2217" s="15"/>
    </row>
    <row r="2218" spans="1:26" x14ac:dyDescent="0.25">
      <c r="A2218" s="15" t="s">
        <v>15651</v>
      </c>
      <c r="B2218" s="15">
        <v>2217</v>
      </c>
      <c r="C2218" s="15" t="s">
        <v>11277</v>
      </c>
      <c r="D2218" s="15" t="s">
        <v>11277</v>
      </c>
      <c r="E2218" s="15" t="s">
        <v>215</v>
      </c>
      <c r="F2218" s="15" t="s">
        <v>2651</v>
      </c>
      <c r="G2218" s="15" t="s">
        <v>11784</v>
      </c>
      <c r="H2218" s="15">
        <v>8</v>
      </c>
      <c r="I2218" s="15">
        <v>11</v>
      </c>
      <c r="J2218" s="15">
        <v>100</v>
      </c>
      <c r="K2218" s="15" t="str">
        <f t="shared" si="34"/>
        <v>xdaatalattsoly</v>
      </c>
      <c r="L2218" s="15" t="s">
        <v>11701</v>
      </c>
      <c r="M2218" s="15">
        <v>3</v>
      </c>
      <c r="N2218" s="15" t="s">
        <v>11223</v>
      </c>
      <c r="O2218" s="15"/>
      <c r="P2218" s="15"/>
      <c r="Q2218" s="15"/>
      <c r="R2218" s="15"/>
      <c r="S2218" s="15"/>
      <c r="T2218" s="15">
        <v>1</v>
      </c>
      <c r="U2218" s="15" t="s">
        <v>5893</v>
      </c>
      <c r="V2218" s="15"/>
      <c r="W2218" s="15"/>
      <c r="X2218" s="15"/>
      <c r="Y2218" s="15"/>
      <c r="Z2218" s="15"/>
    </row>
    <row r="2219" spans="1:26" x14ac:dyDescent="0.25">
      <c r="A2219" s="15" t="s">
        <v>15652</v>
      </c>
      <c r="B2219" s="15">
        <v>2218</v>
      </c>
      <c r="C2219" s="15" t="s">
        <v>11277</v>
      </c>
      <c r="D2219" s="15" t="s">
        <v>11277</v>
      </c>
      <c r="E2219" s="15" t="s">
        <v>215</v>
      </c>
      <c r="F2219" s="15" t="s">
        <v>15653</v>
      </c>
      <c r="G2219" s="15" t="s">
        <v>11780</v>
      </c>
      <c r="H2219" s="15">
        <v>13</v>
      </c>
      <c r="I2219" s="15">
        <v>12</v>
      </c>
      <c r="J2219" s="15">
        <v>92</v>
      </c>
      <c r="K2219" s="15" t="str">
        <f t="shared" si="34"/>
        <v>iqbraaxreservoir</v>
      </c>
      <c r="L2219" s="15" t="s">
        <v>11698</v>
      </c>
      <c r="M2219" s="15">
        <v>1</v>
      </c>
      <c r="N2219" s="15" t="s">
        <v>11222</v>
      </c>
      <c r="O2219" s="15"/>
      <c r="P2219" s="15"/>
      <c r="Q2219" s="15"/>
      <c r="R2219" s="15"/>
      <c r="S2219" s="15"/>
      <c r="T2219" s="15">
        <v>0</v>
      </c>
      <c r="U2219" s="15"/>
      <c r="V2219" s="15"/>
      <c r="W2219" s="15"/>
      <c r="X2219" s="15"/>
      <c r="Y2219" s="15"/>
      <c r="Z2219" s="15"/>
    </row>
    <row r="2220" spans="1:26" x14ac:dyDescent="0.25">
      <c r="A2220" s="15" t="s">
        <v>15654</v>
      </c>
      <c r="B2220" s="15">
        <v>2219</v>
      </c>
      <c r="C2220" s="15" t="s">
        <v>11277</v>
      </c>
      <c r="D2220" s="15" t="s">
        <v>11277</v>
      </c>
      <c r="E2220" s="15" t="s">
        <v>215</v>
      </c>
      <c r="F2220" s="15" t="s">
        <v>15653</v>
      </c>
      <c r="G2220" s="15" t="s">
        <v>11781</v>
      </c>
      <c r="H2220" s="15">
        <v>13</v>
      </c>
      <c r="I2220" s="15">
        <v>12</v>
      </c>
      <c r="J2220" s="15">
        <v>93</v>
      </c>
      <c r="K2220" s="15" t="str">
        <f t="shared" si="34"/>
        <v>iqbraaxreservoir</v>
      </c>
      <c r="L2220" s="15" t="s">
        <v>11698</v>
      </c>
      <c r="M2220" s="15">
        <v>1</v>
      </c>
      <c r="N2220" s="15" t="s">
        <v>11222</v>
      </c>
      <c r="O2220" s="15"/>
      <c r="P2220" s="15"/>
      <c r="Q2220" s="15"/>
      <c r="R2220" s="15"/>
      <c r="S2220" s="15"/>
      <c r="T2220" s="15">
        <v>0</v>
      </c>
      <c r="U2220" s="15"/>
      <c r="V2220" s="15"/>
      <c r="W2220" s="15"/>
      <c r="X2220" s="15"/>
      <c r="Y2220" s="15"/>
      <c r="Z2220" s="15"/>
    </row>
    <row r="2221" spans="1:26" x14ac:dyDescent="0.25">
      <c r="A2221" s="15" t="s">
        <v>15655</v>
      </c>
      <c r="B2221" s="15">
        <v>2220</v>
      </c>
      <c r="C2221" s="15" t="s">
        <v>11277</v>
      </c>
      <c r="D2221" s="15" t="s">
        <v>11277</v>
      </c>
      <c r="E2221" s="15" t="s">
        <v>215</v>
      </c>
      <c r="F2221" s="15" t="s">
        <v>15653</v>
      </c>
      <c r="G2221" s="15" t="s">
        <v>11785</v>
      </c>
      <c r="H2221" s="15">
        <v>13</v>
      </c>
      <c r="I2221" s="15">
        <v>12</v>
      </c>
      <c r="J2221" s="15">
        <v>94</v>
      </c>
      <c r="K2221" s="15" t="str">
        <f t="shared" si="34"/>
        <v>iqbraaxreservoir</v>
      </c>
      <c r="L2221" s="15" t="s">
        <v>11774</v>
      </c>
      <c r="M2221" s="15">
        <v>2</v>
      </c>
      <c r="N2221" s="15" t="s">
        <v>11223</v>
      </c>
      <c r="O2221" s="15"/>
      <c r="P2221" s="15"/>
      <c r="Q2221" s="15"/>
      <c r="R2221" s="15"/>
      <c r="S2221" s="15"/>
      <c r="T2221" s="15">
        <v>0</v>
      </c>
      <c r="U2221" s="15"/>
      <c r="V2221" s="15"/>
      <c r="W2221" s="15"/>
      <c r="X2221" s="15"/>
      <c r="Y2221" s="15"/>
      <c r="Z2221" s="15"/>
    </row>
    <row r="2222" spans="1:26" x14ac:dyDescent="0.25">
      <c r="A2222" s="15" t="s">
        <v>15656</v>
      </c>
      <c r="B2222" s="15">
        <v>2221</v>
      </c>
      <c r="C2222" s="15" t="s">
        <v>11277</v>
      </c>
      <c r="D2222" s="15" t="s">
        <v>11277</v>
      </c>
      <c r="E2222" s="15" t="s">
        <v>215</v>
      </c>
      <c r="F2222" s="15" t="s">
        <v>15653</v>
      </c>
      <c r="G2222" s="15" t="s">
        <v>11786</v>
      </c>
      <c r="H2222" s="15">
        <v>13</v>
      </c>
      <c r="I2222" s="15">
        <v>12</v>
      </c>
      <c r="J2222" s="15">
        <v>94</v>
      </c>
      <c r="K2222" s="15" t="str">
        <f t="shared" si="34"/>
        <v>iqbraaxreservoir</v>
      </c>
      <c r="L2222" s="15" t="s">
        <v>11774</v>
      </c>
      <c r="M2222" s="15">
        <v>2</v>
      </c>
      <c r="N2222" s="15" t="s">
        <v>11223</v>
      </c>
      <c r="O2222" s="15"/>
      <c r="P2222" s="15"/>
      <c r="Q2222" s="15"/>
      <c r="R2222" s="15"/>
      <c r="S2222" s="15"/>
      <c r="T2222" s="15">
        <v>0</v>
      </c>
      <c r="U2222" s="15"/>
      <c r="V2222" s="15"/>
      <c r="W2222" s="15"/>
      <c r="X2222" s="15"/>
      <c r="Y2222" s="15"/>
      <c r="Z2222" s="15"/>
    </row>
    <row r="2223" spans="1:26" x14ac:dyDescent="0.25">
      <c r="A2223" s="15" t="s">
        <v>15657</v>
      </c>
      <c r="B2223" s="15">
        <v>2222</v>
      </c>
      <c r="C2223" s="15" t="s">
        <v>11277</v>
      </c>
      <c r="D2223" s="15" t="s">
        <v>11277</v>
      </c>
      <c r="E2223" s="15" t="s">
        <v>215</v>
      </c>
      <c r="F2223" s="15" t="s">
        <v>15653</v>
      </c>
      <c r="G2223" s="15" t="s">
        <v>11787</v>
      </c>
      <c r="H2223" s="15">
        <v>13</v>
      </c>
      <c r="I2223" s="15">
        <v>12</v>
      </c>
      <c r="J2223" s="15">
        <v>93</v>
      </c>
      <c r="K2223" s="15" t="str">
        <f t="shared" si="34"/>
        <v>iqbraaxreservoir</v>
      </c>
      <c r="L2223" s="15" t="s">
        <v>11560</v>
      </c>
      <c r="M2223" s="15">
        <v>1</v>
      </c>
      <c r="N2223" s="15" t="s">
        <v>11222</v>
      </c>
      <c r="O2223" s="15"/>
      <c r="P2223" s="15"/>
      <c r="Q2223" s="15"/>
      <c r="R2223" s="15"/>
      <c r="S2223" s="15"/>
      <c r="T2223" s="15">
        <v>0</v>
      </c>
      <c r="U2223" s="15"/>
      <c r="V2223" s="15"/>
      <c r="W2223" s="15"/>
      <c r="X2223" s="15"/>
      <c r="Y2223" s="15"/>
      <c r="Z2223" s="15"/>
    </row>
    <row r="2224" spans="1:26" x14ac:dyDescent="0.25">
      <c r="A2224" s="15" t="s">
        <v>15658</v>
      </c>
      <c r="B2224" s="15">
        <v>2223</v>
      </c>
      <c r="C2224" s="15" t="s">
        <v>11277</v>
      </c>
      <c r="D2224" s="15" t="s">
        <v>11277</v>
      </c>
      <c r="E2224" s="15" t="s">
        <v>215</v>
      </c>
      <c r="F2224" s="15" t="s">
        <v>15653</v>
      </c>
      <c r="G2224" s="15" t="s">
        <v>11788</v>
      </c>
      <c r="H2224" s="15">
        <v>13</v>
      </c>
      <c r="I2224" s="15">
        <v>12</v>
      </c>
      <c r="J2224" s="15">
        <v>100</v>
      </c>
      <c r="K2224" s="15" t="str">
        <f t="shared" si="34"/>
        <v>iqbraaxreservoir</v>
      </c>
      <c r="L2224" s="15" t="s">
        <v>11701</v>
      </c>
      <c r="M2224" s="15">
        <v>3</v>
      </c>
      <c r="N2224" s="15" t="s">
        <v>11223</v>
      </c>
      <c r="O2224" s="15" t="s">
        <v>2817</v>
      </c>
      <c r="P2224" s="15"/>
      <c r="Q2224" s="15"/>
      <c r="R2224" s="15"/>
      <c r="S2224" s="15"/>
      <c r="T2224" s="15">
        <v>2</v>
      </c>
      <c r="U2224" s="15"/>
      <c r="V2224" s="15"/>
      <c r="W2224" s="15"/>
      <c r="X2224" s="15"/>
      <c r="Y2224" s="15"/>
      <c r="Z2224" s="15"/>
    </row>
    <row r="2225" spans="1:26" x14ac:dyDescent="0.25">
      <c r="A2225" s="15" t="s">
        <v>15659</v>
      </c>
      <c r="B2225" s="15">
        <v>2224</v>
      </c>
      <c r="C2225" s="15" t="s">
        <v>11277</v>
      </c>
      <c r="D2225" s="15" t="s">
        <v>11277</v>
      </c>
      <c r="E2225" s="15" t="s">
        <v>215</v>
      </c>
      <c r="F2225" s="15" t="s">
        <v>15660</v>
      </c>
      <c r="G2225" s="15" t="s">
        <v>11820</v>
      </c>
      <c r="H2225" s="15">
        <v>21</v>
      </c>
      <c r="I2225" s="15">
        <v>20</v>
      </c>
      <c r="J2225" s="15">
        <v>95</v>
      </c>
      <c r="K2225" s="15" t="str">
        <f t="shared" si="34"/>
        <v>cenotemoxutural</v>
      </c>
      <c r="L2225" s="15" t="s">
        <v>11696</v>
      </c>
      <c r="M2225" s="15">
        <v>1</v>
      </c>
      <c r="N2225" s="15" t="s">
        <v>11222</v>
      </c>
      <c r="O2225" s="15"/>
      <c r="P2225" s="15"/>
      <c r="Q2225" s="15"/>
      <c r="R2225" s="15"/>
      <c r="S2225" s="15"/>
      <c r="T2225" s="15">
        <v>0</v>
      </c>
      <c r="U2225" s="15"/>
      <c r="V2225" s="15"/>
      <c r="W2225" s="15"/>
      <c r="X2225" s="15"/>
      <c r="Y2225" s="15"/>
      <c r="Z2225" s="15"/>
    </row>
    <row r="2226" spans="1:26" x14ac:dyDescent="0.25">
      <c r="A2226" s="15" t="s">
        <v>15661</v>
      </c>
      <c r="B2226" s="15">
        <v>2225</v>
      </c>
      <c r="C2226" s="15" t="s">
        <v>11277</v>
      </c>
      <c r="D2226" s="15" t="s">
        <v>11277</v>
      </c>
      <c r="E2226" s="15" t="s">
        <v>215</v>
      </c>
      <c r="F2226" s="15" t="s">
        <v>15660</v>
      </c>
      <c r="G2226" s="15" t="s">
        <v>11821</v>
      </c>
      <c r="H2226" s="15">
        <v>21</v>
      </c>
      <c r="I2226" s="15">
        <v>20</v>
      </c>
      <c r="J2226" s="15">
        <v>96</v>
      </c>
      <c r="K2226" s="15" t="str">
        <f t="shared" si="34"/>
        <v>cenotemoxutural</v>
      </c>
      <c r="L2226" s="15" t="s">
        <v>11696</v>
      </c>
      <c r="M2226" s="15">
        <v>2</v>
      </c>
      <c r="N2226" s="15" t="s">
        <v>11223</v>
      </c>
      <c r="O2226" s="15"/>
      <c r="P2226" s="15"/>
      <c r="Q2226" s="15"/>
      <c r="R2226" s="15"/>
      <c r="S2226" s="15"/>
      <c r="T2226" s="15">
        <v>0</v>
      </c>
      <c r="U2226" s="15"/>
      <c r="V2226" s="15"/>
      <c r="W2226" s="15"/>
      <c r="X2226" s="15"/>
      <c r="Y2226" s="15"/>
      <c r="Z2226" s="15"/>
    </row>
    <row r="2227" spans="1:26" x14ac:dyDescent="0.25">
      <c r="A2227" s="15" t="s">
        <v>15662</v>
      </c>
      <c r="B2227" s="15">
        <v>2226</v>
      </c>
      <c r="C2227" s="15" t="s">
        <v>11277</v>
      </c>
      <c r="D2227" s="15" t="s">
        <v>11277</v>
      </c>
      <c r="E2227" s="15" t="s">
        <v>215</v>
      </c>
      <c r="F2227" s="15" t="s">
        <v>15660</v>
      </c>
      <c r="G2227" s="15" t="s">
        <v>11822</v>
      </c>
      <c r="H2227" s="15">
        <v>21</v>
      </c>
      <c r="I2227" s="15">
        <v>20</v>
      </c>
      <c r="J2227" s="15">
        <v>96</v>
      </c>
      <c r="K2227" s="15" t="str">
        <f t="shared" si="34"/>
        <v>cenotemoxutural</v>
      </c>
      <c r="L2227" s="15" t="s">
        <v>11696</v>
      </c>
      <c r="M2227" s="15">
        <v>1</v>
      </c>
      <c r="N2227" s="15" t="s">
        <v>11222</v>
      </c>
      <c r="O2227" s="15"/>
      <c r="P2227" s="15"/>
      <c r="Q2227" s="15"/>
      <c r="R2227" s="15"/>
      <c r="S2227" s="15"/>
      <c r="T2227" s="15">
        <v>0</v>
      </c>
      <c r="U2227" s="15"/>
      <c r="V2227" s="15"/>
      <c r="W2227" s="15"/>
      <c r="X2227" s="15"/>
      <c r="Y2227" s="15"/>
      <c r="Z2227" s="15"/>
    </row>
    <row r="2228" spans="1:26" x14ac:dyDescent="0.25">
      <c r="A2228" s="15" t="s">
        <v>15663</v>
      </c>
      <c r="B2228" s="15">
        <v>2227</v>
      </c>
      <c r="C2228" s="15" t="s">
        <v>11277</v>
      </c>
      <c r="D2228" s="15" t="s">
        <v>11277</v>
      </c>
      <c r="E2228" s="15" t="s">
        <v>215</v>
      </c>
      <c r="F2228" s="15" t="s">
        <v>15660</v>
      </c>
      <c r="G2228" s="15" t="s">
        <v>11823</v>
      </c>
      <c r="H2228" s="15">
        <v>21</v>
      </c>
      <c r="I2228" s="15">
        <v>20</v>
      </c>
      <c r="J2228" s="15">
        <v>96</v>
      </c>
      <c r="K2228" s="15" t="str">
        <f t="shared" si="34"/>
        <v>cenotemoxutural</v>
      </c>
      <c r="L2228" s="15" t="s">
        <v>11701</v>
      </c>
      <c r="M2228" s="15">
        <v>2</v>
      </c>
      <c r="N2228" s="15" t="s">
        <v>11223</v>
      </c>
      <c r="O2228" s="15"/>
      <c r="P2228" s="15"/>
      <c r="Q2228" s="15"/>
      <c r="R2228" s="15"/>
      <c r="S2228" s="15"/>
      <c r="T2228" s="15">
        <v>0</v>
      </c>
      <c r="U2228" s="15"/>
      <c r="V2228" s="15"/>
      <c r="W2228" s="15"/>
      <c r="X2228" s="15"/>
      <c r="Y2228" s="15"/>
      <c r="Z2228" s="15"/>
    </row>
    <row r="2229" spans="1:26" x14ac:dyDescent="0.25">
      <c r="A2229" s="15" t="s">
        <v>15664</v>
      </c>
      <c r="B2229" s="15">
        <v>2228</v>
      </c>
      <c r="C2229" s="15" t="s">
        <v>11277</v>
      </c>
      <c r="D2229" s="15" t="s">
        <v>11277</v>
      </c>
      <c r="E2229" s="15" t="s">
        <v>215</v>
      </c>
      <c r="F2229" s="15" t="s">
        <v>15660</v>
      </c>
      <c r="G2229" s="15" t="s">
        <v>11824</v>
      </c>
      <c r="H2229" s="15">
        <v>21</v>
      </c>
      <c r="I2229" s="15">
        <v>20</v>
      </c>
      <c r="J2229" s="15">
        <v>100</v>
      </c>
      <c r="K2229" s="15" t="str">
        <f t="shared" si="34"/>
        <v>cenotemoxutural</v>
      </c>
      <c r="L2229" s="15" t="s">
        <v>14088</v>
      </c>
      <c r="M2229" s="15">
        <v>3</v>
      </c>
      <c r="N2229" s="15" t="s">
        <v>11223</v>
      </c>
      <c r="O2229" s="15" t="s">
        <v>14064</v>
      </c>
      <c r="P2229" s="15"/>
      <c r="Q2229" s="15" t="s">
        <v>11822</v>
      </c>
      <c r="R2229" s="15"/>
      <c r="S2229" s="15"/>
      <c r="T2229" s="15">
        <v>3</v>
      </c>
      <c r="U2229" s="15"/>
      <c r="V2229" s="15"/>
      <c r="W2229" s="15"/>
      <c r="X2229" s="15"/>
      <c r="Y2229" s="15"/>
      <c r="Z2229" s="15"/>
    </row>
    <row r="2230" spans="1:26" x14ac:dyDescent="0.25">
      <c r="A2230" s="15" t="s">
        <v>15665</v>
      </c>
      <c r="B2230" s="15">
        <v>2229</v>
      </c>
      <c r="C2230" s="15" t="s">
        <v>11277</v>
      </c>
      <c r="D2230" s="15" t="s">
        <v>11277</v>
      </c>
      <c r="E2230" s="15" t="s">
        <v>215</v>
      </c>
      <c r="F2230" s="15" t="s">
        <v>2698</v>
      </c>
      <c r="G2230" s="15" t="s">
        <v>11820</v>
      </c>
      <c r="H2230" s="15">
        <v>19</v>
      </c>
      <c r="I2230" s="15">
        <v>32</v>
      </c>
      <c r="J2230" s="15">
        <v>95</v>
      </c>
      <c r="K2230" s="15" t="str">
        <f t="shared" si="34"/>
        <v>cenotejayunja</v>
      </c>
      <c r="L2230" s="15" t="s">
        <v>11696</v>
      </c>
      <c r="M2230" s="15">
        <v>1</v>
      </c>
      <c r="N2230" s="15" t="s">
        <v>11222</v>
      </c>
      <c r="O2230" s="15"/>
      <c r="P2230" s="15"/>
      <c r="Q2230" s="15"/>
      <c r="R2230" s="15"/>
      <c r="S2230" s="15"/>
      <c r="T2230" s="15">
        <v>0</v>
      </c>
      <c r="U2230" s="15"/>
      <c r="V2230" s="15"/>
      <c r="W2230" s="15"/>
      <c r="X2230" s="15"/>
      <c r="Y2230" s="15"/>
      <c r="Z2230" s="15"/>
    </row>
    <row r="2231" spans="1:26" x14ac:dyDescent="0.25">
      <c r="A2231" s="15" t="s">
        <v>15666</v>
      </c>
      <c r="B2231" s="15">
        <v>2230</v>
      </c>
      <c r="C2231" s="15" t="s">
        <v>11277</v>
      </c>
      <c r="D2231" s="15" t="s">
        <v>11277</v>
      </c>
      <c r="E2231" s="15" t="s">
        <v>215</v>
      </c>
      <c r="F2231" s="15" t="s">
        <v>2698</v>
      </c>
      <c r="G2231" s="15" t="s">
        <v>11821</v>
      </c>
      <c r="H2231" s="15">
        <v>19</v>
      </c>
      <c r="I2231" s="15">
        <v>32</v>
      </c>
      <c r="J2231" s="15">
        <v>96</v>
      </c>
      <c r="K2231" s="15" t="str">
        <f t="shared" si="34"/>
        <v>cenotejayunja</v>
      </c>
      <c r="L2231" s="15" t="s">
        <v>11696</v>
      </c>
      <c r="M2231" s="15">
        <v>2</v>
      </c>
      <c r="N2231" s="15" t="s">
        <v>11223</v>
      </c>
      <c r="O2231" s="15"/>
      <c r="P2231" s="15"/>
      <c r="Q2231" s="15"/>
      <c r="R2231" s="15"/>
      <c r="S2231" s="15"/>
      <c r="T2231" s="15">
        <v>0</v>
      </c>
      <c r="U2231" s="15"/>
      <c r="V2231" s="15"/>
      <c r="W2231" s="15"/>
      <c r="X2231" s="15"/>
      <c r="Y2231" s="15"/>
      <c r="Z2231" s="15"/>
    </row>
    <row r="2232" spans="1:26" x14ac:dyDescent="0.25">
      <c r="A2232" s="15" t="s">
        <v>15667</v>
      </c>
      <c r="B2232" s="15">
        <v>2231</v>
      </c>
      <c r="C2232" s="15" t="s">
        <v>11277</v>
      </c>
      <c r="D2232" s="15" t="s">
        <v>11277</v>
      </c>
      <c r="E2232" s="15" t="s">
        <v>215</v>
      </c>
      <c r="F2232" s="15" t="s">
        <v>2698</v>
      </c>
      <c r="G2232" s="15" t="s">
        <v>11825</v>
      </c>
      <c r="H2232" s="15">
        <v>19</v>
      </c>
      <c r="I2232" s="15">
        <v>32</v>
      </c>
      <c r="J2232" s="15">
        <v>96</v>
      </c>
      <c r="K2232" s="15" t="str">
        <f t="shared" si="34"/>
        <v>cenotejayunja</v>
      </c>
      <c r="L2232" s="15" t="s">
        <v>11696</v>
      </c>
      <c r="M2232" s="15">
        <v>1</v>
      </c>
      <c r="N2232" s="15" t="s">
        <v>11222</v>
      </c>
      <c r="O2232" s="15"/>
      <c r="P2232" s="15"/>
      <c r="Q2232" s="15"/>
      <c r="R2232" s="15"/>
      <c r="S2232" s="15"/>
      <c r="T2232" s="15">
        <v>0</v>
      </c>
      <c r="U2232" s="15"/>
      <c r="V2232" s="15"/>
      <c r="W2232" s="15"/>
      <c r="X2232" s="15"/>
      <c r="Y2232" s="15"/>
      <c r="Z2232" s="15"/>
    </row>
    <row r="2233" spans="1:26" x14ac:dyDescent="0.25">
      <c r="A2233" s="15" t="s">
        <v>15668</v>
      </c>
      <c r="B2233" s="15">
        <v>2232</v>
      </c>
      <c r="C2233" s="15" t="s">
        <v>11277</v>
      </c>
      <c r="D2233" s="15" t="s">
        <v>11277</v>
      </c>
      <c r="E2233" s="15" t="s">
        <v>215</v>
      </c>
      <c r="F2233" s="15" t="s">
        <v>2698</v>
      </c>
      <c r="G2233" s="15" t="s">
        <v>11826</v>
      </c>
      <c r="H2233" s="15">
        <v>19</v>
      </c>
      <c r="I2233" s="15">
        <v>32</v>
      </c>
      <c r="J2233" s="15">
        <v>96</v>
      </c>
      <c r="K2233" s="15" t="str">
        <f t="shared" si="34"/>
        <v>cenotejayunja</v>
      </c>
      <c r="L2233" s="15" t="s">
        <v>11774</v>
      </c>
      <c r="M2233" s="15">
        <v>2</v>
      </c>
      <c r="N2233" s="15" t="s">
        <v>11223</v>
      </c>
      <c r="O2233" s="15"/>
      <c r="P2233" s="15"/>
      <c r="Q2233" s="15"/>
      <c r="R2233" s="15"/>
      <c r="S2233" s="15"/>
      <c r="T2233" s="15">
        <v>0</v>
      </c>
      <c r="U2233" s="15"/>
      <c r="V2233" s="15"/>
      <c r="W2233" s="15"/>
      <c r="X2233" s="15"/>
      <c r="Y2233" s="15"/>
      <c r="Z2233" s="15"/>
    </row>
    <row r="2234" spans="1:26" x14ac:dyDescent="0.25">
      <c r="A2234" s="15" t="s">
        <v>15669</v>
      </c>
      <c r="B2234" s="15">
        <v>2233</v>
      </c>
      <c r="C2234" s="15" t="s">
        <v>11277</v>
      </c>
      <c r="D2234" s="15" t="s">
        <v>11277</v>
      </c>
      <c r="E2234" s="15" t="s">
        <v>215</v>
      </c>
      <c r="F2234" s="15" t="s">
        <v>2698</v>
      </c>
      <c r="G2234" s="15" t="s">
        <v>11827</v>
      </c>
      <c r="H2234" s="15">
        <v>19</v>
      </c>
      <c r="I2234" s="15">
        <v>32</v>
      </c>
      <c r="J2234" s="15">
        <v>97</v>
      </c>
      <c r="K2234" s="15" t="str">
        <f t="shared" si="34"/>
        <v>cenotejayunja</v>
      </c>
      <c r="L2234" s="15" t="s">
        <v>11701</v>
      </c>
      <c r="M2234" s="15">
        <v>2</v>
      </c>
      <c r="N2234" s="15" t="s">
        <v>11223</v>
      </c>
      <c r="O2234" s="15"/>
      <c r="P2234" s="15"/>
      <c r="Q2234" s="15"/>
      <c r="R2234" s="15"/>
      <c r="S2234" s="15"/>
      <c r="T2234" s="15">
        <v>0</v>
      </c>
      <c r="U2234" s="15"/>
      <c r="V2234" s="15"/>
      <c r="W2234" s="15"/>
      <c r="X2234" s="15"/>
      <c r="Y2234" s="15"/>
      <c r="Z2234" s="15"/>
    </row>
    <row r="2235" spans="1:26" x14ac:dyDescent="0.25">
      <c r="A2235" s="15" t="s">
        <v>15670</v>
      </c>
      <c r="B2235" s="15">
        <v>2234</v>
      </c>
      <c r="C2235" s="15" t="s">
        <v>11277</v>
      </c>
      <c r="D2235" s="15" t="s">
        <v>11277</v>
      </c>
      <c r="E2235" s="15" t="s">
        <v>215</v>
      </c>
      <c r="F2235" s="15" t="s">
        <v>2698</v>
      </c>
      <c r="G2235" s="15" t="s">
        <v>11828</v>
      </c>
      <c r="H2235" s="15">
        <v>19</v>
      </c>
      <c r="I2235" s="15">
        <v>32</v>
      </c>
      <c r="J2235" s="15">
        <v>100</v>
      </c>
      <c r="K2235" s="15" t="str">
        <f t="shared" si="34"/>
        <v>cenotejayunja</v>
      </c>
      <c r="L2235" s="15" t="s">
        <v>14088</v>
      </c>
      <c r="M2235" s="15">
        <v>3</v>
      </c>
      <c r="N2235" s="15" t="s">
        <v>11223</v>
      </c>
      <c r="O2235" s="15" t="s">
        <v>14035</v>
      </c>
      <c r="P2235" s="15"/>
      <c r="Q2235" s="15" t="s">
        <v>11827</v>
      </c>
      <c r="R2235" s="15"/>
      <c r="S2235" s="15"/>
      <c r="T2235" s="15">
        <v>4</v>
      </c>
      <c r="U2235" s="15"/>
      <c r="V2235" s="15"/>
      <c r="W2235" s="15"/>
      <c r="X2235" s="15"/>
      <c r="Y2235" s="15"/>
      <c r="Z2235" s="15"/>
    </row>
    <row r="2236" spans="1:26" x14ac:dyDescent="0.25">
      <c r="A2236" s="15" t="s">
        <v>15671</v>
      </c>
      <c r="B2236" s="15">
        <v>2235</v>
      </c>
      <c r="C2236" s="15" t="s">
        <v>11277</v>
      </c>
      <c r="D2236" s="15" t="s">
        <v>11277</v>
      </c>
      <c r="E2236" s="15" t="s">
        <v>215</v>
      </c>
      <c r="F2236" s="15" t="s">
        <v>2678</v>
      </c>
      <c r="G2236" s="15" t="s">
        <v>11820</v>
      </c>
      <c r="H2236" s="15">
        <v>35</v>
      </c>
      <c r="I2236" s="15">
        <v>32</v>
      </c>
      <c r="J2236" s="15">
        <v>95</v>
      </c>
      <c r="K2236" s="15" t="str">
        <f t="shared" si="34"/>
        <v>sapsweetcenote</v>
      </c>
      <c r="L2236" s="15" t="s">
        <v>11696</v>
      </c>
      <c r="M2236" s="15">
        <v>1</v>
      </c>
      <c r="N2236" s="15" t="s">
        <v>11222</v>
      </c>
      <c r="O2236" s="15"/>
      <c r="P2236" s="15"/>
      <c r="Q2236" s="15"/>
      <c r="R2236" s="15"/>
      <c r="S2236" s="15"/>
      <c r="T2236" s="15">
        <v>0</v>
      </c>
      <c r="U2236" s="15"/>
      <c r="V2236" s="15"/>
      <c r="W2236" s="15"/>
      <c r="X2236" s="15"/>
      <c r="Y2236" s="15"/>
      <c r="Z2236" s="15"/>
    </row>
    <row r="2237" spans="1:26" x14ac:dyDescent="0.25">
      <c r="A2237" s="15" t="s">
        <v>15672</v>
      </c>
      <c r="B2237" s="15">
        <v>2236</v>
      </c>
      <c r="C2237" s="15" t="s">
        <v>11277</v>
      </c>
      <c r="D2237" s="15" t="s">
        <v>11277</v>
      </c>
      <c r="E2237" s="15" t="s">
        <v>215</v>
      </c>
      <c r="F2237" s="15" t="s">
        <v>2678</v>
      </c>
      <c r="G2237" s="15" t="s">
        <v>11821</v>
      </c>
      <c r="H2237" s="15">
        <v>35</v>
      </c>
      <c r="I2237" s="15">
        <v>32</v>
      </c>
      <c r="J2237" s="15">
        <v>96</v>
      </c>
      <c r="K2237" s="15" t="str">
        <f t="shared" si="34"/>
        <v>sapsweetcenote</v>
      </c>
      <c r="L2237" s="15" t="s">
        <v>11696</v>
      </c>
      <c r="M2237" s="15">
        <v>2</v>
      </c>
      <c r="N2237" s="15" t="s">
        <v>11223</v>
      </c>
      <c r="O2237" s="15"/>
      <c r="P2237" s="15"/>
      <c r="Q2237" s="15"/>
      <c r="R2237" s="15"/>
      <c r="S2237" s="15"/>
      <c r="T2237" s="15">
        <v>0</v>
      </c>
      <c r="U2237" s="15"/>
      <c r="V2237" s="15"/>
      <c r="W2237" s="15"/>
      <c r="X2237" s="15"/>
      <c r="Y2237" s="15"/>
      <c r="Z2237" s="15"/>
    </row>
    <row r="2238" spans="1:26" x14ac:dyDescent="0.25">
      <c r="A2238" s="15" t="s">
        <v>15673</v>
      </c>
      <c r="B2238" s="15">
        <v>2237</v>
      </c>
      <c r="C2238" s="15" t="s">
        <v>11277</v>
      </c>
      <c r="D2238" s="15" t="s">
        <v>11277</v>
      </c>
      <c r="E2238" s="15" t="s">
        <v>215</v>
      </c>
      <c r="F2238" s="15" t="s">
        <v>2678</v>
      </c>
      <c r="G2238" s="15" t="s">
        <v>11829</v>
      </c>
      <c r="H2238" s="15">
        <v>35</v>
      </c>
      <c r="I2238" s="15">
        <v>32</v>
      </c>
      <c r="J2238" s="15">
        <v>96</v>
      </c>
      <c r="K2238" s="15" t="str">
        <f t="shared" si="34"/>
        <v>sapsweetcenote</v>
      </c>
      <c r="L2238" s="15" t="s">
        <v>11774</v>
      </c>
      <c r="M2238" s="15">
        <v>1</v>
      </c>
      <c r="N2238" s="15" t="s">
        <v>11222</v>
      </c>
      <c r="O2238" s="15"/>
      <c r="P2238" s="15"/>
      <c r="Q2238" s="15"/>
      <c r="R2238" s="15"/>
      <c r="S2238" s="15"/>
      <c r="T2238" s="15">
        <v>0</v>
      </c>
      <c r="U2238" s="15"/>
      <c r="V2238" s="15"/>
      <c r="W2238" s="15"/>
      <c r="X2238" s="15"/>
      <c r="Y2238" s="15"/>
      <c r="Z2238" s="15"/>
    </row>
    <row r="2239" spans="1:26" x14ac:dyDescent="0.25">
      <c r="A2239" s="15" t="s">
        <v>15674</v>
      </c>
      <c r="B2239" s="15">
        <v>2238</v>
      </c>
      <c r="C2239" s="15" t="s">
        <v>11277</v>
      </c>
      <c r="D2239" s="15" t="s">
        <v>11277</v>
      </c>
      <c r="E2239" s="15" t="s">
        <v>215</v>
      </c>
      <c r="F2239" s="15" t="s">
        <v>2678</v>
      </c>
      <c r="G2239" s="15" t="s">
        <v>11830</v>
      </c>
      <c r="H2239" s="15">
        <v>35</v>
      </c>
      <c r="I2239" s="15">
        <v>32</v>
      </c>
      <c r="J2239" s="15">
        <v>97</v>
      </c>
      <c r="K2239" s="15" t="str">
        <f t="shared" si="34"/>
        <v>sapsweetcenote</v>
      </c>
      <c r="L2239" s="15" t="s">
        <v>11701</v>
      </c>
      <c r="M2239" s="15">
        <v>2</v>
      </c>
      <c r="N2239" s="15" t="s">
        <v>11223</v>
      </c>
      <c r="O2239" s="15"/>
      <c r="P2239" s="15"/>
      <c r="Q2239" s="15"/>
      <c r="R2239" s="15"/>
      <c r="S2239" s="15"/>
      <c r="T2239" s="15">
        <v>0</v>
      </c>
      <c r="U2239" s="15"/>
      <c r="V2239" s="15"/>
      <c r="W2239" s="15"/>
      <c r="X2239" s="15"/>
      <c r="Y2239" s="15"/>
      <c r="Z2239" s="15"/>
    </row>
    <row r="2240" spans="1:26" x14ac:dyDescent="0.25">
      <c r="A2240" s="15" t="s">
        <v>15675</v>
      </c>
      <c r="B2240" s="15">
        <v>2239</v>
      </c>
      <c r="C2240" s="15" t="s">
        <v>11277</v>
      </c>
      <c r="D2240" s="15" t="s">
        <v>11277</v>
      </c>
      <c r="E2240" s="15" t="s">
        <v>215</v>
      </c>
      <c r="F2240" s="15" t="s">
        <v>2678</v>
      </c>
      <c r="G2240" s="15" t="s">
        <v>11831</v>
      </c>
      <c r="H2240" s="15">
        <v>35</v>
      </c>
      <c r="I2240" s="15">
        <v>32</v>
      </c>
      <c r="J2240" s="15">
        <v>100</v>
      </c>
      <c r="K2240" s="15" t="str">
        <f t="shared" si="34"/>
        <v>sapsweetcenote</v>
      </c>
      <c r="L2240" s="15" t="s">
        <v>11701</v>
      </c>
      <c r="M2240" s="15">
        <v>3</v>
      </c>
      <c r="N2240" s="15" t="s">
        <v>11223</v>
      </c>
      <c r="O2240" s="15" t="s">
        <v>14033</v>
      </c>
      <c r="P2240" s="15"/>
      <c r="Q2240" s="15"/>
      <c r="R2240" s="15"/>
      <c r="S2240" s="15"/>
      <c r="T2240" s="15">
        <v>4</v>
      </c>
      <c r="U2240" s="15"/>
      <c r="V2240" s="15"/>
      <c r="W2240" s="15"/>
      <c r="X2240" s="15"/>
      <c r="Y2240" s="15"/>
      <c r="Z2240" s="15"/>
    </row>
    <row r="2241" spans="1:26" x14ac:dyDescent="0.25">
      <c r="A2241" s="15" t="s">
        <v>15676</v>
      </c>
      <c r="B2241" s="15">
        <v>2240</v>
      </c>
      <c r="C2241" s="15" t="s">
        <v>11277</v>
      </c>
      <c r="D2241" s="15" t="s">
        <v>11277</v>
      </c>
      <c r="E2241" s="15" t="s">
        <v>215</v>
      </c>
      <c r="F2241" s="15" t="s">
        <v>2685</v>
      </c>
      <c r="G2241" s="15" t="s">
        <v>11820</v>
      </c>
      <c r="H2241" s="15">
        <v>25</v>
      </c>
      <c r="I2241" s="15">
        <v>39</v>
      </c>
      <c r="J2241" s="15">
        <v>95</v>
      </c>
      <c r="K2241" s="15" t="str">
        <f t="shared" si="34"/>
        <v>bitterbarkcenote</v>
      </c>
      <c r="L2241" s="15" t="s">
        <v>11696</v>
      </c>
      <c r="M2241" s="15">
        <v>1</v>
      </c>
      <c r="N2241" s="15" t="s">
        <v>11222</v>
      </c>
      <c r="O2241" s="15"/>
      <c r="P2241" s="15"/>
      <c r="Q2241" s="15"/>
      <c r="R2241" s="15"/>
      <c r="S2241" s="15"/>
      <c r="T2241" s="15">
        <v>0</v>
      </c>
      <c r="U2241" s="15"/>
      <c r="V2241" s="15"/>
      <c r="W2241" s="15"/>
      <c r="X2241" s="15"/>
      <c r="Y2241" s="15"/>
      <c r="Z2241" s="15"/>
    </row>
    <row r="2242" spans="1:26" x14ac:dyDescent="0.25">
      <c r="A2242" s="15" t="s">
        <v>15677</v>
      </c>
      <c r="B2242" s="15">
        <v>2241</v>
      </c>
      <c r="C2242" s="15" t="s">
        <v>11277</v>
      </c>
      <c r="D2242" s="15" t="s">
        <v>11277</v>
      </c>
      <c r="E2242" s="15" t="s">
        <v>215</v>
      </c>
      <c r="F2242" s="15" t="s">
        <v>2685</v>
      </c>
      <c r="G2242" s="15" t="s">
        <v>11821</v>
      </c>
      <c r="H2242" s="15">
        <v>25</v>
      </c>
      <c r="I2242" s="15">
        <v>39</v>
      </c>
      <c r="J2242" s="15">
        <v>96</v>
      </c>
      <c r="K2242" s="15" t="str">
        <f t="shared" ref="K2242:K2305" si="35">LOWER(SUBSTITUTE(SUBSTITUTE(SUBSTITUTE(SUBSTITUTE(SUBSTITUTE(F2242," ",""),"(",""),")",""),"'",""),"-",""))</f>
        <v>bitterbarkcenote</v>
      </c>
      <c r="L2242" s="15" t="s">
        <v>11696</v>
      </c>
      <c r="M2242" s="15">
        <v>2</v>
      </c>
      <c r="N2242" s="15" t="s">
        <v>11223</v>
      </c>
      <c r="O2242" s="15"/>
      <c r="P2242" s="15"/>
      <c r="Q2242" s="15"/>
      <c r="R2242" s="15"/>
      <c r="S2242" s="15"/>
      <c r="T2242" s="15">
        <v>0</v>
      </c>
      <c r="U2242" s="15"/>
      <c r="V2242" s="15"/>
      <c r="W2242" s="15"/>
      <c r="X2242" s="15"/>
      <c r="Y2242" s="15"/>
      <c r="Z2242" s="15"/>
    </row>
    <row r="2243" spans="1:26" x14ac:dyDescent="0.25">
      <c r="A2243" s="15" t="s">
        <v>15678</v>
      </c>
      <c r="B2243" s="15">
        <v>2242</v>
      </c>
      <c r="C2243" s="15" t="s">
        <v>11277</v>
      </c>
      <c r="D2243" s="15" t="s">
        <v>11277</v>
      </c>
      <c r="E2243" s="15" t="s">
        <v>215</v>
      </c>
      <c r="F2243" s="15" t="s">
        <v>2685</v>
      </c>
      <c r="G2243" s="15" t="s">
        <v>11832</v>
      </c>
      <c r="H2243" s="15">
        <v>25</v>
      </c>
      <c r="I2243" s="15">
        <v>39</v>
      </c>
      <c r="J2243" s="15">
        <v>96</v>
      </c>
      <c r="K2243" s="15" t="str">
        <f t="shared" si="35"/>
        <v>bitterbarkcenote</v>
      </c>
      <c r="L2243" s="15" t="s">
        <v>11701</v>
      </c>
      <c r="M2243" s="15">
        <v>1</v>
      </c>
      <c r="N2243" s="15" t="s">
        <v>11222</v>
      </c>
      <c r="O2243" s="15"/>
      <c r="P2243" s="15"/>
      <c r="Q2243" s="15"/>
      <c r="R2243" s="15"/>
      <c r="S2243" s="15"/>
      <c r="T2243" s="15">
        <v>0</v>
      </c>
      <c r="U2243" s="15"/>
      <c r="V2243" s="15"/>
      <c r="W2243" s="15"/>
      <c r="X2243" s="15"/>
      <c r="Y2243" s="15"/>
      <c r="Z2243" s="15"/>
    </row>
    <row r="2244" spans="1:26" x14ac:dyDescent="0.25">
      <c r="A2244" s="15" t="s">
        <v>15679</v>
      </c>
      <c r="B2244" s="15">
        <v>2243</v>
      </c>
      <c r="C2244" s="15" t="s">
        <v>11277</v>
      </c>
      <c r="D2244" s="15" t="s">
        <v>11277</v>
      </c>
      <c r="E2244" s="15" t="s">
        <v>215</v>
      </c>
      <c r="F2244" s="15" t="s">
        <v>2685</v>
      </c>
      <c r="G2244" s="15" t="s">
        <v>11833</v>
      </c>
      <c r="H2244" s="15">
        <v>25</v>
      </c>
      <c r="I2244" s="15">
        <v>39</v>
      </c>
      <c r="J2244" s="15">
        <v>97</v>
      </c>
      <c r="K2244" s="15" t="str">
        <f t="shared" si="35"/>
        <v>bitterbarkcenote</v>
      </c>
      <c r="L2244" s="15" t="s">
        <v>11701</v>
      </c>
      <c r="M2244" s="15">
        <v>2</v>
      </c>
      <c r="N2244" s="15" t="s">
        <v>11223</v>
      </c>
      <c r="O2244" s="15"/>
      <c r="P2244" s="15"/>
      <c r="Q2244" s="15"/>
      <c r="R2244" s="15"/>
      <c r="S2244" s="15"/>
      <c r="T2244" s="15">
        <v>0</v>
      </c>
      <c r="U2244" s="15"/>
      <c r="V2244" s="15"/>
      <c r="W2244" s="15"/>
      <c r="X2244" s="15"/>
      <c r="Y2244" s="15"/>
      <c r="Z2244" s="15"/>
    </row>
    <row r="2245" spans="1:26" x14ac:dyDescent="0.25">
      <c r="A2245" s="15" t="s">
        <v>15680</v>
      </c>
      <c r="B2245" s="15">
        <v>2244</v>
      </c>
      <c r="C2245" s="15" t="s">
        <v>11277</v>
      </c>
      <c r="D2245" s="15" t="s">
        <v>11277</v>
      </c>
      <c r="E2245" s="15" t="s">
        <v>215</v>
      </c>
      <c r="F2245" s="15" t="s">
        <v>2685</v>
      </c>
      <c r="G2245" s="15" t="s">
        <v>11834</v>
      </c>
      <c r="H2245" s="15">
        <v>25</v>
      </c>
      <c r="I2245" s="15">
        <v>39</v>
      </c>
      <c r="J2245" s="15">
        <v>93</v>
      </c>
      <c r="K2245" s="15" t="str">
        <f t="shared" si="35"/>
        <v>bitterbarkcenote</v>
      </c>
      <c r="L2245" s="15" t="s">
        <v>11560</v>
      </c>
      <c r="M2245" s="15">
        <v>1</v>
      </c>
      <c r="N2245" s="15" t="s">
        <v>11222</v>
      </c>
      <c r="O2245" s="15"/>
      <c r="P2245" s="15"/>
      <c r="Q2245" s="15"/>
      <c r="R2245" s="15"/>
      <c r="S2245" s="15"/>
      <c r="T2245" s="15">
        <v>0</v>
      </c>
      <c r="U2245" s="15"/>
      <c r="V2245" s="15"/>
      <c r="W2245" s="15"/>
      <c r="X2245" s="15"/>
      <c r="Y2245" s="15"/>
      <c r="Z2245" s="15"/>
    </row>
    <row r="2246" spans="1:26" x14ac:dyDescent="0.25">
      <c r="A2246" s="15" t="s">
        <v>15681</v>
      </c>
      <c r="B2246" s="15">
        <v>2245</v>
      </c>
      <c r="C2246" s="15" t="s">
        <v>11277</v>
      </c>
      <c r="D2246" s="15" t="s">
        <v>11277</v>
      </c>
      <c r="E2246" s="15" t="s">
        <v>215</v>
      </c>
      <c r="F2246" s="15" t="s">
        <v>2685</v>
      </c>
      <c r="G2246" s="15" t="s">
        <v>11835</v>
      </c>
      <c r="H2246" s="15">
        <v>25</v>
      </c>
      <c r="I2246" s="15">
        <v>39</v>
      </c>
      <c r="J2246" s="15">
        <v>100</v>
      </c>
      <c r="K2246" s="15" t="str">
        <f t="shared" si="35"/>
        <v>bitterbarkcenote</v>
      </c>
      <c r="L2246" s="15" t="s">
        <v>14088</v>
      </c>
      <c r="M2246" s="15">
        <v>3</v>
      </c>
      <c r="N2246" s="15" t="s">
        <v>11223</v>
      </c>
      <c r="O2246" s="15" t="s">
        <v>14033</v>
      </c>
      <c r="P2246" s="15"/>
      <c r="Q2246" s="15" t="s">
        <v>11832</v>
      </c>
      <c r="R2246" s="15"/>
      <c r="S2246" s="15"/>
      <c r="T2246" s="15">
        <v>4</v>
      </c>
      <c r="U2246" s="15"/>
      <c r="V2246" s="15"/>
      <c r="W2246" s="15"/>
      <c r="X2246" s="15"/>
      <c r="Y2246" s="15"/>
      <c r="Z2246" s="15"/>
    </row>
    <row r="2247" spans="1:26" x14ac:dyDescent="0.25">
      <c r="A2247" s="15" t="s">
        <v>15682</v>
      </c>
      <c r="B2247" s="15">
        <v>2246</v>
      </c>
      <c r="C2247" s="15" t="s">
        <v>11277</v>
      </c>
      <c r="D2247" s="15" t="s">
        <v>11277</v>
      </c>
      <c r="E2247" s="15" t="s">
        <v>215</v>
      </c>
      <c r="F2247" s="15" t="s">
        <v>2675</v>
      </c>
      <c r="G2247" s="15" t="s">
        <v>11836</v>
      </c>
      <c r="H2247" s="15">
        <v>37</v>
      </c>
      <c r="I2247" s="15">
        <v>25</v>
      </c>
      <c r="J2247" s="15">
        <v>96</v>
      </c>
      <c r="K2247" s="15" t="str">
        <f t="shared" si="35"/>
        <v>xtyiinbektsoly</v>
      </c>
      <c r="L2247" s="15" t="s">
        <v>11703</v>
      </c>
      <c r="M2247" s="15">
        <v>1</v>
      </c>
      <c r="N2247" s="15" t="s">
        <v>11222</v>
      </c>
      <c r="O2247" s="15"/>
      <c r="P2247" s="15"/>
      <c r="Q2247" s="15"/>
      <c r="R2247" s="15"/>
      <c r="S2247" s="15"/>
      <c r="T2247" s="15">
        <v>0</v>
      </c>
      <c r="U2247" s="15"/>
      <c r="V2247" s="15"/>
      <c r="W2247" s="15"/>
      <c r="X2247" s="15"/>
      <c r="Y2247" s="15"/>
      <c r="Z2247" s="15"/>
    </row>
    <row r="2248" spans="1:26" x14ac:dyDescent="0.25">
      <c r="A2248" s="15" t="s">
        <v>15683</v>
      </c>
      <c r="B2248" s="15">
        <v>2247</v>
      </c>
      <c r="C2248" s="15" t="s">
        <v>11277</v>
      </c>
      <c r="D2248" s="15" t="s">
        <v>11277</v>
      </c>
      <c r="E2248" s="15" t="s">
        <v>215</v>
      </c>
      <c r="F2248" s="15" t="s">
        <v>2675</v>
      </c>
      <c r="G2248" s="15" t="s">
        <v>11837</v>
      </c>
      <c r="H2248" s="15">
        <v>37</v>
      </c>
      <c r="I2248" s="15">
        <v>25</v>
      </c>
      <c r="J2248" s="15">
        <v>97</v>
      </c>
      <c r="K2248" s="15" t="str">
        <f t="shared" si="35"/>
        <v>xtyiinbektsoly</v>
      </c>
      <c r="L2248" s="15" t="s">
        <v>11709</v>
      </c>
      <c r="M2248" s="15">
        <v>1</v>
      </c>
      <c r="N2248" s="15" t="s">
        <v>11222</v>
      </c>
      <c r="O2248" s="15"/>
      <c r="P2248" s="15"/>
      <c r="Q2248" s="15"/>
      <c r="R2248" s="15"/>
      <c r="S2248" s="15"/>
      <c r="T2248" s="15">
        <v>0</v>
      </c>
      <c r="U2248" s="15"/>
      <c r="V2248" s="15"/>
      <c r="W2248" s="15"/>
      <c r="X2248" s="15"/>
      <c r="Y2248" s="15"/>
      <c r="Z2248" s="15"/>
    </row>
    <row r="2249" spans="1:26" x14ac:dyDescent="0.25">
      <c r="A2249" s="15" t="s">
        <v>15684</v>
      </c>
      <c r="B2249" s="15">
        <v>2248</v>
      </c>
      <c r="C2249" s="15" t="s">
        <v>11277</v>
      </c>
      <c r="D2249" s="15" t="s">
        <v>11277</v>
      </c>
      <c r="E2249" s="15" t="s">
        <v>215</v>
      </c>
      <c r="F2249" s="15" t="s">
        <v>2675</v>
      </c>
      <c r="G2249" s="15" t="s">
        <v>11838</v>
      </c>
      <c r="H2249" s="15">
        <v>37</v>
      </c>
      <c r="I2249" s="15">
        <v>25</v>
      </c>
      <c r="J2249" s="15">
        <v>96</v>
      </c>
      <c r="K2249" s="15" t="str">
        <f t="shared" si="35"/>
        <v>xtyiinbektsoly</v>
      </c>
      <c r="L2249" s="15" t="s">
        <v>14088</v>
      </c>
      <c r="M2249" s="15">
        <v>2</v>
      </c>
      <c r="N2249" s="15" t="s">
        <v>11223</v>
      </c>
      <c r="O2249" s="15"/>
      <c r="P2249" s="15"/>
      <c r="Q2249" s="15" t="s">
        <v>11837</v>
      </c>
      <c r="R2249" s="15"/>
      <c r="S2249" s="15"/>
      <c r="T2249" s="15">
        <v>0</v>
      </c>
      <c r="U2249" s="15"/>
      <c r="V2249" s="15"/>
      <c r="W2249" s="15"/>
      <c r="X2249" s="15"/>
      <c r="Y2249" s="15"/>
      <c r="Z2249" s="15"/>
    </row>
    <row r="2250" spans="1:26" x14ac:dyDescent="0.25">
      <c r="A2250" s="15" t="s">
        <v>15685</v>
      </c>
      <c r="B2250" s="15">
        <v>2249</v>
      </c>
      <c r="C2250" s="15" t="s">
        <v>11277</v>
      </c>
      <c r="D2250" s="15" t="s">
        <v>11277</v>
      </c>
      <c r="E2250" s="15" t="s">
        <v>215</v>
      </c>
      <c r="F2250" s="15" t="s">
        <v>2675</v>
      </c>
      <c r="G2250" s="15" t="s">
        <v>11839</v>
      </c>
      <c r="H2250" s="15">
        <v>37</v>
      </c>
      <c r="I2250" s="15">
        <v>25</v>
      </c>
      <c r="J2250" s="15">
        <v>97</v>
      </c>
      <c r="K2250" s="15" t="str">
        <f t="shared" si="35"/>
        <v>xtyiinbektsoly</v>
      </c>
      <c r="L2250" s="15" t="s">
        <v>14088</v>
      </c>
      <c r="M2250" s="15">
        <v>2</v>
      </c>
      <c r="N2250" s="15" t="s">
        <v>11223</v>
      </c>
      <c r="O2250" s="15"/>
      <c r="P2250" s="15"/>
      <c r="Q2250" s="15" t="s">
        <v>11838</v>
      </c>
      <c r="R2250" s="15" t="s">
        <v>11837</v>
      </c>
      <c r="S2250" s="15"/>
      <c r="T2250" s="15">
        <v>0</v>
      </c>
      <c r="U2250" s="15"/>
      <c r="V2250" s="15"/>
      <c r="W2250" s="15"/>
      <c r="X2250" s="15"/>
      <c r="Y2250" s="15"/>
      <c r="Z2250" s="15"/>
    </row>
    <row r="2251" spans="1:26" x14ac:dyDescent="0.25">
      <c r="A2251" s="15" t="s">
        <v>15686</v>
      </c>
      <c r="B2251" s="15">
        <v>2250</v>
      </c>
      <c r="C2251" s="15" t="s">
        <v>11277</v>
      </c>
      <c r="D2251" s="15" t="s">
        <v>11277</v>
      </c>
      <c r="E2251" s="15" t="s">
        <v>215</v>
      </c>
      <c r="F2251" s="15" t="s">
        <v>2675</v>
      </c>
      <c r="G2251" s="15" t="s">
        <v>11840</v>
      </c>
      <c r="H2251" s="15">
        <v>37</v>
      </c>
      <c r="I2251" s="15">
        <v>25</v>
      </c>
      <c r="J2251" s="15">
        <v>100</v>
      </c>
      <c r="K2251" s="15" t="str">
        <f t="shared" si="35"/>
        <v>xtyiinbektsoly</v>
      </c>
      <c r="L2251" s="15" t="s">
        <v>14088</v>
      </c>
      <c r="M2251" s="15">
        <v>2</v>
      </c>
      <c r="N2251" s="15" t="s">
        <v>11223</v>
      </c>
      <c r="O2251" s="15" t="s">
        <v>14052</v>
      </c>
      <c r="P2251" s="15"/>
      <c r="Q2251" s="15" t="s">
        <v>11838</v>
      </c>
      <c r="R2251" s="15"/>
      <c r="S2251" s="15"/>
      <c r="T2251" s="15">
        <v>1</v>
      </c>
      <c r="U2251" s="15"/>
      <c r="V2251" s="15"/>
      <c r="W2251" s="15"/>
      <c r="X2251" s="15"/>
      <c r="Y2251" s="15"/>
      <c r="Z2251" s="15"/>
    </row>
    <row r="2252" spans="1:26" x14ac:dyDescent="0.25">
      <c r="A2252" s="15" t="s">
        <v>15687</v>
      </c>
      <c r="B2252" s="15">
        <v>2251</v>
      </c>
      <c r="C2252" s="15" t="s">
        <v>11277</v>
      </c>
      <c r="D2252" s="15" t="s">
        <v>11277</v>
      </c>
      <c r="E2252" s="15" t="s">
        <v>215</v>
      </c>
      <c r="F2252" s="15" t="s">
        <v>2675</v>
      </c>
      <c r="G2252" s="15" t="s">
        <v>11841</v>
      </c>
      <c r="H2252" s="15">
        <v>37</v>
      </c>
      <c r="I2252" s="15">
        <v>25</v>
      </c>
      <c r="J2252" s="15">
        <v>100</v>
      </c>
      <c r="K2252" s="15" t="str">
        <f t="shared" si="35"/>
        <v>xtyiinbektsoly</v>
      </c>
      <c r="L2252" s="15" t="s">
        <v>14088</v>
      </c>
      <c r="M2252" s="15">
        <v>3</v>
      </c>
      <c r="N2252" s="15" t="s">
        <v>11223</v>
      </c>
      <c r="O2252" s="15" t="s">
        <v>2825</v>
      </c>
      <c r="P2252" s="15"/>
      <c r="Q2252" s="15" t="s">
        <v>11838</v>
      </c>
      <c r="R2252" s="15"/>
      <c r="S2252" s="15"/>
      <c r="T2252" s="15">
        <v>1</v>
      </c>
      <c r="U2252" s="15"/>
      <c r="V2252" s="15"/>
      <c r="W2252" s="15"/>
      <c r="X2252" s="15"/>
      <c r="Y2252" s="15"/>
      <c r="Z2252" s="15"/>
    </row>
    <row r="2253" spans="1:26" x14ac:dyDescent="0.25">
      <c r="A2253" s="15" t="s">
        <v>15688</v>
      </c>
      <c r="B2253" s="15">
        <v>2252</v>
      </c>
      <c r="C2253" s="15" t="s">
        <v>11277</v>
      </c>
      <c r="D2253" s="15" t="s">
        <v>11647</v>
      </c>
      <c r="E2253" s="15" t="s">
        <v>215</v>
      </c>
      <c r="F2253" s="15" t="s">
        <v>2651</v>
      </c>
      <c r="G2253" s="15" t="s">
        <v>11865</v>
      </c>
      <c r="H2253" s="15">
        <v>8</v>
      </c>
      <c r="I2253" s="15">
        <v>11</v>
      </c>
      <c r="J2253" s="15">
        <v>94</v>
      </c>
      <c r="K2253" s="15" t="str">
        <f t="shared" si="35"/>
        <v>xdaatalattsoly</v>
      </c>
      <c r="L2253" s="15"/>
      <c r="M2253" s="15"/>
      <c r="N2253" s="15"/>
      <c r="O2253" s="15"/>
      <c r="P2253" s="15"/>
      <c r="Q2253" s="15"/>
      <c r="R2253" s="15"/>
      <c r="S2253" s="15"/>
      <c r="T2253" s="15">
        <v>0</v>
      </c>
      <c r="U2253" s="15"/>
      <c r="V2253" s="15"/>
      <c r="W2253" s="15"/>
      <c r="X2253" s="15"/>
      <c r="Y2253" s="15"/>
      <c r="Z2253" s="15"/>
    </row>
    <row r="2254" spans="1:26" x14ac:dyDescent="0.25">
      <c r="A2254" s="15" t="s">
        <v>15689</v>
      </c>
      <c r="B2254" s="15">
        <v>2253</v>
      </c>
      <c r="C2254" s="15" t="s">
        <v>11277</v>
      </c>
      <c r="D2254" s="15" t="s">
        <v>11647</v>
      </c>
      <c r="E2254" s="15" t="s">
        <v>215</v>
      </c>
      <c r="F2254" s="15" t="s">
        <v>2651</v>
      </c>
      <c r="G2254" s="15" t="s">
        <v>11866</v>
      </c>
      <c r="H2254" s="15">
        <v>8</v>
      </c>
      <c r="I2254" s="15">
        <v>11</v>
      </c>
      <c r="J2254" s="15">
        <v>91</v>
      </c>
      <c r="K2254" s="15" t="str">
        <f t="shared" si="35"/>
        <v>xdaatalattsoly</v>
      </c>
      <c r="L2254" s="15"/>
      <c r="M2254" s="15"/>
      <c r="N2254" s="15"/>
      <c r="O2254" s="15"/>
      <c r="P2254" s="15"/>
      <c r="Q2254" s="15"/>
      <c r="R2254" s="15"/>
      <c r="S2254" s="15"/>
      <c r="T2254" s="15">
        <v>0</v>
      </c>
      <c r="U2254" s="15"/>
      <c r="V2254" s="15"/>
      <c r="W2254" s="15"/>
      <c r="X2254" s="15"/>
      <c r="Y2254" s="15"/>
      <c r="Z2254" s="15"/>
    </row>
    <row r="2255" spans="1:26" x14ac:dyDescent="0.25">
      <c r="A2255" s="15" t="s">
        <v>15690</v>
      </c>
      <c r="B2255" s="15">
        <v>2254</v>
      </c>
      <c r="C2255" s="15" t="s">
        <v>11277</v>
      </c>
      <c r="D2255" s="15" t="s">
        <v>11647</v>
      </c>
      <c r="E2255" s="15" t="s">
        <v>215</v>
      </c>
      <c r="F2255" s="15" t="s">
        <v>2651</v>
      </c>
      <c r="G2255" s="15" t="s">
        <v>11867</v>
      </c>
      <c r="H2255" s="15">
        <v>8</v>
      </c>
      <c r="I2255" s="15">
        <v>11</v>
      </c>
      <c r="J2255" s="15">
        <v>93</v>
      </c>
      <c r="K2255" s="15" t="str">
        <f t="shared" si="35"/>
        <v>xdaatalattsoly</v>
      </c>
      <c r="L2255" s="15"/>
      <c r="M2255" s="15"/>
      <c r="N2255" s="15"/>
      <c r="O2255" s="15"/>
      <c r="P2255" s="15"/>
      <c r="Q2255" s="15"/>
      <c r="R2255" s="15"/>
      <c r="S2255" s="15"/>
      <c r="T2255" s="15">
        <v>0</v>
      </c>
      <c r="U2255" s="15"/>
      <c r="V2255" s="15"/>
      <c r="W2255" s="15"/>
      <c r="X2255" s="15"/>
      <c r="Y2255" s="15"/>
      <c r="Z2255" s="15"/>
    </row>
    <row r="2256" spans="1:26" x14ac:dyDescent="0.25">
      <c r="A2256" s="15" t="s">
        <v>15691</v>
      </c>
      <c r="B2256" s="15">
        <v>2255</v>
      </c>
      <c r="C2256" s="15" t="s">
        <v>11277</v>
      </c>
      <c r="D2256" s="15" t="s">
        <v>11647</v>
      </c>
      <c r="E2256" s="15" t="s">
        <v>215</v>
      </c>
      <c r="F2256" s="15" t="s">
        <v>2651</v>
      </c>
      <c r="G2256" s="15" t="s">
        <v>11868</v>
      </c>
      <c r="H2256" s="15">
        <v>8</v>
      </c>
      <c r="I2256" s="15">
        <v>11</v>
      </c>
      <c r="J2256" s="15">
        <v>93</v>
      </c>
      <c r="K2256" s="15" t="str">
        <f t="shared" si="35"/>
        <v>xdaatalattsoly</v>
      </c>
      <c r="L2256" s="15"/>
      <c r="M2256" s="15"/>
      <c r="N2256" s="15"/>
      <c r="O2256" s="15"/>
      <c r="P2256" s="15"/>
      <c r="Q2256" s="15"/>
      <c r="R2256" s="15"/>
      <c r="S2256" s="15"/>
      <c r="T2256" s="15">
        <v>0</v>
      </c>
      <c r="U2256" s="15"/>
      <c r="V2256" s="15"/>
      <c r="W2256" s="15"/>
      <c r="X2256" s="15"/>
      <c r="Y2256" s="15"/>
      <c r="Z2256" s="15"/>
    </row>
    <row r="2257" spans="1:26" x14ac:dyDescent="0.25">
      <c r="A2257" s="15" t="s">
        <v>15692</v>
      </c>
      <c r="B2257" s="15">
        <v>2256</v>
      </c>
      <c r="C2257" s="15" t="s">
        <v>11277</v>
      </c>
      <c r="D2257" s="15" t="s">
        <v>11647</v>
      </c>
      <c r="E2257" s="15" t="s">
        <v>215</v>
      </c>
      <c r="F2257" s="15" t="s">
        <v>2651</v>
      </c>
      <c r="G2257" s="15" t="s">
        <v>11869</v>
      </c>
      <c r="H2257" s="15">
        <v>8</v>
      </c>
      <c r="I2257" s="15">
        <v>11</v>
      </c>
      <c r="J2257" s="15">
        <v>95</v>
      </c>
      <c r="K2257" s="15" t="str">
        <f t="shared" si="35"/>
        <v>xdaatalattsoly</v>
      </c>
      <c r="L2257" s="15"/>
      <c r="M2257" s="15"/>
      <c r="N2257" s="15"/>
      <c r="O2257" s="15"/>
      <c r="P2257" s="15"/>
      <c r="Q2257" s="15"/>
      <c r="R2257" s="15"/>
      <c r="S2257" s="15"/>
      <c r="T2257" s="15">
        <v>0</v>
      </c>
      <c r="U2257" s="15"/>
      <c r="V2257" s="15"/>
      <c r="W2257" s="15"/>
      <c r="X2257" s="15"/>
      <c r="Y2257" s="15"/>
      <c r="Z2257" s="15"/>
    </row>
    <row r="2258" spans="1:26" x14ac:dyDescent="0.25">
      <c r="A2258" s="15" t="s">
        <v>15693</v>
      </c>
      <c r="B2258" s="15">
        <v>2257</v>
      </c>
      <c r="C2258" s="15" t="s">
        <v>11277</v>
      </c>
      <c r="D2258" s="15" t="s">
        <v>11647</v>
      </c>
      <c r="E2258" s="15" t="s">
        <v>215</v>
      </c>
      <c r="F2258" s="15" t="s">
        <v>2651</v>
      </c>
      <c r="G2258" s="15" t="s">
        <v>11870</v>
      </c>
      <c r="H2258" s="15">
        <v>8</v>
      </c>
      <c r="I2258" s="15">
        <v>11</v>
      </c>
      <c r="J2258" s="15">
        <v>94</v>
      </c>
      <c r="K2258" s="15" t="str">
        <f t="shared" si="35"/>
        <v>xdaatalattsoly</v>
      </c>
      <c r="L2258" s="15"/>
      <c r="M2258" s="15"/>
      <c r="N2258" s="15"/>
      <c r="O2258" s="15"/>
      <c r="P2258" s="15"/>
      <c r="Q2258" s="15"/>
      <c r="R2258" s="15"/>
      <c r="S2258" s="15"/>
      <c r="T2258" s="15">
        <v>0</v>
      </c>
      <c r="U2258" s="15"/>
      <c r="V2258" s="15"/>
      <c r="W2258" s="15"/>
      <c r="X2258" s="15"/>
      <c r="Y2258" s="15"/>
      <c r="Z2258" s="15"/>
    </row>
    <row r="2259" spans="1:26" x14ac:dyDescent="0.25">
      <c r="A2259" s="15" t="s">
        <v>15694</v>
      </c>
      <c r="B2259" s="15">
        <v>2258</v>
      </c>
      <c r="C2259" s="15" t="s">
        <v>11277</v>
      </c>
      <c r="D2259" s="15" t="s">
        <v>11647</v>
      </c>
      <c r="E2259" s="15" t="s">
        <v>215</v>
      </c>
      <c r="F2259" s="15" t="s">
        <v>15695</v>
      </c>
      <c r="G2259" s="15" t="s">
        <v>225</v>
      </c>
      <c r="H2259" s="15">
        <v>28</v>
      </c>
      <c r="I2259" s="15">
        <v>5</v>
      </c>
      <c r="J2259" s="15">
        <v>96</v>
      </c>
      <c r="K2259" s="15" t="str">
        <f t="shared" si="35"/>
        <v>westerniqrraxtsoly</v>
      </c>
      <c r="L2259" s="15"/>
      <c r="M2259" s="15"/>
      <c r="N2259" s="15"/>
      <c r="O2259" s="15"/>
      <c r="P2259" s="15"/>
      <c r="Q2259" s="15"/>
      <c r="R2259" s="15"/>
      <c r="S2259" s="15"/>
      <c r="T2259" s="15">
        <v>0</v>
      </c>
      <c r="U2259" s="15"/>
      <c r="V2259" s="15"/>
      <c r="W2259" s="15"/>
      <c r="X2259" s="15"/>
      <c r="Y2259" s="15"/>
      <c r="Z2259" s="15"/>
    </row>
    <row r="2260" spans="1:26" x14ac:dyDescent="0.25">
      <c r="A2260" s="15" t="s">
        <v>15696</v>
      </c>
      <c r="B2260" s="15">
        <v>2259</v>
      </c>
      <c r="C2260" s="15" t="s">
        <v>11277</v>
      </c>
      <c r="D2260" s="15" t="s">
        <v>11647</v>
      </c>
      <c r="E2260" s="15" t="s">
        <v>215</v>
      </c>
      <c r="F2260" s="15" t="s">
        <v>15695</v>
      </c>
      <c r="G2260" s="15" t="s">
        <v>11871</v>
      </c>
      <c r="H2260" s="15">
        <v>28</v>
      </c>
      <c r="I2260" s="15">
        <v>5</v>
      </c>
      <c r="J2260" s="15">
        <v>96</v>
      </c>
      <c r="K2260" s="15" t="str">
        <f t="shared" si="35"/>
        <v>westerniqrraxtsoly</v>
      </c>
      <c r="L2260" s="15"/>
      <c r="M2260" s="15"/>
      <c r="N2260" s="15"/>
      <c r="O2260" s="15"/>
      <c r="P2260" s="15"/>
      <c r="Q2260" s="15"/>
      <c r="R2260" s="15"/>
      <c r="S2260" s="15"/>
      <c r="T2260" s="15">
        <v>0</v>
      </c>
      <c r="U2260" s="15"/>
      <c r="V2260" s="15"/>
      <c r="W2260" s="15"/>
      <c r="X2260" s="15"/>
      <c r="Y2260" s="15"/>
      <c r="Z2260" s="15"/>
    </row>
    <row r="2261" spans="1:26" x14ac:dyDescent="0.25">
      <c r="A2261" s="15" t="s">
        <v>15697</v>
      </c>
      <c r="B2261" s="15">
        <v>2260</v>
      </c>
      <c r="C2261" s="15" t="s">
        <v>11277</v>
      </c>
      <c r="D2261" s="15" t="s">
        <v>11647</v>
      </c>
      <c r="E2261" s="15" t="s">
        <v>215</v>
      </c>
      <c r="F2261" s="15" t="s">
        <v>15695</v>
      </c>
      <c r="G2261" s="15" t="s">
        <v>11872</v>
      </c>
      <c r="H2261" s="15">
        <v>28</v>
      </c>
      <c r="I2261" s="15">
        <v>5</v>
      </c>
      <c r="J2261" s="15">
        <v>98</v>
      </c>
      <c r="K2261" s="15" t="str">
        <f t="shared" si="35"/>
        <v>westerniqrraxtsoly</v>
      </c>
      <c r="L2261" s="15"/>
      <c r="M2261" s="15"/>
      <c r="N2261" s="15"/>
      <c r="O2261" s="15"/>
      <c r="P2261" s="15"/>
      <c r="Q2261" s="15"/>
      <c r="R2261" s="15"/>
      <c r="S2261" s="15"/>
      <c r="T2261" s="15">
        <v>0</v>
      </c>
      <c r="U2261" s="15"/>
      <c r="V2261" s="15"/>
      <c r="W2261" s="15"/>
      <c r="X2261" s="15"/>
      <c r="Y2261" s="15"/>
      <c r="Z2261" s="15"/>
    </row>
    <row r="2262" spans="1:26" x14ac:dyDescent="0.25">
      <c r="A2262" s="15" t="s">
        <v>15698</v>
      </c>
      <c r="B2262" s="15">
        <v>2261</v>
      </c>
      <c r="C2262" s="15" t="s">
        <v>11277</v>
      </c>
      <c r="D2262" s="15" t="s">
        <v>11647</v>
      </c>
      <c r="E2262" s="15" t="s">
        <v>215</v>
      </c>
      <c r="F2262" s="15" t="s">
        <v>15695</v>
      </c>
      <c r="G2262" s="15" t="s">
        <v>11873</v>
      </c>
      <c r="H2262" s="15">
        <v>28</v>
      </c>
      <c r="I2262" s="15">
        <v>5</v>
      </c>
      <c r="J2262" s="15">
        <v>97</v>
      </c>
      <c r="K2262" s="15" t="str">
        <f t="shared" si="35"/>
        <v>westerniqrraxtsoly</v>
      </c>
      <c r="L2262" s="15"/>
      <c r="M2262" s="15"/>
      <c r="N2262" s="15"/>
      <c r="O2262" s="15"/>
      <c r="P2262" s="15"/>
      <c r="Q2262" s="15"/>
      <c r="R2262" s="15"/>
      <c r="S2262" s="15"/>
      <c r="T2262" s="15">
        <v>0</v>
      </c>
      <c r="U2262" s="15"/>
      <c r="V2262" s="15"/>
      <c r="W2262" s="15"/>
      <c r="X2262" s="15"/>
      <c r="Y2262" s="15"/>
      <c r="Z2262" s="15"/>
    </row>
    <row r="2263" spans="1:26" x14ac:dyDescent="0.25">
      <c r="A2263" s="15" t="s">
        <v>15699</v>
      </c>
      <c r="B2263" s="15">
        <v>2262</v>
      </c>
      <c r="C2263" s="15" t="s">
        <v>11277</v>
      </c>
      <c r="D2263" s="15" t="s">
        <v>11647</v>
      </c>
      <c r="E2263" s="15" t="s">
        <v>215</v>
      </c>
      <c r="F2263" s="15" t="s">
        <v>15695</v>
      </c>
      <c r="G2263" s="15" t="s">
        <v>11874</v>
      </c>
      <c r="H2263" s="15">
        <v>28</v>
      </c>
      <c r="I2263" s="15">
        <v>5</v>
      </c>
      <c r="J2263" s="15">
        <v>100</v>
      </c>
      <c r="K2263" s="15" t="str">
        <f t="shared" si="35"/>
        <v>westerniqrraxtsoly</v>
      </c>
      <c r="L2263" s="15"/>
      <c r="M2263" s="15"/>
      <c r="N2263" s="15"/>
      <c r="O2263" s="15"/>
      <c r="P2263" s="15"/>
      <c r="Q2263" s="15"/>
      <c r="R2263" s="15"/>
      <c r="S2263" s="15"/>
      <c r="T2263" s="15">
        <v>0</v>
      </c>
      <c r="U2263" s="15"/>
      <c r="V2263" s="15"/>
      <c r="W2263" s="15"/>
      <c r="X2263" s="15"/>
      <c r="Y2263" s="15"/>
      <c r="Z2263" s="15"/>
    </row>
    <row r="2264" spans="1:26" x14ac:dyDescent="0.25">
      <c r="A2264" s="15" t="s">
        <v>15700</v>
      </c>
      <c r="B2264" s="15">
        <v>2263</v>
      </c>
      <c r="C2264" s="15" t="s">
        <v>11277</v>
      </c>
      <c r="D2264" s="15" t="s">
        <v>11647</v>
      </c>
      <c r="E2264" s="15" t="s">
        <v>215</v>
      </c>
      <c r="F2264" s="15" t="s">
        <v>15695</v>
      </c>
      <c r="G2264" s="15" t="s">
        <v>11875</v>
      </c>
      <c r="H2264" s="15">
        <v>28</v>
      </c>
      <c r="I2264" s="15">
        <v>5</v>
      </c>
      <c r="J2264" s="15">
        <v>99</v>
      </c>
      <c r="K2264" s="15" t="str">
        <f t="shared" si="35"/>
        <v>westerniqrraxtsoly</v>
      </c>
      <c r="L2264" s="15"/>
      <c r="M2264" s="15"/>
      <c r="N2264" s="15"/>
      <c r="O2264" s="15"/>
      <c r="P2264" s="15"/>
      <c r="Q2264" s="15"/>
      <c r="R2264" s="15"/>
      <c r="S2264" s="15"/>
      <c r="T2264" s="15">
        <v>0</v>
      </c>
      <c r="U2264" s="15"/>
      <c r="V2264" s="15"/>
      <c r="W2264" s="15"/>
      <c r="X2264" s="15"/>
      <c r="Y2264" s="15"/>
      <c r="Z2264" s="15"/>
    </row>
    <row r="2265" spans="1:26" x14ac:dyDescent="0.25">
      <c r="A2265" s="15" t="s">
        <v>15701</v>
      </c>
      <c r="B2265" s="15">
        <v>2264</v>
      </c>
      <c r="C2265" s="15" t="s">
        <v>11277</v>
      </c>
      <c r="D2265" s="15" t="s">
        <v>11647</v>
      </c>
      <c r="E2265" s="15" t="s">
        <v>215</v>
      </c>
      <c r="F2265" s="15" t="s">
        <v>15702</v>
      </c>
      <c r="G2265" s="15" t="s">
        <v>11876</v>
      </c>
      <c r="H2265" s="15">
        <v>35</v>
      </c>
      <c r="I2265" s="15">
        <v>8</v>
      </c>
      <c r="J2265" s="15">
        <v>97</v>
      </c>
      <c r="K2265" s="15" t="str">
        <f t="shared" si="35"/>
        <v>easterniqrraxtsoly</v>
      </c>
      <c r="L2265" s="15"/>
      <c r="M2265" s="15"/>
      <c r="N2265" s="15"/>
      <c r="O2265" s="15"/>
      <c r="P2265" s="15"/>
      <c r="Q2265" s="15"/>
      <c r="R2265" s="15"/>
      <c r="S2265" s="15"/>
      <c r="T2265" s="15">
        <v>0</v>
      </c>
      <c r="U2265" s="15"/>
      <c r="V2265" s="15"/>
      <c r="W2265" s="15"/>
      <c r="X2265" s="15"/>
      <c r="Y2265" s="15"/>
      <c r="Z2265" s="15"/>
    </row>
    <row r="2266" spans="1:26" x14ac:dyDescent="0.25">
      <c r="A2266" s="15" t="s">
        <v>15703</v>
      </c>
      <c r="B2266" s="15">
        <v>2265</v>
      </c>
      <c r="C2266" s="15" t="s">
        <v>11277</v>
      </c>
      <c r="D2266" s="15" t="s">
        <v>11647</v>
      </c>
      <c r="E2266" s="15" t="s">
        <v>215</v>
      </c>
      <c r="F2266" s="15" t="s">
        <v>15702</v>
      </c>
      <c r="G2266" s="15" t="s">
        <v>11877</v>
      </c>
      <c r="H2266" s="15">
        <v>35</v>
      </c>
      <c r="I2266" s="15">
        <v>8</v>
      </c>
      <c r="J2266" s="15">
        <v>98</v>
      </c>
      <c r="K2266" s="15" t="str">
        <f t="shared" si="35"/>
        <v>easterniqrraxtsoly</v>
      </c>
      <c r="L2266" s="15"/>
      <c r="M2266" s="15"/>
      <c r="N2266" s="15"/>
      <c r="O2266" s="15"/>
      <c r="P2266" s="15"/>
      <c r="Q2266" s="15"/>
      <c r="R2266" s="15"/>
      <c r="S2266" s="15"/>
      <c r="T2266" s="15">
        <v>0</v>
      </c>
      <c r="U2266" s="15"/>
      <c r="V2266" s="15"/>
      <c r="W2266" s="15"/>
      <c r="X2266" s="15"/>
      <c r="Y2266" s="15"/>
      <c r="Z2266" s="15"/>
    </row>
    <row r="2267" spans="1:26" x14ac:dyDescent="0.25">
      <c r="A2267" s="15" t="s">
        <v>15704</v>
      </c>
      <c r="B2267" s="15">
        <v>2266</v>
      </c>
      <c r="C2267" s="15" t="s">
        <v>11277</v>
      </c>
      <c r="D2267" s="15" t="s">
        <v>11647</v>
      </c>
      <c r="E2267" s="15" t="s">
        <v>215</v>
      </c>
      <c r="F2267" s="15" t="s">
        <v>15702</v>
      </c>
      <c r="G2267" s="15" t="s">
        <v>11878</v>
      </c>
      <c r="H2267" s="15">
        <v>35</v>
      </c>
      <c r="I2267" s="15">
        <v>8</v>
      </c>
      <c r="J2267" s="15">
        <v>96</v>
      </c>
      <c r="K2267" s="15" t="str">
        <f t="shared" si="35"/>
        <v>easterniqrraxtsoly</v>
      </c>
      <c r="L2267" s="15"/>
      <c r="M2267" s="15"/>
      <c r="N2267" s="15"/>
      <c r="O2267" s="15"/>
      <c r="P2267" s="15"/>
      <c r="Q2267" s="15"/>
      <c r="R2267" s="15"/>
      <c r="S2267" s="15"/>
      <c r="T2267" s="15">
        <v>0</v>
      </c>
      <c r="U2267" s="15"/>
      <c r="V2267" s="15"/>
      <c r="W2267" s="15"/>
      <c r="X2267" s="15"/>
      <c r="Y2267" s="15"/>
      <c r="Z2267" s="15"/>
    </row>
    <row r="2268" spans="1:26" x14ac:dyDescent="0.25">
      <c r="A2268" s="15" t="s">
        <v>15705</v>
      </c>
      <c r="B2268" s="15">
        <v>2267</v>
      </c>
      <c r="C2268" s="15" t="s">
        <v>11277</v>
      </c>
      <c r="D2268" s="15" t="s">
        <v>11647</v>
      </c>
      <c r="E2268" s="15" t="s">
        <v>215</v>
      </c>
      <c r="F2268" s="15" t="s">
        <v>15702</v>
      </c>
      <c r="G2268" s="15" t="s">
        <v>11879</v>
      </c>
      <c r="H2268" s="15">
        <v>35</v>
      </c>
      <c r="I2268" s="15">
        <v>8</v>
      </c>
      <c r="J2268" s="15">
        <v>97</v>
      </c>
      <c r="K2268" s="15" t="str">
        <f t="shared" si="35"/>
        <v>easterniqrraxtsoly</v>
      </c>
      <c r="L2268" s="15"/>
      <c r="M2268" s="15"/>
      <c r="N2268" s="15"/>
      <c r="O2268" s="15"/>
      <c r="P2268" s="15"/>
      <c r="Q2268" s="15"/>
      <c r="R2268" s="15"/>
      <c r="S2268" s="15"/>
      <c r="T2268" s="15">
        <v>0</v>
      </c>
      <c r="U2268" s="15"/>
      <c r="V2268" s="15"/>
      <c r="W2268" s="15"/>
      <c r="X2268" s="15"/>
      <c r="Y2268" s="15"/>
      <c r="Z2268" s="15"/>
    </row>
    <row r="2269" spans="1:26" x14ac:dyDescent="0.25">
      <c r="A2269" s="15" t="s">
        <v>15706</v>
      </c>
      <c r="B2269" s="15">
        <v>2268</v>
      </c>
      <c r="C2269" s="15" t="s">
        <v>11277</v>
      </c>
      <c r="D2269" s="15" t="s">
        <v>11647</v>
      </c>
      <c r="E2269" s="15" t="s">
        <v>215</v>
      </c>
      <c r="F2269" s="15" t="s">
        <v>15702</v>
      </c>
      <c r="G2269" s="15" t="s">
        <v>11880</v>
      </c>
      <c r="H2269" s="15">
        <v>35</v>
      </c>
      <c r="I2269" s="15">
        <v>8</v>
      </c>
      <c r="J2269" s="15">
        <v>99</v>
      </c>
      <c r="K2269" s="15" t="str">
        <f t="shared" si="35"/>
        <v>easterniqrraxtsoly</v>
      </c>
      <c r="L2269" s="15"/>
      <c r="M2269" s="15"/>
      <c r="N2269" s="15"/>
      <c r="O2269" s="15"/>
      <c r="P2269" s="15"/>
      <c r="Q2269" s="15"/>
      <c r="R2269" s="15"/>
      <c r="S2269" s="15"/>
      <c r="T2269" s="15">
        <v>0</v>
      </c>
      <c r="U2269" s="15"/>
      <c r="V2269" s="15"/>
      <c r="W2269" s="15"/>
      <c r="X2269" s="15"/>
      <c r="Y2269" s="15"/>
      <c r="Z2269" s="15"/>
    </row>
    <row r="2270" spans="1:26" x14ac:dyDescent="0.25">
      <c r="A2270" s="15" t="s">
        <v>15707</v>
      </c>
      <c r="B2270" s="15">
        <v>2269</v>
      </c>
      <c r="C2270" s="15" t="s">
        <v>11277</v>
      </c>
      <c r="D2270" s="15" t="s">
        <v>11647</v>
      </c>
      <c r="E2270" s="15" t="s">
        <v>215</v>
      </c>
      <c r="F2270" s="15" t="s">
        <v>15702</v>
      </c>
      <c r="G2270" s="15" t="s">
        <v>11881</v>
      </c>
      <c r="H2270" s="15">
        <v>35</v>
      </c>
      <c r="I2270" s="15">
        <v>8</v>
      </c>
      <c r="J2270" s="15">
        <v>100</v>
      </c>
      <c r="K2270" s="15" t="str">
        <f t="shared" si="35"/>
        <v>easterniqrraxtsoly</v>
      </c>
      <c r="L2270" s="15"/>
      <c r="M2270" s="15"/>
      <c r="N2270" s="15"/>
      <c r="O2270" s="15"/>
      <c r="P2270" s="15"/>
      <c r="Q2270" s="15"/>
      <c r="R2270" s="15"/>
      <c r="S2270" s="15"/>
      <c r="T2270" s="15">
        <v>0</v>
      </c>
      <c r="U2270" s="15"/>
      <c r="V2270" s="15"/>
      <c r="W2270" s="15"/>
      <c r="X2270" s="15"/>
      <c r="Y2270" s="15"/>
      <c r="Z2270" s="15"/>
    </row>
    <row r="2271" spans="1:26" x14ac:dyDescent="0.25">
      <c r="A2271" s="15" t="s">
        <v>15708</v>
      </c>
      <c r="B2271" s="15">
        <v>2270</v>
      </c>
      <c r="C2271" s="15" t="s">
        <v>11277</v>
      </c>
      <c r="D2271" s="15" t="s">
        <v>11647</v>
      </c>
      <c r="E2271" s="15" t="s">
        <v>215</v>
      </c>
      <c r="F2271" s="15" t="s">
        <v>15709</v>
      </c>
      <c r="G2271" s="15" t="s">
        <v>11872</v>
      </c>
      <c r="H2271" s="15">
        <v>31</v>
      </c>
      <c r="I2271" s="15">
        <v>7</v>
      </c>
      <c r="J2271" s="15">
        <v>98</v>
      </c>
      <c r="K2271" s="15" t="str">
        <f t="shared" si="35"/>
        <v>iqrraxtsolydepths</v>
      </c>
      <c r="L2271" s="15"/>
      <c r="M2271" s="15"/>
      <c r="N2271" s="15"/>
      <c r="O2271" s="15"/>
      <c r="P2271" s="15"/>
      <c r="Q2271" s="15"/>
      <c r="R2271" s="15"/>
      <c r="S2271" s="15"/>
      <c r="T2271" s="15">
        <v>0</v>
      </c>
      <c r="U2271" s="15"/>
      <c r="V2271" s="15"/>
      <c r="W2271" s="15"/>
      <c r="X2271" s="15"/>
      <c r="Y2271" s="15"/>
      <c r="Z2271" s="15"/>
    </row>
    <row r="2272" spans="1:26" x14ac:dyDescent="0.25">
      <c r="A2272" s="15" t="s">
        <v>15710</v>
      </c>
      <c r="B2272" s="15">
        <v>2271</v>
      </c>
      <c r="C2272" s="15" t="s">
        <v>11277</v>
      </c>
      <c r="D2272" s="15" t="s">
        <v>11647</v>
      </c>
      <c r="E2272" s="15" t="s">
        <v>215</v>
      </c>
      <c r="F2272" s="15" t="s">
        <v>15709</v>
      </c>
      <c r="G2272" s="15" t="s">
        <v>11874</v>
      </c>
      <c r="H2272" s="15">
        <v>31</v>
      </c>
      <c r="I2272" s="15">
        <v>7</v>
      </c>
      <c r="J2272" s="15">
        <v>100</v>
      </c>
      <c r="K2272" s="15" t="str">
        <f t="shared" si="35"/>
        <v>iqrraxtsolydepths</v>
      </c>
      <c r="L2272" s="15"/>
      <c r="M2272" s="15"/>
      <c r="N2272" s="15"/>
      <c r="O2272" s="15"/>
      <c r="P2272" s="15"/>
      <c r="Q2272" s="15"/>
      <c r="R2272" s="15"/>
      <c r="S2272" s="15"/>
      <c r="T2272" s="15">
        <v>0</v>
      </c>
      <c r="U2272" s="15"/>
      <c r="V2272" s="15"/>
      <c r="W2272" s="15"/>
      <c r="X2272" s="15"/>
      <c r="Y2272" s="15"/>
      <c r="Z2272" s="15"/>
    </row>
    <row r="2273" spans="1:26" x14ac:dyDescent="0.25">
      <c r="A2273" s="15" t="s">
        <v>15711</v>
      </c>
      <c r="B2273" s="15">
        <v>2272</v>
      </c>
      <c r="C2273" s="15" t="s">
        <v>11277</v>
      </c>
      <c r="D2273" s="15" t="s">
        <v>11647</v>
      </c>
      <c r="E2273" s="15" t="s">
        <v>215</v>
      </c>
      <c r="F2273" s="15" t="s">
        <v>15709</v>
      </c>
      <c r="G2273" s="15" t="s">
        <v>11876</v>
      </c>
      <c r="H2273" s="15">
        <v>31</v>
      </c>
      <c r="I2273" s="15">
        <v>7</v>
      </c>
      <c r="J2273" s="15">
        <v>97</v>
      </c>
      <c r="K2273" s="15" t="str">
        <f t="shared" si="35"/>
        <v>iqrraxtsolydepths</v>
      </c>
      <c r="L2273" s="15"/>
      <c r="M2273" s="15"/>
      <c r="N2273" s="15"/>
      <c r="O2273" s="15"/>
      <c r="P2273" s="15"/>
      <c r="Q2273" s="15"/>
      <c r="R2273" s="15"/>
      <c r="S2273" s="15"/>
      <c r="T2273" s="15">
        <v>0</v>
      </c>
      <c r="U2273" s="15"/>
      <c r="V2273" s="15"/>
      <c r="W2273" s="15"/>
      <c r="X2273" s="15"/>
      <c r="Y2273" s="15"/>
      <c r="Z2273" s="15"/>
    </row>
    <row r="2274" spans="1:26" x14ac:dyDescent="0.25">
      <c r="A2274" s="15" t="s">
        <v>15712</v>
      </c>
      <c r="B2274" s="15">
        <v>2273</v>
      </c>
      <c r="C2274" s="15" t="s">
        <v>11277</v>
      </c>
      <c r="D2274" s="15" t="s">
        <v>11647</v>
      </c>
      <c r="E2274" s="15" t="s">
        <v>215</v>
      </c>
      <c r="F2274" s="15" t="s">
        <v>15709</v>
      </c>
      <c r="G2274" s="15" t="s">
        <v>11878</v>
      </c>
      <c r="H2274" s="15">
        <v>31</v>
      </c>
      <c r="I2274" s="15">
        <v>7</v>
      </c>
      <c r="J2274" s="15">
        <v>96</v>
      </c>
      <c r="K2274" s="15" t="str">
        <f t="shared" si="35"/>
        <v>iqrraxtsolydepths</v>
      </c>
      <c r="L2274" s="15"/>
      <c r="M2274" s="15"/>
      <c r="N2274" s="15"/>
      <c r="O2274" s="15"/>
      <c r="P2274" s="15"/>
      <c r="Q2274" s="15"/>
      <c r="R2274" s="15"/>
      <c r="S2274" s="15"/>
      <c r="T2274" s="15">
        <v>0</v>
      </c>
      <c r="U2274" s="15"/>
      <c r="V2274" s="15"/>
      <c r="W2274" s="15"/>
      <c r="X2274" s="15"/>
      <c r="Y2274" s="15"/>
      <c r="Z2274" s="15"/>
    </row>
    <row r="2275" spans="1:26" x14ac:dyDescent="0.25">
      <c r="A2275" s="15" t="s">
        <v>15713</v>
      </c>
      <c r="B2275" s="15">
        <v>2274</v>
      </c>
      <c r="C2275" s="15" t="s">
        <v>11277</v>
      </c>
      <c r="D2275" s="15" t="s">
        <v>11647</v>
      </c>
      <c r="E2275" s="15" t="s">
        <v>215</v>
      </c>
      <c r="F2275" s="15" t="s">
        <v>15709</v>
      </c>
      <c r="G2275" s="15" t="s">
        <v>11882</v>
      </c>
      <c r="H2275" s="15">
        <v>31</v>
      </c>
      <c r="I2275" s="15">
        <v>7</v>
      </c>
      <c r="J2275" s="15">
        <v>100</v>
      </c>
      <c r="K2275" s="15" t="str">
        <f t="shared" si="35"/>
        <v>iqrraxtsolydepths</v>
      </c>
      <c r="L2275" s="15"/>
      <c r="M2275" s="15"/>
      <c r="N2275" s="15"/>
      <c r="O2275" s="15"/>
      <c r="P2275" s="15"/>
      <c r="Q2275" s="15"/>
      <c r="R2275" s="15"/>
      <c r="S2275" s="15"/>
      <c r="T2275" s="15">
        <v>0</v>
      </c>
      <c r="U2275" s="15"/>
      <c r="V2275" s="15"/>
      <c r="W2275" s="15"/>
      <c r="X2275" s="15"/>
      <c r="Y2275" s="15"/>
      <c r="Z2275" s="15"/>
    </row>
    <row r="2276" spans="1:26" x14ac:dyDescent="0.25">
      <c r="A2276" s="15" t="s">
        <v>15714</v>
      </c>
      <c r="B2276" s="15">
        <v>2275</v>
      </c>
      <c r="C2276" s="15" t="s">
        <v>11277</v>
      </c>
      <c r="D2276" s="15" t="s">
        <v>11647</v>
      </c>
      <c r="E2276" s="15" t="s">
        <v>215</v>
      </c>
      <c r="F2276" s="15" t="s">
        <v>15709</v>
      </c>
      <c r="G2276" s="15" t="s">
        <v>11883</v>
      </c>
      <c r="H2276" s="15">
        <v>31</v>
      </c>
      <c r="I2276" s="15">
        <v>7</v>
      </c>
      <c r="J2276" s="15">
        <v>100</v>
      </c>
      <c r="K2276" s="15" t="str">
        <f t="shared" si="35"/>
        <v>iqrraxtsolydepths</v>
      </c>
      <c r="L2276" s="15"/>
      <c r="M2276" s="15"/>
      <c r="N2276" s="15"/>
      <c r="O2276" s="15"/>
      <c r="P2276" s="15"/>
      <c r="Q2276" s="15"/>
      <c r="R2276" s="15"/>
      <c r="S2276" s="15"/>
      <c r="T2276" s="15">
        <v>0</v>
      </c>
      <c r="U2276" s="15"/>
      <c r="V2276" s="15"/>
      <c r="W2276" s="15"/>
      <c r="X2276" s="15"/>
      <c r="Y2276" s="15"/>
      <c r="Z2276" s="15"/>
    </row>
    <row r="2277" spans="1:26" x14ac:dyDescent="0.25">
      <c r="A2277" s="15" t="s">
        <v>15715</v>
      </c>
      <c r="B2277" s="15">
        <v>2276</v>
      </c>
      <c r="C2277" s="15" t="s">
        <v>11277</v>
      </c>
      <c r="D2277" s="15" t="s">
        <v>11277</v>
      </c>
      <c r="E2277" s="15" t="s">
        <v>215</v>
      </c>
      <c r="F2277" s="15" t="s">
        <v>6849</v>
      </c>
      <c r="G2277" s="15" t="s">
        <v>11842</v>
      </c>
      <c r="H2277" s="15">
        <v>6</v>
      </c>
      <c r="I2277" s="15">
        <v>18</v>
      </c>
      <c r="J2277" s="15">
        <v>98</v>
      </c>
      <c r="K2277" s="15" t="str">
        <f t="shared" si="35"/>
        <v>residentialsector</v>
      </c>
      <c r="L2277" s="15" t="s">
        <v>11701</v>
      </c>
      <c r="M2277" s="15">
        <v>1</v>
      </c>
      <c r="N2277" s="15" t="s">
        <v>11222</v>
      </c>
      <c r="O2277" s="15"/>
      <c r="P2277" s="15"/>
      <c r="Q2277" s="15"/>
      <c r="R2277" s="15"/>
      <c r="S2277" s="15"/>
      <c r="T2277" s="15">
        <v>0</v>
      </c>
      <c r="U2277" s="15"/>
      <c r="V2277" s="15"/>
      <c r="W2277" s="15"/>
      <c r="X2277" s="15"/>
      <c r="Y2277" s="15"/>
      <c r="Z2277" s="15"/>
    </row>
    <row r="2278" spans="1:26" x14ac:dyDescent="0.25">
      <c r="A2278" s="15" t="s">
        <v>15716</v>
      </c>
      <c r="B2278" s="15">
        <v>2277</v>
      </c>
      <c r="C2278" s="15" t="s">
        <v>11277</v>
      </c>
      <c r="D2278" s="15" t="s">
        <v>11277</v>
      </c>
      <c r="E2278" s="15" t="s">
        <v>215</v>
      </c>
      <c r="F2278" s="15" t="s">
        <v>6849</v>
      </c>
      <c r="G2278" s="15" t="s">
        <v>11843</v>
      </c>
      <c r="H2278" s="15">
        <v>6</v>
      </c>
      <c r="I2278" s="15">
        <v>18</v>
      </c>
      <c r="J2278" s="15">
        <v>98</v>
      </c>
      <c r="K2278" s="15" t="str">
        <f t="shared" si="35"/>
        <v>residentialsector</v>
      </c>
      <c r="L2278" s="15" t="s">
        <v>11701</v>
      </c>
      <c r="M2278" s="15">
        <v>1</v>
      </c>
      <c r="N2278" s="15" t="s">
        <v>11222</v>
      </c>
      <c r="O2278" s="15"/>
      <c r="P2278" s="15"/>
      <c r="Q2278" s="15"/>
      <c r="R2278" s="15"/>
      <c r="S2278" s="15"/>
      <c r="T2278" s="15">
        <v>0</v>
      </c>
      <c r="U2278" s="15"/>
      <c r="V2278" s="15"/>
      <c r="W2278" s="15"/>
      <c r="X2278" s="15"/>
      <c r="Y2278" s="15"/>
      <c r="Z2278" s="15"/>
    </row>
    <row r="2279" spans="1:26" x14ac:dyDescent="0.25">
      <c r="A2279" s="15" t="s">
        <v>15717</v>
      </c>
      <c r="B2279" s="15">
        <v>2278</v>
      </c>
      <c r="C2279" s="15" t="s">
        <v>11277</v>
      </c>
      <c r="D2279" s="15" t="s">
        <v>11277</v>
      </c>
      <c r="E2279" s="15" t="s">
        <v>215</v>
      </c>
      <c r="F2279" s="15" t="s">
        <v>6849</v>
      </c>
      <c r="G2279" s="15" t="s">
        <v>11844</v>
      </c>
      <c r="H2279" s="15">
        <v>6</v>
      </c>
      <c r="I2279" s="15">
        <v>18</v>
      </c>
      <c r="J2279" s="15">
        <v>98</v>
      </c>
      <c r="K2279" s="15" t="str">
        <f t="shared" si="35"/>
        <v>residentialsector</v>
      </c>
      <c r="L2279" s="15" t="s">
        <v>11774</v>
      </c>
      <c r="M2279" s="15">
        <v>2</v>
      </c>
      <c r="N2279" s="15" t="s">
        <v>11223</v>
      </c>
      <c r="O2279" s="15"/>
      <c r="P2279" s="15"/>
      <c r="Q2279" s="15"/>
      <c r="R2279" s="15"/>
      <c r="S2279" s="15"/>
      <c r="T2279" s="15">
        <v>0</v>
      </c>
      <c r="U2279" s="15"/>
      <c r="V2279" s="15"/>
      <c r="W2279" s="15"/>
      <c r="X2279" s="15"/>
      <c r="Y2279" s="15"/>
      <c r="Z2279" s="15"/>
    </row>
    <row r="2280" spans="1:26" x14ac:dyDescent="0.25">
      <c r="A2280" s="15" t="s">
        <v>15718</v>
      </c>
      <c r="B2280" s="15">
        <v>2279</v>
      </c>
      <c r="C2280" s="15" t="s">
        <v>11277</v>
      </c>
      <c r="D2280" s="15" t="s">
        <v>11277</v>
      </c>
      <c r="E2280" s="15" t="s">
        <v>215</v>
      </c>
      <c r="F2280" s="15" t="s">
        <v>6849</v>
      </c>
      <c r="G2280" s="15" t="s">
        <v>11845</v>
      </c>
      <c r="H2280" s="15">
        <v>6</v>
      </c>
      <c r="I2280" s="15">
        <v>18</v>
      </c>
      <c r="J2280" s="15">
        <v>98</v>
      </c>
      <c r="K2280" s="15" t="str">
        <f t="shared" si="35"/>
        <v>residentialsector</v>
      </c>
      <c r="L2280" s="15" t="s">
        <v>11774</v>
      </c>
      <c r="M2280" s="15">
        <v>2</v>
      </c>
      <c r="N2280" s="15" t="s">
        <v>11223</v>
      </c>
      <c r="O2280" s="15"/>
      <c r="P2280" s="15"/>
      <c r="Q2280" s="15"/>
      <c r="R2280" s="15"/>
      <c r="S2280" s="15"/>
      <c r="T2280" s="15">
        <v>0</v>
      </c>
      <c r="U2280" s="15"/>
      <c r="V2280" s="15"/>
      <c r="W2280" s="15"/>
      <c r="X2280" s="15"/>
      <c r="Y2280" s="15"/>
      <c r="Z2280" s="15"/>
    </row>
    <row r="2281" spans="1:26" x14ac:dyDescent="0.25">
      <c r="A2281" s="15" t="s">
        <v>15719</v>
      </c>
      <c r="B2281" s="15">
        <v>2280</v>
      </c>
      <c r="C2281" s="15" t="s">
        <v>11277</v>
      </c>
      <c r="D2281" s="15" t="s">
        <v>11277</v>
      </c>
      <c r="E2281" s="15" t="s">
        <v>215</v>
      </c>
      <c r="F2281" s="15" t="s">
        <v>6849</v>
      </c>
      <c r="G2281" s="15" t="s">
        <v>11846</v>
      </c>
      <c r="H2281" s="15">
        <v>6</v>
      </c>
      <c r="I2281" s="15">
        <v>18</v>
      </c>
      <c r="J2281" s="15">
        <v>100</v>
      </c>
      <c r="K2281" s="15" t="str">
        <f t="shared" si="35"/>
        <v>residentialsector</v>
      </c>
      <c r="L2281" s="15" t="s">
        <v>11701</v>
      </c>
      <c r="M2281" s="15">
        <v>3</v>
      </c>
      <c r="N2281" s="15" t="s">
        <v>11223</v>
      </c>
      <c r="O2281" s="15" t="s">
        <v>2805</v>
      </c>
      <c r="P2281" s="15"/>
      <c r="Q2281" s="15"/>
      <c r="R2281" s="15"/>
      <c r="S2281" s="15"/>
      <c r="T2281" s="15">
        <v>1</v>
      </c>
      <c r="U2281" s="15" t="s">
        <v>5892</v>
      </c>
      <c r="V2281" s="15"/>
      <c r="W2281" s="15"/>
      <c r="X2281" s="15"/>
      <c r="Y2281" s="15"/>
      <c r="Z2281" s="15"/>
    </row>
    <row r="2282" spans="1:26" x14ac:dyDescent="0.25">
      <c r="A2282" s="15" t="s">
        <v>15720</v>
      </c>
      <c r="B2282" s="15">
        <v>2281</v>
      </c>
      <c r="C2282" s="15" t="s">
        <v>11277</v>
      </c>
      <c r="D2282" s="15" t="s">
        <v>11277</v>
      </c>
      <c r="E2282" s="15" t="s">
        <v>215</v>
      </c>
      <c r="F2282" s="15" t="s">
        <v>15721</v>
      </c>
      <c r="G2282" s="15" t="s">
        <v>11847</v>
      </c>
      <c r="H2282" s="15">
        <v>29</v>
      </c>
      <c r="I2282" s="15">
        <v>7</v>
      </c>
      <c r="J2282" s="15">
        <v>95</v>
      </c>
      <c r="K2282" s="15" t="str">
        <f t="shared" si="35"/>
        <v>niikwerepi</v>
      </c>
      <c r="L2282" s="15" t="s">
        <v>11774</v>
      </c>
      <c r="M2282" s="15">
        <v>1</v>
      </c>
      <c r="N2282" s="15" t="s">
        <v>11222</v>
      </c>
      <c r="O2282" s="15"/>
      <c r="P2282" s="15"/>
      <c r="Q2282" s="15"/>
      <c r="R2282" s="15"/>
      <c r="S2282" s="15"/>
      <c r="T2282" s="15">
        <v>0</v>
      </c>
      <c r="U2282" s="15"/>
      <c r="V2282" s="15"/>
      <c r="W2282" s="15"/>
      <c r="X2282" s="15"/>
      <c r="Y2282" s="15"/>
      <c r="Z2282" s="15"/>
    </row>
    <row r="2283" spans="1:26" x14ac:dyDescent="0.25">
      <c r="A2283" s="15" t="s">
        <v>15722</v>
      </c>
      <c r="B2283" s="15">
        <v>2282</v>
      </c>
      <c r="C2283" s="15" t="s">
        <v>11277</v>
      </c>
      <c r="D2283" s="15" t="s">
        <v>11277</v>
      </c>
      <c r="E2283" s="15" t="s">
        <v>215</v>
      </c>
      <c r="F2283" s="15" t="s">
        <v>15721</v>
      </c>
      <c r="G2283" s="15" t="s">
        <v>11848</v>
      </c>
      <c r="H2283" s="15">
        <v>29</v>
      </c>
      <c r="I2283" s="15">
        <v>7</v>
      </c>
      <c r="J2283" s="15">
        <v>95</v>
      </c>
      <c r="K2283" s="15" t="str">
        <f t="shared" si="35"/>
        <v>niikwerepi</v>
      </c>
      <c r="L2283" s="15" t="s">
        <v>11774</v>
      </c>
      <c r="M2283" s="15">
        <v>2</v>
      </c>
      <c r="N2283" s="15" t="s">
        <v>11223</v>
      </c>
      <c r="O2283" s="15"/>
      <c r="P2283" s="15"/>
      <c r="Q2283" s="15"/>
      <c r="R2283" s="15"/>
      <c r="S2283" s="15"/>
      <c r="T2283" s="15">
        <v>0</v>
      </c>
      <c r="U2283" s="15"/>
      <c r="V2283" s="15"/>
      <c r="W2283" s="15"/>
      <c r="X2283" s="15"/>
      <c r="Y2283" s="15"/>
      <c r="Z2283" s="15"/>
    </row>
    <row r="2284" spans="1:26" x14ac:dyDescent="0.25">
      <c r="A2284" s="15" t="s">
        <v>15723</v>
      </c>
      <c r="B2284" s="15">
        <v>2283</v>
      </c>
      <c r="C2284" s="15" t="s">
        <v>11277</v>
      </c>
      <c r="D2284" s="15" t="s">
        <v>11277</v>
      </c>
      <c r="E2284" s="15" t="s">
        <v>215</v>
      </c>
      <c r="F2284" s="15" t="s">
        <v>15721</v>
      </c>
      <c r="G2284" s="15" t="s">
        <v>11849</v>
      </c>
      <c r="H2284" s="15">
        <v>29</v>
      </c>
      <c r="I2284" s="15">
        <v>7</v>
      </c>
      <c r="J2284" s="15">
        <v>97</v>
      </c>
      <c r="K2284" s="15" t="str">
        <f t="shared" si="35"/>
        <v>niikwerepi</v>
      </c>
      <c r="L2284" s="15" t="s">
        <v>11701</v>
      </c>
      <c r="M2284" s="15">
        <v>2</v>
      </c>
      <c r="N2284" s="15" t="s">
        <v>11223</v>
      </c>
      <c r="O2284" s="15"/>
      <c r="P2284" s="15"/>
      <c r="Q2284" s="15"/>
      <c r="R2284" s="15"/>
      <c r="S2284" s="15"/>
      <c r="T2284" s="15">
        <v>0</v>
      </c>
      <c r="U2284" s="15"/>
      <c r="V2284" s="15"/>
      <c r="W2284" s="15"/>
      <c r="X2284" s="15"/>
      <c r="Y2284" s="15"/>
      <c r="Z2284" s="15"/>
    </row>
    <row r="2285" spans="1:26" x14ac:dyDescent="0.25">
      <c r="A2285" s="15" t="s">
        <v>15724</v>
      </c>
      <c r="B2285" s="15">
        <v>2284</v>
      </c>
      <c r="C2285" s="15" t="s">
        <v>11277</v>
      </c>
      <c r="D2285" s="15" t="s">
        <v>11277</v>
      </c>
      <c r="E2285" s="15" t="s">
        <v>215</v>
      </c>
      <c r="F2285" s="15" t="s">
        <v>15721</v>
      </c>
      <c r="G2285" s="15" t="s">
        <v>11850</v>
      </c>
      <c r="H2285" s="15">
        <v>29</v>
      </c>
      <c r="I2285" s="15">
        <v>7</v>
      </c>
      <c r="J2285" s="15">
        <v>96</v>
      </c>
      <c r="K2285" s="15" t="str">
        <f t="shared" si="35"/>
        <v>niikwerepi</v>
      </c>
      <c r="L2285" s="15" t="s">
        <v>11774</v>
      </c>
      <c r="M2285" s="15">
        <v>2</v>
      </c>
      <c r="N2285" s="15" t="s">
        <v>11223</v>
      </c>
      <c r="O2285" s="15"/>
      <c r="P2285" s="15"/>
      <c r="Q2285" s="15"/>
      <c r="R2285" s="15"/>
      <c r="S2285" s="15"/>
      <c r="T2285" s="15">
        <v>0</v>
      </c>
      <c r="U2285" s="15"/>
      <c r="V2285" s="15"/>
      <c r="W2285" s="15"/>
      <c r="X2285" s="15"/>
      <c r="Y2285" s="15"/>
      <c r="Z2285" s="15"/>
    </row>
    <row r="2286" spans="1:26" x14ac:dyDescent="0.25">
      <c r="A2286" s="15" t="s">
        <v>15725</v>
      </c>
      <c r="B2286" s="15">
        <v>2285</v>
      </c>
      <c r="C2286" s="15" t="s">
        <v>11277</v>
      </c>
      <c r="D2286" s="15" t="s">
        <v>11277</v>
      </c>
      <c r="E2286" s="15" t="s">
        <v>215</v>
      </c>
      <c r="F2286" s="15" t="s">
        <v>15721</v>
      </c>
      <c r="G2286" s="15" t="s">
        <v>11851</v>
      </c>
      <c r="H2286" s="15">
        <v>29</v>
      </c>
      <c r="I2286" s="15">
        <v>7</v>
      </c>
      <c r="J2286" s="15">
        <v>100</v>
      </c>
      <c r="K2286" s="15" t="str">
        <f t="shared" si="35"/>
        <v>niikwerepi</v>
      </c>
      <c r="L2286" s="15" t="s">
        <v>11701</v>
      </c>
      <c r="M2286" s="15">
        <v>3</v>
      </c>
      <c r="N2286" s="15" t="s">
        <v>11223</v>
      </c>
      <c r="O2286" s="15" t="s">
        <v>2810</v>
      </c>
      <c r="P2286" s="15"/>
      <c r="Q2286" s="15"/>
      <c r="R2286" s="15"/>
      <c r="S2286" s="15"/>
      <c r="T2286" s="15">
        <v>1</v>
      </c>
      <c r="U2286" s="15" t="s">
        <v>5893</v>
      </c>
      <c r="V2286" s="15" t="s">
        <v>5892</v>
      </c>
      <c r="W2286" s="15"/>
      <c r="X2286" s="15"/>
      <c r="Y2286" s="15"/>
      <c r="Z2286" s="15"/>
    </row>
    <row r="2287" spans="1:26" x14ac:dyDescent="0.25">
      <c r="A2287" s="15" t="s">
        <v>15726</v>
      </c>
      <c r="B2287" s="15">
        <v>2286</v>
      </c>
      <c r="C2287" s="15" t="s">
        <v>11277</v>
      </c>
      <c r="D2287" s="15" t="s">
        <v>11277</v>
      </c>
      <c r="E2287" s="15" t="s">
        <v>215</v>
      </c>
      <c r="F2287" s="15" t="s">
        <v>5841</v>
      </c>
      <c r="G2287" s="15" t="s">
        <v>11847</v>
      </c>
      <c r="H2287" s="15">
        <v>31</v>
      </c>
      <c r="I2287" s="15">
        <v>13</v>
      </c>
      <c r="J2287" s="15">
        <v>95</v>
      </c>
      <c r="K2287" s="15" t="str">
        <f t="shared" si="35"/>
        <v>laketoari</v>
      </c>
      <c r="L2287" s="15" t="s">
        <v>11701</v>
      </c>
      <c r="M2287" s="15">
        <v>1</v>
      </c>
      <c r="N2287" s="15" t="s">
        <v>11222</v>
      </c>
      <c r="O2287" s="15"/>
      <c r="P2287" s="15"/>
      <c r="Q2287" s="15"/>
      <c r="R2287" s="15"/>
      <c r="S2287" s="15"/>
      <c r="T2287" s="15">
        <v>0</v>
      </c>
      <c r="U2287" s="15"/>
      <c r="V2287" s="15"/>
      <c r="W2287" s="15"/>
      <c r="X2287" s="15"/>
      <c r="Y2287" s="15"/>
      <c r="Z2287" s="15"/>
    </row>
    <row r="2288" spans="1:26" x14ac:dyDescent="0.25">
      <c r="A2288" s="15" t="s">
        <v>15727</v>
      </c>
      <c r="B2288" s="15">
        <v>2287</v>
      </c>
      <c r="C2288" s="15" t="s">
        <v>11277</v>
      </c>
      <c r="D2288" s="15" t="s">
        <v>11277</v>
      </c>
      <c r="E2288" s="15" t="s">
        <v>215</v>
      </c>
      <c r="F2288" s="15" t="s">
        <v>5841</v>
      </c>
      <c r="G2288" s="15" t="s">
        <v>11848</v>
      </c>
      <c r="H2288" s="15">
        <v>31</v>
      </c>
      <c r="I2288" s="15">
        <v>13</v>
      </c>
      <c r="J2288" s="15">
        <v>95</v>
      </c>
      <c r="K2288" s="15" t="str">
        <f t="shared" si="35"/>
        <v>laketoari</v>
      </c>
      <c r="L2288" s="15" t="s">
        <v>11774</v>
      </c>
      <c r="M2288" s="15">
        <v>2</v>
      </c>
      <c r="N2288" s="15" t="s">
        <v>11223</v>
      </c>
      <c r="O2288" s="15"/>
      <c r="P2288" s="15"/>
      <c r="Q2288" s="15"/>
      <c r="R2288" s="15"/>
      <c r="S2288" s="15"/>
      <c r="T2288" s="15">
        <v>0</v>
      </c>
      <c r="U2288" s="15"/>
      <c r="V2288" s="15"/>
      <c r="W2288" s="15"/>
      <c r="X2288" s="15"/>
      <c r="Y2288" s="15"/>
      <c r="Z2288" s="15"/>
    </row>
    <row r="2289" spans="1:26" x14ac:dyDescent="0.25">
      <c r="A2289" s="15" t="s">
        <v>15728</v>
      </c>
      <c r="B2289" s="15">
        <v>2288</v>
      </c>
      <c r="C2289" s="15" t="s">
        <v>11277</v>
      </c>
      <c r="D2289" s="15" t="s">
        <v>11277</v>
      </c>
      <c r="E2289" s="15" t="s">
        <v>215</v>
      </c>
      <c r="F2289" s="15" t="s">
        <v>5841</v>
      </c>
      <c r="G2289" s="15" t="s">
        <v>11852</v>
      </c>
      <c r="H2289" s="15">
        <v>31</v>
      </c>
      <c r="I2289" s="15">
        <v>13</v>
      </c>
      <c r="J2289" s="15">
        <v>97</v>
      </c>
      <c r="K2289" s="15" t="str">
        <f t="shared" si="35"/>
        <v>laketoari</v>
      </c>
      <c r="L2289" s="15" t="s">
        <v>11774</v>
      </c>
      <c r="M2289" s="15">
        <v>2</v>
      </c>
      <c r="N2289" s="15" t="s">
        <v>11223</v>
      </c>
      <c r="O2289" s="15"/>
      <c r="P2289" s="15"/>
      <c r="Q2289" s="15"/>
      <c r="R2289" s="15"/>
      <c r="S2289" s="15"/>
      <c r="T2289" s="15">
        <v>0</v>
      </c>
      <c r="U2289" s="15"/>
      <c r="V2289" s="15"/>
      <c r="W2289" s="15"/>
      <c r="X2289" s="15"/>
      <c r="Y2289" s="15"/>
      <c r="Z2289" s="15"/>
    </row>
    <row r="2290" spans="1:26" x14ac:dyDescent="0.25">
      <c r="A2290" s="15" t="s">
        <v>15729</v>
      </c>
      <c r="B2290" s="15">
        <v>2289</v>
      </c>
      <c r="C2290" s="15" t="s">
        <v>11277</v>
      </c>
      <c r="D2290" s="15" t="s">
        <v>11277</v>
      </c>
      <c r="E2290" s="15" t="s">
        <v>215</v>
      </c>
      <c r="F2290" s="15" t="s">
        <v>5841</v>
      </c>
      <c r="G2290" s="15" t="s">
        <v>11853</v>
      </c>
      <c r="H2290" s="15">
        <v>31</v>
      </c>
      <c r="I2290" s="15">
        <v>13</v>
      </c>
      <c r="J2290" s="15">
        <v>98</v>
      </c>
      <c r="K2290" s="15" t="str">
        <f t="shared" si="35"/>
        <v>laketoari</v>
      </c>
      <c r="L2290" s="15" t="s">
        <v>11774</v>
      </c>
      <c r="M2290" s="15">
        <v>2</v>
      </c>
      <c r="N2290" s="15" t="s">
        <v>11223</v>
      </c>
      <c r="O2290" s="15"/>
      <c r="P2290" s="15"/>
      <c r="Q2290" s="15"/>
      <c r="R2290" s="15"/>
      <c r="S2290" s="15"/>
      <c r="T2290" s="15">
        <v>0</v>
      </c>
      <c r="U2290" s="15"/>
      <c r="V2290" s="15"/>
      <c r="W2290" s="15"/>
      <c r="X2290" s="15"/>
      <c r="Y2290" s="15"/>
      <c r="Z2290" s="15"/>
    </row>
    <row r="2291" spans="1:26" x14ac:dyDescent="0.25">
      <c r="A2291" s="15" t="s">
        <v>15730</v>
      </c>
      <c r="B2291" s="15">
        <v>2290</v>
      </c>
      <c r="C2291" s="15" t="s">
        <v>11277</v>
      </c>
      <c r="D2291" s="15" t="s">
        <v>11277</v>
      </c>
      <c r="E2291" s="15" t="s">
        <v>215</v>
      </c>
      <c r="F2291" s="15" t="s">
        <v>5841</v>
      </c>
      <c r="G2291" s="15" t="s">
        <v>11854</v>
      </c>
      <c r="H2291" s="15">
        <v>31</v>
      </c>
      <c r="I2291" s="15">
        <v>13</v>
      </c>
      <c r="J2291" s="15">
        <v>100</v>
      </c>
      <c r="K2291" s="15" t="str">
        <f t="shared" si="35"/>
        <v>laketoari</v>
      </c>
      <c r="L2291" s="15" t="s">
        <v>11774</v>
      </c>
      <c r="M2291" s="15">
        <v>2</v>
      </c>
      <c r="N2291" s="15" t="s">
        <v>11223</v>
      </c>
      <c r="O2291" s="15"/>
      <c r="P2291" s="15"/>
      <c r="Q2291" s="15"/>
      <c r="R2291" s="15"/>
      <c r="S2291" s="15"/>
      <c r="T2291" s="15">
        <v>0</v>
      </c>
      <c r="U2291" s="15"/>
      <c r="V2291" s="15"/>
      <c r="W2291" s="15"/>
      <c r="X2291" s="15"/>
      <c r="Y2291" s="15"/>
      <c r="Z2291" s="15"/>
    </row>
    <row r="2292" spans="1:26" x14ac:dyDescent="0.25">
      <c r="A2292" s="15" t="s">
        <v>15731</v>
      </c>
      <c r="B2292" s="15">
        <v>2291</v>
      </c>
      <c r="C2292" s="15" t="s">
        <v>11277</v>
      </c>
      <c r="D2292" s="15" t="s">
        <v>11277</v>
      </c>
      <c r="E2292" s="15" t="s">
        <v>215</v>
      </c>
      <c r="F2292" s="15" t="s">
        <v>5841</v>
      </c>
      <c r="G2292" s="15" t="s">
        <v>11855</v>
      </c>
      <c r="H2292" s="15">
        <v>31</v>
      </c>
      <c r="I2292" s="15">
        <v>13</v>
      </c>
      <c r="J2292" s="15">
        <v>100</v>
      </c>
      <c r="K2292" s="15" t="str">
        <f t="shared" si="35"/>
        <v>laketoari</v>
      </c>
      <c r="L2292" s="15" t="s">
        <v>14088</v>
      </c>
      <c r="M2292" s="15">
        <v>3</v>
      </c>
      <c r="N2292" s="15" t="s">
        <v>11223</v>
      </c>
      <c r="O2292" s="15" t="s">
        <v>2825</v>
      </c>
      <c r="P2292" s="15"/>
      <c r="Q2292" s="15" t="s">
        <v>11848</v>
      </c>
      <c r="R2292" s="15"/>
      <c r="S2292" s="15"/>
      <c r="T2292" s="15">
        <v>2</v>
      </c>
      <c r="U2292" s="15" t="s">
        <v>5892</v>
      </c>
      <c r="V2292" s="15"/>
      <c r="W2292" s="15"/>
      <c r="X2292" s="15" t="s">
        <v>6034</v>
      </c>
      <c r="Y2292" s="15"/>
      <c r="Z2292" s="15"/>
    </row>
    <row r="2293" spans="1:26" x14ac:dyDescent="0.25">
      <c r="A2293" s="15" t="s">
        <v>15732</v>
      </c>
      <c r="B2293" s="15">
        <v>2292</v>
      </c>
      <c r="C2293" s="15" t="s">
        <v>11277</v>
      </c>
      <c r="D2293" s="15" t="s">
        <v>11277</v>
      </c>
      <c r="E2293" s="15" t="s">
        <v>215</v>
      </c>
      <c r="F2293" s="15" t="s">
        <v>15733</v>
      </c>
      <c r="G2293" s="15" t="s">
        <v>11856</v>
      </c>
      <c r="H2293" s="15">
        <v>15</v>
      </c>
      <c r="I2293" s="15">
        <v>38</v>
      </c>
      <c r="J2293" s="15">
        <v>95</v>
      </c>
      <c r="K2293" s="15" t="str">
        <f t="shared" si="35"/>
        <v>westboundzorgor</v>
      </c>
      <c r="L2293" s="15" t="s">
        <v>15734</v>
      </c>
      <c r="M2293" s="15">
        <v>1</v>
      </c>
      <c r="N2293" s="15" t="s">
        <v>11222</v>
      </c>
      <c r="O2293" s="15"/>
      <c r="P2293" s="15"/>
      <c r="Q2293" s="15"/>
      <c r="R2293" s="15"/>
      <c r="S2293" s="15"/>
      <c r="T2293" s="15">
        <v>0</v>
      </c>
      <c r="U2293" s="15"/>
      <c r="V2293" s="15"/>
      <c r="W2293" s="15"/>
      <c r="X2293" s="15"/>
      <c r="Y2293" s="15"/>
      <c r="Z2293" s="15"/>
    </row>
    <row r="2294" spans="1:26" x14ac:dyDescent="0.25">
      <c r="A2294" s="15" t="s">
        <v>15735</v>
      </c>
      <c r="B2294" s="15">
        <v>2293</v>
      </c>
      <c r="C2294" s="15" t="s">
        <v>11277</v>
      </c>
      <c r="D2294" s="15" t="s">
        <v>11277</v>
      </c>
      <c r="E2294" s="15" t="s">
        <v>215</v>
      </c>
      <c r="F2294" s="15" t="s">
        <v>15733</v>
      </c>
      <c r="G2294" s="15" t="s">
        <v>11857</v>
      </c>
      <c r="H2294" s="15">
        <v>15</v>
      </c>
      <c r="I2294" s="15">
        <v>38</v>
      </c>
      <c r="J2294" s="15">
        <v>96</v>
      </c>
      <c r="K2294" s="15" t="str">
        <f t="shared" si="35"/>
        <v>westboundzorgor</v>
      </c>
      <c r="L2294" s="15" t="s">
        <v>15734</v>
      </c>
      <c r="M2294" s="15">
        <v>1</v>
      </c>
      <c r="N2294" s="15" t="s">
        <v>11222</v>
      </c>
      <c r="O2294" s="15"/>
      <c r="P2294" s="15"/>
      <c r="Q2294" s="15"/>
      <c r="R2294" s="15"/>
      <c r="S2294" s="15"/>
      <c r="T2294" s="15">
        <v>0</v>
      </c>
      <c r="U2294" s="15"/>
      <c r="V2294" s="15"/>
      <c r="W2294" s="15"/>
      <c r="X2294" s="15"/>
      <c r="Y2294" s="15"/>
      <c r="Z2294" s="15"/>
    </row>
    <row r="2295" spans="1:26" x14ac:dyDescent="0.25">
      <c r="A2295" s="15" t="s">
        <v>15736</v>
      </c>
      <c r="B2295" s="15">
        <v>2294</v>
      </c>
      <c r="C2295" s="15" t="s">
        <v>11277</v>
      </c>
      <c r="D2295" s="15" t="s">
        <v>11277</v>
      </c>
      <c r="E2295" s="15" t="s">
        <v>215</v>
      </c>
      <c r="F2295" s="15" t="s">
        <v>15733</v>
      </c>
      <c r="G2295" s="15" t="s">
        <v>11858</v>
      </c>
      <c r="H2295" s="15">
        <v>15</v>
      </c>
      <c r="I2295" s="15">
        <v>38</v>
      </c>
      <c r="J2295" s="15">
        <v>96</v>
      </c>
      <c r="K2295" s="15" t="str">
        <f t="shared" si="35"/>
        <v>westboundzorgor</v>
      </c>
      <c r="L2295" s="15" t="s">
        <v>11859</v>
      </c>
      <c r="M2295" s="15">
        <v>2</v>
      </c>
      <c r="N2295" s="15" t="s">
        <v>11223</v>
      </c>
      <c r="O2295" s="15"/>
      <c r="P2295" s="15"/>
      <c r="Q2295" s="15"/>
      <c r="R2295" s="15"/>
      <c r="S2295" s="15"/>
      <c r="T2295" s="15">
        <v>0</v>
      </c>
      <c r="U2295" s="15"/>
      <c r="V2295" s="15"/>
      <c r="W2295" s="15"/>
      <c r="X2295" s="15"/>
      <c r="Y2295" s="15"/>
      <c r="Z2295" s="15"/>
    </row>
    <row r="2296" spans="1:26" x14ac:dyDescent="0.25">
      <c r="A2296" s="15" t="s">
        <v>15737</v>
      </c>
      <c r="B2296" s="15">
        <v>2295</v>
      </c>
      <c r="C2296" s="15" t="s">
        <v>11277</v>
      </c>
      <c r="D2296" s="15" t="s">
        <v>11277</v>
      </c>
      <c r="E2296" s="15" t="s">
        <v>215</v>
      </c>
      <c r="F2296" s="15" t="s">
        <v>15733</v>
      </c>
      <c r="G2296" s="15" t="s">
        <v>11860</v>
      </c>
      <c r="H2296" s="15">
        <v>15</v>
      </c>
      <c r="I2296" s="15">
        <v>38</v>
      </c>
      <c r="J2296" s="15">
        <v>97</v>
      </c>
      <c r="K2296" s="15" t="str">
        <f t="shared" si="35"/>
        <v>westboundzorgor</v>
      </c>
      <c r="L2296" s="15" t="s">
        <v>11859</v>
      </c>
      <c r="M2296" s="15">
        <v>2</v>
      </c>
      <c r="N2296" s="15" t="s">
        <v>11223</v>
      </c>
      <c r="O2296" s="15"/>
      <c r="P2296" s="15"/>
      <c r="Q2296" s="15"/>
      <c r="R2296" s="15"/>
      <c r="S2296" s="15"/>
      <c r="T2296" s="15">
        <v>0</v>
      </c>
      <c r="U2296" s="15"/>
      <c r="V2296" s="15"/>
      <c r="W2296" s="15"/>
      <c r="X2296" s="15"/>
      <c r="Y2296" s="15"/>
      <c r="Z2296" s="15"/>
    </row>
    <row r="2297" spans="1:26" x14ac:dyDescent="0.25">
      <c r="A2297" s="15" t="s">
        <v>15738</v>
      </c>
      <c r="B2297" s="15">
        <v>2296</v>
      </c>
      <c r="C2297" s="15" t="s">
        <v>11277</v>
      </c>
      <c r="D2297" s="15" t="s">
        <v>11277</v>
      </c>
      <c r="E2297" s="15" t="s">
        <v>215</v>
      </c>
      <c r="F2297" s="15" t="s">
        <v>15733</v>
      </c>
      <c r="G2297" s="15" t="s">
        <v>11861</v>
      </c>
      <c r="H2297" s="15">
        <v>15</v>
      </c>
      <c r="I2297" s="15">
        <v>38</v>
      </c>
      <c r="J2297" s="15">
        <v>100</v>
      </c>
      <c r="K2297" s="15" t="str">
        <f t="shared" si="35"/>
        <v>westboundzorgor</v>
      </c>
      <c r="L2297" s="15" t="s">
        <v>15734</v>
      </c>
      <c r="M2297" s="15">
        <v>2</v>
      </c>
      <c r="N2297" s="15" t="s">
        <v>11223</v>
      </c>
      <c r="O2297" s="15"/>
      <c r="P2297" s="15"/>
      <c r="Q2297" s="15"/>
      <c r="R2297" s="15"/>
      <c r="S2297" s="15"/>
      <c r="T2297" s="15">
        <v>0</v>
      </c>
      <c r="U2297" s="15"/>
      <c r="V2297" s="15"/>
      <c r="W2297" s="15"/>
      <c r="X2297" s="15"/>
      <c r="Y2297" s="15"/>
      <c r="Z2297" s="15"/>
    </row>
    <row r="2298" spans="1:26" x14ac:dyDescent="0.25">
      <c r="A2298" s="15" t="s">
        <v>15739</v>
      </c>
      <c r="B2298" s="15">
        <v>2297</v>
      </c>
      <c r="C2298" s="15" t="s">
        <v>11277</v>
      </c>
      <c r="D2298" s="15" t="s">
        <v>11277</v>
      </c>
      <c r="E2298" s="15" t="s">
        <v>215</v>
      </c>
      <c r="F2298" s="15" t="s">
        <v>15733</v>
      </c>
      <c r="G2298" s="15" t="s">
        <v>11862</v>
      </c>
      <c r="H2298" s="15">
        <v>15</v>
      </c>
      <c r="I2298" s="15">
        <v>38</v>
      </c>
      <c r="J2298" s="15">
        <v>100</v>
      </c>
      <c r="K2298" s="15" t="str">
        <f t="shared" si="35"/>
        <v>westboundzorgor</v>
      </c>
      <c r="L2298" s="15" t="s">
        <v>15734</v>
      </c>
      <c r="M2298" s="15">
        <v>3</v>
      </c>
      <c r="N2298" s="15" t="s">
        <v>11223</v>
      </c>
      <c r="O2298" s="15"/>
      <c r="P2298" s="15"/>
      <c r="Q2298" s="15"/>
      <c r="R2298" s="15"/>
      <c r="S2298" s="15"/>
      <c r="T2298" s="15">
        <v>0</v>
      </c>
      <c r="U2298" s="15"/>
      <c r="V2298" s="15"/>
      <c r="W2298" s="15"/>
      <c r="X2298" s="15"/>
      <c r="Y2298" s="15"/>
      <c r="Z2298" s="15"/>
    </row>
    <row r="2299" spans="1:26" x14ac:dyDescent="0.25">
      <c r="A2299" s="15" t="s">
        <v>15740</v>
      </c>
      <c r="B2299" s="15">
        <v>2298</v>
      </c>
      <c r="C2299" s="15" t="s">
        <v>11277</v>
      </c>
      <c r="D2299" s="15" t="s">
        <v>11277</v>
      </c>
      <c r="E2299" s="15" t="s">
        <v>215</v>
      </c>
      <c r="F2299" s="15" t="s">
        <v>15733</v>
      </c>
      <c r="G2299" s="15" t="s">
        <v>11863</v>
      </c>
      <c r="H2299" s="15">
        <v>15</v>
      </c>
      <c r="I2299" s="15">
        <v>38</v>
      </c>
      <c r="J2299" s="15">
        <v>95</v>
      </c>
      <c r="K2299" s="15" t="str">
        <f t="shared" si="35"/>
        <v>westboundzorgor</v>
      </c>
      <c r="L2299" s="15" t="s">
        <v>11560</v>
      </c>
      <c r="M2299" s="15">
        <v>2</v>
      </c>
      <c r="N2299" s="15" t="s">
        <v>11223</v>
      </c>
      <c r="O2299" s="15"/>
      <c r="P2299" s="15"/>
      <c r="Q2299" s="15"/>
      <c r="R2299" s="15"/>
      <c r="S2299" s="15"/>
      <c r="T2299" s="15">
        <v>0</v>
      </c>
      <c r="U2299" s="15"/>
      <c r="V2299" s="15"/>
      <c r="W2299" s="15"/>
      <c r="X2299" s="15"/>
      <c r="Y2299" s="15"/>
      <c r="Z2299" s="15"/>
    </row>
    <row r="2300" spans="1:26" x14ac:dyDescent="0.25">
      <c r="A2300" s="15" t="s">
        <v>15741</v>
      </c>
      <c r="B2300" s="15">
        <v>2299</v>
      </c>
      <c r="C2300" s="15" t="s">
        <v>11277</v>
      </c>
      <c r="D2300" s="15" t="s">
        <v>11277</v>
      </c>
      <c r="E2300" s="15" t="s">
        <v>215</v>
      </c>
      <c r="F2300" s="15" t="s">
        <v>15733</v>
      </c>
      <c r="G2300" s="15" t="s">
        <v>11864</v>
      </c>
      <c r="H2300" s="15">
        <v>15</v>
      </c>
      <c r="I2300" s="15">
        <v>38</v>
      </c>
      <c r="J2300" s="15">
        <v>100</v>
      </c>
      <c r="K2300" s="15" t="str">
        <f t="shared" si="35"/>
        <v>westboundzorgor</v>
      </c>
      <c r="L2300" s="15" t="s">
        <v>15734</v>
      </c>
      <c r="M2300" s="15">
        <v>3</v>
      </c>
      <c r="N2300" s="15" t="s">
        <v>11223</v>
      </c>
      <c r="O2300" s="15" t="s">
        <v>11387</v>
      </c>
      <c r="P2300" s="15"/>
      <c r="Q2300" s="15"/>
      <c r="R2300" s="15"/>
      <c r="S2300" s="15"/>
      <c r="T2300" s="15">
        <v>4</v>
      </c>
      <c r="U2300" s="15"/>
      <c r="V2300" s="15"/>
      <c r="W2300" s="15"/>
      <c r="X2300" s="15"/>
      <c r="Y2300" s="15"/>
      <c r="Z2300" s="15"/>
    </row>
    <row r="2301" spans="1:26" x14ac:dyDescent="0.25">
      <c r="A2301" s="15" t="s">
        <v>15742</v>
      </c>
      <c r="B2301" s="15">
        <v>2300</v>
      </c>
      <c r="C2301" s="15" t="s">
        <v>11277</v>
      </c>
      <c r="D2301" s="15" t="s">
        <v>11277</v>
      </c>
      <c r="E2301" s="15" t="s">
        <v>215</v>
      </c>
      <c r="F2301" s="15" t="s">
        <v>15743</v>
      </c>
      <c r="G2301" s="15" t="s">
        <v>11856</v>
      </c>
      <c r="H2301" s="15">
        <v>33</v>
      </c>
      <c r="I2301" s="15">
        <v>38</v>
      </c>
      <c r="J2301" s="15">
        <v>95</v>
      </c>
      <c r="K2301" s="15" t="str">
        <f t="shared" si="35"/>
        <v>eastboundzorgor</v>
      </c>
      <c r="L2301" s="15" t="s">
        <v>11859</v>
      </c>
      <c r="M2301" s="15">
        <v>1</v>
      </c>
      <c r="N2301" s="15" t="s">
        <v>11222</v>
      </c>
      <c r="O2301" s="15"/>
      <c r="P2301" s="15"/>
      <c r="Q2301" s="15"/>
      <c r="R2301" s="15"/>
      <c r="S2301" s="15"/>
      <c r="T2301" s="15">
        <v>0</v>
      </c>
      <c r="U2301" s="15"/>
      <c r="V2301" s="15"/>
      <c r="W2301" s="15"/>
      <c r="X2301" s="15"/>
      <c r="Y2301" s="15"/>
      <c r="Z2301" s="15"/>
    </row>
    <row r="2302" spans="1:26" x14ac:dyDescent="0.25">
      <c r="A2302" s="15" t="s">
        <v>15744</v>
      </c>
      <c r="B2302" s="15">
        <v>2301</v>
      </c>
      <c r="C2302" s="15" t="s">
        <v>11277</v>
      </c>
      <c r="D2302" s="15" t="s">
        <v>11277</v>
      </c>
      <c r="E2302" s="15" t="s">
        <v>215</v>
      </c>
      <c r="F2302" s="15" t="s">
        <v>15743</v>
      </c>
      <c r="G2302" s="15" t="s">
        <v>11884</v>
      </c>
      <c r="H2302" s="15">
        <v>33</v>
      </c>
      <c r="I2302" s="15">
        <v>38</v>
      </c>
      <c r="J2302" s="15">
        <v>100</v>
      </c>
      <c r="K2302" s="15" t="str">
        <f t="shared" si="35"/>
        <v>eastboundzorgor</v>
      </c>
      <c r="L2302" s="15" t="s">
        <v>15734</v>
      </c>
      <c r="M2302" s="15">
        <v>1</v>
      </c>
      <c r="N2302" s="15" t="s">
        <v>11222</v>
      </c>
      <c r="O2302" s="15"/>
      <c r="P2302" s="15"/>
      <c r="Q2302" s="15"/>
      <c r="R2302" s="15"/>
      <c r="S2302" s="15"/>
      <c r="T2302" s="15">
        <v>1</v>
      </c>
      <c r="U2302" s="15"/>
      <c r="V2302" s="15"/>
      <c r="W2302" s="15"/>
      <c r="X2302" s="15"/>
      <c r="Y2302" s="15"/>
      <c r="Z2302" s="15"/>
    </row>
    <row r="2303" spans="1:26" x14ac:dyDescent="0.25">
      <c r="A2303" s="15" t="s">
        <v>15745</v>
      </c>
      <c r="B2303" s="15">
        <v>2302</v>
      </c>
      <c r="C2303" s="15" t="s">
        <v>11277</v>
      </c>
      <c r="D2303" s="15" t="s">
        <v>11277</v>
      </c>
      <c r="E2303" s="15" t="s">
        <v>215</v>
      </c>
      <c r="F2303" s="15" t="s">
        <v>15743</v>
      </c>
      <c r="G2303" s="15" t="s">
        <v>11885</v>
      </c>
      <c r="H2303" s="15">
        <v>33</v>
      </c>
      <c r="I2303" s="15">
        <v>38</v>
      </c>
      <c r="J2303" s="15">
        <v>97</v>
      </c>
      <c r="K2303" s="15" t="str">
        <f t="shared" si="35"/>
        <v>eastboundzorgor</v>
      </c>
      <c r="L2303" s="15" t="s">
        <v>15734</v>
      </c>
      <c r="M2303" s="15">
        <v>1</v>
      </c>
      <c r="N2303" s="15" t="s">
        <v>11222</v>
      </c>
      <c r="O2303" s="15"/>
      <c r="P2303" s="15"/>
      <c r="Q2303" s="15"/>
      <c r="R2303" s="15"/>
      <c r="S2303" s="15"/>
      <c r="T2303" s="15">
        <v>0</v>
      </c>
      <c r="U2303" s="15"/>
      <c r="V2303" s="15"/>
      <c r="W2303" s="15"/>
      <c r="X2303" s="15"/>
      <c r="Y2303" s="15"/>
      <c r="Z2303" s="15"/>
    </row>
    <row r="2304" spans="1:26" x14ac:dyDescent="0.25">
      <c r="A2304" s="15" t="s">
        <v>15746</v>
      </c>
      <c r="B2304" s="15">
        <v>2303</v>
      </c>
      <c r="C2304" s="15" t="s">
        <v>11277</v>
      </c>
      <c r="D2304" s="15" t="s">
        <v>11277</v>
      </c>
      <c r="E2304" s="15" t="s">
        <v>215</v>
      </c>
      <c r="F2304" s="15" t="s">
        <v>15743</v>
      </c>
      <c r="G2304" s="15" t="s">
        <v>11886</v>
      </c>
      <c r="H2304" s="15">
        <v>33</v>
      </c>
      <c r="I2304" s="15">
        <v>38</v>
      </c>
      <c r="J2304" s="15">
        <v>97</v>
      </c>
      <c r="K2304" s="15" t="str">
        <f t="shared" si="35"/>
        <v>eastboundzorgor</v>
      </c>
      <c r="L2304" s="15" t="s">
        <v>11859</v>
      </c>
      <c r="M2304" s="15">
        <v>2</v>
      </c>
      <c r="N2304" s="15" t="s">
        <v>11223</v>
      </c>
      <c r="O2304" s="15"/>
      <c r="P2304" s="15"/>
      <c r="Q2304" s="15"/>
      <c r="R2304" s="15"/>
      <c r="S2304" s="15"/>
      <c r="T2304" s="15">
        <v>0</v>
      </c>
      <c r="U2304" s="15"/>
      <c r="V2304" s="15"/>
      <c r="W2304" s="15"/>
      <c r="X2304" s="15"/>
      <c r="Y2304" s="15"/>
      <c r="Z2304" s="15"/>
    </row>
    <row r="2305" spans="1:26" x14ac:dyDescent="0.25">
      <c r="A2305" s="15" t="s">
        <v>15747</v>
      </c>
      <c r="B2305" s="15">
        <v>2304</v>
      </c>
      <c r="C2305" s="15" t="s">
        <v>11277</v>
      </c>
      <c r="D2305" s="15" t="s">
        <v>11277</v>
      </c>
      <c r="E2305" s="15" t="s">
        <v>215</v>
      </c>
      <c r="F2305" s="15" t="s">
        <v>15743</v>
      </c>
      <c r="G2305" s="15" t="s">
        <v>11887</v>
      </c>
      <c r="H2305" s="15">
        <v>33</v>
      </c>
      <c r="I2305" s="15">
        <v>38</v>
      </c>
      <c r="J2305" s="15">
        <v>98</v>
      </c>
      <c r="K2305" s="15" t="str">
        <f t="shared" si="35"/>
        <v>eastboundzorgor</v>
      </c>
      <c r="L2305" s="15" t="s">
        <v>15734</v>
      </c>
      <c r="M2305" s="15">
        <v>2</v>
      </c>
      <c r="N2305" s="15" t="s">
        <v>11223</v>
      </c>
      <c r="O2305" s="15"/>
      <c r="P2305" s="15"/>
      <c r="Q2305" s="15"/>
      <c r="R2305" s="15"/>
      <c r="S2305" s="15"/>
      <c r="T2305" s="15">
        <v>0</v>
      </c>
      <c r="U2305" s="15"/>
      <c r="V2305" s="15"/>
      <c r="W2305" s="15"/>
      <c r="X2305" s="15"/>
      <c r="Y2305" s="15"/>
      <c r="Z2305" s="15"/>
    </row>
    <row r="2306" spans="1:26" x14ac:dyDescent="0.25">
      <c r="A2306" s="15" t="s">
        <v>15748</v>
      </c>
      <c r="B2306" s="15">
        <v>2305</v>
      </c>
      <c r="C2306" s="15" t="s">
        <v>11277</v>
      </c>
      <c r="D2306" s="15" t="s">
        <v>11277</v>
      </c>
      <c r="E2306" s="15" t="s">
        <v>215</v>
      </c>
      <c r="F2306" s="15" t="s">
        <v>15743</v>
      </c>
      <c r="G2306" s="15" t="s">
        <v>11888</v>
      </c>
      <c r="H2306" s="15">
        <v>33</v>
      </c>
      <c r="I2306" s="15">
        <v>38</v>
      </c>
      <c r="J2306" s="15">
        <v>100</v>
      </c>
      <c r="K2306" s="15" t="str">
        <f t="shared" ref="K2306:K2369" si="36">LOWER(SUBSTITUTE(SUBSTITUTE(SUBSTITUTE(SUBSTITUTE(SUBSTITUTE(F2306," ",""),"(",""),")",""),"'",""),"-",""))</f>
        <v>eastboundzorgor</v>
      </c>
      <c r="L2306" s="15" t="s">
        <v>11859</v>
      </c>
      <c r="M2306" s="15">
        <v>2</v>
      </c>
      <c r="N2306" s="15" t="s">
        <v>11223</v>
      </c>
      <c r="O2306" s="15"/>
      <c r="P2306" s="15"/>
      <c r="Q2306" s="15"/>
      <c r="R2306" s="15"/>
      <c r="S2306" s="15"/>
      <c r="T2306" s="15">
        <v>0</v>
      </c>
      <c r="U2306" s="15"/>
      <c r="V2306" s="15"/>
      <c r="W2306" s="15"/>
      <c r="X2306" s="15"/>
      <c r="Y2306" s="15"/>
      <c r="Z2306" s="15"/>
    </row>
    <row r="2307" spans="1:26" x14ac:dyDescent="0.25">
      <c r="A2307" s="15" t="s">
        <v>15749</v>
      </c>
      <c r="B2307" s="15">
        <v>2306</v>
      </c>
      <c r="C2307" s="15" t="s">
        <v>11277</v>
      </c>
      <c r="D2307" s="15" t="s">
        <v>11277</v>
      </c>
      <c r="E2307" s="15" t="s">
        <v>215</v>
      </c>
      <c r="F2307" s="15" t="s">
        <v>15743</v>
      </c>
      <c r="G2307" s="15" t="s">
        <v>11889</v>
      </c>
      <c r="H2307" s="15">
        <v>33</v>
      </c>
      <c r="I2307" s="15">
        <v>38</v>
      </c>
      <c r="J2307" s="15">
        <v>100</v>
      </c>
      <c r="K2307" s="15" t="str">
        <f t="shared" si="36"/>
        <v>eastboundzorgor</v>
      </c>
      <c r="L2307" s="15" t="s">
        <v>15734</v>
      </c>
      <c r="M2307" s="15">
        <v>3</v>
      </c>
      <c r="N2307" s="15" t="s">
        <v>11222</v>
      </c>
      <c r="O2307" s="15" t="s">
        <v>14055</v>
      </c>
      <c r="P2307" s="15"/>
      <c r="Q2307" s="15"/>
      <c r="R2307" s="15"/>
      <c r="S2307" s="15"/>
      <c r="T2307" s="15">
        <v>0</v>
      </c>
      <c r="U2307" s="15" t="s">
        <v>5893</v>
      </c>
      <c r="V2307" s="15" t="s">
        <v>5892</v>
      </c>
      <c r="W2307" s="15"/>
      <c r="X2307" s="15" t="s">
        <v>5970</v>
      </c>
      <c r="Y2307" s="15"/>
      <c r="Z2307" s="15"/>
    </row>
    <row r="2308" spans="1:26" x14ac:dyDescent="0.25">
      <c r="A2308" s="15" t="s">
        <v>15750</v>
      </c>
      <c r="B2308" s="15">
        <v>2307</v>
      </c>
      <c r="C2308" s="15" t="s">
        <v>11277</v>
      </c>
      <c r="D2308" s="15" t="s">
        <v>11647</v>
      </c>
      <c r="E2308" s="15" t="s">
        <v>215</v>
      </c>
      <c r="F2308" s="15" t="s">
        <v>15751</v>
      </c>
      <c r="G2308" s="15" t="s">
        <v>11932</v>
      </c>
      <c r="H2308" s="15">
        <v>32</v>
      </c>
      <c r="I2308" s="15">
        <v>11</v>
      </c>
      <c r="J2308" s="15">
        <v>98</v>
      </c>
      <c r="K2308" s="15" t="str">
        <f t="shared" si="36"/>
        <v>northernlaketoari</v>
      </c>
      <c r="L2308" s="15"/>
      <c r="M2308" s="15"/>
      <c r="N2308" s="15"/>
      <c r="O2308" s="15"/>
      <c r="P2308" s="15"/>
      <c r="Q2308" s="15"/>
      <c r="R2308" s="15"/>
      <c r="S2308" s="15"/>
      <c r="T2308" s="15">
        <v>0</v>
      </c>
      <c r="U2308" s="15"/>
      <c r="V2308" s="15"/>
      <c r="W2308" s="15"/>
      <c r="X2308" s="15"/>
      <c r="Y2308" s="15"/>
      <c r="Z2308" s="15"/>
    </row>
    <row r="2309" spans="1:26" x14ac:dyDescent="0.25">
      <c r="A2309" s="15" t="s">
        <v>15752</v>
      </c>
      <c r="B2309" s="15">
        <v>2308</v>
      </c>
      <c r="C2309" s="15" t="s">
        <v>11277</v>
      </c>
      <c r="D2309" s="15" t="s">
        <v>11647</v>
      </c>
      <c r="E2309" s="15" t="s">
        <v>215</v>
      </c>
      <c r="F2309" s="15" t="s">
        <v>15751</v>
      </c>
      <c r="G2309" s="15" t="s">
        <v>11933</v>
      </c>
      <c r="H2309" s="15">
        <v>32</v>
      </c>
      <c r="I2309" s="15">
        <v>11</v>
      </c>
      <c r="J2309" s="15">
        <v>96</v>
      </c>
      <c r="K2309" s="15" t="str">
        <f t="shared" si="36"/>
        <v>northernlaketoari</v>
      </c>
      <c r="L2309" s="15"/>
      <c r="M2309" s="15"/>
      <c r="N2309" s="15"/>
      <c r="O2309" s="15"/>
      <c r="P2309" s="15"/>
      <c r="Q2309" s="15"/>
      <c r="R2309" s="15"/>
      <c r="S2309" s="15"/>
      <c r="T2309" s="15">
        <v>0</v>
      </c>
      <c r="U2309" s="15"/>
      <c r="V2309" s="15"/>
      <c r="W2309" s="15"/>
      <c r="X2309" s="15"/>
      <c r="Y2309" s="15"/>
      <c r="Z2309" s="15"/>
    </row>
    <row r="2310" spans="1:26" x14ac:dyDescent="0.25">
      <c r="A2310" s="15" t="s">
        <v>15753</v>
      </c>
      <c r="B2310" s="15">
        <v>2309</v>
      </c>
      <c r="C2310" s="15" t="s">
        <v>11277</v>
      </c>
      <c r="D2310" s="15" t="s">
        <v>11647</v>
      </c>
      <c r="E2310" s="15" t="s">
        <v>215</v>
      </c>
      <c r="F2310" s="15" t="s">
        <v>15751</v>
      </c>
      <c r="G2310" s="15" t="s">
        <v>11934</v>
      </c>
      <c r="H2310" s="15">
        <v>32</v>
      </c>
      <c r="I2310" s="15">
        <v>11</v>
      </c>
      <c r="J2310" s="15">
        <v>99</v>
      </c>
      <c r="K2310" s="15" t="str">
        <f t="shared" si="36"/>
        <v>northernlaketoari</v>
      </c>
      <c r="L2310" s="15"/>
      <c r="M2310" s="15"/>
      <c r="N2310" s="15"/>
      <c r="O2310" s="15"/>
      <c r="P2310" s="15"/>
      <c r="Q2310" s="15"/>
      <c r="R2310" s="15"/>
      <c r="S2310" s="15"/>
      <c r="T2310" s="15">
        <v>0</v>
      </c>
      <c r="U2310" s="15"/>
      <c r="V2310" s="15"/>
      <c r="W2310" s="15"/>
      <c r="X2310" s="15"/>
      <c r="Y2310" s="15"/>
      <c r="Z2310" s="15"/>
    </row>
    <row r="2311" spans="1:26" x14ac:dyDescent="0.25">
      <c r="A2311" s="15" t="s">
        <v>15754</v>
      </c>
      <c r="B2311" s="15">
        <v>2310</v>
      </c>
      <c r="C2311" s="15" t="s">
        <v>11277</v>
      </c>
      <c r="D2311" s="15" t="s">
        <v>11647</v>
      </c>
      <c r="E2311" s="15" t="s">
        <v>215</v>
      </c>
      <c r="F2311" s="15" t="s">
        <v>15751</v>
      </c>
      <c r="G2311" s="15" t="s">
        <v>11935</v>
      </c>
      <c r="H2311" s="15">
        <v>32</v>
      </c>
      <c r="I2311" s="15">
        <v>11</v>
      </c>
      <c r="J2311" s="15">
        <v>98</v>
      </c>
      <c r="K2311" s="15" t="str">
        <f t="shared" si="36"/>
        <v>northernlaketoari</v>
      </c>
      <c r="L2311" s="15"/>
      <c r="M2311" s="15"/>
      <c r="N2311" s="15"/>
      <c r="O2311" s="15"/>
      <c r="P2311" s="15"/>
      <c r="Q2311" s="15"/>
      <c r="R2311" s="15"/>
      <c r="S2311" s="15"/>
      <c r="T2311" s="15">
        <v>0</v>
      </c>
      <c r="U2311" s="15"/>
      <c r="V2311" s="15"/>
      <c r="W2311" s="15"/>
      <c r="X2311" s="15"/>
      <c r="Y2311" s="15"/>
      <c r="Z2311" s="15"/>
    </row>
    <row r="2312" spans="1:26" x14ac:dyDescent="0.25">
      <c r="A2312" s="15" t="s">
        <v>15755</v>
      </c>
      <c r="B2312" s="15">
        <v>2311</v>
      </c>
      <c r="C2312" s="15" t="s">
        <v>11277</v>
      </c>
      <c r="D2312" s="15" t="s">
        <v>11647</v>
      </c>
      <c r="E2312" s="15" t="s">
        <v>215</v>
      </c>
      <c r="F2312" s="15" t="s">
        <v>15751</v>
      </c>
      <c r="G2312" s="15" t="s">
        <v>236</v>
      </c>
      <c r="H2312" s="15">
        <v>32</v>
      </c>
      <c r="I2312" s="15">
        <v>11</v>
      </c>
      <c r="J2312" s="15">
        <v>100</v>
      </c>
      <c r="K2312" s="15" t="str">
        <f t="shared" si="36"/>
        <v>northernlaketoari</v>
      </c>
      <c r="L2312" s="15"/>
      <c r="M2312" s="15"/>
      <c r="N2312" s="15"/>
      <c r="O2312" s="15"/>
      <c r="P2312" s="15"/>
      <c r="Q2312" s="15"/>
      <c r="R2312" s="15"/>
      <c r="S2312" s="15"/>
      <c r="T2312" s="15">
        <v>0</v>
      </c>
      <c r="U2312" s="15"/>
      <c r="V2312" s="15"/>
      <c r="W2312" s="15"/>
      <c r="X2312" s="15"/>
      <c r="Y2312" s="15"/>
      <c r="Z2312" s="15"/>
    </row>
    <row r="2313" spans="1:26" x14ac:dyDescent="0.25">
      <c r="A2313" s="15" t="s">
        <v>15756</v>
      </c>
      <c r="B2313" s="15">
        <v>2312</v>
      </c>
      <c r="C2313" s="15" t="s">
        <v>11277</v>
      </c>
      <c r="D2313" s="15" t="s">
        <v>11647</v>
      </c>
      <c r="E2313" s="15" t="s">
        <v>215</v>
      </c>
      <c r="F2313" s="15" t="s">
        <v>15751</v>
      </c>
      <c r="G2313" s="15" t="s">
        <v>11936</v>
      </c>
      <c r="H2313" s="15">
        <v>32</v>
      </c>
      <c r="I2313" s="15">
        <v>11</v>
      </c>
      <c r="J2313" s="15">
        <v>97</v>
      </c>
      <c r="K2313" s="15" t="str">
        <f t="shared" si="36"/>
        <v>northernlaketoari</v>
      </c>
      <c r="L2313" s="15"/>
      <c r="M2313" s="15"/>
      <c r="N2313" s="15"/>
      <c r="O2313" s="15"/>
      <c r="P2313" s="15"/>
      <c r="Q2313" s="15"/>
      <c r="R2313" s="15"/>
      <c r="S2313" s="15"/>
      <c r="T2313" s="15">
        <v>0</v>
      </c>
      <c r="U2313" s="15"/>
      <c r="V2313" s="15"/>
      <c r="W2313" s="15"/>
      <c r="X2313" s="15"/>
      <c r="Y2313" s="15"/>
      <c r="Z2313" s="15"/>
    </row>
    <row r="2314" spans="1:26" x14ac:dyDescent="0.25">
      <c r="A2314" s="15" t="s">
        <v>15757</v>
      </c>
      <c r="B2314" s="15">
        <v>2313</v>
      </c>
      <c r="C2314" s="15" t="s">
        <v>11277</v>
      </c>
      <c r="D2314" s="15" t="s">
        <v>11277</v>
      </c>
      <c r="E2314" s="15" t="s">
        <v>215</v>
      </c>
      <c r="F2314" s="15" t="s">
        <v>15758</v>
      </c>
      <c r="G2314" s="15" t="s">
        <v>11890</v>
      </c>
      <c r="H2314" s="15">
        <v>19</v>
      </c>
      <c r="I2314" s="15">
        <v>8</v>
      </c>
      <c r="J2314" s="15">
        <v>97</v>
      </c>
      <c r="K2314" s="15" t="str">
        <f t="shared" si="36"/>
        <v>outskirtsshallows</v>
      </c>
      <c r="L2314" s="15" t="s">
        <v>11774</v>
      </c>
      <c r="M2314" s="15">
        <v>1</v>
      </c>
      <c r="N2314" s="15" t="s">
        <v>11222</v>
      </c>
      <c r="O2314" s="15"/>
      <c r="P2314" s="15"/>
      <c r="Q2314" s="15"/>
      <c r="R2314" s="15"/>
      <c r="S2314" s="15"/>
      <c r="T2314" s="15">
        <v>0</v>
      </c>
      <c r="U2314" s="15"/>
      <c r="V2314" s="15"/>
      <c r="W2314" s="15"/>
      <c r="X2314" s="15"/>
      <c r="Y2314" s="15"/>
      <c r="Z2314" s="15"/>
    </row>
    <row r="2315" spans="1:26" x14ac:dyDescent="0.25">
      <c r="A2315" s="15" t="s">
        <v>15759</v>
      </c>
      <c r="B2315" s="15">
        <v>2314</v>
      </c>
      <c r="C2315" s="15" t="s">
        <v>11277</v>
      </c>
      <c r="D2315" s="15" t="s">
        <v>11277</v>
      </c>
      <c r="E2315" s="15" t="s">
        <v>215</v>
      </c>
      <c r="F2315" s="15" t="s">
        <v>15758</v>
      </c>
      <c r="G2315" s="15" t="s">
        <v>11891</v>
      </c>
      <c r="H2315" s="15">
        <v>19</v>
      </c>
      <c r="I2315" s="15">
        <v>8</v>
      </c>
      <c r="J2315" s="15">
        <v>97</v>
      </c>
      <c r="K2315" s="15" t="str">
        <f t="shared" si="36"/>
        <v>outskirtsshallows</v>
      </c>
      <c r="L2315" s="15" t="s">
        <v>11701</v>
      </c>
      <c r="M2315" s="15">
        <v>1</v>
      </c>
      <c r="N2315" s="15" t="s">
        <v>11222</v>
      </c>
      <c r="O2315" s="15"/>
      <c r="P2315" s="15"/>
      <c r="Q2315" s="15"/>
      <c r="R2315" s="15"/>
      <c r="S2315" s="15"/>
      <c r="T2315" s="15">
        <v>0</v>
      </c>
      <c r="U2315" s="15"/>
      <c r="V2315" s="15"/>
      <c r="W2315" s="15"/>
      <c r="X2315" s="15"/>
      <c r="Y2315" s="15"/>
      <c r="Z2315" s="15"/>
    </row>
    <row r="2316" spans="1:26" x14ac:dyDescent="0.25">
      <c r="A2316" s="15" t="s">
        <v>15760</v>
      </c>
      <c r="B2316" s="15">
        <v>2315</v>
      </c>
      <c r="C2316" s="15" t="s">
        <v>11277</v>
      </c>
      <c r="D2316" s="15" t="s">
        <v>11277</v>
      </c>
      <c r="E2316" s="15" t="s">
        <v>215</v>
      </c>
      <c r="F2316" s="15" t="s">
        <v>15758</v>
      </c>
      <c r="G2316" s="15" t="s">
        <v>11892</v>
      </c>
      <c r="H2316" s="15">
        <v>19</v>
      </c>
      <c r="I2316" s="15">
        <v>8</v>
      </c>
      <c r="J2316" s="15">
        <v>97</v>
      </c>
      <c r="K2316" s="15" t="str">
        <f t="shared" si="36"/>
        <v>outskirtsshallows</v>
      </c>
      <c r="L2316" s="15" t="s">
        <v>11774</v>
      </c>
      <c r="M2316" s="15">
        <v>2</v>
      </c>
      <c r="N2316" s="15" t="s">
        <v>11223</v>
      </c>
      <c r="O2316" s="15"/>
      <c r="P2316" s="15"/>
      <c r="Q2316" s="15"/>
      <c r="R2316" s="15"/>
      <c r="S2316" s="15"/>
      <c r="T2316" s="15">
        <v>0</v>
      </c>
      <c r="U2316" s="15"/>
      <c r="V2316" s="15"/>
      <c r="W2316" s="15"/>
      <c r="X2316" s="15"/>
      <c r="Y2316" s="15"/>
      <c r="Z2316" s="15"/>
    </row>
    <row r="2317" spans="1:26" x14ac:dyDescent="0.25">
      <c r="A2317" s="15" t="s">
        <v>15761</v>
      </c>
      <c r="B2317" s="15">
        <v>2316</v>
      </c>
      <c r="C2317" s="15" t="s">
        <v>11277</v>
      </c>
      <c r="D2317" s="15" t="s">
        <v>11277</v>
      </c>
      <c r="E2317" s="15" t="s">
        <v>215</v>
      </c>
      <c r="F2317" s="15" t="s">
        <v>15758</v>
      </c>
      <c r="G2317" s="15" t="s">
        <v>11893</v>
      </c>
      <c r="H2317" s="15">
        <v>19</v>
      </c>
      <c r="I2317" s="15">
        <v>8</v>
      </c>
      <c r="J2317" s="15">
        <v>98</v>
      </c>
      <c r="K2317" s="15" t="str">
        <f t="shared" si="36"/>
        <v>outskirtsshallows</v>
      </c>
      <c r="L2317" s="15" t="s">
        <v>11701</v>
      </c>
      <c r="M2317" s="15">
        <v>2</v>
      </c>
      <c r="N2317" s="15" t="s">
        <v>11223</v>
      </c>
      <c r="O2317" s="15"/>
      <c r="P2317" s="15"/>
      <c r="Q2317" s="15"/>
      <c r="R2317" s="15"/>
      <c r="S2317" s="15"/>
      <c r="T2317" s="15">
        <v>0</v>
      </c>
      <c r="U2317" s="15"/>
      <c r="V2317" s="15"/>
      <c r="W2317" s="15"/>
      <c r="X2317" s="15"/>
      <c r="Y2317" s="15"/>
      <c r="Z2317" s="15"/>
    </row>
    <row r="2318" spans="1:26" x14ac:dyDescent="0.25">
      <c r="A2318" s="15" t="s">
        <v>15762</v>
      </c>
      <c r="B2318" s="15">
        <v>2317</v>
      </c>
      <c r="C2318" s="15" t="s">
        <v>11277</v>
      </c>
      <c r="D2318" s="15" t="s">
        <v>11277</v>
      </c>
      <c r="E2318" s="15" t="s">
        <v>215</v>
      </c>
      <c r="F2318" s="15" t="s">
        <v>15758</v>
      </c>
      <c r="G2318" s="15" t="s">
        <v>11894</v>
      </c>
      <c r="H2318" s="15">
        <v>19</v>
      </c>
      <c r="I2318" s="15">
        <v>8</v>
      </c>
      <c r="J2318" s="15">
        <v>100</v>
      </c>
      <c r="K2318" s="15" t="str">
        <f t="shared" si="36"/>
        <v>outskirtsshallows</v>
      </c>
      <c r="L2318" s="15" t="s">
        <v>11701</v>
      </c>
      <c r="M2318" s="15">
        <v>3</v>
      </c>
      <c r="N2318" s="15" t="s">
        <v>11223</v>
      </c>
      <c r="O2318" s="15" t="s">
        <v>2825</v>
      </c>
      <c r="P2318" s="15"/>
      <c r="Q2318" s="15"/>
      <c r="R2318" s="15"/>
      <c r="S2318" s="15"/>
      <c r="T2318" s="15">
        <v>0</v>
      </c>
      <c r="U2318" s="15" t="s">
        <v>5982</v>
      </c>
      <c r="V2318" s="15"/>
      <c r="W2318" s="15"/>
      <c r="X2318" s="15"/>
      <c r="Y2318" s="15"/>
      <c r="Z2318" s="15"/>
    </row>
    <row r="2319" spans="1:26" x14ac:dyDescent="0.25">
      <c r="A2319" s="15" t="s">
        <v>15763</v>
      </c>
      <c r="B2319" s="15">
        <v>2318</v>
      </c>
      <c r="C2319" s="15" t="s">
        <v>11277</v>
      </c>
      <c r="D2319" s="15" t="s">
        <v>11277</v>
      </c>
      <c r="E2319" s="15" t="s">
        <v>215</v>
      </c>
      <c r="F2319" s="15" t="s">
        <v>2720</v>
      </c>
      <c r="G2319" s="15" t="s">
        <v>11890</v>
      </c>
      <c r="H2319" s="15">
        <v>13</v>
      </c>
      <c r="I2319" s="15">
        <v>17</v>
      </c>
      <c r="J2319" s="15">
        <v>97</v>
      </c>
      <c r="K2319" s="15" t="str">
        <f t="shared" si="36"/>
        <v>thedriftdowns</v>
      </c>
      <c r="L2319" s="15" t="s">
        <v>11774</v>
      </c>
      <c r="M2319" s="15">
        <v>1</v>
      </c>
      <c r="N2319" s="15" t="s">
        <v>11222</v>
      </c>
      <c r="O2319" s="15"/>
      <c r="P2319" s="15"/>
      <c r="Q2319" s="15"/>
      <c r="R2319" s="15"/>
      <c r="S2319" s="15"/>
      <c r="T2319" s="15">
        <v>0</v>
      </c>
      <c r="U2319" s="15"/>
      <c r="V2319" s="15"/>
      <c r="W2319" s="15"/>
      <c r="X2319" s="15"/>
      <c r="Y2319" s="15"/>
      <c r="Z2319" s="15"/>
    </row>
    <row r="2320" spans="1:26" x14ac:dyDescent="0.25">
      <c r="A2320" s="15" t="s">
        <v>15764</v>
      </c>
      <c r="B2320" s="15">
        <v>2319</v>
      </c>
      <c r="C2320" s="15" t="s">
        <v>11277</v>
      </c>
      <c r="D2320" s="15" t="s">
        <v>11277</v>
      </c>
      <c r="E2320" s="15" t="s">
        <v>215</v>
      </c>
      <c r="F2320" s="15" t="s">
        <v>2720</v>
      </c>
      <c r="G2320" s="15" t="s">
        <v>11891</v>
      </c>
      <c r="H2320" s="15">
        <v>13</v>
      </c>
      <c r="I2320" s="15">
        <v>17</v>
      </c>
      <c r="J2320" s="15">
        <v>97</v>
      </c>
      <c r="K2320" s="15" t="str">
        <f t="shared" si="36"/>
        <v>thedriftdowns</v>
      </c>
      <c r="L2320" s="15" t="s">
        <v>11701</v>
      </c>
      <c r="M2320" s="15">
        <v>1</v>
      </c>
      <c r="N2320" s="15" t="s">
        <v>11222</v>
      </c>
      <c r="O2320" s="15"/>
      <c r="P2320" s="15"/>
      <c r="Q2320" s="15"/>
      <c r="R2320" s="15"/>
      <c r="S2320" s="15"/>
      <c r="T2320" s="15">
        <v>0</v>
      </c>
      <c r="U2320" s="15"/>
      <c r="V2320" s="15"/>
      <c r="W2320" s="15"/>
      <c r="X2320" s="15"/>
      <c r="Y2320" s="15"/>
      <c r="Z2320" s="15"/>
    </row>
    <row r="2321" spans="1:26" x14ac:dyDescent="0.25">
      <c r="A2321" s="15" t="s">
        <v>15765</v>
      </c>
      <c r="B2321" s="15">
        <v>2320</v>
      </c>
      <c r="C2321" s="15" t="s">
        <v>11277</v>
      </c>
      <c r="D2321" s="15" t="s">
        <v>11277</v>
      </c>
      <c r="E2321" s="15" t="s">
        <v>215</v>
      </c>
      <c r="F2321" s="15" t="s">
        <v>2720</v>
      </c>
      <c r="G2321" s="15" t="s">
        <v>11895</v>
      </c>
      <c r="H2321" s="15">
        <v>13</v>
      </c>
      <c r="I2321" s="15">
        <v>17</v>
      </c>
      <c r="J2321" s="15">
        <v>98</v>
      </c>
      <c r="K2321" s="15" t="str">
        <f t="shared" si="36"/>
        <v>thedriftdowns</v>
      </c>
      <c r="L2321" s="15" t="s">
        <v>11774</v>
      </c>
      <c r="M2321" s="15">
        <v>2</v>
      </c>
      <c r="N2321" s="15" t="s">
        <v>11223</v>
      </c>
      <c r="O2321" s="15"/>
      <c r="P2321" s="15"/>
      <c r="Q2321" s="15"/>
      <c r="R2321" s="15"/>
      <c r="S2321" s="15"/>
      <c r="T2321" s="15">
        <v>0</v>
      </c>
      <c r="U2321" s="15"/>
      <c r="V2321" s="15"/>
      <c r="W2321" s="15"/>
      <c r="X2321" s="15"/>
      <c r="Y2321" s="15"/>
      <c r="Z2321" s="15"/>
    </row>
    <row r="2322" spans="1:26" x14ac:dyDescent="0.25">
      <c r="A2322" s="15" t="s">
        <v>15766</v>
      </c>
      <c r="B2322" s="15">
        <v>2321</v>
      </c>
      <c r="C2322" s="15" t="s">
        <v>11277</v>
      </c>
      <c r="D2322" s="15" t="s">
        <v>11277</v>
      </c>
      <c r="E2322" s="15" t="s">
        <v>215</v>
      </c>
      <c r="F2322" s="15" t="s">
        <v>2720</v>
      </c>
      <c r="G2322" s="15" t="s">
        <v>11896</v>
      </c>
      <c r="H2322" s="15">
        <v>13</v>
      </c>
      <c r="I2322" s="15">
        <v>17</v>
      </c>
      <c r="J2322" s="15">
        <v>98</v>
      </c>
      <c r="K2322" s="15" t="str">
        <f t="shared" si="36"/>
        <v>thedriftdowns</v>
      </c>
      <c r="L2322" s="15" t="s">
        <v>11774</v>
      </c>
      <c r="M2322" s="15">
        <v>2</v>
      </c>
      <c r="N2322" s="15" t="s">
        <v>11223</v>
      </c>
      <c r="O2322" s="15"/>
      <c r="P2322" s="15"/>
      <c r="Q2322" s="15"/>
      <c r="R2322" s="15"/>
      <c r="S2322" s="15"/>
      <c r="T2322" s="15">
        <v>0</v>
      </c>
      <c r="U2322" s="15"/>
      <c r="V2322" s="15"/>
      <c r="W2322" s="15"/>
      <c r="X2322" s="15"/>
      <c r="Y2322" s="15"/>
      <c r="Z2322" s="15"/>
    </row>
    <row r="2323" spans="1:26" x14ac:dyDescent="0.25">
      <c r="A2323" s="15" t="s">
        <v>15767</v>
      </c>
      <c r="B2323" s="15">
        <v>2322</v>
      </c>
      <c r="C2323" s="15" t="s">
        <v>11277</v>
      </c>
      <c r="D2323" s="15" t="s">
        <v>11277</v>
      </c>
      <c r="E2323" s="15" t="s">
        <v>215</v>
      </c>
      <c r="F2323" s="15" t="s">
        <v>2720</v>
      </c>
      <c r="G2323" s="15" t="s">
        <v>11897</v>
      </c>
      <c r="H2323" s="15">
        <v>13</v>
      </c>
      <c r="I2323" s="15">
        <v>17</v>
      </c>
      <c r="J2323" s="15">
        <v>97</v>
      </c>
      <c r="K2323" s="15" t="str">
        <f t="shared" si="36"/>
        <v>thedriftdowns</v>
      </c>
      <c r="L2323" s="15" t="s">
        <v>11560</v>
      </c>
      <c r="M2323" s="15">
        <v>2</v>
      </c>
      <c r="N2323" s="15" t="s">
        <v>11223</v>
      </c>
      <c r="O2323" s="15"/>
      <c r="P2323" s="15"/>
      <c r="Q2323" s="15"/>
      <c r="R2323" s="15"/>
      <c r="S2323" s="15"/>
      <c r="T2323" s="15">
        <v>0</v>
      </c>
      <c r="U2323" s="15"/>
      <c r="V2323" s="15"/>
      <c r="W2323" s="15"/>
      <c r="X2323" s="15"/>
      <c r="Y2323" s="15"/>
      <c r="Z2323" s="15"/>
    </row>
    <row r="2324" spans="1:26" x14ac:dyDescent="0.25">
      <c r="A2324" s="15" t="s">
        <v>15768</v>
      </c>
      <c r="B2324" s="15">
        <v>2323</v>
      </c>
      <c r="C2324" s="15" t="s">
        <v>11277</v>
      </c>
      <c r="D2324" s="15" t="s">
        <v>11277</v>
      </c>
      <c r="E2324" s="15" t="s">
        <v>215</v>
      </c>
      <c r="F2324" s="15" t="s">
        <v>2720</v>
      </c>
      <c r="G2324" s="15" t="s">
        <v>11898</v>
      </c>
      <c r="H2324" s="15">
        <v>13</v>
      </c>
      <c r="I2324" s="15">
        <v>17</v>
      </c>
      <c r="J2324" s="15">
        <v>100</v>
      </c>
      <c r="K2324" s="15" t="str">
        <f t="shared" si="36"/>
        <v>thedriftdowns</v>
      </c>
      <c r="L2324" s="15" t="s">
        <v>11701</v>
      </c>
      <c r="M2324" s="15">
        <v>3</v>
      </c>
      <c r="N2324" s="15" t="s">
        <v>11223</v>
      </c>
      <c r="O2324" s="15" t="s">
        <v>14009</v>
      </c>
      <c r="P2324" s="15"/>
      <c r="Q2324" s="15"/>
      <c r="R2324" s="15"/>
      <c r="S2324" s="15"/>
      <c r="T2324" s="15">
        <v>1</v>
      </c>
      <c r="U2324" s="15"/>
      <c r="V2324" s="15"/>
      <c r="W2324" s="15"/>
      <c r="X2324" s="15"/>
      <c r="Y2324" s="15"/>
      <c r="Z2324" s="15"/>
    </row>
    <row r="2325" spans="1:26" x14ac:dyDescent="0.25">
      <c r="A2325" s="15" t="s">
        <v>15769</v>
      </c>
      <c r="B2325" s="15">
        <v>2324</v>
      </c>
      <c r="C2325" s="15" t="s">
        <v>11277</v>
      </c>
      <c r="D2325" s="15" t="s">
        <v>11277</v>
      </c>
      <c r="E2325" s="15" t="s">
        <v>215</v>
      </c>
      <c r="F2325" s="15" t="s">
        <v>15770</v>
      </c>
      <c r="G2325" s="15" t="s">
        <v>11899</v>
      </c>
      <c r="H2325" s="15">
        <v>21</v>
      </c>
      <c r="I2325" s="15">
        <v>32</v>
      </c>
      <c r="J2325" s="15">
        <v>97</v>
      </c>
      <c r="K2325" s="15" t="str">
        <f t="shared" si="36"/>
        <v>cracklingcanyons</v>
      </c>
      <c r="L2325" s="15" t="s">
        <v>11774</v>
      </c>
      <c r="M2325" s="15">
        <v>1</v>
      </c>
      <c r="N2325" s="15" t="s">
        <v>11222</v>
      </c>
      <c r="O2325" s="15"/>
      <c r="P2325" s="15"/>
      <c r="Q2325" s="15"/>
      <c r="R2325" s="15"/>
      <c r="S2325" s="15"/>
      <c r="T2325" s="15">
        <v>0</v>
      </c>
      <c r="U2325" s="15"/>
      <c r="V2325" s="15"/>
      <c r="W2325" s="15"/>
      <c r="X2325" s="15"/>
      <c r="Y2325" s="15"/>
      <c r="Z2325" s="15"/>
    </row>
    <row r="2326" spans="1:26" x14ac:dyDescent="0.25">
      <c r="A2326" s="15" t="s">
        <v>15771</v>
      </c>
      <c r="B2326" s="15">
        <v>2325</v>
      </c>
      <c r="C2326" s="15" t="s">
        <v>11277</v>
      </c>
      <c r="D2326" s="15" t="s">
        <v>11277</v>
      </c>
      <c r="E2326" s="15" t="s">
        <v>215</v>
      </c>
      <c r="F2326" s="15" t="s">
        <v>15770</v>
      </c>
      <c r="G2326" s="15" t="s">
        <v>11900</v>
      </c>
      <c r="H2326" s="15">
        <v>21</v>
      </c>
      <c r="I2326" s="15">
        <v>32</v>
      </c>
      <c r="J2326" s="15">
        <v>98</v>
      </c>
      <c r="K2326" s="15" t="str">
        <f t="shared" si="36"/>
        <v>cracklingcanyons</v>
      </c>
      <c r="L2326" s="15" t="s">
        <v>11774</v>
      </c>
      <c r="M2326" s="15">
        <v>1</v>
      </c>
      <c r="N2326" s="15" t="s">
        <v>11222</v>
      </c>
      <c r="O2326" s="15"/>
      <c r="P2326" s="15"/>
      <c r="Q2326" s="15"/>
      <c r="R2326" s="15"/>
      <c r="S2326" s="15"/>
      <c r="T2326" s="15">
        <v>0</v>
      </c>
      <c r="U2326" s="15"/>
      <c r="V2326" s="15"/>
      <c r="W2326" s="15"/>
      <c r="X2326" s="15"/>
      <c r="Y2326" s="15"/>
      <c r="Z2326" s="15"/>
    </row>
    <row r="2327" spans="1:26" x14ac:dyDescent="0.25">
      <c r="A2327" s="15" t="s">
        <v>15772</v>
      </c>
      <c r="B2327" s="15">
        <v>2326</v>
      </c>
      <c r="C2327" s="15" t="s">
        <v>11277</v>
      </c>
      <c r="D2327" s="15" t="s">
        <v>11277</v>
      </c>
      <c r="E2327" s="15" t="s">
        <v>215</v>
      </c>
      <c r="F2327" s="15" t="s">
        <v>15770</v>
      </c>
      <c r="G2327" s="15" t="s">
        <v>11901</v>
      </c>
      <c r="H2327" s="15">
        <v>21</v>
      </c>
      <c r="I2327" s="15">
        <v>32</v>
      </c>
      <c r="J2327" s="15">
        <v>98</v>
      </c>
      <c r="K2327" s="15" t="str">
        <f t="shared" si="36"/>
        <v>cracklingcanyons</v>
      </c>
      <c r="L2327" s="15" t="s">
        <v>11774</v>
      </c>
      <c r="M2327" s="15">
        <v>2</v>
      </c>
      <c r="N2327" s="15" t="s">
        <v>11223</v>
      </c>
      <c r="O2327" s="15"/>
      <c r="P2327" s="15"/>
      <c r="Q2327" s="15"/>
      <c r="R2327" s="15"/>
      <c r="S2327" s="15"/>
      <c r="T2327" s="15">
        <v>0</v>
      </c>
      <c r="U2327" s="15"/>
      <c r="V2327" s="15"/>
      <c r="W2327" s="15"/>
      <c r="X2327" s="15"/>
      <c r="Y2327" s="15"/>
      <c r="Z2327" s="15"/>
    </row>
    <row r="2328" spans="1:26" x14ac:dyDescent="0.25">
      <c r="A2328" s="15" t="s">
        <v>15773</v>
      </c>
      <c r="B2328" s="15">
        <v>2327</v>
      </c>
      <c r="C2328" s="15" t="s">
        <v>11277</v>
      </c>
      <c r="D2328" s="15" t="s">
        <v>11277</v>
      </c>
      <c r="E2328" s="15" t="s">
        <v>215</v>
      </c>
      <c r="F2328" s="15" t="s">
        <v>15770</v>
      </c>
      <c r="G2328" s="15" t="s">
        <v>11902</v>
      </c>
      <c r="H2328" s="15">
        <v>21</v>
      </c>
      <c r="I2328" s="15">
        <v>32</v>
      </c>
      <c r="J2328" s="15">
        <v>99</v>
      </c>
      <c r="K2328" s="15" t="str">
        <f t="shared" si="36"/>
        <v>cracklingcanyons</v>
      </c>
      <c r="L2328" s="15" t="s">
        <v>11774</v>
      </c>
      <c r="M2328" s="15">
        <v>2</v>
      </c>
      <c r="N2328" s="15" t="s">
        <v>11223</v>
      </c>
      <c r="O2328" s="15"/>
      <c r="P2328" s="15"/>
      <c r="Q2328" s="15"/>
      <c r="R2328" s="15"/>
      <c r="S2328" s="15"/>
      <c r="T2328" s="15">
        <v>0</v>
      </c>
      <c r="U2328" s="15"/>
      <c r="V2328" s="15"/>
      <c r="W2328" s="15"/>
      <c r="X2328" s="15"/>
      <c r="Y2328" s="15"/>
      <c r="Z2328" s="15"/>
    </row>
    <row r="2329" spans="1:26" x14ac:dyDescent="0.25">
      <c r="A2329" s="15" t="s">
        <v>15774</v>
      </c>
      <c r="B2329" s="15">
        <v>2328</v>
      </c>
      <c r="C2329" s="15" t="s">
        <v>11277</v>
      </c>
      <c r="D2329" s="15" t="s">
        <v>11277</v>
      </c>
      <c r="E2329" s="15" t="s">
        <v>215</v>
      </c>
      <c r="F2329" s="15" t="s">
        <v>15770</v>
      </c>
      <c r="G2329" s="15" t="s">
        <v>11903</v>
      </c>
      <c r="H2329" s="15">
        <v>21</v>
      </c>
      <c r="I2329" s="15">
        <v>32</v>
      </c>
      <c r="J2329" s="15">
        <v>100</v>
      </c>
      <c r="K2329" s="15" t="str">
        <f t="shared" si="36"/>
        <v>cracklingcanyons</v>
      </c>
      <c r="L2329" s="15" t="s">
        <v>11701</v>
      </c>
      <c r="M2329" s="15">
        <v>3</v>
      </c>
      <c r="N2329" s="15" t="s">
        <v>11223</v>
      </c>
      <c r="O2329" s="15"/>
      <c r="P2329" s="15"/>
      <c r="Q2329" s="15"/>
      <c r="R2329" s="15"/>
      <c r="S2329" s="15"/>
      <c r="T2329" s="15">
        <v>2</v>
      </c>
      <c r="U2329" s="15" t="s">
        <v>5900</v>
      </c>
      <c r="V2329" s="15"/>
      <c r="W2329" s="15"/>
      <c r="X2329" s="15"/>
      <c r="Y2329" s="15"/>
      <c r="Z2329" s="15"/>
    </row>
    <row r="2330" spans="1:26" x14ac:dyDescent="0.25">
      <c r="A2330" s="15" t="s">
        <v>15775</v>
      </c>
      <c r="B2330" s="15">
        <v>2329</v>
      </c>
      <c r="C2330" s="15" t="s">
        <v>11277</v>
      </c>
      <c r="D2330" s="15" t="s">
        <v>11277</v>
      </c>
      <c r="E2330" s="15" t="s">
        <v>215</v>
      </c>
      <c r="F2330" s="15" t="s">
        <v>15770</v>
      </c>
      <c r="G2330" s="15" t="s">
        <v>11904</v>
      </c>
      <c r="H2330" s="15">
        <v>21</v>
      </c>
      <c r="I2330" s="15">
        <v>32</v>
      </c>
      <c r="J2330" s="15">
        <v>100</v>
      </c>
      <c r="K2330" s="15" t="str">
        <f t="shared" si="36"/>
        <v>cracklingcanyons</v>
      </c>
      <c r="L2330" s="15" t="s">
        <v>11701</v>
      </c>
      <c r="M2330" s="15">
        <v>2</v>
      </c>
      <c r="N2330" s="15" t="s">
        <v>11223</v>
      </c>
      <c r="O2330" s="15"/>
      <c r="P2330" s="15"/>
      <c r="Q2330" s="15"/>
      <c r="R2330" s="15"/>
      <c r="S2330" s="15"/>
      <c r="T2330" s="15">
        <v>2</v>
      </c>
      <c r="U2330" s="15"/>
      <c r="V2330" s="15"/>
      <c r="W2330" s="15"/>
      <c r="X2330" s="15"/>
      <c r="Y2330" s="15"/>
      <c r="Z2330" s="15"/>
    </row>
    <row r="2331" spans="1:26" x14ac:dyDescent="0.25">
      <c r="A2331" s="15" t="s">
        <v>15776</v>
      </c>
      <c r="B2331" s="15">
        <v>2330</v>
      </c>
      <c r="C2331" s="15" t="s">
        <v>11277</v>
      </c>
      <c r="D2331" s="15" t="s">
        <v>11277</v>
      </c>
      <c r="E2331" s="15" t="s">
        <v>215</v>
      </c>
      <c r="F2331" s="15" t="s">
        <v>15777</v>
      </c>
      <c r="G2331" s="15" t="s">
        <v>11899</v>
      </c>
      <c r="H2331" s="15">
        <v>6</v>
      </c>
      <c r="I2331" s="15">
        <v>34</v>
      </c>
      <c r="J2331" s="15">
        <v>97</v>
      </c>
      <c r="K2331" s="15" t="str">
        <f t="shared" si="36"/>
        <v>alexandrianruins</v>
      </c>
      <c r="L2331" s="15" t="s">
        <v>11774</v>
      </c>
      <c r="M2331" s="15">
        <v>1</v>
      </c>
      <c r="N2331" s="15" t="s">
        <v>11222</v>
      </c>
      <c r="O2331" s="15"/>
      <c r="P2331" s="15"/>
      <c r="Q2331" s="15"/>
      <c r="R2331" s="15"/>
      <c r="S2331" s="15"/>
      <c r="T2331" s="15">
        <v>0</v>
      </c>
      <c r="U2331" s="15"/>
      <c r="V2331" s="15"/>
      <c r="W2331" s="15"/>
      <c r="X2331" s="15"/>
      <c r="Y2331" s="15"/>
      <c r="Z2331" s="15"/>
    </row>
    <row r="2332" spans="1:26" x14ac:dyDescent="0.25">
      <c r="A2332" s="15" t="s">
        <v>15778</v>
      </c>
      <c r="B2332" s="15">
        <v>2331</v>
      </c>
      <c r="C2332" s="15" t="s">
        <v>11277</v>
      </c>
      <c r="D2332" s="15" t="s">
        <v>11277</v>
      </c>
      <c r="E2332" s="15" t="s">
        <v>215</v>
      </c>
      <c r="F2332" s="15" t="s">
        <v>15777</v>
      </c>
      <c r="G2332" s="15" t="s">
        <v>11900</v>
      </c>
      <c r="H2332" s="15">
        <v>6</v>
      </c>
      <c r="I2332" s="15">
        <v>34</v>
      </c>
      <c r="J2332" s="15">
        <v>98</v>
      </c>
      <c r="K2332" s="15" t="str">
        <f t="shared" si="36"/>
        <v>alexandrianruins</v>
      </c>
      <c r="L2332" s="15" t="s">
        <v>11774</v>
      </c>
      <c r="M2332" s="15">
        <v>1</v>
      </c>
      <c r="N2332" s="15" t="s">
        <v>11222</v>
      </c>
      <c r="O2332" s="15"/>
      <c r="P2332" s="15"/>
      <c r="Q2332" s="15"/>
      <c r="R2332" s="15"/>
      <c r="S2332" s="15"/>
      <c r="T2332" s="15">
        <v>0</v>
      </c>
      <c r="U2332" s="15"/>
      <c r="V2332" s="15"/>
      <c r="W2332" s="15"/>
      <c r="X2332" s="15"/>
      <c r="Y2332" s="15"/>
      <c r="Z2332" s="15"/>
    </row>
    <row r="2333" spans="1:26" x14ac:dyDescent="0.25">
      <c r="A2333" s="15" t="s">
        <v>15779</v>
      </c>
      <c r="B2333" s="15">
        <v>2332</v>
      </c>
      <c r="C2333" s="15" t="s">
        <v>11277</v>
      </c>
      <c r="D2333" s="15" t="s">
        <v>11277</v>
      </c>
      <c r="E2333" s="15" t="s">
        <v>215</v>
      </c>
      <c r="F2333" s="15" t="s">
        <v>15777</v>
      </c>
      <c r="G2333" s="15" t="s">
        <v>11901</v>
      </c>
      <c r="H2333" s="15">
        <v>6</v>
      </c>
      <c r="I2333" s="15">
        <v>34</v>
      </c>
      <c r="J2333" s="15">
        <v>98</v>
      </c>
      <c r="K2333" s="15" t="str">
        <f t="shared" si="36"/>
        <v>alexandrianruins</v>
      </c>
      <c r="L2333" s="15" t="s">
        <v>11774</v>
      </c>
      <c r="M2333" s="15">
        <v>2</v>
      </c>
      <c r="N2333" s="15" t="s">
        <v>11223</v>
      </c>
      <c r="O2333" s="15"/>
      <c r="P2333" s="15"/>
      <c r="Q2333" s="15"/>
      <c r="R2333" s="15"/>
      <c r="S2333" s="15"/>
      <c r="T2333" s="15">
        <v>0</v>
      </c>
      <c r="U2333" s="15"/>
      <c r="V2333" s="15"/>
      <c r="W2333" s="15"/>
      <c r="X2333" s="15"/>
      <c r="Y2333" s="15"/>
      <c r="Z2333" s="15"/>
    </row>
    <row r="2334" spans="1:26" x14ac:dyDescent="0.25">
      <c r="A2334" s="15" t="s">
        <v>15780</v>
      </c>
      <c r="B2334" s="15">
        <v>2333</v>
      </c>
      <c r="C2334" s="15" t="s">
        <v>11277</v>
      </c>
      <c r="D2334" s="15" t="s">
        <v>11277</v>
      </c>
      <c r="E2334" s="15" t="s">
        <v>215</v>
      </c>
      <c r="F2334" s="15" t="s">
        <v>15777</v>
      </c>
      <c r="G2334" s="15" t="s">
        <v>11905</v>
      </c>
      <c r="H2334" s="15">
        <v>6</v>
      </c>
      <c r="I2334" s="15">
        <v>34</v>
      </c>
      <c r="J2334" s="15">
        <v>100</v>
      </c>
      <c r="K2334" s="15" t="str">
        <f t="shared" si="36"/>
        <v>alexandrianruins</v>
      </c>
      <c r="L2334" s="15" t="s">
        <v>11774</v>
      </c>
      <c r="M2334" s="15">
        <v>2</v>
      </c>
      <c r="N2334" s="15" t="s">
        <v>11223</v>
      </c>
      <c r="O2334" s="15"/>
      <c r="P2334" s="15"/>
      <c r="Q2334" s="15"/>
      <c r="R2334" s="15"/>
      <c r="S2334" s="15"/>
      <c r="T2334" s="15">
        <v>0</v>
      </c>
      <c r="U2334" s="15"/>
      <c r="V2334" s="15"/>
      <c r="W2334" s="15"/>
      <c r="X2334" s="15"/>
      <c r="Y2334" s="15"/>
      <c r="Z2334" s="15"/>
    </row>
    <row r="2335" spans="1:26" x14ac:dyDescent="0.25">
      <c r="A2335" s="15" t="s">
        <v>15781</v>
      </c>
      <c r="B2335" s="15">
        <v>2334</v>
      </c>
      <c r="C2335" s="15" t="s">
        <v>11277</v>
      </c>
      <c r="D2335" s="15" t="s">
        <v>11277</v>
      </c>
      <c r="E2335" s="15" t="s">
        <v>215</v>
      </c>
      <c r="F2335" s="15" t="s">
        <v>15777</v>
      </c>
      <c r="G2335" s="15" t="s">
        <v>11906</v>
      </c>
      <c r="H2335" s="15">
        <v>6</v>
      </c>
      <c r="I2335" s="15">
        <v>34</v>
      </c>
      <c r="J2335" s="15">
        <v>100</v>
      </c>
      <c r="K2335" s="15" t="str">
        <f t="shared" si="36"/>
        <v>alexandrianruins</v>
      </c>
      <c r="L2335" s="15" t="s">
        <v>11774</v>
      </c>
      <c r="M2335" s="15">
        <v>3</v>
      </c>
      <c r="N2335" s="15" t="s">
        <v>11223</v>
      </c>
      <c r="O2335" s="15" t="s">
        <v>2819</v>
      </c>
      <c r="P2335" s="15"/>
      <c r="Q2335" s="15"/>
      <c r="R2335" s="15"/>
      <c r="S2335" s="15"/>
      <c r="T2335" s="15">
        <v>3</v>
      </c>
      <c r="U2335" s="15" t="s">
        <v>5914</v>
      </c>
      <c r="V2335" s="15"/>
      <c r="W2335" s="15"/>
      <c r="X2335" s="15" t="s">
        <v>5892</v>
      </c>
      <c r="Y2335" s="15"/>
      <c r="Z2335" s="15"/>
    </row>
    <row r="2336" spans="1:26" x14ac:dyDescent="0.25">
      <c r="A2336" s="15" t="s">
        <v>15782</v>
      </c>
      <c r="B2336" s="15">
        <v>2335</v>
      </c>
      <c r="C2336" s="15" t="s">
        <v>11277</v>
      </c>
      <c r="D2336" s="15" t="s">
        <v>11277</v>
      </c>
      <c r="E2336" s="15" t="s">
        <v>215</v>
      </c>
      <c r="F2336" s="15" t="s">
        <v>2797</v>
      </c>
      <c r="G2336" s="15" t="s">
        <v>11907</v>
      </c>
      <c r="H2336" s="15">
        <v>7</v>
      </c>
      <c r="I2336" s="15">
        <v>14</v>
      </c>
      <c r="J2336" s="15">
        <v>98</v>
      </c>
      <c r="K2336" s="15" t="str">
        <f t="shared" si="36"/>
        <v>theknowable</v>
      </c>
      <c r="L2336" s="15" t="s">
        <v>11701</v>
      </c>
      <c r="M2336" s="15">
        <v>1</v>
      </c>
      <c r="N2336" s="15" t="s">
        <v>11222</v>
      </c>
      <c r="O2336" s="15"/>
      <c r="P2336" s="15"/>
      <c r="Q2336" s="15"/>
      <c r="R2336" s="15"/>
      <c r="S2336" s="15"/>
      <c r="T2336" s="15">
        <v>0</v>
      </c>
      <c r="U2336" s="15"/>
      <c r="V2336" s="15"/>
      <c r="W2336" s="15"/>
      <c r="X2336" s="15"/>
      <c r="Y2336" s="15"/>
      <c r="Z2336" s="15"/>
    </row>
    <row r="2337" spans="1:26" x14ac:dyDescent="0.25">
      <c r="A2337" s="15" t="s">
        <v>15783</v>
      </c>
      <c r="B2337" s="15">
        <v>2336</v>
      </c>
      <c r="C2337" s="15" t="s">
        <v>11277</v>
      </c>
      <c r="D2337" s="15" t="s">
        <v>11277</v>
      </c>
      <c r="E2337" s="15" t="s">
        <v>215</v>
      </c>
      <c r="F2337" s="15" t="s">
        <v>2797</v>
      </c>
      <c r="G2337" s="15" t="s">
        <v>11908</v>
      </c>
      <c r="H2337" s="15">
        <v>7</v>
      </c>
      <c r="I2337" s="15">
        <v>14</v>
      </c>
      <c r="J2337" s="15">
        <v>99</v>
      </c>
      <c r="K2337" s="15" t="str">
        <f t="shared" si="36"/>
        <v>theknowable</v>
      </c>
      <c r="L2337" s="15" t="s">
        <v>11774</v>
      </c>
      <c r="M2337" s="15">
        <v>1</v>
      </c>
      <c r="N2337" s="15" t="s">
        <v>11222</v>
      </c>
      <c r="O2337" s="15"/>
      <c r="P2337" s="15"/>
      <c r="Q2337" s="15"/>
      <c r="R2337" s="15"/>
      <c r="S2337" s="15"/>
      <c r="T2337" s="15">
        <v>0</v>
      </c>
      <c r="U2337" s="15"/>
      <c r="V2337" s="15"/>
      <c r="W2337" s="15"/>
      <c r="X2337" s="15"/>
      <c r="Y2337" s="15"/>
      <c r="Z2337" s="15"/>
    </row>
    <row r="2338" spans="1:26" x14ac:dyDescent="0.25">
      <c r="A2338" s="15" t="s">
        <v>15784</v>
      </c>
      <c r="B2338" s="15">
        <v>2337</v>
      </c>
      <c r="C2338" s="15" t="s">
        <v>11277</v>
      </c>
      <c r="D2338" s="15" t="s">
        <v>11277</v>
      </c>
      <c r="E2338" s="15" t="s">
        <v>215</v>
      </c>
      <c r="F2338" s="15" t="s">
        <v>2797</v>
      </c>
      <c r="G2338" s="15" t="s">
        <v>11909</v>
      </c>
      <c r="H2338" s="15">
        <v>7</v>
      </c>
      <c r="I2338" s="15">
        <v>14</v>
      </c>
      <c r="J2338" s="15">
        <v>100</v>
      </c>
      <c r="K2338" s="15" t="str">
        <f t="shared" si="36"/>
        <v>theknowable</v>
      </c>
      <c r="L2338" s="15" t="s">
        <v>11774</v>
      </c>
      <c r="M2338" s="15">
        <v>2</v>
      </c>
      <c r="N2338" s="15" t="s">
        <v>11223</v>
      </c>
      <c r="O2338" s="15"/>
      <c r="P2338" s="15"/>
      <c r="Q2338" s="15"/>
      <c r="R2338" s="15"/>
      <c r="S2338" s="15"/>
      <c r="T2338" s="15">
        <v>0</v>
      </c>
      <c r="U2338" s="15"/>
      <c r="V2338" s="15"/>
      <c r="W2338" s="15"/>
      <c r="X2338" s="15"/>
      <c r="Y2338" s="15"/>
      <c r="Z2338" s="15"/>
    </row>
    <row r="2339" spans="1:26" x14ac:dyDescent="0.25">
      <c r="A2339" s="15" t="s">
        <v>15785</v>
      </c>
      <c r="B2339" s="15">
        <v>2338</v>
      </c>
      <c r="C2339" s="15" t="s">
        <v>11277</v>
      </c>
      <c r="D2339" s="15" t="s">
        <v>11277</v>
      </c>
      <c r="E2339" s="15" t="s">
        <v>215</v>
      </c>
      <c r="F2339" s="15" t="s">
        <v>2797</v>
      </c>
      <c r="G2339" s="15" t="s">
        <v>11910</v>
      </c>
      <c r="H2339" s="15">
        <v>7</v>
      </c>
      <c r="I2339" s="15">
        <v>14</v>
      </c>
      <c r="J2339" s="15">
        <v>100</v>
      </c>
      <c r="K2339" s="15" t="str">
        <f t="shared" si="36"/>
        <v>theknowable</v>
      </c>
      <c r="L2339" s="15" t="s">
        <v>11774</v>
      </c>
      <c r="M2339" s="15">
        <v>2</v>
      </c>
      <c r="N2339" s="15" t="s">
        <v>11223</v>
      </c>
      <c r="O2339" s="15"/>
      <c r="P2339" s="15"/>
      <c r="Q2339" s="15"/>
      <c r="R2339" s="15"/>
      <c r="S2339" s="15"/>
      <c r="T2339" s="15">
        <v>0</v>
      </c>
      <c r="U2339" s="15"/>
      <c r="V2339" s="15"/>
      <c r="W2339" s="15"/>
      <c r="X2339" s="15"/>
      <c r="Y2339" s="15"/>
      <c r="Z2339" s="15"/>
    </row>
    <row r="2340" spans="1:26" x14ac:dyDescent="0.25">
      <c r="A2340" s="15" t="s">
        <v>15786</v>
      </c>
      <c r="B2340" s="15">
        <v>2339</v>
      </c>
      <c r="C2340" s="15" t="s">
        <v>11277</v>
      </c>
      <c r="D2340" s="15" t="s">
        <v>11277</v>
      </c>
      <c r="E2340" s="15" t="s">
        <v>215</v>
      </c>
      <c r="F2340" s="15" t="s">
        <v>2797</v>
      </c>
      <c r="G2340" s="15" t="s">
        <v>11911</v>
      </c>
      <c r="H2340" s="15">
        <v>7</v>
      </c>
      <c r="I2340" s="15">
        <v>14</v>
      </c>
      <c r="J2340" s="15">
        <v>100</v>
      </c>
      <c r="K2340" s="15" t="str">
        <f t="shared" si="36"/>
        <v>theknowable</v>
      </c>
      <c r="L2340" s="15" t="s">
        <v>11701</v>
      </c>
      <c r="M2340" s="15">
        <v>3</v>
      </c>
      <c r="N2340" s="15" t="s">
        <v>11223</v>
      </c>
      <c r="O2340" s="15" t="s">
        <v>14033</v>
      </c>
      <c r="P2340" s="15"/>
      <c r="Q2340" s="15"/>
      <c r="R2340" s="15"/>
      <c r="S2340" s="15"/>
      <c r="T2340" s="15">
        <v>2</v>
      </c>
      <c r="U2340" s="15" t="s">
        <v>5892</v>
      </c>
      <c r="V2340" s="15"/>
      <c r="W2340" s="15"/>
      <c r="X2340" s="15"/>
      <c r="Y2340" s="15"/>
      <c r="Z2340" s="15"/>
    </row>
    <row r="2341" spans="1:26" x14ac:dyDescent="0.25">
      <c r="A2341" s="15" t="s">
        <v>15787</v>
      </c>
      <c r="B2341" s="15">
        <v>2340</v>
      </c>
      <c r="C2341" s="15" t="s">
        <v>11277</v>
      </c>
      <c r="D2341" s="15" t="s">
        <v>11277</v>
      </c>
      <c r="E2341" s="15" t="s">
        <v>215</v>
      </c>
      <c r="F2341" s="15" t="s">
        <v>15788</v>
      </c>
      <c r="G2341" s="15" t="s">
        <v>11907</v>
      </c>
      <c r="H2341" s="15">
        <v>12</v>
      </c>
      <c r="I2341" s="15">
        <v>11</v>
      </c>
      <c r="J2341" s="15">
        <v>98</v>
      </c>
      <c r="K2341" s="15" t="str">
        <f t="shared" si="36"/>
        <v>muspringseternal</v>
      </c>
      <c r="L2341" s="15" t="s">
        <v>11701</v>
      </c>
      <c r="M2341" s="15">
        <v>1</v>
      </c>
      <c r="N2341" s="15" t="s">
        <v>11222</v>
      </c>
      <c r="O2341" s="15"/>
      <c r="P2341" s="15"/>
      <c r="Q2341" s="15"/>
      <c r="R2341" s="15"/>
      <c r="S2341" s="15"/>
      <c r="T2341" s="15">
        <v>0</v>
      </c>
      <c r="U2341" s="15"/>
      <c r="V2341" s="15"/>
      <c r="W2341" s="15"/>
      <c r="X2341" s="15"/>
      <c r="Y2341" s="15"/>
      <c r="Z2341" s="15"/>
    </row>
    <row r="2342" spans="1:26" x14ac:dyDescent="0.25">
      <c r="A2342" s="15" t="s">
        <v>15789</v>
      </c>
      <c r="B2342" s="15">
        <v>2341</v>
      </c>
      <c r="C2342" s="15" t="s">
        <v>11277</v>
      </c>
      <c r="D2342" s="15" t="s">
        <v>11277</v>
      </c>
      <c r="E2342" s="15" t="s">
        <v>215</v>
      </c>
      <c r="F2342" s="15" t="s">
        <v>15788</v>
      </c>
      <c r="G2342" s="15" t="s">
        <v>11908</v>
      </c>
      <c r="H2342" s="15">
        <v>12</v>
      </c>
      <c r="I2342" s="15">
        <v>11</v>
      </c>
      <c r="J2342" s="15">
        <v>99</v>
      </c>
      <c r="K2342" s="15" t="str">
        <f t="shared" si="36"/>
        <v>muspringseternal</v>
      </c>
      <c r="L2342" s="15" t="s">
        <v>11774</v>
      </c>
      <c r="M2342" s="15">
        <v>1</v>
      </c>
      <c r="N2342" s="15" t="s">
        <v>11222</v>
      </c>
      <c r="O2342" s="15"/>
      <c r="P2342" s="15"/>
      <c r="Q2342" s="15"/>
      <c r="R2342" s="15"/>
      <c r="S2342" s="15"/>
      <c r="T2342" s="15">
        <v>0</v>
      </c>
      <c r="U2342" s="15"/>
      <c r="V2342" s="15"/>
      <c r="W2342" s="15"/>
      <c r="X2342" s="15"/>
      <c r="Y2342" s="15"/>
      <c r="Z2342" s="15"/>
    </row>
    <row r="2343" spans="1:26" x14ac:dyDescent="0.25">
      <c r="A2343" s="15" t="s">
        <v>15790</v>
      </c>
      <c r="B2343" s="15">
        <v>2342</v>
      </c>
      <c r="C2343" s="15" t="s">
        <v>11277</v>
      </c>
      <c r="D2343" s="15" t="s">
        <v>11277</v>
      </c>
      <c r="E2343" s="15" t="s">
        <v>215</v>
      </c>
      <c r="F2343" s="15" t="s">
        <v>15788</v>
      </c>
      <c r="G2343" s="15" t="s">
        <v>233</v>
      </c>
      <c r="H2343" s="15">
        <v>12</v>
      </c>
      <c r="I2343" s="15">
        <v>11</v>
      </c>
      <c r="J2343" s="15">
        <v>100</v>
      </c>
      <c r="K2343" s="15" t="str">
        <f t="shared" si="36"/>
        <v>muspringseternal</v>
      </c>
      <c r="L2343" s="15" t="s">
        <v>11701</v>
      </c>
      <c r="M2343" s="15">
        <v>2</v>
      </c>
      <c r="N2343" s="15" t="s">
        <v>11223</v>
      </c>
      <c r="O2343" s="15"/>
      <c r="P2343" s="15"/>
      <c r="Q2343" s="15"/>
      <c r="R2343" s="15"/>
      <c r="S2343" s="15"/>
      <c r="T2343" s="15">
        <v>0</v>
      </c>
      <c r="U2343" s="15"/>
      <c r="V2343" s="15"/>
      <c r="W2343" s="15"/>
      <c r="X2343" s="15"/>
      <c r="Y2343" s="15"/>
      <c r="Z2343" s="15"/>
    </row>
    <row r="2344" spans="1:26" x14ac:dyDescent="0.25">
      <c r="A2344" s="15" t="s">
        <v>15791</v>
      </c>
      <c r="B2344" s="15">
        <v>2343</v>
      </c>
      <c r="C2344" s="15" t="s">
        <v>11277</v>
      </c>
      <c r="D2344" s="15" t="s">
        <v>11277</v>
      </c>
      <c r="E2344" s="15" t="s">
        <v>215</v>
      </c>
      <c r="F2344" s="15" t="s">
        <v>15788</v>
      </c>
      <c r="G2344" s="15" t="s">
        <v>11912</v>
      </c>
      <c r="H2344" s="15">
        <v>12</v>
      </c>
      <c r="I2344" s="15">
        <v>11</v>
      </c>
      <c r="J2344" s="15">
        <v>100</v>
      </c>
      <c r="K2344" s="15" t="str">
        <f t="shared" si="36"/>
        <v>muspringseternal</v>
      </c>
      <c r="L2344" s="15" t="s">
        <v>11774</v>
      </c>
      <c r="M2344" s="15">
        <v>2</v>
      </c>
      <c r="N2344" s="15" t="s">
        <v>11223</v>
      </c>
      <c r="O2344" s="15"/>
      <c r="P2344" s="15"/>
      <c r="Q2344" s="15"/>
      <c r="R2344" s="15"/>
      <c r="S2344" s="15"/>
      <c r="T2344" s="15">
        <v>0</v>
      </c>
      <c r="U2344" s="15"/>
      <c r="V2344" s="15"/>
      <c r="W2344" s="15"/>
      <c r="X2344" s="15"/>
      <c r="Y2344" s="15"/>
      <c r="Z2344" s="15"/>
    </row>
    <row r="2345" spans="1:26" x14ac:dyDescent="0.25">
      <c r="A2345" s="15" t="s">
        <v>15792</v>
      </c>
      <c r="B2345" s="15">
        <v>2344</v>
      </c>
      <c r="C2345" s="15" t="s">
        <v>11277</v>
      </c>
      <c r="D2345" s="15" t="s">
        <v>11277</v>
      </c>
      <c r="E2345" s="15" t="s">
        <v>215</v>
      </c>
      <c r="F2345" s="15" t="s">
        <v>15788</v>
      </c>
      <c r="G2345" s="15" t="s">
        <v>11913</v>
      </c>
      <c r="H2345" s="15">
        <v>12</v>
      </c>
      <c r="I2345" s="15">
        <v>11</v>
      </c>
      <c r="J2345" s="15">
        <v>100</v>
      </c>
      <c r="K2345" s="15" t="str">
        <f t="shared" si="36"/>
        <v>muspringseternal</v>
      </c>
      <c r="L2345" s="15" t="s">
        <v>11701</v>
      </c>
      <c r="M2345" s="15">
        <v>3</v>
      </c>
      <c r="N2345" s="15" t="s">
        <v>11223</v>
      </c>
      <c r="O2345" s="15"/>
      <c r="P2345" s="15"/>
      <c r="Q2345" s="15"/>
      <c r="R2345" s="15"/>
      <c r="S2345" s="15"/>
      <c r="T2345" s="15">
        <v>0</v>
      </c>
      <c r="U2345" s="15" t="s">
        <v>5900</v>
      </c>
      <c r="V2345" s="15"/>
      <c r="W2345" s="15"/>
      <c r="X2345" s="15"/>
      <c r="Y2345" s="15"/>
      <c r="Z2345" s="15"/>
    </row>
    <row r="2346" spans="1:26" x14ac:dyDescent="0.25">
      <c r="A2346" s="15" t="s">
        <v>15793</v>
      </c>
      <c r="B2346" s="15">
        <v>2345</v>
      </c>
      <c r="C2346" s="15" t="s">
        <v>11277</v>
      </c>
      <c r="D2346" s="15" t="s">
        <v>11277</v>
      </c>
      <c r="E2346" s="15" t="s">
        <v>215</v>
      </c>
      <c r="F2346" s="15" t="s">
        <v>15794</v>
      </c>
      <c r="G2346" s="15" t="s">
        <v>11907</v>
      </c>
      <c r="H2346" s="15">
        <v>16</v>
      </c>
      <c r="I2346" s="15">
        <v>13</v>
      </c>
      <c r="J2346" s="15">
        <v>98</v>
      </c>
      <c r="K2346" s="15" t="str">
        <f t="shared" si="36"/>
        <v>leynodeaero</v>
      </c>
      <c r="L2346" s="15" t="s">
        <v>11701</v>
      </c>
      <c r="M2346" s="15">
        <v>1</v>
      </c>
      <c r="N2346" s="15" t="s">
        <v>11222</v>
      </c>
      <c r="O2346" s="15"/>
      <c r="P2346" s="15"/>
      <c r="Q2346" s="15"/>
      <c r="R2346" s="15"/>
      <c r="S2346" s="15"/>
      <c r="T2346" s="15">
        <v>0</v>
      </c>
      <c r="U2346" s="15"/>
      <c r="V2346" s="15"/>
      <c r="W2346" s="15"/>
      <c r="X2346" s="15"/>
      <c r="Y2346" s="15"/>
      <c r="Z2346" s="15"/>
    </row>
    <row r="2347" spans="1:26" x14ac:dyDescent="0.25">
      <c r="A2347" s="15" t="s">
        <v>15795</v>
      </c>
      <c r="B2347" s="15">
        <v>2346</v>
      </c>
      <c r="C2347" s="15" t="s">
        <v>11277</v>
      </c>
      <c r="D2347" s="15" t="s">
        <v>11277</v>
      </c>
      <c r="E2347" s="15" t="s">
        <v>215</v>
      </c>
      <c r="F2347" s="15" t="s">
        <v>15794</v>
      </c>
      <c r="G2347" s="15" t="s">
        <v>11908</v>
      </c>
      <c r="H2347" s="15">
        <v>16</v>
      </c>
      <c r="I2347" s="15">
        <v>13</v>
      </c>
      <c r="J2347" s="15">
        <v>99</v>
      </c>
      <c r="K2347" s="15" t="str">
        <f t="shared" si="36"/>
        <v>leynodeaero</v>
      </c>
      <c r="L2347" s="15" t="s">
        <v>11774</v>
      </c>
      <c r="M2347" s="15">
        <v>1</v>
      </c>
      <c r="N2347" s="15" t="s">
        <v>11222</v>
      </c>
      <c r="O2347" s="15"/>
      <c r="P2347" s="15"/>
      <c r="Q2347" s="15"/>
      <c r="R2347" s="15"/>
      <c r="S2347" s="15"/>
      <c r="T2347" s="15">
        <v>0</v>
      </c>
      <c r="U2347" s="15"/>
      <c r="V2347" s="15"/>
      <c r="W2347" s="15"/>
      <c r="X2347" s="15"/>
      <c r="Y2347" s="15"/>
      <c r="Z2347" s="15"/>
    </row>
    <row r="2348" spans="1:26" x14ac:dyDescent="0.25">
      <c r="A2348" s="15" t="s">
        <v>15796</v>
      </c>
      <c r="B2348" s="15">
        <v>2347</v>
      </c>
      <c r="C2348" s="15" t="s">
        <v>11277</v>
      </c>
      <c r="D2348" s="15" t="s">
        <v>11277</v>
      </c>
      <c r="E2348" s="15" t="s">
        <v>215</v>
      </c>
      <c r="F2348" s="15" t="s">
        <v>15794</v>
      </c>
      <c r="G2348" s="15" t="s">
        <v>11914</v>
      </c>
      <c r="H2348" s="15">
        <v>16</v>
      </c>
      <c r="I2348" s="15">
        <v>13</v>
      </c>
      <c r="J2348" s="15">
        <v>99</v>
      </c>
      <c r="K2348" s="15" t="str">
        <f t="shared" si="36"/>
        <v>leynodeaero</v>
      </c>
      <c r="L2348" s="15" t="s">
        <v>11701</v>
      </c>
      <c r="M2348" s="15">
        <v>2</v>
      </c>
      <c r="N2348" s="15" t="s">
        <v>11223</v>
      </c>
      <c r="O2348" s="15"/>
      <c r="P2348" s="15"/>
      <c r="Q2348" s="15"/>
      <c r="R2348" s="15"/>
      <c r="S2348" s="15"/>
      <c r="T2348" s="15">
        <v>0</v>
      </c>
      <c r="U2348" s="15"/>
      <c r="V2348" s="15"/>
      <c r="W2348" s="15"/>
      <c r="X2348" s="15"/>
      <c r="Y2348" s="15"/>
      <c r="Z2348" s="15"/>
    </row>
    <row r="2349" spans="1:26" x14ac:dyDescent="0.25">
      <c r="A2349" s="15" t="s">
        <v>15797</v>
      </c>
      <c r="B2349" s="15">
        <v>2348</v>
      </c>
      <c r="C2349" s="15" t="s">
        <v>11277</v>
      </c>
      <c r="D2349" s="15" t="s">
        <v>11277</v>
      </c>
      <c r="E2349" s="15" t="s">
        <v>215</v>
      </c>
      <c r="F2349" s="15" t="s">
        <v>15794</v>
      </c>
      <c r="G2349" s="15" t="s">
        <v>11915</v>
      </c>
      <c r="H2349" s="15">
        <v>16</v>
      </c>
      <c r="I2349" s="15">
        <v>13</v>
      </c>
      <c r="J2349" s="15">
        <v>100</v>
      </c>
      <c r="K2349" s="15" t="str">
        <f t="shared" si="36"/>
        <v>leynodeaero</v>
      </c>
      <c r="L2349" s="15" t="s">
        <v>11701</v>
      </c>
      <c r="M2349" s="15">
        <v>2</v>
      </c>
      <c r="N2349" s="15" t="s">
        <v>11223</v>
      </c>
      <c r="O2349" s="15"/>
      <c r="P2349" s="15"/>
      <c r="Q2349" s="15"/>
      <c r="R2349" s="15"/>
      <c r="S2349" s="15"/>
      <c r="T2349" s="15">
        <v>0</v>
      </c>
      <c r="U2349" s="15"/>
      <c r="V2349" s="15"/>
      <c r="W2349" s="15"/>
      <c r="X2349" s="15"/>
      <c r="Y2349" s="15"/>
      <c r="Z2349" s="15"/>
    </row>
    <row r="2350" spans="1:26" x14ac:dyDescent="0.25">
      <c r="A2350" s="15" t="s">
        <v>15798</v>
      </c>
      <c r="B2350" s="15">
        <v>2349</v>
      </c>
      <c r="C2350" s="15" t="s">
        <v>11277</v>
      </c>
      <c r="D2350" s="15" t="s">
        <v>11277</v>
      </c>
      <c r="E2350" s="15" t="s">
        <v>215</v>
      </c>
      <c r="F2350" s="15" t="s">
        <v>15794</v>
      </c>
      <c r="G2350" s="15" t="s">
        <v>11916</v>
      </c>
      <c r="H2350" s="15">
        <v>16</v>
      </c>
      <c r="I2350" s="15">
        <v>13</v>
      </c>
      <c r="J2350" s="15">
        <v>100</v>
      </c>
      <c r="K2350" s="15" t="str">
        <f t="shared" si="36"/>
        <v>leynodeaero</v>
      </c>
      <c r="L2350" s="15" t="s">
        <v>11701</v>
      </c>
      <c r="M2350" s="15">
        <v>3</v>
      </c>
      <c r="N2350" s="15" t="s">
        <v>11223</v>
      </c>
      <c r="O2350" s="15" t="s">
        <v>11295</v>
      </c>
      <c r="P2350" s="15"/>
      <c r="Q2350" s="15"/>
      <c r="R2350" s="15"/>
      <c r="S2350" s="15"/>
      <c r="T2350" s="15">
        <v>3</v>
      </c>
      <c r="U2350" s="15" t="s">
        <v>5914</v>
      </c>
      <c r="V2350" s="15"/>
      <c r="W2350" s="15"/>
      <c r="X2350" s="15" t="s">
        <v>5900</v>
      </c>
      <c r="Y2350" s="15"/>
      <c r="Z2350" s="15"/>
    </row>
    <row r="2351" spans="1:26" x14ac:dyDescent="0.25">
      <c r="A2351" s="15" t="s">
        <v>15799</v>
      </c>
      <c r="B2351" s="15">
        <v>2350</v>
      </c>
      <c r="C2351" s="15" t="s">
        <v>11277</v>
      </c>
      <c r="D2351" s="15" t="s">
        <v>11277</v>
      </c>
      <c r="E2351" s="15" t="s">
        <v>215</v>
      </c>
      <c r="F2351" s="15" t="s">
        <v>15800</v>
      </c>
      <c r="G2351" s="15" t="s">
        <v>11917</v>
      </c>
      <c r="H2351" s="15">
        <v>14</v>
      </c>
      <c r="I2351" s="15">
        <v>34</v>
      </c>
      <c r="J2351" s="15">
        <v>99</v>
      </c>
      <c r="K2351" s="15" t="str">
        <f t="shared" si="36"/>
        <v>canaltownsouth</v>
      </c>
      <c r="L2351" s="15" t="s">
        <v>11709</v>
      </c>
      <c r="M2351" s="15">
        <v>1</v>
      </c>
      <c r="N2351" s="15" t="s">
        <v>11222</v>
      </c>
      <c r="O2351" s="15"/>
      <c r="P2351" s="15"/>
      <c r="Q2351" s="15"/>
      <c r="R2351" s="15"/>
      <c r="S2351" s="15"/>
      <c r="T2351" s="15">
        <v>0</v>
      </c>
      <c r="U2351" s="15"/>
      <c r="V2351" s="15"/>
      <c r="W2351" s="15"/>
      <c r="X2351" s="15"/>
      <c r="Y2351" s="15"/>
      <c r="Z2351" s="15"/>
    </row>
    <row r="2352" spans="1:26" x14ac:dyDescent="0.25">
      <c r="A2352" s="15" t="s">
        <v>15801</v>
      </c>
      <c r="B2352" s="15">
        <v>2351</v>
      </c>
      <c r="C2352" s="15" t="s">
        <v>11277</v>
      </c>
      <c r="D2352" s="15" t="s">
        <v>11277</v>
      </c>
      <c r="E2352" s="15" t="s">
        <v>215</v>
      </c>
      <c r="F2352" s="15" t="s">
        <v>15800</v>
      </c>
      <c r="G2352" s="15" t="s">
        <v>11918</v>
      </c>
      <c r="H2352" s="15">
        <v>14</v>
      </c>
      <c r="I2352" s="15">
        <v>34</v>
      </c>
      <c r="J2352" s="15">
        <v>99</v>
      </c>
      <c r="K2352" s="15" t="str">
        <f t="shared" si="36"/>
        <v>canaltownsouth</v>
      </c>
      <c r="L2352" s="15" t="s">
        <v>11705</v>
      </c>
      <c r="M2352" s="15">
        <v>1</v>
      </c>
      <c r="N2352" s="15" t="s">
        <v>11222</v>
      </c>
      <c r="O2352" s="15"/>
      <c r="P2352" s="15"/>
      <c r="Q2352" s="15"/>
      <c r="R2352" s="15"/>
      <c r="S2352" s="15"/>
      <c r="T2352" s="15">
        <v>0</v>
      </c>
      <c r="U2352" s="15"/>
      <c r="V2352" s="15"/>
      <c r="W2352" s="15"/>
      <c r="X2352" s="15"/>
      <c r="Y2352" s="15"/>
      <c r="Z2352" s="15"/>
    </row>
    <row r="2353" spans="1:26" x14ac:dyDescent="0.25">
      <c r="A2353" s="15" t="s">
        <v>15802</v>
      </c>
      <c r="B2353" s="15">
        <v>2352</v>
      </c>
      <c r="C2353" s="15" t="s">
        <v>11277</v>
      </c>
      <c r="D2353" s="15" t="s">
        <v>11277</v>
      </c>
      <c r="E2353" s="15" t="s">
        <v>215</v>
      </c>
      <c r="F2353" s="15" t="s">
        <v>15800</v>
      </c>
      <c r="G2353" s="15" t="s">
        <v>11919</v>
      </c>
      <c r="H2353" s="15">
        <v>14</v>
      </c>
      <c r="I2353" s="15">
        <v>34</v>
      </c>
      <c r="J2353" s="15">
        <v>100</v>
      </c>
      <c r="K2353" s="15" t="str">
        <f t="shared" si="36"/>
        <v>canaltownsouth</v>
      </c>
      <c r="L2353" s="15" t="s">
        <v>11709</v>
      </c>
      <c r="M2353" s="15">
        <v>2</v>
      </c>
      <c r="N2353" s="15" t="s">
        <v>11223</v>
      </c>
      <c r="O2353" s="15"/>
      <c r="P2353" s="15"/>
      <c r="Q2353" s="15"/>
      <c r="R2353" s="15"/>
      <c r="S2353" s="15"/>
      <c r="T2353" s="15">
        <v>0</v>
      </c>
      <c r="U2353" s="15"/>
      <c r="V2353" s="15"/>
      <c r="W2353" s="15"/>
      <c r="X2353" s="15"/>
      <c r="Y2353" s="15"/>
      <c r="Z2353" s="15"/>
    </row>
    <row r="2354" spans="1:26" x14ac:dyDescent="0.25">
      <c r="A2354" s="15" t="s">
        <v>15803</v>
      </c>
      <c r="B2354" s="15">
        <v>2353</v>
      </c>
      <c r="C2354" s="15" t="s">
        <v>11277</v>
      </c>
      <c r="D2354" s="15" t="s">
        <v>11277</v>
      </c>
      <c r="E2354" s="15" t="s">
        <v>215</v>
      </c>
      <c r="F2354" s="15" t="s">
        <v>15800</v>
      </c>
      <c r="G2354" s="15" t="s">
        <v>11920</v>
      </c>
      <c r="H2354" s="15">
        <v>14</v>
      </c>
      <c r="I2354" s="15">
        <v>34</v>
      </c>
      <c r="J2354" s="15">
        <v>100</v>
      </c>
      <c r="K2354" s="15" t="str">
        <f t="shared" si="36"/>
        <v>canaltownsouth</v>
      </c>
      <c r="L2354" s="15" t="s">
        <v>11709</v>
      </c>
      <c r="M2354" s="15">
        <v>2</v>
      </c>
      <c r="N2354" s="15" t="s">
        <v>11223</v>
      </c>
      <c r="O2354" s="15"/>
      <c r="P2354" s="15"/>
      <c r="Q2354" s="15"/>
      <c r="R2354" s="15"/>
      <c r="S2354" s="15"/>
      <c r="T2354" s="15">
        <v>0</v>
      </c>
      <c r="U2354" s="15"/>
      <c r="V2354" s="15"/>
      <c r="W2354" s="15"/>
      <c r="X2354" s="15"/>
      <c r="Y2354" s="15"/>
      <c r="Z2354" s="15"/>
    </row>
    <row r="2355" spans="1:26" x14ac:dyDescent="0.25">
      <c r="A2355" s="15" t="s">
        <v>15804</v>
      </c>
      <c r="B2355" s="15">
        <v>2354</v>
      </c>
      <c r="C2355" s="15" t="s">
        <v>11277</v>
      </c>
      <c r="D2355" s="15" t="s">
        <v>11277</v>
      </c>
      <c r="E2355" s="15" t="s">
        <v>215</v>
      </c>
      <c r="F2355" s="15" t="s">
        <v>15800</v>
      </c>
      <c r="G2355" s="15" t="s">
        <v>11921</v>
      </c>
      <c r="H2355" s="15">
        <v>14</v>
      </c>
      <c r="I2355" s="15">
        <v>34</v>
      </c>
      <c r="J2355" s="15">
        <v>100</v>
      </c>
      <c r="K2355" s="15" t="str">
        <f t="shared" si="36"/>
        <v>canaltownsouth</v>
      </c>
      <c r="L2355" s="15" t="s">
        <v>11709</v>
      </c>
      <c r="M2355" s="15">
        <v>2</v>
      </c>
      <c r="N2355" s="15" t="s">
        <v>11223</v>
      </c>
      <c r="O2355" s="15"/>
      <c r="P2355" s="15"/>
      <c r="Q2355" s="15"/>
      <c r="R2355" s="15"/>
      <c r="S2355" s="15"/>
      <c r="T2355" s="15">
        <v>1</v>
      </c>
      <c r="U2355" s="15"/>
      <c r="V2355" s="15"/>
      <c r="W2355" s="15"/>
      <c r="X2355" s="15"/>
      <c r="Y2355" s="15"/>
      <c r="Z2355" s="15"/>
    </row>
    <row r="2356" spans="1:26" x14ac:dyDescent="0.25">
      <c r="A2356" s="15" t="s">
        <v>15805</v>
      </c>
      <c r="B2356" s="15">
        <v>2355</v>
      </c>
      <c r="C2356" s="15" t="s">
        <v>11277</v>
      </c>
      <c r="D2356" s="15" t="s">
        <v>11277</v>
      </c>
      <c r="E2356" s="15" t="s">
        <v>215</v>
      </c>
      <c r="F2356" s="15" t="s">
        <v>15800</v>
      </c>
      <c r="G2356" s="15" t="s">
        <v>11922</v>
      </c>
      <c r="H2356" s="15">
        <v>14</v>
      </c>
      <c r="I2356" s="15">
        <v>34</v>
      </c>
      <c r="J2356" s="15">
        <v>100</v>
      </c>
      <c r="K2356" s="15" t="str">
        <f t="shared" si="36"/>
        <v>canaltownsouth</v>
      </c>
      <c r="L2356" s="15" t="s">
        <v>11709</v>
      </c>
      <c r="M2356" s="15">
        <v>3</v>
      </c>
      <c r="N2356" s="15" t="s">
        <v>11223</v>
      </c>
      <c r="O2356" s="15" t="s">
        <v>2815</v>
      </c>
      <c r="P2356" s="15"/>
      <c r="Q2356" s="15"/>
      <c r="R2356" s="15"/>
      <c r="S2356" s="15"/>
      <c r="T2356" s="15">
        <v>0</v>
      </c>
      <c r="U2356" s="15" t="s">
        <v>5900</v>
      </c>
      <c r="V2356" s="15"/>
      <c r="W2356" s="15"/>
      <c r="X2356" s="15" t="s">
        <v>5892</v>
      </c>
      <c r="Y2356" s="15"/>
      <c r="Z2356" s="15"/>
    </row>
    <row r="2357" spans="1:26" x14ac:dyDescent="0.25">
      <c r="A2357" s="15" t="s">
        <v>15806</v>
      </c>
      <c r="B2357" s="15">
        <v>2356</v>
      </c>
      <c r="C2357" s="15" t="s">
        <v>11277</v>
      </c>
      <c r="D2357" s="15" t="s">
        <v>11277</v>
      </c>
      <c r="E2357" s="15" t="s">
        <v>215</v>
      </c>
      <c r="F2357" s="15" t="s">
        <v>15807</v>
      </c>
      <c r="G2357" s="15" t="s">
        <v>11917</v>
      </c>
      <c r="H2357" s="15">
        <v>9</v>
      </c>
      <c r="I2357" s="15">
        <v>28</v>
      </c>
      <c r="J2357" s="15">
        <v>99</v>
      </c>
      <c r="K2357" s="15" t="str">
        <f t="shared" si="36"/>
        <v>canaltownnorth</v>
      </c>
      <c r="L2357" s="15" t="s">
        <v>11709</v>
      </c>
      <c r="M2357" s="15">
        <v>1</v>
      </c>
      <c r="N2357" s="15" t="s">
        <v>11222</v>
      </c>
      <c r="O2357" s="15"/>
      <c r="P2357" s="15"/>
      <c r="Q2357" s="15"/>
      <c r="R2357" s="15"/>
      <c r="S2357" s="15"/>
      <c r="T2357" s="15">
        <v>0</v>
      </c>
      <c r="U2357" s="15"/>
      <c r="V2357" s="15"/>
      <c r="W2357" s="15"/>
      <c r="X2357" s="15"/>
      <c r="Y2357" s="15"/>
      <c r="Z2357" s="15"/>
    </row>
    <row r="2358" spans="1:26" x14ac:dyDescent="0.25">
      <c r="A2358" s="15" t="s">
        <v>15808</v>
      </c>
      <c r="B2358" s="15">
        <v>2357</v>
      </c>
      <c r="C2358" s="15" t="s">
        <v>11277</v>
      </c>
      <c r="D2358" s="15" t="s">
        <v>11277</v>
      </c>
      <c r="E2358" s="15" t="s">
        <v>215</v>
      </c>
      <c r="F2358" s="15" t="s">
        <v>15807</v>
      </c>
      <c r="G2358" s="15" t="s">
        <v>11918</v>
      </c>
      <c r="H2358" s="15">
        <v>9</v>
      </c>
      <c r="I2358" s="15">
        <v>28</v>
      </c>
      <c r="J2358" s="15">
        <v>99</v>
      </c>
      <c r="K2358" s="15" t="str">
        <f t="shared" si="36"/>
        <v>canaltownnorth</v>
      </c>
      <c r="L2358" s="15" t="s">
        <v>11709</v>
      </c>
      <c r="M2358" s="15">
        <v>1</v>
      </c>
      <c r="N2358" s="15" t="s">
        <v>11222</v>
      </c>
      <c r="O2358" s="15"/>
      <c r="P2358" s="15"/>
      <c r="Q2358" s="15"/>
      <c r="R2358" s="15"/>
      <c r="S2358" s="15"/>
      <c r="T2358" s="15">
        <v>0</v>
      </c>
      <c r="U2358" s="15"/>
      <c r="V2358" s="15"/>
      <c r="W2358" s="15"/>
      <c r="X2358" s="15"/>
      <c r="Y2358" s="15"/>
      <c r="Z2358" s="15"/>
    </row>
    <row r="2359" spans="1:26" x14ac:dyDescent="0.25">
      <c r="A2359" s="15" t="s">
        <v>15809</v>
      </c>
      <c r="B2359" s="15">
        <v>2358</v>
      </c>
      <c r="C2359" s="15" t="s">
        <v>11277</v>
      </c>
      <c r="D2359" s="15" t="s">
        <v>11277</v>
      </c>
      <c r="E2359" s="15" t="s">
        <v>215</v>
      </c>
      <c r="F2359" s="15" t="s">
        <v>15807</v>
      </c>
      <c r="G2359" s="15" t="s">
        <v>11923</v>
      </c>
      <c r="H2359" s="15">
        <v>9</v>
      </c>
      <c r="I2359" s="15">
        <v>28</v>
      </c>
      <c r="J2359" s="15">
        <v>99</v>
      </c>
      <c r="K2359" s="15" t="str">
        <f t="shared" si="36"/>
        <v>canaltownnorth</v>
      </c>
      <c r="L2359" s="15" t="s">
        <v>11705</v>
      </c>
      <c r="M2359" s="15">
        <v>1</v>
      </c>
      <c r="N2359" s="15" t="s">
        <v>11222</v>
      </c>
      <c r="O2359" s="15"/>
      <c r="P2359" s="15"/>
      <c r="Q2359" s="15"/>
      <c r="R2359" s="15"/>
      <c r="S2359" s="15"/>
      <c r="T2359" s="15">
        <v>0</v>
      </c>
      <c r="U2359" s="15"/>
      <c r="V2359" s="15"/>
      <c r="W2359" s="15"/>
      <c r="X2359" s="15"/>
      <c r="Y2359" s="15"/>
      <c r="Z2359" s="15"/>
    </row>
    <row r="2360" spans="1:26" x14ac:dyDescent="0.25">
      <c r="A2360" s="15" t="s">
        <v>15810</v>
      </c>
      <c r="B2360" s="15">
        <v>2359</v>
      </c>
      <c r="C2360" s="15" t="s">
        <v>11277</v>
      </c>
      <c r="D2360" s="15" t="s">
        <v>11277</v>
      </c>
      <c r="E2360" s="15" t="s">
        <v>215</v>
      </c>
      <c r="F2360" s="15" t="s">
        <v>15807</v>
      </c>
      <c r="G2360" s="15" t="s">
        <v>11924</v>
      </c>
      <c r="H2360" s="15">
        <v>9</v>
      </c>
      <c r="I2360" s="15">
        <v>28</v>
      </c>
      <c r="J2360" s="15">
        <v>100</v>
      </c>
      <c r="K2360" s="15" t="str">
        <f t="shared" si="36"/>
        <v>canaltownnorth</v>
      </c>
      <c r="L2360" s="15" t="s">
        <v>11709</v>
      </c>
      <c r="M2360" s="15">
        <v>2</v>
      </c>
      <c r="N2360" s="15" t="s">
        <v>11223</v>
      </c>
      <c r="O2360" s="15"/>
      <c r="P2360" s="15"/>
      <c r="Q2360" s="15"/>
      <c r="R2360" s="15"/>
      <c r="S2360" s="15"/>
      <c r="T2360" s="15">
        <v>0</v>
      </c>
      <c r="U2360" s="15"/>
      <c r="V2360" s="15"/>
      <c r="W2360" s="15"/>
      <c r="X2360" s="15"/>
      <c r="Y2360" s="15"/>
      <c r="Z2360" s="15"/>
    </row>
    <row r="2361" spans="1:26" x14ac:dyDescent="0.25">
      <c r="A2361" s="15" t="s">
        <v>15811</v>
      </c>
      <c r="B2361" s="15">
        <v>2360</v>
      </c>
      <c r="C2361" s="15" t="s">
        <v>11277</v>
      </c>
      <c r="D2361" s="15" t="s">
        <v>11277</v>
      </c>
      <c r="E2361" s="15" t="s">
        <v>215</v>
      </c>
      <c r="F2361" s="15" t="s">
        <v>15807</v>
      </c>
      <c r="G2361" s="15" t="s">
        <v>11925</v>
      </c>
      <c r="H2361" s="15">
        <v>9</v>
      </c>
      <c r="I2361" s="15">
        <v>28</v>
      </c>
      <c r="J2361" s="15">
        <v>100</v>
      </c>
      <c r="K2361" s="15" t="str">
        <f t="shared" si="36"/>
        <v>canaltownnorth</v>
      </c>
      <c r="L2361" s="15" t="s">
        <v>11709</v>
      </c>
      <c r="M2361" s="15">
        <v>2</v>
      </c>
      <c r="N2361" s="15" t="s">
        <v>11223</v>
      </c>
      <c r="O2361" s="15"/>
      <c r="P2361" s="15"/>
      <c r="Q2361" s="15"/>
      <c r="R2361" s="15"/>
      <c r="S2361" s="15"/>
      <c r="T2361" s="15">
        <v>1</v>
      </c>
      <c r="U2361" s="15" t="s">
        <v>5908</v>
      </c>
      <c r="V2361" s="15" t="s">
        <v>5914</v>
      </c>
      <c r="W2361" s="15"/>
      <c r="X2361" s="15"/>
      <c r="Y2361" s="15"/>
      <c r="Z2361" s="15"/>
    </row>
    <row r="2362" spans="1:26" x14ac:dyDescent="0.25">
      <c r="A2362" s="15" t="s">
        <v>15812</v>
      </c>
      <c r="B2362" s="15">
        <v>2361</v>
      </c>
      <c r="C2362" s="15" t="s">
        <v>11277</v>
      </c>
      <c r="D2362" s="15" t="s">
        <v>11277</v>
      </c>
      <c r="E2362" s="15" t="s">
        <v>215</v>
      </c>
      <c r="F2362" s="15" t="s">
        <v>15807</v>
      </c>
      <c r="G2362" s="15" t="s">
        <v>11926</v>
      </c>
      <c r="H2362" s="15">
        <v>9</v>
      </c>
      <c r="I2362" s="15">
        <v>28</v>
      </c>
      <c r="J2362" s="15">
        <v>100</v>
      </c>
      <c r="K2362" s="15" t="str">
        <f t="shared" si="36"/>
        <v>canaltownnorth</v>
      </c>
      <c r="L2362" s="15" t="s">
        <v>11709</v>
      </c>
      <c r="M2362" s="15">
        <v>3</v>
      </c>
      <c r="N2362" s="15" t="s">
        <v>11223</v>
      </c>
      <c r="O2362" s="15" t="s">
        <v>14004</v>
      </c>
      <c r="P2362" s="15"/>
      <c r="Q2362" s="15"/>
      <c r="R2362" s="15"/>
      <c r="S2362" s="15"/>
      <c r="T2362" s="15">
        <v>4</v>
      </c>
      <c r="U2362" s="15" t="s">
        <v>5914</v>
      </c>
      <c r="V2362" s="15"/>
      <c r="W2362" s="15"/>
      <c r="X2362" s="15"/>
      <c r="Y2362" s="15"/>
      <c r="Z2362" s="15"/>
    </row>
    <row r="2363" spans="1:26" x14ac:dyDescent="0.25">
      <c r="A2363" s="15" t="s">
        <v>15813</v>
      </c>
      <c r="B2363" s="15">
        <v>2362</v>
      </c>
      <c r="C2363" s="15" t="s">
        <v>11277</v>
      </c>
      <c r="D2363" s="15" t="s">
        <v>11277</v>
      </c>
      <c r="E2363" s="15" t="s">
        <v>215</v>
      </c>
      <c r="F2363" s="15" t="s">
        <v>2775</v>
      </c>
      <c r="G2363" s="15" t="s">
        <v>11927</v>
      </c>
      <c r="H2363" s="15">
        <v>38</v>
      </c>
      <c r="I2363" s="15">
        <v>31</v>
      </c>
      <c r="J2363" s="15">
        <v>99</v>
      </c>
      <c r="K2363" s="15" t="str">
        <f t="shared" si="36"/>
        <v>protoalexandria</v>
      </c>
      <c r="L2363" s="15" t="s">
        <v>11774</v>
      </c>
      <c r="M2363" s="15">
        <v>1</v>
      </c>
      <c r="N2363" s="15" t="s">
        <v>11222</v>
      </c>
      <c r="O2363" s="15"/>
      <c r="P2363" s="15"/>
      <c r="Q2363" s="15"/>
      <c r="R2363" s="15"/>
      <c r="S2363" s="15"/>
      <c r="T2363" s="15">
        <v>0</v>
      </c>
      <c r="U2363" s="15"/>
      <c r="V2363" s="15"/>
      <c r="W2363" s="15"/>
      <c r="X2363" s="15"/>
      <c r="Y2363" s="15"/>
      <c r="Z2363" s="15"/>
    </row>
    <row r="2364" spans="1:26" x14ac:dyDescent="0.25">
      <c r="A2364" s="15" t="s">
        <v>15814</v>
      </c>
      <c r="B2364" s="15">
        <v>2363</v>
      </c>
      <c r="C2364" s="15" t="s">
        <v>11277</v>
      </c>
      <c r="D2364" s="15" t="s">
        <v>11277</v>
      </c>
      <c r="E2364" s="15" t="s">
        <v>215</v>
      </c>
      <c r="F2364" s="15" t="s">
        <v>2775</v>
      </c>
      <c r="G2364" s="15" t="s">
        <v>11928</v>
      </c>
      <c r="H2364" s="15">
        <v>38</v>
      </c>
      <c r="I2364" s="15">
        <v>31</v>
      </c>
      <c r="J2364" s="15">
        <v>99</v>
      </c>
      <c r="K2364" s="15" t="str">
        <f t="shared" si="36"/>
        <v>protoalexandria</v>
      </c>
      <c r="L2364" s="15" t="s">
        <v>11774</v>
      </c>
      <c r="M2364" s="15">
        <v>1</v>
      </c>
      <c r="N2364" s="15" t="s">
        <v>11222</v>
      </c>
      <c r="O2364" s="15"/>
      <c r="P2364" s="15"/>
      <c r="Q2364" s="15"/>
      <c r="R2364" s="15"/>
      <c r="S2364" s="15"/>
      <c r="T2364" s="15">
        <v>0</v>
      </c>
      <c r="U2364" s="15"/>
      <c r="V2364" s="15"/>
      <c r="W2364" s="15"/>
      <c r="X2364" s="15"/>
      <c r="Y2364" s="15"/>
      <c r="Z2364" s="15"/>
    </row>
    <row r="2365" spans="1:26" x14ac:dyDescent="0.25">
      <c r="A2365" s="15" t="s">
        <v>15815</v>
      </c>
      <c r="B2365" s="15">
        <v>2364</v>
      </c>
      <c r="C2365" s="15" t="s">
        <v>11277</v>
      </c>
      <c r="D2365" s="15" t="s">
        <v>11277</v>
      </c>
      <c r="E2365" s="15" t="s">
        <v>215</v>
      </c>
      <c r="F2365" s="15" t="s">
        <v>2775</v>
      </c>
      <c r="G2365" s="15" t="s">
        <v>11929</v>
      </c>
      <c r="H2365" s="15">
        <v>38</v>
      </c>
      <c r="I2365" s="15">
        <v>31</v>
      </c>
      <c r="J2365" s="15">
        <v>100</v>
      </c>
      <c r="K2365" s="15" t="str">
        <f t="shared" si="36"/>
        <v>protoalexandria</v>
      </c>
      <c r="L2365" s="15" t="s">
        <v>11774</v>
      </c>
      <c r="M2365" s="15">
        <v>2</v>
      </c>
      <c r="N2365" s="15" t="s">
        <v>11223</v>
      </c>
      <c r="O2365" s="15"/>
      <c r="P2365" s="15"/>
      <c r="Q2365" s="15"/>
      <c r="R2365" s="15"/>
      <c r="S2365" s="15"/>
      <c r="T2365" s="15">
        <v>0</v>
      </c>
      <c r="U2365" s="15"/>
      <c r="V2365" s="15"/>
      <c r="W2365" s="15"/>
      <c r="X2365" s="15"/>
      <c r="Y2365" s="15"/>
      <c r="Z2365" s="15"/>
    </row>
    <row r="2366" spans="1:26" x14ac:dyDescent="0.25">
      <c r="A2366" s="15" t="s">
        <v>15816</v>
      </c>
      <c r="B2366" s="15">
        <v>2365</v>
      </c>
      <c r="C2366" s="15" t="s">
        <v>11277</v>
      </c>
      <c r="D2366" s="15" t="s">
        <v>11277</v>
      </c>
      <c r="E2366" s="15" t="s">
        <v>215</v>
      </c>
      <c r="F2366" s="15" t="s">
        <v>2775</v>
      </c>
      <c r="G2366" s="15" t="s">
        <v>11930</v>
      </c>
      <c r="H2366" s="15">
        <v>38</v>
      </c>
      <c r="I2366" s="15">
        <v>31</v>
      </c>
      <c r="J2366" s="15">
        <v>100</v>
      </c>
      <c r="K2366" s="15" t="str">
        <f t="shared" si="36"/>
        <v>protoalexandria</v>
      </c>
      <c r="L2366" s="15" t="s">
        <v>11701</v>
      </c>
      <c r="M2366" s="15">
        <v>2</v>
      </c>
      <c r="N2366" s="15" t="s">
        <v>11223</v>
      </c>
      <c r="O2366" s="15"/>
      <c r="P2366" s="15"/>
      <c r="Q2366" s="15"/>
      <c r="R2366" s="15"/>
      <c r="S2366" s="15"/>
      <c r="T2366" s="15">
        <v>0</v>
      </c>
      <c r="U2366" s="15"/>
      <c r="V2366" s="15"/>
      <c r="W2366" s="15"/>
      <c r="X2366" s="15"/>
      <c r="Y2366" s="15"/>
      <c r="Z2366" s="15"/>
    </row>
    <row r="2367" spans="1:26" x14ac:dyDescent="0.25">
      <c r="A2367" s="15" t="s">
        <v>15817</v>
      </c>
      <c r="B2367" s="15">
        <v>2366</v>
      </c>
      <c r="C2367" s="15" t="s">
        <v>11277</v>
      </c>
      <c r="D2367" s="15" t="s">
        <v>11277</v>
      </c>
      <c r="E2367" s="15" t="s">
        <v>215</v>
      </c>
      <c r="F2367" s="15" t="s">
        <v>2775</v>
      </c>
      <c r="G2367" s="15" t="s">
        <v>11931</v>
      </c>
      <c r="H2367" s="15">
        <v>38</v>
      </c>
      <c r="I2367" s="15">
        <v>31</v>
      </c>
      <c r="J2367" s="15">
        <v>100</v>
      </c>
      <c r="K2367" s="15" t="str">
        <f t="shared" si="36"/>
        <v>protoalexandria</v>
      </c>
      <c r="L2367" s="15" t="s">
        <v>11701</v>
      </c>
      <c r="M2367" s="15">
        <v>3</v>
      </c>
      <c r="N2367" s="15" t="s">
        <v>11223</v>
      </c>
      <c r="O2367" s="15" t="s">
        <v>14072</v>
      </c>
      <c r="P2367" s="15"/>
      <c r="Q2367" s="15"/>
      <c r="R2367" s="15"/>
      <c r="S2367" s="15"/>
      <c r="T2367" s="15">
        <v>3</v>
      </c>
      <c r="U2367" s="15" t="s">
        <v>5900</v>
      </c>
      <c r="V2367" s="15"/>
      <c r="W2367" s="15"/>
      <c r="X2367" s="15" t="s">
        <v>5908</v>
      </c>
      <c r="Y2367" s="15"/>
      <c r="Z2367" s="15"/>
    </row>
    <row r="2368" spans="1:26" x14ac:dyDescent="0.25">
      <c r="A2368" s="15" t="s">
        <v>15818</v>
      </c>
      <c r="B2368" s="15">
        <v>2367</v>
      </c>
      <c r="C2368" s="15" t="s">
        <v>11277</v>
      </c>
      <c r="D2368" s="15" t="s">
        <v>11277</v>
      </c>
      <c r="E2368" s="15" t="s">
        <v>73</v>
      </c>
      <c r="F2368" s="15" t="s">
        <v>15819</v>
      </c>
      <c r="G2368" s="15" t="s">
        <v>12293</v>
      </c>
      <c r="H2368" s="15">
        <v>6</v>
      </c>
      <c r="I2368" s="15">
        <v>6</v>
      </c>
      <c r="J2368" s="15">
        <v>1</v>
      </c>
      <c r="K2368" s="15" t="str">
        <f t="shared" si="36"/>
        <v>outergaladionbay</v>
      </c>
      <c r="L2368" s="15" t="s">
        <v>12294</v>
      </c>
      <c r="M2368" s="15">
        <v>1</v>
      </c>
      <c r="N2368" s="15" t="s">
        <v>11222</v>
      </c>
      <c r="O2368" s="15"/>
      <c r="P2368" s="15"/>
      <c r="Q2368" s="15"/>
      <c r="R2368" s="15"/>
      <c r="S2368" s="15"/>
      <c r="T2368" s="15">
        <v>0</v>
      </c>
      <c r="U2368" s="15"/>
      <c r="V2368" s="15"/>
      <c r="W2368" s="15"/>
      <c r="X2368" s="15"/>
      <c r="Y2368" s="15"/>
      <c r="Z2368" s="15"/>
    </row>
    <row r="2369" spans="1:26" x14ac:dyDescent="0.25">
      <c r="A2369" s="15" t="s">
        <v>15820</v>
      </c>
      <c r="B2369" s="15">
        <v>2368</v>
      </c>
      <c r="C2369" s="15" t="s">
        <v>11277</v>
      </c>
      <c r="D2369" s="15" t="s">
        <v>11277</v>
      </c>
      <c r="E2369" s="15" t="s">
        <v>73</v>
      </c>
      <c r="F2369" s="15" t="s">
        <v>15819</v>
      </c>
      <c r="G2369" s="15" t="s">
        <v>12295</v>
      </c>
      <c r="H2369" s="15">
        <v>6</v>
      </c>
      <c r="I2369" s="15">
        <v>6</v>
      </c>
      <c r="J2369" s="15">
        <v>1</v>
      </c>
      <c r="K2369" s="15" t="str">
        <f t="shared" si="36"/>
        <v>outergaladionbay</v>
      </c>
      <c r="L2369" s="15" t="s">
        <v>12296</v>
      </c>
      <c r="M2369" s="15">
        <v>1</v>
      </c>
      <c r="N2369" s="15" t="s">
        <v>11222</v>
      </c>
      <c r="O2369" s="15"/>
      <c r="P2369" s="15"/>
      <c r="Q2369" s="15"/>
      <c r="R2369" s="15"/>
      <c r="S2369" s="15"/>
      <c r="T2369" s="15">
        <v>0</v>
      </c>
      <c r="U2369" s="15"/>
      <c r="V2369" s="15"/>
      <c r="W2369" s="15"/>
      <c r="X2369" s="15"/>
      <c r="Y2369" s="15"/>
      <c r="Z2369" s="15"/>
    </row>
    <row r="2370" spans="1:26" x14ac:dyDescent="0.25">
      <c r="A2370" s="15" t="s">
        <v>15821</v>
      </c>
      <c r="B2370" s="15">
        <v>2369</v>
      </c>
      <c r="C2370" s="15" t="s">
        <v>11277</v>
      </c>
      <c r="D2370" s="15" t="s">
        <v>11277</v>
      </c>
      <c r="E2370" s="15" t="s">
        <v>73</v>
      </c>
      <c r="F2370" s="15" t="s">
        <v>15819</v>
      </c>
      <c r="G2370" s="15" t="s">
        <v>12297</v>
      </c>
      <c r="H2370" s="15">
        <v>6</v>
      </c>
      <c r="I2370" s="15">
        <v>6</v>
      </c>
      <c r="J2370" s="15">
        <v>1</v>
      </c>
      <c r="K2370" s="15" t="str">
        <f t="shared" ref="K2370:K2433" si="37">LOWER(SUBSTITUTE(SUBSTITUTE(SUBSTITUTE(SUBSTITUTE(SUBSTITUTE(F2370," ",""),"(",""),")",""),"'",""),"-",""))</f>
        <v>outergaladionbay</v>
      </c>
      <c r="L2370" s="15" t="s">
        <v>12298</v>
      </c>
      <c r="M2370" s="15">
        <v>2</v>
      </c>
      <c r="N2370" s="15" t="s">
        <v>11223</v>
      </c>
      <c r="O2370" s="15"/>
      <c r="P2370" s="15"/>
      <c r="Q2370" s="15"/>
      <c r="R2370" s="15"/>
      <c r="S2370" s="15"/>
      <c r="T2370" s="15">
        <v>0</v>
      </c>
      <c r="U2370" s="15"/>
      <c r="V2370" s="15"/>
      <c r="W2370" s="15"/>
      <c r="X2370" s="15"/>
      <c r="Y2370" s="15"/>
      <c r="Z2370" s="15"/>
    </row>
    <row r="2371" spans="1:26" x14ac:dyDescent="0.25">
      <c r="A2371" s="15" t="s">
        <v>15822</v>
      </c>
      <c r="B2371" s="15">
        <v>2370</v>
      </c>
      <c r="C2371" s="15" t="s">
        <v>11277</v>
      </c>
      <c r="D2371" s="15" t="s">
        <v>11277</v>
      </c>
      <c r="E2371" s="15" t="s">
        <v>73</v>
      </c>
      <c r="F2371" s="15" t="s">
        <v>15819</v>
      </c>
      <c r="G2371" s="15" t="s">
        <v>12299</v>
      </c>
      <c r="H2371" s="15">
        <v>6</v>
      </c>
      <c r="I2371" s="15">
        <v>6</v>
      </c>
      <c r="J2371" s="15">
        <v>1</v>
      </c>
      <c r="K2371" s="15" t="str">
        <f t="shared" si="37"/>
        <v>outergaladionbay</v>
      </c>
      <c r="L2371" s="15" t="s">
        <v>12296</v>
      </c>
      <c r="M2371" s="15">
        <v>2</v>
      </c>
      <c r="N2371" s="15" t="s">
        <v>11223</v>
      </c>
      <c r="O2371" s="15"/>
      <c r="P2371" s="15"/>
      <c r="Q2371" s="15"/>
      <c r="R2371" s="15"/>
      <c r="S2371" s="15"/>
      <c r="T2371" s="15">
        <v>0</v>
      </c>
      <c r="U2371" s="15"/>
      <c r="V2371" s="15"/>
      <c r="W2371" s="15"/>
      <c r="X2371" s="15"/>
      <c r="Y2371" s="15"/>
      <c r="Z2371" s="15"/>
    </row>
    <row r="2372" spans="1:26" x14ac:dyDescent="0.25">
      <c r="A2372" s="15" t="s">
        <v>15823</v>
      </c>
      <c r="B2372" s="15">
        <v>2371</v>
      </c>
      <c r="C2372" s="15" t="s">
        <v>11277</v>
      </c>
      <c r="D2372" s="15" t="s">
        <v>11277</v>
      </c>
      <c r="E2372" s="15" t="s">
        <v>73</v>
      </c>
      <c r="F2372" s="15" t="s">
        <v>15819</v>
      </c>
      <c r="G2372" s="15" t="s">
        <v>12300</v>
      </c>
      <c r="H2372" s="15">
        <v>6</v>
      </c>
      <c r="I2372" s="15">
        <v>6</v>
      </c>
      <c r="J2372" s="15">
        <v>1</v>
      </c>
      <c r="K2372" s="15" t="str">
        <f t="shared" si="37"/>
        <v>outergaladionbay</v>
      </c>
      <c r="L2372" s="15" t="s">
        <v>12298</v>
      </c>
      <c r="M2372" s="15">
        <v>3</v>
      </c>
      <c r="N2372" s="15" t="s">
        <v>11223</v>
      </c>
      <c r="O2372" s="15"/>
      <c r="P2372" s="15"/>
      <c r="Q2372" s="15"/>
      <c r="R2372" s="15"/>
      <c r="S2372" s="15"/>
      <c r="T2372" s="15">
        <v>0</v>
      </c>
      <c r="U2372" s="15"/>
      <c r="V2372" s="15"/>
      <c r="W2372" s="15"/>
      <c r="X2372" s="15"/>
      <c r="Y2372" s="15"/>
      <c r="Z2372" s="15"/>
    </row>
    <row r="2373" spans="1:26" x14ac:dyDescent="0.25">
      <c r="A2373" s="15" t="s">
        <v>15824</v>
      </c>
      <c r="B2373" s="15">
        <v>2372</v>
      </c>
      <c r="C2373" s="15" t="s">
        <v>11277</v>
      </c>
      <c r="D2373" s="15" t="s">
        <v>11277</v>
      </c>
      <c r="E2373" s="15" t="s">
        <v>73</v>
      </c>
      <c r="F2373" s="15" t="s">
        <v>15819</v>
      </c>
      <c r="G2373" s="15" t="s">
        <v>12301</v>
      </c>
      <c r="H2373" s="15">
        <v>6</v>
      </c>
      <c r="I2373" s="15">
        <v>6</v>
      </c>
      <c r="J2373" s="15">
        <v>1</v>
      </c>
      <c r="K2373" s="15" t="str">
        <f t="shared" si="37"/>
        <v>outergaladionbay</v>
      </c>
      <c r="L2373" s="15" t="s">
        <v>12296</v>
      </c>
      <c r="M2373" s="15">
        <v>1</v>
      </c>
      <c r="N2373" s="15" t="s">
        <v>11222</v>
      </c>
      <c r="O2373" s="15"/>
      <c r="P2373" s="15"/>
      <c r="Q2373" s="15"/>
      <c r="R2373" s="15"/>
      <c r="S2373" s="15"/>
      <c r="T2373" s="15">
        <v>0</v>
      </c>
      <c r="U2373" s="15"/>
      <c r="V2373" s="15"/>
      <c r="W2373" s="15"/>
      <c r="X2373" s="15"/>
      <c r="Y2373" s="15"/>
      <c r="Z2373" s="15"/>
    </row>
    <row r="2374" spans="1:26" x14ac:dyDescent="0.25">
      <c r="A2374" s="15" t="s">
        <v>15825</v>
      </c>
      <c r="B2374" s="15">
        <v>2373</v>
      </c>
      <c r="C2374" s="15" t="s">
        <v>11277</v>
      </c>
      <c r="D2374" s="15" t="s">
        <v>11277</v>
      </c>
      <c r="E2374" s="15" t="s">
        <v>73</v>
      </c>
      <c r="F2374" s="15" t="s">
        <v>15819</v>
      </c>
      <c r="G2374" s="15" t="s">
        <v>12302</v>
      </c>
      <c r="H2374" s="15">
        <v>6</v>
      </c>
      <c r="I2374" s="15">
        <v>6</v>
      </c>
      <c r="J2374" s="15">
        <v>1</v>
      </c>
      <c r="K2374" s="15" t="str">
        <f t="shared" si="37"/>
        <v>outergaladionbay</v>
      </c>
      <c r="L2374" s="15" t="s">
        <v>12296</v>
      </c>
      <c r="M2374" s="15">
        <v>2</v>
      </c>
      <c r="N2374" s="15" t="s">
        <v>11223</v>
      </c>
      <c r="O2374" s="15"/>
      <c r="P2374" s="15"/>
      <c r="Q2374" s="15"/>
      <c r="R2374" s="15"/>
      <c r="S2374" s="15"/>
      <c r="T2374" s="15">
        <v>0</v>
      </c>
      <c r="U2374" s="15"/>
      <c r="V2374" s="15"/>
      <c r="W2374" s="15"/>
      <c r="X2374" s="15"/>
      <c r="Y2374" s="15"/>
      <c r="Z2374" s="15"/>
    </row>
    <row r="2375" spans="1:26" x14ac:dyDescent="0.25">
      <c r="A2375" s="15" t="s">
        <v>15826</v>
      </c>
      <c r="B2375" s="15">
        <v>2374</v>
      </c>
      <c r="C2375" s="15" t="s">
        <v>11277</v>
      </c>
      <c r="D2375" s="15" t="s">
        <v>11277</v>
      </c>
      <c r="E2375" s="15" t="s">
        <v>73</v>
      </c>
      <c r="F2375" s="15" t="s">
        <v>15819</v>
      </c>
      <c r="G2375" s="15" t="s">
        <v>12303</v>
      </c>
      <c r="H2375" s="15">
        <v>6</v>
      </c>
      <c r="I2375" s="15">
        <v>6</v>
      </c>
      <c r="J2375" s="15">
        <v>1</v>
      </c>
      <c r="K2375" s="15" t="str">
        <f t="shared" si="37"/>
        <v>outergaladionbay</v>
      </c>
      <c r="L2375" s="15" t="s">
        <v>12294</v>
      </c>
      <c r="M2375" s="15">
        <v>1</v>
      </c>
      <c r="N2375" s="15" t="s">
        <v>11222</v>
      </c>
      <c r="O2375" s="15"/>
      <c r="P2375" s="15"/>
      <c r="Q2375" s="15"/>
      <c r="R2375" s="15"/>
      <c r="S2375" s="15"/>
      <c r="T2375" s="15">
        <v>0</v>
      </c>
      <c r="U2375" s="15"/>
      <c r="V2375" s="15"/>
      <c r="W2375" s="15"/>
      <c r="X2375" s="15"/>
      <c r="Y2375" s="15"/>
      <c r="Z2375" s="15"/>
    </row>
    <row r="2376" spans="1:26" x14ac:dyDescent="0.25">
      <c r="A2376" s="15" t="s">
        <v>15827</v>
      </c>
      <c r="B2376" s="15">
        <v>2375</v>
      </c>
      <c r="C2376" s="15" t="s">
        <v>11277</v>
      </c>
      <c r="D2376" s="15" t="s">
        <v>11277</v>
      </c>
      <c r="E2376" s="15" t="s">
        <v>73</v>
      </c>
      <c r="F2376" s="15" t="s">
        <v>15819</v>
      </c>
      <c r="G2376" s="15" t="s">
        <v>12304</v>
      </c>
      <c r="H2376" s="15">
        <v>6</v>
      </c>
      <c r="I2376" s="15">
        <v>6</v>
      </c>
      <c r="J2376" s="15">
        <v>1</v>
      </c>
      <c r="K2376" s="15" t="str">
        <f t="shared" si="37"/>
        <v>outergaladionbay</v>
      </c>
      <c r="L2376" s="15" t="s">
        <v>12296</v>
      </c>
      <c r="M2376" s="15">
        <v>3</v>
      </c>
      <c r="N2376" s="15" t="s">
        <v>11223</v>
      </c>
      <c r="O2376" s="15"/>
      <c r="P2376" s="15"/>
      <c r="Q2376" s="15"/>
      <c r="R2376" s="15"/>
      <c r="S2376" s="15"/>
      <c r="T2376" s="15">
        <v>0</v>
      </c>
      <c r="U2376" s="15"/>
      <c r="V2376" s="15"/>
      <c r="W2376" s="15"/>
      <c r="X2376" s="15"/>
      <c r="Y2376" s="15"/>
      <c r="Z2376" s="15"/>
    </row>
    <row r="2377" spans="1:26" x14ac:dyDescent="0.25">
      <c r="A2377" s="15" t="s">
        <v>15828</v>
      </c>
      <c r="B2377" s="15">
        <v>2376</v>
      </c>
      <c r="C2377" s="15" t="s">
        <v>11277</v>
      </c>
      <c r="D2377" s="15" t="s">
        <v>11277</v>
      </c>
      <c r="E2377" s="15" t="s">
        <v>73</v>
      </c>
      <c r="F2377" s="15" t="s">
        <v>15819</v>
      </c>
      <c r="G2377" s="15" t="s">
        <v>12306</v>
      </c>
      <c r="H2377" s="15">
        <v>6</v>
      </c>
      <c r="I2377" s="15">
        <v>6</v>
      </c>
      <c r="J2377" s="15">
        <v>1</v>
      </c>
      <c r="K2377" s="15" t="str">
        <f t="shared" si="37"/>
        <v>outergaladionbay</v>
      </c>
      <c r="L2377" s="15" t="s">
        <v>12296</v>
      </c>
      <c r="M2377" s="15">
        <v>3</v>
      </c>
      <c r="N2377" s="15" t="s">
        <v>11223</v>
      </c>
      <c r="O2377" s="15"/>
      <c r="P2377" s="15" t="s">
        <v>15829</v>
      </c>
      <c r="Q2377" s="15"/>
      <c r="R2377" s="15"/>
      <c r="S2377" s="15"/>
      <c r="T2377" s="15">
        <v>0</v>
      </c>
      <c r="U2377" s="15"/>
      <c r="V2377" s="15"/>
      <c r="W2377" s="15"/>
      <c r="X2377" s="15"/>
      <c r="Y2377" s="15"/>
      <c r="Z2377" s="15"/>
    </row>
    <row r="2378" spans="1:26" x14ac:dyDescent="0.25">
      <c r="A2378" s="15" t="s">
        <v>15830</v>
      </c>
      <c r="B2378" s="15">
        <v>2377</v>
      </c>
      <c r="C2378" s="15" t="s">
        <v>11277</v>
      </c>
      <c r="D2378" s="15" t="s">
        <v>11277</v>
      </c>
      <c r="E2378" s="15" t="s">
        <v>73</v>
      </c>
      <c r="F2378" s="15" t="s">
        <v>15831</v>
      </c>
      <c r="G2378" s="15" t="s">
        <v>12589</v>
      </c>
      <c r="H2378" s="15">
        <v>6</v>
      </c>
      <c r="I2378" s="15">
        <v>6</v>
      </c>
      <c r="J2378" s="15">
        <v>1</v>
      </c>
      <c r="K2378" s="15" t="str">
        <f t="shared" si="37"/>
        <v>sirensongspectralcurrent</v>
      </c>
      <c r="L2378" s="15" t="s">
        <v>12294</v>
      </c>
      <c r="M2378" s="15">
        <v>1</v>
      </c>
      <c r="N2378" s="15" t="s">
        <v>11222</v>
      </c>
      <c r="O2378" s="15"/>
      <c r="P2378" s="15"/>
      <c r="Q2378" s="15"/>
      <c r="R2378" s="15"/>
      <c r="S2378" s="15"/>
      <c r="T2378" s="15">
        <v>0</v>
      </c>
      <c r="U2378" s="15"/>
      <c r="V2378" s="15"/>
      <c r="W2378" s="15"/>
      <c r="X2378" s="15"/>
      <c r="Y2378" s="15"/>
      <c r="Z2378" s="15"/>
    </row>
    <row r="2379" spans="1:26" x14ac:dyDescent="0.25">
      <c r="A2379" s="15" t="s">
        <v>15832</v>
      </c>
      <c r="B2379" s="15">
        <v>2378</v>
      </c>
      <c r="C2379" s="15" t="s">
        <v>11277</v>
      </c>
      <c r="D2379" s="15" t="s">
        <v>11277</v>
      </c>
      <c r="E2379" s="15" t="s">
        <v>73</v>
      </c>
      <c r="F2379" s="15" t="s">
        <v>15831</v>
      </c>
      <c r="G2379" s="15" t="s">
        <v>12591</v>
      </c>
      <c r="H2379" s="15">
        <v>6</v>
      </c>
      <c r="I2379" s="15">
        <v>6</v>
      </c>
      <c r="J2379" s="15">
        <v>1</v>
      </c>
      <c r="K2379" s="15" t="str">
        <f t="shared" si="37"/>
        <v>sirensongspectralcurrent</v>
      </c>
      <c r="L2379" s="15" t="s">
        <v>12298</v>
      </c>
      <c r="M2379" s="15">
        <v>2</v>
      </c>
      <c r="N2379" s="15" t="s">
        <v>11223</v>
      </c>
      <c r="O2379" s="15"/>
      <c r="P2379" s="15"/>
      <c r="Q2379" s="15"/>
      <c r="R2379" s="15"/>
      <c r="S2379" s="15"/>
      <c r="T2379" s="15">
        <v>0</v>
      </c>
      <c r="U2379" s="15"/>
      <c r="V2379" s="15"/>
      <c r="W2379" s="15"/>
      <c r="X2379" s="15"/>
      <c r="Y2379" s="15"/>
      <c r="Z2379" s="15"/>
    </row>
    <row r="2380" spans="1:26" x14ac:dyDescent="0.25">
      <c r="A2380" s="15" t="s">
        <v>15833</v>
      </c>
      <c r="B2380" s="15">
        <v>2379</v>
      </c>
      <c r="C2380" s="15" t="s">
        <v>11277</v>
      </c>
      <c r="D2380" s="15" t="s">
        <v>11277</v>
      </c>
      <c r="E2380" s="15" t="s">
        <v>73</v>
      </c>
      <c r="F2380" s="15" t="s">
        <v>15831</v>
      </c>
      <c r="G2380" s="15" t="s">
        <v>12593</v>
      </c>
      <c r="H2380" s="15">
        <v>6</v>
      </c>
      <c r="I2380" s="15">
        <v>6</v>
      </c>
      <c r="J2380" s="15">
        <v>1</v>
      </c>
      <c r="K2380" s="15" t="str">
        <f t="shared" si="37"/>
        <v>sirensongspectralcurrent</v>
      </c>
      <c r="L2380" s="15" t="s">
        <v>12296</v>
      </c>
      <c r="M2380" s="15">
        <v>1</v>
      </c>
      <c r="N2380" s="15" t="s">
        <v>11222</v>
      </c>
      <c r="O2380" s="15"/>
      <c r="P2380" s="15"/>
      <c r="Q2380" s="15"/>
      <c r="R2380" s="15"/>
      <c r="S2380" s="15"/>
      <c r="T2380" s="15">
        <v>0</v>
      </c>
      <c r="U2380" s="15"/>
      <c r="V2380" s="15"/>
      <c r="W2380" s="15"/>
      <c r="X2380" s="15"/>
      <c r="Y2380" s="15"/>
      <c r="Z2380" s="15"/>
    </row>
    <row r="2381" spans="1:26" x14ac:dyDescent="0.25">
      <c r="A2381" s="15" t="s">
        <v>15834</v>
      </c>
      <c r="B2381" s="15">
        <v>2380</v>
      </c>
      <c r="C2381" s="15" t="s">
        <v>11277</v>
      </c>
      <c r="D2381" s="15" t="s">
        <v>11277</v>
      </c>
      <c r="E2381" s="15" t="s">
        <v>73</v>
      </c>
      <c r="F2381" s="15" t="s">
        <v>15831</v>
      </c>
      <c r="G2381" s="15" t="s">
        <v>12595</v>
      </c>
      <c r="H2381" s="15">
        <v>6</v>
      </c>
      <c r="I2381" s="15">
        <v>6</v>
      </c>
      <c r="J2381" s="15">
        <v>1</v>
      </c>
      <c r="K2381" s="15" t="str">
        <f t="shared" si="37"/>
        <v>sirensongspectralcurrent</v>
      </c>
      <c r="L2381" s="15" t="s">
        <v>12298</v>
      </c>
      <c r="M2381" s="15">
        <v>3</v>
      </c>
      <c r="N2381" s="15" t="s">
        <v>11223</v>
      </c>
      <c r="O2381" s="15"/>
      <c r="P2381" s="15"/>
      <c r="Q2381" s="15"/>
      <c r="R2381" s="15"/>
      <c r="S2381" s="15"/>
      <c r="T2381" s="15">
        <v>0</v>
      </c>
      <c r="U2381" s="15"/>
      <c r="V2381" s="15"/>
      <c r="W2381" s="15"/>
      <c r="X2381" s="15"/>
      <c r="Y2381" s="15"/>
      <c r="Z2381" s="15"/>
    </row>
    <row r="2382" spans="1:26" x14ac:dyDescent="0.25">
      <c r="A2382" s="15" t="s">
        <v>15835</v>
      </c>
      <c r="B2382" s="15">
        <v>2381</v>
      </c>
      <c r="C2382" s="15" t="s">
        <v>11277</v>
      </c>
      <c r="D2382" s="15" t="s">
        <v>11277</v>
      </c>
      <c r="E2382" s="15" t="s">
        <v>73</v>
      </c>
      <c r="F2382" s="15" t="s">
        <v>15831</v>
      </c>
      <c r="G2382" s="15" t="s">
        <v>12597</v>
      </c>
      <c r="H2382" s="15">
        <v>6</v>
      </c>
      <c r="I2382" s="15">
        <v>6</v>
      </c>
      <c r="J2382" s="15">
        <v>1</v>
      </c>
      <c r="K2382" s="15" t="str">
        <f t="shared" si="37"/>
        <v>sirensongspectralcurrent</v>
      </c>
      <c r="L2382" s="15" t="s">
        <v>12294</v>
      </c>
      <c r="M2382" s="15">
        <v>1</v>
      </c>
      <c r="N2382" s="15" t="s">
        <v>11222</v>
      </c>
      <c r="O2382" s="15"/>
      <c r="P2382" s="15"/>
      <c r="Q2382" s="15"/>
      <c r="R2382" s="15"/>
      <c r="S2382" s="15"/>
      <c r="T2382" s="15">
        <v>0</v>
      </c>
      <c r="U2382" s="15"/>
      <c r="V2382" s="15"/>
      <c r="W2382" s="15"/>
      <c r="X2382" s="15"/>
      <c r="Y2382" s="15"/>
      <c r="Z2382" s="15"/>
    </row>
    <row r="2383" spans="1:26" x14ac:dyDescent="0.25">
      <c r="A2383" s="15" t="s">
        <v>15836</v>
      </c>
      <c r="B2383" s="15">
        <v>2382</v>
      </c>
      <c r="C2383" s="15" t="s">
        <v>11277</v>
      </c>
      <c r="D2383" s="15" t="s">
        <v>11277</v>
      </c>
      <c r="E2383" s="15" t="s">
        <v>73</v>
      </c>
      <c r="F2383" s="15" t="s">
        <v>15831</v>
      </c>
      <c r="G2383" s="15" t="s">
        <v>12599</v>
      </c>
      <c r="H2383" s="15">
        <v>6</v>
      </c>
      <c r="I2383" s="15">
        <v>6</v>
      </c>
      <c r="J2383" s="15">
        <v>1</v>
      </c>
      <c r="K2383" s="15" t="str">
        <f t="shared" si="37"/>
        <v>sirensongspectralcurrent</v>
      </c>
      <c r="L2383" s="15" t="s">
        <v>12298</v>
      </c>
      <c r="M2383" s="15">
        <v>3</v>
      </c>
      <c r="N2383" s="15" t="s">
        <v>11223</v>
      </c>
      <c r="O2383" s="15"/>
      <c r="P2383" s="15"/>
      <c r="Q2383" s="15"/>
      <c r="R2383" s="15"/>
      <c r="S2383" s="15"/>
      <c r="T2383" s="15">
        <v>0</v>
      </c>
      <c r="U2383" s="15"/>
      <c r="V2383" s="15"/>
      <c r="W2383" s="15"/>
      <c r="X2383" s="15"/>
      <c r="Y2383" s="15"/>
      <c r="Z2383" s="15"/>
    </row>
    <row r="2384" spans="1:26" x14ac:dyDescent="0.25">
      <c r="A2384" s="15" t="s">
        <v>15837</v>
      </c>
      <c r="B2384" s="15">
        <v>2383</v>
      </c>
      <c r="C2384" s="15" t="s">
        <v>11277</v>
      </c>
      <c r="D2384" s="15" t="s">
        <v>11277</v>
      </c>
      <c r="E2384" s="15" t="s">
        <v>73</v>
      </c>
      <c r="F2384" s="15" t="s">
        <v>15831</v>
      </c>
      <c r="G2384" s="15" t="s">
        <v>12601</v>
      </c>
      <c r="H2384" s="15">
        <v>6</v>
      </c>
      <c r="I2384" s="15">
        <v>6</v>
      </c>
      <c r="J2384" s="15">
        <v>1</v>
      </c>
      <c r="K2384" s="15" t="str">
        <f t="shared" si="37"/>
        <v>sirensongspectralcurrent</v>
      </c>
      <c r="L2384" s="15" t="s">
        <v>12296</v>
      </c>
      <c r="M2384" s="15">
        <v>1</v>
      </c>
      <c r="N2384" s="15" t="s">
        <v>11222</v>
      </c>
      <c r="O2384" s="15"/>
      <c r="P2384" s="15"/>
      <c r="Q2384" s="15"/>
      <c r="R2384" s="15"/>
      <c r="S2384" s="15"/>
      <c r="T2384" s="15">
        <v>0</v>
      </c>
      <c r="U2384" s="15"/>
      <c r="V2384" s="15"/>
      <c r="W2384" s="15"/>
      <c r="X2384" s="15"/>
      <c r="Y2384" s="15"/>
      <c r="Z2384" s="15"/>
    </row>
    <row r="2385" spans="1:26" x14ac:dyDescent="0.25">
      <c r="A2385" s="15" t="s">
        <v>15838</v>
      </c>
      <c r="B2385" s="15">
        <v>2384</v>
      </c>
      <c r="C2385" s="15" t="s">
        <v>11277</v>
      </c>
      <c r="D2385" s="15" t="s">
        <v>11277</v>
      </c>
      <c r="E2385" s="15" t="s">
        <v>73</v>
      </c>
      <c r="F2385" s="15" t="s">
        <v>15831</v>
      </c>
      <c r="G2385" s="15" t="s">
        <v>12603</v>
      </c>
      <c r="H2385" s="15">
        <v>6</v>
      </c>
      <c r="I2385" s="15">
        <v>6</v>
      </c>
      <c r="J2385" s="15">
        <v>1</v>
      </c>
      <c r="K2385" s="15" t="str">
        <f t="shared" si="37"/>
        <v>sirensongspectralcurrent</v>
      </c>
      <c r="L2385" s="15" t="s">
        <v>12296</v>
      </c>
      <c r="M2385" s="15">
        <v>1</v>
      </c>
      <c r="N2385" s="15" t="s">
        <v>11222</v>
      </c>
      <c r="O2385" s="15"/>
      <c r="P2385" s="15"/>
      <c r="Q2385" s="15"/>
      <c r="R2385" s="15"/>
      <c r="S2385" s="15"/>
      <c r="T2385" s="15">
        <v>0</v>
      </c>
      <c r="U2385" s="15"/>
      <c r="V2385" s="15"/>
      <c r="W2385" s="15"/>
      <c r="X2385" s="15"/>
      <c r="Y2385" s="15"/>
      <c r="Z2385" s="15"/>
    </row>
    <row r="2386" spans="1:26" x14ac:dyDescent="0.25">
      <c r="A2386" s="15" t="s">
        <v>15839</v>
      </c>
      <c r="B2386" s="15">
        <v>2385</v>
      </c>
      <c r="C2386" s="15" t="s">
        <v>11277</v>
      </c>
      <c r="D2386" s="15" t="s">
        <v>11277</v>
      </c>
      <c r="E2386" s="15" t="s">
        <v>73</v>
      </c>
      <c r="F2386" s="15" t="s">
        <v>15831</v>
      </c>
      <c r="G2386" s="15" t="s">
        <v>12605</v>
      </c>
      <c r="H2386" s="15">
        <v>6</v>
      </c>
      <c r="I2386" s="15">
        <v>6</v>
      </c>
      <c r="J2386" s="15">
        <v>1</v>
      </c>
      <c r="K2386" s="15" t="str">
        <f t="shared" si="37"/>
        <v>sirensongspectralcurrent</v>
      </c>
      <c r="L2386" s="15" t="s">
        <v>12296</v>
      </c>
      <c r="M2386" s="15">
        <v>2</v>
      </c>
      <c r="N2386" s="15" t="s">
        <v>11223</v>
      </c>
      <c r="O2386" s="15"/>
      <c r="P2386" s="15"/>
      <c r="Q2386" s="15"/>
      <c r="R2386" s="15"/>
      <c r="S2386" s="15"/>
      <c r="T2386" s="15">
        <v>0</v>
      </c>
      <c r="U2386" s="15"/>
      <c r="V2386" s="15"/>
      <c r="W2386" s="15"/>
      <c r="X2386" s="15"/>
      <c r="Y2386" s="15"/>
      <c r="Z2386" s="15"/>
    </row>
    <row r="2387" spans="1:26" x14ac:dyDescent="0.25">
      <c r="A2387" s="15" t="s">
        <v>15840</v>
      </c>
      <c r="B2387" s="15">
        <v>2386</v>
      </c>
      <c r="C2387" s="15" t="s">
        <v>11277</v>
      </c>
      <c r="D2387" s="15" t="s">
        <v>11277</v>
      </c>
      <c r="E2387" s="15" t="s">
        <v>133</v>
      </c>
      <c r="F2387" s="15" t="s">
        <v>15831</v>
      </c>
      <c r="G2387" s="15" t="s">
        <v>12607</v>
      </c>
      <c r="H2387" s="15">
        <v>6</v>
      </c>
      <c r="I2387" s="15">
        <v>6</v>
      </c>
      <c r="J2387" s="15">
        <v>90</v>
      </c>
      <c r="K2387" s="15" t="str">
        <f t="shared" si="37"/>
        <v>sirensongspectralcurrent</v>
      </c>
      <c r="L2387" s="15" t="s">
        <v>11944</v>
      </c>
      <c r="M2387" s="15">
        <v>3</v>
      </c>
      <c r="N2387" s="15" t="s">
        <v>11223</v>
      </c>
      <c r="O2387" s="15"/>
      <c r="P2387" s="15"/>
      <c r="Q2387" s="15"/>
      <c r="R2387" s="15"/>
      <c r="S2387" s="15"/>
      <c r="T2387" s="15">
        <v>3</v>
      </c>
      <c r="U2387" s="15"/>
      <c r="V2387" s="15"/>
      <c r="W2387" s="15"/>
      <c r="X2387" s="15"/>
      <c r="Y2387" s="15"/>
      <c r="Z2387" s="15"/>
    </row>
    <row r="2388" spans="1:26" x14ac:dyDescent="0.25">
      <c r="A2388" s="15" t="s">
        <v>15841</v>
      </c>
      <c r="B2388" s="15">
        <v>2387</v>
      </c>
      <c r="C2388" s="15" t="s">
        <v>11277</v>
      </c>
      <c r="D2388" s="15" t="s">
        <v>11277</v>
      </c>
      <c r="E2388" s="15" t="s">
        <v>73</v>
      </c>
      <c r="F2388" s="15" t="s">
        <v>15842</v>
      </c>
      <c r="G2388" s="15" t="s">
        <v>12609</v>
      </c>
      <c r="H2388" s="15">
        <v>6</v>
      </c>
      <c r="I2388" s="15">
        <v>6</v>
      </c>
      <c r="J2388" s="15">
        <v>1</v>
      </c>
      <c r="K2388" s="15" t="str">
        <f t="shared" si="37"/>
        <v>kuganecoast</v>
      </c>
      <c r="L2388" s="15" t="s">
        <v>12296</v>
      </c>
      <c r="M2388" s="15">
        <v>2</v>
      </c>
      <c r="N2388" s="15" t="s">
        <v>11223</v>
      </c>
      <c r="O2388" s="15"/>
      <c r="P2388" s="15"/>
      <c r="Q2388" s="15"/>
      <c r="R2388" s="15"/>
      <c r="S2388" s="15"/>
      <c r="T2388" s="15">
        <v>0</v>
      </c>
      <c r="U2388" s="15"/>
      <c r="V2388" s="15"/>
      <c r="W2388" s="15"/>
      <c r="X2388" s="15"/>
      <c r="Y2388" s="15"/>
      <c r="Z2388" s="15"/>
    </row>
    <row r="2389" spans="1:26" x14ac:dyDescent="0.25">
      <c r="A2389" s="15" t="s">
        <v>15843</v>
      </c>
      <c r="B2389" s="15">
        <v>2388</v>
      </c>
      <c r="C2389" s="15" t="s">
        <v>11277</v>
      </c>
      <c r="D2389" s="15" t="s">
        <v>11277</v>
      </c>
      <c r="E2389" s="15" t="s">
        <v>73</v>
      </c>
      <c r="F2389" s="15" t="s">
        <v>15842</v>
      </c>
      <c r="G2389" s="15" t="s">
        <v>12611</v>
      </c>
      <c r="H2389" s="15">
        <v>6</v>
      </c>
      <c r="I2389" s="15">
        <v>6</v>
      </c>
      <c r="J2389" s="15">
        <v>1</v>
      </c>
      <c r="K2389" s="15" t="str">
        <f t="shared" si="37"/>
        <v>kuganecoast</v>
      </c>
      <c r="L2389" s="15" t="s">
        <v>12294</v>
      </c>
      <c r="M2389" s="15">
        <v>1</v>
      </c>
      <c r="N2389" s="15" t="s">
        <v>11222</v>
      </c>
      <c r="O2389" s="15"/>
      <c r="P2389" s="15"/>
      <c r="Q2389" s="15"/>
      <c r="R2389" s="15"/>
      <c r="S2389" s="15"/>
      <c r="T2389" s="15">
        <v>0</v>
      </c>
      <c r="U2389" s="15"/>
      <c r="V2389" s="15"/>
      <c r="W2389" s="15"/>
      <c r="X2389" s="15"/>
      <c r="Y2389" s="15"/>
      <c r="Z2389" s="15"/>
    </row>
    <row r="2390" spans="1:26" x14ac:dyDescent="0.25">
      <c r="A2390" s="15" t="s">
        <v>15844</v>
      </c>
      <c r="B2390" s="15">
        <v>2389</v>
      </c>
      <c r="C2390" s="15" t="s">
        <v>11277</v>
      </c>
      <c r="D2390" s="15" t="s">
        <v>11277</v>
      </c>
      <c r="E2390" s="15" t="s">
        <v>73</v>
      </c>
      <c r="F2390" s="15" t="s">
        <v>15842</v>
      </c>
      <c r="G2390" s="15" t="s">
        <v>12613</v>
      </c>
      <c r="H2390" s="15">
        <v>6</v>
      </c>
      <c r="I2390" s="15">
        <v>6</v>
      </c>
      <c r="J2390" s="15">
        <v>1</v>
      </c>
      <c r="K2390" s="15" t="str">
        <f t="shared" si="37"/>
        <v>kuganecoast</v>
      </c>
      <c r="L2390" s="15" t="s">
        <v>12294</v>
      </c>
      <c r="M2390" s="15">
        <v>1</v>
      </c>
      <c r="N2390" s="15" t="s">
        <v>11222</v>
      </c>
      <c r="O2390" s="15"/>
      <c r="P2390" s="15"/>
      <c r="Q2390" s="15"/>
      <c r="R2390" s="15"/>
      <c r="S2390" s="15"/>
      <c r="T2390" s="15">
        <v>0</v>
      </c>
      <c r="U2390" s="15"/>
      <c r="V2390" s="15"/>
      <c r="W2390" s="15"/>
      <c r="X2390" s="15"/>
      <c r="Y2390" s="15"/>
      <c r="Z2390" s="15"/>
    </row>
    <row r="2391" spans="1:26" x14ac:dyDescent="0.25">
      <c r="A2391" s="15" t="s">
        <v>15845</v>
      </c>
      <c r="B2391" s="15">
        <v>2390</v>
      </c>
      <c r="C2391" s="15" t="s">
        <v>11277</v>
      </c>
      <c r="D2391" s="15" t="s">
        <v>11277</v>
      </c>
      <c r="E2391" s="15" t="s">
        <v>73</v>
      </c>
      <c r="F2391" s="15" t="s">
        <v>15842</v>
      </c>
      <c r="G2391" s="15" t="s">
        <v>12615</v>
      </c>
      <c r="H2391" s="15">
        <v>6</v>
      </c>
      <c r="I2391" s="15">
        <v>6</v>
      </c>
      <c r="J2391" s="15">
        <v>1</v>
      </c>
      <c r="K2391" s="15" t="str">
        <f t="shared" si="37"/>
        <v>kuganecoast</v>
      </c>
      <c r="L2391" s="15" t="s">
        <v>12298</v>
      </c>
      <c r="M2391" s="15">
        <v>2</v>
      </c>
      <c r="N2391" s="15" t="s">
        <v>11223</v>
      </c>
      <c r="O2391" s="15"/>
      <c r="P2391" s="15"/>
      <c r="Q2391" s="15"/>
      <c r="R2391" s="15"/>
      <c r="S2391" s="15"/>
      <c r="T2391" s="15">
        <v>0</v>
      </c>
      <c r="U2391" s="15"/>
      <c r="V2391" s="15"/>
      <c r="W2391" s="15"/>
      <c r="X2391" s="15"/>
      <c r="Y2391" s="15"/>
      <c r="Z2391" s="15"/>
    </row>
    <row r="2392" spans="1:26" x14ac:dyDescent="0.25">
      <c r="A2392" s="15" t="s">
        <v>15846</v>
      </c>
      <c r="B2392" s="15">
        <v>2391</v>
      </c>
      <c r="C2392" s="15" t="s">
        <v>11277</v>
      </c>
      <c r="D2392" s="15" t="s">
        <v>11277</v>
      </c>
      <c r="E2392" s="15" t="s">
        <v>73</v>
      </c>
      <c r="F2392" s="15" t="s">
        <v>15842</v>
      </c>
      <c r="G2392" s="15" t="s">
        <v>12617</v>
      </c>
      <c r="H2392" s="15">
        <v>6</v>
      </c>
      <c r="I2392" s="15">
        <v>6</v>
      </c>
      <c r="J2392" s="15">
        <v>1</v>
      </c>
      <c r="K2392" s="15" t="str">
        <f t="shared" si="37"/>
        <v>kuganecoast</v>
      </c>
      <c r="L2392" s="15" t="s">
        <v>12298</v>
      </c>
      <c r="M2392" s="15">
        <v>2</v>
      </c>
      <c r="N2392" s="15" t="s">
        <v>11223</v>
      </c>
      <c r="O2392" s="15"/>
      <c r="P2392" s="15"/>
      <c r="Q2392" s="15"/>
      <c r="R2392" s="15"/>
      <c r="S2392" s="15"/>
      <c r="T2392" s="15">
        <v>0</v>
      </c>
      <c r="U2392" s="15"/>
      <c r="V2392" s="15"/>
      <c r="W2392" s="15"/>
      <c r="X2392" s="15"/>
      <c r="Y2392" s="15"/>
      <c r="Z2392" s="15"/>
    </row>
    <row r="2393" spans="1:26" x14ac:dyDescent="0.25">
      <c r="A2393" s="15" t="s">
        <v>15847</v>
      </c>
      <c r="B2393" s="15">
        <v>2392</v>
      </c>
      <c r="C2393" s="15" t="s">
        <v>11277</v>
      </c>
      <c r="D2393" s="15" t="s">
        <v>11277</v>
      </c>
      <c r="E2393" s="15" t="s">
        <v>73</v>
      </c>
      <c r="F2393" s="15" t="s">
        <v>15842</v>
      </c>
      <c r="G2393" s="15" t="s">
        <v>12619</v>
      </c>
      <c r="H2393" s="15">
        <v>6</v>
      </c>
      <c r="I2393" s="15">
        <v>6</v>
      </c>
      <c r="J2393" s="15">
        <v>1</v>
      </c>
      <c r="K2393" s="15" t="str">
        <f t="shared" si="37"/>
        <v>kuganecoast</v>
      </c>
      <c r="L2393" s="15" t="s">
        <v>12296</v>
      </c>
      <c r="M2393" s="15">
        <v>1</v>
      </c>
      <c r="N2393" s="15" t="s">
        <v>11222</v>
      </c>
      <c r="O2393" s="15"/>
      <c r="P2393" s="15"/>
      <c r="Q2393" s="15"/>
      <c r="R2393" s="15"/>
      <c r="S2393" s="15"/>
      <c r="T2393" s="15">
        <v>0</v>
      </c>
      <c r="U2393" s="15"/>
      <c r="V2393" s="15"/>
      <c r="W2393" s="15"/>
      <c r="X2393" s="15"/>
      <c r="Y2393" s="15"/>
      <c r="Z2393" s="15"/>
    </row>
    <row r="2394" spans="1:26" x14ac:dyDescent="0.25">
      <c r="A2394" s="15" t="s">
        <v>15848</v>
      </c>
      <c r="B2394" s="15">
        <v>2393</v>
      </c>
      <c r="C2394" s="15" t="s">
        <v>11277</v>
      </c>
      <c r="D2394" s="15" t="s">
        <v>11277</v>
      </c>
      <c r="E2394" s="15" t="s">
        <v>73</v>
      </c>
      <c r="F2394" s="15" t="s">
        <v>15842</v>
      </c>
      <c r="G2394" s="15" t="s">
        <v>12621</v>
      </c>
      <c r="H2394" s="15">
        <v>6</v>
      </c>
      <c r="I2394" s="15">
        <v>6</v>
      </c>
      <c r="J2394" s="15">
        <v>1</v>
      </c>
      <c r="K2394" s="15" t="str">
        <f t="shared" si="37"/>
        <v>kuganecoast</v>
      </c>
      <c r="L2394" s="15" t="s">
        <v>12294</v>
      </c>
      <c r="M2394" s="15">
        <v>1</v>
      </c>
      <c r="N2394" s="15" t="s">
        <v>11222</v>
      </c>
      <c r="O2394" s="15"/>
      <c r="P2394" s="15"/>
      <c r="Q2394" s="15"/>
      <c r="R2394" s="15"/>
      <c r="S2394" s="15"/>
      <c r="T2394" s="15">
        <v>0</v>
      </c>
      <c r="U2394" s="15"/>
      <c r="V2394" s="15"/>
      <c r="W2394" s="15"/>
      <c r="X2394" s="15"/>
      <c r="Y2394" s="15"/>
      <c r="Z2394" s="15"/>
    </row>
    <row r="2395" spans="1:26" x14ac:dyDescent="0.25">
      <c r="A2395" s="15" t="s">
        <v>15849</v>
      </c>
      <c r="B2395" s="15">
        <v>2394</v>
      </c>
      <c r="C2395" s="15" t="s">
        <v>11277</v>
      </c>
      <c r="D2395" s="15" t="s">
        <v>11277</v>
      </c>
      <c r="E2395" s="15" t="s">
        <v>73</v>
      </c>
      <c r="F2395" s="15" t="s">
        <v>15842</v>
      </c>
      <c r="G2395" s="15" t="s">
        <v>12623</v>
      </c>
      <c r="H2395" s="15">
        <v>6</v>
      </c>
      <c r="I2395" s="15">
        <v>6</v>
      </c>
      <c r="J2395" s="15">
        <v>1</v>
      </c>
      <c r="K2395" s="15" t="str">
        <f t="shared" si="37"/>
        <v>kuganecoast</v>
      </c>
      <c r="L2395" s="15" t="s">
        <v>12613</v>
      </c>
      <c r="M2395" s="15">
        <v>3</v>
      </c>
      <c r="N2395" s="15" t="s">
        <v>11223</v>
      </c>
      <c r="O2395" s="15"/>
      <c r="P2395" s="15"/>
      <c r="Q2395" s="15" t="s">
        <v>12613</v>
      </c>
      <c r="R2395" s="15"/>
      <c r="S2395" s="15"/>
      <c r="T2395" s="15">
        <v>0</v>
      </c>
      <c r="U2395" s="15"/>
      <c r="V2395" s="15"/>
      <c r="W2395" s="15"/>
      <c r="X2395" s="15"/>
      <c r="Y2395" s="15"/>
      <c r="Z2395" s="15"/>
    </row>
    <row r="2396" spans="1:26" x14ac:dyDescent="0.25">
      <c r="A2396" s="15" t="s">
        <v>15850</v>
      </c>
      <c r="B2396" s="15">
        <v>2395</v>
      </c>
      <c r="C2396" s="15" t="s">
        <v>11277</v>
      </c>
      <c r="D2396" s="15" t="s">
        <v>11277</v>
      </c>
      <c r="E2396" s="15" t="s">
        <v>73</v>
      </c>
      <c r="F2396" s="15" t="s">
        <v>15842</v>
      </c>
      <c r="G2396" s="15" t="s">
        <v>12625</v>
      </c>
      <c r="H2396" s="15">
        <v>6</v>
      </c>
      <c r="I2396" s="15">
        <v>6</v>
      </c>
      <c r="J2396" s="15">
        <v>1</v>
      </c>
      <c r="K2396" s="15" t="str">
        <f t="shared" si="37"/>
        <v>kuganecoast</v>
      </c>
      <c r="L2396" s="15" t="s">
        <v>12296</v>
      </c>
      <c r="M2396" s="15">
        <v>3</v>
      </c>
      <c r="N2396" s="15" t="s">
        <v>11223</v>
      </c>
      <c r="O2396" s="15"/>
      <c r="P2396" s="15"/>
      <c r="Q2396" s="15"/>
      <c r="R2396" s="15"/>
      <c r="S2396" s="15"/>
      <c r="T2396" s="15">
        <v>0</v>
      </c>
      <c r="U2396" s="15"/>
      <c r="V2396" s="15"/>
      <c r="W2396" s="15"/>
      <c r="X2396" s="15"/>
      <c r="Y2396" s="15"/>
      <c r="Z2396" s="15"/>
    </row>
    <row r="2397" spans="1:26" x14ac:dyDescent="0.25">
      <c r="A2397" s="15" t="s">
        <v>15851</v>
      </c>
      <c r="B2397" s="15">
        <v>2396</v>
      </c>
      <c r="C2397" s="15" t="s">
        <v>11277</v>
      </c>
      <c r="D2397" s="15" t="s">
        <v>11277</v>
      </c>
      <c r="E2397" s="15" t="s">
        <v>73</v>
      </c>
      <c r="F2397" s="15" t="s">
        <v>15842</v>
      </c>
      <c r="G2397" s="15" t="s">
        <v>12627</v>
      </c>
      <c r="H2397" s="15">
        <v>6</v>
      </c>
      <c r="I2397" s="15">
        <v>6</v>
      </c>
      <c r="J2397" s="15">
        <v>1</v>
      </c>
      <c r="K2397" s="15" t="str">
        <f t="shared" si="37"/>
        <v>kuganecoast</v>
      </c>
      <c r="L2397" s="15" t="s">
        <v>12294</v>
      </c>
      <c r="M2397" s="15">
        <v>3</v>
      </c>
      <c r="N2397" s="15" t="s">
        <v>11222</v>
      </c>
      <c r="O2397" s="15"/>
      <c r="P2397" s="15"/>
      <c r="Q2397" s="15"/>
      <c r="R2397" s="15"/>
      <c r="S2397" s="15"/>
      <c r="T2397" s="15">
        <v>0</v>
      </c>
      <c r="U2397" s="15"/>
      <c r="V2397" s="15"/>
      <c r="W2397" s="15"/>
      <c r="X2397" s="15"/>
      <c r="Y2397" s="15"/>
      <c r="Z2397" s="15"/>
    </row>
    <row r="2398" spans="1:26" x14ac:dyDescent="0.25">
      <c r="A2398" s="15" t="s">
        <v>15852</v>
      </c>
      <c r="B2398" s="15">
        <v>2397</v>
      </c>
      <c r="C2398" s="15" t="s">
        <v>11277</v>
      </c>
      <c r="D2398" s="15" t="s">
        <v>11277</v>
      </c>
      <c r="E2398" s="15" t="s">
        <v>73</v>
      </c>
      <c r="F2398" s="15" t="s">
        <v>15853</v>
      </c>
      <c r="G2398" s="15" t="s">
        <v>12629</v>
      </c>
      <c r="H2398" s="15">
        <v>6</v>
      </c>
      <c r="I2398" s="15">
        <v>6</v>
      </c>
      <c r="J2398" s="15">
        <v>1</v>
      </c>
      <c r="K2398" s="15" t="str">
        <f t="shared" si="37"/>
        <v>kuganespectralcurrent</v>
      </c>
      <c r="L2398" s="15" t="s">
        <v>12296</v>
      </c>
      <c r="M2398" s="15">
        <v>2</v>
      </c>
      <c r="N2398" s="15" t="s">
        <v>11223</v>
      </c>
      <c r="O2398" s="15"/>
      <c r="P2398" s="15"/>
      <c r="Q2398" s="15"/>
      <c r="R2398" s="15"/>
      <c r="S2398" s="15"/>
      <c r="T2398" s="15">
        <v>0</v>
      </c>
      <c r="U2398" s="15"/>
      <c r="V2398" s="15"/>
      <c r="W2398" s="15"/>
      <c r="X2398" s="15"/>
      <c r="Y2398" s="15"/>
      <c r="Z2398" s="15"/>
    </row>
    <row r="2399" spans="1:26" x14ac:dyDescent="0.25">
      <c r="A2399" s="15" t="s">
        <v>15854</v>
      </c>
      <c r="B2399" s="15">
        <v>2398</v>
      </c>
      <c r="C2399" s="15" t="s">
        <v>11277</v>
      </c>
      <c r="D2399" s="15" t="s">
        <v>11277</v>
      </c>
      <c r="E2399" s="15" t="s">
        <v>73</v>
      </c>
      <c r="F2399" s="15" t="s">
        <v>15853</v>
      </c>
      <c r="G2399" s="15" t="s">
        <v>12631</v>
      </c>
      <c r="H2399" s="15">
        <v>6</v>
      </c>
      <c r="I2399" s="15">
        <v>6</v>
      </c>
      <c r="J2399" s="15">
        <v>1</v>
      </c>
      <c r="K2399" s="15" t="str">
        <f t="shared" si="37"/>
        <v>kuganespectralcurrent</v>
      </c>
      <c r="L2399" s="15" t="s">
        <v>12294</v>
      </c>
      <c r="M2399" s="15">
        <v>1</v>
      </c>
      <c r="N2399" s="15" t="s">
        <v>11222</v>
      </c>
      <c r="O2399" s="15"/>
      <c r="P2399" s="15"/>
      <c r="Q2399" s="15"/>
      <c r="R2399" s="15"/>
      <c r="S2399" s="15"/>
      <c r="T2399" s="15">
        <v>0</v>
      </c>
      <c r="U2399" s="15"/>
      <c r="V2399" s="15"/>
      <c r="W2399" s="15"/>
      <c r="X2399" s="15"/>
      <c r="Y2399" s="15"/>
      <c r="Z2399" s="15"/>
    </row>
    <row r="2400" spans="1:26" x14ac:dyDescent="0.25">
      <c r="A2400" s="15" t="s">
        <v>15855</v>
      </c>
      <c r="B2400" s="15">
        <v>2399</v>
      </c>
      <c r="C2400" s="15" t="s">
        <v>11277</v>
      </c>
      <c r="D2400" s="15" t="s">
        <v>11277</v>
      </c>
      <c r="E2400" s="15" t="s">
        <v>73</v>
      </c>
      <c r="F2400" s="15" t="s">
        <v>15853</v>
      </c>
      <c r="G2400" s="15" t="s">
        <v>12633</v>
      </c>
      <c r="H2400" s="15">
        <v>6</v>
      </c>
      <c r="I2400" s="15">
        <v>6</v>
      </c>
      <c r="J2400" s="15">
        <v>1</v>
      </c>
      <c r="K2400" s="15" t="str">
        <f t="shared" si="37"/>
        <v>kuganespectralcurrent</v>
      </c>
      <c r="L2400" s="15" t="s">
        <v>12296</v>
      </c>
      <c r="M2400" s="15">
        <v>2</v>
      </c>
      <c r="N2400" s="15" t="s">
        <v>11223</v>
      </c>
      <c r="O2400" s="15"/>
      <c r="P2400" s="15"/>
      <c r="Q2400" s="15"/>
      <c r="R2400" s="15"/>
      <c r="S2400" s="15"/>
      <c r="T2400" s="15">
        <v>0</v>
      </c>
      <c r="U2400" s="15"/>
      <c r="V2400" s="15"/>
      <c r="W2400" s="15"/>
      <c r="X2400" s="15"/>
      <c r="Y2400" s="15"/>
      <c r="Z2400" s="15"/>
    </row>
    <row r="2401" spans="1:26" x14ac:dyDescent="0.25">
      <c r="A2401" s="15" t="s">
        <v>15856</v>
      </c>
      <c r="B2401" s="15">
        <v>2400</v>
      </c>
      <c r="C2401" s="15" t="s">
        <v>11277</v>
      </c>
      <c r="D2401" s="15" t="s">
        <v>11277</v>
      </c>
      <c r="E2401" s="15" t="s">
        <v>73</v>
      </c>
      <c r="F2401" s="15" t="s">
        <v>15853</v>
      </c>
      <c r="G2401" s="15" t="s">
        <v>12635</v>
      </c>
      <c r="H2401" s="15">
        <v>6</v>
      </c>
      <c r="I2401" s="15">
        <v>6</v>
      </c>
      <c r="J2401" s="15">
        <v>1</v>
      </c>
      <c r="K2401" s="15" t="str">
        <f t="shared" si="37"/>
        <v>kuganespectralcurrent</v>
      </c>
      <c r="L2401" s="15" t="s">
        <v>12298</v>
      </c>
      <c r="M2401" s="15">
        <v>2</v>
      </c>
      <c r="N2401" s="15" t="s">
        <v>11223</v>
      </c>
      <c r="O2401" s="15"/>
      <c r="P2401" s="15"/>
      <c r="Q2401" s="15"/>
      <c r="R2401" s="15"/>
      <c r="S2401" s="15"/>
      <c r="T2401" s="15">
        <v>0</v>
      </c>
      <c r="U2401" s="15"/>
      <c r="V2401" s="15"/>
      <c r="W2401" s="15"/>
      <c r="X2401" s="15"/>
      <c r="Y2401" s="15"/>
      <c r="Z2401" s="15"/>
    </row>
    <row r="2402" spans="1:26" x14ac:dyDescent="0.25">
      <c r="A2402" s="15" t="s">
        <v>15857</v>
      </c>
      <c r="B2402" s="15">
        <v>2401</v>
      </c>
      <c r="C2402" s="15" t="s">
        <v>11277</v>
      </c>
      <c r="D2402" s="15" t="s">
        <v>11277</v>
      </c>
      <c r="E2402" s="15" t="s">
        <v>73</v>
      </c>
      <c r="F2402" s="15" t="s">
        <v>15853</v>
      </c>
      <c r="G2402" s="15" t="s">
        <v>12637</v>
      </c>
      <c r="H2402" s="15">
        <v>6</v>
      </c>
      <c r="I2402" s="15">
        <v>6</v>
      </c>
      <c r="J2402" s="15">
        <v>1</v>
      </c>
      <c r="K2402" s="15" t="str">
        <f t="shared" si="37"/>
        <v>kuganespectralcurrent</v>
      </c>
      <c r="L2402" s="15" t="s">
        <v>12294</v>
      </c>
      <c r="M2402" s="15">
        <v>1</v>
      </c>
      <c r="N2402" s="15" t="s">
        <v>11222</v>
      </c>
      <c r="O2402" s="15"/>
      <c r="P2402" s="15"/>
      <c r="Q2402" s="15"/>
      <c r="R2402" s="15"/>
      <c r="S2402" s="15"/>
      <c r="T2402" s="15">
        <v>0</v>
      </c>
      <c r="U2402" s="15"/>
      <c r="V2402" s="15"/>
      <c r="W2402" s="15"/>
      <c r="X2402" s="15"/>
      <c r="Y2402" s="15"/>
      <c r="Z2402" s="15"/>
    </row>
    <row r="2403" spans="1:26" x14ac:dyDescent="0.25">
      <c r="A2403" s="15" t="s">
        <v>15858</v>
      </c>
      <c r="B2403" s="15">
        <v>2402</v>
      </c>
      <c r="C2403" s="15" t="s">
        <v>11277</v>
      </c>
      <c r="D2403" s="15" t="s">
        <v>11277</v>
      </c>
      <c r="E2403" s="15" t="s">
        <v>73</v>
      </c>
      <c r="F2403" s="15" t="s">
        <v>15853</v>
      </c>
      <c r="G2403" s="15" t="s">
        <v>12639</v>
      </c>
      <c r="H2403" s="15">
        <v>6</v>
      </c>
      <c r="I2403" s="15">
        <v>6</v>
      </c>
      <c r="J2403" s="15">
        <v>1</v>
      </c>
      <c r="K2403" s="15" t="str">
        <f t="shared" si="37"/>
        <v>kuganespectralcurrent</v>
      </c>
      <c r="L2403" s="15" t="s">
        <v>12296</v>
      </c>
      <c r="M2403" s="15">
        <v>1</v>
      </c>
      <c r="N2403" s="15" t="s">
        <v>11222</v>
      </c>
      <c r="O2403" s="15"/>
      <c r="P2403" s="15"/>
      <c r="Q2403" s="15"/>
      <c r="R2403" s="15"/>
      <c r="S2403" s="15"/>
      <c r="T2403" s="15">
        <v>0</v>
      </c>
      <c r="U2403" s="15"/>
      <c r="V2403" s="15"/>
      <c r="W2403" s="15"/>
      <c r="X2403" s="15"/>
      <c r="Y2403" s="15"/>
      <c r="Z2403" s="15"/>
    </row>
    <row r="2404" spans="1:26" x14ac:dyDescent="0.25">
      <c r="A2404" s="15" t="s">
        <v>15859</v>
      </c>
      <c r="B2404" s="15">
        <v>2403</v>
      </c>
      <c r="C2404" s="15" t="s">
        <v>11277</v>
      </c>
      <c r="D2404" s="15" t="s">
        <v>11277</v>
      </c>
      <c r="E2404" s="15" t="s">
        <v>73</v>
      </c>
      <c r="F2404" s="15" t="s">
        <v>15853</v>
      </c>
      <c r="G2404" s="15" t="s">
        <v>12641</v>
      </c>
      <c r="H2404" s="15">
        <v>6</v>
      </c>
      <c r="I2404" s="15">
        <v>6</v>
      </c>
      <c r="J2404" s="15">
        <v>1</v>
      </c>
      <c r="K2404" s="15" t="str">
        <f t="shared" si="37"/>
        <v>kuganespectralcurrent</v>
      </c>
      <c r="L2404" s="15" t="s">
        <v>12294</v>
      </c>
      <c r="M2404" s="15">
        <v>1</v>
      </c>
      <c r="N2404" s="15" t="s">
        <v>11222</v>
      </c>
      <c r="O2404" s="15"/>
      <c r="P2404" s="15"/>
      <c r="Q2404" s="15"/>
      <c r="R2404" s="15"/>
      <c r="S2404" s="15"/>
      <c r="T2404" s="15">
        <v>0</v>
      </c>
      <c r="U2404" s="15"/>
      <c r="V2404" s="15"/>
      <c r="W2404" s="15"/>
      <c r="X2404" s="15"/>
      <c r="Y2404" s="15"/>
      <c r="Z2404" s="15"/>
    </row>
    <row r="2405" spans="1:26" x14ac:dyDescent="0.25">
      <c r="A2405" s="15" t="s">
        <v>15860</v>
      </c>
      <c r="B2405" s="15">
        <v>2404</v>
      </c>
      <c r="C2405" s="15" t="s">
        <v>11277</v>
      </c>
      <c r="D2405" s="15" t="s">
        <v>11277</v>
      </c>
      <c r="E2405" s="15" t="s">
        <v>73</v>
      </c>
      <c r="F2405" s="15" t="s">
        <v>15853</v>
      </c>
      <c r="G2405" s="15" t="s">
        <v>12643</v>
      </c>
      <c r="H2405" s="15">
        <v>6</v>
      </c>
      <c r="I2405" s="15">
        <v>6</v>
      </c>
      <c r="J2405" s="15">
        <v>1</v>
      </c>
      <c r="K2405" s="15" t="str">
        <f t="shared" si="37"/>
        <v>kuganespectralcurrent</v>
      </c>
      <c r="L2405" s="15" t="s">
        <v>12298</v>
      </c>
      <c r="M2405" s="15">
        <v>3</v>
      </c>
      <c r="N2405" s="15" t="s">
        <v>11223</v>
      </c>
      <c r="O2405" s="15"/>
      <c r="P2405" s="15"/>
      <c r="Q2405" s="15"/>
      <c r="R2405" s="15"/>
      <c r="S2405" s="15"/>
      <c r="T2405" s="15">
        <v>0</v>
      </c>
      <c r="U2405" s="15"/>
      <c r="V2405" s="15"/>
      <c r="W2405" s="15"/>
      <c r="X2405" s="15"/>
      <c r="Y2405" s="15"/>
      <c r="Z2405" s="15"/>
    </row>
    <row r="2406" spans="1:26" x14ac:dyDescent="0.25">
      <c r="A2406" s="15" t="s">
        <v>15861</v>
      </c>
      <c r="B2406" s="15">
        <v>2405</v>
      </c>
      <c r="C2406" s="15" t="s">
        <v>11277</v>
      </c>
      <c r="D2406" s="15" t="s">
        <v>11277</v>
      </c>
      <c r="E2406" s="15" t="s">
        <v>73</v>
      </c>
      <c r="F2406" s="15" t="s">
        <v>15853</v>
      </c>
      <c r="G2406" s="15" t="s">
        <v>12645</v>
      </c>
      <c r="H2406" s="15">
        <v>6</v>
      </c>
      <c r="I2406" s="15">
        <v>6</v>
      </c>
      <c r="J2406" s="15">
        <v>1</v>
      </c>
      <c r="K2406" s="15" t="str">
        <f t="shared" si="37"/>
        <v>kuganespectralcurrent</v>
      </c>
      <c r="L2406" s="15" t="s">
        <v>12296</v>
      </c>
      <c r="M2406" s="15">
        <v>2</v>
      </c>
      <c r="N2406" s="15" t="s">
        <v>11223</v>
      </c>
      <c r="O2406" s="15"/>
      <c r="P2406" s="15"/>
      <c r="Q2406" s="15"/>
      <c r="R2406" s="15"/>
      <c r="S2406" s="15"/>
      <c r="T2406" s="15">
        <v>0</v>
      </c>
      <c r="U2406" s="15"/>
      <c r="V2406" s="15"/>
      <c r="W2406" s="15"/>
      <c r="X2406" s="15"/>
      <c r="Y2406" s="15"/>
      <c r="Z2406" s="15"/>
    </row>
    <row r="2407" spans="1:26" x14ac:dyDescent="0.25">
      <c r="A2407" s="15" t="s">
        <v>15862</v>
      </c>
      <c r="B2407" s="15">
        <v>2406</v>
      </c>
      <c r="C2407" s="15" t="s">
        <v>11277</v>
      </c>
      <c r="D2407" s="15" t="s">
        <v>11277</v>
      </c>
      <c r="E2407" s="15" t="s">
        <v>133</v>
      </c>
      <c r="F2407" s="15" t="s">
        <v>15853</v>
      </c>
      <c r="G2407" s="15" t="s">
        <v>12647</v>
      </c>
      <c r="H2407" s="15">
        <v>6</v>
      </c>
      <c r="I2407" s="15">
        <v>6</v>
      </c>
      <c r="J2407" s="15">
        <v>90</v>
      </c>
      <c r="K2407" s="15" t="str">
        <f t="shared" si="37"/>
        <v>kuganespectralcurrent</v>
      </c>
      <c r="L2407" s="15" t="s">
        <v>12629</v>
      </c>
      <c r="M2407" s="15">
        <v>3</v>
      </c>
      <c r="N2407" s="15" t="s">
        <v>11223</v>
      </c>
      <c r="O2407" s="15"/>
      <c r="P2407" s="15"/>
      <c r="Q2407" s="15" t="s">
        <v>12629</v>
      </c>
      <c r="R2407" s="15"/>
      <c r="S2407" s="15"/>
      <c r="T2407" s="15">
        <v>3</v>
      </c>
      <c r="U2407" s="15"/>
      <c r="V2407" s="15"/>
      <c r="W2407" s="15"/>
      <c r="X2407" s="15"/>
      <c r="Y2407" s="15"/>
      <c r="Z2407" s="15"/>
    </row>
    <row r="2408" spans="1:26" x14ac:dyDescent="0.25">
      <c r="A2408" s="15" t="s">
        <v>15863</v>
      </c>
      <c r="B2408" s="15">
        <v>2407</v>
      </c>
      <c r="C2408" s="15" t="s">
        <v>11277</v>
      </c>
      <c r="D2408" s="15" t="s">
        <v>11277</v>
      </c>
      <c r="E2408" s="15" t="s">
        <v>73</v>
      </c>
      <c r="F2408" s="15" t="s">
        <v>15864</v>
      </c>
      <c r="G2408" s="15" t="s">
        <v>12649</v>
      </c>
      <c r="H2408" s="15">
        <v>6</v>
      </c>
      <c r="I2408" s="15">
        <v>6</v>
      </c>
      <c r="J2408" s="15">
        <v>1</v>
      </c>
      <c r="K2408" s="15" t="str">
        <f t="shared" si="37"/>
        <v>openrubysea</v>
      </c>
      <c r="L2408" s="15" t="s">
        <v>12294</v>
      </c>
      <c r="M2408" s="15">
        <v>1</v>
      </c>
      <c r="N2408" s="15" t="s">
        <v>11222</v>
      </c>
      <c r="O2408" s="15"/>
      <c r="P2408" s="15"/>
      <c r="Q2408" s="15"/>
      <c r="R2408" s="15"/>
      <c r="S2408" s="15"/>
      <c r="T2408" s="15">
        <v>0</v>
      </c>
      <c r="U2408" s="15"/>
      <c r="V2408" s="15"/>
      <c r="W2408" s="15"/>
      <c r="X2408" s="15"/>
      <c r="Y2408" s="15"/>
      <c r="Z2408" s="15"/>
    </row>
    <row r="2409" spans="1:26" x14ac:dyDescent="0.25">
      <c r="A2409" s="15" t="s">
        <v>15865</v>
      </c>
      <c r="B2409" s="15">
        <v>2408</v>
      </c>
      <c r="C2409" s="15" t="s">
        <v>11277</v>
      </c>
      <c r="D2409" s="15" t="s">
        <v>11277</v>
      </c>
      <c r="E2409" s="15" t="s">
        <v>73</v>
      </c>
      <c r="F2409" s="15" t="s">
        <v>15864</v>
      </c>
      <c r="G2409" s="15" t="s">
        <v>12651</v>
      </c>
      <c r="H2409" s="15">
        <v>6</v>
      </c>
      <c r="I2409" s="15">
        <v>6</v>
      </c>
      <c r="J2409" s="15">
        <v>1</v>
      </c>
      <c r="K2409" s="15" t="str">
        <f t="shared" si="37"/>
        <v>openrubysea</v>
      </c>
      <c r="L2409" s="15" t="s">
        <v>12296</v>
      </c>
      <c r="M2409" s="15">
        <v>2</v>
      </c>
      <c r="N2409" s="15" t="s">
        <v>11223</v>
      </c>
      <c r="O2409" s="15"/>
      <c r="P2409" s="15"/>
      <c r="Q2409" s="15"/>
      <c r="R2409" s="15"/>
      <c r="S2409" s="15"/>
      <c r="T2409" s="15">
        <v>0</v>
      </c>
      <c r="U2409" s="15"/>
      <c r="V2409" s="15"/>
      <c r="W2409" s="15"/>
      <c r="X2409" s="15"/>
      <c r="Y2409" s="15"/>
      <c r="Z2409" s="15"/>
    </row>
    <row r="2410" spans="1:26" x14ac:dyDescent="0.25">
      <c r="A2410" s="15" t="s">
        <v>15866</v>
      </c>
      <c r="B2410" s="15">
        <v>2409</v>
      </c>
      <c r="C2410" s="15" t="s">
        <v>11277</v>
      </c>
      <c r="D2410" s="15" t="s">
        <v>11277</v>
      </c>
      <c r="E2410" s="15" t="s">
        <v>73</v>
      </c>
      <c r="F2410" s="15" t="s">
        <v>15864</v>
      </c>
      <c r="G2410" s="15" t="s">
        <v>12653</v>
      </c>
      <c r="H2410" s="15">
        <v>6</v>
      </c>
      <c r="I2410" s="15">
        <v>6</v>
      </c>
      <c r="J2410" s="15">
        <v>1</v>
      </c>
      <c r="K2410" s="15" t="str">
        <f t="shared" si="37"/>
        <v>openrubysea</v>
      </c>
      <c r="L2410" s="15" t="s">
        <v>12294</v>
      </c>
      <c r="M2410" s="15">
        <v>1</v>
      </c>
      <c r="N2410" s="15" t="s">
        <v>11222</v>
      </c>
      <c r="O2410" s="15"/>
      <c r="P2410" s="15"/>
      <c r="Q2410" s="15"/>
      <c r="R2410" s="15"/>
      <c r="S2410" s="15"/>
      <c r="T2410" s="15">
        <v>0</v>
      </c>
      <c r="U2410" s="15"/>
      <c r="V2410" s="15"/>
      <c r="W2410" s="15"/>
      <c r="X2410" s="15"/>
      <c r="Y2410" s="15"/>
      <c r="Z2410" s="15"/>
    </row>
    <row r="2411" spans="1:26" x14ac:dyDescent="0.25">
      <c r="A2411" s="15" t="s">
        <v>15867</v>
      </c>
      <c r="B2411" s="15">
        <v>2410</v>
      </c>
      <c r="C2411" s="15" t="s">
        <v>11277</v>
      </c>
      <c r="D2411" s="15" t="s">
        <v>11277</v>
      </c>
      <c r="E2411" s="15" t="s">
        <v>73</v>
      </c>
      <c r="F2411" s="15" t="s">
        <v>15864</v>
      </c>
      <c r="G2411" s="15" t="s">
        <v>12655</v>
      </c>
      <c r="H2411" s="15">
        <v>6</v>
      </c>
      <c r="I2411" s="15">
        <v>6</v>
      </c>
      <c r="J2411" s="15">
        <v>1</v>
      </c>
      <c r="K2411" s="15" t="str">
        <f t="shared" si="37"/>
        <v>openrubysea</v>
      </c>
      <c r="L2411" s="15" t="s">
        <v>12296</v>
      </c>
      <c r="M2411" s="15">
        <v>2</v>
      </c>
      <c r="N2411" s="15" t="s">
        <v>11223</v>
      </c>
      <c r="O2411" s="15"/>
      <c r="P2411" s="15"/>
      <c r="Q2411" s="15"/>
      <c r="R2411" s="15"/>
      <c r="S2411" s="15"/>
      <c r="T2411" s="15">
        <v>0</v>
      </c>
      <c r="U2411" s="15"/>
      <c r="V2411" s="15"/>
      <c r="W2411" s="15"/>
      <c r="X2411" s="15"/>
      <c r="Y2411" s="15"/>
      <c r="Z2411" s="15"/>
    </row>
    <row r="2412" spans="1:26" x14ac:dyDescent="0.25">
      <c r="A2412" s="15" t="s">
        <v>15868</v>
      </c>
      <c r="B2412" s="15">
        <v>2411</v>
      </c>
      <c r="C2412" s="15" t="s">
        <v>11277</v>
      </c>
      <c r="D2412" s="15" t="s">
        <v>11277</v>
      </c>
      <c r="E2412" s="15" t="s">
        <v>73</v>
      </c>
      <c r="F2412" s="15" t="s">
        <v>15864</v>
      </c>
      <c r="G2412" s="15" t="s">
        <v>12657</v>
      </c>
      <c r="H2412" s="15">
        <v>6</v>
      </c>
      <c r="I2412" s="15">
        <v>6</v>
      </c>
      <c r="J2412" s="15">
        <v>1</v>
      </c>
      <c r="K2412" s="15" t="str">
        <f t="shared" si="37"/>
        <v>openrubysea</v>
      </c>
      <c r="L2412" s="15" t="s">
        <v>12294</v>
      </c>
      <c r="M2412" s="15">
        <v>1</v>
      </c>
      <c r="N2412" s="15" t="s">
        <v>11222</v>
      </c>
      <c r="O2412" s="15"/>
      <c r="P2412" s="15"/>
      <c r="Q2412" s="15"/>
      <c r="R2412" s="15"/>
      <c r="S2412" s="15"/>
      <c r="T2412" s="15">
        <v>0</v>
      </c>
      <c r="U2412" s="15"/>
      <c r="V2412" s="15"/>
      <c r="W2412" s="15"/>
      <c r="X2412" s="15"/>
      <c r="Y2412" s="15"/>
      <c r="Z2412" s="15"/>
    </row>
    <row r="2413" spans="1:26" x14ac:dyDescent="0.25">
      <c r="A2413" s="15" t="s">
        <v>15869</v>
      </c>
      <c r="B2413" s="15">
        <v>2412</v>
      </c>
      <c r="C2413" s="15" t="s">
        <v>11277</v>
      </c>
      <c r="D2413" s="15" t="s">
        <v>11277</v>
      </c>
      <c r="E2413" s="15" t="s">
        <v>73</v>
      </c>
      <c r="F2413" s="15" t="s">
        <v>15864</v>
      </c>
      <c r="G2413" s="15" t="s">
        <v>12659</v>
      </c>
      <c r="H2413" s="15">
        <v>6</v>
      </c>
      <c r="I2413" s="15">
        <v>6</v>
      </c>
      <c r="J2413" s="15">
        <v>1</v>
      </c>
      <c r="K2413" s="15" t="str">
        <f t="shared" si="37"/>
        <v>openrubysea</v>
      </c>
      <c r="L2413" s="15" t="s">
        <v>12294</v>
      </c>
      <c r="M2413" s="15">
        <v>2</v>
      </c>
      <c r="N2413" s="15" t="s">
        <v>11223</v>
      </c>
      <c r="O2413" s="15"/>
      <c r="P2413" s="15"/>
      <c r="Q2413" s="15"/>
      <c r="R2413" s="15"/>
      <c r="S2413" s="15"/>
      <c r="T2413" s="15">
        <v>0</v>
      </c>
      <c r="U2413" s="15"/>
      <c r="V2413" s="15"/>
      <c r="W2413" s="15"/>
      <c r="X2413" s="15"/>
      <c r="Y2413" s="15"/>
      <c r="Z2413" s="15"/>
    </row>
    <row r="2414" spans="1:26" x14ac:dyDescent="0.25">
      <c r="A2414" s="15" t="s">
        <v>15870</v>
      </c>
      <c r="B2414" s="15">
        <v>2413</v>
      </c>
      <c r="C2414" s="15" t="s">
        <v>11277</v>
      </c>
      <c r="D2414" s="15" t="s">
        <v>11277</v>
      </c>
      <c r="E2414" s="15" t="s">
        <v>73</v>
      </c>
      <c r="F2414" s="15" t="s">
        <v>15864</v>
      </c>
      <c r="G2414" s="15" t="s">
        <v>12661</v>
      </c>
      <c r="H2414" s="15">
        <v>6</v>
      </c>
      <c r="I2414" s="15">
        <v>6</v>
      </c>
      <c r="J2414" s="15">
        <v>1</v>
      </c>
      <c r="K2414" s="15" t="str">
        <f t="shared" si="37"/>
        <v>openrubysea</v>
      </c>
      <c r="L2414" s="15" t="s">
        <v>12298</v>
      </c>
      <c r="M2414" s="15">
        <v>1</v>
      </c>
      <c r="N2414" s="15" t="s">
        <v>11222</v>
      </c>
      <c r="O2414" s="15"/>
      <c r="P2414" s="15"/>
      <c r="Q2414" s="15"/>
      <c r="R2414" s="15"/>
      <c r="S2414" s="15"/>
      <c r="T2414" s="15">
        <v>0</v>
      </c>
      <c r="U2414" s="15"/>
      <c r="V2414" s="15"/>
      <c r="W2414" s="15"/>
      <c r="X2414" s="15"/>
      <c r="Y2414" s="15"/>
      <c r="Z2414" s="15"/>
    </row>
    <row r="2415" spans="1:26" x14ac:dyDescent="0.25">
      <c r="A2415" s="15" t="s">
        <v>15871</v>
      </c>
      <c r="B2415" s="15">
        <v>2414</v>
      </c>
      <c r="C2415" s="15" t="s">
        <v>11277</v>
      </c>
      <c r="D2415" s="15" t="s">
        <v>11277</v>
      </c>
      <c r="E2415" s="15" t="s">
        <v>73</v>
      </c>
      <c r="F2415" s="15" t="s">
        <v>15864</v>
      </c>
      <c r="G2415" s="15" t="s">
        <v>12663</v>
      </c>
      <c r="H2415" s="15">
        <v>6</v>
      </c>
      <c r="I2415" s="15">
        <v>6</v>
      </c>
      <c r="J2415" s="15">
        <v>1</v>
      </c>
      <c r="K2415" s="15" t="str">
        <f t="shared" si="37"/>
        <v>openrubysea</v>
      </c>
      <c r="L2415" s="15" t="s">
        <v>12298</v>
      </c>
      <c r="M2415" s="15">
        <v>3</v>
      </c>
      <c r="N2415" s="15" t="s">
        <v>11223</v>
      </c>
      <c r="O2415" s="15"/>
      <c r="P2415" s="15"/>
      <c r="Q2415" s="15"/>
      <c r="R2415" s="15"/>
      <c r="S2415" s="15"/>
      <c r="T2415" s="15">
        <v>0</v>
      </c>
      <c r="U2415" s="15"/>
      <c r="V2415" s="15"/>
      <c r="W2415" s="15"/>
      <c r="X2415" s="15"/>
      <c r="Y2415" s="15"/>
      <c r="Z2415" s="15"/>
    </row>
    <row r="2416" spans="1:26" x14ac:dyDescent="0.25">
      <c r="A2416" s="15" t="s">
        <v>15872</v>
      </c>
      <c r="B2416" s="15">
        <v>2415</v>
      </c>
      <c r="C2416" s="15" t="s">
        <v>11277</v>
      </c>
      <c r="D2416" s="15" t="s">
        <v>11277</v>
      </c>
      <c r="E2416" s="15" t="s">
        <v>73</v>
      </c>
      <c r="F2416" s="15" t="s">
        <v>15864</v>
      </c>
      <c r="G2416" s="15" t="s">
        <v>12665</v>
      </c>
      <c r="H2416" s="15">
        <v>6</v>
      </c>
      <c r="I2416" s="15">
        <v>6</v>
      </c>
      <c r="J2416" s="15">
        <v>1</v>
      </c>
      <c r="K2416" s="15" t="str">
        <f t="shared" si="37"/>
        <v>openrubysea</v>
      </c>
      <c r="L2416" s="15" t="s">
        <v>12296</v>
      </c>
      <c r="M2416" s="15">
        <v>3</v>
      </c>
      <c r="N2416" s="15" t="s">
        <v>11223</v>
      </c>
      <c r="O2416" s="15"/>
      <c r="P2416" s="15"/>
      <c r="Q2416" s="15"/>
      <c r="R2416" s="15"/>
      <c r="S2416" s="15"/>
      <c r="T2416" s="15">
        <v>0</v>
      </c>
      <c r="U2416" s="15"/>
      <c r="V2416" s="15"/>
      <c r="W2416" s="15"/>
      <c r="X2416" s="15"/>
      <c r="Y2416" s="15"/>
      <c r="Z2416" s="15"/>
    </row>
    <row r="2417" spans="1:26" x14ac:dyDescent="0.25">
      <c r="A2417" s="15" t="s">
        <v>15873</v>
      </c>
      <c r="B2417" s="15">
        <v>2416</v>
      </c>
      <c r="C2417" s="15" t="s">
        <v>11277</v>
      </c>
      <c r="D2417" s="15" t="s">
        <v>11277</v>
      </c>
      <c r="E2417" s="15" t="s">
        <v>73</v>
      </c>
      <c r="F2417" s="15" t="s">
        <v>15864</v>
      </c>
      <c r="G2417" s="15" t="s">
        <v>12667</v>
      </c>
      <c r="H2417" s="15">
        <v>6</v>
      </c>
      <c r="I2417" s="15">
        <v>6</v>
      </c>
      <c r="J2417" s="15">
        <v>1</v>
      </c>
      <c r="K2417" s="15" t="str">
        <f t="shared" si="37"/>
        <v>openrubysea</v>
      </c>
      <c r="L2417" s="15" t="s">
        <v>12296</v>
      </c>
      <c r="M2417" s="15">
        <v>3</v>
      </c>
      <c r="N2417" s="15" t="s">
        <v>11223</v>
      </c>
      <c r="O2417" s="15"/>
      <c r="P2417" s="15"/>
      <c r="Q2417" s="15"/>
      <c r="R2417" s="15"/>
      <c r="S2417" s="15"/>
      <c r="T2417" s="15">
        <v>0</v>
      </c>
      <c r="U2417" s="15"/>
      <c r="V2417" s="15"/>
      <c r="W2417" s="15"/>
      <c r="X2417" s="15"/>
      <c r="Y2417" s="15"/>
      <c r="Z2417" s="15"/>
    </row>
    <row r="2418" spans="1:26" x14ac:dyDescent="0.25">
      <c r="A2418" s="15" t="s">
        <v>15874</v>
      </c>
      <c r="B2418" s="15">
        <v>2417</v>
      </c>
      <c r="C2418" s="15" t="s">
        <v>11277</v>
      </c>
      <c r="D2418" s="15" t="s">
        <v>11277</v>
      </c>
      <c r="E2418" s="15" t="s">
        <v>73</v>
      </c>
      <c r="F2418" s="15" t="s">
        <v>15875</v>
      </c>
      <c r="G2418" s="15" t="s">
        <v>12669</v>
      </c>
      <c r="H2418" s="15">
        <v>6</v>
      </c>
      <c r="I2418" s="15">
        <v>6</v>
      </c>
      <c r="J2418" s="15">
        <v>1</v>
      </c>
      <c r="K2418" s="15" t="str">
        <f t="shared" si="37"/>
        <v>rubyspectralcurrent</v>
      </c>
      <c r="L2418" s="15" t="s">
        <v>12296</v>
      </c>
      <c r="M2418" s="15">
        <v>2</v>
      </c>
      <c r="N2418" s="15" t="s">
        <v>11223</v>
      </c>
      <c r="O2418" s="15"/>
      <c r="P2418" s="15"/>
      <c r="Q2418" s="15"/>
      <c r="R2418" s="15"/>
      <c r="S2418" s="15"/>
      <c r="T2418" s="15">
        <v>0</v>
      </c>
      <c r="U2418" s="15"/>
      <c r="V2418" s="15"/>
      <c r="W2418" s="15"/>
      <c r="X2418" s="15"/>
      <c r="Y2418" s="15"/>
      <c r="Z2418" s="15"/>
    </row>
    <row r="2419" spans="1:26" x14ac:dyDescent="0.25">
      <c r="A2419" s="15" t="s">
        <v>15876</v>
      </c>
      <c r="B2419" s="15">
        <v>2418</v>
      </c>
      <c r="C2419" s="15" t="s">
        <v>11277</v>
      </c>
      <c r="D2419" s="15" t="s">
        <v>11277</v>
      </c>
      <c r="E2419" s="15" t="s">
        <v>73</v>
      </c>
      <c r="F2419" s="15" t="s">
        <v>15875</v>
      </c>
      <c r="G2419" s="15" t="s">
        <v>12671</v>
      </c>
      <c r="H2419" s="15">
        <v>6</v>
      </c>
      <c r="I2419" s="15">
        <v>6</v>
      </c>
      <c r="J2419" s="15">
        <v>1</v>
      </c>
      <c r="K2419" s="15" t="str">
        <f t="shared" si="37"/>
        <v>rubyspectralcurrent</v>
      </c>
      <c r="L2419" s="15" t="s">
        <v>12294</v>
      </c>
      <c r="M2419" s="15">
        <v>1</v>
      </c>
      <c r="N2419" s="15" t="s">
        <v>11222</v>
      </c>
      <c r="O2419" s="15"/>
      <c r="P2419" s="15"/>
      <c r="Q2419" s="15"/>
      <c r="R2419" s="15"/>
      <c r="S2419" s="15"/>
      <c r="T2419" s="15">
        <v>0</v>
      </c>
      <c r="U2419" s="15"/>
      <c r="V2419" s="15"/>
      <c r="W2419" s="15"/>
      <c r="X2419" s="15"/>
      <c r="Y2419" s="15"/>
      <c r="Z2419" s="15"/>
    </row>
    <row r="2420" spans="1:26" x14ac:dyDescent="0.25">
      <c r="A2420" s="15" t="s">
        <v>15877</v>
      </c>
      <c r="B2420" s="15">
        <v>2419</v>
      </c>
      <c r="C2420" s="15" t="s">
        <v>11277</v>
      </c>
      <c r="D2420" s="15" t="s">
        <v>11277</v>
      </c>
      <c r="E2420" s="15" t="s">
        <v>73</v>
      </c>
      <c r="F2420" s="15" t="s">
        <v>15875</v>
      </c>
      <c r="G2420" s="15" t="s">
        <v>12673</v>
      </c>
      <c r="H2420" s="15">
        <v>6</v>
      </c>
      <c r="I2420" s="15">
        <v>6</v>
      </c>
      <c r="J2420" s="15">
        <v>1</v>
      </c>
      <c r="K2420" s="15" t="str">
        <f t="shared" si="37"/>
        <v>rubyspectralcurrent</v>
      </c>
      <c r="L2420" s="15" t="s">
        <v>12294</v>
      </c>
      <c r="M2420" s="15">
        <v>1</v>
      </c>
      <c r="N2420" s="15" t="s">
        <v>11222</v>
      </c>
      <c r="O2420" s="15"/>
      <c r="P2420" s="15"/>
      <c r="Q2420" s="15"/>
      <c r="R2420" s="15"/>
      <c r="S2420" s="15"/>
      <c r="T2420" s="15">
        <v>0</v>
      </c>
      <c r="U2420" s="15"/>
      <c r="V2420" s="15"/>
      <c r="W2420" s="15"/>
      <c r="X2420" s="15"/>
      <c r="Y2420" s="15"/>
      <c r="Z2420" s="15"/>
    </row>
    <row r="2421" spans="1:26" x14ac:dyDescent="0.25">
      <c r="A2421" s="15" t="s">
        <v>15878</v>
      </c>
      <c r="B2421" s="15">
        <v>2420</v>
      </c>
      <c r="C2421" s="15" t="s">
        <v>11277</v>
      </c>
      <c r="D2421" s="15" t="s">
        <v>11277</v>
      </c>
      <c r="E2421" s="15" t="s">
        <v>73</v>
      </c>
      <c r="F2421" s="15" t="s">
        <v>15875</v>
      </c>
      <c r="G2421" s="15" t="s">
        <v>12675</v>
      </c>
      <c r="H2421" s="15">
        <v>6</v>
      </c>
      <c r="I2421" s="15">
        <v>6</v>
      </c>
      <c r="J2421" s="15">
        <v>1</v>
      </c>
      <c r="K2421" s="15" t="str">
        <f t="shared" si="37"/>
        <v>rubyspectralcurrent</v>
      </c>
      <c r="L2421" s="15" t="s">
        <v>12294</v>
      </c>
      <c r="M2421" s="15">
        <v>1</v>
      </c>
      <c r="N2421" s="15" t="s">
        <v>11222</v>
      </c>
      <c r="O2421" s="15"/>
      <c r="P2421" s="15"/>
      <c r="Q2421" s="15"/>
      <c r="R2421" s="15"/>
      <c r="S2421" s="15"/>
      <c r="T2421" s="15">
        <v>0</v>
      </c>
      <c r="U2421" s="15"/>
      <c r="V2421" s="15"/>
      <c r="W2421" s="15"/>
      <c r="X2421" s="15"/>
      <c r="Y2421" s="15"/>
      <c r="Z2421" s="15"/>
    </row>
    <row r="2422" spans="1:26" x14ac:dyDescent="0.25">
      <c r="A2422" s="15" t="s">
        <v>15879</v>
      </c>
      <c r="B2422" s="15">
        <v>2421</v>
      </c>
      <c r="C2422" s="15" t="s">
        <v>11277</v>
      </c>
      <c r="D2422" s="15" t="s">
        <v>11277</v>
      </c>
      <c r="E2422" s="15" t="s">
        <v>73</v>
      </c>
      <c r="F2422" s="15" t="s">
        <v>15875</v>
      </c>
      <c r="G2422" s="15" t="s">
        <v>12677</v>
      </c>
      <c r="H2422" s="15">
        <v>6</v>
      </c>
      <c r="I2422" s="15">
        <v>6</v>
      </c>
      <c r="J2422" s="15">
        <v>1</v>
      </c>
      <c r="K2422" s="15" t="str">
        <f t="shared" si="37"/>
        <v>rubyspectralcurrent</v>
      </c>
      <c r="L2422" s="15" t="s">
        <v>12298</v>
      </c>
      <c r="M2422" s="15">
        <v>2</v>
      </c>
      <c r="N2422" s="15" t="s">
        <v>11223</v>
      </c>
      <c r="O2422" s="15"/>
      <c r="P2422" s="15"/>
      <c r="Q2422" s="15"/>
      <c r="R2422" s="15"/>
      <c r="S2422" s="15"/>
      <c r="T2422" s="15">
        <v>0</v>
      </c>
      <c r="U2422" s="15"/>
      <c r="V2422" s="15"/>
      <c r="W2422" s="15"/>
      <c r="X2422" s="15"/>
      <c r="Y2422" s="15"/>
      <c r="Z2422" s="15"/>
    </row>
    <row r="2423" spans="1:26" x14ac:dyDescent="0.25">
      <c r="A2423" s="15" t="s">
        <v>15880</v>
      </c>
      <c r="B2423" s="15">
        <v>2422</v>
      </c>
      <c r="C2423" s="15" t="s">
        <v>11277</v>
      </c>
      <c r="D2423" s="15" t="s">
        <v>11277</v>
      </c>
      <c r="E2423" s="15" t="s">
        <v>73</v>
      </c>
      <c r="F2423" s="15" t="s">
        <v>15875</v>
      </c>
      <c r="G2423" s="15" t="s">
        <v>12679</v>
      </c>
      <c r="H2423" s="15">
        <v>6</v>
      </c>
      <c r="I2423" s="15">
        <v>6</v>
      </c>
      <c r="J2423" s="15">
        <v>1</v>
      </c>
      <c r="K2423" s="15" t="str">
        <f t="shared" si="37"/>
        <v>rubyspectralcurrent</v>
      </c>
      <c r="L2423" s="15" t="s">
        <v>12296</v>
      </c>
      <c r="M2423" s="15">
        <v>2</v>
      </c>
      <c r="N2423" s="15" t="s">
        <v>11223</v>
      </c>
      <c r="O2423" s="15"/>
      <c r="P2423" s="15"/>
      <c r="Q2423" s="15"/>
      <c r="R2423" s="15"/>
      <c r="S2423" s="15"/>
      <c r="T2423" s="15">
        <v>0</v>
      </c>
      <c r="U2423" s="15"/>
      <c r="V2423" s="15"/>
      <c r="W2423" s="15"/>
      <c r="X2423" s="15"/>
      <c r="Y2423" s="15"/>
      <c r="Z2423" s="15"/>
    </row>
    <row r="2424" spans="1:26" x14ac:dyDescent="0.25">
      <c r="A2424" s="15" t="s">
        <v>15881</v>
      </c>
      <c r="B2424" s="15">
        <v>2423</v>
      </c>
      <c r="C2424" s="15" t="s">
        <v>11277</v>
      </c>
      <c r="D2424" s="15" t="s">
        <v>11277</v>
      </c>
      <c r="E2424" s="15" t="s">
        <v>73</v>
      </c>
      <c r="F2424" s="15" t="s">
        <v>15875</v>
      </c>
      <c r="G2424" s="15" t="s">
        <v>12681</v>
      </c>
      <c r="H2424" s="15">
        <v>6</v>
      </c>
      <c r="I2424" s="15">
        <v>6</v>
      </c>
      <c r="J2424" s="15">
        <v>1</v>
      </c>
      <c r="K2424" s="15" t="str">
        <f t="shared" si="37"/>
        <v>rubyspectralcurrent</v>
      </c>
      <c r="L2424" s="15" t="s">
        <v>12294</v>
      </c>
      <c r="M2424" s="15">
        <v>1</v>
      </c>
      <c r="N2424" s="15" t="s">
        <v>11222</v>
      </c>
      <c r="O2424" s="15"/>
      <c r="P2424" s="15"/>
      <c r="Q2424" s="15"/>
      <c r="R2424" s="15"/>
      <c r="S2424" s="15"/>
      <c r="T2424" s="15">
        <v>0</v>
      </c>
      <c r="U2424" s="15"/>
      <c r="V2424" s="15"/>
      <c r="W2424" s="15"/>
      <c r="X2424" s="15"/>
      <c r="Y2424" s="15"/>
      <c r="Z2424" s="15"/>
    </row>
    <row r="2425" spans="1:26" x14ac:dyDescent="0.25">
      <c r="A2425" s="15" t="s">
        <v>15882</v>
      </c>
      <c r="B2425" s="15">
        <v>2424</v>
      </c>
      <c r="C2425" s="15" t="s">
        <v>11277</v>
      </c>
      <c r="D2425" s="15" t="s">
        <v>11277</v>
      </c>
      <c r="E2425" s="15" t="s">
        <v>73</v>
      </c>
      <c r="F2425" s="15" t="s">
        <v>15875</v>
      </c>
      <c r="G2425" s="15" t="s">
        <v>12683</v>
      </c>
      <c r="H2425" s="15">
        <v>6</v>
      </c>
      <c r="I2425" s="15">
        <v>6</v>
      </c>
      <c r="J2425" s="15">
        <v>1</v>
      </c>
      <c r="K2425" s="15" t="str">
        <f t="shared" si="37"/>
        <v>rubyspectralcurrent</v>
      </c>
      <c r="L2425" s="15" t="s">
        <v>12298</v>
      </c>
      <c r="M2425" s="15">
        <v>3</v>
      </c>
      <c r="N2425" s="15" t="s">
        <v>11223</v>
      </c>
      <c r="O2425" s="15"/>
      <c r="P2425" s="15"/>
      <c r="Q2425" s="15"/>
      <c r="R2425" s="15"/>
      <c r="S2425" s="15"/>
      <c r="T2425" s="15">
        <v>0</v>
      </c>
      <c r="U2425" s="15"/>
      <c r="V2425" s="15"/>
      <c r="W2425" s="15"/>
      <c r="X2425" s="15"/>
      <c r="Y2425" s="15"/>
      <c r="Z2425" s="15"/>
    </row>
    <row r="2426" spans="1:26" x14ac:dyDescent="0.25">
      <c r="A2426" s="15" t="s">
        <v>15883</v>
      </c>
      <c r="B2426" s="15">
        <v>2425</v>
      </c>
      <c r="C2426" s="15" t="s">
        <v>11277</v>
      </c>
      <c r="D2426" s="15" t="s">
        <v>11277</v>
      </c>
      <c r="E2426" s="15" t="s">
        <v>73</v>
      </c>
      <c r="F2426" s="15" t="s">
        <v>15875</v>
      </c>
      <c r="G2426" s="15" t="s">
        <v>12685</v>
      </c>
      <c r="H2426" s="15">
        <v>6</v>
      </c>
      <c r="I2426" s="15">
        <v>6</v>
      </c>
      <c r="J2426" s="15">
        <v>1</v>
      </c>
      <c r="K2426" s="15" t="str">
        <f t="shared" si="37"/>
        <v>rubyspectralcurrent</v>
      </c>
      <c r="L2426" s="15" t="s">
        <v>12298</v>
      </c>
      <c r="M2426" s="15">
        <v>2</v>
      </c>
      <c r="N2426" s="15" t="s">
        <v>11223</v>
      </c>
      <c r="O2426" s="15"/>
      <c r="P2426" s="15"/>
      <c r="Q2426" s="15"/>
      <c r="R2426" s="15"/>
      <c r="S2426" s="15"/>
      <c r="T2426" s="15">
        <v>0</v>
      </c>
      <c r="U2426" s="15"/>
      <c r="V2426" s="15"/>
      <c r="W2426" s="15"/>
      <c r="X2426" s="15"/>
      <c r="Y2426" s="15"/>
      <c r="Z2426" s="15"/>
    </row>
    <row r="2427" spans="1:26" x14ac:dyDescent="0.25">
      <c r="A2427" s="15" t="s">
        <v>15884</v>
      </c>
      <c r="B2427" s="15">
        <v>2426</v>
      </c>
      <c r="C2427" s="15" t="s">
        <v>11277</v>
      </c>
      <c r="D2427" s="15" t="s">
        <v>11277</v>
      </c>
      <c r="E2427" s="15" t="s">
        <v>133</v>
      </c>
      <c r="F2427" s="15" t="s">
        <v>15875</v>
      </c>
      <c r="G2427" s="15" t="s">
        <v>12687</v>
      </c>
      <c r="H2427" s="15">
        <v>6</v>
      </c>
      <c r="I2427" s="15">
        <v>6</v>
      </c>
      <c r="J2427" s="15">
        <v>90</v>
      </c>
      <c r="K2427" s="15" t="str">
        <f t="shared" si="37"/>
        <v>rubyspectralcurrent</v>
      </c>
      <c r="L2427" s="15" t="s">
        <v>12487</v>
      </c>
      <c r="M2427" s="15">
        <v>3</v>
      </c>
      <c r="N2427" s="15" t="s">
        <v>11223</v>
      </c>
      <c r="O2427" s="15"/>
      <c r="P2427" s="15"/>
      <c r="Q2427" s="15"/>
      <c r="R2427" s="15"/>
      <c r="S2427" s="15"/>
      <c r="T2427" s="15">
        <v>3</v>
      </c>
      <c r="U2427" s="15"/>
      <c r="V2427" s="15"/>
      <c r="W2427" s="15"/>
      <c r="X2427" s="15"/>
      <c r="Y2427" s="15"/>
      <c r="Z2427" s="15"/>
    </row>
    <row r="2428" spans="1:26" x14ac:dyDescent="0.25">
      <c r="A2428" s="15" t="s">
        <v>15885</v>
      </c>
      <c r="B2428" s="15">
        <v>2427</v>
      </c>
      <c r="C2428" s="15" t="s">
        <v>11277</v>
      </c>
      <c r="D2428" s="15" t="s">
        <v>11277</v>
      </c>
      <c r="E2428" s="15" t="s">
        <v>73</v>
      </c>
      <c r="F2428" s="15" t="s">
        <v>15886</v>
      </c>
      <c r="G2428" s="15" t="s">
        <v>12689</v>
      </c>
      <c r="H2428" s="15">
        <v>6</v>
      </c>
      <c r="I2428" s="15">
        <v>6</v>
      </c>
      <c r="J2428" s="15">
        <v>1</v>
      </c>
      <c r="K2428" s="15" t="str">
        <f t="shared" si="37"/>
        <v>loweroneriver</v>
      </c>
      <c r="L2428" s="15" t="s">
        <v>12294</v>
      </c>
      <c r="M2428" s="15">
        <v>1</v>
      </c>
      <c r="N2428" s="15" t="s">
        <v>11222</v>
      </c>
      <c r="O2428" s="15"/>
      <c r="P2428" s="15"/>
      <c r="Q2428" s="15"/>
      <c r="R2428" s="15"/>
      <c r="S2428" s="15"/>
      <c r="T2428" s="15">
        <v>0</v>
      </c>
      <c r="U2428" s="15"/>
      <c r="V2428" s="15"/>
      <c r="W2428" s="15"/>
      <c r="X2428" s="15"/>
      <c r="Y2428" s="15"/>
      <c r="Z2428" s="15"/>
    </row>
    <row r="2429" spans="1:26" x14ac:dyDescent="0.25">
      <c r="A2429" s="15" t="s">
        <v>15887</v>
      </c>
      <c r="B2429" s="15">
        <v>2428</v>
      </c>
      <c r="C2429" s="15" t="s">
        <v>11277</v>
      </c>
      <c r="D2429" s="15" t="s">
        <v>11277</v>
      </c>
      <c r="E2429" s="15" t="s">
        <v>73</v>
      </c>
      <c r="F2429" s="15" t="s">
        <v>15886</v>
      </c>
      <c r="G2429" s="15" t="s">
        <v>12691</v>
      </c>
      <c r="H2429" s="15">
        <v>6</v>
      </c>
      <c r="I2429" s="15">
        <v>6</v>
      </c>
      <c r="J2429" s="15">
        <v>1</v>
      </c>
      <c r="K2429" s="15" t="str">
        <f t="shared" si="37"/>
        <v>loweroneriver</v>
      </c>
      <c r="L2429" s="15" t="s">
        <v>12296</v>
      </c>
      <c r="M2429" s="15">
        <v>1</v>
      </c>
      <c r="N2429" s="15" t="s">
        <v>11222</v>
      </c>
      <c r="O2429" s="15"/>
      <c r="P2429" s="15"/>
      <c r="Q2429" s="15"/>
      <c r="R2429" s="15"/>
      <c r="S2429" s="15"/>
      <c r="T2429" s="15">
        <v>0</v>
      </c>
      <c r="U2429" s="15"/>
      <c r="V2429" s="15"/>
      <c r="W2429" s="15"/>
      <c r="X2429" s="15"/>
      <c r="Y2429" s="15"/>
      <c r="Z2429" s="15"/>
    </row>
    <row r="2430" spans="1:26" x14ac:dyDescent="0.25">
      <c r="A2430" s="15" t="s">
        <v>15888</v>
      </c>
      <c r="B2430" s="15">
        <v>2429</v>
      </c>
      <c r="C2430" s="15" t="s">
        <v>11277</v>
      </c>
      <c r="D2430" s="15" t="s">
        <v>11277</v>
      </c>
      <c r="E2430" s="15" t="s">
        <v>73</v>
      </c>
      <c r="F2430" s="15" t="s">
        <v>15886</v>
      </c>
      <c r="G2430" s="15" t="s">
        <v>12693</v>
      </c>
      <c r="H2430" s="15">
        <v>6</v>
      </c>
      <c r="I2430" s="15">
        <v>6</v>
      </c>
      <c r="J2430" s="15">
        <v>1</v>
      </c>
      <c r="K2430" s="15" t="str">
        <f t="shared" si="37"/>
        <v>loweroneriver</v>
      </c>
      <c r="L2430" s="15" t="s">
        <v>12296</v>
      </c>
      <c r="M2430" s="15">
        <v>2</v>
      </c>
      <c r="N2430" s="15" t="s">
        <v>11223</v>
      </c>
      <c r="O2430" s="15"/>
      <c r="P2430" s="15"/>
      <c r="Q2430" s="15"/>
      <c r="R2430" s="15"/>
      <c r="S2430" s="15"/>
      <c r="T2430" s="15">
        <v>0</v>
      </c>
      <c r="U2430" s="15"/>
      <c r="V2430" s="15"/>
      <c r="W2430" s="15"/>
      <c r="X2430" s="15"/>
      <c r="Y2430" s="15"/>
      <c r="Z2430" s="15"/>
    </row>
    <row r="2431" spans="1:26" x14ac:dyDescent="0.25">
      <c r="A2431" s="15" t="s">
        <v>15889</v>
      </c>
      <c r="B2431" s="15">
        <v>2430</v>
      </c>
      <c r="C2431" s="15" t="s">
        <v>11277</v>
      </c>
      <c r="D2431" s="15" t="s">
        <v>11277</v>
      </c>
      <c r="E2431" s="15" t="s">
        <v>73</v>
      </c>
      <c r="F2431" s="15" t="s">
        <v>15886</v>
      </c>
      <c r="G2431" s="15" t="s">
        <v>12695</v>
      </c>
      <c r="H2431" s="15">
        <v>6</v>
      </c>
      <c r="I2431" s="15">
        <v>6</v>
      </c>
      <c r="J2431" s="15">
        <v>1</v>
      </c>
      <c r="K2431" s="15" t="str">
        <f t="shared" si="37"/>
        <v>loweroneriver</v>
      </c>
      <c r="L2431" s="15" t="s">
        <v>12294</v>
      </c>
      <c r="M2431" s="15">
        <v>1</v>
      </c>
      <c r="N2431" s="15" t="s">
        <v>11222</v>
      </c>
      <c r="O2431" s="15"/>
      <c r="P2431" s="15"/>
      <c r="Q2431" s="15"/>
      <c r="R2431" s="15"/>
      <c r="S2431" s="15"/>
      <c r="T2431" s="15">
        <v>0</v>
      </c>
      <c r="U2431" s="15"/>
      <c r="V2431" s="15"/>
      <c r="W2431" s="15"/>
      <c r="X2431" s="15"/>
      <c r="Y2431" s="15"/>
      <c r="Z2431" s="15"/>
    </row>
    <row r="2432" spans="1:26" x14ac:dyDescent="0.25">
      <c r="A2432" s="15" t="s">
        <v>15890</v>
      </c>
      <c r="B2432" s="15">
        <v>2431</v>
      </c>
      <c r="C2432" s="15" t="s">
        <v>11277</v>
      </c>
      <c r="D2432" s="15" t="s">
        <v>11277</v>
      </c>
      <c r="E2432" s="15" t="s">
        <v>73</v>
      </c>
      <c r="F2432" s="15" t="s">
        <v>15886</v>
      </c>
      <c r="G2432" s="15" t="s">
        <v>12697</v>
      </c>
      <c r="H2432" s="15">
        <v>6</v>
      </c>
      <c r="I2432" s="15">
        <v>6</v>
      </c>
      <c r="J2432" s="15">
        <v>1</v>
      </c>
      <c r="K2432" s="15" t="str">
        <f t="shared" si="37"/>
        <v>loweroneriver</v>
      </c>
      <c r="L2432" s="15" t="s">
        <v>12298</v>
      </c>
      <c r="M2432" s="15">
        <v>2</v>
      </c>
      <c r="N2432" s="15" t="s">
        <v>11223</v>
      </c>
      <c r="O2432" s="15"/>
      <c r="P2432" s="15"/>
      <c r="Q2432" s="15"/>
      <c r="R2432" s="15"/>
      <c r="S2432" s="15"/>
      <c r="T2432" s="15">
        <v>0</v>
      </c>
      <c r="U2432" s="15"/>
      <c r="V2432" s="15"/>
      <c r="W2432" s="15"/>
      <c r="X2432" s="15"/>
      <c r="Y2432" s="15"/>
      <c r="Z2432" s="15"/>
    </row>
    <row r="2433" spans="1:26" x14ac:dyDescent="0.25">
      <c r="A2433" s="15" t="s">
        <v>15891</v>
      </c>
      <c r="B2433" s="15">
        <v>2432</v>
      </c>
      <c r="C2433" s="15" t="s">
        <v>11277</v>
      </c>
      <c r="D2433" s="15" t="s">
        <v>11277</v>
      </c>
      <c r="E2433" s="15" t="s">
        <v>73</v>
      </c>
      <c r="F2433" s="15" t="s">
        <v>15886</v>
      </c>
      <c r="G2433" s="15" t="s">
        <v>12699</v>
      </c>
      <c r="H2433" s="15">
        <v>6</v>
      </c>
      <c r="I2433" s="15">
        <v>6</v>
      </c>
      <c r="J2433" s="15">
        <v>1</v>
      </c>
      <c r="K2433" s="15" t="str">
        <f t="shared" si="37"/>
        <v>loweroneriver</v>
      </c>
      <c r="L2433" s="15" t="s">
        <v>12294</v>
      </c>
      <c r="M2433" s="15">
        <v>1</v>
      </c>
      <c r="N2433" s="15" t="s">
        <v>11222</v>
      </c>
      <c r="O2433" s="15"/>
      <c r="P2433" s="15"/>
      <c r="Q2433" s="15"/>
      <c r="R2433" s="15"/>
      <c r="S2433" s="15"/>
      <c r="T2433" s="15">
        <v>0</v>
      </c>
      <c r="U2433" s="15"/>
      <c r="V2433" s="15"/>
      <c r="W2433" s="15"/>
      <c r="X2433" s="15"/>
      <c r="Y2433" s="15"/>
      <c r="Z2433" s="15"/>
    </row>
    <row r="2434" spans="1:26" x14ac:dyDescent="0.25">
      <c r="A2434" s="15" t="s">
        <v>15892</v>
      </c>
      <c r="B2434" s="15">
        <v>2433</v>
      </c>
      <c r="C2434" s="15" t="s">
        <v>11277</v>
      </c>
      <c r="D2434" s="15" t="s">
        <v>11277</v>
      </c>
      <c r="E2434" s="15" t="s">
        <v>73</v>
      </c>
      <c r="F2434" s="15" t="s">
        <v>15886</v>
      </c>
      <c r="G2434" s="15" t="s">
        <v>12701</v>
      </c>
      <c r="H2434" s="15">
        <v>6</v>
      </c>
      <c r="I2434" s="15">
        <v>6</v>
      </c>
      <c r="J2434" s="15">
        <v>1</v>
      </c>
      <c r="K2434" s="15" t="str">
        <f t="shared" ref="K2434:K2497" si="38">LOWER(SUBSTITUTE(SUBSTITUTE(SUBSTITUTE(SUBSTITUTE(SUBSTITUTE(F2434," ",""),"(",""),")",""),"'",""),"-",""))</f>
        <v>loweroneriver</v>
      </c>
      <c r="L2434" s="15" t="s">
        <v>12296</v>
      </c>
      <c r="M2434" s="15">
        <v>2</v>
      </c>
      <c r="N2434" s="15" t="s">
        <v>11223</v>
      </c>
      <c r="O2434" s="15"/>
      <c r="P2434" s="15"/>
      <c r="Q2434" s="15"/>
      <c r="R2434" s="15"/>
      <c r="S2434" s="15"/>
      <c r="T2434" s="15">
        <v>0</v>
      </c>
      <c r="U2434" s="15"/>
      <c r="V2434" s="15"/>
      <c r="W2434" s="15"/>
      <c r="X2434" s="15"/>
      <c r="Y2434" s="15"/>
      <c r="Z2434" s="15"/>
    </row>
    <row r="2435" spans="1:26" x14ac:dyDescent="0.25">
      <c r="A2435" s="15" t="s">
        <v>15893</v>
      </c>
      <c r="B2435" s="15">
        <v>2434</v>
      </c>
      <c r="C2435" s="15" t="s">
        <v>11277</v>
      </c>
      <c r="D2435" s="15" t="s">
        <v>11277</v>
      </c>
      <c r="E2435" s="15" t="s">
        <v>73</v>
      </c>
      <c r="F2435" s="15" t="s">
        <v>15886</v>
      </c>
      <c r="G2435" s="15" t="s">
        <v>12703</v>
      </c>
      <c r="H2435" s="15">
        <v>6</v>
      </c>
      <c r="I2435" s="15">
        <v>6</v>
      </c>
      <c r="J2435" s="15">
        <v>1</v>
      </c>
      <c r="K2435" s="15" t="str">
        <f t="shared" si="38"/>
        <v>loweroneriver</v>
      </c>
      <c r="L2435" s="15" t="s">
        <v>12298</v>
      </c>
      <c r="M2435" s="15">
        <v>3</v>
      </c>
      <c r="N2435" s="15" t="s">
        <v>11223</v>
      </c>
      <c r="O2435" s="15"/>
      <c r="P2435" s="15"/>
      <c r="Q2435" s="15"/>
      <c r="R2435" s="15"/>
      <c r="S2435" s="15"/>
      <c r="T2435" s="15">
        <v>0</v>
      </c>
      <c r="U2435" s="15"/>
      <c r="V2435" s="15"/>
      <c r="W2435" s="15"/>
      <c r="X2435" s="15"/>
      <c r="Y2435" s="15"/>
      <c r="Z2435" s="15"/>
    </row>
    <row r="2436" spans="1:26" x14ac:dyDescent="0.25">
      <c r="A2436" s="15" t="s">
        <v>15894</v>
      </c>
      <c r="B2436" s="15">
        <v>2435</v>
      </c>
      <c r="C2436" s="15" t="s">
        <v>11277</v>
      </c>
      <c r="D2436" s="15" t="s">
        <v>11277</v>
      </c>
      <c r="E2436" s="15" t="s">
        <v>73</v>
      </c>
      <c r="F2436" s="15" t="s">
        <v>15886</v>
      </c>
      <c r="G2436" s="15" t="s">
        <v>12705</v>
      </c>
      <c r="H2436" s="15">
        <v>6</v>
      </c>
      <c r="I2436" s="15">
        <v>6</v>
      </c>
      <c r="J2436" s="15">
        <v>1</v>
      </c>
      <c r="K2436" s="15" t="str">
        <f t="shared" si="38"/>
        <v>loweroneriver</v>
      </c>
      <c r="L2436" s="15" t="s">
        <v>12296</v>
      </c>
      <c r="M2436" s="15">
        <v>3</v>
      </c>
      <c r="N2436" s="15" t="s">
        <v>11223</v>
      </c>
      <c r="O2436" s="15"/>
      <c r="P2436" s="15"/>
      <c r="Q2436" s="15"/>
      <c r="R2436" s="15"/>
      <c r="S2436" s="15"/>
      <c r="T2436" s="15">
        <v>0</v>
      </c>
      <c r="U2436" s="15"/>
      <c r="V2436" s="15"/>
      <c r="W2436" s="15"/>
      <c r="X2436" s="15"/>
      <c r="Y2436" s="15"/>
      <c r="Z2436" s="15"/>
    </row>
    <row r="2437" spans="1:26" x14ac:dyDescent="0.25">
      <c r="A2437" s="15" t="s">
        <v>15895</v>
      </c>
      <c r="B2437" s="15">
        <v>2436</v>
      </c>
      <c r="C2437" s="15" t="s">
        <v>11277</v>
      </c>
      <c r="D2437" s="15" t="s">
        <v>11277</v>
      </c>
      <c r="E2437" s="15" t="s">
        <v>73</v>
      </c>
      <c r="F2437" s="15" t="s">
        <v>15886</v>
      </c>
      <c r="G2437" s="15" t="s">
        <v>12707</v>
      </c>
      <c r="H2437" s="15">
        <v>6</v>
      </c>
      <c r="I2437" s="15">
        <v>6</v>
      </c>
      <c r="J2437" s="15">
        <v>1</v>
      </c>
      <c r="K2437" s="15" t="str">
        <f t="shared" si="38"/>
        <v>loweroneriver</v>
      </c>
      <c r="L2437" s="15" t="s">
        <v>12298</v>
      </c>
      <c r="M2437" s="15">
        <v>3</v>
      </c>
      <c r="N2437" s="15" t="s">
        <v>11223</v>
      </c>
      <c r="O2437" s="15"/>
      <c r="P2437" s="15"/>
      <c r="Q2437" s="15"/>
      <c r="R2437" s="15"/>
      <c r="S2437" s="15"/>
      <c r="T2437" s="15">
        <v>0</v>
      </c>
      <c r="U2437" s="15"/>
      <c r="V2437" s="15"/>
      <c r="W2437" s="15"/>
      <c r="X2437" s="15"/>
      <c r="Y2437" s="15"/>
      <c r="Z2437" s="15"/>
    </row>
    <row r="2438" spans="1:26" x14ac:dyDescent="0.25">
      <c r="A2438" s="15" t="s">
        <v>15896</v>
      </c>
      <c r="B2438" s="15">
        <v>2437</v>
      </c>
      <c r="C2438" s="15" t="s">
        <v>11277</v>
      </c>
      <c r="D2438" s="15" t="s">
        <v>11277</v>
      </c>
      <c r="E2438" s="15" t="s">
        <v>73</v>
      </c>
      <c r="F2438" s="15" t="s">
        <v>15897</v>
      </c>
      <c r="G2438" s="15" t="s">
        <v>12709</v>
      </c>
      <c r="H2438" s="15">
        <v>6</v>
      </c>
      <c r="I2438" s="15">
        <v>6</v>
      </c>
      <c r="J2438" s="15">
        <v>1</v>
      </c>
      <c r="K2438" s="15" t="str">
        <f t="shared" si="38"/>
        <v>oneriverspectralcurrent</v>
      </c>
      <c r="L2438" s="15" t="s">
        <v>12294</v>
      </c>
      <c r="M2438" s="15">
        <v>1</v>
      </c>
      <c r="N2438" s="15" t="s">
        <v>11222</v>
      </c>
      <c r="O2438" s="15"/>
      <c r="P2438" s="15"/>
      <c r="Q2438" s="15"/>
      <c r="R2438" s="15"/>
      <c r="S2438" s="15"/>
      <c r="T2438" s="15">
        <v>0</v>
      </c>
      <c r="U2438" s="15"/>
      <c r="V2438" s="15"/>
      <c r="W2438" s="15"/>
      <c r="X2438" s="15"/>
      <c r="Y2438" s="15"/>
      <c r="Z2438" s="15"/>
    </row>
    <row r="2439" spans="1:26" x14ac:dyDescent="0.25">
      <c r="A2439" s="15" t="s">
        <v>15898</v>
      </c>
      <c r="B2439" s="15">
        <v>2438</v>
      </c>
      <c r="C2439" s="15" t="s">
        <v>11277</v>
      </c>
      <c r="D2439" s="15" t="s">
        <v>11277</v>
      </c>
      <c r="E2439" s="15" t="s">
        <v>73</v>
      </c>
      <c r="F2439" s="15" t="s">
        <v>15897</v>
      </c>
      <c r="G2439" s="15" t="s">
        <v>12711</v>
      </c>
      <c r="H2439" s="15">
        <v>6</v>
      </c>
      <c r="I2439" s="15">
        <v>6</v>
      </c>
      <c r="J2439" s="15">
        <v>1</v>
      </c>
      <c r="K2439" s="15" t="str">
        <f t="shared" si="38"/>
        <v>oneriverspectralcurrent</v>
      </c>
      <c r="L2439" s="15" t="s">
        <v>12298</v>
      </c>
      <c r="M2439" s="15">
        <v>2</v>
      </c>
      <c r="N2439" s="15" t="s">
        <v>11223</v>
      </c>
      <c r="O2439" s="15"/>
      <c r="P2439" s="15"/>
      <c r="Q2439" s="15"/>
      <c r="R2439" s="15"/>
      <c r="S2439" s="15"/>
      <c r="T2439" s="15">
        <v>0</v>
      </c>
      <c r="U2439" s="15"/>
      <c r="V2439" s="15"/>
      <c r="W2439" s="15"/>
      <c r="X2439" s="15"/>
      <c r="Y2439" s="15"/>
      <c r="Z2439" s="15"/>
    </row>
    <row r="2440" spans="1:26" x14ac:dyDescent="0.25">
      <c r="A2440" s="15" t="s">
        <v>15899</v>
      </c>
      <c r="B2440" s="15">
        <v>2439</v>
      </c>
      <c r="C2440" s="15" t="s">
        <v>11277</v>
      </c>
      <c r="D2440" s="15" t="s">
        <v>11277</v>
      </c>
      <c r="E2440" s="15" t="s">
        <v>73</v>
      </c>
      <c r="F2440" s="15" t="s">
        <v>15897</v>
      </c>
      <c r="G2440" s="15" t="s">
        <v>12713</v>
      </c>
      <c r="H2440" s="15">
        <v>6</v>
      </c>
      <c r="I2440" s="15">
        <v>6</v>
      </c>
      <c r="J2440" s="15">
        <v>1</v>
      </c>
      <c r="K2440" s="15" t="str">
        <f t="shared" si="38"/>
        <v>oneriverspectralcurrent</v>
      </c>
      <c r="L2440" s="15" t="s">
        <v>12298</v>
      </c>
      <c r="M2440" s="15">
        <v>2</v>
      </c>
      <c r="N2440" s="15" t="s">
        <v>11223</v>
      </c>
      <c r="O2440" s="15"/>
      <c r="P2440" s="15"/>
      <c r="Q2440" s="15"/>
      <c r="R2440" s="15"/>
      <c r="S2440" s="15"/>
      <c r="T2440" s="15">
        <v>0</v>
      </c>
      <c r="U2440" s="15"/>
      <c r="V2440" s="15"/>
      <c r="W2440" s="15"/>
      <c r="X2440" s="15"/>
      <c r="Y2440" s="15"/>
      <c r="Z2440" s="15"/>
    </row>
    <row r="2441" spans="1:26" x14ac:dyDescent="0.25">
      <c r="A2441" s="15" t="s">
        <v>15900</v>
      </c>
      <c r="B2441" s="15">
        <v>2440</v>
      </c>
      <c r="C2441" s="15" t="s">
        <v>11277</v>
      </c>
      <c r="D2441" s="15" t="s">
        <v>11277</v>
      </c>
      <c r="E2441" s="15" t="s">
        <v>73</v>
      </c>
      <c r="F2441" s="15" t="s">
        <v>15897</v>
      </c>
      <c r="G2441" s="15" t="s">
        <v>12715</v>
      </c>
      <c r="H2441" s="15">
        <v>6</v>
      </c>
      <c r="I2441" s="15">
        <v>6</v>
      </c>
      <c r="J2441" s="15">
        <v>1</v>
      </c>
      <c r="K2441" s="15" t="str">
        <f t="shared" si="38"/>
        <v>oneriverspectralcurrent</v>
      </c>
      <c r="L2441" s="15" t="s">
        <v>12294</v>
      </c>
      <c r="M2441" s="15">
        <v>1</v>
      </c>
      <c r="N2441" s="15" t="s">
        <v>11222</v>
      </c>
      <c r="O2441" s="15"/>
      <c r="P2441" s="15"/>
      <c r="Q2441" s="15"/>
      <c r="R2441" s="15"/>
      <c r="S2441" s="15"/>
      <c r="T2441" s="15">
        <v>0</v>
      </c>
      <c r="U2441" s="15"/>
      <c r="V2441" s="15"/>
      <c r="W2441" s="15"/>
      <c r="X2441" s="15"/>
      <c r="Y2441" s="15"/>
      <c r="Z2441" s="15"/>
    </row>
    <row r="2442" spans="1:26" x14ac:dyDescent="0.25">
      <c r="A2442" s="15" t="s">
        <v>15901</v>
      </c>
      <c r="B2442" s="15">
        <v>2441</v>
      </c>
      <c r="C2442" s="15" t="s">
        <v>11277</v>
      </c>
      <c r="D2442" s="15" t="s">
        <v>11277</v>
      </c>
      <c r="E2442" s="15" t="s">
        <v>73</v>
      </c>
      <c r="F2442" s="15" t="s">
        <v>15897</v>
      </c>
      <c r="G2442" s="15" t="s">
        <v>12717</v>
      </c>
      <c r="H2442" s="15">
        <v>6</v>
      </c>
      <c r="I2442" s="15">
        <v>6</v>
      </c>
      <c r="J2442" s="15">
        <v>1</v>
      </c>
      <c r="K2442" s="15" t="str">
        <f t="shared" si="38"/>
        <v>oneriverspectralcurrent</v>
      </c>
      <c r="L2442" s="15" t="s">
        <v>12294</v>
      </c>
      <c r="M2442" s="15">
        <v>1</v>
      </c>
      <c r="N2442" s="15" t="s">
        <v>11222</v>
      </c>
      <c r="O2442" s="15"/>
      <c r="P2442" s="15"/>
      <c r="Q2442" s="15"/>
      <c r="R2442" s="15"/>
      <c r="S2442" s="15"/>
      <c r="T2442" s="15">
        <v>0</v>
      </c>
      <c r="U2442" s="15"/>
      <c r="V2442" s="15"/>
      <c r="W2442" s="15"/>
      <c r="X2442" s="15"/>
      <c r="Y2442" s="15"/>
      <c r="Z2442" s="15"/>
    </row>
    <row r="2443" spans="1:26" x14ac:dyDescent="0.25">
      <c r="A2443" s="15" t="s">
        <v>15902</v>
      </c>
      <c r="B2443" s="15">
        <v>2442</v>
      </c>
      <c r="C2443" s="15" t="s">
        <v>11277</v>
      </c>
      <c r="D2443" s="15" t="s">
        <v>11277</v>
      </c>
      <c r="E2443" s="15" t="s">
        <v>73</v>
      </c>
      <c r="F2443" s="15" t="s">
        <v>15897</v>
      </c>
      <c r="G2443" s="15" t="s">
        <v>12719</v>
      </c>
      <c r="H2443" s="15">
        <v>6</v>
      </c>
      <c r="I2443" s="15">
        <v>6</v>
      </c>
      <c r="J2443" s="15">
        <v>1</v>
      </c>
      <c r="K2443" s="15" t="str">
        <f t="shared" si="38"/>
        <v>oneriverspectralcurrent</v>
      </c>
      <c r="L2443" s="15" t="s">
        <v>12296</v>
      </c>
      <c r="M2443" s="15">
        <v>1</v>
      </c>
      <c r="N2443" s="15" t="s">
        <v>11222</v>
      </c>
      <c r="O2443" s="15"/>
      <c r="P2443" s="15"/>
      <c r="Q2443" s="15"/>
      <c r="R2443" s="15"/>
      <c r="S2443" s="15"/>
      <c r="T2443" s="15">
        <v>0</v>
      </c>
      <c r="U2443" s="15"/>
      <c r="V2443" s="15"/>
      <c r="W2443" s="15"/>
      <c r="X2443" s="15"/>
      <c r="Y2443" s="15"/>
      <c r="Z2443" s="15"/>
    </row>
    <row r="2444" spans="1:26" x14ac:dyDescent="0.25">
      <c r="A2444" s="15" t="s">
        <v>15903</v>
      </c>
      <c r="B2444" s="15">
        <v>2443</v>
      </c>
      <c r="C2444" s="15" t="s">
        <v>11277</v>
      </c>
      <c r="D2444" s="15" t="s">
        <v>11277</v>
      </c>
      <c r="E2444" s="15" t="s">
        <v>73</v>
      </c>
      <c r="F2444" s="15" t="s">
        <v>15897</v>
      </c>
      <c r="G2444" s="15" t="s">
        <v>12721</v>
      </c>
      <c r="H2444" s="15">
        <v>6</v>
      </c>
      <c r="I2444" s="15">
        <v>6</v>
      </c>
      <c r="J2444" s="15">
        <v>1</v>
      </c>
      <c r="K2444" s="15" t="str">
        <f t="shared" si="38"/>
        <v>oneriverspectralcurrent</v>
      </c>
      <c r="L2444" s="15" t="s">
        <v>12296</v>
      </c>
      <c r="M2444" s="15">
        <v>2</v>
      </c>
      <c r="N2444" s="15" t="s">
        <v>11223</v>
      </c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 spans="1:26" x14ac:dyDescent="0.25">
      <c r="A2445" s="15" t="s">
        <v>15904</v>
      </c>
      <c r="B2445" s="15">
        <v>2444</v>
      </c>
      <c r="C2445" s="15" t="s">
        <v>11277</v>
      </c>
      <c r="D2445" s="15" t="s">
        <v>11277</v>
      </c>
      <c r="E2445" s="15" t="s">
        <v>73</v>
      </c>
      <c r="F2445" s="15" t="s">
        <v>15897</v>
      </c>
      <c r="G2445" s="15" t="s">
        <v>12723</v>
      </c>
      <c r="H2445" s="15">
        <v>6</v>
      </c>
      <c r="I2445" s="15">
        <v>6</v>
      </c>
      <c r="J2445" s="15">
        <v>1</v>
      </c>
      <c r="K2445" s="15" t="str">
        <f t="shared" si="38"/>
        <v>oneriverspectralcurrent</v>
      </c>
      <c r="L2445" s="15" t="s">
        <v>12298</v>
      </c>
      <c r="M2445" s="15">
        <v>3</v>
      </c>
      <c r="N2445" s="15" t="s">
        <v>11223</v>
      </c>
      <c r="O2445" s="15"/>
      <c r="P2445" s="15"/>
      <c r="Q2445" s="15"/>
      <c r="R2445" s="15"/>
      <c r="S2445" s="15"/>
      <c r="T2445" s="15">
        <v>0</v>
      </c>
      <c r="U2445" s="15"/>
      <c r="V2445" s="15"/>
      <c r="W2445" s="15"/>
      <c r="X2445" s="15"/>
      <c r="Y2445" s="15"/>
      <c r="Z2445" s="15"/>
    </row>
    <row r="2446" spans="1:26" x14ac:dyDescent="0.25">
      <c r="A2446" s="15" t="s">
        <v>15905</v>
      </c>
      <c r="B2446" s="15">
        <v>2445</v>
      </c>
      <c r="C2446" s="15" t="s">
        <v>11277</v>
      </c>
      <c r="D2446" s="15" t="s">
        <v>11277</v>
      </c>
      <c r="E2446" s="15" t="s">
        <v>73</v>
      </c>
      <c r="F2446" s="15" t="s">
        <v>15897</v>
      </c>
      <c r="G2446" s="15" t="s">
        <v>12725</v>
      </c>
      <c r="H2446" s="15">
        <v>6</v>
      </c>
      <c r="I2446" s="15">
        <v>6</v>
      </c>
      <c r="J2446" s="15">
        <v>1</v>
      </c>
      <c r="K2446" s="15" t="str">
        <f t="shared" si="38"/>
        <v>oneriverspectralcurrent</v>
      </c>
      <c r="L2446" s="15" t="s">
        <v>12296</v>
      </c>
      <c r="M2446" s="15">
        <v>2</v>
      </c>
      <c r="N2446" s="15" t="s">
        <v>11223</v>
      </c>
      <c r="O2446" s="15"/>
      <c r="P2446" s="15"/>
      <c r="Q2446" s="15"/>
      <c r="R2446" s="15"/>
      <c r="S2446" s="15"/>
      <c r="T2446" s="15">
        <v>0</v>
      </c>
      <c r="U2446" s="15"/>
      <c r="V2446" s="15"/>
      <c r="W2446" s="15"/>
      <c r="X2446" s="15"/>
      <c r="Y2446" s="15"/>
      <c r="Z2446" s="15"/>
    </row>
    <row r="2447" spans="1:26" x14ac:dyDescent="0.25">
      <c r="A2447" s="15" t="s">
        <v>15906</v>
      </c>
      <c r="B2447" s="15">
        <v>2446</v>
      </c>
      <c r="C2447" s="15" t="s">
        <v>11277</v>
      </c>
      <c r="D2447" s="15" t="s">
        <v>11277</v>
      </c>
      <c r="E2447" s="15" t="s">
        <v>133</v>
      </c>
      <c r="F2447" s="15" t="s">
        <v>15897</v>
      </c>
      <c r="G2447" s="15" t="s">
        <v>12727</v>
      </c>
      <c r="H2447" s="15">
        <v>6</v>
      </c>
      <c r="I2447" s="15">
        <v>6</v>
      </c>
      <c r="J2447" s="15">
        <v>90</v>
      </c>
      <c r="K2447" s="15" t="str">
        <f t="shared" si="38"/>
        <v>oneriverspectralcurrent</v>
      </c>
      <c r="L2447" s="15" t="s">
        <v>11573</v>
      </c>
      <c r="M2447" s="15">
        <v>3</v>
      </c>
      <c r="N2447" s="15" t="s">
        <v>11223</v>
      </c>
      <c r="O2447" s="15"/>
      <c r="P2447" s="15"/>
      <c r="Q2447" s="15"/>
      <c r="R2447" s="15"/>
      <c r="S2447" s="15"/>
      <c r="T2447" s="15">
        <v>3</v>
      </c>
      <c r="U2447" s="15"/>
      <c r="V2447" s="15"/>
      <c r="W2447" s="15"/>
      <c r="X2447" s="15"/>
      <c r="Y2447" s="15"/>
      <c r="Z2447" s="15"/>
    </row>
    <row r="2448" spans="1:26" x14ac:dyDescent="0.25">
      <c r="A2448" s="15" t="s">
        <v>15907</v>
      </c>
      <c r="B2448" s="15">
        <v>2447</v>
      </c>
      <c r="C2448" s="15" t="s">
        <v>11277</v>
      </c>
      <c r="D2448" s="15" t="s">
        <v>11277</v>
      </c>
      <c r="E2448" s="15" t="s">
        <v>73</v>
      </c>
      <c r="F2448" s="15" t="s">
        <v>15908</v>
      </c>
      <c r="G2448" s="15" t="s">
        <v>12729</v>
      </c>
      <c r="H2448" s="15">
        <v>6</v>
      </c>
      <c r="I2448" s="15">
        <v>6</v>
      </c>
      <c r="J2448" s="15">
        <v>1</v>
      </c>
      <c r="K2448" s="15" t="str">
        <f t="shared" si="38"/>
        <v>unnamedmargin</v>
      </c>
      <c r="L2448" s="15" t="s">
        <v>12294</v>
      </c>
      <c r="M2448" s="15">
        <v>1</v>
      </c>
      <c r="N2448" s="15" t="s">
        <v>11222</v>
      </c>
      <c r="O2448" s="15"/>
      <c r="P2448" s="15"/>
      <c r="Q2448" s="15"/>
      <c r="R2448" s="15"/>
      <c r="S2448" s="15"/>
      <c r="T2448" s="15">
        <v>0</v>
      </c>
      <c r="U2448" s="15"/>
      <c r="V2448" s="15"/>
      <c r="W2448" s="15"/>
      <c r="X2448" s="15"/>
      <c r="Y2448" s="15"/>
      <c r="Z2448" s="15"/>
    </row>
    <row r="2449" spans="1:26" x14ac:dyDescent="0.25">
      <c r="A2449" s="15" t="s">
        <v>15909</v>
      </c>
      <c r="B2449" s="15">
        <v>2448</v>
      </c>
      <c r="C2449" s="15" t="s">
        <v>11277</v>
      </c>
      <c r="D2449" s="15" t="s">
        <v>11277</v>
      </c>
      <c r="E2449" s="15" t="s">
        <v>73</v>
      </c>
      <c r="F2449" s="15" t="s">
        <v>15908</v>
      </c>
      <c r="G2449" s="15" t="s">
        <v>12731</v>
      </c>
      <c r="H2449" s="15">
        <v>6</v>
      </c>
      <c r="I2449" s="15">
        <v>6</v>
      </c>
      <c r="J2449" s="15">
        <v>1</v>
      </c>
      <c r="K2449" s="15" t="str">
        <f t="shared" si="38"/>
        <v>unnamedmargin</v>
      </c>
      <c r="L2449" s="15" t="s">
        <v>12296</v>
      </c>
      <c r="M2449" s="15">
        <v>2</v>
      </c>
      <c r="N2449" s="15" t="s">
        <v>11223</v>
      </c>
      <c r="O2449" s="15"/>
      <c r="P2449" s="15"/>
      <c r="Q2449" s="15"/>
      <c r="R2449" s="15"/>
      <c r="S2449" s="15"/>
      <c r="T2449" s="15">
        <v>0</v>
      </c>
      <c r="U2449" s="15"/>
      <c r="V2449" s="15"/>
      <c r="W2449" s="15"/>
      <c r="X2449" s="15"/>
      <c r="Y2449" s="15"/>
      <c r="Z2449" s="15"/>
    </row>
    <row r="2450" spans="1:26" x14ac:dyDescent="0.25">
      <c r="A2450" s="15" t="s">
        <v>15910</v>
      </c>
      <c r="B2450" s="15">
        <v>2449</v>
      </c>
      <c r="C2450" s="15" t="s">
        <v>11277</v>
      </c>
      <c r="D2450" s="15" t="s">
        <v>11277</v>
      </c>
      <c r="E2450" s="15" t="s">
        <v>73</v>
      </c>
      <c r="F2450" s="15" t="s">
        <v>15908</v>
      </c>
      <c r="G2450" s="15" t="s">
        <v>12733</v>
      </c>
      <c r="H2450" s="15">
        <v>6</v>
      </c>
      <c r="I2450" s="15">
        <v>6</v>
      </c>
      <c r="J2450" s="15">
        <v>1</v>
      </c>
      <c r="K2450" s="15" t="str">
        <f t="shared" si="38"/>
        <v>unnamedmargin</v>
      </c>
      <c r="L2450" s="15" t="s">
        <v>12298</v>
      </c>
      <c r="M2450" s="15">
        <v>2</v>
      </c>
      <c r="N2450" s="15" t="s">
        <v>11223</v>
      </c>
      <c r="O2450" s="15"/>
      <c r="P2450" s="15"/>
      <c r="Q2450" s="15"/>
      <c r="R2450" s="15"/>
      <c r="S2450" s="15"/>
      <c r="T2450" s="15">
        <v>0</v>
      </c>
      <c r="U2450" s="15"/>
      <c r="V2450" s="15"/>
      <c r="W2450" s="15"/>
      <c r="X2450" s="15"/>
      <c r="Y2450" s="15"/>
      <c r="Z2450" s="15"/>
    </row>
    <row r="2451" spans="1:26" x14ac:dyDescent="0.25">
      <c r="A2451" s="15" t="s">
        <v>15911</v>
      </c>
      <c r="B2451" s="15">
        <v>2450</v>
      </c>
      <c r="C2451" s="15" t="s">
        <v>11277</v>
      </c>
      <c r="D2451" s="15" t="s">
        <v>11277</v>
      </c>
      <c r="E2451" s="15" t="s">
        <v>73</v>
      </c>
      <c r="F2451" s="15" t="s">
        <v>15908</v>
      </c>
      <c r="G2451" s="15" t="s">
        <v>12735</v>
      </c>
      <c r="H2451" s="15">
        <v>6</v>
      </c>
      <c r="I2451" s="15">
        <v>6</v>
      </c>
      <c r="J2451" s="15">
        <v>1</v>
      </c>
      <c r="K2451" s="15" t="str">
        <f t="shared" si="38"/>
        <v>unnamedmargin</v>
      </c>
      <c r="L2451" s="15" t="s">
        <v>12296</v>
      </c>
      <c r="M2451" s="15">
        <v>1</v>
      </c>
      <c r="N2451" s="15" t="s">
        <v>11222</v>
      </c>
      <c r="O2451" s="15"/>
      <c r="P2451" s="15"/>
      <c r="Q2451" s="15"/>
      <c r="R2451" s="15"/>
      <c r="S2451" s="15"/>
      <c r="T2451" s="15">
        <v>0</v>
      </c>
      <c r="U2451" s="15"/>
      <c r="V2451" s="15"/>
      <c r="W2451" s="15"/>
      <c r="X2451" s="15"/>
      <c r="Y2451" s="15"/>
      <c r="Z2451" s="15"/>
    </row>
    <row r="2452" spans="1:26" x14ac:dyDescent="0.25">
      <c r="A2452" s="15" t="s">
        <v>15912</v>
      </c>
      <c r="B2452" s="15">
        <v>2451</v>
      </c>
      <c r="C2452" s="15" t="s">
        <v>11277</v>
      </c>
      <c r="D2452" s="15" t="s">
        <v>11277</v>
      </c>
      <c r="E2452" s="15" t="s">
        <v>73</v>
      </c>
      <c r="F2452" s="15" t="s">
        <v>15908</v>
      </c>
      <c r="G2452" s="15" t="s">
        <v>12737</v>
      </c>
      <c r="H2452" s="15">
        <v>6</v>
      </c>
      <c r="I2452" s="15">
        <v>6</v>
      </c>
      <c r="J2452" s="15">
        <v>1</v>
      </c>
      <c r="K2452" s="15" t="str">
        <f t="shared" si="38"/>
        <v>unnamedmargin</v>
      </c>
      <c r="L2452" s="15" t="s">
        <v>12296</v>
      </c>
      <c r="M2452" s="15">
        <v>2</v>
      </c>
      <c r="N2452" s="15" t="s">
        <v>11223</v>
      </c>
      <c r="O2452" s="15"/>
      <c r="P2452" s="15"/>
      <c r="Q2452" s="15"/>
      <c r="R2452" s="15"/>
      <c r="S2452" s="15"/>
      <c r="T2452" s="15">
        <v>0</v>
      </c>
      <c r="U2452" s="15"/>
      <c r="V2452" s="15"/>
      <c r="W2452" s="15"/>
      <c r="X2452" s="15"/>
      <c r="Y2452" s="15"/>
      <c r="Z2452" s="15"/>
    </row>
    <row r="2453" spans="1:26" x14ac:dyDescent="0.25">
      <c r="A2453" s="15" t="s">
        <v>15913</v>
      </c>
      <c r="B2453" s="15">
        <v>2452</v>
      </c>
      <c r="C2453" s="15" t="s">
        <v>11277</v>
      </c>
      <c r="D2453" s="15" t="s">
        <v>11277</v>
      </c>
      <c r="E2453" s="15" t="s">
        <v>73</v>
      </c>
      <c r="F2453" s="15" t="s">
        <v>15908</v>
      </c>
      <c r="G2453" s="15" t="s">
        <v>12739</v>
      </c>
      <c r="H2453" s="15">
        <v>6</v>
      </c>
      <c r="I2453" s="15">
        <v>6</v>
      </c>
      <c r="J2453" s="15">
        <v>1</v>
      </c>
      <c r="K2453" s="15" t="str">
        <f t="shared" si="38"/>
        <v>unnamedmargin</v>
      </c>
      <c r="L2453" s="15" t="s">
        <v>12298</v>
      </c>
      <c r="M2453" s="15">
        <v>2</v>
      </c>
      <c r="N2453" s="15" t="s">
        <v>11223</v>
      </c>
      <c r="O2453" s="15"/>
      <c r="P2453" s="15"/>
      <c r="Q2453" s="15"/>
      <c r="R2453" s="15"/>
      <c r="S2453" s="15"/>
      <c r="T2453" s="15">
        <v>0</v>
      </c>
      <c r="U2453" s="15"/>
      <c r="V2453" s="15"/>
      <c r="W2453" s="15"/>
      <c r="X2453" s="15"/>
      <c r="Y2453" s="15"/>
      <c r="Z2453" s="15"/>
    </row>
    <row r="2454" spans="1:26" x14ac:dyDescent="0.25">
      <c r="A2454" s="15" t="s">
        <v>15914</v>
      </c>
      <c r="B2454" s="15">
        <v>2453</v>
      </c>
      <c r="C2454" s="15" t="s">
        <v>11277</v>
      </c>
      <c r="D2454" s="15" t="s">
        <v>11277</v>
      </c>
      <c r="E2454" s="15" t="s">
        <v>73</v>
      </c>
      <c r="F2454" s="15" t="s">
        <v>15908</v>
      </c>
      <c r="G2454" s="15" t="s">
        <v>12741</v>
      </c>
      <c r="H2454" s="15">
        <v>6</v>
      </c>
      <c r="I2454" s="15">
        <v>6</v>
      </c>
      <c r="J2454" s="15">
        <v>1</v>
      </c>
      <c r="K2454" s="15" t="str">
        <f t="shared" si="38"/>
        <v>unnamedmargin</v>
      </c>
      <c r="L2454" s="15" t="s">
        <v>12298</v>
      </c>
      <c r="M2454" s="15">
        <v>3</v>
      </c>
      <c r="N2454" s="15" t="s">
        <v>11223</v>
      </c>
      <c r="O2454" s="15"/>
      <c r="P2454" s="15"/>
      <c r="Q2454" s="15"/>
      <c r="R2454" s="15"/>
      <c r="S2454" s="15"/>
      <c r="T2454" s="15">
        <v>0</v>
      </c>
      <c r="U2454" s="15"/>
      <c r="V2454" s="15"/>
      <c r="W2454" s="15"/>
      <c r="X2454" s="15"/>
      <c r="Y2454" s="15"/>
      <c r="Z2454" s="15"/>
    </row>
    <row r="2455" spans="1:26" x14ac:dyDescent="0.25">
      <c r="A2455" s="15" t="s">
        <v>15915</v>
      </c>
      <c r="B2455" s="15">
        <v>2454</v>
      </c>
      <c r="C2455" s="15" t="s">
        <v>11277</v>
      </c>
      <c r="D2455" s="15" t="s">
        <v>11277</v>
      </c>
      <c r="E2455" s="15" t="s">
        <v>73</v>
      </c>
      <c r="F2455" s="15" t="s">
        <v>15908</v>
      </c>
      <c r="G2455" s="15" t="s">
        <v>12743</v>
      </c>
      <c r="H2455" s="15">
        <v>6</v>
      </c>
      <c r="I2455" s="15">
        <v>6</v>
      </c>
      <c r="J2455" s="15">
        <v>1</v>
      </c>
      <c r="K2455" s="15" t="str">
        <f t="shared" si="38"/>
        <v>unnamedmargin</v>
      </c>
      <c r="L2455" s="15" t="s">
        <v>12294</v>
      </c>
      <c r="M2455" s="15">
        <v>1</v>
      </c>
      <c r="N2455" s="15" t="s">
        <v>11222</v>
      </c>
      <c r="O2455" s="15"/>
      <c r="P2455" s="15"/>
      <c r="Q2455" s="15"/>
      <c r="R2455" s="15"/>
      <c r="S2455" s="15"/>
      <c r="T2455" s="15">
        <v>0</v>
      </c>
      <c r="U2455" s="15"/>
      <c r="V2455" s="15"/>
      <c r="W2455" s="15"/>
      <c r="X2455" s="15"/>
      <c r="Y2455" s="15"/>
      <c r="Z2455" s="15"/>
    </row>
    <row r="2456" spans="1:26" x14ac:dyDescent="0.25">
      <c r="A2456" s="15" t="s">
        <v>15916</v>
      </c>
      <c r="B2456" s="15">
        <v>2455</v>
      </c>
      <c r="C2456" s="15" t="s">
        <v>11277</v>
      </c>
      <c r="D2456" s="15" t="s">
        <v>11277</v>
      </c>
      <c r="E2456" s="15" t="s">
        <v>73</v>
      </c>
      <c r="F2456" s="15" t="s">
        <v>15908</v>
      </c>
      <c r="G2456" s="15" t="s">
        <v>12745</v>
      </c>
      <c r="H2456" s="15">
        <v>6</v>
      </c>
      <c r="I2456" s="15">
        <v>6</v>
      </c>
      <c r="J2456" s="15">
        <v>1</v>
      </c>
      <c r="K2456" s="15" t="str">
        <f t="shared" si="38"/>
        <v>unnamedmargin</v>
      </c>
      <c r="L2456" s="15" t="s">
        <v>12294</v>
      </c>
      <c r="M2456" s="15">
        <v>3</v>
      </c>
      <c r="N2456" s="15" t="s">
        <v>11222</v>
      </c>
      <c r="O2456" s="15"/>
      <c r="P2456" s="15"/>
      <c r="Q2456" s="15"/>
      <c r="R2456" s="15"/>
      <c r="S2456" s="15"/>
      <c r="T2456" s="15">
        <v>0</v>
      </c>
      <c r="U2456" s="15"/>
      <c r="V2456" s="15"/>
      <c r="W2456" s="15"/>
      <c r="X2456" s="15"/>
      <c r="Y2456" s="15"/>
      <c r="Z2456" s="15"/>
    </row>
    <row r="2457" spans="1:26" x14ac:dyDescent="0.25">
      <c r="A2457" s="15" t="s">
        <v>15917</v>
      </c>
      <c r="B2457" s="15">
        <v>2456</v>
      </c>
      <c r="C2457" s="15" t="s">
        <v>11277</v>
      </c>
      <c r="D2457" s="15" t="s">
        <v>11277</v>
      </c>
      <c r="E2457" s="15" t="s">
        <v>73</v>
      </c>
      <c r="F2457" s="15" t="s">
        <v>15908</v>
      </c>
      <c r="G2457" s="15" t="s">
        <v>12747</v>
      </c>
      <c r="H2457" s="15">
        <v>6</v>
      </c>
      <c r="I2457" s="15">
        <v>6</v>
      </c>
      <c r="J2457" s="15">
        <v>1</v>
      </c>
      <c r="K2457" s="15" t="str">
        <f t="shared" si="38"/>
        <v>unnamedmargin</v>
      </c>
      <c r="L2457" s="15" t="s">
        <v>12294</v>
      </c>
      <c r="M2457" s="15">
        <v>3</v>
      </c>
      <c r="N2457" s="15" t="s">
        <v>11222</v>
      </c>
      <c r="O2457" s="15"/>
      <c r="P2457" s="15"/>
      <c r="Q2457" s="15"/>
      <c r="R2457" s="15"/>
      <c r="S2457" s="15"/>
      <c r="T2457" s="15">
        <v>0</v>
      </c>
      <c r="U2457" s="15"/>
      <c r="V2457" s="15"/>
      <c r="W2457" s="15"/>
      <c r="X2457" s="15"/>
      <c r="Y2457" s="15"/>
      <c r="Z2457" s="15"/>
    </row>
    <row r="2458" spans="1:26" x14ac:dyDescent="0.25">
      <c r="A2458" s="15" t="s">
        <v>15918</v>
      </c>
      <c r="B2458" s="15">
        <v>2457</v>
      </c>
      <c r="C2458" s="15" t="s">
        <v>11277</v>
      </c>
      <c r="D2458" s="15" t="s">
        <v>11277</v>
      </c>
      <c r="E2458" s="15" t="s">
        <v>73</v>
      </c>
      <c r="F2458" s="15" t="s">
        <v>15919</v>
      </c>
      <c r="G2458" s="15" t="s">
        <v>12749</v>
      </c>
      <c r="H2458" s="15">
        <v>6</v>
      </c>
      <c r="I2458" s="15">
        <v>6</v>
      </c>
      <c r="J2458" s="15">
        <v>1</v>
      </c>
      <c r="K2458" s="15" t="str">
        <f t="shared" si="38"/>
        <v>unnamedspectralcurrent</v>
      </c>
      <c r="L2458" s="15" t="s">
        <v>12294</v>
      </c>
      <c r="M2458" s="15">
        <v>1</v>
      </c>
      <c r="N2458" s="15" t="s">
        <v>11222</v>
      </c>
      <c r="O2458" s="15"/>
      <c r="P2458" s="15"/>
      <c r="Q2458" s="15"/>
      <c r="R2458" s="15"/>
      <c r="S2458" s="15"/>
      <c r="T2458" s="15">
        <v>0</v>
      </c>
      <c r="U2458" s="15"/>
      <c r="V2458" s="15"/>
      <c r="W2458" s="15"/>
      <c r="X2458" s="15"/>
      <c r="Y2458" s="15"/>
      <c r="Z2458" s="15"/>
    </row>
    <row r="2459" spans="1:26" x14ac:dyDescent="0.25">
      <c r="A2459" s="15" t="s">
        <v>15920</v>
      </c>
      <c r="B2459" s="15">
        <v>2458</v>
      </c>
      <c r="C2459" s="15" t="s">
        <v>11277</v>
      </c>
      <c r="D2459" s="15" t="s">
        <v>11277</v>
      </c>
      <c r="E2459" s="15" t="s">
        <v>73</v>
      </c>
      <c r="F2459" s="15" t="s">
        <v>15919</v>
      </c>
      <c r="G2459" s="15" t="s">
        <v>12751</v>
      </c>
      <c r="H2459" s="15">
        <v>6</v>
      </c>
      <c r="I2459" s="15">
        <v>6</v>
      </c>
      <c r="J2459" s="15">
        <v>1</v>
      </c>
      <c r="K2459" s="15" t="str">
        <f t="shared" si="38"/>
        <v>unnamedspectralcurrent</v>
      </c>
      <c r="L2459" s="15" t="s">
        <v>12296</v>
      </c>
      <c r="M2459" s="15">
        <v>1</v>
      </c>
      <c r="N2459" s="15" t="s">
        <v>11222</v>
      </c>
      <c r="O2459" s="15"/>
      <c r="P2459" s="15"/>
      <c r="Q2459" s="15"/>
      <c r="R2459" s="15"/>
      <c r="S2459" s="15"/>
      <c r="T2459" s="15">
        <v>0</v>
      </c>
      <c r="U2459" s="15"/>
      <c r="V2459" s="15"/>
      <c r="W2459" s="15"/>
      <c r="X2459" s="15"/>
      <c r="Y2459" s="15"/>
      <c r="Z2459" s="15"/>
    </row>
    <row r="2460" spans="1:26" x14ac:dyDescent="0.25">
      <c r="A2460" s="15" t="s">
        <v>15921</v>
      </c>
      <c r="B2460" s="15">
        <v>2459</v>
      </c>
      <c r="C2460" s="15" t="s">
        <v>11277</v>
      </c>
      <c r="D2460" s="15" t="s">
        <v>11277</v>
      </c>
      <c r="E2460" s="15" t="s">
        <v>73</v>
      </c>
      <c r="F2460" s="15" t="s">
        <v>15919</v>
      </c>
      <c r="G2460" s="15" t="s">
        <v>12753</v>
      </c>
      <c r="H2460" s="15">
        <v>6</v>
      </c>
      <c r="I2460" s="15">
        <v>6</v>
      </c>
      <c r="J2460" s="15">
        <v>1</v>
      </c>
      <c r="K2460" s="15" t="str">
        <f t="shared" si="38"/>
        <v>unnamedspectralcurrent</v>
      </c>
      <c r="L2460" s="15" t="s">
        <v>12294</v>
      </c>
      <c r="M2460" s="15">
        <v>1</v>
      </c>
      <c r="N2460" s="15" t="s">
        <v>11222</v>
      </c>
      <c r="O2460" s="15"/>
      <c r="P2460" s="15"/>
      <c r="Q2460" s="15"/>
      <c r="R2460" s="15"/>
      <c r="S2460" s="15"/>
      <c r="T2460" s="15">
        <v>0</v>
      </c>
      <c r="U2460" s="15"/>
      <c r="V2460" s="15"/>
      <c r="W2460" s="15"/>
      <c r="X2460" s="15"/>
      <c r="Y2460" s="15"/>
      <c r="Z2460" s="15"/>
    </row>
    <row r="2461" spans="1:26" x14ac:dyDescent="0.25">
      <c r="A2461" s="15" t="s">
        <v>15922</v>
      </c>
      <c r="B2461" s="15">
        <v>2460</v>
      </c>
      <c r="C2461" s="15" t="s">
        <v>11277</v>
      </c>
      <c r="D2461" s="15" t="s">
        <v>11277</v>
      </c>
      <c r="E2461" s="15" t="s">
        <v>73</v>
      </c>
      <c r="F2461" s="15" t="s">
        <v>15919</v>
      </c>
      <c r="G2461" s="15" t="s">
        <v>12755</v>
      </c>
      <c r="H2461" s="15">
        <v>6</v>
      </c>
      <c r="I2461" s="15">
        <v>6</v>
      </c>
      <c r="J2461" s="15">
        <v>1</v>
      </c>
      <c r="K2461" s="15" t="str">
        <f t="shared" si="38"/>
        <v>unnamedspectralcurrent</v>
      </c>
      <c r="L2461" s="15" t="s">
        <v>12294</v>
      </c>
      <c r="M2461" s="15">
        <v>1</v>
      </c>
      <c r="N2461" s="15" t="s">
        <v>11222</v>
      </c>
      <c r="O2461" s="15"/>
      <c r="P2461" s="15"/>
      <c r="Q2461" s="15"/>
      <c r="R2461" s="15"/>
      <c r="S2461" s="15"/>
      <c r="T2461" s="15">
        <v>0</v>
      </c>
      <c r="U2461" s="15"/>
      <c r="V2461" s="15"/>
      <c r="W2461" s="15"/>
      <c r="X2461" s="15"/>
      <c r="Y2461" s="15"/>
      <c r="Z2461" s="15"/>
    </row>
    <row r="2462" spans="1:26" x14ac:dyDescent="0.25">
      <c r="A2462" s="15" t="s">
        <v>15923</v>
      </c>
      <c r="B2462" s="15">
        <v>2461</v>
      </c>
      <c r="C2462" s="15" t="s">
        <v>11277</v>
      </c>
      <c r="D2462" s="15" t="s">
        <v>11277</v>
      </c>
      <c r="E2462" s="15" t="s">
        <v>73</v>
      </c>
      <c r="F2462" s="15" t="s">
        <v>15919</v>
      </c>
      <c r="G2462" s="15" t="s">
        <v>12757</v>
      </c>
      <c r="H2462" s="15">
        <v>6</v>
      </c>
      <c r="I2462" s="15">
        <v>6</v>
      </c>
      <c r="J2462" s="15">
        <v>1</v>
      </c>
      <c r="K2462" s="15" t="str">
        <f t="shared" si="38"/>
        <v>unnamedspectralcurrent</v>
      </c>
      <c r="L2462" s="15" t="s">
        <v>12296</v>
      </c>
      <c r="M2462" s="15">
        <v>2</v>
      </c>
      <c r="N2462" s="15" t="s">
        <v>11223</v>
      </c>
      <c r="O2462" s="15"/>
      <c r="P2462" s="15"/>
      <c r="Q2462" s="15"/>
      <c r="R2462" s="15"/>
      <c r="S2462" s="15"/>
      <c r="T2462" s="15">
        <v>0</v>
      </c>
      <c r="U2462" s="15"/>
      <c r="V2462" s="15"/>
      <c r="W2462" s="15"/>
      <c r="X2462" s="15"/>
      <c r="Y2462" s="15"/>
      <c r="Z2462" s="15"/>
    </row>
    <row r="2463" spans="1:26" x14ac:dyDescent="0.25">
      <c r="A2463" s="15" t="s">
        <v>15924</v>
      </c>
      <c r="B2463" s="15">
        <v>2462</v>
      </c>
      <c r="C2463" s="15" t="s">
        <v>11277</v>
      </c>
      <c r="D2463" s="15" t="s">
        <v>11277</v>
      </c>
      <c r="E2463" s="15" t="s">
        <v>73</v>
      </c>
      <c r="F2463" s="15" t="s">
        <v>15919</v>
      </c>
      <c r="G2463" s="15" t="s">
        <v>12759</v>
      </c>
      <c r="H2463" s="15">
        <v>6</v>
      </c>
      <c r="I2463" s="15">
        <v>6</v>
      </c>
      <c r="J2463" s="15">
        <v>1</v>
      </c>
      <c r="K2463" s="15" t="str">
        <f t="shared" si="38"/>
        <v>unnamedspectralcurrent</v>
      </c>
      <c r="L2463" s="15" t="s">
        <v>12298</v>
      </c>
      <c r="M2463" s="15">
        <v>3</v>
      </c>
      <c r="N2463" s="15" t="s">
        <v>11223</v>
      </c>
      <c r="O2463" s="15"/>
      <c r="P2463" s="15"/>
      <c r="Q2463" s="15"/>
      <c r="R2463" s="15"/>
      <c r="S2463" s="15"/>
      <c r="T2463" s="15">
        <v>0</v>
      </c>
      <c r="U2463" s="15"/>
      <c r="V2463" s="15"/>
      <c r="W2463" s="15"/>
      <c r="X2463" s="15"/>
      <c r="Y2463" s="15"/>
      <c r="Z2463" s="15"/>
    </row>
    <row r="2464" spans="1:26" x14ac:dyDescent="0.25">
      <c r="A2464" s="15" t="s">
        <v>15925</v>
      </c>
      <c r="B2464" s="15">
        <v>2463</v>
      </c>
      <c r="C2464" s="15" t="s">
        <v>11277</v>
      </c>
      <c r="D2464" s="15" t="s">
        <v>11277</v>
      </c>
      <c r="E2464" s="15" t="s">
        <v>73</v>
      </c>
      <c r="F2464" s="15" t="s">
        <v>15919</v>
      </c>
      <c r="G2464" s="15" t="s">
        <v>12761</v>
      </c>
      <c r="H2464" s="15">
        <v>6</v>
      </c>
      <c r="I2464" s="15">
        <v>6</v>
      </c>
      <c r="J2464" s="15">
        <v>1</v>
      </c>
      <c r="K2464" s="15" t="str">
        <f t="shared" si="38"/>
        <v>unnamedspectralcurrent</v>
      </c>
      <c r="L2464" s="15" t="s">
        <v>12757</v>
      </c>
      <c r="M2464" s="15">
        <v>2</v>
      </c>
      <c r="N2464" s="15" t="s">
        <v>11223</v>
      </c>
      <c r="O2464" s="15"/>
      <c r="P2464" s="15"/>
      <c r="Q2464" s="15"/>
      <c r="R2464" s="15"/>
      <c r="S2464" s="15"/>
      <c r="T2464" s="15">
        <v>0</v>
      </c>
      <c r="U2464" s="15"/>
      <c r="V2464" s="15"/>
      <c r="W2464" s="15"/>
      <c r="X2464" s="15"/>
      <c r="Y2464" s="15"/>
      <c r="Z2464" s="15"/>
    </row>
    <row r="2465" spans="1:26" x14ac:dyDescent="0.25">
      <c r="A2465" s="15" t="s">
        <v>15926</v>
      </c>
      <c r="B2465" s="15">
        <v>2464</v>
      </c>
      <c r="C2465" s="15" t="s">
        <v>11277</v>
      </c>
      <c r="D2465" s="15" t="s">
        <v>11277</v>
      </c>
      <c r="E2465" s="15" t="s">
        <v>73</v>
      </c>
      <c r="F2465" s="15" t="s">
        <v>15919</v>
      </c>
      <c r="G2465" s="15" t="s">
        <v>12763</v>
      </c>
      <c r="H2465" s="15">
        <v>6</v>
      </c>
      <c r="I2465" s="15">
        <v>6</v>
      </c>
      <c r="J2465" s="15">
        <v>1</v>
      </c>
      <c r="K2465" s="15" t="str">
        <f t="shared" si="38"/>
        <v>unnamedspectralcurrent</v>
      </c>
      <c r="L2465" s="15" t="s">
        <v>12298</v>
      </c>
      <c r="M2465" s="15">
        <v>3</v>
      </c>
      <c r="N2465" s="15" t="s">
        <v>11223</v>
      </c>
      <c r="O2465" s="15"/>
      <c r="P2465" s="15"/>
      <c r="Q2465" s="15"/>
      <c r="R2465" s="15"/>
      <c r="S2465" s="15"/>
      <c r="T2465" s="15">
        <v>0</v>
      </c>
      <c r="U2465" s="15"/>
      <c r="V2465" s="15"/>
      <c r="W2465" s="15"/>
      <c r="X2465" s="15"/>
      <c r="Y2465" s="15"/>
      <c r="Z2465" s="15"/>
    </row>
    <row r="2466" spans="1:26" x14ac:dyDescent="0.25">
      <c r="A2466" s="15" t="s">
        <v>15927</v>
      </c>
      <c r="B2466" s="15">
        <v>2465</v>
      </c>
      <c r="C2466" s="15" t="s">
        <v>11277</v>
      </c>
      <c r="D2466" s="15" t="s">
        <v>11277</v>
      </c>
      <c r="E2466" s="15" t="s">
        <v>73</v>
      </c>
      <c r="F2466" s="15" t="s">
        <v>15919</v>
      </c>
      <c r="G2466" s="15" t="s">
        <v>12765</v>
      </c>
      <c r="H2466" s="15">
        <v>6</v>
      </c>
      <c r="I2466" s="15">
        <v>6</v>
      </c>
      <c r="J2466" s="15">
        <v>1</v>
      </c>
      <c r="K2466" s="15" t="str">
        <f t="shared" si="38"/>
        <v>unnamedspectralcurrent</v>
      </c>
      <c r="L2466" s="15" t="s">
        <v>12296</v>
      </c>
      <c r="M2466" s="15">
        <v>2</v>
      </c>
      <c r="N2466" s="15" t="s">
        <v>11223</v>
      </c>
      <c r="O2466" s="15"/>
      <c r="P2466" s="15"/>
      <c r="Q2466" s="15"/>
      <c r="R2466" s="15"/>
      <c r="S2466" s="15"/>
      <c r="T2466" s="15">
        <v>0</v>
      </c>
      <c r="U2466" s="15"/>
      <c r="V2466" s="15"/>
      <c r="W2466" s="15"/>
      <c r="X2466" s="15"/>
      <c r="Y2466" s="15"/>
      <c r="Z2466" s="15"/>
    </row>
    <row r="2467" spans="1:26" x14ac:dyDescent="0.25">
      <c r="A2467" s="15" t="s">
        <v>15928</v>
      </c>
      <c r="B2467" s="15">
        <v>2466</v>
      </c>
      <c r="C2467" s="15" t="s">
        <v>11277</v>
      </c>
      <c r="D2467" s="15" t="s">
        <v>11277</v>
      </c>
      <c r="E2467" s="15" t="s">
        <v>215</v>
      </c>
      <c r="F2467" s="15" t="s">
        <v>15919</v>
      </c>
      <c r="G2467" s="15" t="s">
        <v>12767</v>
      </c>
      <c r="H2467" s="15">
        <v>6</v>
      </c>
      <c r="I2467" s="15">
        <v>6</v>
      </c>
      <c r="J2467" s="15">
        <v>100</v>
      </c>
      <c r="K2467" s="15" t="str">
        <f t="shared" si="38"/>
        <v>unnamedspectralcurrent</v>
      </c>
      <c r="L2467" s="15" t="s">
        <v>12761</v>
      </c>
      <c r="M2467" s="15">
        <v>3</v>
      </c>
      <c r="N2467" s="15" t="s">
        <v>11222</v>
      </c>
      <c r="O2467" s="15"/>
      <c r="P2467" s="15"/>
      <c r="Q2467" s="15"/>
      <c r="R2467" s="15"/>
      <c r="S2467" s="15"/>
      <c r="T2467" s="15">
        <v>3</v>
      </c>
      <c r="U2467" s="15"/>
      <c r="V2467" s="15"/>
      <c r="W2467" s="15"/>
      <c r="X2467" s="15"/>
      <c r="Y2467" s="15"/>
      <c r="Z2467" s="15"/>
    </row>
    <row r="2468" spans="1:26" x14ac:dyDescent="0.25">
      <c r="A2468" s="15" t="s">
        <v>15929</v>
      </c>
      <c r="B2468" s="15">
        <v>2467</v>
      </c>
      <c r="C2468" s="15" t="s">
        <v>11277</v>
      </c>
      <c r="D2468" s="15" t="s">
        <v>11277</v>
      </c>
      <c r="E2468" s="15" t="s">
        <v>73</v>
      </c>
      <c r="F2468" s="15" t="s">
        <v>15930</v>
      </c>
      <c r="G2468" s="15" t="s">
        <v>12769</v>
      </c>
      <c r="H2468" s="15">
        <v>6</v>
      </c>
      <c r="I2468" s="15">
        <v>6</v>
      </c>
      <c r="J2468" s="15">
        <v>1</v>
      </c>
      <c r="K2468" s="15" t="str">
        <f t="shared" si="38"/>
        <v>thavnairmargin</v>
      </c>
      <c r="L2468" s="15" t="s">
        <v>12294</v>
      </c>
      <c r="M2468" s="15">
        <v>1</v>
      </c>
      <c r="N2468" s="15" t="s">
        <v>11222</v>
      </c>
      <c r="O2468" s="15"/>
      <c r="P2468" s="15"/>
      <c r="Q2468" s="15"/>
      <c r="R2468" s="15"/>
      <c r="S2468" s="15"/>
      <c r="T2468" s="15">
        <v>0</v>
      </c>
      <c r="U2468" s="15"/>
      <c r="V2468" s="15"/>
      <c r="W2468" s="15"/>
      <c r="X2468" s="15"/>
      <c r="Y2468" s="15"/>
      <c r="Z2468" s="15"/>
    </row>
    <row r="2469" spans="1:26" x14ac:dyDescent="0.25">
      <c r="A2469" s="15" t="s">
        <v>15931</v>
      </c>
      <c r="B2469" s="15">
        <v>2468</v>
      </c>
      <c r="C2469" s="15" t="s">
        <v>11277</v>
      </c>
      <c r="D2469" s="15" t="s">
        <v>11277</v>
      </c>
      <c r="E2469" s="15" t="s">
        <v>73</v>
      </c>
      <c r="F2469" s="15" t="s">
        <v>15930</v>
      </c>
      <c r="G2469" s="15" t="s">
        <v>12771</v>
      </c>
      <c r="H2469" s="15">
        <v>6</v>
      </c>
      <c r="I2469" s="15">
        <v>6</v>
      </c>
      <c r="J2469" s="15">
        <v>1</v>
      </c>
      <c r="K2469" s="15" t="str">
        <f t="shared" si="38"/>
        <v>thavnairmargin</v>
      </c>
      <c r="L2469" s="15" t="s">
        <v>12296</v>
      </c>
      <c r="M2469" s="15">
        <v>2</v>
      </c>
      <c r="N2469" s="15" t="s">
        <v>11223</v>
      </c>
      <c r="O2469" s="15"/>
      <c r="P2469" s="15"/>
      <c r="Q2469" s="15"/>
      <c r="R2469" s="15"/>
      <c r="S2469" s="15"/>
      <c r="T2469" s="15">
        <v>0</v>
      </c>
      <c r="U2469" s="15"/>
      <c r="V2469" s="15"/>
      <c r="W2469" s="15"/>
      <c r="X2469" s="15"/>
      <c r="Y2469" s="15"/>
      <c r="Z2469" s="15"/>
    </row>
    <row r="2470" spans="1:26" x14ac:dyDescent="0.25">
      <c r="A2470" s="15" t="s">
        <v>15932</v>
      </c>
      <c r="B2470" s="15">
        <v>2469</v>
      </c>
      <c r="C2470" s="15" t="s">
        <v>11277</v>
      </c>
      <c r="D2470" s="15" t="s">
        <v>11277</v>
      </c>
      <c r="E2470" s="15" t="s">
        <v>73</v>
      </c>
      <c r="F2470" s="15" t="s">
        <v>15930</v>
      </c>
      <c r="G2470" s="15" t="s">
        <v>12773</v>
      </c>
      <c r="H2470" s="15">
        <v>6</v>
      </c>
      <c r="I2470" s="15">
        <v>6</v>
      </c>
      <c r="J2470" s="15">
        <v>1</v>
      </c>
      <c r="K2470" s="15" t="str">
        <f t="shared" si="38"/>
        <v>thavnairmargin</v>
      </c>
      <c r="L2470" s="15" t="s">
        <v>12294</v>
      </c>
      <c r="M2470" s="15">
        <v>1</v>
      </c>
      <c r="N2470" s="15" t="s">
        <v>11222</v>
      </c>
      <c r="O2470" s="15"/>
      <c r="P2470" s="15"/>
      <c r="Q2470" s="15"/>
      <c r="R2470" s="15"/>
      <c r="S2470" s="15"/>
      <c r="T2470" s="15">
        <v>0</v>
      </c>
      <c r="U2470" s="15"/>
      <c r="V2470" s="15"/>
      <c r="W2470" s="15"/>
      <c r="X2470" s="15"/>
      <c r="Y2470" s="15"/>
      <c r="Z2470" s="15"/>
    </row>
    <row r="2471" spans="1:26" x14ac:dyDescent="0.25">
      <c r="A2471" s="15" t="s">
        <v>15933</v>
      </c>
      <c r="B2471" s="15">
        <v>2470</v>
      </c>
      <c r="C2471" s="15" t="s">
        <v>11277</v>
      </c>
      <c r="D2471" s="15" t="s">
        <v>11277</v>
      </c>
      <c r="E2471" s="15" t="s">
        <v>73</v>
      </c>
      <c r="F2471" s="15" t="s">
        <v>15930</v>
      </c>
      <c r="G2471" s="15" t="s">
        <v>12775</v>
      </c>
      <c r="H2471" s="15">
        <v>6</v>
      </c>
      <c r="I2471" s="15">
        <v>6</v>
      </c>
      <c r="J2471" s="15">
        <v>1</v>
      </c>
      <c r="K2471" s="15" t="str">
        <f t="shared" si="38"/>
        <v>thavnairmargin</v>
      </c>
      <c r="L2471" s="15" t="s">
        <v>12294</v>
      </c>
      <c r="M2471" s="15">
        <v>1</v>
      </c>
      <c r="N2471" s="15" t="s">
        <v>11222</v>
      </c>
      <c r="O2471" s="15"/>
      <c r="P2471" s="15"/>
      <c r="Q2471" s="15"/>
      <c r="R2471" s="15"/>
      <c r="S2471" s="15"/>
      <c r="T2471" s="15">
        <v>0</v>
      </c>
      <c r="U2471" s="15"/>
      <c r="V2471" s="15"/>
      <c r="W2471" s="15"/>
      <c r="X2471" s="15"/>
      <c r="Y2471" s="15"/>
      <c r="Z2471" s="15"/>
    </row>
    <row r="2472" spans="1:26" x14ac:dyDescent="0.25">
      <c r="A2472" s="15" t="s">
        <v>15934</v>
      </c>
      <c r="B2472" s="15">
        <v>2471</v>
      </c>
      <c r="C2472" s="15" t="s">
        <v>11277</v>
      </c>
      <c r="D2472" s="15" t="s">
        <v>11277</v>
      </c>
      <c r="E2472" s="15" t="s">
        <v>73</v>
      </c>
      <c r="F2472" s="15" t="s">
        <v>15930</v>
      </c>
      <c r="G2472" s="15" t="s">
        <v>12777</v>
      </c>
      <c r="H2472" s="15">
        <v>6</v>
      </c>
      <c r="I2472" s="15">
        <v>6</v>
      </c>
      <c r="J2472" s="15">
        <v>1</v>
      </c>
      <c r="K2472" s="15" t="str">
        <f t="shared" si="38"/>
        <v>thavnairmargin</v>
      </c>
      <c r="L2472" s="15" t="s">
        <v>12296</v>
      </c>
      <c r="M2472" s="15">
        <v>2</v>
      </c>
      <c r="N2472" s="15" t="s">
        <v>11223</v>
      </c>
      <c r="O2472" s="15"/>
      <c r="P2472" s="15"/>
      <c r="Q2472" s="15"/>
      <c r="R2472" s="15"/>
      <c r="S2472" s="15"/>
      <c r="T2472" s="15">
        <v>0</v>
      </c>
      <c r="U2472" s="15"/>
      <c r="V2472" s="15"/>
      <c r="W2472" s="15"/>
      <c r="X2472" s="15"/>
      <c r="Y2472" s="15"/>
      <c r="Z2472" s="15"/>
    </row>
    <row r="2473" spans="1:26" x14ac:dyDescent="0.25">
      <c r="A2473" s="15" t="s">
        <v>15935</v>
      </c>
      <c r="B2473" s="15">
        <v>2472</v>
      </c>
      <c r="C2473" s="15" t="s">
        <v>11277</v>
      </c>
      <c r="D2473" s="15" t="s">
        <v>11277</v>
      </c>
      <c r="E2473" s="15" t="s">
        <v>73</v>
      </c>
      <c r="F2473" s="15" t="s">
        <v>15930</v>
      </c>
      <c r="G2473" s="15" t="s">
        <v>12779</v>
      </c>
      <c r="H2473" s="15">
        <v>6</v>
      </c>
      <c r="I2473" s="15">
        <v>6</v>
      </c>
      <c r="J2473" s="15">
        <v>1</v>
      </c>
      <c r="K2473" s="15" t="str">
        <f t="shared" si="38"/>
        <v>thavnairmargin</v>
      </c>
      <c r="L2473" s="15" t="s">
        <v>12298</v>
      </c>
      <c r="M2473" s="15">
        <v>2</v>
      </c>
      <c r="N2473" s="15" t="s">
        <v>11223</v>
      </c>
      <c r="O2473" s="15"/>
      <c r="P2473" s="15"/>
      <c r="Q2473" s="15"/>
      <c r="R2473" s="15"/>
      <c r="S2473" s="15"/>
      <c r="T2473" s="15">
        <v>0</v>
      </c>
      <c r="U2473" s="15"/>
      <c r="V2473" s="15"/>
      <c r="W2473" s="15"/>
      <c r="X2473" s="15"/>
      <c r="Y2473" s="15"/>
      <c r="Z2473" s="15"/>
    </row>
    <row r="2474" spans="1:26" x14ac:dyDescent="0.25">
      <c r="A2474" s="15" t="s">
        <v>15936</v>
      </c>
      <c r="B2474" s="15">
        <v>2473</v>
      </c>
      <c r="C2474" s="15" t="s">
        <v>11277</v>
      </c>
      <c r="D2474" s="15" t="s">
        <v>11277</v>
      </c>
      <c r="E2474" s="15" t="s">
        <v>73</v>
      </c>
      <c r="F2474" s="15" t="s">
        <v>15930</v>
      </c>
      <c r="G2474" s="15" t="s">
        <v>12781</v>
      </c>
      <c r="H2474" s="15">
        <v>6</v>
      </c>
      <c r="I2474" s="15">
        <v>6</v>
      </c>
      <c r="J2474" s="15">
        <v>1</v>
      </c>
      <c r="K2474" s="15" t="str">
        <f t="shared" si="38"/>
        <v>thavnairmargin</v>
      </c>
      <c r="L2474" s="15" t="s">
        <v>12298</v>
      </c>
      <c r="M2474" s="15">
        <v>3</v>
      </c>
      <c r="N2474" s="15" t="s">
        <v>11223</v>
      </c>
      <c r="O2474" s="15"/>
      <c r="P2474" s="15"/>
      <c r="Q2474" s="15"/>
      <c r="R2474" s="15"/>
      <c r="S2474" s="15"/>
      <c r="T2474" s="15">
        <v>0</v>
      </c>
      <c r="U2474" s="15"/>
      <c r="V2474" s="15"/>
      <c r="W2474" s="15"/>
      <c r="X2474" s="15"/>
      <c r="Y2474" s="15"/>
      <c r="Z2474" s="15"/>
    </row>
    <row r="2475" spans="1:26" x14ac:dyDescent="0.25">
      <c r="A2475" s="15" t="s">
        <v>15937</v>
      </c>
      <c r="B2475" s="15">
        <v>2474</v>
      </c>
      <c r="C2475" s="15" t="s">
        <v>11277</v>
      </c>
      <c r="D2475" s="15" t="s">
        <v>11277</v>
      </c>
      <c r="E2475" s="15" t="s">
        <v>73</v>
      </c>
      <c r="F2475" s="15" t="s">
        <v>15930</v>
      </c>
      <c r="G2475" s="15" t="s">
        <v>12783</v>
      </c>
      <c r="H2475" s="15">
        <v>6</v>
      </c>
      <c r="I2475" s="15">
        <v>6</v>
      </c>
      <c r="J2475" s="15">
        <v>1</v>
      </c>
      <c r="K2475" s="15" t="str">
        <f t="shared" si="38"/>
        <v>thavnairmargin</v>
      </c>
      <c r="L2475" s="15" t="s">
        <v>12784</v>
      </c>
      <c r="M2475" s="15">
        <v>1</v>
      </c>
      <c r="N2475" s="15" t="s">
        <v>11222</v>
      </c>
      <c r="O2475" s="15"/>
      <c r="P2475" s="15"/>
      <c r="Q2475" s="15"/>
      <c r="R2475" s="15"/>
      <c r="S2475" s="15"/>
      <c r="T2475" s="15">
        <v>0</v>
      </c>
      <c r="U2475" s="15"/>
      <c r="V2475" s="15"/>
      <c r="W2475" s="15"/>
      <c r="X2475" s="15"/>
      <c r="Y2475" s="15"/>
      <c r="Z2475" s="15"/>
    </row>
    <row r="2476" spans="1:26" x14ac:dyDescent="0.25">
      <c r="A2476" s="15" t="s">
        <v>15938</v>
      </c>
      <c r="B2476" s="15">
        <v>2475</v>
      </c>
      <c r="C2476" s="15" t="s">
        <v>11277</v>
      </c>
      <c r="D2476" s="15" t="s">
        <v>11277</v>
      </c>
      <c r="E2476" s="15" t="s">
        <v>73</v>
      </c>
      <c r="F2476" s="15" t="s">
        <v>15930</v>
      </c>
      <c r="G2476" s="15" t="s">
        <v>12786</v>
      </c>
      <c r="H2476" s="15">
        <v>6</v>
      </c>
      <c r="I2476" s="15">
        <v>6</v>
      </c>
      <c r="J2476" s="15">
        <v>1</v>
      </c>
      <c r="K2476" s="15" t="str">
        <f t="shared" si="38"/>
        <v>thavnairmargin</v>
      </c>
      <c r="L2476" s="15" t="s">
        <v>12296</v>
      </c>
      <c r="M2476" s="15">
        <v>3</v>
      </c>
      <c r="N2476" s="15" t="s">
        <v>11223</v>
      </c>
      <c r="O2476" s="15"/>
      <c r="P2476" s="15"/>
      <c r="Q2476" s="15"/>
      <c r="R2476" s="15"/>
      <c r="S2476" s="15"/>
      <c r="T2476" s="15">
        <v>0</v>
      </c>
      <c r="U2476" s="15"/>
      <c r="V2476" s="15"/>
      <c r="W2476" s="15"/>
      <c r="X2476" s="15"/>
      <c r="Y2476" s="15"/>
      <c r="Z2476" s="15"/>
    </row>
    <row r="2477" spans="1:26" x14ac:dyDescent="0.25">
      <c r="A2477" s="15" t="s">
        <v>15939</v>
      </c>
      <c r="B2477" s="15">
        <v>2476</v>
      </c>
      <c r="C2477" s="15" t="s">
        <v>11277</v>
      </c>
      <c r="D2477" s="15" t="s">
        <v>11277</v>
      </c>
      <c r="E2477" s="15" t="s">
        <v>73</v>
      </c>
      <c r="F2477" s="15" t="s">
        <v>15930</v>
      </c>
      <c r="G2477" s="15" t="s">
        <v>12788</v>
      </c>
      <c r="H2477" s="15">
        <v>6</v>
      </c>
      <c r="I2477" s="15">
        <v>6</v>
      </c>
      <c r="J2477" s="15">
        <v>1</v>
      </c>
      <c r="K2477" s="15" t="str">
        <f t="shared" si="38"/>
        <v>thavnairmargin</v>
      </c>
      <c r="L2477" s="15" t="s">
        <v>12296</v>
      </c>
      <c r="M2477" s="15">
        <v>3</v>
      </c>
      <c r="N2477" s="15" t="s">
        <v>11223</v>
      </c>
      <c r="O2477" s="15"/>
      <c r="P2477" s="15"/>
      <c r="Q2477" s="15"/>
      <c r="R2477" s="15"/>
      <c r="S2477" s="15"/>
      <c r="T2477" s="15">
        <v>0</v>
      </c>
      <c r="U2477" s="15"/>
      <c r="V2477" s="15"/>
      <c r="W2477" s="15"/>
      <c r="X2477" s="15"/>
      <c r="Y2477" s="15"/>
      <c r="Z2477" s="15"/>
    </row>
    <row r="2478" spans="1:26" x14ac:dyDescent="0.25">
      <c r="A2478" s="15" t="s">
        <v>15940</v>
      </c>
      <c r="B2478" s="15">
        <v>2477</v>
      </c>
      <c r="C2478" s="15" t="s">
        <v>11277</v>
      </c>
      <c r="D2478" s="15" t="s">
        <v>11277</v>
      </c>
      <c r="E2478" s="15" t="s">
        <v>73</v>
      </c>
      <c r="F2478" s="15" t="s">
        <v>15941</v>
      </c>
      <c r="G2478" s="15" t="s">
        <v>12790</v>
      </c>
      <c r="H2478" s="15">
        <v>6</v>
      </c>
      <c r="I2478" s="15">
        <v>6</v>
      </c>
      <c r="J2478" s="15">
        <v>1</v>
      </c>
      <c r="K2478" s="15" t="str">
        <f t="shared" si="38"/>
        <v>thavnairspectralcurrent</v>
      </c>
      <c r="L2478" s="15" t="s">
        <v>12294</v>
      </c>
      <c r="M2478" s="15">
        <v>1</v>
      </c>
      <c r="N2478" s="15" t="s">
        <v>11222</v>
      </c>
      <c r="O2478" s="15"/>
      <c r="P2478" s="15"/>
      <c r="Q2478" s="15"/>
      <c r="R2478" s="15"/>
      <c r="S2478" s="15"/>
      <c r="T2478" s="15">
        <v>0</v>
      </c>
      <c r="U2478" s="15"/>
      <c r="V2478" s="15"/>
      <c r="W2478" s="15"/>
      <c r="X2478" s="15"/>
      <c r="Y2478" s="15"/>
      <c r="Z2478" s="15"/>
    </row>
    <row r="2479" spans="1:26" x14ac:dyDescent="0.25">
      <c r="A2479" s="15" t="s">
        <v>15942</v>
      </c>
      <c r="B2479" s="15">
        <v>2478</v>
      </c>
      <c r="C2479" s="15" t="s">
        <v>11277</v>
      </c>
      <c r="D2479" s="15" t="s">
        <v>11277</v>
      </c>
      <c r="E2479" s="15" t="s">
        <v>73</v>
      </c>
      <c r="F2479" s="15" t="s">
        <v>15941</v>
      </c>
      <c r="G2479" s="15" t="s">
        <v>12792</v>
      </c>
      <c r="H2479" s="15">
        <v>6</v>
      </c>
      <c r="I2479" s="15">
        <v>6</v>
      </c>
      <c r="J2479" s="15">
        <v>1</v>
      </c>
      <c r="K2479" s="15" t="str">
        <f t="shared" si="38"/>
        <v>thavnairspectralcurrent</v>
      </c>
      <c r="L2479" s="15" t="s">
        <v>12296</v>
      </c>
      <c r="M2479" s="15">
        <v>2</v>
      </c>
      <c r="N2479" s="15" t="s">
        <v>11223</v>
      </c>
      <c r="O2479" s="15"/>
      <c r="P2479" s="15"/>
      <c r="Q2479" s="15"/>
      <c r="R2479" s="15"/>
      <c r="S2479" s="15"/>
      <c r="T2479" s="15">
        <v>0</v>
      </c>
      <c r="U2479" s="15"/>
      <c r="V2479" s="15"/>
      <c r="W2479" s="15"/>
      <c r="X2479" s="15"/>
      <c r="Y2479" s="15"/>
      <c r="Z2479" s="15"/>
    </row>
    <row r="2480" spans="1:26" x14ac:dyDescent="0.25">
      <c r="A2480" s="15" t="s">
        <v>15943</v>
      </c>
      <c r="B2480" s="15">
        <v>2479</v>
      </c>
      <c r="C2480" s="15" t="s">
        <v>11277</v>
      </c>
      <c r="D2480" s="15" t="s">
        <v>11277</v>
      </c>
      <c r="E2480" s="15" t="s">
        <v>73</v>
      </c>
      <c r="F2480" s="15" t="s">
        <v>15941</v>
      </c>
      <c r="G2480" s="15" t="s">
        <v>12794</v>
      </c>
      <c r="H2480" s="15">
        <v>6</v>
      </c>
      <c r="I2480" s="15">
        <v>6</v>
      </c>
      <c r="J2480" s="15">
        <v>1</v>
      </c>
      <c r="K2480" s="15" t="str">
        <f t="shared" si="38"/>
        <v>thavnairspectralcurrent</v>
      </c>
      <c r="L2480" s="15" t="s">
        <v>12296</v>
      </c>
      <c r="M2480" s="15">
        <v>1</v>
      </c>
      <c r="N2480" s="15" t="s">
        <v>11222</v>
      </c>
      <c r="O2480" s="15"/>
      <c r="P2480" s="15"/>
      <c r="Q2480" s="15"/>
      <c r="R2480" s="15"/>
      <c r="S2480" s="15"/>
      <c r="T2480" s="15">
        <v>0</v>
      </c>
      <c r="U2480" s="15"/>
      <c r="V2480" s="15"/>
      <c r="W2480" s="15"/>
      <c r="X2480" s="15"/>
      <c r="Y2480" s="15"/>
      <c r="Z2480" s="15"/>
    </row>
    <row r="2481" spans="1:26" x14ac:dyDescent="0.25">
      <c r="A2481" s="15" t="s">
        <v>15944</v>
      </c>
      <c r="B2481" s="15">
        <v>2480</v>
      </c>
      <c r="C2481" s="15" t="s">
        <v>11277</v>
      </c>
      <c r="D2481" s="15" t="s">
        <v>11277</v>
      </c>
      <c r="E2481" s="15" t="s">
        <v>73</v>
      </c>
      <c r="F2481" s="15" t="s">
        <v>15941</v>
      </c>
      <c r="G2481" s="15" t="s">
        <v>12796</v>
      </c>
      <c r="H2481" s="15">
        <v>6</v>
      </c>
      <c r="I2481" s="15">
        <v>6</v>
      </c>
      <c r="J2481" s="15">
        <v>1</v>
      </c>
      <c r="K2481" s="15" t="str">
        <f t="shared" si="38"/>
        <v>thavnairspectralcurrent</v>
      </c>
      <c r="L2481" s="15" t="s">
        <v>12296</v>
      </c>
      <c r="M2481" s="15">
        <v>2</v>
      </c>
      <c r="N2481" s="15" t="s">
        <v>11223</v>
      </c>
      <c r="O2481" s="15"/>
      <c r="P2481" s="15"/>
      <c r="Q2481" s="15"/>
      <c r="R2481" s="15"/>
      <c r="S2481" s="15"/>
      <c r="T2481" s="15">
        <v>0</v>
      </c>
      <c r="U2481" s="15"/>
      <c r="V2481" s="15"/>
      <c r="W2481" s="15"/>
      <c r="X2481" s="15"/>
      <c r="Y2481" s="15"/>
      <c r="Z2481" s="15"/>
    </row>
    <row r="2482" spans="1:26" x14ac:dyDescent="0.25">
      <c r="A2482" s="15" t="s">
        <v>15945</v>
      </c>
      <c r="B2482" s="15">
        <v>2481</v>
      </c>
      <c r="C2482" s="15" t="s">
        <v>11277</v>
      </c>
      <c r="D2482" s="15" t="s">
        <v>11277</v>
      </c>
      <c r="E2482" s="15" t="s">
        <v>73</v>
      </c>
      <c r="F2482" s="15" t="s">
        <v>15941</v>
      </c>
      <c r="G2482" s="15" t="s">
        <v>12798</v>
      </c>
      <c r="H2482" s="15">
        <v>6</v>
      </c>
      <c r="I2482" s="15">
        <v>6</v>
      </c>
      <c r="J2482" s="15">
        <v>1</v>
      </c>
      <c r="K2482" s="15" t="str">
        <f t="shared" si="38"/>
        <v>thavnairspectralcurrent</v>
      </c>
      <c r="L2482" s="15" t="s">
        <v>12298</v>
      </c>
      <c r="M2482" s="15">
        <v>3</v>
      </c>
      <c r="N2482" s="15" t="s">
        <v>11223</v>
      </c>
      <c r="O2482" s="15"/>
      <c r="P2482" s="15"/>
      <c r="Q2482" s="15"/>
      <c r="R2482" s="15"/>
      <c r="S2482" s="15"/>
      <c r="T2482" s="15">
        <v>0</v>
      </c>
      <c r="U2482" s="15"/>
      <c r="V2482" s="15"/>
      <c r="W2482" s="15"/>
      <c r="X2482" s="15"/>
      <c r="Y2482" s="15"/>
      <c r="Z2482" s="15"/>
    </row>
    <row r="2483" spans="1:26" x14ac:dyDescent="0.25">
      <c r="A2483" s="15" t="s">
        <v>15946</v>
      </c>
      <c r="B2483" s="15">
        <v>2482</v>
      </c>
      <c r="C2483" s="15" t="s">
        <v>11277</v>
      </c>
      <c r="D2483" s="15" t="s">
        <v>11277</v>
      </c>
      <c r="E2483" s="15" t="s">
        <v>73</v>
      </c>
      <c r="F2483" s="15" t="s">
        <v>15941</v>
      </c>
      <c r="G2483" s="15" t="s">
        <v>12800</v>
      </c>
      <c r="H2483" s="15">
        <v>6</v>
      </c>
      <c r="I2483" s="15">
        <v>6</v>
      </c>
      <c r="J2483" s="15">
        <v>1</v>
      </c>
      <c r="K2483" s="15" t="str">
        <f t="shared" si="38"/>
        <v>thavnairspectralcurrent</v>
      </c>
      <c r="L2483" s="15" t="s">
        <v>12294</v>
      </c>
      <c r="M2483" s="15">
        <v>1</v>
      </c>
      <c r="N2483" s="15" t="s">
        <v>11222</v>
      </c>
      <c r="O2483" s="15"/>
      <c r="P2483" s="15"/>
      <c r="Q2483" s="15"/>
      <c r="R2483" s="15"/>
      <c r="S2483" s="15"/>
      <c r="T2483" s="15">
        <v>0</v>
      </c>
      <c r="U2483" s="15"/>
      <c r="V2483" s="15"/>
      <c r="W2483" s="15"/>
      <c r="X2483" s="15"/>
      <c r="Y2483" s="15"/>
      <c r="Z2483" s="15"/>
    </row>
    <row r="2484" spans="1:26" x14ac:dyDescent="0.25">
      <c r="A2484" s="15" t="s">
        <v>15947</v>
      </c>
      <c r="B2484" s="15">
        <v>2483</v>
      </c>
      <c r="C2484" s="15" t="s">
        <v>11277</v>
      </c>
      <c r="D2484" s="15" t="s">
        <v>11277</v>
      </c>
      <c r="E2484" s="15" t="s">
        <v>73</v>
      </c>
      <c r="F2484" s="15" t="s">
        <v>15941</v>
      </c>
      <c r="G2484" s="15" t="s">
        <v>12802</v>
      </c>
      <c r="H2484" s="15">
        <v>6</v>
      </c>
      <c r="I2484" s="15">
        <v>6</v>
      </c>
      <c r="J2484" s="15">
        <v>1</v>
      </c>
      <c r="K2484" s="15" t="str">
        <f t="shared" si="38"/>
        <v>thavnairspectralcurrent</v>
      </c>
      <c r="L2484" s="15" t="s">
        <v>12298</v>
      </c>
      <c r="M2484" s="15">
        <v>3</v>
      </c>
      <c r="N2484" s="15" t="s">
        <v>11223</v>
      </c>
      <c r="O2484" s="15"/>
      <c r="P2484" s="15"/>
      <c r="Q2484" s="15"/>
      <c r="R2484" s="15"/>
      <c r="S2484" s="15"/>
      <c r="T2484" s="15">
        <v>0</v>
      </c>
      <c r="U2484" s="15"/>
      <c r="V2484" s="15"/>
      <c r="W2484" s="15"/>
      <c r="X2484" s="15"/>
      <c r="Y2484" s="15"/>
      <c r="Z2484" s="15"/>
    </row>
    <row r="2485" spans="1:26" x14ac:dyDescent="0.25">
      <c r="A2485" s="15" t="s">
        <v>15948</v>
      </c>
      <c r="B2485" s="15">
        <v>2484</v>
      </c>
      <c r="C2485" s="15" t="s">
        <v>11277</v>
      </c>
      <c r="D2485" s="15" t="s">
        <v>11277</v>
      </c>
      <c r="E2485" s="15" t="s">
        <v>73</v>
      </c>
      <c r="F2485" s="15" t="s">
        <v>15941</v>
      </c>
      <c r="G2485" s="15" t="s">
        <v>12783</v>
      </c>
      <c r="H2485" s="15">
        <v>6</v>
      </c>
      <c r="I2485" s="15">
        <v>6</v>
      </c>
      <c r="J2485" s="15">
        <v>1</v>
      </c>
      <c r="K2485" s="15" t="str">
        <f t="shared" si="38"/>
        <v>thavnairspectralcurrent</v>
      </c>
      <c r="L2485" s="15" t="s">
        <v>12784</v>
      </c>
      <c r="M2485" s="15">
        <v>1</v>
      </c>
      <c r="N2485" s="15" t="s">
        <v>11222</v>
      </c>
      <c r="O2485" s="15"/>
      <c r="P2485" s="15"/>
      <c r="Q2485" s="15"/>
      <c r="R2485" s="15"/>
      <c r="S2485" s="15"/>
      <c r="T2485" s="15">
        <v>0</v>
      </c>
      <c r="U2485" s="15"/>
      <c r="V2485" s="15"/>
      <c r="W2485" s="15"/>
      <c r="X2485" s="15"/>
      <c r="Y2485" s="15"/>
      <c r="Z2485" s="15"/>
    </row>
    <row r="2486" spans="1:26" x14ac:dyDescent="0.25">
      <c r="A2486" s="15" t="s">
        <v>15949</v>
      </c>
      <c r="B2486" s="15">
        <v>2485</v>
      </c>
      <c r="C2486" s="15" t="s">
        <v>11277</v>
      </c>
      <c r="D2486" s="15" t="s">
        <v>11277</v>
      </c>
      <c r="E2486" s="15" t="s">
        <v>73</v>
      </c>
      <c r="F2486" s="15" t="s">
        <v>15941</v>
      </c>
      <c r="G2486" s="15" t="s">
        <v>12804</v>
      </c>
      <c r="H2486" s="15">
        <v>6</v>
      </c>
      <c r="I2486" s="15">
        <v>6</v>
      </c>
      <c r="J2486" s="15">
        <v>1</v>
      </c>
      <c r="K2486" s="15" t="str">
        <f t="shared" si="38"/>
        <v>thavnairspectralcurrent</v>
      </c>
      <c r="L2486" s="15" t="s">
        <v>12298</v>
      </c>
      <c r="M2486" s="15">
        <v>3</v>
      </c>
      <c r="N2486" s="15" t="s">
        <v>11223</v>
      </c>
      <c r="O2486" s="15"/>
      <c r="P2486" s="15"/>
      <c r="Q2486" s="15"/>
      <c r="R2486" s="15"/>
      <c r="S2486" s="15"/>
      <c r="T2486" s="15">
        <v>0</v>
      </c>
      <c r="U2486" s="15"/>
      <c r="V2486" s="15"/>
      <c r="W2486" s="15"/>
      <c r="X2486" s="15"/>
      <c r="Y2486" s="15"/>
      <c r="Z2486" s="15"/>
    </row>
    <row r="2487" spans="1:26" x14ac:dyDescent="0.25">
      <c r="A2487" s="15" t="s">
        <v>15950</v>
      </c>
      <c r="B2487" s="15">
        <v>2486</v>
      </c>
      <c r="C2487" s="15" t="s">
        <v>11277</v>
      </c>
      <c r="D2487" s="15" t="s">
        <v>11277</v>
      </c>
      <c r="E2487" s="15" t="s">
        <v>215</v>
      </c>
      <c r="F2487" s="15" t="s">
        <v>15941</v>
      </c>
      <c r="G2487" s="15" t="s">
        <v>12806</v>
      </c>
      <c r="H2487" s="15">
        <v>6</v>
      </c>
      <c r="I2487" s="15">
        <v>6</v>
      </c>
      <c r="J2487" s="15">
        <v>100</v>
      </c>
      <c r="K2487" s="15" t="str">
        <f t="shared" si="38"/>
        <v>thavnairspectralcurrent</v>
      </c>
      <c r="L2487" s="15" t="s">
        <v>11245</v>
      </c>
      <c r="M2487" s="15">
        <v>3</v>
      </c>
      <c r="N2487" s="15" t="s">
        <v>11222</v>
      </c>
      <c r="O2487" s="15"/>
      <c r="P2487" s="15"/>
      <c r="Q2487" s="15"/>
      <c r="R2487" s="15"/>
      <c r="S2487" s="15"/>
      <c r="T2487" s="15">
        <v>3</v>
      </c>
      <c r="U2487" s="15"/>
      <c r="V2487" s="15"/>
      <c r="W2487" s="15"/>
      <c r="X2487" s="15"/>
      <c r="Y2487" s="15"/>
      <c r="Z2487" s="15"/>
    </row>
    <row r="2488" spans="1:26" x14ac:dyDescent="0.25">
      <c r="A2488" s="15" t="s">
        <v>15951</v>
      </c>
      <c r="B2488" s="15">
        <v>2487</v>
      </c>
      <c r="C2488" s="15" t="s">
        <v>11277</v>
      </c>
      <c r="D2488" s="15" t="s">
        <v>11277</v>
      </c>
      <c r="E2488" s="15" t="s">
        <v>133</v>
      </c>
      <c r="F2488" s="15" t="s">
        <v>15952</v>
      </c>
      <c r="G2488" s="15" t="s">
        <v>12093</v>
      </c>
      <c r="H2488" s="15">
        <v>6.3</v>
      </c>
      <c r="I2488" s="15">
        <v>6.6</v>
      </c>
      <c r="J2488" s="15">
        <v>90</v>
      </c>
      <c r="K2488" s="15" t="str">
        <f t="shared" si="38"/>
        <v>elysianfields</v>
      </c>
      <c r="L2488" s="15"/>
      <c r="M2488" s="15"/>
      <c r="N2488" s="15"/>
      <c r="O2488" s="15"/>
      <c r="P2488" s="15"/>
      <c r="Q2488" s="15"/>
      <c r="R2488" s="15"/>
      <c r="S2488" s="15"/>
      <c r="T2488" s="15">
        <v>0</v>
      </c>
      <c r="U2488" s="15"/>
      <c r="V2488" s="15"/>
      <c r="W2488" s="15"/>
      <c r="X2488" s="15"/>
      <c r="Y2488" s="15"/>
      <c r="Z2488" s="15"/>
    </row>
    <row r="2489" spans="1:26" x14ac:dyDescent="0.25">
      <c r="A2489" s="15" t="s">
        <v>15953</v>
      </c>
      <c r="B2489" s="15">
        <v>2488</v>
      </c>
      <c r="C2489" s="15" t="s">
        <v>11277</v>
      </c>
      <c r="D2489" s="15" t="s">
        <v>11277</v>
      </c>
      <c r="E2489" s="15" t="s">
        <v>133</v>
      </c>
      <c r="F2489" s="15" t="s">
        <v>15952</v>
      </c>
      <c r="G2489" s="15" t="s">
        <v>12095</v>
      </c>
      <c r="H2489" s="15">
        <v>6.3</v>
      </c>
      <c r="I2489" s="15">
        <v>6.6</v>
      </c>
      <c r="J2489" s="15">
        <v>90</v>
      </c>
      <c r="K2489" s="15" t="str">
        <f t="shared" si="38"/>
        <v>elysianfields</v>
      </c>
      <c r="L2489" s="15"/>
      <c r="M2489" s="15"/>
      <c r="N2489" s="15"/>
      <c r="O2489" s="15"/>
      <c r="P2489" s="15"/>
      <c r="Q2489" s="15"/>
      <c r="R2489" s="15"/>
      <c r="S2489" s="15"/>
      <c r="T2489" s="15">
        <v>0</v>
      </c>
      <c r="U2489" s="15"/>
      <c r="V2489" s="15"/>
      <c r="W2489" s="15"/>
      <c r="X2489" s="15"/>
      <c r="Y2489" s="15"/>
      <c r="Z2489" s="15"/>
    </row>
    <row r="2490" spans="1:26" x14ac:dyDescent="0.25">
      <c r="A2490" s="15" t="s">
        <v>15954</v>
      </c>
      <c r="B2490" s="15">
        <v>2489</v>
      </c>
      <c r="C2490" s="15" t="s">
        <v>11277</v>
      </c>
      <c r="D2490" s="15" t="s">
        <v>11277</v>
      </c>
      <c r="E2490" s="15" t="s">
        <v>133</v>
      </c>
      <c r="F2490" s="15" t="s">
        <v>15952</v>
      </c>
      <c r="G2490" s="15" t="s">
        <v>15955</v>
      </c>
      <c r="H2490" s="15">
        <v>6.3</v>
      </c>
      <c r="I2490" s="15">
        <v>6.6</v>
      </c>
      <c r="J2490" s="15">
        <v>80</v>
      </c>
      <c r="K2490" s="15" t="str">
        <f t="shared" si="38"/>
        <v>elysianfields</v>
      </c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 spans="1:26" x14ac:dyDescent="0.25">
      <c r="A2491" s="15" t="s">
        <v>15956</v>
      </c>
      <c r="B2491" s="15">
        <v>2490</v>
      </c>
      <c r="C2491" s="15" t="s">
        <v>11277</v>
      </c>
      <c r="D2491" s="15" t="s">
        <v>11277</v>
      </c>
      <c r="E2491" s="15" t="s">
        <v>133</v>
      </c>
      <c r="F2491" s="15" t="s">
        <v>15952</v>
      </c>
      <c r="G2491" s="15" t="s">
        <v>15957</v>
      </c>
      <c r="H2491" s="15">
        <v>6.3</v>
      </c>
      <c r="I2491" s="15">
        <v>6.6</v>
      </c>
      <c r="J2491" s="15">
        <v>80</v>
      </c>
      <c r="K2491" s="15" t="str">
        <f t="shared" si="38"/>
        <v>elysianfields</v>
      </c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 spans="1:26" x14ac:dyDescent="0.25">
      <c r="A2492" s="15" t="s">
        <v>15958</v>
      </c>
      <c r="B2492" s="15">
        <v>2491</v>
      </c>
      <c r="C2492" s="15" t="s">
        <v>11277</v>
      </c>
      <c r="D2492" s="15" t="s">
        <v>11277</v>
      </c>
      <c r="E2492" s="15" t="s">
        <v>133</v>
      </c>
      <c r="F2492" s="15" t="s">
        <v>15952</v>
      </c>
      <c r="G2492" s="15" t="s">
        <v>15959</v>
      </c>
      <c r="H2492" s="15">
        <v>6.3</v>
      </c>
      <c r="I2492" s="15">
        <v>6.6</v>
      </c>
      <c r="J2492" s="15">
        <v>80</v>
      </c>
      <c r="K2492" s="15" t="str">
        <f t="shared" si="38"/>
        <v>elysianfields</v>
      </c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 spans="1:26" x14ac:dyDescent="0.25">
      <c r="A2493" s="15" t="s">
        <v>15960</v>
      </c>
      <c r="B2493" s="15">
        <v>2492</v>
      </c>
      <c r="C2493" s="15" t="s">
        <v>11277</v>
      </c>
      <c r="D2493" s="15" t="s">
        <v>11277</v>
      </c>
      <c r="E2493" s="15" t="s">
        <v>133</v>
      </c>
      <c r="F2493" s="15" t="s">
        <v>15952</v>
      </c>
      <c r="G2493" s="15" t="s">
        <v>15961</v>
      </c>
      <c r="H2493" s="15">
        <v>6.3</v>
      </c>
      <c r="I2493" s="15">
        <v>6.6</v>
      </c>
      <c r="J2493" s="15">
        <v>80</v>
      </c>
      <c r="K2493" s="15" t="str">
        <f t="shared" si="38"/>
        <v>elysianfields</v>
      </c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 spans="1:26" x14ac:dyDescent="0.25">
      <c r="A2494" s="15" t="s">
        <v>15962</v>
      </c>
      <c r="B2494" s="15">
        <v>2493</v>
      </c>
      <c r="C2494" s="15" t="s">
        <v>11277</v>
      </c>
      <c r="D2494" s="15" t="s">
        <v>11277</v>
      </c>
      <c r="E2494" s="15" t="s">
        <v>133</v>
      </c>
      <c r="F2494" s="15" t="s">
        <v>15963</v>
      </c>
      <c r="G2494" s="15" t="s">
        <v>12093</v>
      </c>
      <c r="H2494" s="15">
        <v>6</v>
      </c>
      <c r="I2494" s="15">
        <v>5</v>
      </c>
      <c r="J2494" s="15">
        <v>90</v>
      </c>
      <c r="K2494" s="15" t="str">
        <f t="shared" si="38"/>
        <v>elysianseasα</v>
      </c>
      <c r="L2494" s="15"/>
      <c r="M2494" s="15"/>
      <c r="N2494" s="15"/>
      <c r="O2494" s="15"/>
      <c r="P2494" s="15"/>
      <c r="Q2494" s="15"/>
      <c r="R2494" s="15"/>
      <c r="S2494" s="15"/>
      <c r="T2494" s="15">
        <v>0</v>
      </c>
      <c r="U2494" s="15"/>
      <c r="V2494" s="15"/>
      <c r="W2494" s="15"/>
      <c r="X2494" s="15"/>
      <c r="Y2494" s="15"/>
      <c r="Z2494" s="15"/>
    </row>
    <row r="2495" spans="1:26" x14ac:dyDescent="0.25">
      <c r="A2495" s="15" t="s">
        <v>15964</v>
      </c>
      <c r="B2495" s="15">
        <v>2494</v>
      </c>
      <c r="C2495" s="15" t="s">
        <v>11277</v>
      </c>
      <c r="D2495" s="15" t="s">
        <v>11277</v>
      </c>
      <c r="E2495" s="15" t="s">
        <v>133</v>
      </c>
      <c r="F2495" s="15" t="s">
        <v>15963</v>
      </c>
      <c r="G2495" s="15" t="s">
        <v>12094</v>
      </c>
      <c r="H2495" s="15">
        <v>6</v>
      </c>
      <c r="I2495" s="15">
        <v>5</v>
      </c>
      <c r="J2495" s="15">
        <v>90</v>
      </c>
      <c r="K2495" s="15" t="str">
        <f t="shared" si="38"/>
        <v>elysianseasα</v>
      </c>
      <c r="L2495" s="15"/>
      <c r="M2495" s="15"/>
      <c r="N2495" s="15"/>
      <c r="O2495" s="15"/>
      <c r="P2495" s="15"/>
      <c r="Q2495" s="15"/>
      <c r="R2495" s="15"/>
      <c r="S2495" s="15"/>
      <c r="T2495" s="15">
        <v>0</v>
      </c>
      <c r="U2495" s="15"/>
      <c r="V2495" s="15"/>
      <c r="W2495" s="15"/>
      <c r="X2495" s="15"/>
      <c r="Y2495" s="15"/>
      <c r="Z2495" s="15"/>
    </row>
    <row r="2496" spans="1:26" x14ac:dyDescent="0.25">
      <c r="A2496" s="15" t="s">
        <v>15965</v>
      </c>
      <c r="B2496" s="15">
        <v>2495</v>
      </c>
      <c r="C2496" s="15" t="s">
        <v>11277</v>
      </c>
      <c r="D2496" s="15" t="s">
        <v>11277</v>
      </c>
      <c r="E2496" s="15" t="s">
        <v>133</v>
      </c>
      <c r="F2496" s="15" t="s">
        <v>15963</v>
      </c>
      <c r="G2496" s="15" t="s">
        <v>15966</v>
      </c>
      <c r="H2496" s="15">
        <v>6</v>
      </c>
      <c r="I2496" s="15">
        <v>5</v>
      </c>
      <c r="J2496" s="15">
        <v>80</v>
      </c>
      <c r="K2496" s="15" t="str">
        <f t="shared" si="38"/>
        <v>elysianseasα</v>
      </c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 spans="1:26" x14ac:dyDescent="0.25">
      <c r="A2497" s="15" t="s">
        <v>15967</v>
      </c>
      <c r="B2497" s="15">
        <v>2496</v>
      </c>
      <c r="C2497" s="15" t="s">
        <v>11277</v>
      </c>
      <c r="D2497" s="15" t="s">
        <v>11277</v>
      </c>
      <c r="E2497" s="15" t="s">
        <v>133</v>
      </c>
      <c r="F2497" s="15" t="s">
        <v>15963</v>
      </c>
      <c r="G2497" s="15" t="s">
        <v>15968</v>
      </c>
      <c r="H2497" s="15">
        <v>6</v>
      </c>
      <c r="I2497" s="15">
        <v>5</v>
      </c>
      <c r="J2497" s="15">
        <v>80</v>
      </c>
      <c r="K2497" s="15" t="str">
        <f t="shared" si="38"/>
        <v>elysianseasα</v>
      </c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 spans="1:26" x14ac:dyDescent="0.25">
      <c r="A2498" s="15" t="s">
        <v>15969</v>
      </c>
      <c r="B2498" s="15">
        <v>2497</v>
      </c>
      <c r="C2498" s="15" t="s">
        <v>11277</v>
      </c>
      <c r="D2498" s="15" t="s">
        <v>11277</v>
      </c>
      <c r="E2498" s="15" t="s">
        <v>133</v>
      </c>
      <c r="F2498" s="15" t="s">
        <v>15963</v>
      </c>
      <c r="G2498" s="15" t="s">
        <v>15970</v>
      </c>
      <c r="H2498" s="15">
        <v>6</v>
      </c>
      <c r="I2498" s="15">
        <v>5</v>
      </c>
      <c r="J2498" s="15">
        <v>80</v>
      </c>
      <c r="K2498" s="15" t="str">
        <f t="shared" ref="K2498:K2561" si="39">LOWER(SUBSTITUTE(SUBSTITUTE(SUBSTITUTE(SUBSTITUTE(SUBSTITUTE(F2498," ",""),"(",""),")",""),"'",""),"-",""))</f>
        <v>elysianseasα</v>
      </c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 spans="1:26" x14ac:dyDescent="0.25">
      <c r="A2499" s="15" t="s">
        <v>15971</v>
      </c>
      <c r="B2499" s="15">
        <v>2498</v>
      </c>
      <c r="C2499" s="15" t="s">
        <v>11277</v>
      </c>
      <c r="D2499" s="15" t="s">
        <v>11277</v>
      </c>
      <c r="E2499" s="15" t="s">
        <v>133</v>
      </c>
      <c r="F2499" s="15" t="s">
        <v>15972</v>
      </c>
      <c r="G2499" s="15" t="s">
        <v>12093</v>
      </c>
      <c r="H2499" s="15">
        <v>7.1</v>
      </c>
      <c r="I2499" s="15">
        <v>4.0999999999999996</v>
      </c>
      <c r="J2499" s="15">
        <v>90</v>
      </c>
      <c r="K2499" s="15" t="str">
        <f t="shared" si="39"/>
        <v>elysianseasβ</v>
      </c>
      <c r="L2499" s="15"/>
      <c r="M2499" s="15"/>
      <c r="N2499" s="15"/>
      <c r="O2499" s="15"/>
      <c r="P2499" s="15"/>
      <c r="Q2499" s="15"/>
      <c r="R2499" s="15"/>
      <c r="S2499" s="15"/>
      <c r="T2499" s="15">
        <v>0</v>
      </c>
      <c r="U2499" s="15"/>
      <c r="V2499" s="15"/>
      <c r="W2499" s="15"/>
      <c r="X2499" s="15"/>
      <c r="Y2499" s="15"/>
      <c r="Z2499" s="15"/>
    </row>
    <row r="2500" spans="1:26" x14ac:dyDescent="0.25">
      <c r="A2500" s="15" t="s">
        <v>15973</v>
      </c>
      <c r="B2500" s="15">
        <v>2499</v>
      </c>
      <c r="C2500" s="15" t="s">
        <v>11277</v>
      </c>
      <c r="D2500" s="15" t="s">
        <v>11277</v>
      </c>
      <c r="E2500" s="15" t="s">
        <v>133</v>
      </c>
      <c r="F2500" s="15" t="s">
        <v>15972</v>
      </c>
      <c r="G2500" s="15" t="s">
        <v>12095</v>
      </c>
      <c r="H2500" s="15">
        <v>7.1</v>
      </c>
      <c r="I2500" s="15">
        <v>4.0999999999999996</v>
      </c>
      <c r="J2500" s="15">
        <v>90</v>
      </c>
      <c r="K2500" s="15" t="str">
        <f t="shared" si="39"/>
        <v>elysianseasβ</v>
      </c>
      <c r="L2500" s="15"/>
      <c r="M2500" s="15"/>
      <c r="N2500" s="15"/>
      <c r="O2500" s="15"/>
      <c r="P2500" s="15"/>
      <c r="Q2500" s="15"/>
      <c r="R2500" s="15"/>
      <c r="S2500" s="15"/>
      <c r="T2500" s="15">
        <v>0</v>
      </c>
      <c r="U2500" s="15"/>
      <c r="V2500" s="15"/>
      <c r="W2500" s="15"/>
      <c r="X2500" s="15"/>
      <c r="Y2500" s="15"/>
      <c r="Z2500" s="15"/>
    </row>
    <row r="2501" spans="1:26" x14ac:dyDescent="0.25">
      <c r="A2501" s="15" t="s">
        <v>15974</v>
      </c>
      <c r="B2501" s="15">
        <v>2500</v>
      </c>
      <c r="C2501" s="15" t="s">
        <v>11277</v>
      </c>
      <c r="D2501" s="15" t="s">
        <v>11277</v>
      </c>
      <c r="E2501" s="15" t="s">
        <v>133</v>
      </c>
      <c r="F2501" s="15" t="s">
        <v>15972</v>
      </c>
      <c r="G2501" s="15" t="s">
        <v>15975</v>
      </c>
      <c r="H2501" s="15">
        <v>7.1</v>
      </c>
      <c r="I2501" s="15">
        <v>4.0999999999999996</v>
      </c>
      <c r="J2501" s="15">
        <v>80</v>
      </c>
      <c r="K2501" s="15" t="str">
        <f t="shared" si="39"/>
        <v>elysianseasβ</v>
      </c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 spans="1:26" x14ac:dyDescent="0.25">
      <c r="A2502" s="15" t="s">
        <v>15976</v>
      </c>
      <c r="B2502" s="15">
        <v>2501</v>
      </c>
      <c r="C2502" s="15" t="s">
        <v>11277</v>
      </c>
      <c r="D2502" s="15" t="s">
        <v>11277</v>
      </c>
      <c r="E2502" s="15" t="s">
        <v>133</v>
      </c>
      <c r="F2502" s="15" t="s">
        <v>15972</v>
      </c>
      <c r="G2502" s="15" t="s">
        <v>15977</v>
      </c>
      <c r="H2502" s="15">
        <v>7.1</v>
      </c>
      <c r="I2502" s="15">
        <v>4.0999999999999996</v>
      </c>
      <c r="J2502" s="15">
        <v>80</v>
      </c>
      <c r="K2502" s="15" t="str">
        <f t="shared" si="39"/>
        <v>elysianseasβ</v>
      </c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 spans="1:26" x14ac:dyDescent="0.25">
      <c r="A2503" s="15" t="s">
        <v>15978</v>
      </c>
      <c r="B2503" s="15">
        <v>2502</v>
      </c>
      <c r="C2503" s="15" t="s">
        <v>11277</v>
      </c>
      <c r="D2503" s="15" t="s">
        <v>11277</v>
      </c>
      <c r="E2503" s="15" t="s">
        <v>133</v>
      </c>
      <c r="F2503" s="15" t="s">
        <v>15972</v>
      </c>
      <c r="G2503" s="15" t="s">
        <v>15979</v>
      </c>
      <c r="H2503" s="15">
        <v>7.1</v>
      </c>
      <c r="I2503" s="15">
        <v>4.0999999999999996</v>
      </c>
      <c r="J2503" s="15">
        <v>80</v>
      </c>
      <c r="K2503" s="15" t="str">
        <f t="shared" si="39"/>
        <v>elysianseasβ</v>
      </c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 spans="1:26" x14ac:dyDescent="0.25">
      <c r="A2504" s="15" t="s">
        <v>15980</v>
      </c>
      <c r="B2504" s="15">
        <v>2503</v>
      </c>
      <c r="C2504" s="15" t="s">
        <v>11277</v>
      </c>
      <c r="D2504" s="15" t="s">
        <v>11277</v>
      </c>
      <c r="E2504" s="15" t="s">
        <v>133</v>
      </c>
      <c r="F2504" s="15" t="s">
        <v>15981</v>
      </c>
      <c r="G2504" s="15" t="s">
        <v>12093</v>
      </c>
      <c r="H2504" s="15">
        <v>5</v>
      </c>
      <c r="I2504" s="15">
        <v>6</v>
      </c>
      <c r="J2504" s="15">
        <v>90</v>
      </c>
      <c r="K2504" s="15" t="str">
        <f t="shared" si="39"/>
        <v>elysianplaygroundsα</v>
      </c>
      <c r="L2504" s="15"/>
      <c r="M2504" s="15"/>
      <c r="N2504" s="15"/>
      <c r="O2504" s="15"/>
      <c r="P2504" s="15"/>
      <c r="Q2504" s="15"/>
      <c r="R2504" s="15"/>
      <c r="S2504" s="15"/>
      <c r="T2504" s="15">
        <v>0</v>
      </c>
      <c r="U2504" s="15"/>
      <c r="V2504" s="15"/>
      <c r="W2504" s="15"/>
      <c r="X2504" s="15"/>
      <c r="Y2504" s="15"/>
      <c r="Z2504" s="15"/>
    </row>
    <row r="2505" spans="1:26" x14ac:dyDescent="0.25">
      <c r="A2505" s="15" t="s">
        <v>15982</v>
      </c>
      <c r="B2505" s="15">
        <v>2504</v>
      </c>
      <c r="C2505" s="15" t="s">
        <v>11277</v>
      </c>
      <c r="D2505" s="15" t="s">
        <v>11277</v>
      </c>
      <c r="E2505" s="15" t="s">
        <v>133</v>
      </c>
      <c r="F2505" s="15" t="s">
        <v>15981</v>
      </c>
      <c r="G2505" s="15" t="s">
        <v>12098</v>
      </c>
      <c r="H2505" s="15">
        <v>5</v>
      </c>
      <c r="I2505" s="15">
        <v>6</v>
      </c>
      <c r="J2505" s="15">
        <v>90</v>
      </c>
      <c r="K2505" s="15" t="str">
        <f t="shared" si="39"/>
        <v>elysianplaygroundsα</v>
      </c>
      <c r="L2505" s="15"/>
      <c r="M2505" s="15"/>
      <c r="N2505" s="15"/>
      <c r="O2505" s="15"/>
      <c r="P2505" s="15"/>
      <c r="Q2505" s="15"/>
      <c r="R2505" s="15"/>
      <c r="S2505" s="15"/>
      <c r="T2505" s="15">
        <v>0</v>
      </c>
      <c r="U2505" s="15"/>
      <c r="V2505" s="15"/>
      <c r="W2505" s="15"/>
      <c r="X2505" s="15"/>
      <c r="Y2505" s="15"/>
      <c r="Z2505" s="15"/>
    </row>
    <row r="2506" spans="1:26" x14ac:dyDescent="0.25">
      <c r="A2506" s="15" t="s">
        <v>15983</v>
      </c>
      <c r="B2506" s="15">
        <v>2505</v>
      </c>
      <c r="C2506" s="15" t="s">
        <v>11277</v>
      </c>
      <c r="D2506" s="15" t="s">
        <v>11277</v>
      </c>
      <c r="E2506" s="15" t="s">
        <v>133</v>
      </c>
      <c r="F2506" s="15" t="s">
        <v>15981</v>
      </c>
      <c r="G2506" s="15" t="s">
        <v>15984</v>
      </c>
      <c r="H2506" s="15">
        <v>5</v>
      </c>
      <c r="I2506" s="15">
        <v>6</v>
      </c>
      <c r="J2506" s="15">
        <v>80</v>
      </c>
      <c r="K2506" s="15" t="str">
        <f t="shared" si="39"/>
        <v>elysianplaygroundsα</v>
      </c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 spans="1:26" x14ac:dyDescent="0.25">
      <c r="A2507" s="15" t="s">
        <v>15985</v>
      </c>
      <c r="B2507" s="15">
        <v>2506</v>
      </c>
      <c r="C2507" s="15" t="s">
        <v>11277</v>
      </c>
      <c r="D2507" s="15" t="s">
        <v>11277</v>
      </c>
      <c r="E2507" s="15" t="s">
        <v>133</v>
      </c>
      <c r="F2507" s="15" t="s">
        <v>15981</v>
      </c>
      <c r="G2507" s="15" t="s">
        <v>15986</v>
      </c>
      <c r="H2507" s="15">
        <v>5</v>
      </c>
      <c r="I2507" s="15">
        <v>6</v>
      </c>
      <c r="J2507" s="15">
        <v>80</v>
      </c>
      <c r="K2507" s="15" t="str">
        <f t="shared" si="39"/>
        <v>elysianplaygroundsα</v>
      </c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 spans="1:26" x14ac:dyDescent="0.25">
      <c r="A2508" s="15" t="s">
        <v>15987</v>
      </c>
      <c r="B2508" s="15">
        <v>2507</v>
      </c>
      <c r="C2508" s="15" t="s">
        <v>11277</v>
      </c>
      <c r="D2508" s="15" t="s">
        <v>11277</v>
      </c>
      <c r="E2508" s="15" t="s">
        <v>133</v>
      </c>
      <c r="F2508" s="15" t="s">
        <v>15981</v>
      </c>
      <c r="G2508" s="15" t="s">
        <v>15988</v>
      </c>
      <c r="H2508" s="15">
        <v>5</v>
      </c>
      <c r="I2508" s="15">
        <v>6</v>
      </c>
      <c r="J2508" s="15">
        <v>80</v>
      </c>
      <c r="K2508" s="15" t="str">
        <f t="shared" si="39"/>
        <v>elysianplaygroundsα</v>
      </c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 spans="1:26" x14ac:dyDescent="0.25">
      <c r="A2509" s="15" t="s">
        <v>15989</v>
      </c>
      <c r="B2509" s="15">
        <v>2508</v>
      </c>
      <c r="C2509" s="15" t="s">
        <v>11277</v>
      </c>
      <c r="D2509" s="15" t="s">
        <v>11277</v>
      </c>
      <c r="E2509" s="15" t="s">
        <v>133</v>
      </c>
      <c r="F2509" s="15" t="s">
        <v>15990</v>
      </c>
      <c r="G2509" s="15" t="s">
        <v>12093</v>
      </c>
      <c r="H2509" s="15">
        <v>4.7</v>
      </c>
      <c r="I2509" s="15">
        <v>7.8</v>
      </c>
      <c r="J2509" s="15">
        <v>90</v>
      </c>
      <c r="K2509" s="15" t="str">
        <f t="shared" si="39"/>
        <v>elysianplaygroundsβ</v>
      </c>
      <c r="L2509" s="15"/>
      <c r="M2509" s="15"/>
      <c r="N2509" s="15"/>
      <c r="O2509" s="15"/>
      <c r="P2509" s="15"/>
      <c r="Q2509" s="15"/>
      <c r="R2509" s="15"/>
      <c r="S2509" s="15"/>
      <c r="T2509" s="15">
        <v>0</v>
      </c>
      <c r="U2509" s="15"/>
      <c r="V2509" s="15"/>
      <c r="W2509" s="15"/>
      <c r="X2509" s="15"/>
      <c r="Y2509" s="15"/>
      <c r="Z2509" s="15"/>
    </row>
    <row r="2510" spans="1:26" x14ac:dyDescent="0.25">
      <c r="A2510" s="15" t="s">
        <v>15991</v>
      </c>
      <c r="B2510" s="15">
        <v>2509</v>
      </c>
      <c r="C2510" s="15" t="s">
        <v>11277</v>
      </c>
      <c r="D2510" s="15" t="s">
        <v>11277</v>
      </c>
      <c r="E2510" s="15" t="s">
        <v>133</v>
      </c>
      <c r="F2510" s="15" t="s">
        <v>15990</v>
      </c>
      <c r="G2510" s="15" t="s">
        <v>12098</v>
      </c>
      <c r="H2510" s="15">
        <v>4.7</v>
      </c>
      <c r="I2510" s="15">
        <v>7.8</v>
      </c>
      <c r="J2510" s="15">
        <v>90</v>
      </c>
      <c r="K2510" s="15" t="str">
        <f t="shared" si="39"/>
        <v>elysianplaygroundsβ</v>
      </c>
      <c r="L2510" s="15"/>
      <c r="M2510" s="15"/>
      <c r="N2510" s="15"/>
      <c r="O2510" s="15"/>
      <c r="P2510" s="15"/>
      <c r="Q2510" s="15"/>
      <c r="R2510" s="15"/>
      <c r="S2510" s="15"/>
      <c r="T2510" s="15">
        <v>0</v>
      </c>
      <c r="U2510" s="15"/>
      <c r="V2510" s="15"/>
      <c r="W2510" s="15"/>
      <c r="X2510" s="15"/>
      <c r="Y2510" s="15"/>
      <c r="Z2510" s="15"/>
    </row>
    <row r="2511" spans="1:26" x14ac:dyDescent="0.25">
      <c r="A2511" s="15" t="s">
        <v>15992</v>
      </c>
      <c r="B2511" s="15">
        <v>2510</v>
      </c>
      <c r="C2511" s="15" t="s">
        <v>11277</v>
      </c>
      <c r="D2511" s="15" t="s">
        <v>11277</v>
      </c>
      <c r="E2511" s="15" t="s">
        <v>133</v>
      </c>
      <c r="F2511" s="15" t="s">
        <v>15990</v>
      </c>
      <c r="G2511" s="15" t="s">
        <v>12094</v>
      </c>
      <c r="H2511" s="15">
        <v>4.7</v>
      </c>
      <c r="I2511" s="15">
        <v>7.8</v>
      </c>
      <c r="J2511" s="15">
        <v>90</v>
      </c>
      <c r="K2511" s="15" t="str">
        <f t="shared" si="39"/>
        <v>elysianplaygroundsβ</v>
      </c>
      <c r="L2511" s="15"/>
      <c r="M2511" s="15"/>
      <c r="N2511" s="15"/>
      <c r="O2511" s="15"/>
      <c r="P2511" s="15"/>
      <c r="Q2511" s="15"/>
      <c r="R2511" s="15"/>
      <c r="S2511" s="15"/>
      <c r="T2511" s="15">
        <v>0</v>
      </c>
      <c r="U2511" s="15"/>
      <c r="V2511" s="15"/>
      <c r="W2511" s="15"/>
      <c r="X2511" s="15"/>
      <c r="Y2511" s="15"/>
      <c r="Z2511" s="15"/>
    </row>
    <row r="2512" spans="1:26" x14ac:dyDescent="0.25">
      <c r="A2512" s="15" t="s">
        <v>15993</v>
      </c>
      <c r="B2512" s="15">
        <v>2511</v>
      </c>
      <c r="C2512" s="15" t="s">
        <v>11277</v>
      </c>
      <c r="D2512" s="15" t="s">
        <v>11277</v>
      </c>
      <c r="E2512" s="15" t="s">
        <v>133</v>
      </c>
      <c r="F2512" s="15" t="s">
        <v>15990</v>
      </c>
      <c r="G2512" s="15" t="s">
        <v>15994</v>
      </c>
      <c r="H2512" s="15">
        <v>4.7</v>
      </c>
      <c r="I2512" s="15">
        <v>7.8</v>
      </c>
      <c r="J2512" s="15">
        <v>80</v>
      </c>
      <c r="K2512" s="15" t="str">
        <f t="shared" si="39"/>
        <v>elysianplaygroundsβ</v>
      </c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 spans="1:26" x14ac:dyDescent="0.25">
      <c r="A2513" s="15" t="s">
        <v>15995</v>
      </c>
      <c r="B2513" s="15">
        <v>2512</v>
      </c>
      <c r="C2513" s="15" t="s">
        <v>11277</v>
      </c>
      <c r="D2513" s="15" t="s">
        <v>11277</v>
      </c>
      <c r="E2513" s="15" t="s">
        <v>133</v>
      </c>
      <c r="F2513" s="15" t="s">
        <v>15990</v>
      </c>
      <c r="G2513" s="15" t="s">
        <v>15996</v>
      </c>
      <c r="H2513" s="15">
        <v>4.7</v>
      </c>
      <c r="I2513" s="15">
        <v>7.8</v>
      </c>
      <c r="J2513" s="15">
        <v>80</v>
      </c>
      <c r="K2513" s="15" t="str">
        <f t="shared" si="39"/>
        <v>elysianplaygroundsβ</v>
      </c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 spans="1:26" x14ac:dyDescent="0.25">
      <c r="A2514" s="15" t="s">
        <v>15997</v>
      </c>
      <c r="B2514" s="15">
        <v>2513</v>
      </c>
      <c r="C2514" s="15" t="s">
        <v>11277</v>
      </c>
      <c r="D2514" s="15" t="s">
        <v>11277</v>
      </c>
      <c r="E2514" s="15" t="s">
        <v>133</v>
      </c>
      <c r="F2514" s="15" t="s">
        <v>15990</v>
      </c>
      <c r="G2514" s="15" t="s">
        <v>15998</v>
      </c>
      <c r="H2514" s="15">
        <v>4.7</v>
      </c>
      <c r="I2514" s="15">
        <v>7.8</v>
      </c>
      <c r="J2514" s="15">
        <v>80</v>
      </c>
      <c r="K2514" s="15" t="str">
        <f t="shared" si="39"/>
        <v>elysianplaygroundsβ</v>
      </c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 spans="1:26" x14ac:dyDescent="0.25">
      <c r="A2515" s="15" t="s">
        <v>15999</v>
      </c>
      <c r="B2515" s="15">
        <v>2514</v>
      </c>
      <c r="C2515" s="15" t="s">
        <v>11277</v>
      </c>
      <c r="D2515" s="15" t="s">
        <v>11277</v>
      </c>
      <c r="E2515" s="15" t="s">
        <v>73</v>
      </c>
      <c r="F2515" s="15" t="s">
        <v>16000</v>
      </c>
      <c r="G2515" s="15" t="s">
        <v>13264</v>
      </c>
      <c r="H2515" s="15">
        <v>20</v>
      </c>
      <c r="I2515" s="15">
        <v>24</v>
      </c>
      <c r="J2515" s="15">
        <v>64</v>
      </c>
      <c r="K2515" s="15" t="str">
        <f t="shared" si="39"/>
        <v>theonerivereast</v>
      </c>
      <c r="L2515" s="15" t="s">
        <v>12848</v>
      </c>
      <c r="M2515" s="15">
        <v>2</v>
      </c>
      <c r="N2515" s="15" t="s">
        <v>11223</v>
      </c>
      <c r="O2515" s="15"/>
      <c r="P2515" s="15"/>
      <c r="Q2515" s="15"/>
      <c r="R2515" s="15"/>
      <c r="S2515" s="15"/>
      <c r="T2515" s="15">
        <v>0</v>
      </c>
      <c r="U2515" s="15"/>
      <c r="V2515" s="15"/>
      <c r="W2515" s="15"/>
      <c r="X2515" s="15"/>
      <c r="Y2515" s="15"/>
      <c r="Z2515" s="15"/>
    </row>
    <row r="2516" spans="1:26" x14ac:dyDescent="0.25">
      <c r="A2516" s="15" t="s">
        <v>16001</v>
      </c>
      <c r="B2516" s="15">
        <v>2515</v>
      </c>
      <c r="C2516" s="15" t="s">
        <v>11277</v>
      </c>
      <c r="D2516" s="15" t="s">
        <v>11277</v>
      </c>
      <c r="E2516" s="15" t="s">
        <v>73</v>
      </c>
      <c r="F2516" s="15" t="s">
        <v>16000</v>
      </c>
      <c r="G2516" s="15" t="s">
        <v>13266</v>
      </c>
      <c r="H2516" s="15">
        <v>20</v>
      </c>
      <c r="I2516" s="15">
        <v>24</v>
      </c>
      <c r="J2516" s="15">
        <v>64</v>
      </c>
      <c r="K2516" s="15" t="str">
        <f t="shared" si="39"/>
        <v>theonerivereast</v>
      </c>
      <c r="L2516" s="15" t="s">
        <v>12848</v>
      </c>
      <c r="M2516" s="15">
        <v>2</v>
      </c>
      <c r="N2516" s="15" t="s">
        <v>11223</v>
      </c>
      <c r="O2516" s="15"/>
      <c r="P2516" s="15"/>
      <c r="Q2516" s="15"/>
      <c r="R2516" s="15"/>
      <c r="S2516" s="15"/>
      <c r="T2516" s="15">
        <v>0</v>
      </c>
      <c r="U2516" s="15"/>
      <c r="V2516" s="15"/>
      <c r="W2516" s="15"/>
      <c r="X2516" s="15"/>
      <c r="Y2516" s="15"/>
      <c r="Z2516" s="15"/>
    </row>
    <row r="2517" spans="1:26" x14ac:dyDescent="0.25">
      <c r="A2517" s="15" t="s">
        <v>16002</v>
      </c>
      <c r="B2517" s="15">
        <v>2516</v>
      </c>
      <c r="C2517" s="15" t="s">
        <v>11277</v>
      </c>
      <c r="D2517" s="15" t="s">
        <v>11277</v>
      </c>
      <c r="E2517" s="15" t="s">
        <v>73</v>
      </c>
      <c r="F2517" s="15" t="s">
        <v>16000</v>
      </c>
      <c r="G2517" s="15" t="s">
        <v>13254</v>
      </c>
      <c r="H2517" s="15">
        <v>20</v>
      </c>
      <c r="I2517" s="15">
        <v>24</v>
      </c>
      <c r="J2517" s="15">
        <v>64</v>
      </c>
      <c r="K2517" s="15" t="str">
        <f t="shared" si="39"/>
        <v>theonerivereast</v>
      </c>
      <c r="L2517" s="15" t="s">
        <v>11592</v>
      </c>
      <c r="M2517" s="15">
        <v>2</v>
      </c>
      <c r="N2517" s="15" t="s">
        <v>11223</v>
      </c>
      <c r="O2517" s="15"/>
      <c r="P2517" s="15"/>
      <c r="Q2517" s="15"/>
      <c r="R2517" s="15"/>
      <c r="S2517" s="15"/>
      <c r="T2517" s="15">
        <v>0</v>
      </c>
      <c r="U2517" s="15"/>
      <c r="V2517" s="15"/>
      <c r="W2517" s="15"/>
      <c r="X2517" s="15"/>
      <c r="Y2517" s="15"/>
      <c r="Z2517" s="15"/>
    </row>
    <row r="2518" spans="1:26" x14ac:dyDescent="0.25">
      <c r="A2518" s="15" t="s">
        <v>16003</v>
      </c>
      <c r="B2518" s="15">
        <v>2517</v>
      </c>
      <c r="C2518" s="15" t="s">
        <v>11277</v>
      </c>
      <c r="D2518" s="15" t="s">
        <v>11277</v>
      </c>
      <c r="E2518" s="15" t="s">
        <v>73</v>
      </c>
      <c r="F2518" s="15" t="s">
        <v>16000</v>
      </c>
      <c r="G2518" s="15" t="s">
        <v>13268</v>
      </c>
      <c r="H2518" s="15">
        <v>20</v>
      </c>
      <c r="I2518" s="15">
        <v>24</v>
      </c>
      <c r="J2518" s="15">
        <v>65</v>
      </c>
      <c r="K2518" s="15" t="str">
        <f t="shared" si="39"/>
        <v>theonerivereast</v>
      </c>
      <c r="L2518" s="15" t="s">
        <v>12848</v>
      </c>
      <c r="M2518" s="15">
        <v>3</v>
      </c>
      <c r="N2518" s="15" t="s">
        <v>11223</v>
      </c>
      <c r="O2518" s="15"/>
      <c r="P2518" s="15"/>
      <c r="Q2518" s="15"/>
      <c r="R2518" s="15"/>
      <c r="S2518" s="15"/>
      <c r="T2518" s="15">
        <v>0</v>
      </c>
      <c r="U2518" s="15"/>
      <c r="V2518" s="15"/>
      <c r="W2518" s="15"/>
      <c r="X2518" s="15"/>
      <c r="Y2518" s="15"/>
      <c r="Z2518" s="15"/>
    </row>
    <row r="2519" spans="1:26" x14ac:dyDescent="0.25">
      <c r="A2519" s="15" t="s">
        <v>16004</v>
      </c>
      <c r="B2519" s="15">
        <v>2518</v>
      </c>
      <c r="C2519" s="15" t="s">
        <v>11277</v>
      </c>
      <c r="D2519" s="15" t="s">
        <v>11277</v>
      </c>
      <c r="E2519" s="15" t="s">
        <v>73</v>
      </c>
      <c r="F2519" s="15" t="s">
        <v>16000</v>
      </c>
      <c r="G2519" s="15" t="s">
        <v>13270</v>
      </c>
      <c r="H2519" s="15">
        <v>20</v>
      </c>
      <c r="I2519" s="15">
        <v>24</v>
      </c>
      <c r="J2519" s="15">
        <v>69</v>
      </c>
      <c r="K2519" s="15" t="str">
        <f t="shared" si="39"/>
        <v>theonerivereast</v>
      </c>
      <c r="L2519" s="15" t="s">
        <v>11592</v>
      </c>
      <c r="M2519" s="15">
        <v>2</v>
      </c>
      <c r="N2519" s="15" t="s">
        <v>11223</v>
      </c>
      <c r="O2519" s="15"/>
      <c r="P2519" s="15"/>
      <c r="Q2519" s="15"/>
      <c r="R2519" s="15"/>
      <c r="S2519" s="15"/>
      <c r="T2519" s="15">
        <v>0</v>
      </c>
      <c r="U2519" s="15"/>
      <c r="V2519" s="15"/>
      <c r="W2519" s="15"/>
      <c r="X2519" s="15"/>
      <c r="Y2519" s="15"/>
      <c r="Z2519" s="15"/>
    </row>
    <row r="2520" spans="1:26" x14ac:dyDescent="0.25">
      <c r="A2520" s="15" t="s">
        <v>16005</v>
      </c>
      <c r="B2520" s="15">
        <v>2519</v>
      </c>
      <c r="C2520" s="15" t="s">
        <v>11277</v>
      </c>
      <c r="D2520" s="15" t="s">
        <v>11277</v>
      </c>
      <c r="E2520" s="15" t="s">
        <v>73</v>
      </c>
      <c r="F2520" s="15" t="s">
        <v>16000</v>
      </c>
      <c r="G2520" s="15" t="s">
        <v>13272</v>
      </c>
      <c r="H2520" s="15">
        <v>20</v>
      </c>
      <c r="I2520" s="15">
        <v>24</v>
      </c>
      <c r="J2520" s="15">
        <v>70</v>
      </c>
      <c r="K2520" s="15" t="str">
        <f t="shared" si="39"/>
        <v>theonerivereast</v>
      </c>
      <c r="L2520" s="15" t="s">
        <v>11560</v>
      </c>
      <c r="M2520" s="15">
        <v>2</v>
      </c>
      <c r="N2520" s="15" t="s">
        <v>11223</v>
      </c>
      <c r="O2520" s="15"/>
      <c r="P2520" s="15"/>
      <c r="Q2520" s="15"/>
      <c r="R2520" s="15"/>
      <c r="S2520" s="15"/>
      <c r="T2520" s="15">
        <v>0</v>
      </c>
      <c r="U2520" s="15"/>
      <c r="V2520" s="15"/>
      <c r="W2520" s="15"/>
      <c r="X2520" s="15"/>
      <c r="Y2520" s="15"/>
      <c r="Z2520" s="15"/>
    </row>
    <row r="2521" spans="1:26" x14ac:dyDescent="0.25">
      <c r="A2521" s="15" t="s">
        <v>16006</v>
      </c>
      <c r="B2521" s="15">
        <v>2520</v>
      </c>
      <c r="C2521" s="15" t="s">
        <v>11277</v>
      </c>
      <c r="D2521" s="15" t="s">
        <v>11277</v>
      </c>
      <c r="E2521" s="15" t="s">
        <v>73</v>
      </c>
      <c r="F2521" s="15" t="s">
        <v>16000</v>
      </c>
      <c r="G2521" s="15" t="s">
        <v>13274</v>
      </c>
      <c r="H2521" s="15">
        <v>20</v>
      </c>
      <c r="I2521" s="15">
        <v>24</v>
      </c>
      <c r="J2521" s="15">
        <v>70</v>
      </c>
      <c r="K2521" s="15" t="str">
        <f t="shared" si="39"/>
        <v>theonerivereast</v>
      </c>
      <c r="L2521" s="15" t="s">
        <v>12848</v>
      </c>
      <c r="M2521" s="15">
        <v>3</v>
      </c>
      <c r="N2521" s="15" t="s">
        <v>11223</v>
      </c>
      <c r="O2521" s="15" t="s">
        <v>11240</v>
      </c>
      <c r="P2521" s="15"/>
      <c r="Q2521" s="15"/>
      <c r="R2521" s="15"/>
      <c r="S2521" s="15"/>
      <c r="T2521" s="15">
        <v>0</v>
      </c>
      <c r="U2521" s="15" t="s">
        <v>5892</v>
      </c>
      <c r="V2521" s="15"/>
      <c r="W2521" s="15"/>
      <c r="X2521" s="15" t="s">
        <v>5908</v>
      </c>
      <c r="Y2521" s="15"/>
      <c r="Z2521" s="15"/>
    </row>
    <row r="2522" spans="1:26" x14ac:dyDescent="0.25">
      <c r="A2522" s="15" t="s">
        <v>16007</v>
      </c>
      <c r="B2522" s="15">
        <v>2521</v>
      </c>
      <c r="C2522" s="15" t="s">
        <v>11277</v>
      </c>
      <c r="D2522" s="15" t="s">
        <v>11277</v>
      </c>
      <c r="E2522" s="15" t="s">
        <v>73</v>
      </c>
      <c r="F2522" s="15" t="s">
        <v>16008</v>
      </c>
      <c r="G2522" s="15" t="s">
        <v>13266</v>
      </c>
      <c r="H2522" s="15">
        <v>11</v>
      </c>
      <c r="I2522" s="15">
        <v>33</v>
      </c>
      <c r="J2522" s="15">
        <v>64</v>
      </c>
      <c r="K2522" s="15" t="str">
        <f t="shared" si="39"/>
        <v>theoneriverwest</v>
      </c>
      <c r="L2522" s="15" t="s">
        <v>12848</v>
      </c>
      <c r="M2522" s="15">
        <v>2</v>
      </c>
      <c r="N2522" s="15" t="s">
        <v>11223</v>
      </c>
      <c r="O2522" s="15"/>
      <c r="P2522" s="15"/>
      <c r="Q2522" s="15"/>
      <c r="R2522" s="15"/>
      <c r="S2522" s="15"/>
      <c r="T2522" s="15">
        <v>0</v>
      </c>
      <c r="U2522" s="15"/>
      <c r="V2522" s="15"/>
      <c r="W2522" s="15"/>
      <c r="X2522" s="15"/>
      <c r="Y2522" s="15"/>
      <c r="Z2522" s="15"/>
    </row>
    <row r="2523" spans="1:26" x14ac:dyDescent="0.25">
      <c r="A2523" s="15" t="s">
        <v>16009</v>
      </c>
      <c r="B2523" s="15">
        <v>2522</v>
      </c>
      <c r="C2523" s="15" t="s">
        <v>11277</v>
      </c>
      <c r="D2523" s="15" t="s">
        <v>11277</v>
      </c>
      <c r="E2523" s="15" t="s">
        <v>73</v>
      </c>
      <c r="F2523" s="15" t="s">
        <v>16008</v>
      </c>
      <c r="G2523" s="15" t="s">
        <v>13254</v>
      </c>
      <c r="H2523" s="15">
        <v>11</v>
      </c>
      <c r="I2523" s="15">
        <v>33</v>
      </c>
      <c r="J2523" s="15">
        <v>64</v>
      </c>
      <c r="K2523" s="15" t="str">
        <f t="shared" si="39"/>
        <v>theoneriverwest</v>
      </c>
      <c r="L2523" s="15" t="s">
        <v>11592</v>
      </c>
      <c r="M2523" s="15">
        <v>2</v>
      </c>
      <c r="N2523" s="15" t="s">
        <v>11223</v>
      </c>
      <c r="O2523" s="15"/>
      <c r="P2523" s="15"/>
      <c r="Q2523" s="15"/>
      <c r="R2523" s="15"/>
      <c r="S2523" s="15"/>
      <c r="T2523" s="15">
        <v>0</v>
      </c>
      <c r="U2523" s="15"/>
      <c r="V2523" s="15"/>
      <c r="W2523" s="15"/>
      <c r="X2523" s="15"/>
      <c r="Y2523" s="15"/>
      <c r="Z2523" s="15"/>
    </row>
    <row r="2524" spans="1:26" x14ac:dyDescent="0.25">
      <c r="A2524" s="15" t="s">
        <v>16010</v>
      </c>
      <c r="B2524" s="15">
        <v>2523</v>
      </c>
      <c r="C2524" s="15" t="s">
        <v>11277</v>
      </c>
      <c r="D2524" s="15" t="s">
        <v>11277</v>
      </c>
      <c r="E2524" s="15" t="s">
        <v>73</v>
      </c>
      <c r="F2524" s="15" t="s">
        <v>16008</v>
      </c>
      <c r="G2524" s="15" t="s">
        <v>13270</v>
      </c>
      <c r="H2524" s="15">
        <v>11</v>
      </c>
      <c r="I2524" s="15">
        <v>33</v>
      </c>
      <c r="J2524" s="15">
        <v>69</v>
      </c>
      <c r="K2524" s="15" t="str">
        <f t="shared" si="39"/>
        <v>theoneriverwest</v>
      </c>
      <c r="L2524" s="15" t="s">
        <v>11592</v>
      </c>
      <c r="M2524" s="15">
        <v>2</v>
      </c>
      <c r="N2524" s="15" t="s">
        <v>11223</v>
      </c>
      <c r="O2524" s="15"/>
      <c r="P2524" s="15"/>
      <c r="Q2524" s="15"/>
      <c r="R2524" s="15"/>
      <c r="S2524" s="15"/>
      <c r="T2524" s="15">
        <v>0</v>
      </c>
      <c r="U2524" s="15"/>
      <c r="V2524" s="15"/>
      <c r="W2524" s="15"/>
      <c r="X2524" s="15"/>
      <c r="Y2524" s="15"/>
      <c r="Z2524" s="15"/>
    </row>
    <row r="2525" spans="1:26" x14ac:dyDescent="0.25">
      <c r="A2525" s="15" t="s">
        <v>16011</v>
      </c>
      <c r="B2525" s="15">
        <v>2524</v>
      </c>
      <c r="C2525" s="15" t="s">
        <v>11277</v>
      </c>
      <c r="D2525" s="15" t="s">
        <v>11277</v>
      </c>
      <c r="E2525" s="15" t="s">
        <v>73</v>
      </c>
      <c r="F2525" s="15" t="s">
        <v>16008</v>
      </c>
      <c r="G2525" s="15" t="s">
        <v>13276</v>
      </c>
      <c r="H2525" s="15">
        <v>11</v>
      </c>
      <c r="I2525" s="15">
        <v>33</v>
      </c>
      <c r="J2525" s="15">
        <v>70</v>
      </c>
      <c r="K2525" s="15" t="str">
        <f t="shared" si="39"/>
        <v>theoneriverwest</v>
      </c>
      <c r="L2525" s="15" t="s">
        <v>12848</v>
      </c>
      <c r="M2525" s="15">
        <v>2</v>
      </c>
      <c r="N2525" s="15" t="s">
        <v>11223</v>
      </c>
      <c r="O2525" s="15" t="s">
        <v>14037</v>
      </c>
      <c r="P2525" s="15"/>
      <c r="Q2525" s="15"/>
      <c r="R2525" s="15"/>
      <c r="S2525" s="15"/>
      <c r="T2525" s="15">
        <v>0</v>
      </c>
      <c r="U2525" s="15"/>
      <c r="V2525" s="15"/>
      <c r="W2525" s="15"/>
      <c r="X2525" s="15"/>
      <c r="Y2525" s="15"/>
      <c r="Z2525" s="15"/>
    </row>
    <row r="2526" spans="1:26" x14ac:dyDescent="0.25">
      <c r="A2526" s="15" t="s">
        <v>16012</v>
      </c>
      <c r="B2526" s="15">
        <v>2525</v>
      </c>
      <c r="C2526" s="15" t="s">
        <v>11277</v>
      </c>
      <c r="D2526" s="15" t="s">
        <v>11277</v>
      </c>
      <c r="E2526" s="15" t="s">
        <v>73</v>
      </c>
      <c r="F2526" s="15" t="s">
        <v>16008</v>
      </c>
      <c r="G2526" s="15" t="s">
        <v>13278</v>
      </c>
      <c r="H2526" s="15">
        <v>11</v>
      </c>
      <c r="I2526" s="15">
        <v>33</v>
      </c>
      <c r="J2526" s="15">
        <v>70</v>
      </c>
      <c r="K2526" s="15" t="str">
        <f t="shared" si="39"/>
        <v>theoneriverwest</v>
      </c>
      <c r="L2526" s="15" t="s">
        <v>12848</v>
      </c>
      <c r="M2526" s="15">
        <v>3</v>
      </c>
      <c r="N2526" s="15" t="s">
        <v>11223</v>
      </c>
      <c r="O2526" s="15"/>
      <c r="P2526" s="15"/>
      <c r="Q2526" s="15"/>
      <c r="R2526" s="15"/>
      <c r="S2526" s="15"/>
      <c r="T2526" s="15">
        <v>3</v>
      </c>
      <c r="U2526" s="15" t="s">
        <v>5893</v>
      </c>
      <c r="V2526" s="15" t="s">
        <v>5892</v>
      </c>
      <c r="W2526" s="15"/>
      <c r="X2526" s="15"/>
      <c r="Y2526" s="15"/>
      <c r="Z2526" s="15"/>
    </row>
    <row r="2527" spans="1:26" x14ac:dyDescent="0.25">
      <c r="A2527" s="15" t="s">
        <v>16013</v>
      </c>
      <c r="B2527" s="15">
        <v>2526</v>
      </c>
      <c r="C2527" s="15" t="s">
        <v>11277</v>
      </c>
      <c r="D2527" s="15" t="s">
        <v>11277</v>
      </c>
      <c r="E2527" s="15" t="s">
        <v>73</v>
      </c>
      <c r="F2527" s="15" t="s">
        <v>1938</v>
      </c>
      <c r="G2527" s="15" t="s">
        <v>13254</v>
      </c>
      <c r="H2527" s="15">
        <v>36</v>
      </c>
      <c r="I2527" s="15">
        <v>23</v>
      </c>
      <c r="J2527" s="15">
        <v>64</v>
      </c>
      <c r="K2527" s="15" t="str">
        <f t="shared" si="39"/>
        <v>plumspring</v>
      </c>
      <c r="L2527" s="15" t="s">
        <v>12809</v>
      </c>
      <c r="M2527" s="15">
        <v>2</v>
      </c>
      <c r="N2527" s="15" t="s">
        <v>11223</v>
      </c>
      <c r="O2527" s="15"/>
      <c r="P2527" s="15"/>
      <c r="Q2527" s="15"/>
      <c r="R2527" s="15"/>
      <c r="S2527" s="15"/>
      <c r="T2527" s="15">
        <v>0</v>
      </c>
      <c r="U2527" s="15"/>
      <c r="V2527" s="15"/>
      <c r="W2527" s="15"/>
      <c r="X2527" s="15"/>
      <c r="Y2527" s="15"/>
      <c r="Z2527" s="15"/>
    </row>
    <row r="2528" spans="1:26" x14ac:dyDescent="0.25">
      <c r="A2528" s="15" t="s">
        <v>16014</v>
      </c>
      <c r="B2528" s="15">
        <v>2527</v>
      </c>
      <c r="C2528" s="15" t="s">
        <v>11277</v>
      </c>
      <c r="D2528" s="15" t="s">
        <v>11277</v>
      </c>
      <c r="E2528" s="15" t="s">
        <v>73</v>
      </c>
      <c r="F2528" s="15" t="s">
        <v>1938</v>
      </c>
      <c r="G2528" s="15" t="s">
        <v>13270</v>
      </c>
      <c r="H2528" s="15">
        <v>36</v>
      </c>
      <c r="I2528" s="15">
        <v>23</v>
      </c>
      <c r="J2528" s="15">
        <v>69</v>
      </c>
      <c r="K2528" s="15" t="str">
        <f t="shared" si="39"/>
        <v>plumspring</v>
      </c>
      <c r="L2528" s="15" t="s">
        <v>11592</v>
      </c>
      <c r="M2528" s="15">
        <v>2</v>
      </c>
      <c r="N2528" s="15" t="s">
        <v>11223</v>
      </c>
      <c r="O2528" s="15"/>
      <c r="P2528" s="15"/>
      <c r="Q2528" s="15"/>
      <c r="R2528" s="15"/>
      <c r="S2528" s="15"/>
      <c r="T2528" s="15">
        <v>0</v>
      </c>
      <c r="U2528" s="15"/>
      <c r="V2528" s="15"/>
      <c r="W2528" s="15"/>
      <c r="X2528" s="15"/>
      <c r="Y2528" s="15"/>
      <c r="Z2528" s="15"/>
    </row>
    <row r="2529" spans="1:26" x14ac:dyDescent="0.25">
      <c r="A2529" s="15" t="s">
        <v>16015</v>
      </c>
      <c r="B2529" s="15">
        <v>2528</v>
      </c>
      <c r="C2529" s="15" t="s">
        <v>11277</v>
      </c>
      <c r="D2529" s="15" t="s">
        <v>11277</v>
      </c>
      <c r="E2529" s="15" t="s">
        <v>73</v>
      </c>
      <c r="F2529" s="15" t="s">
        <v>1938</v>
      </c>
      <c r="G2529" s="15" t="s">
        <v>13280</v>
      </c>
      <c r="H2529" s="15">
        <v>36</v>
      </c>
      <c r="I2529" s="15">
        <v>23</v>
      </c>
      <c r="J2529" s="15">
        <v>69</v>
      </c>
      <c r="K2529" s="15" t="str">
        <f t="shared" si="39"/>
        <v>plumspring</v>
      </c>
      <c r="L2529" s="15" t="s">
        <v>12817</v>
      </c>
      <c r="M2529" s="15">
        <v>2</v>
      </c>
      <c r="N2529" s="15" t="s">
        <v>11223</v>
      </c>
      <c r="O2529" s="15" t="s">
        <v>14018</v>
      </c>
      <c r="P2529" s="15"/>
      <c r="Q2529" s="15"/>
      <c r="R2529" s="15"/>
      <c r="S2529" s="15"/>
      <c r="T2529" s="15">
        <v>0</v>
      </c>
      <c r="U2529" s="15"/>
      <c r="V2529" s="15"/>
      <c r="W2529" s="15"/>
      <c r="X2529" s="15"/>
      <c r="Y2529" s="15"/>
      <c r="Z2529" s="15"/>
    </row>
    <row r="2530" spans="1:26" x14ac:dyDescent="0.25">
      <c r="A2530" s="15" t="s">
        <v>16016</v>
      </c>
      <c r="B2530" s="15">
        <v>2529</v>
      </c>
      <c r="C2530" s="15" t="s">
        <v>11277</v>
      </c>
      <c r="D2530" s="15" t="s">
        <v>11277</v>
      </c>
      <c r="E2530" s="15" t="s">
        <v>73</v>
      </c>
      <c r="F2530" s="15" t="s">
        <v>1938</v>
      </c>
      <c r="G2530" s="15" t="s">
        <v>13282</v>
      </c>
      <c r="H2530" s="15">
        <v>36</v>
      </c>
      <c r="I2530" s="15">
        <v>23</v>
      </c>
      <c r="J2530" s="15">
        <v>70</v>
      </c>
      <c r="K2530" s="15" t="str">
        <f t="shared" si="39"/>
        <v>plumspring</v>
      </c>
      <c r="L2530" s="15" t="s">
        <v>12848</v>
      </c>
      <c r="M2530" s="15">
        <v>3</v>
      </c>
      <c r="N2530" s="15" t="s">
        <v>11223</v>
      </c>
      <c r="O2530" s="15"/>
      <c r="P2530" s="15"/>
      <c r="Q2530" s="15"/>
      <c r="R2530" s="15"/>
      <c r="S2530" s="15"/>
      <c r="T2530" s="15">
        <v>0</v>
      </c>
      <c r="U2530" s="15" t="s">
        <v>5900</v>
      </c>
      <c r="V2530" s="15"/>
      <c r="W2530" s="15"/>
      <c r="X2530" s="15"/>
      <c r="Y2530" s="15"/>
      <c r="Z2530" s="15"/>
    </row>
    <row r="2531" spans="1:26" x14ac:dyDescent="0.25">
      <c r="A2531" s="15" t="s">
        <v>16017</v>
      </c>
      <c r="B2531" s="15">
        <v>2530</v>
      </c>
      <c r="C2531" s="15" t="s">
        <v>11277</v>
      </c>
      <c r="D2531" s="15" t="s">
        <v>11277</v>
      </c>
      <c r="E2531" s="15" t="s">
        <v>73</v>
      </c>
      <c r="F2531" s="15" t="s">
        <v>1938</v>
      </c>
      <c r="G2531" s="15" t="s">
        <v>13284</v>
      </c>
      <c r="H2531" s="15">
        <v>36</v>
      </c>
      <c r="I2531" s="15">
        <v>23</v>
      </c>
      <c r="J2531" s="15">
        <v>70</v>
      </c>
      <c r="K2531" s="15" t="str">
        <f t="shared" si="39"/>
        <v>plumspring</v>
      </c>
      <c r="L2531" s="15" t="s">
        <v>12817</v>
      </c>
      <c r="M2531" s="15">
        <v>2</v>
      </c>
      <c r="N2531" s="15" t="s">
        <v>11223</v>
      </c>
      <c r="O2531" s="15"/>
      <c r="P2531" s="15"/>
      <c r="Q2531" s="15"/>
      <c r="R2531" s="15"/>
      <c r="S2531" s="15"/>
      <c r="T2531" s="15">
        <v>0</v>
      </c>
      <c r="U2531" s="15"/>
      <c r="V2531" s="15"/>
      <c r="W2531" s="15"/>
      <c r="X2531" s="15"/>
      <c r="Y2531" s="15"/>
      <c r="Z2531" s="15"/>
    </row>
    <row r="2532" spans="1:26" x14ac:dyDescent="0.25">
      <c r="A2532" s="15" t="s">
        <v>16018</v>
      </c>
      <c r="B2532" s="15">
        <v>2531</v>
      </c>
      <c r="C2532" s="15" t="s">
        <v>11277</v>
      </c>
      <c r="D2532" s="15" t="s">
        <v>11277</v>
      </c>
      <c r="E2532" s="15" t="s">
        <v>102</v>
      </c>
      <c r="F2532" s="15" t="s">
        <v>1938</v>
      </c>
      <c r="G2532" s="15" t="s">
        <v>13286</v>
      </c>
      <c r="H2532" s="15">
        <v>36</v>
      </c>
      <c r="I2532" s="15">
        <v>23</v>
      </c>
      <c r="J2532" s="15">
        <v>80</v>
      </c>
      <c r="K2532" s="15" t="str">
        <f t="shared" si="39"/>
        <v>plumspring</v>
      </c>
      <c r="L2532" s="15" t="s">
        <v>11592</v>
      </c>
      <c r="M2532" s="15">
        <v>1</v>
      </c>
      <c r="N2532" s="15" t="s">
        <v>11222</v>
      </c>
      <c r="O2532" s="15"/>
      <c r="P2532" s="15"/>
      <c r="Q2532" s="15"/>
      <c r="R2532" s="15"/>
      <c r="S2532" s="15"/>
      <c r="T2532" s="15">
        <v>0</v>
      </c>
      <c r="U2532" s="15"/>
      <c r="V2532" s="15"/>
      <c r="W2532" s="15"/>
      <c r="X2532" s="15"/>
      <c r="Y2532" s="15"/>
      <c r="Z2532" s="15"/>
    </row>
    <row r="2533" spans="1:26" x14ac:dyDescent="0.25">
      <c r="A2533" s="15" t="s">
        <v>16019</v>
      </c>
      <c r="B2533" s="15">
        <v>2532</v>
      </c>
      <c r="C2533" s="15" t="s">
        <v>11277</v>
      </c>
      <c r="D2533" s="15" t="s">
        <v>11277</v>
      </c>
      <c r="E2533" s="15" t="s">
        <v>73</v>
      </c>
      <c r="F2533" s="15" t="s">
        <v>1938</v>
      </c>
      <c r="G2533" s="15" t="s">
        <v>13288</v>
      </c>
      <c r="H2533" s="15">
        <v>36</v>
      </c>
      <c r="I2533" s="15">
        <v>23</v>
      </c>
      <c r="J2533" s="15">
        <v>70</v>
      </c>
      <c r="K2533" s="15" t="str">
        <f t="shared" si="39"/>
        <v>plumspring</v>
      </c>
      <c r="L2533" s="15" t="s">
        <v>12848</v>
      </c>
      <c r="M2533" s="15">
        <v>3</v>
      </c>
      <c r="N2533" s="15" t="s">
        <v>11223</v>
      </c>
      <c r="O2533" s="15"/>
      <c r="P2533" s="15"/>
      <c r="Q2533" s="15"/>
      <c r="R2533" s="15"/>
      <c r="S2533" s="15"/>
      <c r="T2533" s="15">
        <v>0</v>
      </c>
      <c r="U2533" s="15" t="s">
        <v>5914</v>
      </c>
      <c r="V2533" s="15"/>
      <c r="W2533" s="15"/>
      <c r="X2533" s="15"/>
      <c r="Y2533" s="15"/>
      <c r="Z2533" s="15"/>
    </row>
    <row r="2534" spans="1:26" x14ac:dyDescent="0.25">
      <c r="A2534" s="15" t="s">
        <v>16020</v>
      </c>
      <c r="B2534" s="15">
        <v>2533</v>
      </c>
      <c r="C2534" s="15" t="s">
        <v>11277</v>
      </c>
      <c r="D2534" s="15" t="s">
        <v>11277</v>
      </c>
      <c r="E2534" s="15" t="s">
        <v>73</v>
      </c>
      <c r="F2534" s="15" t="s">
        <v>16021</v>
      </c>
      <c r="G2534" s="15" t="s">
        <v>13254</v>
      </c>
      <c r="H2534" s="15">
        <v>31</v>
      </c>
      <c r="I2534" s="15">
        <v>7</v>
      </c>
      <c r="J2534" s="15">
        <v>64</v>
      </c>
      <c r="K2534" s="15" t="str">
        <f t="shared" si="39"/>
        <v>prismcanyon</v>
      </c>
      <c r="L2534" s="15" t="s">
        <v>11592</v>
      </c>
      <c r="M2534" s="15">
        <v>2</v>
      </c>
      <c r="N2534" s="15" t="s">
        <v>11223</v>
      </c>
      <c r="O2534" s="15"/>
      <c r="P2534" s="15"/>
      <c r="Q2534" s="15"/>
      <c r="R2534" s="15"/>
      <c r="S2534" s="15"/>
      <c r="T2534" s="15">
        <v>0</v>
      </c>
      <c r="U2534" s="15"/>
      <c r="V2534" s="15"/>
      <c r="W2534" s="15"/>
      <c r="X2534" s="15"/>
      <c r="Y2534" s="15"/>
      <c r="Z2534" s="15"/>
    </row>
    <row r="2535" spans="1:26" x14ac:dyDescent="0.25">
      <c r="A2535" s="15" t="s">
        <v>16022</v>
      </c>
      <c r="B2535" s="15">
        <v>2534</v>
      </c>
      <c r="C2535" s="15" t="s">
        <v>11277</v>
      </c>
      <c r="D2535" s="15" t="s">
        <v>11277</v>
      </c>
      <c r="E2535" s="15" t="s">
        <v>73</v>
      </c>
      <c r="F2535" s="15" t="s">
        <v>16021</v>
      </c>
      <c r="G2535" s="15" t="s">
        <v>13256</v>
      </c>
      <c r="H2535" s="15">
        <v>31</v>
      </c>
      <c r="I2535" s="15">
        <v>7</v>
      </c>
      <c r="J2535" s="15">
        <v>65</v>
      </c>
      <c r="K2535" s="15" t="str">
        <f t="shared" si="39"/>
        <v>prismcanyon</v>
      </c>
      <c r="L2535" s="15" t="s">
        <v>12859</v>
      </c>
      <c r="M2535" s="15">
        <v>1</v>
      </c>
      <c r="N2535" s="15" t="s">
        <v>11222</v>
      </c>
      <c r="O2535" s="15"/>
      <c r="P2535" s="15"/>
      <c r="Q2535" s="15"/>
      <c r="R2535" s="15"/>
      <c r="S2535" s="15"/>
      <c r="T2535" s="15">
        <v>0</v>
      </c>
      <c r="U2535" s="15"/>
      <c r="V2535" s="15"/>
      <c r="W2535" s="15"/>
      <c r="X2535" s="15"/>
      <c r="Y2535" s="15"/>
      <c r="Z2535" s="15"/>
    </row>
    <row r="2536" spans="1:26" x14ac:dyDescent="0.25">
      <c r="A2536" s="15" t="s">
        <v>16023</v>
      </c>
      <c r="B2536" s="15">
        <v>2535</v>
      </c>
      <c r="C2536" s="15" t="s">
        <v>11277</v>
      </c>
      <c r="D2536" s="15" t="s">
        <v>11277</v>
      </c>
      <c r="E2536" s="15" t="s">
        <v>73</v>
      </c>
      <c r="F2536" s="15" t="s">
        <v>16021</v>
      </c>
      <c r="G2536" s="15" t="s">
        <v>13290</v>
      </c>
      <c r="H2536" s="15">
        <v>31</v>
      </c>
      <c r="I2536" s="15">
        <v>7</v>
      </c>
      <c r="J2536" s="15">
        <v>66</v>
      </c>
      <c r="K2536" s="15" t="str">
        <f t="shared" si="39"/>
        <v>prismcanyon</v>
      </c>
      <c r="L2536" s="15" t="s">
        <v>12817</v>
      </c>
      <c r="M2536" s="15">
        <v>2</v>
      </c>
      <c r="N2536" s="15" t="s">
        <v>11223</v>
      </c>
      <c r="O2536" s="15" t="s">
        <v>14041</v>
      </c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 spans="1:26" x14ac:dyDescent="0.25">
      <c r="A2537" s="15" t="s">
        <v>16024</v>
      </c>
      <c r="B2537" s="15">
        <v>2536</v>
      </c>
      <c r="C2537" s="15" t="s">
        <v>11277</v>
      </c>
      <c r="D2537" s="15" t="s">
        <v>11277</v>
      </c>
      <c r="E2537" s="15" t="s">
        <v>73</v>
      </c>
      <c r="F2537" s="15" t="s">
        <v>16021</v>
      </c>
      <c r="G2537" s="15" t="s">
        <v>13292</v>
      </c>
      <c r="H2537" s="15">
        <v>31</v>
      </c>
      <c r="I2537" s="15">
        <v>7</v>
      </c>
      <c r="J2537" s="15">
        <v>70</v>
      </c>
      <c r="K2537" s="15" t="str">
        <f t="shared" si="39"/>
        <v>prismcanyon</v>
      </c>
      <c r="L2537" s="15" t="s">
        <v>12859</v>
      </c>
      <c r="M2537" s="15">
        <v>3</v>
      </c>
      <c r="N2537" s="15" t="s">
        <v>11223</v>
      </c>
      <c r="O2537" s="15" t="s">
        <v>2819</v>
      </c>
      <c r="P2537" s="15"/>
      <c r="Q2537" s="15"/>
      <c r="R2537" s="15"/>
      <c r="S2537" s="15"/>
      <c r="T2537" s="15">
        <v>0</v>
      </c>
      <c r="U2537" s="15" t="s">
        <v>5914</v>
      </c>
      <c r="V2537" s="15"/>
      <c r="W2537" s="15"/>
      <c r="X2537" s="15"/>
      <c r="Y2537" s="15"/>
      <c r="Z2537" s="15"/>
    </row>
    <row r="2538" spans="1:26" x14ac:dyDescent="0.25">
      <c r="A2538" s="15" t="s">
        <v>16025</v>
      </c>
      <c r="B2538" s="15">
        <v>2537</v>
      </c>
      <c r="C2538" s="15" t="s">
        <v>11277</v>
      </c>
      <c r="D2538" s="15" t="s">
        <v>11277</v>
      </c>
      <c r="E2538" s="15" t="s">
        <v>73</v>
      </c>
      <c r="F2538" s="15" t="s">
        <v>1956</v>
      </c>
      <c r="G2538" s="15" t="s">
        <v>13294</v>
      </c>
      <c r="H2538" s="15">
        <v>28</v>
      </c>
      <c r="I2538" s="15">
        <v>6</v>
      </c>
      <c r="J2538" s="15">
        <v>68</v>
      </c>
      <c r="K2538" s="15" t="str">
        <f t="shared" si="39"/>
        <v>prismlake</v>
      </c>
      <c r="L2538" s="15" t="s">
        <v>12848</v>
      </c>
      <c r="M2538" s="15">
        <v>2</v>
      </c>
      <c r="N2538" s="15" t="s">
        <v>11223</v>
      </c>
      <c r="O2538" s="15"/>
      <c r="P2538" s="15"/>
      <c r="Q2538" s="15"/>
      <c r="R2538" s="15"/>
      <c r="S2538" s="15"/>
      <c r="T2538" s="15">
        <v>0</v>
      </c>
      <c r="U2538" s="15"/>
      <c r="V2538" s="15"/>
      <c r="W2538" s="15"/>
      <c r="X2538" s="15"/>
      <c r="Y2538" s="15"/>
      <c r="Z2538" s="15"/>
    </row>
    <row r="2539" spans="1:26" x14ac:dyDescent="0.25">
      <c r="A2539" s="15" t="s">
        <v>16026</v>
      </c>
      <c r="B2539" s="15">
        <v>2538</v>
      </c>
      <c r="C2539" s="15" t="s">
        <v>11277</v>
      </c>
      <c r="D2539" s="15" t="s">
        <v>11277</v>
      </c>
      <c r="E2539" s="15" t="s">
        <v>73</v>
      </c>
      <c r="F2539" s="15" t="s">
        <v>1956</v>
      </c>
      <c r="G2539" s="15" t="s">
        <v>13296</v>
      </c>
      <c r="H2539" s="15">
        <v>28</v>
      </c>
      <c r="I2539" s="15">
        <v>6</v>
      </c>
      <c r="J2539" s="15">
        <v>68</v>
      </c>
      <c r="K2539" s="15" t="str">
        <f t="shared" si="39"/>
        <v>prismlake</v>
      </c>
      <c r="L2539" s="15" t="s">
        <v>12848</v>
      </c>
      <c r="M2539" s="15">
        <v>2</v>
      </c>
      <c r="N2539" s="15" t="s">
        <v>11223</v>
      </c>
      <c r="O2539" s="15"/>
      <c r="P2539" s="15"/>
      <c r="Q2539" s="15"/>
      <c r="R2539" s="15"/>
      <c r="S2539" s="15"/>
      <c r="T2539" s="15">
        <v>0</v>
      </c>
      <c r="U2539" s="15"/>
      <c r="V2539" s="15"/>
      <c r="W2539" s="15"/>
      <c r="X2539" s="15"/>
      <c r="Y2539" s="15"/>
      <c r="Z2539" s="15"/>
    </row>
    <row r="2540" spans="1:26" x14ac:dyDescent="0.25">
      <c r="A2540" s="15" t="s">
        <v>16027</v>
      </c>
      <c r="B2540" s="15">
        <v>2539</v>
      </c>
      <c r="C2540" s="15" t="s">
        <v>11277</v>
      </c>
      <c r="D2540" s="15" t="s">
        <v>11277</v>
      </c>
      <c r="E2540" s="15" t="s">
        <v>73</v>
      </c>
      <c r="F2540" s="15" t="s">
        <v>1956</v>
      </c>
      <c r="G2540" s="15" t="s">
        <v>13298</v>
      </c>
      <c r="H2540" s="15">
        <v>28</v>
      </c>
      <c r="I2540" s="15">
        <v>6</v>
      </c>
      <c r="J2540" s="15">
        <v>70</v>
      </c>
      <c r="K2540" s="15" t="str">
        <f t="shared" si="39"/>
        <v>prismlake</v>
      </c>
      <c r="L2540" s="15" t="s">
        <v>12848</v>
      </c>
      <c r="M2540" s="15">
        <v>2</v>
      </c>
      <c r="N2540" s="15" t="s">
        <v>11223</v>
      </c>
      <c r="O2540" s="15" t="s">
        <v>2805</v>
      </c>
      <c r="P2540" s="15"/>
      <c r="Q2540" s="15"/>
      <c r="R2540" s="15"/>
      <c r="S2540" s="15"/>
      <c r="T2540" s="15">
        <v>0</v>
      </c>
      <c r="U2540" s="15"/>
      <c r="V2540" s="15"/>
      <c r="W2540" s="15"/>
      <c r="X2540" s="15"/>
      <c r="Y2540" s="15"/>
      <c r="Z2540" s="15"/>
    </row>
    <row r="2541" spans="1:26" x14ac:dyDescent="0.25">
      <c r="A2541" s="15" t="s">
        <v>16028</v>
      </c>
      <c r="B2541" s="15">
        <v>2540</v>
      </c>
      <c r="C2541" s="15" t="s">
        <v>11277</v>
      </c>
      <c r="D2541" s="15" t="s">
        <v>11277</v>
      </c>
      <c r="E2541" s="15" t="s">
        <v>73</v>
      </c>
      <c r="F2541" s="15" t="s">
        <v>1956</v>
      </c>
      <c r="G2541" s="15" t="s">
        <v>13300</v>
      </c>
      <c r="H2541" s="15">
        <v>28</v>
      </c>
      <c r="I2541" s="15">
        <v>6</v>
      </c>
      <c r="J2541" s="15">
        <v>70</v>
      </c>
      <c r="K2541" s="15" t="str">
        <f t="shared" si="39"/>
        <v>prismlake</v>
      </c>
      <c r="L2541" s="15" t="s">
        <v>14088</v>
      </c>
      <c r="M2541" s="15">
        <v>2</v>
      </c>
      <c r="N2541" s="15" t="s">
        <v>11223</v>
      </c>
      <c r="O2541" s="15"/>
      <c r="P2541" s="15"/>
      <c r="Q2541" s="15" t="s">
        <v>13302</v>
      </c>
      <c r="R2541" s="15" t="s">
        <v>13298</v>
      </c>
      <c r="S2541" s="15"/>
      <c r="T2541" s="15">
        <v>0</v>
      </c>
      <c r="U2541" s="15"/>
      <c r="V2541" s="15"/>
      <c r="W2541" s="15"/>
      <c r="X2541" s="15"/>
      <c r="Y2541" s="15"/>
      <c r="Z2541" s="15"/>
    </row>
    <row r="2542" spans="1:26" x14ac:dyDescent="0.25">
      <c r="A2542" s="15" t="s">
        <v>16029</v>
      </c>
      <c r="B2542" s="15">
        <v>2541</v>
      </c>
      <c r="C2542" s="15" t="s">
        <v>11277</v>
      </c>
      <c r="D2542" s="15" t="s">
        <v>11277</v>
      </c>
      <c r="E2542" s="15" t="s">
        <v>73</v>
      </c>
      <c r="F2542" s="15" t="s">
        <v>1956</v>
      </c>
      <c r="G2542" s="15" t="s">
        <v>13302</v>
      </c>
      <c r="H2542" s="15">
        <v>28</v>
      </c>
      <c r="I2542" s="15">
        <v>6</v>
      </c>
      <c r="J2542" s="15">
        <v>70</v>
      </c>
      <c r="K2542" s="15" t="str">
        <f t="shared" si="39"/>
        <v>prismlake</v>
      </c>
      <c r="L2542" s="15" t="s">
        <v>12848</v>
      </c>
      <c r="M2542" s="15">
        <v>2</v>
      </c>
      <c r="N2542" s="15" t="s">
        <v>11223</v>
      </c>
      <c r="O2542" s="15" t="s">
        <v>2810</v>
      </c>
      <c r="P2542" s="15"/>
      <c r="Q2542" s="15"/>
      <c r="R2542" s="15"/>
      <c r="S2542" s="15"/>
      <c r="T2542" s="15">
        <v>0</v>
      </c>
      <c r="U2542" s="15"/>
      <c r="V2542" s="15"/>
      <c r="W2542" s="15"/>
      <c r="X2542" s="15"/>
      <c r="Y2542" s="15"/>
      <c r="Z2542" s="15"/>
    </row>
    <row r="2543" spans="1:26" x14ac:dyDescent="0.25">
      <c r="A2543" s="15" t="s">
        <v>16030</v>
      </c>
      <c r="B2543" s="15">
        <v>2542</v>
      </c>
      <c r="C2543" s="15" t="s">
        <v>11277</v>
      </c>
      <c r="D2543" s="15" t="s">
        <v>11277</v>
      </c>
      <c r="E2543" s="15" t="s">
        <v>73</v>
      </c>
      <c r="F2543" s="15" t="s">
        <v>1956</v>
      </c>
      <c r="G2543" s="15" t="s">
        <v>13304</v>
      </c>
      <c r="H2543" s="15">
        <v>28</v>
      </c>
      <c r="I2543" s="15">
        <v>6</v>
      </c>
      <c r="J2543" s="15">
        <v>70</v>
      </c>
      <c r="K2543" s="15" t="str">
        <f t="shared" si="39"/>
        <v>prismlake</v>
      </c>
      <c r="L2543" s="15" t="s">
        <v>14088</v>
      </c>
      <c r="M2543" s="15">
        <v>1</v>
      </c>
      <c r="N2543" s="15" t="s">
        <v>11222</v>
      </c>
      <c r="O2543" s="15" t="s">
        <v>2810</v>
      </c>
      <c r="P2543" s="15"/>
      <c r="Q2543" s="15" t="s">
        <v>13302</v>
      </c>
      <c r="R2543" s="15"/>
      <c r="S2543" s="15"/>
      <c r="T2543" s="15">
        <v>0</v>
      </c>
      <c r="U2543" s="15"/>
      <c r="V2543" s="15"/>
      <c r="W2543" s="15"/>
      <c r="X2543" s="15"/>
      <c r="Y2543" s="15"/>
      <c r="Z2543" s="15"/>
    </row>
    <row r="2544" spans="1:26" x14ac:dyDescent="0.25">
      <c r="A2544" s="15" t="s">
        <v>16031</v>
      </c>
      <c r="B2544" s="15">
        <v>2543</v>
      </c>
      <c r="C2544" s="15" t="s">
        <v>11277</v>
      </c>
      <c r="D2544" s="15" t="s">
        <v>11277</v>
      </c>
      <c r="E2544" s="15" t="s">
        <v>73</v>
      </c>
      <c r="F2544" s="15" t="s">
        <v>1956</v>
      </c>
      <c r="G2544" s="15" t="s">
        <v>13306</v>
      </c>
      <c r="H2544" s="15">
        <v>28</v>
      </c>
      <c r="I2544" s="15">
        <v>6</v>
      </c>
      <c r="J2544" s="15">
        <v>70</v>
      </c>
      <c r="K2544" s="15" t="str">
        <f t="shared" si="39"/>
        <v>prismlake</v>
      </c>
      <c r="L2544" s="15" t="s">
        <v>14088</v>
      </c>
      <c r="M2544" s="15">
        <v>1</v>
      </c>
      <c r="N2544" s="15" t="s">
        <v>11222</v>
      </c>
      <c r="O2544" s="15" t="s">
        <v>2805</v>
      </c>
      <c r="P2544" s="15"/>
      <c r="Q2544" s="15" t="s">
        <v>13298</v>
      </c>
      <c r="R2544" s="15"/>
      <c r="S2544" s="15"/>
      <c r="T2544" s="15">
        <v>0</v>
      </c>
      <c r="U2544" s="15"/>
      <c r="V2544" s="15"/>
      <c r="W2544" s="15"/>
      <c r="X2544" s="15"/>
      <c r="Y2544" s="15"/>
      <c r="Z2544" s="15"/>
    </row>
    <row r="2545" spans="1:26" x14ac:dyDescent="0.25">
      <c r="A2545" s="15" t="s">
        <v>16032</v>
      </c>
      <c r="B2545" s="15">
        <v>2544</v>
      </c>
      <c r="C2545" s="15" t="s">
        <v>11277</v>
      </c>
      <c r="D2545" s="15" t="s">
        <v>11277</v>
      </c>
      <c r="E2545" s="15" t="s">
        <v>73</v>
      </c>
      <c r="F2545" s="15" t="s">
        <v>1956</v>
      </c>
      <c r="G2545" s="15" t="s">
        <v>13308</v>
      </c>
      <c r="H2545" s="15">
        <v>28</v>
      </c>
      <c r="I2545" s="15">
        <v>6</v>
      </c>
      <c r="J2545" s="15">
        <v>70</v>
      </c>
      <c r="K2545" s="15" t="str">
        <f t="shared" si="39"/>
        <v>prismlake</v>
      </c>
      <c r="L2545" s="15" t="s">
        <v>12848</v>
      </c>
      <c r="M2545" s="15">
        <v>1</v>
      </c>
      <c r="N2545" s="15" t="s">
        <v>11222</v>
      </c>
      <c r="O2545" s="15" t="s">
        <v>11241</v>
      </c>
      <c r="P2545" s="15"/>
      <c r="Q2545" s="15"/>
      <c r="R2545" s="15"/>
      <c r="S2545" s="15"/>
      <c r="T2545" s="15">
        <v>0</v>
      </c>
      <c r="U2545" s="15" t="s">
        <v>5892</v>
      </c>
      <c r="V2545" s="15"/>
      <c r="W2545" s="15"/>
      <c r="X2545" s="15" t="s">
        <v>5892</v>
      </c>
      <c r="Y2545" s="15" t="s">
        <v>5893</v>
      </c>
      <c r="Z2545" s="15"/>
    </row>
    <row r="2546" spans="1:26" x14ac:dyDescent="0.25">
      <c r="A2546" s="15" t="s">
        <v>16033</v>
      </c>
      <c r="B2546" s="15">
        <v>2545</v>
      </c>
      <c r="C2546" s="15" t="s">
        <v>11277</v>
      </c>
      <c r="D2546" s="15" t="s">
        <v>11277</v>
      </c>
      <c r="E2546" s="15" t="s">
        <v>73</v>
      </c>
      <c r="F2546" s="15" t="s">
        <v>1956</v>
      </c>
      <c r="G2546" s="15" t="s">
        <v>13310</v>
      </c>
      <c r="H2546" s="15">
        <v>28</v>
      </c>
      <c r="I2546" s="15">
        <v>6</v>
      </c>
      <c r="J2546" s="15">
        <v>70</v>
      </c>
      <c r="K2546" s="15" t="str">
        <f t="shared" si="39"/>
        <v>prismlake</v>
      </c>
      <c r="L2546" s="15" t="s">
        <v>12848</v>
      </c>
      <c r="M2546" s="15">
        <v>3</v>
      </c>
      <c r="N2546" s="15" t="s">
        <v>11223</v>
      </c>
      <c r="O2546" s="15"/>
      <c r="P2546" s="15" t="s">
        <v>16034</v>
      </c>
      <c r="Q2546" s="15"/>
      <c r="R2546" s="15"/>
      <c r="S2546" s="15"/>
      <c r="T2546" s="15">
        <v>0</v>
      </c>
      <c r="U2546" s="15"/>
      <c r="V2546" s="15"/>
      <c r="W2546" s="15"/>
      <c r="X2546" s="15"/>
      <c r="Y2546" s="15"/>
      <c r="Z2546" s="15"/>
    </row>
    <row r="2547" spans="1:26" x14ac:dyDescent="0.25">
      <c r="A2547" s="15" t="s">
        <v>16035</v>
      </c>
      <c r="B2547" s="15">
        <v>2546</v>
      </c>
      <c r="C2547" s="15" t="s">
        <v>11277</v>
      </c>
      <c r="D2547" s="15" t="s">
        <v>11277</v>
      </c>
      <c r="E2547" s="15" t="s">
        <v>73</v>
      </c>
      <c r="F2547" s="15" t="s">
        <v>16036</v>
      </c>
      <c r="G2547" s="15" t="s">
        <v>13260</v>
      </c>
      <c r="H2547" s="15">
        <v>10</v>
      </c>
      <c r="I2547" s="15">
        <v>11</v>
      </c>
      <c r="J2547" s="15">
        <v>64</v>
      </c>
      <c r="K2547" s="15" t="str">
        <f t="shared" si="39"/>
        <v>thesilvercanal</v>
      </c>
      <c r="L2547" s="15" t="s">
        <v>12809</v>
      </c>
      <c r="M2547" s="15">
        <v>2</v>
      </c>
      <c r="N2547" s="15" t="s">
        <v>11223</v>
      </c>
      <c r="O2547" s="15"/>
      <c r="P2547" s="15"/>
      <c r="Q2547" s="15"/>
      <c r="R2547" s="15"/>
      <c r="S2547" s="15"/>
      <c r="T2547" s="15">
        <v>0</v>
      </c>
      <c r="U2547" s="15"/>
      <c r="V2547" s="15"/>
      <c r="W2547" s="15"/>
      <c r="X2547" s="15"/>
      <c r="Y2547" s="15"/>
      <c r="Z2547" s="15"/>
    </row>
    <row r="2548" spans="1:26" x14ac:dyDescent="0.25">
      <c r="A2548" s="15" t="s">
        <v>16037</v>
      </c>
      <c r="B2548" s="15">
        <v>2547</v>
      </c>
      <c r="C2548" s="15" t="s">
        <v>11277</v>
      </c>
      <c r="D2548" s="15" t="s">
        <v>11277</v>
      </c>
      <c r="E2548" s="15" t="s">
        <v>73</v>
      </c>
      <c r="F2548" s="15" t="s">
        <v>16036</v>
      </c>
      <c r="G2548" s="15" t="s">
        <v>13254</v>
      </c>
      <c r="H2548" s="15">
        <v>10</v>
      </c>
      <c r="I2548" s="15">
        <v>11</v>
      </c>
      <c r="J2548" s="15">
        <v>64</v>
      </c>
      <c r="K2548" s="15" t="str">
        <f t="shared" si="39"/>
        <v>thesilvercanal</v>
      </c>
      <c r="L2548" s="15" t="s">
        <v>11592</v>
      </c>
      <c r="M2548" s="15">
        <v>2</v>
      </c>
      <c r="N2548" s="15" t="s">
        <v>11223</v>
      </c>
      <c r="O2548" s="15"/>
      <c r="P2548" s="15"/>
      <c r="Q2548" s="15"/>
      <c r="R2548" s="15"/>
      <c r="S2548" s="15"/>
      <c r="T2548" s="15">
        <v>0</v>
      </c>
      <c r="U2548" s="15"/>
      <c r="V2548" s="15"/>
      <c r="W2548" s="15"/>
      <c r="X2548" s="15"/>
      <c r="Y2548" s="15"/>
      <c r="Z2548" s="15"/>
    </row>
    <row r="2549" spans="1:26" x14ac:dyDescent="0.25">
      <c r="A2549" s="15" t="s">
        <v>16038</v>
      </c>
      <c r="B2549" s="15">
        <v>2548</v>
      </c>
      <c r="C2549" s="15" t="s">
        <v>11277</v>
      </c>
      <c r="D2549" s="15" t="s">
        <v>11277</v>
      </c>
      <c r="E2549" s="15" t="s">
        <v>73</v>
      </c>
      <c r="F2549" s="15" t="s">
        <v>16036</v>
      </c>
      <c r="G2549" s="15" t="s">
        <v>13392</v>
      </c>
      <c r="H2549" s="15">
        <v>10</v>
      </c>
      <c r="I2549" s="15">
        <v>11</v>
      </c>
      <c r="J2549" s="15">
        <v>66</v>
      </c>
      <c r="K2549" s="15" t="str">
        <f t="shared" si="39"/>
        <v>thesilvercanal</v>
      </c>
      <c r="L2549" s="15" t="s">
        <v>12817</v>
      </c>
      <c r="M2549" s="15">
        <v>1</v>
      </c>
      <c r="N2549" s="15" t="s">
        <v>11222</v>
      </c>
      <c r="O2549" s="15"/>
      <c r="P2549" s="15"/>
      <c r="Q2549" s="15"/>
      <c r="R2549" s="15"/>
      <c r="S2549" s="15"/>
      <c r="T2549" s="15">
        <v>0</v>
      </c>
      <c r="U2549" s="15"/>
      <c r="V2549" s="15"/>
      <c r="W2549" s="15"/>
      <c r="X2549" s="15"/>
      <c r="Y2549" s="15"/>
      <c r="Z2549" s="15"/>
    </row>
    <row r="2550" spans="1:26" x14ac:dyDescent="0.25">
      <c r="A2550" s="15" t="s">
        <v>16039</v>
      </c>
      <c r="B2550" s="15">
        <v>2549</v>
      </c>
      <c r="C2550" s="15" t="s">
        <v>11277</v>
      </c>
      <c r="D2550" s="15" t="s">
        <v>11277</v>
      </c>
      <c r="E2550" s="15" t="s">
        <v>73</v>
      </c>
      <c r="F2550" s="15" t="s">
        <v>16036</v>
      </c>
      <c r="G2550" s="15" t="s">
        <v>13449</v>
      </c>
      <c r="H2550" s="15">
        <v>10</v>
      </c>
      <c r="I2550" s="15">
        <v>11</v>
      </c>
      <c r="J2550" s="15">
        <v>66</v>
      </c>
      <c r="K2550" s="15" t="str">
        <f t="shared" si="39"/>
        <v>thesilvercanal</v>
      </c>
      <c r="L2550" s="15" t="s">
        <v>12812</v>
      </c>
      <c r="M2550" s="15">
        <v>1</v>
      </c>
      <c r="N2550" s="15" t="s">
        <v>11222</v>
      </c>
      <c r="O2550" s="15"/>
      <c r="P2550" s="15"/>
      <c r="Q2550" s="15"/>
      <c r="R2550" s="15"/>
      <c r="S2550" s="15"/>
      <c r="T2550" s="15">
        <v>0</v>
      </c>
      <c r="U2550" s="15"/>
      <c r="V2550" s="15"/>
      <c r="W2550" s="15"/>
      <c r="X2550" s="15"/>
      <c r="Y2550" s="15"/>
      <c r="Z2550" s="15"/>
    </row>
    <row r="2551" spans="1:26" x14ac:dyDescent="0.25">
      <c r="A2551" s="15" t="s">
        <v>16040</v>
      </c>
      <c r="B2551" s="15">
        <v>2550</v>
      </c>
      <c r="C2551" s="15" t="s">
        <v>11277</v>
      </c>
      <c r="D2551" s="15" t="s">
        <v>11277</v>
      </c>
      <c r="E2551" s="15" t="s">
        <v>73</v>
      </c>
      <c r="F2551" s="15" t="s">
        <v>16036</v>
      </c>
      <c r="G2551" s="15" t="s">
        <v>13483</v>
      </c>
      <c r="H2551" s="15">
        <v>10</v>
      </c>
      <c r="I2551" s="15">
        <v>11</v>
      </c>
      <c r="J2551" s="15">
        <v>70</v>
      </c>
      <c r="K2551" s="15" t="str">
        <f t="shared" si="39"/>
        <v>thesilvercanal</v>
      </c>
      <c r="L2551" s="15" t="s">
        <v>12809</v>
      </c>
      <c r="M2551" s="15">
        <v>1</v>
      </c>
      <c r="N2551" s="15" t="s">
        <v>11222</v>
      </c>
      <c r="O2551" s="15"/>
      <c r="P2551" s="15"/>
      <c r="Q2551" s="15"/>
      <c r="R2551" s="15"/>
      <c r="S2551" s="15"/>
      <c r="T2551" s="15">
        <v>2</v>
      </c>
      <c r="U2551" s="15"/>
      <c r="V2551" s="15"/>
      <c r="W2551" s="15"/>
      <c r="X2551" s="15"/>
      <c r="Y2551" s="15"/>
      <c r="Z2551" s="15"/>
    </row>
    <row r="2552" spans="1:26" x14ac:dyDescent="0.25">
      <c r="A2552" s="15" t="s">
        <v>16041</v>
      </c>
      <c r="B2552" s="15">
        <v>2551</v>
      </c>
      <c r="C2552" s="15" t="s">
        <v>11277</v>
      </c>
      <c r="D2552" s="15" t="s">
        <v>11277</v>
      </c>
      <c r="E2552" s="15" t="s">
        <v>73</v>
      </c>
      <c r="F2552" s="15" t="s">
        <v>16036</v>
      </c>
      <c r="G2552" s="15" t="s">
        <v>13485</v>
      </c>
      <c r="H2552" s="15">
        <v>10</v>
      </c>
      <c r="I2552" s="15">
        <v>11</v>
      </c>
      <c r="J2552" s="15">
        <v>70</v>
      </c>
      <c r="K2552" s="15" t="str">
        <f t="shared" si="39"/>
        <v>thesilvercanal</v>
      </c>
      <c r="L2552" s="15" t="s">
        <v>12809</v>
      </c>
      <c r="M2552" s="15">
        <v>3</v>
      </c>
      <c r="N2552" s="15" t="s">
        <v>11222</v>
      </c>
      <c r="O2552" s="15" t="s">
        <v>11302</v>
      </c>
      <c r="P2552" s="15"/>
      <c r="Q2552" s="15"/>
      <c r="R2552" s="15"/>
      <c r="S2552" s="15"/>
      <c r="T2552" s="15">
        <v>3</v>
      </c>
      <c r="U2552" s="15" t="s">
        <v>5893</v>
      </c>
      <c r="V2552" s="15" t="s">
        <v>5892</v>
      </c>
      <c r="W2552" s="15" t="s">
        <v>5908</v>
      </c>
      <c r="X2552" s="15"/>
      <c r="Y2552" s="15"/>
      <c r="Z2552" s="15"/>
    </row>
    <row r="2553" spans="1:26" x14ac:dyDescent="0.25">
      <c r="A2553" s="15" t="s">
        <v>16042</v>
      </c>
      <c r="B2553" s="15">
        <v>2552</v>
      </c>
      <c r="C2553" s="15" t="s">
        <v>11277</v>
      </c>
      <c r="D2553" s="15" t="s">
        <v>11277</v>
      </c>
      <c r="E2553" s="15" t="s">
        <v>102</v>
      </c>
      <c r="F2553" s="15" t="s">
        <v>16043</v>
      </c>
      <c r="G2553" s="15" t="s">
        <v>13557</v>
      </c>
      <c r="H2553" s="15">
        <v>31</v>
      </c>
      <c r="I2553" s="15">
        <v>11</v>
      </c>
      <c r="J2553" s="15">
        <v>70</v>
      </c>
      <c r="K2553" s="15" t="str">
        <f t="shared" si="39"/>
        <v>theriftofsighs</v>
      </c>
      <c r="L2553" s="15" t="s">
        <v>13516</v>
      </c>
      <c r="M2553" s="15">
        <v>1</v>
      </c>
      <c r="N2553" s="15" t="s">
        <v>11222</v>
      </c>
      <c r="O2553" s="15"/>
      <c r="P2553" s="15"/>
      <c r="Q2553" s="15"/>
      <c r="R2553" s="15"/>
      <c r="S2553" s="15"/>
      <c r="T2553" s="15">
        <v>0</v>
      </c>
      <c r="U2553" s="15"/>
      <c r="V2553" s="15"/>
      <c r="W2553" s="15"/>
      <c r="X2553" s="15"/>
      <c r="Y2553" s="15"/>
      <c r="Z2553" s="15"/>
    </row>
    <row r="2554" spans="1:26" x14ac:dyDescent="0.25">
      <c r="A2554" s="15" t="s">
        <v>16044</v>
      </c>
      <c r="B2554" s="15">
        <v>2553</v>
      </c>
      <c r="C2554" s="15" t="s">
        <v>11277</v>
      </c>
      <c r="D2554" s="15" t="s">
        <v>11277</v>
      </c>
      <c r="E2554" s="15" t="s">
        <v>102</v>
      </c>
      <c r="F2554" s="15" t="s">
        <v>16043</v>
      </c>
      <c r="G2554" s="15" t="s">
        <v>13559</v>
      </c>
      <c r="H2554" s="15">
        <v>31</v>
      </c>
      <c r="I2554" s="15">
        <v>11</v>
      </c>
      <c r="J2554" s="15">
        <v>71</v>
      </c>
      <c r="K2554" s="15" t="str">
        <f t="shared" si="39"/>
        <v>theriftofsighs</v>
      </c>
      <c r="L2554" s="15" t="s">
        <v>13560</v>
      </c>
      <c r="M2554" s="15">
        <v>1</v>
      </c>
      <c r="N2554" s="15" t="s">
        <v>11222</v>
      </c>
      <c r="O2554" s="15"/>
      <c r="P2554" s="15"/>
      <c r="Q2554" s="15"/>
      <c r="R2554" s="15"/>
      <c r="S2554" s="15"/>
      <c r="T2554" s="15">
        <v>0</v>
      </c>
      <c r="U2554" s="15"/>
      <c r="V2554" s="15"/>
      <c r="W2554" s="15"/>
      <c r="X2554" s="15"/>
      <c r="Y2554" s="15"/>
      <c r="Z2554" s="15"/>
    </row>
    <row r="2555" spans="1:26" x14ac:dyDescent="0.25">
      <c r="A2555" s="15" t="s">
        <v>16045</v>
      </c>
      <c r="B2555" s="15">
        <v>2554</v>
      </c>
      <c r="C2555" s="15" t="s">
        <v>11277</v>
      </c>
      <c r="D2555" s="15" t="s">
        <v>11277</v>
      </c>
      <c r="E2555" s="15" t="s">
        <v>102</v>
      </c>
      <c r="F2555" s="15" t="s">
        <v>16043</v>
      </c>
      <c r="G2555" s="15" t="s">
        <v>13562</v>
      </c>
      <c r="H2555" s="15">
        <v>31</v>
      </c>
      <c r="I2555" s="15">
        <v>11</v>
      </c>
      <c r="J2555" s="15">
        <v>71</v>
      </c>
      <c r="K2555" s="15" t="str">
        <f t="shared" si="39"/>
        <v>theriftofsighs</v>
      </c>
      <c r="L2555" s="15" t="s">
        <v>13516</v>
      </c>
      <c r="M2555" s="15">
        <v>1</v>
      </c>
      <c r="N2555" s="15" t="s">
        <v>11222</v>
      </c>
      <c r="O2555" s="15"/>
      <c r="P2555" s="15"/>
      <c r="Q2555" s="15"/>
      <c r="R2555" s="15"/>
      <c r="S2555" s="15"/>
      <c r="T2555" s="15">
        <v>0</v>
      </c>
      <c r="U2555" s="15"/>
      <c r="V2555" s="15"/>
      <c r="W2555" s="15"/>
      <c r="X2555" s="15"/>
      <c r="Y2555" s="15"/>
      <c r="Z2555" s="15"/>
    </row>
    <row r="2556" spans="1:26" x14ac:dyDescent="0.25">
      <c r="A2556" s="15" t="s">
        <v>16046</v>
      </c>
      <c r="B2556" s="15">
        <v>2555</v>
      </c>
      <c r="C2556" s="15" t="s">
        <v>11277</v>
      </c>
      <c r="D2556" s="15" t="s">
        <v>11277</v>
      </c>
      <c r="E2556" s="15" t="s">
        <v>102</v>
      </c>
      <c r="F2556" s="15" t="s">
        <v>16043</v>
      </c>
      <c r="G2556" s="15" t="s">
        <v>13564</v>
      </c>
      <c r="H2556" s="15">
        <v>31</v>
      </c>
      <c r="I2556" s="15">
        <v>11</v>
      </c>
      <c r="J2556" s="15">
        <v>71</v>
      </c>
      <c r="K2556" s="15" t="str">
        <f t="shared" si="39"/>
        <v>theriftofsighs</v>
      </c>
      <c r="L2556" s="15" t="s">
        <v>13516</v>
      </c>
      <c r="M2556" s="15">
        <v>1</v>
      </c>
      <c r="N2556" s="15" t="s">
        <v>11222</v>
      </c>
      <c r="O2556" s="15"/>
      <c r="P2556" s="15"/>
      <c r="Q2556" s="15"/>
      <c r="R2556" s="15"/>
      <c r="S2556" s="15"/>
      <c r="T2556" s="15">
        <v>0</v>
      </c>
      <c r="U2556" s="15"/>
      <c r="V2556" s="15"/>
      <c r="W2556" s="15"/>
      <c r="X2556" s="15"/>
      <c r="Y2556" s="15"/>
      <c r="Z2556" s="15"/>
    </row>
    <row r="2557" spans="1:26" x14ac:dyDescent="0.25">
      <c r="A2557" s="15" t="s">
        <v>16047</v>
      </c>
      <c r="B2557" s="15">
        <v>2556</v>
      </c>
      <c r="C2557" s="15" t="s">
        <v>11277</v>
      </c>
      <c r="D2557" s="15" t="s">
        <v>11277</v>
      </c>
      <c r="E2557" s="15" t="s">
        <v>102</v>
      </c>
      <c r="F2557" s="15" t="s">
        <v>16043</v>
      </c>
      <c r="G2557" s="15" t="s">
        <v>13566</v>
      </c>
      <c r="H2557" s="15">
        <v>31</v>
      </c>
      <c r="I2557" s="15">
        <v>11</v>
      </c>
      <c r="J2557" s="15">
        <v>71</v>
      </c>
      <c r="K2557" s="15" t="str">
        <f t="shared" si="39"/>
        <v>theriftofsighs</v>
      </c>
      <c r="L2557" s="15" t="s">
        <v>13516</v>
      </c>
      <c r="M2557" s="15">
        <v>2</v>
      </c>
      <c r="N2557" s="15" t="s">
        <v>11223</v>
      </c>
      <c r="O2557" s="15"/>
      <c r="P2557" s="15"/>
      <c r="Q2557" s="15"/>
      <c r="R2557" s="15"/>
      <c r="S2557" s="15"/>
      <c r="T2557" s="15">
        <v>0</v>
      </c>
      <c r="U2557" s="15"/>
      <c r="V2557" s="15"/>
      <c r="W2557" s="15"/>
      <c r="X2557" s="15"/>
      <c r="Y2557" s="15"/>
      <c r="Z2557" s="15"/>
    </row>
    <row r="2558" spans="1:26" x14ac:dyDescent="0.25">
      <c r="A2558" s="15" t="s">
        <v>16048</v>
      </c>
      <c r="B2558" s="15">
        <v>2557</v>
      </c>
      <c r="C2558" s="15" t="s">
        <v>11277</v>
      </c>
      <c r="D2558" s="15" t="s">
        <v>11277</v>
      </c>
      <c r="E2558" s="15" t="s">
        <v>102</v>
      </c>
      <c r="F2558" s="15" t="s">
        <v>16043</v>
      </c>
      <c r="G2558" s="15" t="s">
        <v>13568</v>
      </c>
      <c r="H2558" s="15">
        <v>31</v>
      </c>
      <c r="I2558" s="15">
        <v>11</v>
      </c>
      <c r="J2558" s="15">
        <v>80</v>
      </c>
      <c r="K2558" s="15" t="str">
        <f t="shared" si="39"/>
        <v>theriftofsighs</v>
      </c>
      <c r="L2558" s="15" t="s">
        <v>13537</v>
      </c>
      <c r="M2558" s="15">
        <v>3</v>
      </c>
      <c r="N2558" s="15" t="s">
        <v>11223</v>
      </c>
      <c r="O2558" s="15"/>
      <c r="P2558" s="15"/>
      <c r="Q2558" s="15"/>
      <c r="R2558" s="15"/>
      <c r="S2558" s="15"/>
      <c r="T2558" s="15">
        <v>2</v>
      </c>
      <c r="U2558" s="15" t="s">
        <v>5914</v>
      </c>
      <c r="V2558" s="15"/>
      <c r="W2558" s="15"/>
      <c r="X2558" s="15" t="s">
        <v>5893</v>
      </c>
      <c r="Y2558" s="15" t="s">
        <v>5892</v>
      </c>
      <c r="Z2558" s="15"/>
    </row>
    <row r="2559" spans="1:26" x14ac:dyDescent="0.25">
      <c r="A2559" s="15" t="s">
        <v>16049</v>
      </c>
      <c r="B2559" s="15">
        <v>2558</v>
      </c>
      <c r="C2559" s="15" t="s">
        <v>11277</v>
      </c>
      <c r="D2559" s="15" t="s">
        <v>11277</v>
      </c>
      <c r="E2559" s="15" t="s">
        <v>102</v>
      </c>
      <c r="F2559" s="15" t="s">
        <v>16050</v>
      </c>
      <c r="G2559" s="15" t="s">
        <v>13559</v>
      </c>
      <c r="H2559" s="15">
        <v>12</v>
      </c>
      <c r="I2559" s="15">
        <v>21</v>
      </c>
      <c r="J2559" s="15">
        <v>71</v>
      </c>
      <c r="K2559" s="15" t="str">
        <f t="shared" si="39"/>
        <v>therustedreservoir</v>
      </c>
      <c r="L2559" s="15" t="s">
        <v>13560</v>
      </c>
      <c r="M2559" s="15">
        <v>1</v>
      </c>
      <c r="N2559" s="15" t="s">
        <v>11222</v>
      </c>
      <c r="O2559" s="15"/>
      <c r="P2559" s="15" t="s">
        <v>16051</v>
      </c>
      <c r="Q2559" s="15"/>
      <c r="R2559" s="15"/>
      <c r="S2559" s="15"/>
      <c r="T2559" s="15">
        <v>0</v>
      </c>
      <c r="U2559" s="15"/>
      <c r="V2559" s="15"/>
      <c r="W2559" s="15"/>
      <c r="X2559" s="15"/>
      <c r="Y2559" s="15"/>
      <c r="Z2559" s="15"/>
    </row>
    <row r="2560" spans="1:26" x14ac:dyDescent="0.25">
      <c r="A2560" s="15" t="s">
        <v>16052</v>
      </c>
      <c r="B2560" s="15">
        <v>2559</v>
      </c>
      <c r="C2560" s="15" t="s">
        <v>11277</v>
      </c>
      <c r="D2560" s="15" t="s">
        <v>11277</v>
      </c>
      <c r="E2560" s="15" t="s">
        <v>102</v>
      </c>
      <c r="F2560" s="15" t="s">
        <v>16050</v>
      </c>
      <c r="G2560" s="15" t="s">
        <v>13562</v>
      </c>
      <c r="H2560" s="15">
        <v>12</v>
      </c>
      <c r="I2560" s="15">
        <v>21</v>
      </c>
      <c r="J2560" s="15">
        <v>71</v>
      </c>
      <c r="K2560" s="15" t="str">
        <f t="shared" si="39"/>
        <v>therustedreservoir</v>
      </c>
      <c r="L2560" s="15" t="s">
        <v>13516</v>
      </c>
      <c r="M2560" s="15">
        <v>1</v>
      </c>
      <c r="N2560" s="15" t="s">
        <v>11222</v>
      </c>
      <c r="O2560" s="15"/>
      <c r="P2560" s="15" t="s">
        <v>16053</v>
      </c>
      <c r="Q2560" s="15"/>
      <c r="R2560" s="15"/>
      <c r="S2560" s="15"/>
      <c r="T2560" s="15">
        <v>0</v>
      </c>
      <c r="U2560" s="15"/>
      <c r="V2560" s="15"/>
      <c r="W2560" s="15"/>
      <c r="X2560" s="15"/>
      <c r="Y2560" s="15"/>
      <c r="Z2560" s="15"/>
    </row>
    <row r="2561" spans="1:26" x14ac:dyDescent="0.25">
      <c r="A2561" s="15" t="s">
        <v>16054</v>
      </c>
      <c r="B2561" s="15">
        <v>2560</v>
      </c>
      <c r="C2561" s="15" t="s">
        <v>11277</v>
      </c>
      <c r="D2561" s="15" t="s">
        <v>11277</v>
      </c>
      <c r="E2561" s="15" t="s">
        <v>102</v>
      </c>
      <c r="F2561" s="15" t="s">
        <v>16050</v>
      </c>
      <c r="G2561" s="15" t="s">
        <v>13564</v>
      </c>
      <c r="H2561" s="15">
        <v>12</v>
      </c>
      <c r="I2561" s="15">
        <v>21</v>
      </c>
      <c r="J2561" s="15">
        <v>71</v>
      </c>
      <c r="K2561" s="15" t="str">
        <f t="shared" si="39"/>
        <v>therustedreservoir</v>
      </c>
      <c r="L2561" s="15" t="s">
        <v>13516</v>
      </c>
      <c r="M2561" s="15">
        <v>1</v>
      </c>
      <c r="N2561" s="15" t="s">
        <v>11222</v>
      </c>
      <c r="O2561" s="15"/>
      <c r="P2561" s="15" t="s">
        <v>16055</v>
      </c>
      <c r="Q2561" s="15"/>
      <c r="R2561" s="15"/>
      <c r="S2561" s="15"/>
      <c r="T2561" s="15">
        <v>0</v>
      </c>
      <c r="U2561" s="15"/>
      <c r="V2561" s="15"/>
      <c r="W2561" s="15"/>
      <c r="X2561" s="15"/>
      <c r="Y2561" s="15"/>
      <c r="Z2561" s="15"/>
    </row>
    <row r="2562" spans="1:26" x14ac:dyDescent="0.25">
      <c r="A2562" s="15" t="s">
        <v>16056</v>
      </c>
      <c r="B2562" s="15">
        <v>2561</v>
      </c>
      <c r="C2562" s="15" t="s">
        <v>11277</v>
      </c>
      <c r="D2562" s="15" t="s">
        <v>11277</v>
      </c>
      <c r="E2562" s="15" t="s">
        <v>102</v>
      </c>
      <c r="F2562" s="15" t="s">
        <v>16050</v>
      </c>
      <c r="G2562" s="15" t="s">
        <v>13570</v>
      </c>
      <c r="H2562" s="15">
        <v>12</v>
      </c>
      <c r="I2562" s="15">
        <v>21</v>
      </c>
      <c r="J2562" s="15">
        <v>72</v>
      </c>
      <c r="K2562" s="15" t="str">
        <f t="shared" ref="K2562:K2625" si="40">LOWER(SUBSTITUTE(SUBSTITUTE(SUBSTITUTE(SUBSTITUTE(SUBSTITUTE(F2562," ",""),"(",""),")",""),"'",""),"-",""))</f>
        <v>therustedreservoir</v>
      </c>
      <c r="L2562" s="15" t="s">
        <v>13537</v>
      </c>
      <c r="M2562" s="15">
        <v>1</v>
      </c>
      <c r="N2562" s="15" t="s">
        <v>11222</v>
      </c>
      <c r="O2562" s="15"/>
      <c r="P2562" s="15"/>
      <c r="Q2562" s="15"/>
      <c r="R2562" s="15"/>
      <c r="S2562" s="15"/>
      <c r="T2562" s="15">
        <v>0</v>
      </c>
      <c r="U2562" s="15"/>
      <c r="V2562" s="15"/>
      <c r="W2562" s="15"/>
      <c r="X2562" s="15"/>
      <c r="Y2562" s="15"/>
      <c r="Z2562" s="15"/>
    </row>
    <row r="2563" spans="1:26" x14ac:dyDescent="0.25">
      <c r="A2563" s="15" t="s">
        <v>16057</v>
      </c>
      <c r="B2563" s="15">
        <v>2562</v>
      </c>
      <c r="C2563" s="15" t="s">
        <v>11277</v>
      </c>
      <c r="D2563" s="15" t="s">
        <v>11277</v>
      </c>
      <c r="E2563" s="15" t="s">
        <v>102</v>
      </c>
      <c r="F2563" s="15" t="s">
        <v>16050</v>
      </c>
      <c r="G2563" s="15" t="s">
        <v>13572</v>
      </c>
      <c r="H2563" s="15">
        <v>12</v>
      </c>
      <c r="I2563" s="15">
        <v>21</v>
      </c>
      <c r="J2563" s="15">
        <v>80</v>
      </c>
      <c r="K2563" s="15" t="str">
        <f t="shared" si="40"/>
        <v>therustedreservoir</v>
      </c>
      <c r="L2563" s="15" t="s">
        <v>13537</v>
      </c>
      <c r="M2563" s="15">
        <v>1</v>
      </c>
      <c r="N2563" s="15" t="s">
        <v>11222</v>
      </c>
      <c r="O2563" s="15"/>
      <c r="P2563" s="15"/>
      <c r="Q2563" s="15"/>
      <c r="R2563" s="15"/>
      <c r="S2563" s="15"/>
      <c r="T2563" s="15">
        <v>0</v>
      </c>
      <c r="U2563" s="15" t="s">
        <v>5893</v>
      </c>
      <c r="V2563" s="15"/>
      <c r="W2563" s="15"/>
      <c r="X2563" s="15"/>
      <c r="Y2563" s="15"/>
      <c r="Z2563" s="15"/>
    </row>
    <row r="2564" spans="1:26" x14ac:dyDescent="0.25">
      <c r="A2564" s="15" t="s">
        <v>16058</v>
      </c>
      <c r="B2564" s="15">
        <v>2563</v>
      </c>
      <c r="C2564" s="15" t="s">
        <v>11277</v>
      </c>
      <c r="D2564" s="15" t="s">
        <v>11277</v>
      </c>
      <c r="E2564" s="15" t="s">
        <v>102</v>
      </c>
      <c r="F2564" s="15" t="s">
        <v>16050</v>
      </c>
      <c r="G2564" s="15" t="s">
        <v>13574</v>
      </c>
      <c r="H2564" s="15">
        <v>12</v>
      </c>
      <c r="I2564" s="15">
        <v>21</v>
      </c>
      <c r="J2564" s="15">
        <v>80</v>
      </c>
      <c r="K2564" s="15" t="str">
        <f t="shared" si="40"/>
        <v>therustedreservoir</v>
      </c>
      <c r="L2564" s="15" t="s">
        <v>13537</v>
      </c>
      <c r="M2564" s="15">
        <v>3</v>
      </c>
      <c r="N2564" s="15" t="s">
        <v>11222</v>
      </c>
      <c r="O2564" s="15" t="s">
        <v>11387</v>
      </c>
      <c r="P2564" s="15"/>
      <c r="Q2564" s="15"/>
      <c r="R2564" s="15"/>
      <c r="S2564" s="15"/>
      <c r="T2564" s="15">
        <v>0</v>
      </c>
      <c r="U2564" s="15" t="s">
        <v>5893</v>
      </c>
      <c r="V2564" s="15"/>
      <c r="W2564" s="15"/>
      <c r="X2564" s="15" t="s">
        <v>5892</v>
      </c>
      <c r="Y2564" s="15"/>
      <c r="Z2564" s="15"/>
    </row>
    <row r="2565" spans="1:26" x14ac:dyDescent="0.25">
      <c r="A2565" s="15" t="s">
        <v>16059</v>
      </c>
      <c r="B2565" s="15">
        <v>2564</v>
      </c>
      <c r="C2565" s="15" t="s">
        <v>11277</v>
      </c>
      <c r="D2565" s="15" t="s">
        <v>11277</v>
      </c>
      <c r="E2565" s="15" t="s">
        <v>102</v>
      </c>
      <c r="F2565" s="15" t="s">
        <v>2045</v>
      </c>
      <c r="G2565" s="15" t="s">
        <v>13559</v>
      </c>
      <c r="H2565" s="15">
        <v>13</v>
      </c>
      <c r="I2565" s="15">
        <v>29</v>
      </c>
      <c r="J2565" s="15">
        <v>71</v>
      </c>
      <c r="K2565" s="15" t="str">
        <f t="shared" si="40"/>
        <v>thesource</v>
      </c>
      <c r="L2565" s="15" t="s">
        <v>11560</v>
      </c>
      <c r="M2565" s="15">
        <v>1</v>
      </c>
      <c r="N2565" s="15" t="s">
        <v>11222</v>
      </c>
      <c r="O2565" s="15"/>
      <c r="P2565" s="15" t="s">
        <v>16051</v>
      </c>
      <c r="Q2565" s="15"/>
      <c r="R2565" s="15"/>
      <c r="S2565" s="15"/>
      <c r="T2565" s="15">
        <v>0</v>
      </c>
      <c r="U2565" s="15"/>
      <c r="V2565" s="15"/>
      <c r="W2565" s="15"/>
      <c r="X2565" s="15"/>
      <c r="Y2565" s="15"/>
      <c r="Z2565" s="15"/>
    </row>
    <row r="2566" spans="1:26" x14ac:dyDescent="0.25">
      <c r="A2566" s="15" t="s">
        <v>16060</v>
      </c>
      <c r="B2566" s="15">
        <v>2565</v>
      </c>
      <c r="C2566" s="15" t="s">
        <v>11277</v>
      </c>
      <c r="D2566" s="15" t="s">
        <v>11277</v>
      </c>
      <c r="E2566" s="15" t="s">
        <v>102</v>
      </c>
      <c r="F2566" s="15" t="s">
        <v>2045</v>
      </c>
      <c r="G2566" s="15" t="s">
        <v>13576</v>
      </c>
      <c r="H2566" s="15">
        <v>13</v>
      </c>
      <c r="I2566" s="15">
        <v>29</v>
      </c>
      <c r="J2566" s="15">
        <v>71</v>
      </c>
      <c r="K2566" s="15" t="str">
        <f t="shared" si="40"/>
        <v>thesource</v>
      </c>
      <c r="L2566" s="15" t="s">
        <v>13516</v>
      </c>
      <c r="M2566" s="15">
        <v>1</v>
      </c>
      <c r="N2566" s="15" t="s">
        <v>11222</v>
      </c>
      <c r="O2566" s="15"/>
      <c r="P2566" s="15"/>
      <c r="Q2566" s="15"/>
      <c r="R2566" s="15"/>
      <c r="S2566" s="15"/>
      <c r="T2566" s="15">
        <v>0</v>
      </c>
      <c r="U2566" s="15"/>
      <c r="V2566" s="15"/>
      <c r="W2566" s="15"/>
      <c r="X2566" s="15"/>
      <c r="Y2566" s="15"/>
      <c r="Z2566" s="15"/>
    </row>
    <row r="2567" spans="1:26" x14ac:dyDescent="0.25">
      <c r="A2567" s="15" t="s">
        <v>16061</v>
      </c>
      <c r="B2567" s="15">
        <v>2566</v>
      </c>
      <c r="C2567" s="15" t="s">
        <v>11277</v>
      </c>
      <c r="D2567" s="15" t="s">
        <v>11277</v>
      </c>
      <c r="E2567" s="15" t="s">
        <v>102</v>
      </c>
      <c r="F2567" s="15" t="s">
        <v>2045</v>
      </c>
      <c r="G2567" s="15" t="s">
        <v>13578</v>
      </c>
      <c r="H2567" s="15">
        <v>13</v>
      </c>
      <c r="I2567" s="15">
        <v>29</v>
      </c>
      <c r="J2567" s="15">
        <v>71</v>
      </c>
      <c r="K2567" s="15" t="str">
        <f t="shared" si="40"/>
        <v>thesource</v>
      </c>
      <c r="L2567" s="15" t="s">
        <v>13516</v>
      </c>
      <c r="M2567" s="15">
        <v>1</v>
      </c>
      <c r="N2567" s="15" t="s">
        <v>11222</v>
      </c>
      <c r="O2567" s="15"/>
      <c r="P2567" s="15"/>
      <c r="Q2567" s="15"/>
      <c r="R2567" s="15"/>
      <c r="S2567" s="15"/>
      <c r="T2567" s="15">
        <v>0</v>
      </c>
      <c r="U2567" s="15"/>
      <c r="V2567" s="15"/>
      <c r="W2567" s="15"/>
      <c r="X2567" s="15"/>
      <c r="Y2567" s="15"/>
      <c r="Z2567" s="15"/>
    </row>
    <row r="2568" spans="1:26" x14ac:dyDescent="0.25">
      <c r="A2568" s="15" t="s">
        <v>16062</v>
      </c>
      <c r="B2568" s="15">
        <v>2567</v>
      </c>
      <c r="C2568" s="15" t="s">
        <v>11277</v>
      </c>
      <c r="D2568" s="15" t="s">
        <v>11277</v>
      </c>
      <c r="E2568" s="15" t="s">
        <v>102</v>
      </c>
      <c r="F2568" s="15" t="s">
        <v>2045</v>
      </c>
      <c r="G2568" s="15" t="s">
        <v>13580</v>
      </c>
      <c r="H2568" s="15">
        <v>13</v>
      </c>
      <c r="I2568" s="15">
        <v>29</v>
      </c>
      <c r="J2568" s="15">
        <v>71</v>
      </c>
      <c r="K2568" s="15" t="str">
        <f t="shared" si="40"/>
        <v>thesource</v>
      </c>
      <c r="L2568" s="15" t="s">
        <v>13516</v>
      </c>
      <c r="M2568" s="15">
        <v>1</v>
      </c>
      <c r="N2568" s="15" t="s">
        <v>11222</v>
      </c>
      <c r="O2568" s="15"/>
      <c r="P2568" s="15"/>
      <c r="Q2568" s="15"/>
      <c r="R2568" s="15"/>
      <c r="S2568" s="15"/>
      <c r="T2568" s="15">
        <v>0</v>
      </c>
      <c r="U2568" s="15"/>
      <c r="V2568" s="15"/>
      <c r="W2568" s="15"/>
      <c r="X2568" s="15"/>
      <c r="Y2568" s="15"/>
      <c r="Z2568" s="15"/>
    </row>
    <row r="2569" spans="1:26" x14ac:dyDescent="0.25">
      <c r="A2569" s="15" t="s">
        <v>16063</v>
      </c>
      <c r="B2569" s="15">
        <v>2568</v>
      </c>
      <c r="C2569" s="15" t="s">
        <v>11277</v>
      </c>
      <c r="D2569" s="15" t="s">
        <v>11277</v>
      </c>
      <c r="E2569" s="15" t="s">
        <v>102</v>
      </c>
      <c r="F2569" s="15" t="s">
        <v>2045</v>
      </c>
      <c r="G2569" s="15" t="s">
        <v>13582</v>
      </c>
      <c r="H2569" s="15">
        <v>13</v>
      </c>
      <c r="I2569" s="15">
        <v>29</v>
      </c>
      <c r="J2569" s="15">
        <v>72</v>
      </c>
      <c r="K2569" s="15" t="str">
        <f t="shared" si="40"/>
        <v>thesource</v>
      </c>
      <c r="L2569" s="15" t="s">
        <v>13516</v>
      </c>
      <c r="M2569" s="15">
        <v>1</v>
      </c>
      <c r="N2569" s="15" t="s">
        <v>11222</v>
      </c>
      <c r="O2569" s="15"/>
      <c r="P2569" s="15"/>
      <c r="Q2569" s="15"/>
      <c r="R2569" s="15"/>
      <c r="S2569" s="15"/>
      <c r="T2569" s="15">
        <v>0</v>
      </c>
      <c r="U2569" s="15"/>
      <c r="V2569" s="15"/>
      <c r="W2569" s="15"/>
      <c r="X2569" s="15"/>
      <c r="Y2569" s="15"/>
      <c r="Z2569" s="15"/>
    </row>
    <row r="2570" spans="1:26" x14ac:dyDescent="0.25">
      <c r="A2570" s="15" t="s">
        <v>16064</v>
      </c>
      <c r="B2570" s="15">
        <v>2569</v>
      </c>
      <c r="C2570" s="15" t="s">
        <v>11277</v>
      </c>
      <c r="D2570" s="15" t="s">
        <v>11277</v>
      </c>
      <c r="E2570" s="15" t="s">
        <v>102</v>
      </c>
      <c r="F2570" s="15" t="s">
        <v>2045</v>
      </c>
      <c r="G2570" s="15" t="s">
        <v>13584</v>
      </c>
      <c r="H2570" s="15">
        <v>13</v>
      </c>
      <c r="I2570" s="15">
        <v>29</v>
      </c>
      <c r="J2570" s="15">
        <v>71</v>
      </c>
      <c r="K2570" s="15" t="str">
        <f t="shared" si="40"/>
        <v>thesource</v>
      </c>
      <c r="L2570" s="15" t="s">
        <v>11560</v>
      </c>
      <c r="M2570" s="15">
        <v>1</v>
      </c>
      <c r="N2570" s="15" t="s">
        <v>11222</v>
      </c>
      <c r="O2570" s="15"/>
      <c r="P2570" s="15"/>
      <c r="Q2570" s="15"/>
      <c r="R2570" s="15"/>
      <c r="S2570" s="15"/>
      <c r="T2570" s="15">
        <v>0</v>
      </c>
      <c r="U2570" s="15"/>
      <c r="V2570" s="15"/>
      <c r="W2570" s="15"/>
      <c r="X2570" s="15"/>
      <c r="Y2570" s="15"/>
      <c r="Z2570" s="15"/>
    </row>
    <row r="2571" spans="1:26" x14ac:dyDescent="0.25">
      <c r="A2571" s="15" t="s">
        <v>16065</v>
      </c>
      <c r="B2571" s="15">
        <v>2570</v>
      </c>
      <c r="C2571" s="15" t="s">
        <v>11277</v>
      </c>
      <c r="D2571" s="15" t="s">
        <v>11277</v>
      </c>
      <c r="E2571" s="15" t="s">
        <v>133</v>
      </c>
      <c r="F2571" s="15" t="s">
        <v>2045</v>
      </c>
      <c r="G2571" s="15" t="s">
        <v>13586</v>
      </c>
      <c r="H2571" s="15">
        <v>13</v>
      </c>
      <c r="I2571" s="15">
        <v>29</v>
      </c>
      <c r="J2571" s="15">
        <v>90</v>
      </c>
      <c r="K2571" s="15" t="str">
        <f t="shared" si="40"/>
        <v>thesource</v>
      </c>
      <c r="L2571" s="15" t="s">
        <v>13560</v>
      </c>
      <c r="M2571" s="15">
        <v>1</v>
      </c>
      <c r="N2571" s="15" t="s">
        <v>11222</v>
      </c>
      <c r="O2571" s="15"/>
      <c r="P2571" s="15"/>
      <c r="Q2571" s="15"/>
      <c r="R2571" s="15"/>
      <c r="S2571" s="15"/>
      <c r="T2571" s="15">
        <v>0</v>
      </c>
      <c r="U2571" s="15"/>
      <c r="V2571" s="15"/>
      <c r="W2571" s="15"/>
      <c r="X2571" s="15"/>
      <c r="Y2571" s="15"/>
      <c r="Z2571" s="15"/>
    </row>
    <row r="2572" spans="1:26" x14ac:dyDescent="0.25">
      <c r="A2572" s="15" t="s">
        <v>16066</v>
      </c>
      <c r="B2572" s="15">
        <v>2571</v>
      </c>
      <c r="C2572" s="15" t="s">
        <v>11277</v>
      </c>
      <c r="D2572" s="15" t="s">
        <v>11277</v>
      </c>
      <c r="E2572" s="15" t="s">
        <v>102</v>
      </c>
      <c r="F2572" s="15" t="s">
        <v>2045</v>
      </c>
      <c r="G2572" s="15" t="s">
        <v>13588</v>
      </c>
      <c r="H2572" s="15">
        <v>13</v>
      </c>
      <c r="I2572" s="15">
        <v>29</v>
      </c>
      <c r="J2572" s="15">
        <v>80</v>
      </c>
      <c r="K2572" s="15" t="str">
        <f t="shared" si="40"/>
        <v>thesource</v>
      </c>
      <c r="L2572" s="15" t="s">
        <v>13537</v>
      </c>
      <c r="M2572" s="15">
        <v>3</v>
      </c>
      <c r="N2572" s="15" t="s">
        <v>11223</v>
      </c>
      <c r="O2572" s="15"/>
      <c r="P2572" s="15"/>
      <c r="Q2572" s="15"/>
      <c r="R2572" s="15"/>
      <c r="S2572" s="15"/>
      <c r="T2572" s="15">
        <v>0</v>
      </c>
      <c r="U2572" s="15" t="s">
        <v>5914</v>
      </c>
      <c r="V2572" s="15"/>
      <c r="W2572" s="15"/>
      <c r="X2572" s="15"/>
      <c r="Y2572" s="15"/>
      <c r="Z2572" s="15"/>
    </row>
    <row r="2573" spans="1:26" x14ac:dyDescent="0.25">
      <c r="A2573" s="15" t="s">
        <v>16067</v>
      </c>
      <c r="B2573" s="15">
        <v>2572</v>
      </c>
      <c r="C2573" s="15" t="s">
        <v>11277</v>
      </c>
      <c r="D2573" s="15" t="s">
        <v>11277</v>
      </c>
      <c r="E2573" s="15" t="s">
        <v>102</v>
      </c>
      <c r="F2573" s="15" t="s">
        <v>2056</v>
      </c>
      <c r="G2573" s="15" t="s">
        <v>13559</v>
      </c>
      <c r="H2573" s="15">
        <v>19</v>
      </c>
      <c r="I2573" s="15">
        <v>35</v>
      </c>
      <c r="J2573" s="15">
        <v>71</v>
      </c>
      <c r="K2573" s="15" t="str">
        <f t="shared" si="40"/>
        <v>sullen</v>
      </c>
      <c r="L2573" s="15" t="s">
        <v>13516</v>
      </c>
      <c r="M2573" s="15">
        <v>1</v>
      </c>
      <c r="N2573" s="15" t="s">
        <v>11222</v>
      </c>
      <c r="O2573" s="15"/>
      <c r="P2573" s="15"/>
      <c r="Q2573" s="15"/>
      <c r="R2573" s="15"/>
      <c r="S2573" s="15"/>
      <c r="T2573" s="15">
        <v>0</v>
      </c>
      <c r="U2573" s="15"/>
      <c r="V2573" s="15"/>
      <c r="W2573" s="15"/>
      <c r="X2573" s="15"/>
      <c r="Y2573" s="15"/>
      <c r="Z2573" s="15"/>
    </row>
    <row r="2574" spans="1:26" x14ac:dyDescent="0.25">
      <c r="A2574" s="15" t="s">
        <v>16068</v>
      </c>
      <c r="B2574" s="15">
        <v>2573</v>
      </c>
      <c r="C2574" s="15" t="s">
        <v>11277</v>
      </c>
      <c r="D2574" s="15" t="s">
        <v>11277</v>
      </c>
      <c r="E2574" s="15" t="s">
        <v>102</v>
      </c>
      <c r="F2574" s="15" t="s">
        <v>2056</v>
      </c>
      <c r="G2574" s="15" t="s">
        <v>13578</v>
      </c>
      <c r="H2574" s="15">
        <v>19</v>
      </c>
      <c r="I2574" s="15">
        <v>35</v>
      </c>
      <c r="J2574" s="15">
        <v>71</v>
      </c>
      <c r="K2574" s="15" t="str">
        <f t="shared" si="40"/>
        <v>sullen</v>
      </c>
      <c r="L2574" s="15" t="s">
        <v>13516</v>
      </c>
      <c r="M2574" s="15">
        <v>1</v>
      </c>
      <c r="N2574" s="15" t="s">
        <v>11222</v>
      </c>
      <c r="O2574" s="15"/>
      <c r="P2574" s="15"/>
      <c r="Q2574" s="15"/>
      <c r="R2574" s="15"/>
      <c r="S2574" s="15"/>
      <c r="T2574" s="15">
        <v>0</v>
      </c>
      <c r="U2574" s="15"/>
      <c r="V2574" s="15"/>
      <c r="W2574" s="15"/>
      <c r="X2574" s="15"/>
      <c r="Y2574" s="15"/>
      <c r="Z2574" s="15"/>
    </row>
    <row r="2575" spans="1:26" x14ac:dyDescent="0.25">
      <c r="A2575" s="15" t="s">
        <v>16069</v>
      </c>
      <c r="B2575" s="15">
        <v>2574</v>
      </c>
      <c r="C2575" s="15" t="s">
        <v>11277</v>
      </c>
      <c r="D2575" s="15" t="s">
        <v>11277</v>
      </c>
      <c r="E2575" s="15" t="s">
        <v>102</v>
      </c>
      <c r="F2575" s="15" t="s">
        <v>2056</v>
      </c>
      <c r="G2575" s="15" t="s">
        <v>13580</v>
      </c>
      <c r="H2575" s="15">
        <v>19</v>
      </c>
      <c r="I2575" s="15">
        <v>35</v>
      </c>
      <c r="J2575" s="15">
        <v>71</v>
      </c>
      <c r="K2575" s="15" t="str">
        <f t="shared" si="40"/>
        <v>sullen</v>
      </c>
      <c r="L2575" s="15" t="s">
        <v>13516</v>
      </c>
      <c r="M2575" s="15">
        <v>1</v>
      </c>
      <c r="N2575" s="15" t="s">
        <v>11222</v>
      </c>
      <c r="O2575" s="15"/>
      <c r="P2575" s="15"/>
      <c r="Q2575" s="15"/>
      <c r="R2575" s="15"/>
      <c r="S2575" s="15"/>
      <c r="T2575" s="15">
        <v>0</v>
      </c>
      <c r="U2575" s="15"/>
      <c r="V2575" s="15"/>
      <c r="W2575" s="15"/>
      <c r="X2575" s="15"/>
      <c r="Y2575" s="15"/>
      <c r="Z2575" s="15"/>
    </row>
    <row r="2576" spans="1:26" x14ac:dyDescent="0.25">
      <c r="A2576" s="15" t="s">
        <v>16070</v>
      </c>
      <c r="B2576" s="15">
        <v>2575</v>
      </c>
      <c r="C2576" s="15" t="s">
        <v>11277</v>
      </c>
      <c r="D2576" s="15" t="s">
        <v>11277</v>
      </c>
      <c r="E2576" s="15" t="s">
        <v>102</v>
      </c>
      <c r="F2576" s="15" t="s">
        <v>2056</v>
      </c>
      <c r="G2576" s="15" t="s">
        <v>13590</v>
      </c>
      <c r="H2576" s="15">
        <v>19</v>
      </c>
      <c r="I2576" s="15">
        <v>35</v>
      </c>
      <c r="J2576" s="15">
        <v>72</v>
      </c>
      <c r="K2576" s="15" t="str">
        <f t="shared" si="40"/>
        <v>sullen</v>
      </c>
      <c r="L2576" s="15" t="s">
        <v>13516</v>
      </c>
      <c r="M2576" s="15">
        <v>1</v>
      </c>
      <c r="N2576" s="15" t="s">
        <v>11222</v>
      </c>
      <c r="O2576" s="15"/>
      <c r="P2576" s="15"/>
      <c r="Q2576" s="15"/>
      <c r="R2576" s="15"/>
      <c r="S2576" s="15"/>
      <c r="T2576" s="15">
        <v>0</v>
      </c>
      <c r="U2576" s="15"/>
      <c r="V2576" s="15"/>
      <c r="W2576" s="15"/>
      <c r="X2576" s="15"/>
      <c r="Y2576" s="15"/>
      <c r="Z2576" s="15"/>
    </row>
    <row r="2577" spans="1:26" x14ac:dyDescent="0.25">
      <c r="A2577" s="15" t="s">
        <v>16071</v>
      </c>
      <c r="B2577" s="15">
        <v>2576</v>
      </c>
      <c r="C2577" s="15" t="s">
        <v>11277</v>
      </c>
      <c r="D2577" s="15" t="s">
        <v>11277</v>
      </c>
      <c r="E2577" s="15" t="s">
        <v>102</v>
      </c>
      <c r="F2577" s="15" t="s">
        <v>2056</v>
      </c>
      <c r="G2577" s="15" t="s">
        <v>13592</v>
      </c>
      <c r="H2577" s="15">
        <v>19</v>
      </c>
      <c r="I2577" s="15">
        <v>35</v>
      </c>
      <c r="J2577" s="15">
        <v>80</v>
      </c>
      <c r="K2577" s="15" t="str">
        <f t="shared" si="40"/>
        <v>sullen</v>
      </c>
      <c r="L2577" s="15" t="s">
        <v>13516</v>
      </c>
      <c r="M2577" s="15">
        <v>3</v>
      </c>
      <c r="N2577" s="15" t="s">
        <v>11222</v>
      </c>
      <c r="O2577" s="15"/>
      <c r="P2577" s="15"/>
      <c r="Q2577" s="15"/>
      <c r="R2577" s="15"/>
      <c r="S2577" s="15"/>
      <c r="T2577" s="15">
        <v>0</v>
      </c>
      <c r="U2577" s="15" t="s">
        <v>5900</v>
      </c>
      <c r="V2577" s="15"/>
      <c r="W2577" s="15"/>
      <c r="X2577" s="15" t="s">
        <v>5982</v>
      </c>
      <c r="Y2577" s="15"/>
      <c r="Z2577" s="15"/>
    </row>
    <row r="2578" spans="1:26" x14ac:dyDescent="0.25">
      <c r="A2578" s="15" t="s">
        <v>16072</v>
      </c>
      <c r="B2578" s="15">
        <v>2577</v>
      </c>
      <c r="C2578" s="15" t="s">
        <v>11277</v>
      </c>
      <c r="D2578" s="15" t="s">
        <v>11277</v>
      </c>
      <c r="E2578" s="15" t="s">
        <v>102</v>
      </c>
      <c r="F2578" s="15" t="s">
        <v>2046</v>
      </c>
      <c r="G2578" s="15" t="s">
        <v>13559</v>
      </c>
      <c r="H2578" s="15">
        <v>9</v>
      </c>
      <c r="I2578" s="15">
        <v>37</v>
      </c>
      <c r="J2578" s="15">
        <v>71</v>
      </c>
      <c r="K2578" s="15" t="str">
        <f t="shared" si="40"/>
        <v>theisleofken</v>
      </c>
      <c r="L2578" s="15" t="s">
        <v>11560</v>
      </c>
      <c r="M2578" s="15">
        <v>1</v>
      </c>
      <c r="N2578" s="15" t="s">
        <v>11222</v>
      </c>
      <c r="O2578" s="15"/>
      <c r="P2578" s="15" t="s">
        <v>16051</v>
      </c>
      <c r="Q2578" s="15"/>
      <c r="R2578" s="15"/>
      <c r="S2578" s="15"/>
      <c r="T2578" s="15">
        <v>0</v>
      </c>
      <c r="U2578" s="15"/>
      <c r="V2578" s="15"/>
      <c r="W2578" s="15"/>
      <c r="X2578" s="15"/>
      <c r="Y2578" s="15"/>
      <c r="Z2578" s="15"/>
    </row>
    <row r="2579" spans="1:26" x14ac:dyDescent="0.25">
      <c r="A2579" s="15" t="s">
        <v>16073</v>
      </c>
      <c r="B2579" s="15">
        <v>2578</v>
      </c>
      <c r="C2579" s="15" t="s">
        <v>11277</v>
      </c>
      <c r="D2579" s="15" t="s">
        <v>11277</v>
      </c>
      <c r="E2579" s="15" t="s">
        <v>102</v>
      </c>
      <c r="F2579" s="15" t="s">
        <v>2046</v>
      </c>
      <c r="G2579" s="15" t="s">
        <v>13576</v>
      </c>
      <c r="H2579" s="15">
        <v>9</v>
      </c>
      <c r="I2579" s="15">
        <v>37</v>
      </c>
      <c r="J2579" s="15">
        <v>71</v>
      </c>
      <c r="K2579" s="15" t="str">
        <f t="shared" si="40"/>
        <v>theisleofken</v>
      </c>
      <c r="L2579" s="15" t="s">
        <v>13516</v>
      </c>
      <c r="M2579" s="15">
        <v>1</v>
      </c>
      <c r="N2579" s="15" t="s">
        <v>11222</v>
      </c>
      <c r="O2579" s="15"/>
      <c r="P2579" s="15"/>
      <c r="Q2579" s="15"/>
      <c r="R2579" s="15"/>
      <c r="S2579" s="15"/>
      <c r="T2579" s="15">
        <v>0</v>
      </c>
      <c r="U2579" s="15"/>
      <c r="V2579" s="15"/>
      <c r="W2579" s="15"/>
      <c r="X2579" s="15"/>
      <c r="Y2579" s="15"/>
      <c r="Z2579" s="15"/>
    </row>
    <row r="2580" spans="1:26" x14ac:dyDescent="0.25">
      <c r="A2580" s="15" t="s">
        <v>16074</v>
      </c>
      <c r="B2580" s="15">
        <v>2579</v>
      </c>
      <c r="C2580" s="15" t="s">
        <v>11277</v>
      </c>
      <c r="D2580" s="15" t="s">
        <v>11277</v>
      </c>
      <c r="E2580" s="15" t="s">
        <v>102</v>
      </c>
      <c r="F2580" s="15" t="s">
        <v>2046</v>
      </c>
      <c r="G2580" s="15" t="s">
        <v>13594</v>
      </c>
      <c r="H2580" s="15">
        <v>9</v>
      </c>
      <c r="I2580" s="15">
        <v>37</v>
      </c>
      <c r="J2580" s="15">
        <v>74</v>
      </c>
      <c r="K2580" s="15" t="str">
        <f t="shared" si="40"/>
        <v>theisleofken</v>
      </c>
      <c r="L2580" s="15" t="s">
        <v>13524</v>
      </c>
      <c r="M2580" s="15">
        <v>2</v>
      </c>
      <c r="N2580" s="15" t="s">
        <v>11223</v>
      </c>
      <c r="O2580" s="15"/>
      <c r="P2580" s="15"/>
      <c r="Q2580" s="15"/>
      <c r="R2580" s="15"/>
      <c r="S2580" s="15"/>
      <c r="T2580" s="15">
        <v>0</v>
      </c>
      <c r="U2580" s="15"/>
      <c r="V2580" s="15"/>
      <c r="W2580" s="15"/>
      <c r="X2580" s="15"/>
      <c r="Y2580" s="15"/>
      <c r="Z2580" s="15"/>
    </row>
    <row r="2581" spans="1:26" x14ac:dyDescent="0.25">
      <c r="A2581" s="15" t="s">
        <v>16075</v>
      </c>
      <c r="B2581" s="15">
        <v>2580</v>
      </c>
      <c r="C2581" s="15" t="s">
        <v>11277</v>
      </c>
      <c r="D2581" s="15" t="s">
        <v>11277</v>
      </c>
      <c r="E2581" s="15" t="s">
        <v>102</v>
      </c>
      <c r="F2581" s="15" t="s">
        <v>2046</v>
      </c>
      <c r="G2581" s="15" t="s">
        <v>13596</v>
      </c>
      <c r="H2581" s="15">
        <v>9</v>
      </c>
      <c r="I2581" s="15">
        <v>37</v>
      </c>
      <c r="J2581" s="15">
        <v>75</v>
      </c>
      <c r="K2581" s="15" t="str">
        <f t="shared" si="40"/>
        <v>theisleofken</v>
      </c>
      <c r="L2581" s="15" t="s">
        <v>13521</v>
      </c>
      <c r="M2581" s="15">
        <v>3</v>
      </c>
      <c r="N2581" s="15" t="s">
        <v>11223</v>
      </c>
      <c r="O2581" s="15"/>
      <c r="P2581" s="15"/>
      <c r="Q2581" s="15"/>
      <c r="R2581" s="15"/>
      <c r="S2581" s="15"/>
      <c r="T2581" s="15">
        <v>0</v>
      </c>
      <c r="U2581" s="15"/>
      <c r="V2581" s="15"/>
      <c r="W2581" s="15"/>
      <c r="X2581" s="15"/>
      <c r="Y2581" s="15"/>
      <c r="Z2581" s="15"/>
    </row>
    <row r="2582" spans="1:26" x14ac:dyDescent="0.25">
      <c r="A2582" s="15" t="s">
        <v>16076</v>
      </c>
      <c r="B2582" s="15">
        <v>2581</v>
      </c>
      <c r="C2582" s="15" t="s">
        <v>11277</v>
      </c>
      <c r="D2582" s="15" t="s">
        <v>11277</v>
      </c>
      <c r="E2582" s="15" t="s">
        <v>133</v>
      </c>
      <c r="F2582" s="15" t="s">
        <v>2046</v>
      </c>
      <c r="G2582" s="15" t="s">
        <v>13598</v>
      </c>
      <c r="H2582" s="15">
        <v>9</v>
      </c>
      <c r="I2582" s="15">
        <v>37</v>
      </c>
      <c r="J2582" s="15">
        <v>90</v>
      </c>
      <c r="K2582" s="15" t="str">
        <f t="shared" si="40"/>
        <v>theisleofken</v>
      </c>
      <c r="L2582" s="15" t="s">
        <v>13560</v>
      </c>
      <c r="M2582" s="15">
        <v>2</v>
      </c>
      <c r="N2582" s="15" t="s">
        <v>11223</v>
      </c>
      <c r="O2582" s="15"/>
      <c r="P2582" s="15"/>
      <c r="Q2582" s="15"/>
      <c r="R2582" s="15"/>
      <c r="S2582" s="15"/>
      <c r="T2582" s="15">
        <v>0</v>
      </c>
      <c r="U2582" s="15"/>
      <c r="V2582" s="15"/>
      <c r="W2582" s="15"/>
      <c r="X2582" s="15"/>
      <c r="Y2582" s="15"/>
      <c r="Z2582" s="15"/>
    </row>
    <row r="2583" spans="1:26" x14ac:dyDescent="0.25">
      <c r="A2583" s="15" t="s">
        <v>16077</v>
      </c>
      <c r="B2583" s="15">
        <v>2582</v>
      </c>
      <c r="C2583" s="15" t="s">
        <v>11277</v>
      </c>
      <c r="D2583" s="15" t="s">
        <v>11277</v>
      </c>
      <c r="E2583" s="15" t="s">
        <v>102</v>
      </c>
      <c r="F2583" s="15" t="s">
        <v>2046</v>
      </c>
      <c r="G2583" s="15" t="s">
        <v>13600</v>
      </c>
      <c r="H2583" s="15">
        <v>9</v>
      </c>
      <c r="I2583" s="15">
        <v>37</v>
      </c>
      <c r="J2583" s="15">
        <v>80</v>
      </c>
      <c r="K2583" s="15" t="str">
        <f t="shared" si="40"/>
        <v>theisleofken</v>
      </c>
      <c r="L2583" s="15" t="s">
        <v>13537</v>
      </c>
      <c r="M2583" s="15">
        <v>3</v>
      </c>
      <c r="N2583" s="15" t="s">
        <v>11223</v>
      </c>
      <c r="O2583" s="15" t="s">
        <v>14037</v>
      </c>
      <c r="P2583" s="15"/>
      <c r="Q2583" s="15"/>
      <c r="R2583" s="15"/>
      <c r="S2583" s="15"/>
      <c r="T2583" s="15">
        <v>0</v>
      </c>
      <c r="U2583" s="15" t="s">
        <v>5908</v>
      </c>
      <c r="V2583" s="15" t="s">
        <v>5914</v>
      </c>
      <c r="W2583" s="15"/>
      <c r="X2583" s="15"/>
      <c r="Y2583" s="15"/>
      <c r="Z2583" s="15"/>
    </row>
    <row r="2584" spans="1:26" x14ac:dyDescent="0.25">
      <c r="A2584" s="15" t="s">
        <v>16078</v>
      </c>
      <c r="B2584" s="15">
        <v>2583</v>
      </c>
      <c r="C2584" s="15" t="s">
        <v>11277</v>
      </c>
      <c r="D2584" s="15" t="s">
        <v>11277</v>
      </c>
      <c r="E2584" s="15" t="s">
        <v>102</v>
      </c>
      <c r="F2584" s="15" t="s">
        <v>2046</v>
      </c>
      <c r="G2584" s="15" t="s">
        <v>13602</v>
      </c>
      <c r="H2584" s="15">
        <v>9</v>
      </c>
      <c r="I2584" s="15">
        <v>37</v>
      </c>
      <c r="J2584" s="15">
        <v>80</v>
      </c>
      <c r="K2584" s="15" t="str">
        <f t="shared" si="40"/>
        <v>theisleofken</v>
      </c>
      <c r="L2584" s="15" t="s">
        <v>14088</v>
      </c>
      <c r="M2584" s="15">
        <v>3</v>
      </c>
      <c r="N2584" s="15" t="s">
        <v>11223</v>
      </c>
      <c r="O2584" s="15" t="s">
        <v>14037</v>
      </c>
      <c r="P2584" s="15"/>
      <c r="Q2584" s="15" t="s">
        <v>13600</v>
      </c>
      <c r="R2584" s="15"/>
      <c r="S2584" s="15"/>
      <c r="T2584" s="15">
        <v>3</v>
      </c>
      <c r="U2584" s="15" t="s">
        <v>5914</v>
      </c>
      <c r="V2584" s="15"/>
      <c r="W2584" s="15"/>
      <c r="X2584" s="15"/>
      <c r="Y2584" s="15"/>
      <c r="Z2584" s="15"/>
    </row>
    <row r="2585" spans="1:26" x14ac:dyDescent="0.25">
      <c r="A2585" s="15" t="s">
        <v>16079</v>
      </c>
      <c r="B2585" s="15">
        <v>2584</v>
      </c>
      <c r="C2585" s="15" t="s">
        <v>11277</v>
      </c>
      <c r="D2585" s="15" t="s">
        <v>11647</v>
      </c>
      <c r="E2585" s="15" t="s">
        <v>102</v>
      </c>
      <c r="F2585" s="15" t="s">
        <v>16080</v>
      </c>
      <c r="G2585" s="15" t="s">
        <v>13604</v>
      </c>
      <c r="H2585" s="15">
        <v>14</v>
      </c>
      <c r="I2585" s="15">
        <v>32</v>
      </c>
      <c r="J2585" s="15">
        <v>71</v>
      </c>
      <c r="K2585" s="15" t="str">
        <f t="shared" si="40"/>
        <v>northeastsource</v>
      </c>
      <c r="L2585" s="15"/>
      <c r="M2585" s="15"/>
      <c r="N2585" s="15"/>
      <c r="O2585" s="15"/>
      <c r="P2585" s="15"/>
      <c r="Q2585" s="15"/>
      <c r="R2585" s="15"/>
      <c r="S2585" s="15"/>
      <c r="T2585" s="15">
        <v>0</v>
      </c>
      <c r="U2585" s="15"/>
      <c r="V2585" s="15"/>
      <c r="W2585" s="15"/>
      <c r="X2585" s="15"/>
      <c r="Y2585" s="15"/>
      <c r="Z2585" s="15"/>
    </row>
    <row r="2586" spans="1:26" x14ac:dyDescent="0.25">
      <c r="A2586" s="15" t="s">
        <v>16081</v>
      </c>
      <c r="B2586" s="15">
        <v>2585</v>
      </c>
      <c r="C2586" s="15" t="s">
        <v>11277</v>
      </c>
      <c r="D2586" s="15" t="s">
        <v>11647</v>
      </c>
      <c r="E2586" s="15" t="s">
        <v>102</v>
      </c>
      <c r="F2586" s="15" t="s">
        <v>16080</v>
      </c>
      <c r="G2586" s="15" t="s">
        <v>13606</v>
      </c>
      <c r="H2586" s="15">
        <v>14</v>
      </c>
      <c r="I2586" s="15">
        <v>32</v>
      </c>
      <c r="J2586" s="15">
        <v>71</v>
      </c>
      <c r="K2586" s="15" t="str">
        <f t="shared" si="40"/>
        <v>northeastsource</v>
      </c>
      <c r="L2586" s="15"/>
      <c r="M2586" s="15"/>
      <c r="N2586" s="15"/>
      <c r="O2586" s="15"/>
      <c r="P2586" s="15"/>
      <c r="Q2586" s="15"/>
      <c r="R2586" s="15"/>
      <c r="S2586" s="15"/>
      <c r="T2586" s="15">
        <v>0</v>
      </c>
      <c r="U2586" s="15"/>
      <c r="V2586" s="15"/>
      <c r="W2586" s="15"/>
      <c r="X2586" s="15"/>
      <c r="Y2586" s="15"/>
      <c r="Z2586" s="15"/>
    </row>
    <row r="2587" spans="1:26" x14ac:dyDescent="0.25">
      <c r="A2587" s="15" t="s">
        <v>16082</v>
      </c>
      <c r="B2587" s="15">
        <v>2586</v>
      </c>
      <c r="C2587" s="15" t="s">
        <v>11277</v>
      </c>
      <c r="D2587" s="15" t="s">
        <v>11647</v>
      </c>
      <c r="E2587" s="15" t="s">
        <v>102</v>
      </c>
      <c r="F2587" s="15" t="s">
        <v>16080</v>
      </c>
      <c r="G2587" s="15" t="s">
        <v>13608</v>
      </c>
      <c r="H2587" s="15">
        <v>14</v>
      </c>
      <c r="I2587" s="15">
        <v>32</v>
      </c>
      <c r="J2587" s="15">
        <v>71</v>
      </c>
      <c r="K2587" s="15" t="str">
        <f t="shared" si="40"/>
        <v>northeastsource</v>
      </c>
      <c r="L2587" s="15"/>
      <c r="M2587" s="15"/>
      <c r="N2587" s="15"/>
      <c r="O2587" s="15"/>
      <c r="P2587" s="15"/>
      <c r="Q2587" s="15"/>
      <c r="R2587" s="15"/>
      <c r="S2587" s="15"/>
      <c r="T2587" s="15">
        <v>0</v>
      </c>
      <c r="U2587" s="15"/>
      <c r="V2587" s="15"/>
      <c r="W2587" s="15"/>
      <c r="X2587" s="15"/>
      <c r="Y2587" s="15"/>
      <c r="Z2587" s="15"/>
    </row>
    <row r="2588" spans="1:26" x14ac:dyDescent="0.25">
      <c r="A2588" s="15" t="s">
        <v>16083</v>
      </c>
      <c r="B2588" s="15">
        <v>2587</v>
      </c>
      <c r="C2588" s="15" t="s">
        <v>11277</v>
      </c>
      <c r="D2588" s="15" t="s">
        <v>11647</v>
      </c>
      <c r="E2588" s="15" t="s">
        <v>102</v>
      </c>
      <c r="F2588" s="15" t="s">
        <v>16080</v>
      </c>
      <c r="G2588" s="15" t="s">
        <v>13610</v>
      </c>
      <c r="H2588" s="15">
        <v>14</v>
      </c>
      <c r="I2588" s="15">
        <v>32</v>
      </c>
      <c r="J2588" s="15">
        <v>71</v>
      </c>
      <c r="K2588" s="15" t="str">
        <f t="shared" si="40"/>
        <v>northeastsource</v>
      </c>
      <c r="L2588" s="15"/>
      <c r="M2588" s="15"/>
      <c r="N2588" s="15"/>
      <c r="O2588" s="15"/>
      <c r="P2588" s="15"/>
      <c r="Q2588" s="15"/>
      <c r="R2588" s="15"/>
      <c r="S2588" s="15"/>
      <c r="T2588" s="15">
        <v>0</v>
      </c>
      <c r="U2588" s="15"/>
      <c r="V2588" s="15"/>
      <c r="W2588" s="15"/>
      <c r="X2588" s="15"/>
      <c r="Y2588" s="15"/>
      <c r="Z2588" s="15"/>
    </row>
    <row r="2589" spans="1:26" x14ac:dyDescent="0.25">
      <c r="A2589" s="15" t="s">
        <v>16084</v>
      </c>
      <c r="B2589" s="15">
        <v>2588</v>
      </c>
      <c r="C2589" s="15" t="s">
        <v>11277</v>
      </c>
      <c r="D2589" s="15" t="s">
        <v>11647</v>
      </c>
      <c r="E2589" s="15" t="s">
        <v>102</v>
      </c>
      <c r="F2589" s="15" t="s">
        <v>16080</v>
      </c>
      <c r="G2589" s="15" t="s">
        <v>13612</v>
      </c>
      <c r="H2589" s="15">
        <v>14</v>
      </c>
      <c r="I2589" s="15">
        <v>32</v>
      </c>
      <c r="J2589" s="15">
        <v>71</v>
      </c>
      <c r="K2589" s="15" t="str">
        <f t="shared" si="40"/>
        <v>northeastsource</v>
      </c>
      <c r="L2589" s="15"/>
      <c r="M2589" s="15"/>
      <c r="N2589" s="15"/>
      <c r="O2589" s="15"/>
      <c r="P2589" s="15"/>
      <c r="Q2589" s="15"/>
      <c r="R2589" s="15"/>
      <c r="S2589" s="15"/>
      <c r="T2589" s="15">
        <v>0</v>
      </c>
      <c r="U2589" s="15"/>
      <c r="V2589" s="15"/>
      <c r="W2589" s="15"/>
      <c r="X2589" s="15"/>
      <c r="Y2589" s="15"/>
      <c r="Z2589" s="15"/>
    </row>
    <row r="2590" spans="1:26" x14ac:dyDescent="0.25">
      <c r="A2590" s="15" t="s">
        <v>16085</v>
      </c>
      <c r="B2590" s="15">
        <v>2589</v>
      </c>
      <c r="C2590" s="15" t="s">
        <v>11277</v>
      </c>
      <c r="D2590" s="15" t="s">
        <v>11647</v>
      </c>
      <c r="E2590" s="15" t="s">
        <v>102</v>
      </c>
      <c r="F2590" s="15" t="s">
        <v>16080</v>
      </c>
      <c r="G2590" s="15" t="s">
        <v>13614</v>
      </c>
      <c r="H2590" s="15">
        <v>14</v>
      </c>
      <c r="I2590" s="15">
        <v>32</v>
      </c>
      <c r="J2590" s="15">
        <v>72</v>
      </c>
      <c r="K2590" s="15" t="str">
        <f t="shared" si="40"/>
        <v>northeastsource</v>
      </c>
      <c r="L2590" s="15"/>
      <c r="M2590" s="15"/>
      <c r="N2590" s="15"/>
      <c r="O2590" s="15"/>
      <c r="P2590" s="15"/>
      <c r="Q2590" s="15"/>
      <c r="R2590" s="15"/>
      <c r="S2590" s="15"/>
      <c r="T2590" s="15">
        <v>0</v>
      </c>
      <c r="U2590" s="15"/>
      <c r="V2590" s="15"/>
      <c r="W2590" s="15"/>
      <c r="X2590" s="15"/>
      <c r="Y2590" s="15"/>
      <c r="Z2590" s="15"/>
    </row>
    <row r="2591" spans="1:26" x14ac:dyDescent="0.25">
      <c r="A2591" s="15" t="s">
        <v>16086</v>
      </c>
      <c r="B2591" s="15">
        <v>2590</v>
      </c>
      <c r="C2591" s="15" t="s">
        <v>11277</v>
      </c>
      <c r="D2591" s="15" t="s">
        <v>11647</v>
      </c>
      <c r="E2591" s="15" t="s">
        <v>102</v>
      </c>
      <c r="F2591" s="15" t="s">
        <v>2046</v>
      </c>
      <c r="G2591" s="15" t="s">
        <v>13616</v>
      </c>
      <c r="H2591" s="15">
        <v>9</v>
      </c>
      <c r="I2591" s="15">
        <v>37</v>
      </c>
      <c r="J2591" s="15">
        <v>71</v>
      </c>
      <c r="K2591" s="15" t="str">
        <f t="shared" si="40"/>
        <v>theisleofken</v>
      </c>
      <c r="L2591" s="15"/>
      <c r="M2591" s="15"/>
      <c r="N2591" s="15"/>
      <c r="O2591" s="15"/>
      <c r="P2591" s="15"/>
      <c r="Q2591" s="15"/>
      <c r="R2591" s="15"/>
      <c r="S2591" s="15"/>
      <c r="T2591" s="15">
        <v>0</v>
      </c>
      <c r="U2591" s="15"/>
      <c r="V2591" s="15"/>
      <c r="W2591" s="15"/>
      <c r="X2591" s="15"/>
      <c r="Y2591" s="15"/>
      <c r="Z2591" s="15"/>
    </row>
    <row r="2592" spans="1:26" x14ac:dyDescent="0.25">
      <c r="A2592" s="15" t="s">
        <v>16087</v>
      </c>
      <c r="B2592" s="15">
        <v>2591</v>
      </c>
      <c r="C2592" s="15" t="s">
        <v>11277</v>
      </c>
      <c r="D2592" s="15" t="s">
        <v>11647</v>
      </c>
      <c r="E2592" s="15" t="s">
        <v>102</v>
      </c>
      <c r="F2592" s="15" t="s">
        <v>2046</v>
      </c>
      <c r="G2592" s="15" t="s">
        <v>13618</v>
      </c>
      <c r="H2592" s="15">
        <v>9</v>
      </c>
      <c r="I2592" s="15">
        <v>37</v>
      </c>
      <c r="J2592" s="15">
        <v>72</v>
      </c>
      <c r="K2592" s="15" t="str">
        <f t="shared" si="40"/>
        <v>theisleofken</v>
      </c>
      <c r="L2592" s="15"/>
      <c r="M2592" s="15"/>
      <c r="N2592" s="15"/>
      <c r="O2592" s="15"/>
      <c r="P2592" s="15"/>
      <c r="Q2592" s="15"/>
      <c r="R2592" s="15"/>
      <c r="S2592" s="15"/>
      <c r="T2592" s="15">
        <v>0</v>
      </c>
      <c r="U2592" s="15"/>
      <c r="V2592" s="15"/>
      <c r="W2592" s="15"/>
      <c r="X2592" s="15"/>
      <c r="Y2592" s="15"/>
      <c r="Z2592" s="15"/>
    </row>
    <row r="2593" spans="1:26" x14ac:dyDescent="0.25">
      <c r="A2593" s="15" t="s">
        <v>16088</v>
      </c>
      <c r="B2593" s="15">
        <v>2592</v>
      </c>
      <c r="C2593" s="15" t="s">
        <v>11277</v>
      </c>
      <c r="D2593" s="15" t="s">
        <v>11647</v>
      </c>
      <c r="E2593" s="15" t="s">
        <v>102</v>
      </c>
      <c r="F2593" s="15" t="s">
        <v>2046</v>
      </c>
      <c r="G2593" s="15" t="s">
        <v>13620</v>
      </c>
      <c r="H2593" s="15">
        <v>9</v>
      </c>
      <c r="I2593" s="15">
        <v>37</v>
      </c>
      <c r="J2593" s="15">
        <v>72</v>
      </c>
      <c r="K2593" s="15" t="str">
        <f t="shared" si="40"/>
        <v>theisleofken</v>
      </c>
      <c r="L2593" s="15"/>
      <c r="M2593" s="15"/>
      <c r="N2593" s="15"/>
      <c r="O2593" s="15"/>
      <c r="P2593" s="15"/>
      <c r="Q2593" s="15"/>
      <c r="R2593" s="15"/>
      <c r="S2593" s="15"/>
      <c r="T2593" s="15">
        <v>0</v>
      </c>
      <c r="U2593" s="15"/>
      <c r="V2593" s="15"/>
      <c r="W2593" s="15"/>
      <c r="X2593" s="15"/>
      <c r="Y2593" s="15"/>
      <c r="Z2593" s="15"/>
    </row>
    <row r="2594" spans="1:26" x14ac:dyDescent="0.25">
      <c r="A2594" s="15" t="s">
        <v>16089</v>
      </c>
      <c r="B2594" s="15">
        <v>2593</v>
      </c>
      <c r="C2594" s="15" t="s">
        <v>11277</v>
      </c>
      <c r="D2594" s="15" t="s">
        <v>11647</v>
      </c>
      <c r="E2594" s="15" t="s">
        <v>102</v>
      </c>
      <c r="F2594" s="15" t="s">
        <v>2046</v>
      </c>
      <c r="G2594" s="15" t="s">
        <v>13622</v>
      </c>
      <c r="H2594" s="15">
        <v>9</v>
      </c>
      <c r="I2594" s="15">
        <v>37</v>
      </c>
      <c r="J2594" s="15">
        <v>72</v>
      </c>
      <c r="K2594" s="15" t="str">
        <f t="shared" si="40"/>
        <v>theisleofken</v>
      </c>
      <c r="L2594" s="15"/>
      <c r="M2594" s="15"/>
      <c r="N2594" s="15"/>
      <c r="O2594" s="15"/>
      <c r="P2594" s="15"/>
      <c r="Q2594" s="15"/>
      <c r="R2594" s="15"/>
      <c r="S2594" s="15"/>
      <c r="T2594" s="15">
        <v>0</v>
      </c>
      <c r="U2594" s="15"/>
      <c r="V2594" s="15"/>
      <c r="W2594" s="15"/>
      <c r="X2594" s="15"/>
      <c r="Y2594" s="15"/>
      <c r="Z2594" s="15"/>
    </row>
    <row r="2595" spans="1:26" x14ac:dyDescent="0.25">
      <c r="A2595" s="15" t="s">
        <v>16090</v>
      </c>
      <c r="B2595" s="15">
        <v>2594</v>
      </c>
      <c r="C2595" s="15" t="s">
        <v>11277</v>
      </c>
      <c r="D2595" s="15" t="s">
        <v>11647</v>
      </c>
      <c r="E2595" s="15" t="s">
        <v>102</v>
      </c>
      <c r="F2595" s="15" t="s">
        <v>2046</v>
      </c>
      <c r="G2595" s="15" t="s">
        <v>13624</v>
      </c>
      <c r="H2595" s="15">
        <v>9</v>
      </c>
      <c r="I2595" s="15">
        <v>37</v>
      </c>
      <c r="J2595" s="15">
        <v>72</v>
      </c>
      <c r="K2595" s="15" t="str">
        <f t="shared" si="40"/>
        <v>theisleofken</v>
      </c>
      <c r="L2595" s="15"/>
      <c r="M2595" s="15"/>
      <c r="N2595" s="15"/>
      <c r="O2595" s="15"/>
      <c r="P2595" s="15"/>
      <c r="Q2595" s="15"/>
      <c r="R2595" s="15"/>
      <c r="S2595" s="15"/>
      <c r="T2595" s="15">
        <v>0</v>
      </c>
      <c r="U2595" s="15"/>
      <c r="V2595" s="15"/>
      <c r="W2595" s="15"/>
      <c r="X2595" s="15"/>
      <c r="Y2595" s="15"/>
      <c r="Z2595" s="15"/>
    </row>
    <row r="2596" spans="1:26" x14ac:dyDescent="0.25">
      <c r="A2596" s="15" t="s">
        <v>16091</v>
      </c>
      <c r="B2596" s="15">
        <v>2595</v>
      </c>
      <c r="C2596" s="15" t="s">
        <v>11277</v>
      </c>
      <c r="D2596" s="15" t="s">
        <v>11647</v>
      </c>
      <c r="E2596" s="15" t="s">
        <v>102</v>
      </c>
      <c r="F2596" s="15" t="s">
        <v>2046</v>
      </c>
      <c r="G2596" s="15" t="s">
        <v>13626</v>
      </c>
      <c r="H2596" s="15">
        <v>9</v>
      </c>
      <c r="I2596" s="15">
        <v>37</v>
      </c>
      <c r="J2596" s="15">
        <v>73</v>
      </c>
      <c r="K2596" s="15" t="str">
        <f t="shared" si="40"/>
        <v>theisleofken</v>
      </c>
      <c r="L2596" s="15"/>
      <c r="M2596" s="15"/>
      <c r="N2596" s="15"/>
      <c r="O2596" s="15"/>
      <c r="P2596" s="15"/>
      <c r="Q2596" s="15"/>
      <c r="R2596" s="15"/>
      <c r="S2596" s="15"/>
      <c r="T2596" s="15">
        <v>0</v>
      </c>
      <c r="U2596" s="15"/>
      <c r="V2596" s="15"/>
      <c r="W2596" s="15"/>
      <c r="X2596" s="15"/>
      <c r="Y2596" s="15"/>
      <c r="Z2596" s="15"/>
    </row>
    <row r="2597" spans="1:26" x14ac:dyDescent="0.25">
      <c r="A2597" s="15" t="s">
        <v>16092</v>
      </c>
      <c r="B2597" s="15">
        <v>2596</v>
      </c>
      <c r="C2597" s="15" t="s">
        <v>11277</v>
      </c>
      <c r="D2597" s="15" t="s">
        <v>11647</v>
      </c>
      <c r="E2597" s="15" t="s">
        <v>102</v>
      </c>
      <c r="F2597" s="15" t="s">
        <v>16093</v>
      </c>
      <c r="G2597" s="15" t="s">
        <v>13628</v>
      </c>
      <c r="H2597" s="15">
        <v>13</v>
      </c>
      <c r="I2597" s="15">
        <v>38</v>
      </c>
      <c r="J2597" s="15">
        <v>71</v>
      </c>
      <c r="K2597" s="15" t="str">
        <f t="shared" si="40"/>
        <v>southeastsource</v>
      </c>
      <c r="L2597" s="15"/>
      <c r="M2597" s="15"/>
      <c r="N2597" s="15"/>
      <c r="O2597" s="15"/>
      <c r="P2597" s="15"/>
      <c r="Q2597" s="15"/>
      <c r="R2597" s="15"/>
      <c r="S2597" s="15"/>
      <c r="T2597" s="15">
        <v>0</v>
      </c>
      <c r="U2597" s="15"/>
      <c r="V2597" s="15"/>
      <c r="W2597" s="15"/>
      <c r="X2597" s="15"/>
      <c r="Y2597" s="15"/>
      <c r="Z2597" s="15"/>
    </row>
    <row r="2598" spans="1:26" x14ac:dyDescent="0.25">
      <c r="A2598" s="15" t="s">
        <v>16094</v>
      </c>
      <c r="B2598" s="15">
        <v>2597</v>
      </c>
      <c r="C2598" s="15" t="s">
        <v>11277</v>
      </c>
      <c r="D2598" s="15" t="s">
        <v>11647</v>
      </c>
      <c r="E2598" s="15" t="s">
        <v>102</v>
      </c>
      <c r="F2598" s="15" t="s">
        <v>16093</v>
      </c>
      <c r="G2598" s="15" t="s">
        <v>13630</v>
      </c>
      <c r="H2598" s="15">
        <v>13</v>
      </c>
      <c r="I2598" s="15">
        <v>38</v>
      </c>
      <c r="J2598" s="15">
        <v>71</v>
      </c>
      <c r="K2598" s="15" t="str">
        <f t="shared" si="40"/>
        <v>southeastsource</v>
      </c>
      <c r="L2598" s="15"/>
      <c r="M2598" s="15"/>
      <c r="N2598" s="15"/>
      <c r="O2598" s="15"/>
      <c r="P2598" s="15"/>
      <c r="Q2598" s="15"/>
      <c r="R2598" s="15"/>
      <c r="S2598" s="15"/>
      <c r="T2598" s="15">
        <v>0</v>
      </c>
      <c r="U2598" s="15"/>
      <c r="V2598" s="15"/>
      <c r="W2598" s="15"/>
      <c r="X2598" s="15"/>
      <c r="Y2598" s="15"/>
      <c r="Z2598" s="15"/>
    </row>
    <row r="2599" spans="1:26" x14ac:dyDescent="0.25">
      <c r="A2599" s="15" t="s">
        <v>16095</v>
      </c>
      <c r="B2599" s="15">
        <v>2598</v>
      </c>
      <c r="C2599" s="15" t="s">
        <v>11277</v>
      </c>
      <c r="D2599" s="15" t="s">
        <v>11647</v>
      </c>
      <c r="E2599" s="15" t="s">
        <v>102</v>
      </c>
      <c r="F2599" s="15" t="s">
        <v>16093</v>
      </c>
      <c r="G2599" s="15" t="s">
        <v>13632</v>
      </c>
      <c r="H2599" s="15">
        <v>13</v>
      </c>
      <c r="I2599" s="15">
        <v>38</v>
      </c>
      <c r="J2599" s="15">
        <v>71</v>
      </c>
      <c r="K2599" s="15" t="str">
        <f t="shared" si="40"/>
        <v>southeastsource</v>
      </c>
      <c r="L2599" s="15"/>
      <c r="M2599" s="15"/>
      <c r="N2599" s="15"/>
      <c r="O2599" s="15"/>
      <c r="P2599" s="15"/>
      <c r="Q2599" s="15"/>
      <c r="R2599" s="15"/>
      <c r="S2599" s="15"/>
      <c r="T2599" s="15">
        <v>0</v>
      </c>
      <c r="U2599" s="15"/>
      <c r="V2599" s="15"/>
      <c r="W2599" s="15"/>
      <c r="X2599" s="15"/>
      <c r="Y2599" s="15"/>
      <c r="Z2599" s="15"/>
    </row>
    <row r="2600" spans="1:26" x14ac:dyDescent="0.25">
      <c r="A2600" s="15" t="s">
        <v>16096</v>
      </c>
      <c r="B2600" s="15">
        <v>2599</v>
      </c>
      <c r="C2600" s="15" t="s">
        <v>11277</v>
      </c>
      <c r="D2600" s="15" t="s">
        <v>11647</v>
      </c>
      <c r="E2600" s="15" t="s">
        <v>102</v>
      </c>
      <c r="F2600" s="15" t="s">
        <v>16093</v>
      </c>
      <c r="G2600" s="15" t="s">
        <v>13634</v>
      </c>
      <c r="H2600" s="15">
        <v>13</v>
      </c>
      <c r="I2600" s="15">
        <v>38</v>
      </c>
      <c r="J2600" s="15">
        <v>72</v>
      </c>
      <c r="K2600" s="15" t="str">
        <f t="shared" si="40"/>
        <v>southeastsource</v>
      </c>
      <c r="L2600" s="15"/>
      <c r="M2600" s="15"/>
      <c r="N2600" s="15"/>
      <c r="O2600" s="15"/>
      <c r="P2600" s="15"/>
      <c r="Q2600" s="15"/>
      <c r="R2600" s="15"/>
      <c r="S2600" s="15"/>
      <c r="T2600" s="15">
        <v>0</v>
      </c>
      <c r="U2600" s="15"/>
      <c r="V2600" s="15"/>
      <c r="W2600" s="15"/>
      <c r="X2600" s="15"/>
      <c r="Y2600" s="15"/>
      <c r="Z2600" s="15"/>
    </row>
    <row r="2601" spans="1:26" x14ac:dyDescent="0.25">
      <c r="A2601" s="15" t="s">
        <v>16097</v>
      </c>
      <c r="B2601" s="15">
        <v>2600</v>
      </c>
      <c r="C2601" s="15" t="s">
        <v>11277</v>
      </c>
      <c r="D2601" s="15" t="s">
        <v>11647</v>
      </c>
      <c r="E2601" s="15" t="s">
        <v>102</v>
      </c>
      <c r="F2601" s="15" t="s">
        <v>16093</v>
      </c>
      <c r="G2601" s="15" t="s">
        <v>13636</v>
      </c>
      <c r="H2601" s="15">
        <v>13</v>
      </c>
      <c r="I2601" s="15">
        <v>38</v>
      </c>
      <c r="J2601" s="15">
        <v>72</v>
      </c>
      <c r="K2601" s="15" t="str">
        <f t="shared" si="40"/>
        <v>southeastsource</v>
      </c>
      <c r="L2601" s="15"/>
      <c r="M2601" s="15"/>
      <c r="N2601" s="15"/>
      <c r="O2601" s="15"/>
      <c r="P2601" s="15"/>
      <c r="Q2601" s="15"/>
      <c r="R2601" s="15"/>
      <c r="S2601" s="15"/>
      <c r="T2601" s="15">
        <v>0</v>
      </c>
      <c r="U2601" s="15"/>
      <c r="V2601" s="15"/>
      <c r="W2601" s="15"/>
      <c r="X2601" s="15"/>
      <c r="Y2601" s="15"/>
      <c r="Z2601" s="15"/>
    </row>
    <row r="2602" spans="1:26" x14ac:dyDescent="0.25">
      <c r="A2602" s="15" t="s">
        <v>16098</v>
      </c>
      <c r="B2602" s="15">
        <v>2601</v>
      </c>
      <c r="C2602" s="15" t="s">
        <v>11277</v>
      </c>
      <c r="D2602" s="15" t="s">
        <v>11647</v>
      </c>
      <c r="E2602" s="15" t="s">
        <v>102</v>
      </c>
      <c r="F2602" s="15" t="s">
        <v>16093</v>
      </c>
      <c r="G2602" s="15" t="s">
        <v>13638</v>
      </c>
      <c r="H2602" s="15">
        <v>13</v>
      </c>
      <c r="I2602" s="15">
        <v>38</v>
      </c>
      <c r="J2602" s="15">
        <v>73</v>
      </c>
      <c r="K2602" s="15" t="str">
        <f t="shared" si="40"/>
        <v>southeastsource</v>
      </c>
      <c r="L2602" s="15"/>
      <c r="M2602" s="15"/>
      <c r="N2602" s="15"/>
      <c r="O2602" s="15"/>
      <c r="P2602" s="15"/>
      <c r="Q2602" s="15"/>
      <c r="R2602" s="15"/>
      <c r="S2602" s="15"/>
      <c r="T2602" s="15">
        <v>0</v>
      </c>
      <c r="U2602" s="15"/>
      <c r="V2602" s="15"/>
      <c r="W2602" s="15"/>
      <c r="X2602" s="15"/>
      <c r="Y2602" s="15"/>
      <c r="Z2602" s="15"/>
    </row>
    <row r="2603" spans="1:26" x14ac:dyDescent="0.25">
      <c r="A2603" s="15" t="s">
        <v>16099</v>
      </c>
      <c r="B2603" s="15">
        <v>2602</v>
      </c>
      <c r="C2603" s="15" t="s">
        <v>11277</v>
      </c>
      <c r="D2603" s="15" t="s">
        <v>11647</v>
      </c>
      <c r="E2603" s="15" t="s">
        <v>102</v>
      </c>
      <c r="F2603" s="15" t="s">
        <v>16100</v>
      </c>
      <c r="G2603" s="15" t="s">
        <v>13606</v>
      </c>
      <c r="H2603" s="15">
        <v>11</v>
      </c>
      <c r="I2603" s="15">
        <v>35</v>
      </c>
      <c r="J2603" s="15">
        <v>71</v>
      </c>
      <c r="K2603" s="15" t="str">
        <f t="shared" si="40"/>
        <v>easternisleofken</v>
      </c>
      <c r="L2603" s="15"/>
      <c r="M2603" s="15"/>
      <c r="N2603" s="15"/>
      <c r="O2603" s="15"/>
      <c r="P2603" s="15"/>
      <c r="Q2603" s="15"/>
      <c r="R2603" s="15"/>
      <c r="S2603" s="15"/>
      <c r="T2603" s="15">
        <v>0</v>
      </c>
      <c r="U2603" s="15"/>
      <c r="V2603" s="15"/>
      <c r="W2603" s="15"/>
      <c r="X2603" s="15"/>
      <c r="Y2603" s="15"/>
      <c r="Z2603" s="15"/>
    </row>
    <row r="2604" spans="1:26" x14ac:dyDescent="0.25">
      <c r="A2604" s="15" t="s">
        <v>16101</v>
      </c>
      <c r="B2604" s="15">
        <v>2603</v>
      </c>
      <c r="C2604" s="15" t="s">
        <v>11277</v>
      </c>
      <c r="D2604" s="15" t="s">
        <v>11647</v>
      </c>
      <c r="E2604" s="15" t="s">
        <v>102</v>
      </c>
      <c r="F2604" s="15" t="s">
        <v>16100</v>
      </c>
      <c r="G2604" s="15" t="s">
        <v>13612</v>
      </c>
      <c r="H2604" s="15">
        <v>11</v>
      </c>
      <c r="I2604" s="15">
        <v>35</v>
      </c>
      <c r="J2604" s="15">
        <v>71</v>
      </c>
      <c r="K2604" s="15" t="str">
        <f t="shared" si="40"/>
        <v>easternisleofken</v>
      </c>
      <c r="L2604" s="15"/>
      <c r="M2604" s="15"/>
      <c r="N2604" s="15"/>
      <c r="O2604" s="15"/>
      <c r="P2604" s="15"/>
      <c r="Q2604" s="15"/>
      <c r="R2604" s="15"/>
      <c r="S2604" s="15"/>
      <c r="T2604" s="15">
        <v>0</v>
      </c>
      <c r="U2604" s="15"/>
      <c r="V2604" s="15"/>
      <c r="W2604" s="15"/>
      <c r="X2604" s="15"/>
      <c r="Y2604" s="15"/>
      <c r="Z2604" s="15"/>
    </row>
    <row r="2605" spans="1:26" x14ac:dyDescent="0.25">
      <c r="A2605" s="15" t="s">
        <v>16102</v>
      </c>
      <c r="B2605" s="15">
        <v>2604</v>
      </c>
      <c r="C2605" s="15" t="s">
        <v>11277</v>
      </c>
      <c r="D2605" s="15" t="s">
        <v>11647</v>
      </c>
      <c r="E2605" s="15" t="s">
        <v>102</v>
      </c>
      <c r="F2605" s="15" t="s">
        <v>16100</v>
      </c>
      <c r="G2605" s="15" t="s">
        <v>13618</v>
      </c>
      <c r="H2605" s="15">
        <v>11</v>
      </c>
      <c r="I2605" s="15">
        <v>35</v>
      </c>
      <c r="J2605" s="15">
        <v>72</v>
      </c>
      <c r="K2605" s="15" t="str">
        <f t="shared" si="40"/>
        <v>easternisleofken</v>
      </c>
      <c r="L2605" s="15"/>
      <c r="M2605" s="15"/>
      <c r="N2605" s="15"/>
      <c r="O2605" s="15"/>
      <c r="P2605" s="15"/>
      <c r="Q2605" s="15"/>
      <c r="R2605" s="15"/>
      <c r="S2605" s="15"/>
      <c r="T2605" s="15">
        <v>0</v>
      </c>
      <c r="U2605" s="15"/>
      <c r="V2605" s="15"/>
      <c r="W2605" s="15"/>
      <c r="X2605" s="15"/>
      <c r="Y2605" s="15"/>
      <c r="Z2605" s="15"/>
    </row>
    <row r="2606" spans="1:26" x14ac:dyDescent="0.25">
      <c r="A2606" s="15" t="s">
        <v>16103</v>
      </c>
      <c r="B2606" s="15">
        <v>2605</v>
      </c>
      <c r="C2606" s="15" t="s">
        <v>11277</v>
      </c>
      <c r="D2606" s="15" t="s">
        <v>11647</v>
      </c>
      <c r="E2606" s="15" t="s">
        <v>102</v>
      </c>
      <c r="F2606" s="15" t="s">
        <v>16100</v>
      </c>
      <c r="G2606" s="15" t="s">
        <v>13622</v>
      </c>
      <c r="H2606" s="15">
        <v>11</v>
      </c>
      <c r="I2606" s="15">
        <v>35</v>
      </c>
      <c r="J2606" s="15">
        <v>72</v>
      </c>
      <c r="K2606" s="15" t="str">
        <f t="shared" si="40"/>
        <v>easternisleofken</v>
      </c>
      <c r="L2606" s="15"/>
      <c r="M2606" s="15"/>
      <c r="N2606" s="15"/>
      <c r="O2606" s="15"/>
      <c r="P2606" s="15"/>
      <c r="Q2606" s="15"/>
      <c r="R2606" s="15"/>
      <c r="S2606" s="15"/>
      <c r="T2606" s="15">
        <v>0</v>
      </c>
      <c r="U2606" s="15"/>
      <c r="V2606" s="15"/>
      <c r="W2606" s="15"/>
      <c r="X2606" s="15"/>
      <c r="Y2606" s="15"/>
      <c r="Z2606" s="15"/>
    </row>
    <row r="2607" spans="1:26" x14ac:dyDescent="0.25">
      <c r="A2607" s="15" t="s">
        <v>16104</v>
      </c>
      <c r="B2607" s="15">
        <v>2606</v>
      </c>
      <c r="C2607" s="15" t="s">
        <v>11277</v>
      </c>
      <c r="D2607" s="15" t="s">
        <v>11647</v>
      </c>
      <c r="E2607" s="15" t="s">
        <v>102</v>
      </c>
      <c r="F2607" s="15" t="s">
        <v>16100</v>
      </c>
      <c r="G2607" s="15" t="s">
        <v>13640</v>
      </c>
      <c r="H2607" s="15">
        <v>11</v>
      </c>
      <c r="I2607" s="15">
        <v>35</v>
      </c>
      <c r="J2607" s="15">
        <v>74</v>
      </c>
      <c r="K2607" s="15" t="str">
        <f t="shared" si="40"/>
        <v>easternisleofken</v>
      </c>
      <c r="L2607" s="15"/>
      <c r="M2607" s="15"/>
      <c r="N2607" s="15"/>
      <c r="O2607" s="15"/>
      <c r="P2607" s="15"/>
      <c r="Q2607" s="15"/>
      <c r="R2607" s="15"/>
      <c r="S2607" s="15"/>
      <c r="T2607" s="15">
        <v>0</v>
      </c>
      <c r="U2607" s="15"/>
      <c r="V2607" s="15"/>
      <c r="W2607" s="15"/>
      <c r="X2607" s="15"/>
      <c r="Y2607" s="15"/>
      <c r="Z2607" s="15"/>
    </row>
    <row r="2608" spans="1:26" x14ac:dyDescent="0.25">
      <c r="A2608" s="15" t="s">
        <v>16105</v>
      </c>
      <c r="B2608" s="15">
        <v>2607</v>
      </c>
      <c r="C2608" s="15" t="s">
        <v>11277</v>
      </c>
      <c r="D2608" s="15" t="s">
        <v>11647</v>
      </c>
      <c r="E2608" s="15" t="s">
        <v>102</v>
      </c>
      <c r="F2608" s="15" t="s">
        <v>16100</v>
      </c>
      <c r="G2608" s="15" t="s">
        <v>13642</v>
      </c>
      <c r="H2608" s="15">
        <v>11</v>
      </c>
      <c r="I2608" s="15">
        <v>35</v>
      </c>
      <c r="J2608" s="15">
        <v>75</v>
      </c>
      <c r="K2608" s="15" t="str">
        <f t="shared" si="40"/>
        <v>easternisleofken</v>
      </c>
      <c r="L2608" s="15"/>
      <c r="M2608" s="15"/>
      <c r="N2608" s="15"/>
      <c r="O2608" s="15"/>
      <c r="P2608" s="15"/>
      <c r="Q2608" s="15"/>
      <c r="R2608" s="15"/>
      <c r="S2608" s="15"/>
      <c r="T2608" s="15">
        <v>0</v>
      </c>
      <c r="U2608" s="15"/>
      <c r="V2608" s="15"/>
      <c r="W2608" s="15"/>
      <c r="X2608" s="15"/>
      <c r="Y2608" s="15"/>
      <c r="Z2608" s="15"/>
    </row>
    <row r="2609" spans="1:26" x14ac:dyDescent="0.25">
      <c r="A2609" s="15" t="s">
        <v>16106</v>
      </c>
      <c r="B2609" s="15">
        <v>2608</v>
      </c>
      <c r="C2609" s="15" t="s">
        <v>11277</v>
      </c>
      <c r="D2609" s="15" t="s">
        <v>11647</v>
      </c>
      <c r="E2609" s="15" t="s">
        <v>102</v>
      </c>
      <c r="F2609" s="15" t="s">
        <v>16107</v>
      </c>
      <c r="G2609" s="15" t="s">
        <v>13616</v>
      </c>
      <c r="H2609" s="15">
        <v>5</v>
      </c>
      <c r="I2609" s="15">
        <v>37</v>
      </c>
      <c r="J2609" s="15">
        <v>71</v>
      </c>
      <c r="K2609" s="15" t="str">
        <f t="shared" si="40"/>
        <v>southwesternisleofken</v>
      </c>
      <c r="L2609" s="15"/>
      <c r="M2609" s="15"/>
      <c r="N2609" s="15"/>
      <c r="O2609" s="15"/>
      <c r="P2609" s="15"/>
      <c r="Q2609" s="15"/>
      <c r="R2609" s="15"/>
      <c r="S2609" s="15"/>
      <c r="T2609" s="15">
        <v>0</v>
      </c>
      <c r="U2609" s="15"/>
      <c r="V2609" s="15"/>
      <c r="W2609" s="15"/>
      <c r="X2609" s="15"/>
      <c r="Y2609" s="15"/>
      <c r="Z2609" s="15"/>
    </row>
    <row r="2610" spans="1:26" x14ac:dyDescent="0.25">
      <c r="A2610" s="15" t="s">
        <v>16108</v>
      </c>
      <c r="B2610" s="15">
        <v>2609</v>
      </c>
      <c r="C2610" s="15" t="s">
        <v>11277</v>
      </c>
      <c r="D2610" s="15" t="s">
        <v>11647</v>
      </c>
      <c r="E2610" s="15" t="s">
        <v>102</v>
      </c>
      <c r="F2610" s="15" t="s">
        <v>16107</v>
      </c>
      <c r="G2610" s="15" t="s">
        <v>13620</v>
      </c>
      <c r="H2610" s="15">
        <v>5</v>
      </c>
      <c r="I2610" s="15">
        <v>37</v>
      </c>
      <c r="J2610" s="15">
        <v>72</v>
      </c>
      <c r="K2610" s="15" t="str">
        <f t="shared" si="40"/>
        <v>southwesternisleofken</v>
      </c>
      <c r="L2610" s="15"/>
      <c r="M2610" s="15"/>
      <c r="N2610" s="15"/>
      <c r="O2610" s="15"/>
      <c r="P2610" s="15"/>
      <c r="Q2610" s="15"/>
      <c r="R2610" s="15"/>
      <c r="S2610" s="15"/>
      <c r="T2610" s="15">
        <v>0</v>
      </c>
      <c r="U2610" s="15"/>
      <c r="V2610" s="15"/>
      <c r="W2610" s="15"/>
      <c r="X2610" s="15"/>
      <c r="Y2610" s="15"/>
      <c r="Z2610" s="15"/>
    </row>
    <row r="2611" spans="1:26" x14ac:dyDescent="0.25">
      <c r="A2611" s="15" t="s">
        <v>16109</v>
      </c>
      <c r="B2611" s="15">
        <v>2610</v>
      </c>
      <c r="C2611" s="15" t="s">
        <v>11277</v>
      </c>
      <c r="D2611" s="15" t="s">
        <v>11647</v>
      </c>
      <c r="E2611" s="15" t="s">
        <v>102</v>
      </c>
      <c r="F2611" s="15" t="s">
        <v>16107</v>
      </c>
      <c r="G2611" s="15" t="s">
        <v>13626</v>
      </c>
      <c r="H2611" s="15">
        <v>5</v>
      </c>
      <c r="I2611" s="15">
        <v>37</v>
      </c>
      <c r="J2611" s="15">
        <v>73</v>
      </c>
      <c r="K2611" s="15" t="str">
        <f t="shared" si="40"/>
        <v>southwesternisleofken</v>
      </c>
      <c r="L2611" s="15"/>
      <c r="M2611" s="15"/>
      <c r="N2611" s="15"/>
      <c r="O2611" s="15"/>
      <c r="P2611" s="15"/>
      <c r="Q2611" s="15"/>
      <c r="R2611" s="15"/>
      <c r="S2611" s="15"/>
      <c r="T2611" s="15">
        <v>0</v>
      </c>
      <c r="U2611" s="15"/>
      <c r="V2611" s="15"/>
      <c r="W2611" s="15"/>
      <c r="X2611" s="15"/>
      <c r="Y2611" s="15"/>
      <c r="Z2611" s="15"/>
    </row>
    <row r="2612" spans="1:26" x14ac:dyDescent="0.25">
      <c r="A2612" s="15" t="s">
        <v>16110</v>
      </c>
      <c r="B2612" s="15">
        <v>2611</v>
      </c>
      <c r="C2612" s="15" t="s">
        <v>11277</v>
      </c>
      <c r="D2612" s="15" t="s">
        <v>11647</v>
      </c>
      <c r="E2612" s="15" t="s">
        <v>133</v>
      </c>
      <c r="F2612" s="15" t="s">
        <v>16107</v>
      </c>
      <c r="G2612" s="15" t="s">
        <v>13644</v>
      </c>
      <c r="H2612" s="15">
        <v>5</v>
      </c>
      <c r="I2612" s="15">
        <v>37</v>
      </c>
      <c r="J2612" s="15">
        <v>82</v>
      </c>
      <c r="K2612" s="15" t="str">
        <f t="shared" si="40"/>
        <v>southwesternisleofken</v>
      </c>
      <c r="L2612" s="15"/>
      <c r="M2612" s="15"/>
      <c r="N2612" s="15"/>
      <c r="O2612" s="15"/>
      <c r="P2612" s="15"/>
      <c r="Q2612" s="15"/>
      <c r="R2612" s="15"/>
      <c r="S2612" s="15"/>
      <c r="T2612" s="15">
        <v>0</v>
      </c>
      <c r="U2612" s="15"/>
      <c r="V2612" s="15"/>
      <c r="W2612" s="15"/>
      <c r="X2612" s="15"/>
      <c r="Y2612" s="15"/>
      <c r="Z2612" s="15"/>
    </row>
    <row r="2613" spans="1:26" x14ac:dyDescent="0.25">
      <c r="A2613" s="15" t="s">
        <v>16111</v>
      </c>
      <c r="B2613" s="15">
        <v>2612</v>
      </c>
      <c r="C2613" s="15" t="s">
        <v>11277</v>
      </c>
      <c r="D2613" s="15" t="s">
        <v>11277</v>
      </c>
      <c r="E2613" s="15" t="s">
        <v>102</v>
      </c>
      <c r="F2613" s="15" t="s">
        <v>16112</v>
      </c>
      <c r="G2613" s="15" t="s">
        <v>13646</v>
      </c>
      <c r="H2613" s="15">
        <v>27</v>
      </c>
      <c r="I2613" s="15">
        <v>14</v>
      </c>
      <c r="J2613" s="15">
        <v>71</v>
      </c>
      <c r="K2613" s="15" t="str">
        <f t="shared" si="40"/>
        <v>upperwattsriver</v>
      </c>
      <c r="L2613" s="15" t="s">
        <v>13560</v>
      </c>
      <c r="M2613" s="15">
        <v>1</v>
      </c>
      <c r="N2613" s="15" t="s">
        <v>11222</v>
      </c>
      <c r="O2613" s="15"/>
      <c r="P2613" s="15"/>
      <c r="Q2613" s="15"/>
      <c r="R2613" s="15"/>
      <c r="S2613" s="15"/>
      <c r="T2613" s="15">
        <v>0</v>
      </c>
      <c r="U2613" s="15"/>
      <c r="V2613" s="15"/>
      <c r="W2613" s="15"/>
      <c r="X2613" s="15"/>
      <c r="Y2613" s="15"/>
      <c r="Z2613" s="15"/>
    </row>
    <row r="2614" spans="1:26" x14ac:dyDescent="0.25">
      <c r="A2614" s="15" t="s">
        <v>16113</v>
      </c>
      <c r="B2614" s="15">
        <v>2613</v>
      </c>
      <c r="C2614" s="15" t="s">
        <v>11277</v>
      </c>
      <c r="D2614" s="15" t="s">
        <v>11277</v>
      </c>
      <c r="E2614" s="15" t="s">
        <v>102</v>
      </c>
      <c r="F2614" s="15" t="s">
        <v>16112</v>
      </c>
      <c r="G2614" s="15" t="s">
        <v>13648</v>
      </c>
      <c r="H2614" s="15">
        <v>27</v>
      </c>
      <c r="I2614" s="15">
        <v>14</v>
      </c>
      <c r="J2614" s="15">
        <v>71</v>
      </c>
      <c r="K2614" s="15" t="str">
        <f t="shared" si="40"/>
        <v>upperwattsriver</v>
      </c>
      <c r="L2614" s="15" t="s">
        <v>13537</v>
      </c>
      <c r="M2614" s="15">
        <v>1</v>
      </c>
      <c r="N2614" s="15" t="s">
        <v>11222</v>
      </c>
      <c r="O2614" s="15"/>
      <c r="P2614" s="15"/>
      <c r="Q2614" s="15"/>
      <c r="R2614" s="15"/>
      <c r="S2614" s="15"/>
      <c r="T2614" s="15">
        <v>0</v>
      </c>
      <c r="U2614" s="15"/>
      <c r="V2614" s="15"/>
      <c r="W2614" s="15"/>
      <c r="X2614" s="15"/>
      <c r="Y2614" s="15"/>
      <c r="Z2614" s="15"/>
    </row>
    <row r="2615" spans="1:26" x14ac:dyDescent="0.25">
      <c r="A2615" s="15" t="s">
        <v>16114</v>
      </c>
      <c r="B2615" s="15">
        <v>2614</v>
      </c>
      <c r="C2615" s="15" t="s">
        <v>11277</v>
      </c>
      <c r="D2615" s="15" t="s">
        <v>11277</v>
      </c>
      <c r="E2615" s="15" t="s">
        <v>102</v>
      </c>
      <c r="F2615" s="15" t="s">
        <v>16112</v>
      </c>
      <c r="G2615" s="15" t="s">
        <v>13650</v>
      </c>
      <c r="H2615" s="15">
        <v>27</v>
      </c>
      <c r="I2615" s="15">
        <v>14</v>
      </c>
      <c r="J2615" s="15">
        <v>71</v>
      </c>
      <c r="K2615" s="15" t="str">
        <f t="shared" si="40"/>
        <v>upperwattsriver</v>
      </c>
      <c r="L2615" s="15" t="s">
        <v>13537</v>
      </c>
      <c r="M2615" s="15">
        <v>1</v>
      </c>
      <c r="N2615" s="15" t="s">
        <v>11222</v>
      </c>
      <c r="O2615" s="15"/>
      <c r="P2615" s="15"/>
      <c r="Q2615" s="15"/>
      <c r="R2615" s="15"/>
      <c r="S2615" s="15"/>
      <c r="T2615" s="15">
        <v>0</v>
      </c>
      <c r="U2615" s="15"/>
      <c r="V2615" s="15"/>
      <c r="W2615" s="15"/>
      <c r="X2615" s="15"/>
      <c r="Y2615" s="15"/>
      <c r="Z2615" s="15"/>
    </row>
    <row r="2616" spans="1:26" x14ac:dyDescent="0.25">
      <c r="A2616" s="15" t="s">
        <v>16115</v>
      </c>
      <c r="B2616" s="15">
        <v>2615</v>
      </c>
      <c r="C2616" s="15" t="s">
        <v>11277</v>
      </c>
      <c r="D2616" s="15" t="s">
        <v>11277</v>
      </c>
      <c r="E2616" s="15" t="s">
        <v>102</v>
      </c>
      <c r="F2616" s="15" t="s">
        <v>16112</v>
      </c>
      <c r="G2616" s="15" t="s">
        <v>13652</v>
      </c>
      <c r="H2616" s="15">
        <v>27</v>
      </c>
      <c r="I2616" s="15">
        <v>14</v>
      </c>
      <c r="J2616" s="15">
        <v>77</v>
      </c>
      <c r="K2616" s="15" t="str">
        <f t="shared" si="40"/>
        <v>upperwattsriver</v>
      </c>
      <c r="L2616" s="15" t="s">
        <v>13537</v>
      </c>
      <c r="M2616" s="15">
        <v>2</v>
      </c>
      <c r="N2616" s="15" t="s">
        <v>11223</v>
      </c>
      <c r="O2616" s="15"/>
      <c r="P2616" s="15"/>
      <c r="Q2616" s="15"/>
      <c r="R2616" s="15"/>
      <c r="S2616" s="15"/>
      <c r="T2616" s="15">
        <v>0</v>
      </c>
      <c r="U2616" s="15"/>
      <c r="V2616" s="15"/>
      <c r="W2616" s="15"/>
      <c r="X2616" s="15"/>
      <c r="Y2616" s="15"/>
      <c r="Z2616" s="15"/>
    </row>
    <row r="2617" spans="1:26" x14ac:dyDescent="0.25">
      <c r="A2617" s="15" t="s">
        <v>16116</v>
      </c>
      <c r="B2617" s="15">
        <v>2616</v>
      </c>
      <c r="C2617" s="15" t="s">
        <v>11277</v>
      </c>
      <c r="D2617" s="15" t="s">
        <v>11277</v>
      </c>
      <c r="E2617" s="15" t="s">
        <v>102</v>
      </c>
      <c r="F2617" s="15" t="s">
        <v>16112</v>
      </c>
      <c r="G2617" s="15" t="s">
        <v>13654</v>
      </c>
      <c r="H2617" s="15">
        <v>27</v>
      </c>
      <c r="I2617" s="15">
        <v>14</v>
      </c>
      <c r="J2617" s="15">
        <v>78</v>
      </c>
      <c r="K2617" s="15" t="str">
        <f t="shared" si="40"/>
        <v>upperwattsriver</v>
      </c>
      <c r="L2617" s="15" t="s">
        <v>13521</v>
      </c>
      <c r="M2617" s="15">
        <v>1</v>
      </c>
      <c r="N2617" s="15" t="s">
        <v>11222</v>
      </c>
      <c r="O2617" s="15"/>
      <c r="P2617" s="15"/>
      <c r="Q2617" s="15"/>
      <c r="R2617" s="15"/>
      <c r="S2617" s="15"/>
      <c r="T2617" s="15">
        <v>0</v>
      </c>
      <c r="U2617" s="15"/>
      <c r="V2617" s="15"/>
      <c r="W2617" s="15"/>
      <c r="X2617" s="15"/>
      <c r="Y2617" s="15"/>
      <c r="Z2617" s="15"/>
    </row>
    <row r="2618" spans="1:26" x14ac:dyDescent="0.25">
      <c r="A2618" s="15" t="s">
        <v>16117</v>
      </c>
      <c r="B2618" s="15">
        <v>2617</v>
      </c>
      <c r="C2618" s="15" t="s">
        <v>11277</v>
      </c>
      <c r="D2618" s="15" t="s">
        <v>11277</v>
      </c>
      <c r="E2618" s="15" t="s">
        <v>102</v>
      </c>
      <c r="F2618" s="15" t="s">
        <v>16112</v>
      </c>
      <c r="G2618" s="15" t="s">
        <v>13656</v>
      </c>
      <c r="H2618" s="15">
        <v>27</v>
      </c>
      <c r="I2618" s="15">
        <v>14</v>
      </c>
      <c r="J2618" s="15">
        <v>80</v>
      </c>
      <c r="K2618" s="15" t="str">
        <f t="shared" si="40"/>
        <v>upperwattsriver</v>
      </c>
      <c r="L2618" s="15" t="s">
        <v>13537</v>
      </c>
      <c r="M2618" s="15">
        <v>3</v>
      </c>
      <c r="N2618" s="15" t="s">
        <v>11223</v>
      </c>
      <c r="O2618" s="15"/>
      <c r="P2618" s="15"/>
      <c r="Q2618" s="15"/>
      <c r="R2618" s="15"/>
      <c r="S2618" s="15"/>
      <c r="T2618" s="15">
        <v>2</v>
      </c>
      <c r="U2618" s="15"/>
      <c r="V2618" s="15"/>
      <c r="W2618" s="15"/>
      <c r="X2618" s="15"/>
      <c r="Y2618" s="15"/>
      <c r="Z2618" s="15"/>
    </row>
    <row r="2619" spans="1:26" x14ac:dyDescent="0.25">
      <c r="A2619" s="15" t="s">
        <v>16118</v>
      </c>
      <c r="B2619" s="15">
        <v>2618</v>
      </c>
      <c r="C2619" s="15" t="s">
        <v>11277</v>
      </c>
      <c r="D2619" s="15" t="s">
        <v>11277</v>
      </c>
      <c r="E2619" s="15" t="s">
        <v>102</v>
      </c>
      <c r="F2619" s="15" t="s">
        <v>2106</v>
      </c>
      <c r="G2619" s="15" t="s">
        <v>13646</v>
      </c>
      <c r="H2619" s="15">
        <v>29.4</v>
      </c>
      <c r="I2619" s="15">
        <v>21.4</v>
      </c>
      <c r="J2619" s="15">
        <v>71</v>
      </c>
      <c r="K2619" s="15" t="str">
        <f t="shared" si="40"/>
        <v>whiteoilfalls</v>
      </c>
      <c r="L2619" s="15" t="s">
        <v>13560</v>
      </c>
      <c r="M2619" s="15">
        <v>1</v>
      </c>
      <c r="N2619" s="15" t="s">
        <v>11222</v>
      </c>
      <c r="O2619" s="15"/>
      <c r="P2619" s="15"/>
      <c r="Q2619" s="15"/>
      <c r="R2619" s="15"/>
      <c r="S2619" s="15"/>
      <c r="T2619" s="15">
        <v>0</v>
      </c>
      <c r="U2619" s="15"/>
      <c r="V2619" s="15"/>
      <c r="W2619" s="15"/>
      <c r="X2619" s="15"/>
      <c r="Y2619" s="15"/>
      <c r="Z2619" s="15"/>
    </row>
    <row r="2620" spans="1:26" x14ac:dyDescent="0.25">
      <c r="A2620" s="15" t="s">
        <v>16119</v>
      </c>
      <c r="B2620" s="15">
        <v>2619</v>
      </c>
      <c r="C2620" s="15" t="s">
        <v>11277</v>
      </c>
      <c r="D2620" s="15" t="s">
        <v>11277</v>
      </c>
      <c r="E2620" s="15" t="s">
        <v>102</v>
      </c>
      <c r="F2620" s="15" t="s">
        <v>2106</v>
      </c>
      <c r="G2620" s="15" t="s">
        <v>13650</v>
      </c>
      <c r="H2620" s="15">
        <v>29.4</v>
      </c>
      <c r="I2620" s="15">
        <v>21.4</v>
      </c>
      <c r="J2620" s="15">
        <v>71</v>
      </c>
      <c r="K2620" s="15" t="str">
        <f t="shared" si="40"/>
        <v>whiteoilfalls</v>
      </c>
      <c r="L2620" s="15" t="s">
        <v>13537</v>
      </c>
      <c r="M2620" s="15">
        <v>1</v>
      </c>
      <c r="N2620" s="15" t="s">
        <v>11222</v>
      </c>
      <c r="O2620" s="15"/>
      <c r="P2620" s="15"/>
      <c r="Q2620" s="15"/>
      <c r="R2620" s="15"/>
      <c r="S2620" s="15"/>
      <c r="T2620" s="15">
        <v>0</v>
      </c>
      <c r="U2620" s="15"/>
      <c r="V2620" s="15"/>
      <c r="W2620" s="15"/>
      <c r="X2620" s="15"/>
      <c r="Y2620" s="15"/>
      <c r="Z2620" s="15"/>
    </row>
    <row r="2621" spans="1:26" x14ac:dyDescent="0.25">
      <c r="A2621" s="15" t="s">
        <v>16120</v>
      </c>
      <c r="B2621" s="15">
        <v>2620</v>
      </c>
      <c r="C2621" s="15" t="s">
        <v>11277</v>
      </c>
      <c r="D2621" s="15" t="s">
        <v>11277</v>
      </c>
      <c r="E2621" s="15" t="s">
        <v>102</v>
      </c>
      <c r="F2621" s="15" t="s">
        <v>2106</v>
      </c>
      <c r="G2621" s="15" t="s">
        <v>13658</v>
      </c>
      <c r="H2621" s="15">
        <v>29.4</v>
      </c>
      <c r="I2621" s="15">
        <v>21.4</v>
      </c>
      <c r="J2621" s="15">
        <v>72</v>
      </c>
      <c r="K2621" s="15" t="str">
        <f t="shared" si="40"/>
        <v>whiteoilfalls</v>
      </c>
      <c r="L2621" s="15" t="s">
        <v>13524</v>
      </c>
      <c r="M2621" s="15">
        <v>1</v>
      </c>
      <c r="N2621" s="15" t="s">
        <v>11222</v>
      </c>
      <c r="O2621" s="15"/>
      <c r="P2621" s="15"/>
      <c r="Q2621" s="15"/>
      <c r="R2621" s="15"/>
      <c r="S2621" s="15"/>
      <c r="T2621" s="15">
        <v>0</v>
      </c>
      <c r="U2621" s="15"/>
      <c r="V2621" s="15"/>
      <c r="W2621" s="15"/>
      <c r="X2621" s="15"/>
      <c r="Y2621" s="15"/>
      <c r="Z2621" s="15"/>
    </row>
    <row r="2622" spans="1:26" x14ac:dyDescent="0.25">
      <c r="A2622" s="15" t="s">
        <v>16121</v>
      </c>
      <c r="B2622" s="15">
        <v>2621</v>
      </c>
      <c r="C2622" s="15" t="s">
        <v>11277</v>
      </c>
      <c r="D2622" s="15" t="s">
        <v>11277</v>
      </c>
      <c r="E2622" s="15" t="s">
        <v>102</v>
      </c>
      <c r="F2622" s="15" t="s">
        <v>2106</v>
      </c>
      <c r="G2622" s="15" t="s">
        <v>13660</v>
      </c>
      <c r="H2622" s="15">
        <v>29.4</v>
      </c>
      <c r="I2622" s="15">
        <v>21.4</v>
      </c>
      <c r="J2622" s="15">
        <v>72</v>
      </c>
      <c r="K2622" s="15" t="str">
        <f t="shared" si="40"/>
        <v>whiteoilfalls</v>
      </c>
      <c r="L2622" s="15" t="s">
        <v>11560</v>
      </c>
      <c r="M2622" s="15">
        <v>2</v>
      </c>
      <c r="N2622" s="15" t="s">
        <v>11223</v>
      </c>
      <c r="O2622" s="15"/>
      <c r="P2622" s="15"/>
      <c r="Q2622" s="15"/>
      <c r="R2622" s="15"/>
      <c r="S2622" s="15"/>
      <c r="T2622" s="15">
        <v>0</v>
      </c>
      <c r="U2622" s="15"/>
      <c r="V2622" s="15"/>
      <c r="W2622" s="15"/>
      <c r="X2622" s="15"/>
      <c r="Y2622" s="15"/>
      <c r="Z2622" s="15"/>
    </row>
    <row r="2623" spans="1:26" x14ac:dyDescent="0.25">
      <c r="A2623" s="15" t="s">
        <v>16122</v>
      </c>
      <c r="B2623" s="15">
        <v>2622</v>
      </c>
      <c r="C2623" s="15" t="s">
        <v>11277</v>
      </c>
      <c r="D2623" s="15" t="s">
        <v>11277</v>
      </c>
      <c r="E2623" s="15" t="s">
        <v>133</v>
      </c>
      <c r="F2623" s="15" t="s">
        <v>2106</v>
      </c>
      <c r="G2623" s="15" t="s">
        <v>13662</v>
      </c>
      <c r="H2623" s="15">
        <v>29.4</v>
      </c>
      <c r="I2623" s="15">
        <v>21.4</v>
      </c>
      <c r="J2623" s="15">
        <v>90</v>
      </c>
      <c r="K2623" s="15" t="str">
        <f t="shared" si="40"/>
        <v>whiteoilfalls</v>
      </c>
      <c r="L2623" s="15" t="s">
        <v>13560</v>
      </c>
      <c r="M2623" s="15">
        <v>1</v>
      </c>
      <c r="N2623" s="15" t="s">
        <v>11222</v>
      </c>
      <c r="O2623" s="15"/>
      <c r="P2623" s="15"/>
      <c r="Q2623" s="15"/>
      <c r="R2623" s="15"/>
      <c r="S2623" s="15"/>
      <c r="T2623" s="15">
        <v>0</v>
      </c>
      <c r="U2623" s="15"/>
      <c r="V2623" s="15"/>
      <c r="W2623" s="15"/>
      <c r="X2623" s="15"/>
      <c r="Y2623" s="15"/>
      <c r="Z2623" s="15"/>
    </row>
    <row r="2624" spans="1:26" x14ac:dyDescent="0.25">
      <c r="A2624" s="15" t="s">
        <v>16123</v>
      </c>
      <c r="B2624" s="15">
        <v>2623</v>
      </c>
      <c r="C2624" s="15" t="s">
        <v>11277</v>
      </c>
      <c r="D2624" s="15" t="s">
        <v>11277</v>
      </c>
      <c r="E2624" s="15" t="s">
        <v>102</v>
      </c>
      <c r="F2624" s="15" t="s">
        <v>2106</v>
      </c>
      <c r="G2624" s="15" t="s">
        <v>13664</v>
      </c>
      <c r="H2624" s="15">
        <v>29.4</v>
      </c>
      <c r="I2624" s="15">
        <v>21.4</v>
      </c>
      <c r="J2624" s="15">
        <v>80</v>
      </c>
      <c r="K2624" s="15" t="str">
        <f t="shared" si="40"/>
        <v>whiteoilfalls</v>
      </c>
      <c r="L2624" s="15" t="s">
        <v>13524</v>
      </c>
      <c r="M2624" s="15">
        <v>3</v>
      </c>
      <c r="N2624" s="15" t="s">
        <v>11222</v>
      </c>
      <c r="O2624" s="15"/>
      <c r="P2624" s="15"/>
      <c r="Q2624" s="15"/>
      <c r="R2624" s="15"/>
      <c r="S2624" s="15"/>
      <c r="T2624" s="15">
        <v>0</v>
      </c>
      <c r="U2624" s="15" t="s">
        <v>5908</v>
      </c>
      <c r="V2624" s="15"/>
      <c r="W2624" s="15"/>
      <c r="X2624" s="15" t="s">
        <v>5914</v>
      </c>
      <c r="Y2624" s="15"/>
      <c r="Z2624" s="15"/>
    </row>
    <row r="2625" spans="1:26" x14ac:dyDescent="0.25">
      <c r="A2625" s="15" t="s">
        <v>16124</v>
      </c>
      <c r="B2625" s="15">
        <v>2624</v>
      </c>
      <c r="C2625" s="15" t="s">
        <v>11277</v>
      </c>
      <c r="D2625" s="15" t="s">
        <v>11277</v>
      </c>
      <c r="E2625" s="15" t="s">
        <v>102</v>
      </c>
      <c r="F2625" s="15" t="s">
        <v>16125</v>
      </c>
      <c r="G2625" s="15" t="s">
        <v>13646</v>
      </c>
      <c r="H2625" s="15">
        <v>30</v>
      </c>
      <c r="I2625" s="15">
        <v>27</v>
      </c>
      <c r="J2625" s="15">
        <v>71</v>
      </c>
      <c r="K2625" s="15" t="str">
        <f t="shared" si="40"/>
        <v>lowerwattsriver</v>
      </c>
      <c r="L2625" s="15" t="s">
        <v>13560</v>
      </c>
      <c r="M2625" s="15">
        <v>1</v>
      </c>
      <c r="N2625" s="15" t="s">
        <v>11222</v>
      </c>
      <c r="O2625" s="15"/>
      <c r="P2625" s="15"/>
      <c r="Q2625" s="15"/>
      <c r="R2625" s="15"/>
      <c r="S2625" s="15"/>
      <c r="T2625" s="15">
        <v>0</v>
      </c>
      <c r="U2625" s="15"/>
      <c r="V2625" s="15"/>
      <c r="W2625" s="15"/>
      <c r="X2625" s="15"/>
      <c r="Y2625" s="15"/>
      <c r="Z2625" s="15"/>
    </row>
    <row r="2626" spans="1:26" x14ac:dyDescent="0.25">
      <c r="A2626" s="15" t="s">
        <v>16126</v>
      </c>
      <c r="B2626" s="15">
        <v>2625</v>
      </c>
      <c r="C2626" s="15" t="s">
        <v>11277</v>
      </c>
      <c r="D2626" s="15" t="s">
        <v>11277</v>
      </c>
      <c r="E2626" s="15" t="s">
        <v>102</v>
      </c>
      <c r="F2626" s="15" t="s">
        <v>16125</v>
      </c>
      <c r="G2626" s="15" t="s">
        <v>13648</v>
      </c>
      <c r="H2626" s="15">
        <v>30</v>
      </c>
      <c r="I2626" s="15">
        <v>27</v>
      </c>
      <c r="J2626" s="15">
        <v>71</v>
      </c>
      <c r="K2626" s="15" t="str">
        <f t="shared" ref="K2626:K2689" si="41">LOWER(SUBSTITUTE(SUBSTITUTE(SUBSTITUTE(SUBSTITUTE(SUBSTITUTE(F2626," ",""),"(",""),")",""),"'",""),"-",""))</f>
        <v>lowerwattsriver</v>
      </c>
      <c r="L2626" s="15" t="s">
        <v>13537</v>
      </c>
      <c r="M2626" s="15">
        <v>1</v>
      </c>
      <c r="N2626" s="15" t="s">
        <v>11222</v>
      </c>
      <c r="O2626" s="15"/>
      <c r="P2626" s="15"/>
      <c r="Q2626" s="15"/>
      <c r="R2626" s="15"/>
      <c r="S2626" s="15"/>
      <c r="T2626" s="15">
        <v>0</v>
      </c>
      <c r="U2626" s="15"/>
      <c r="V2626" s="15"/>
      <c r="W2626" s="15"/>
      <c r="X2626" s="15"/>
      <c r="Y2626" s="15"/>
      <c r="Z2626" s="15"/>
    </row>
    <row r="2627" spans="1:26" x14ac:dyDescent="0.25">
      <c r="A2627" s="15" t="s">
        <v>16127</v>
      </c>
      <c r="B2627" s="15">
        <v>2626</v>
      </c>
      <c r="C2627" s="15" t="s">
        <v>11277</v>
      </c>
      <c r="D2627" s="15" t="s">
        <v>11277</v>
      </c>
      <c r="E2627" s="15" t="s">
        <v>102</v>
      </c>
      <c r="F2627" s="15" t="s">
        <v>16125</v>
      </c>
      <c r="G2627" s="15" t="s">
        <v>13650</v>
      </c>
      <c r="H2627" s="15">
        <v>30</v>
      </c>
      <c r="I2627" s="15">
        <v>27</v>
      </c>
      <c r="J2627" s="15">
        <v>71</v>
      </c>
      <c r="K2627" s="15" t="str">
        <f t="shared" si="41"/>
        <v>lowerwattsriver</v>
      </c>
      <c r="L2627" s="15" t="s">
        <v>11560</v>
      </c>
      <c r="M2627" s="15">
        <v>1</v>
      </c>
      <c r="N2627" s="15" t="s">
        <v>11222</v>
      </c>
      <c r="O2627" s="15"/>
      <c r="P2627" s="15"/>
      <c r="Q2627" s="15"/>
      <c r="R2627" s="15"/>
      <c r="S2627" s="15"/>
      <c r="T2627" s="15">
        <v>0</v>
      </c>
      <c r="U2627" s="15"/>
      <c r="V2627" s="15"/>
      <c r="W2627" s="15"/>
      <c r="X2627" s="15"/>
      <c r="Y2627" s="15"/>
      <c r="Z2627" s="15"/>
    </row>
    <row r="2628" spans="1:26" x14ac:dyDescent="0.25">
      <c r="A2628" s="15" t="s">
        <v>16128</v>
      </c>
      <c r="B2628" s="15">
        <v>2627</v>
      </c>
      <c r="C2628" s="15" t="s">
        <v>11277</v>
      </c>
      <c r="D2628" s="15" t="s">
        <v>11277</v>
      </c>
      <c r="E2628" s="15" t="s">
        <v>102</v>
      </c>
      <c r="F2628" s="15" t="s">
        <v>16125</v>
      </c>
      <c r="G2628" s="15" t="s">
        <v>13666</v>
      </c>
      <c r="H2628" s="15">
        <v>30</v>
      </c>
      <c r="I2628" s="15">
        <v>27</v>
      </c>
      <c r="J2628" s="15">
        <v>72</v>
      </c>
      <c r="K2628" s="15" t="str">
        <f t="shared" si="41"/>
        <v>lowerwattsriver</v>
      </c>
      <c r="L2628" s="15" t="s">
        <v>13537</v>
      </c>
      <c r="M2628" s="15">
        <v>1</v>
      </c>
      <c r="N2628" s="15" t="s">
        <v>11222</v>
      </c>
      <c r="O2628" s="15"/>
      <c r="P2628" s="15"/>
      <c r="Q2628" s="15"/>
      <c r="R2628" s="15"/>
      <c r="S2628" s="15"/>
      <c r="T2628" s="15">
        <v>0</v>
      </c>
      <c r="U2628" s="15"/>
      <c r="V2628" s="15"/>
      <c r="W2628" s="15"/>
      <c r="X2628" s="15"/>
      <c r="Y2628" s="15"/>
      <c r="Z2628" s="15"/>
    </row>
    <row r="2629" spans="1:26" x14ac:dyDescent="0.25">
      <c r="A2629" s="15" t="s">
        <v>16129</v>
      </c>
      <c r="B2629" s="15">
        <v>2628</v>
      </c>
      <c r="C2629" s="15" t="s">
        <v>11277</v>
      </c>
      <c r="D2629" s="15" t="s">
        <v>11277</v>
      </c>
      <c r="E2629" s="15" t="s">
        <v>102</v>
      </c>
      <c r="F2629" s="15" t="s">
        <v>16125</v>
      </c>
      <c r="G2629" s="15" t="s">
        <v>13668</v>
      </c>
      <c r="H2629" s="15">
        <v>30</v>
      </c>
      <c r="I2629" s="15">
        <v>27</v>
      </c>
      <c r="J2629" s="15">
        <v>80</v>
      </c>
      <c r="K2629" s="15" t="str">
        <f t="shared" si="41"/>
        <v>lowerwattsriver</v>
      </c>
      <c r="L2629" s="15" t="s">
        <v>13537</v>
      </c>
      <c r="M2629" s="15">
        <v>3</v>
      </c>
      <c r="N2629" s="15" t="s">
        <v>11222</v>
      </c>
      <c r="O2629" s="15" t="s">
        <v>2804</v>
      </c>
      <c r="P2629" s="15"/>
      <c r="Q2629" s="15"/>
      <c r="R2629" s="15"/>
      <c r="S2629" s="15"/>
      <c r="T2629" s="15">
        <v>0</v>
      </c>
      <c r="U2629" s="15"/>
      <c r="V2629" s="15"/>
      <c r="W2629" s="15"/>
      <c r="X2629" s="15"/>
      <c r="Y2629" s="15"/>
      <c r="Z2629" s="15"/>
    </row>
    <row r="2630" spans="1:26" x14ac:dyDescent="0.25">
      <c r="A2630" s="15" t="s">
        <v>16130</v>
      </c>
      <c r="B2630" s="15">
        <v>2629</v>
      </c>
      <c r="C2630" s="15" t="s">
        <v>11277</v>
      </c>
      <c r="D2630" s="15" t="s">
        <v>11277</v>
      </c>
      <c r="E2630" s="15" t="s">
        <v>102</v>
      </c>
      <c r="F2630" s="15" t="s">
        <v>2135</v>
      </c>
      <c r="G2630" s="15" t="s">
        <v>13646</v>
      </c>
      <c r="H2630" s="15">
        <v>20</v>
      </c>
      <c r="I2630" s="15">
        <v>24</v>
      </c>
      <c r="J2630" s="15">
        <v>71</v>
      </c>
      <c r="K2630" s="15" t="str">
        <f t="shared" si="41"/>
        <v>sharptonguedrip</v>
      </c>
      <c r="L2630" s="15" t="s">
        <v>13560</v>
      </c>
      <c r="M2630" s="15">
        <v>1</v>
      </c>
      <c r="N2630" s="15" t="s">
        <v>11222</v>
      </c>
      <c r="O2630" s="15"/>
      <c r="P2630" s="15"/>
      <c r="Q2630" s="15"/>
      <c r="R2630" s="15"/>
      <c r="S2630" s="15"/>
      <c r="T2630" s="15">
        <v>0</v>
      </c>
      <c r="U2630" s="15"/>
      <c r="V2630" s="15"/>
      <c r="W2630" s="15"/>
      <c r="X2630" s="15"/>
      <c r="Y2630" s="15"/>
      <c r="Z2630" s="15"/>
    </row>
    <row r="2631" spans="1:26" x14ac:dyDescent="0.25">
      <c r="A2631" s="15" t="s">
        <v>16131</v>
      </c>
      <c r="B2631" s="15">
        <v>2630</v>
      </c>
      <c r="C2631" s="15" t="s">
        <v>11277</v>
      </c>
      <c r="D2631" s="15" t="s">
        <v>11277</v>
      </c>
      <c r="E2631" s="15" t="s">
        <v>102</v>
      </c>
      <c r="F2631" s="15" t="s">
        <v>2135</v>
      </c>
      <c r="G2631" s="15" t="s">
        <v>13648</v>
      </c>
      <c r="H2631" s="15">
        <v>20</v>
      </c>
      <c r="I2631" s="15">
        <v>24</v>
      </c>
      <c r="J2631" s="15">
        <v>71</v>
      </c>
      <c r="K2631" s="15" t="str">
        <f t="shared" si="41"/>
        <v>sharptonguedrip</v>
      </c>
      <c r="L2631" s="15" t="s">
        <v>13537</v>
      </c>
      <c r="M2631" s="15">
        <v>1</v>
      </c>
      <c r="N2631" s="15" t="s">
        <v>11222</v>
      </c>
      <c r="O2631" s="15"/>
      <c r="P2631" s="15"/>
      <c r="Q2631" s="15"/>
      <c r="R2631" s="15"/>
      <c r="S2631" s="15"/>
      <c r="T2631" s="15">
        <v>0</v>
      </c>
      <c r="U2631" s="15"/>
      <c r="V2631" s="15"/>
      <c r="W2631" s="15"/>
      <c r="X2631" s="15"/>
      <c r="Y2631" s="15"/>
      <c r="Z2631" s="15"/>
    </row>
    <row r="2632" spans="1:26" x14ac:dyDescent="0.25">
      <c r="A2632" s="15" t="s">
        <v>16132</v>
      </c>
      <c r="B2632" s="15">
        <v>2631</v>
      </c>
      <c r="C2632" s="15" t="s">
        <v>11277</v>
      </c>
      <c r="D2632" s="15" t="s">
        <v>11277</v>
      </c>
      <c r="E2632" s="15" t="s">
        <v>102</v>
      </c>
      <c r="F2632" s="15" t="s">
        <v>2135</v>
      </c>
      <c r="G2632" s="15" t="s">
        <v>13670</v>
      </c>
      <c r="H2632" s="15">
        <v>20</v>
      </c>
      <c r="I2632" s="15">
        <v>24</v>
      </c>
      <c r="J2632" s="15">
        <v>72</v>
      </c>
      <c r="K2632" s="15" t="str">
        <f t="shared" si="41"/>
        <v>sharptonguedrip</v>
      </c>
      <c r="L2632" s="15" t="s">
        <v>13524</v>
      </c>
      <c r="M2632" s="15">
        <v>1</v>
      </c>
      <c r="N2632" s="15" t="s">
        <v>11222</v>
      </c>
      <c r="O2632" s="15"/>
      <c r="P2632" s="15"/>
      <c r="Q2632" s="15"/>
      <c r="R2632" s="15"/>
      <c r="S2632" s="15"/>
      <c r="T2632" s="15">
        <v>0</v>
      </c>
      <c r="U2632" s="15"/>
      <c r="V2632" s="15"/>
      <c r="W2632" s="15"/>
      <c r="X2632" s="15"/>
      <c r="Y2632" s="15"/>
      <c r="Z2632" s="15"/>
    </row>
    <row r="2633" spans="1:26" x14ac:dyDescent="0.25">
      <c r="A2633" s="15" t="s">
        <v>16133</v>
      </c>
      <c r="B2633" s="15">
        <v>2632</v>
      </c>
      <c r="C2633" s="15" t="s">
        <v>11277</v>
      </c>
      <c r="D2633" s="15" t="s">
        <v>11277</v>
      </c>
      <c r="E2633" s="15" t="s">
        <v>102</v>
      </c>
      <c r="F2633" s="15" t="s">
        <v>2135</v>
      </c>
      <c r="G2633" s="15" t="s">
        <v>13672</v>
      </c>
      <c r="H2633" s="15">
        <v>20</v>
      </c>
      <c r="I2633" s="15">
        <v>24</v>
      </c>
      <c r="J2633" s="15">
        <v>80</v>
      </c>
      <c r="K2633" s="15" t="str">
        <f t="shared" si="41"/>
        <v>sharptonguedrip</v>
      </c>
      <c r="L2633" s="15" t="s">
        <v>13524</v>
      </c>
      <c r="M2633" s="15">
        <v>3</v>
      </c>
      <c r="N2633" s="15" t="s">
        <v>11223</v>
      </c>
      <c r="O2633" s="15"/>
      <c r="P2633" s="15"/>
      <c r="Q2633" s="15"/>
      <c r="R2633" s="15"/>
      <c r="S2633" s="15"/>
      <c r="T2633" s="15">
        <v>0</v>
      </c>
      <c r="U2633" s="15" t="s">
        <v>5900</v>
      </c>
      <c r="V2633" s="15"/>
      <c r="W2633" s="15"/>
      <c r="X2633" s="15"/>
      <c r="Y2633" s="15"/>
      <c r="Z2633" s="15"/>
    </row>
    <row r="2634" spans="1:26" x14ac:dyDescent="0.25">
      <c r="A2634" s="15" t="s">
        <v>16134</v>
      </c>
      <c r="B2634" s="15">
        <v>2633</v>
      </c>
      <c r="C2634" s="15" t="s">
        <v>11277</v>
      </c>
      <c r="D2634" s="15" t="s">
        <v>11277</v>
      </c>
      <c r="E2634" s="15" t="s">
        <v>102</v>
      </c>
      <c r="F2634" s="15" t="s">
        <v>16135</v>
      </c>
      <c r="G2634" s="15" t="s">
        <v>13674</v>
      </c>
      <c r="H2634" s="15">
        <v>8</v>
      </c>
      <c r="I2634" s="15">
        <v>35</v>
      </c>
      <c r="J2634" s="15">
        <v>71</v>
      </c>
      <c r="K2634" s="15" t="str">
        <f t="shared" si="41"/>
        <v>thewesternkholusiancoast</v>
      </c>
      <c r="L2634" s="15" t="s">
        <v>13675</v>
      </c>
      <c r="M2634" s="15">
        <v>1</v>
      </c>
      <c r="N2634" s="15" t="s">
        <v>11222</v>
      </c>
      <c r="O2634" s="15"/>
      <c r="P2634" s="15"/>
      <c r="Q2634" s="15" t="s">
        <v>13705</v>
      </c>
      <c r="R2634" s="15"/>
      <c r="S2634" s="15"/>
      <c r="T2634" s="15">
        <v>0</v>
      </c>
      <c r="U2634" s="15"/>
      <c r="V2634" s="15"/>
      <c r="W2634" s="15"/>
      <c r="X2634" s="15"/>
      <c r="Y2634" s="15"/>
      <c r="Z2634" s="15"/>
    </row>
    <row r="2635" spans="1:26" x14ac:dyDescent="0.25">
      <c r="A2635" s="15" t="s">
        <v>16136</v>
      </c>
      <c r="B2635" s="15">
        <v>2634</v>
      </c>
      <c r="C2635" s="15" t="s">
        <v>11277</v>
      </c>
      <c r="D2635" s="15" t="s">
        <v>11277</v>
      </c>
      <c r="E2635" s="15" t="s">
        <v>102</v>
      </c>
      <c r="F2635" s="15" t="s">
        <v>16135</v>
      </c>
      <c r="G2635" s="15" t="s">
        <v>13677</v>
      </c>
      <c r="H2635" s="15">
        <v>8</v>
      </c>
      <c r="I2635" s="15">
        <v>35</v>
      </c>
      <c r="J2635" s="15">
        <v>71</v>
      </c>
      <c r="K2635" s="15" t="str">
        <f t="shared" si="41"/>
        <v>thewesternkholusiancoast</v>
      </c>
      <c r="L2635" s="15" t="s">
        <v>13544</v>
      </c>
      <c r="M2635" s="15">
        <v>1</v>
      </c>
      <c r="N2635" s="15" t="s">
        <v>11222</v>
      </c>
      <c r="O2635" s="15"/>
      <c r="P2635" s="15"/>
      <c r="Q2635" s="15"/>
      <c r="R2635" s="15"/>
      <c r="S2635" s="15"/>
      <c r="T2635" s="15">
        <v>0</v>
      </c>
      <c r="U2635" s="15"/>
      <c r="V2635" s="15"/>
      <c r="W2635" s="15"/>
      <c r="X2635" s="15"/>
      <c r="Y2635" s="15"/>
      <c r="Z2635" s="15"/>
    </row>
    <row r="2636" spans="1:26" x14ac:dyDescent="0.25">
      <c r="A2636" s="15" t="s">
        <v>16137</v>
      </c>
      <c r="B2636" s="15">
        <v>2635</v>
      </c>
      <c r="C2636" s="15" t="s">
        <v>11277</v>
      </c>
      <c r="D2636" s="15" t="s">
        <v>11277</v>
      </c>
      <c r="E2636" s="15" t="s">
        <v>102</v>
      </c>
      <c r="F2636" s="15" t="s">
        <v>16135</v>
      </c>
      <c r="G2636" s="15" t="s">
        <v>13679</v>
      </c>
      <c r="H2636" s="15">
        <v>8</v>
      </c>
      <c r="I2636" s="15">
        <v>35</v>
      </c>
      <c r="J2636" s="15">
        <v>71</v>
      </c>
      <c r="K2636" s="15" t="str">
        <f t="shared" si="41"/>
        <v>thewesternkholusiancoast</v>
      </c>
      <c r="L2636" s="15" t="s">
        <v>13544</v>
      </c>
      <c r="M2636" s="15">
        <v>1</v>
      </c>
      <c r="N2636" s="15" t="s">
        <v>11222</v>
      </c>
      <c r="O2636" s="15"/>
      <c r="P2636" s="15"/>
      <c r="Q2636" s="15"/>
      <c r="R2636" s="15"/>
      <c r="S2636" s="15"/>
      <c r="T2636" s="15">
        <v>0</v>
      </c>
      <c r="U2636" s="15"/>
      <c r="V2636" s="15"/>
      <c r="W2636" s="15"/>
      <c r="X2636" s="15"/>
      <c r="Y2636" s="15"/>
      <c r="Z2636" s="15"/>
    </row>
    <row r="2637" spans="1:26" x14ac:dyDescent="0.25">
      <c r="A2637" s="15" t="s">
        <v>16138</v>
      </c>
      <c r="B2637" s="15">
        <v>2636</v>
      </c>
      <c r="C2637" s="15" t="s">
        <v>11277</v>
      </c>
      <c r="D2637" s="15" t="s">
        <v>11277</v>
      </c>
      <c r="E2637" s="15" t="s">
        <v>102</v>
      </c>
      <c r="F2637" s="15" t="s">
        <v>16135</v>
      </c>
      <c r="G2637" s="15" t="s">
        <v>13681</v>
      </c>
      <c r="H2637" s="15">
        <v>8</v>
      </c>
      <c r="I2637" s="15">
        <v>35</v>
      </c>
      <c r="J2637" s="15">
        <v>73</v>
      </c>
      <c r="K2637" s="15" t="str">
        <f t="shared" si="41"/>
        <v>thewesternkholusiancoast</v>
      </c>
      <c r="L2637" s="15" t="s">
        <v>13544</v>
      </c>
      <c r="M2637" s="15">
        <v>1</v>
      </c>
      <c r="N2637" s="15" t="s">
        <v>11222</v>
      </c>
      <c r="O2637" s="15"/>
      <c r="P2637" s="15"/>
      <c r="Q2637" s="15"/>
      <c r="R2637" s="15"/>
      <c r="S2637" s="15"/>
      <c r="T2637" s="15">
        <v>0</v>
      </c>
      <c r="U2637" s="15"/>
      <c r="V2637" s="15"/>
      <c r="W2637" s="15"/>
      <c r="X2637" s="15"/>
      <c r="Y2637" s="15"/>
      <c r="Z2637" s="15"/>
    </row>
    <row r="2638" spans="1:26" x14ac:dyDescent="0.25">
      <c r="A2638" s="15" t="s">
        <v>16139</v>
      </c>
      <c r="B2638" s="15">
        <v>2637</v>
      </c>
      <c r="C2638" s="15" t="s">
        <v>11277</v>
      </c>
      <c r="D2638" s="15" t="s">
        <v>11277</v>
      </c>
      <c r="E2638" s="15" t="s">
        <v>102</v>
      </c>
      <c r="F2638" s="15" t="s">
        <v>16135</v>
      </c>
      <c r="G2638" s="15" t="s">
        <v>13683</v>
      </c>
      <c r="H2638" s="15">
        <v>8</v>
      </c>
      <c r="I2638" s="15">
        <v>35</v>
      </c>
      <c r="J2638" s="15">
        <v>78</v>
      </c>
      <c r="K2638" s="15" t="str">
        <f t="shared" si="41"/>
        <v>thewesternkholusiancoast</v>
      </c>
      <c r="L2638" s="15" t="s">
        <v>13675</v>
      </c>
      <c r="M2638" s="15">
        <v>1</v>
      </c>
      <c r="N2638" s="15" t="s">
        <v>11222</v>
      </c>
      <c r="O2638" s="15"/>
      <c r="P2638" s="15"/>
      <c r="Q2638" s="15"/>
      <c r="R2638" s="15"/>
      <c r="S2638" s="15"/>
      <c r="T2638" s="15">
        <v>0</v>
      </c>
      <c r="U2638" s="15"/>
      <c r="V2638" s="15"/>
      <c r="W2638" s="15"/>
      <c r="X2638" s="15"/>
      <c r="Y2638" s="15"/>
      <c r="Z2638" s="15"/>
    </row>
    <row r="2639" spans="1:26" x14ac:dyDescent="0.25">
      <c r="A2639" s="15" t="s">
        <v>16140</v>
      </c>
      <c r="B2639" s="15">
        <v>2638</v>
      </c>
      <c r="C2639" s="15" t="s">
        <v>11277</v>
      </c>
      <c r="D2639" s="15" t="s">
        <v>11277</v>
      </c>
      <c r="E2639" s="15" t="s">
        <v>102</v>
      </c>
      <c r="F2639" s="15" t="s">
        <v>16135</v>
      </c>
      <c r="G2639" s="15" t="s">
        <v>13685</v>
      </c>
      <c r="H2639" s="15">
        <v>8</v>
      </c>
      <c r="I2639" s="15">
        <v>35</v>
      </c>
      <c r="J2639" s="15">
        <v>72</v>
      </c>
      <c r="K2639" s="15" t="str">
        <f t="shared" si="41"/>
        <v>thewesternkholusiancoast</v>
      </c>
      <c r="L2639" s="15" t="s">
        <v>13675</v>
      </c>
      <c r="M2639" s="15">
        <v>1</v>
      </c>
      <c r="N2639" s="15" t="s">
        <v>11222</v>
      </c>
      <c r="O2639" s="15"/>
      <c r="P2639" s="15"/>
      <c r="Q2639" s="15"/>
      <c r="R2639" s="15"/>
      <c r="S2639" s="15"/>
      <c r="T2639" s="15">
        <v>0</v>
      </c>
      <c r="U2639" s="15"/>
      <c r="V2639" s="15"/>
      <c r="W2639" s="15"/>
      <c r="X2639" s="15"/>
      <c r="Y2639" s="15"/>
      <c r="Z2639" s="15"/>
    </row>
    <row r="2640" spans="1:26" x14ac:dyDescent="0.25">
      <c r="A2640" s="15" t="s">
        <v>16141</v>
      </c>
      <c r="B2640" s="15">
        <v>2639</v>
      </c>
      <c r="C2640" s="15" t="s">
        <v>11277</v>
      </c>
      <c r="D2640" s="15" t="s">
        <v>11277</v>
      </c>
      <c r="E2640" s="15" t="s">
        <v>102</v>
      </c>
      <c r="F2640" s="15" t="s">
        <v>16135</v>
      </c>
      <c r="G2640" s="15" t="s">
        <v>13687</v>
      </c>
      <c r="H2640" s="15">
        <v>8</v>
      </c>
      <c r="I2640" s="15">
        <v>35</v>
      </c>
      <c r="J2640" s="15">
        <v>75</v>
      </c>
      <c r="K2640" s="15" t="str">
        <f t="shared" si="41"/>
        <v>thewesternkholusiancoast</v>
      </c>
      <c r="L2640" s="15" t="s">
        <v>11560</v>
      </c>
      <c r="M2640" s="15">
        <v>2</v>
      </c>
      <c r="N2640" s="15" t="s">
        <v>11223</v>
      </c>
      <c r="O2640" s="15"/>
      <c r="P2640" s="15"/>
      <c r="Q2640" s="15"/>
      <c r="R2640" s="15"/>
      <c r="S2640" s="15"/>
      <c r="T2640" s="15">
        <v>0</v>
      </c>
      <c r="U2640" s="15"/>
      <c r="V2640" s="15"/>
      <c r="W2640" s="15"/>
      <c r="X2640" s="15"/>
      <c r="Y2640" s="15"/>
      <c r="Z2640" s="15"/>
    </row>
    <row r="2641" spans="1:26" x14ac:dyDescent="0.25">
      <c r="A2641" s="15" t="s">
        <v>16142</v>
      </c>
      <c r="B2641" s="15">
        <v>2640</v>
      </c>
      <c r="C2641" s="15" t="s">
        <v>11277</v>
      </c>
      <c r="D2641" s="15" t="s">
        <v>11277</v>
      </c>
      <c r="E2641" s="15" t="s">
        <v>102</v>
      </c>
      <c r="F2641" s="15" t="s">
        <v>16135</v>
      </c>
      <c r="G2641" s="15" t="s">
        <v>13689</v>
      </c>
      <c r="H2641" s="15">
        <v>8</v>
      </c>
      <c r="I2641" s="15">
        <v>35</v>
      </c>
      <c r="J2641" s="15">
        <v>80</v>
      </c>
      <c r="K2641" s="15" t="str">
        <f t="shared" si="41"/>
        <v>thewesternkholusiancoast</v>
      </c>
      <c r="L2641" s="15" t="s">
        <v>12487</v>
      </c>
      <c r="M2641" s="15">
        <v>1</v>
      </c>
      <c r="N2641" s="15" t="s">
        <v>11222</v>
      </c>
      <c r="O2641" s="15"/>
      <c r="P2641" s="15"/>
      <c r="Q2641" s="15"/>
      <c r="R2641" s="15"/>
      <c r="S2641" s="15"/>
      <c r="T2641" s="15">
        <v>0</v>
      </c>
      <c r="U2641" s="15"/>
      <c r="V2641" s="15"/>
      <c r="W2641" s="15"/>
      <c r="X2641" s="15"/>
      <c r="Y2641" s="15"/>
      <c r="Z2641" s="15"/>
    </row>
    <row r="2642" spans="1:26" x14ac:dyDescent="0.25">
      <c r="A2642" s="15" t="s">
        <v>16143</v>
      </c>
      <c r="B2642" s="15">
        <v>2641</v>
      </c>
      <c r="C2642" s="15" t="s">
        <v>11277</v>
      </c>
      <c r="D2642" s="15" t="s">
        <v>11277</v>
      </c>
      <c r="E2642" s="15" t="s">
        <v>102</v>
      </c>
      <c r="F2642" s="15" t="s">
        <v>16135</v>
      </c>
      <c r="G2642" s="15" t="s">
        <v>13691</v>
      </c>
      <c r="H2642" s="15">
        <v>8</v>
      </c>
      <c r="I2642" s="15">
        <v>35</v>
      </c>
      <c r="J2642" s="15">
        <v>80</v>
      </c>
      <c r="K2642" s="15" t="str">
        <f t="shared" si="41"/>
        <v>thewesternkholusiancoast</v>
      </c>
      <c r="L2642" s="15" t="s">
        <v>13544</v>
      </c>
      <c r="M2642" s="15">
        <v>3</v>
      </c>
      <c r="N2642" s="15" t="s">
        <v>11222</v>
      </c>
      <c r="O2642" s="15" t="s">
        <v>11387</v>
      </c>
      <c r="P2642" s="15"/>
      <c r="Q2642" s="15"/>
      <c r="R2642" s="15"/>
      <c r="S2642" s="15"/>
      <c r="T2642" s="15">
        <v>0</v>
      </c>
      <c r="U2642" s="15"/>
      <c r="V2642" s="15"/>
      <c r="W2642" s="15"/>
      <c r="X2642" s="15"/>
      <c r="Y2642" s="15"/>
      <c r="Z2642" s="15"/>
    </row>
    <row r="2643" spans="1:26" x14ac:dyDescent="0.25">
      <c r="A2643" s="15" t="s">
        <v>16144</v>
      </c>
      <c r="B2643" s="15">
        <v>2642</v>
      </c>
      <c r="C2643" s="15" t="s">
        <v>11277</v>
      </c>
      <c r="D2643" s="15" t="s">
        <v>11277</v>
      </c>
      <c r="E2643" s="15" t="s">
        <v>215</v>
      </c>
      <c r="F2643" s="15" t="s">
        <v>2659</v>
      </c>
      <c r="G2643" s="15" t="s">
        <v>11780</v>
      </c>
      <c r="H2643" s="15">
        <v>19</v>
      </c>
      <c r="I2643" s="15">
        <v>8</v>
      </c>
      <c r="J2643" s="15">
        <v>92</v>
      </c>
      <c r="K2643" s="15" t="str">
        <f t="shared" si="41"/>
        <v>yakawaktsoly</v>
      </c>
      <c r="L2643" s="15" t="s">
        <v>11698</v>
      </c>
      <c r="M2643" s="15">
        <v>1</v>
      </c>
      <c r="N2643" s="15" t="s">
        <v>11222</v>
      </c>
      <c r="O2643" s="15"/>
      <c r="P2643" s="15"/>
      <c r="Q2643" s="15"/>
      <c r="R2643" s="15"/>
      <c r="S2643" s="15"/>
      <c r="T2643" s="15">
        <v>0</v>
      </c>
      <c r="U2643" s="15"/>
      <c r="V2643" s="15"/>
      <c r="W2643" s="15"/>
      <c r="X2643" s="15"/>
      <c r="Y2643" s="15"/>
      <c r="Z2643" s="15"/>
    </row>
    <row r="2644" spans="1:26" x14ac:dyDescent="0.25">
      <c r="A2644" s="15" t="s">
        <v>16145</v>
      </c>
      <c r="B2644" s="15">
        <v>2643</v>
      </c>
      <c r="C2644" s="15" t="s">
        <v>11277</v>
      </c>
      <c r="D2644" s="15" t="s">
        <v>11277</v>
      </c>
      <c r="E2644" s="15" t="s">
        <v>215</v>
      </c>
      <c r="F2644" s="15" t="s">
        <v>2659</v>
      </c>
      <c r="G2644" s="15" t="s">
        <v>11781</v>
      </c>
      <c r="H2644" s="15">
        <v>19</v>
      </c>
      <c r="I2644" s="15">
        <v>8</v>
      </c>
      <c r="J2644" s="15">
        <v>93</v>
      </c>
      <c r="K2644" s="15" t="str">
        <f t="shared" si="41"/>
        <v>yakawaktsoly</v>
      </c>
      <c r="L2644" s="15" t="s">
        <v>11698</v>
      </c>
      <c r="M2644" s="15">
        <v>1</v>
      </c>
      <c r="N2644" s="15" t="s">
        <v>11222</v>
      </c>
      <c r="O2644" s="15"/>
      <c r="P2644" s="15"/>
      <c r="Q2644" s="15"/>
      <c r="R2644" s="15"/>
      <c r="S2644" s="15"/>
      <c r="T2644" s="15">
        <v>0</v>
      </c>
      <c r="U2644" s="15"/>
      <c r="V2644" s="15"/>
      <c r="W2644" s="15"/>
      <c r="X2644" s="15"/>
      <c r="Y2644" s="15"/>
      <c r="Z2644" s="15"/>
    </row>
    <row r="2645" spans="1:26" x14ac:dyDescent="0.25">
      <c r="A2645" s="15" t="s">
        <v>16146</v>
      </c>
      <c r="B2645" s="15">
        <v>2644</v>
      </c>
      <c r="C2645" s="15" t="s">
        <v>11277</v>
      </c>
      <c r="D2645" s="15" t="s">
        <v>11277</v>
      </c>
      <c r="E2645" s="15" t="s">
        <v>215</v>
      </c>
      <c r="F2645" s="15" t="s">
        <v>2659</v>
      </c>
      <c r="G2645" s="15" t="s">
        <v>11789</v>
      </c>
      <c r="H2645" s="15">
        <v>19</v>
      </c>
      <c r="I2645" s="15">
        <v>8</v>
      </c>
      <c r="J2645" s="15">
        <v>94</v>
      </c>
      <c r="K2645" s="15" t="str">
        <f t="shared" si="41"/>
        <v>yakawaktsoly</v>
      </c>
      <c r="L2645" s="15" t="s">
        <v>11774</v>
      </c>
      <c r="M2645" s="15">
        <v>2</v>
      </c>
      <c r="N2645" s="15" t="s">
        <v>11223</v>
      </c>
      <c r="O2645" s="15"/>
      <c r="P2645" s="15"/>
      <c r="Q2645" s="15"/>
      <c r="R2645" s="15"/>
      <c r="S2645" s="15"/>
      <c r="T2645" s="15">
        <v>0</v>
      </c>
      <c r="U2645" s="15"/>
      <c r="V2645" s="15"/>
      <c r="W2645" s="15"/>
      <c r="X2645" s="15"/>
      <c r="Y2645" s="15"/>
      <c r="Z2645" s="15"/>
    </row>
    <row r="2646" spans="1:26" x14ac:dyDescent="0.25">
      <c r="A2646" s="15" t="s">
        <v>16147</v>
      </c>
      <c r="B2646" s="15">
        <v>2645</v>
      </c>
      <c r="C2646" s="15" t="s">
        <v>11277</v>
      </c>
      <c r="D2646" s="15" t="s">
        <v>11277</v>
      </c>
      <c r="E2646" s="15" t="s">
        <v>215</v>
      </c>
      <c r="F2646" s="15" t="s">
        <v>2659</v>
      </c>
      <c r="G2646" s="15" t="s">
        <v>11790</v>
      </c>
      <c r="H2646" s="15">
        <v>19</v>
      </c>
      <c r="I2646" s="15">
        <v>8</v>
      </c>
      <c r="J2646" s="15">
        <v>94</v>
      </c>
      <c r="K2646" s="15" t="str">
        <f t="shared" si="41"/>
        <v>yakawaktsoly</v>
      </c>
      <c r="L2646" s="15" t="s">
        <v>11774</v>
      </c>
      <c r="M2646" s="15">
        <v>2</v>
      </c>
      <c r="N2646" s="15" t="s">
        <v>11223</v>
      </c>
      <c r="O2646" s="15"/>
      <c r="P2646" s="15"/>
      <c r="Q2646" s="15"/>
      <c r="R2646" s="15"/>
      <c r="S2646" s="15"/>
      <c r="T2646" s="15">
        <v>0</v>
      </c>
      <c r="U2646" s="15"/>
      <c r="V2646" s="15"/>
      <c r="W2646" s="15"/>
      <c r="X2646" s="15"/>
      <c r="Y2646" s="15"/>
      <c r="Z2646" s="15"/>
    </row>
    <row r="2647" spans="1:26" x14ac:dyDescent="0.25">
      <c r="A2647" s="15" t="s">
        <v>16148</v>
      </c>
      <c r="B2647" s="15">
        <v>2646</v>
      </c>
      <c r="C2647" s="15" t="s">
        <v>11277</v>
      </c>
      <c r="D2647" s="15" t="s">
        <v>11277</v>
      </c>
      <c r="E2647" s="15" t="s">
        <v>215</v>
      </c>
      <c r="F2647" s="15" t="s">
        <v>2659</v>
      </c>
      <c r="G2647" s="15" t="s">
        <v>11791</v>
      </c>
      <c r="H2647" s="15">
        <v>19</v>
      </c>
      <c r="I2647" s="15">
        <v>8</v>
      </c>
      <c r="J2647" s="15">
        <v>91</v>
      </c>
      <c r="K2647" s="15" t="str">
        <f t="shared" si="41"/>
        <v>yakawaktsoly</v>
      </c>
      <c r="L2647" s="15" t="s">
        <v>11560</v>
      </c>
      <c r="M2647" s="15">
        <v>1</v>
      </c>
      <c r="N2647" s="15" t="s">
        <v>11222</v>
      </c>
      <c r="O2647" s="15"/>
      <c r="P2647" s="15"/>
      <c r="Q2647" s="15"/>
      <c r="R2647" s="15"/>
      <c r="S2647" s="15"/>
      <c r="T2647" s="15">
        <v>0</v>
      </c>
      <c r="U2647" s="15"/>
      <c r="V2647" s="15"/>
      <c r="W2647" s="15"/>
      <c r="X2647" s="15"/>
      <c r="Y2647" s="15"/>
      <c r="Z2647" s="15"/>
    </row>
    <row r="2648" spans="1:26" x14ac:dyDescent="0.25">
      <c r="A2648" s="15" t="s">
        <v>16149</v>
      </c>
      <c r="B2648" s="15">
        <v>2647</v>
      </c>
      <c r="C2648" s="15" t="s">
        <v>11277</v>
      </c>
      <c r="D2648" s="15" t="s">
        <v>11277</v>
      </c>
      <c r="E2648" s="15" t="s">
        <v>215</v>
      </c>
      <c r="F2648" s="15" t="s">
        <v>2659</v>
      </c>
      <c r="G2648" s="15" t="s">
        <v>11792</v>
      </c>
      <c r="H2648" s="15">
        <v>19</v>
      </c>
      <c r="I2648" s="15">
        <v>8</v>
      </c>
      <c r="J2648" s="15">
        <v>100</v>
      </c>
      <c r="K2648" s="15" t="str">
        <f t="shared" si="41"/>
        <v>yakawaktsoly</v>
      </c>
      <c r="L2648" s="15" t="s">
        <v>11701</v>
      </c>
      <c r="M2648" s="15">
        <v>3</v>
      </c>
      <c r="N2648" s="15" t="s">
        <v>11223</v>
      </c>
      <c r="O2648" s="15"/>
      <c r="P2648" s="15"/>
      <c r="Q2648" s="15"/>
      <c r="R2648" s="15"/>
      <c r="S2648" s="15"/>
      <c r="T2648" s="15">
        <v>2</v>
      </c>
      <c r="U2648" s="15" t="s">
        <v>5908</v>
      </c>
      <c r="V2648" s="15" t="s">
        <v>5914</v>
      </c>
      <c r="W2648" s="15"/>
      <c r="X2648" s="15"/>
      <c r="Y2648" s="15"/>
      <c r="Z2648" s="15"/>
    </row>
    <row r="2649" spans="1:26" x14ac:dyDescent="0.25">
      <c r="A2649" s="15" t="s">
        <v>16150</v>
      </c>
      <c r="B2649" s="15">
        <v>2648</v>
      </c>
      <c r="C2649" s="15" t="s">
        <v>11277</v>
      </c>
      <c r="D2649" s="15" t="s">
        <v>11277</v>
      </c>
      <c r="E2649" s="15" t="s">
        <v>215</v>
      </c>
      <c r="F2649" s="15" t="s">
        <v>2667</v>
      </c>
      <c r="G2649" s="15" t="s">
        <v>11793</v>
      </c>
      <c r="H2649" s="15">
        <v>31</v>
      </c>
      <c r="I2649" s="15">
        <v>6</v>
      </c>
      <c r="J2649" s="15">
        <v>94</v>
      </c>
      <c r="K2649" s="15" t="str">
        <f t="shared" si="41"/>
        <v>iqrraxtsoly</v>
      </c>
      <c r="L2649" s="15" t="s">
        <v>11698</v>
      </c>
      <c r="M2649" s="15">
        <v>1</v>
      </c>
      <c r="N2649" s="15" t="s">
        <v>11222</v>
      </c>
      <c r="O2649" s="15"/>
      <c r="P2649" s="15"/>
      <c r="Q2649" s="15"/>
      <c r="R2649" s="15"/>
      <c r="S2649" s="15"/>
      <c r="T2649" s="15">
        <v>0</v>
      </c>
      <c r="U2649" s="15"/>
      <c r="V2649" s="15"/>
      <c r="W2649" s="15"/>
      <c r="X2649" s="15"/>
      <c r="Y2649" s="15"/>
      <c r="Z2649" s="15"/>
    </row>
    <row r="2650" spans="1:26" x14ac:dyDescent="0.25">
      <c r="A2650" s="15" t="s">
        <v>16151</v>
      </c>
      <c r="B2650" s="15">
        <v>2649</v>
      </c>
      <c r="C2650" s="15" t="s">
        <v>11277</v>
      </c>
      <c r="D2650" s="15" t="s">
        <v>11277</v>
      </c>
      <c r="E2650" s="15" t="s">
        <v>215</v>
      </c>
      <c r="F2650" s="15" t="s">
        <v>2667</v>
      </c>
      <c r="G2650" s="15" t="s">
        <v>11794</v>
      </c>
      <c r="H2650" s="15">
        <v>31</v>
      </c>
      <c r="I2650" s="15">
        <v>6</v>
      </c>
      <c r="J2650" s="15">
        <v>94</v>
      </c>
      <c r="K2650" s="15" t="str">
        <f t="shared" si="41"/>
        <v>iqrraxtsoly</v>
      </c>
      <c r="L2650" s="15" t="s">
        <v>11698</v>
      </c>
      <c r="M2650" s="15">
        <v>1</v>
      </c>
      <c r="N2650" s="15" t="s">
        <v>11222</v>
      </c>
      <c r="O2650" s="15"/>
      <c r="P2650" s="15"/>
      <c r="Q2650" s="15"/>
      <c r="R2650" s="15"/>
      <c r="S2650" s="15"/>
      <c r="T2650" s="15">
        <v>0</v>
      </c>
      <c r="U2650" s="15"/>
      <c r="V2650" s="15"/>
      <c r="W2650" s="15"/>
      <c r="X2650" s="15"/>
      <c r="Y2650" s="15"/>
      <c r="Z2650" s="15"/>
    </row>
    <row r="2651" spans="1:26" x14ac:dyDescent="0.25">
      <c r="A2651" s="15" t="s">
        <v>16152</v>
      </c>
      <c r="B2651" s="15">
        <v>2650</v>
      </c>
      <c r="C2651" s="15" t="s">
        <v>11277</v>
      </c>
      <c r="D2651" s="15" t="s">
        <v>11277</v>
      </c>
      <c r="E2651" s="15" t="s">
        <v>215</v>
      </c>
      <c r="F2651" s="15" t="s">
        <v>2667</v>
      </c>
      <c r="G2651" s="15" t="s">
        <v>11795</v>
      </c>
      <c r="H2651" s="15">
        <v>31</v>
      </c>
      <c r="I2651" s="15">
        <v>6</v>
      </c>
      <c r="J2651" s="15">
        <v>95</v>
      </c>
      <c r="K2651" s="15" t="str">
        <f t="shared" si="41"/>
        <v>iqrraxtsoly</v>
      </c>
      <c r="L2651" s="15" t="s">
        <v>11696</v>
      </c>
      <c r="M2651" s="15">
        <v>2</v>
      </c>
      <c r="N2651" s="15" t="s">
        <v>11223</v>
      </c>
      <c r="O2651" s="15"/>
      <c r="P2651" s="15"/>
      <c r="Q2651" s="15"/>
      <c r="R2651" s="15"/>
      <c r="S2651" s="15"/>
      <c r="T2651" s="15">
        <v>0</v>
      </c>
      <c r="U2651" s="15"/>
      <c r="V2651" s="15"/>
      <c r="W2651" s="15"/>
      <c r="X2651" s="15"/>
      <c r="Y2651" s="15"/>
      <c r="Z2651" s="15"/>
    </row>
    <row r="2652" spans="1:26" x14ac:dyDescent="0.25">
      <c r="A2652" s="15" t="s">
        <v>16153</v>
      </c>
      <c r="B2652" s="15">
        <v>2651</v>
      </c>
      <c r="C2652" s="15" t="s">
        <v>11277</v>
      </c>
      <c r="D2652" s="15" t="s">
        <v>11277</v>
      </c>
      <c r="E2652" s="15" t="s">
        <v>215</v>
      </c>
      <c r="F2652" s="15" t="s">
        <v>2667</v>
      </c>
      <c r="G2652" s="15" t="s">
        <v>11796</v>
      </c>
      <c r="H2652" s="15">
        <v>31</v>
      </c>
      <c r="I2652" s="15">
        <v>6</v>
      </c>
      <c r="J2652" s="15">
        <v>95</v>
      </c>
      <c r="K2652" s="15" t="str">
        <f t="shared" si="41"/>
        <v>iqrraxtsoly</v>
      </c>
      <c r="L2652" s="15" t="s">
        <v>11696</v>
      </c>
      <c r="M2652" s="15">
        <v>2</v>
      </c>
      <c r="N2652" s="15" t="s">
        <v>11223</v>
      </c>
      <c r="O2652" s="15"/>
      <c r="P2652" s="15"/>
      <c r="Q2652" s="15"/>
      <c r="R2652" s="15"/>
      <c r="S2652" s="15"/>
      <c r="T2652" s="15">
        <v>0</v>
      </c>
      <c r="U2652" s="15"/>
      <c r="V2652" s="15"/>
      <c r="W2652" s="15"/>
      <c r="X2652" s="15"/>
      <c r="Y2652" s="15"/>
      <c r="Z2652" s="15"/>
    </row>
    <row r="2653" spans="1:26" x14ac:dyDescent="0.25">
      <c r="A2653" s="15" t="s">
        <v>16154</v>
      </c>
      <c r="B2653" s="15">
        <v>2652</v>
      </c>
      <c r="C2653" s="15" t="s">
        <v>11277</v>
      </c>
      <c r="D2653" s="15" t="s">
        <v>11277</v>
      </c>
      <c r="E2653" s="15" t="s">
        <v>215</v>
      </c>
      <c r="F2653" s="15" t="s">
        <v>2667</v>
      </c>
      <c r="G2653" s="15" t="s">
        <v>11797</v>
      </c>
      <c r="H2653" s="15">
        <v>31</v>
      </c>
      <c r="I2653" s="15">
        <v>6</v>
      </c>
      <c r="J2653" s="15">
        <v>95</v>
      </c>
      <c r="K2653" s="15" t="str">
        <f t="shared" si="41"/>
        <v>iqrraxtsoly</v>
      </c>
      <c r="L2653" s="15" t="s">
        <v>11774</v>
      </c>
      <c r="M2653" s="15">
        <v>2</v>
      </c>
      <c r="N2653" s="15" t="s">
        <v>11223</v>
      </c>
      <c r="O2653" s="15"/>
      <c r="P2653" s="15"/>
      <c r="Q2653" s="15"/>
      <c r="R2653" s="15"/>
      <c r="S2653" s="15"/>
      <c r="T2653" s="15">
        <v>0</v>
      </c>
      <c r="U2653" s="15"/>
      <c r="V2653" s="15"/>
      <c r="W2653" s="15"/>
      <c r="X2653" s="15"/>
      <c r="Y2653" s="15"/>
      <c r="Z2653" s="15"/>
    </row>
    <row r="2654" spans="1:26" x14ac:dyDescent="0.25">
      <c r="A2654" s="15" t="s">
        <v>16155</v>
      </c>
      <c r="B2654" s="15">
        <v>2653</v>
      </c>
      <c r="C2654" s="15" t="s">
        <v>11277</v>
      </c>
      <c r="D2654" s="15" t="s">
        <v>11277</v>
      </c>
      <c r="E2654" s="15" t="s">
        <v>215</v>
      </c>
      <c r="F2654" s="15" t="s">
        <v>2667</v>
      </c>
      <c r="G2654" s="15" t="s">
        <v>11798</v>
      </c>
      <c r="H2654" s="15">
        <v>31</v>
      </c>
      <c r="I2654" s="15">
        <v>6</v>
      </c>
      <c r="J2654" s="15">
        <v>100</v>
      </c>
      <c r="K2654" s="15" t="str">
        <f t="shared" si="41"/>
        <v>iqrraxtsoly</v>
      </c>
      <c r="L2654" s="15" t="s">
        <v>11701</v>
      </c>
      <c r="M2654" s="15">
        <v>3</v>
      </c>
      <c r="N2654" s="15" t="s">
        <v>11223</v>
      </c>
      <c r="O2654" s="15" t="s">
        <v>14033</v>
      </c>
      <c r="P2654" s="15"/>
      <c r="Q2654" s="15"/>
      <c r="R2654" s="15"/>
      <c r="S2654" s="15"/>
      <c r="T2654" s="15">
        <v>0</v>
      </c>
      <c r="U2654" s="15" t="s">
        <v>5900</v>
      </c>
      <c r="V2654" s="15"/>
      <c r="W2654" s="15"/>
      <c r="X2654" s="15"/>
      <c r="Y2654" s="15"/>
      <c r="Z2654" s="15"/>
    </row>
    <row r="2655" spans="1:26" x14ac:dyDescent="0.25">
      <c r="A2655" s="15" t="s">
        <v>16156</v>
      </c>
      <c r="B2655" s="15">
        <v>2654</v>
      </c>
      <c r="C2655" s="15" t="s">
        <v>11277</v>
      </c>
      <c r="D2655" s="15" t="s">
        <v>11277</v>
      </c>
      <c r="E2655" s="15" t="s">
        <v>215</v>
      </c>
      <c r="F2655" s="15" t="s">
        <v>2669</v>
      </c>
      <c r="G2655" s="15" t="s">
        <v>11799</v>
      </c>
      <c r="H2655" s="15">
        <v>33</v>
      </c>
      <c r="I2655" s="15">
        <v>16</v>
      </c>
      <c r="J2655" s="15">
        <v>94</v>
      </c>
      <c r="K2655" s="15" t="str">
        <f t="shared" si="41"/>
        <v>xobrittsoly</v>
      </c>
      <c r="L2655" s="15" t="s">
        <v>11698</v>
      </c>
      <c r="M2655" s="15">
        <v>1</v>
      </c>
      <c r="N2655" s="15" t="s">
        <v>11222</v>
      </c>
      <c r="O2655" s="15"/>
      <c r="P2655" s="15"/>
      <c r="Q2655" s="15"/>
      <c r="R2655" s="15"/>
      <c r="S2655" s="15"/>
      <c r="T2655" s="15">
        <v>0</v>
      </c>
      <c r="U2655" s="15"/>
      <c r="V2655" s="15"/>
      <c r="W2655" s="15"/>
      <c r="X2655" s="15"/>
      <c r="Y2655" s="15"/>
      <c r="Z2655" s="15"/>
    </row>
    <row r="2656" spans="1:26" x14ac:dyDescent="0.25">
      <c r="A2656" s="15" t="s">
        <v>16157</v>
      </c>
      <c r="B2656" s="15">
        <v>2655</v>
      </c>
      <c r="C2656" s="15" t="s">
        <v>11277</v>
      </c>
      <c r="D2656" s="15" t="s">
        <v>11277</v>
      </c>
      <c r="E2656" s="15" t="s">
        <v>215</v>
      </c>
      <c r="F2656" s="15" t="s">
        <v>2669</v>
      </c>
      <c r="G2656" s="15" t="s">
        <v>11800</v>
      </c>
      <c r="H2656" s="15">
        <v>33</v>
      </c>
      <c r="I2656" s="15">
        <v>16</v>
      </c>
      <c r="J2656" s="15">
        <v>94</v>
      </c>
      <c r="K2656" s="15" t="str">
        <f t="shared" si="41"/>
        <v>xobrittsoly</v>
      </c>
      <c r="L2656" s="15" t="s">
        <v>11696</v>
      </c>
      <c r="M2656" s="15">
        <v>1</v>
      </c>
      <c r="N2656" s="15" t="s">
        <v>11222</v>
      </c>
      <c r="O2656" s="15"/>
      <c r="P2656" s="15"/>
      <c r="Q2656" s="15"/>
      <c r="R2656" s="15"/>
      <c r="S2656" s="15"/>
      <c r="T2656" s="15">
        <v>0</v>
      </c>
      <c r="U2656" s="15"/>
      <c r="V2656" s="15"/>
      <c r="W2656" s="15"/>
      <c r="X2656" s="15"/>
      <c r="Y2656" s="15"/>
      <c r="Z2656" s="15"/>
    </row>
    <row r="2657" spans="1:26" x14ac:dyDescent="0.25">
      <c r="A2657" s="15" t="s">
        <v>16158</v>
      </c>
      <c r="B2657" s="15">
        <v>2656</v>
      </c>
      <c r="C2657" s="15" t="s">
        <v>11277</v>
      </c>
      <c r="D2657" s="15" t="s">
        <v>11277</v>
      </c>
      <c r="E2657" s="15" t="s">
        <v>215</v>
      </c>
      <c r="F2657" s="15" t="s">
        <v>2669</v>
      </c>
      <c r="G2657" s="15" t="s">
        <v>11801</v>
      </c>
      <c r="H2657" s="15">
        <v>33</v>
      </c>
      <c r="I2657" s="15">
        <v>16</v>
      </c>
      <c r="J2657" s="15">
        <v>95</v>
      </c>
      <c r="K2657" s="15" t="str">
        <f t="shared" si="41"/>
        <v>xobrittsoly</v>
      </c>
      <c r="L2657" s="15" t="s">
        <v>11698</v>
      </c>
      <c r="M2657" s="15">
        <v>2</v>
      </c>
      <c r="N2657" s="15" t="s">
        <v>11223</v>
      </c>
      <c r="O2657" s="15"/>
      <c r="P2657" s="15"/>
      <c r="Q2657" s="15" t="s">
        <v>11799</v>
      </c>
      <c r="R2657" s="15"/>
      <c r="S2657" s="15"/>
      <c r="T2657" s="15">
        <v>0</v>
      </c>
      <c r="U2657" s="15"/>
      <c r="V2657" s="15"/>
      <c r="W2657" s="15"/>
      <c r="X2657" s="15"/>
      <c r="Y2657" s="15"/>
      <c r="Z2657" s="15"/>
    </row>
    <row r="2658" spans="1:26" x14ac:dyDescent="0.25">
      <c r="A2658" s="15" t="s">
        <v>16159</v>
      </c>
      <c r="B2658" s="15">
        <v>2657</v>
      </c>
      <c r="C2658" s="15" t="s">
        <v>11277</v>
      </c>
      <c r="D2658" s="15" t="s">
        <v>11277</v>
      </c>
      <c r="E2658" s="15" t="s">
        <v>215</v>
      </c>
      <c r="F2658" s="15" t="s">
        <v>2669</v>
      </c>
      <c r="G2658" s="15" t="s">
        <v>221</v>
      </c>
      <c r="H2658" s="15">
        <v>33</v>
      </c>
      <c r="I2658" s="15">
        <v>16</v>
      </c>
      <c r="J2658" s="15">
        <v>96</v>
      </c>
      <c r="K2658" s="15" t="str">
        <f t="shared" si="41"/>
        <v>xobrittsoly</v>
      </c>
      <c r="L2658" s="15" t="s">
        <v>14088</v>
      </c>
      <c r="M2658" s="15">
        <v>2</v>
      </c>
      <c r="N2658" s="15" t="s">
        <v>11223</v>
      </c>
      <c r="O2658" s="15" t="s">
        <v>2804</v>
      </c>
      <c r="P2658" s="15"/>
      <c r="Q2658" s="15" t="s">
        <v>11799</v>
      </c>
      <c r="R2658" s="15"/>
      <c r="S2658" s="15"/>
      <c r="T2658" s="15">
        <v>0</v>
      </c>
      <c r="U2658" s="15"/>
      <c r="V2658" s="15"/>
      <c r="W2658" s="15"/>
      <c r="X2658" s="15"/>
      <c r="Y2658" s="15"/>
      <c r="Z2658" s="15"/>
    </row>
    <row r="2659" spans="1:26" x14ac:dyDescent="0.25">
      <c r="A2659" s="15" t="s">
        <v>16160</v>
      </c>
      <c r="B2659" s="15">
        <v>2658</v>
      </c>
      <c r="C2659" s="15" t="s">
        <v>11277</v>
      </c>
      <c r="D2659" s="15" t="s">
        <v>11277</v>
      </c>
      <c r="E2659" s="15" t="s">
        <v>215</v>
      </c>
      <c r="F2659" s="15" t="s">
        <v>2669</v>
      </c>
      <c r="G2659" s="15" t="s">
        <v>11802</v>
      </c>
      <c r="H2659" s="15">
        <v>33</v>
      </c>
      <c r="I2659" s="15">
        <v>16</v>
      </c>
      <c r="J2659" s="15">
        <v>100</v>
      </c>
      <c r="K2659" s="15" t="str">
        <f t="shared" si="41"/>
        <v>xobrittsoly</v>
      </c>
      <c r="L2659" s="15" t="s">
        <v>14088</v>
      </c>
      <c r="M2659" s="15">
        <v>3</v>
      </c>
      <c r="N2659" s="15" t="s">
        <v>11223</v>
      </c>
      <c r="O2659" s="15" t="s">
        <v>2805</v>
      </c>
      <c r="P2659" s="15"/>
      <c r="Q2659" s="15" t="s">
        <v>11799</v>
      </c>
      <c r="R2659" s="15"/>
      <c r="S2659" s="15"/>
      <c r="T2659" s="15">
        <v>0</v>
      </c>
      <c r="U2659" s="15" t="s">
        <v>5892</v>
      </c>
      <c r="V2659" s="15"/>
      <c r="W2659" s="15"/>
      <c r="X2659" s="15" t="s">
        <v>5908</v>
      </c>
      <c r="Y2659" s="15"/>
      <c r="Z2659" s="15"/>
    </row>
    <row r="2660" spans="1:26" x14ac:dyDescent="0.25">
      <c r="A2660" s="15" t="s">
        <v>16161</v>
      </c>
      <c r="B2660" s="15">
        <v>2659</v>
      </c>
      <c r="C2660" s="15" t="s">
        <v>11277</v>
      </c>
      <c r="D2660" s="15" t="s">
        <v>11277</v>
      </c>
      <c r="E2660" s="15" t="s">
        <v>215</v>
      </c>
      <c r="F2660" s="15" t="s">
        <v>2702</v>
      </c>
      <c r="G2660" s="15" t="s">
        <v>11820</v>
      </c>
      <c r="H2660" s="15">
        <v>8</v>
      </c>
      <c r="I2660" s="15">
        <v>27</v>
      </c>
      <c r="J2660" s="15">
        <v>95</v>
      </c>
      <c r="K2660" s="15" t="str">
        <f t="shared" si="41"/>
        <v>ankledeep</v>
      </c>
      <c r="L2660" s="15" t="s">
        <v>11696</v>
      </c>
      <c r="M2660" s="15">
        <v>1</v>
      </c>
      <c r="N2660" s="15" t="s">
        <v>11222</v>
      </c>
      <c r="O2660" s="15"/>
      <c r="P2660" s="15"/>
      <c r="Q2660" s="15"/>
      <c r="R2660" s="15"/>
      <c r="S2660" s="15"/>
      <c r="T2660" s="15">
        <v>0</v>
      </c>
      <c r="U2660" s="15"/>
      <c r="V2660" s="15"/>
      <c r="W2660" s="15"/>
      <c r="X2660" s="15"/>
      <c r="Y2660" s="15"/>
      <c r="Z2660" s="15"/>
    </row>
    <row r="2661" spans="1:26" x14ac:dyDescent="0.25">
      <c r="A2661" s="15" t="s">
        <v>16162</v>
      </c>
      <c r="B2661" s="15">
        <v>2660</v>
      </c>
      <c r="C2661" s="15" t="s">
        <v>11277</v>
      </c>
      <c r="D2661" s="15" t="s">
        <v>11277</v>
      </c>
      <c r="E2661" s="15" t="s">
        <v>215</v>
      </c>
      <c r="F2661" s="15" t="s">
        <v>2702</v>
      </c>
      <c r="G2661" s="15" t="s">
        <v>11803</v>
      </c>
      <c r="H2661" s="15">
        <v>8</v>
      </c>
      <c r="I2661" s="15">
        <v>27</v>
      </c>
      <c r="J2661" s="15">
        <v>96</v>
      </c>
      <c r="K2661" s="15" t="str">
        <f t="shared" si="41"/>
        <v>ankledeep</v>
      </c>
      <c r="L2661" s="15" t="s">
        <v>11774</v>
      </c>
      <c r="M2661" s="15">
        <v>1</v>
      </c>
      <c r="N2661" s="15" t="s">
        <v>11222</v>
      </c>
      <c r="O2661" s="15"/>
      <c r="P2661" s="15"/>
      <c r="Q2661" s="15"/>
      <c r="R2661" s="15"/>
      <c r="S2661" s="15"/>
      <c r="T2661" s="15">
        <v>0</v>
      </c>
      <c r="U2661" s="15"/>
      <c r="V2661" s="15"/>
      <c r="W2661" s="15"/>
      <c r="X2661" s="15"/>
      <c r="Y2661" s="15"/>
      <c r="Z2661" s="15"/>
    </row>
    <row r="2662" spans="1:26" x14ac:dyDescent="0.25">
      <c r="A2662" s="15" t="s">
        <v>16163</v>
      </c>
      <c r="B2662" s="15">
        <v>2661</v>
      </c>
      <c r="C2662" s="15" t="s">
        <v>11277</v>
      </c>
      <c r="D2662" s="15" t="s">
        <v>11277</v>
      </c>
      <c r="E2662" s="15" t="s">
        <v>215</v>
      </c>
      <c r="F2662" s="15" t="s">
        <v>2702</v>
      </c>
      <c r="G2662" s="15" t="s">
        <v>11821</v>
      </c>
      <c r="H2662" s="15">
        <v>8</v>
      </c>
      <c r="I2662" s="15">
        <v>27</v>
      </c>
      <c r="J2662" s="15">
        <v>96</v>
      </c>
      <c r="K2662" s="15" t="str">
        <f t="shared" si="41"/>
        <v>ankledeep</v>
      </c>
      <c r="L2662" s="15" t="s">
        <v>11696</v>
      </c>
      <c r="M2662" s="15">
        <v>2</v>
      </c>
      <c r="N2662" s="15" t="s">
        <v>11223</v>
      </c>
      <c r="O2662" s="15"/>
      <c r="P2662" s="15"/>
      <c r="Q2662" s="15"/>
      <c r="R2662" s="15"/>
      <c r="S2662" s="15"/>
      <c r="T2662" s="15">
        <v>0</v>
      </c>
      <c r="U2662" s="15"/>
      <c r="V2662" s="15"/>
      <c r="W2662" s="15"/>
      <c r="X2662" s="15"/>
      <c r="Y2662" s="15"/>
      <c r="Z2662" s="15"/>
    </row>
    <row r="2663" spans="1:26" x14ac:dyDescent="0.25">
      <c r="A2663" s="15" t="s">
        <v>16164</v>
      </c>
      <c r="B2663" s="15">
        <v>2662</v>
      </c>
      <c r="C2663" s="15" t="s">
        <v>11277</v>
      </c>
      <c r="D2663" s="15" t="s">
        <v>11277</v>
      </c>
      <c r="E2663" s="15" t="s">
        <v>215</v>
      </c>
      <c r="F2663" s="15" t="s">
        <v>2702</v>
      </c>
      <c r="G2663" s="15" t="s">
        <v>11804</v>
      </c>
      <c r="H2663" s="15">
        <v>8</v>
      </c>
      <c r="I2663" s="15">
        <v>27</v>
      </c>
      <c r="J2663" s="15">
        <v>97</v>
      </c>
      <c r="K2663" s="15" t="str">
        <f t="shared" si="41"/>
        <v>ankledeep</v>
      </c>
      <c r="L2663" s="15" t="s">
        <v>11701</v>
      </c>
      <c r="M2663" s="15">
        <v>2</v>
      </c>
      <c r="N2663" s="15" t="s">
        <v>11223</v>
      </c>
      <c r="O2663" s="15"/>
      <c r="P2663" s="15"/>
      <c r="Q2663" s="15"/>
      <c r="R2663" s="15"/>
      <c r="S2663" s="15"/>
      <c r="T2663" s="15">
        <v>0</v>
      </c>
      <c r="U2663" s="15"/>
      <c r="V2663" s="15"/>
      <c r="W2663" s="15"/>
      <c r="X2663" s="15"/>
      <c r="Y2663" s="15"/>
      <c r="Z2663" s="15"/>
    </row>
    <row r="2664" spans="1:26" x14ac:dyDescent="0.25">
      <c r="A2664" s="15" t="s">
        <v>16165</v>
      </c>
      <c r="B2664" s="15">
        <v>2663</v>
      </c>
      <c r="C2664" s="15" t="s">
        <v>11277</v>
      </c>
      <c r="D2664" s="15" t="s">
        <v>11277</v>
      </c>
      <c r="E2664" s="15" t="s">
        <v>215</v>
      </c>
      <c r="F2664" s="15" t="s">
        <v>2702</v>
      </c>
      <c r="G2664" s="15" t="s">
        <v>11805</v>
      </c>
      <c r="H2664" s="15">
        <v>8</v>
      </c>
      <c r="I2664" s="15">
        <v>27</v>
      </c>
      <c r="J2664" s="15">
        <v>100</v>
      </c>
      <c r="K2664" s="15" t="str">
        <f t="shared" si="41"/>
        <v>ankledeep</v>
      </c>
      <c r="L2664" s="15" t="s">
        <v>11701</v>
      </c>
      <c r="M2664" s="15">
        <v>3</v>
      </c>
      <c r="N2664" s="15" t="s">
        <v>11223</v>
      </c>
      <c r="O2664" s="15" t="s">
        <v>2804</v>
      </c>
      <c r="P2664" s="15" t="s">
        <v>16166</v>
      </c>
      <c r="Q2664" s="15"/>
      <c r="R2664" s="15"/>
      <c r="S2664" s="15"/>
      <c r="T2664" s="15">
        <v>3</v>
      </c>
      <c r="U2664" s="15" t="s">
        <v>5914</v>
      </c>
      <c r="V2664" s="15"/>
      <c r="W2664" s="15"/>
      <c r="X2664" s="15"/>
      <c r="Y2664" s="15"/>
      <c r="Z2664" s="15"/>
    </row>
    <row r="2665" spans="1:26" x14ac:dyDescent="0.25">
      <c r="A2665" s="15" t="s">
        <v>16167</v>
      </c>
      <c r="B2665" s="15">
        <v>2664</v>
      </c>
      <c r="C2665" s="15" t="s">
        <v>11277</v>
      </c>
      <c r="D2665" s="15" t="s">
        <v>11277</v>
      </c>
      <c r="E2665" s="15" t="s">
        <v>73</v>
      </c>
      <c r="F2665" s="15" t="s">
        <v>16168</v>
      </c>
      <c r="G2665" s="15" t="s">
        <v>12308</v>
      </c>
      <c r="H2665" s="15">
        <v>6</v>
      </c>
      <c r="I2665" s="15">
        <v>6</v>
      </c>
      <c r="J2665" s="15">
        <v>1</v>
      </c>
      <c r="K2665" s="15" t="str">
        <f t="shared" si="41"/>
        <v>galadionspectralcurrent</v>
      </c>
      <c r="L2665" s="15" t="s">
        <v>12296</v>
      </c>
      <c r="M2665" s="15">
        <v>2</v>
      </c>
      <c r="N2665" s="15" t="s">
        <v>11223</v>
      </c>
      <c r="O2665" s="15"/>
      <c r="P2665" s="15"/>
      <c r="Q2665" s="15"/>
      <c r="R2665" s="15"/>
      <c r="S2665" s="15"/>
      <c r="T2665" s="15">
        <v>0</v>
      </c>
      <c r="U2665" s="15"/>
      <c r="V2665" s="15"/>
      <c r="W2665" s="15"/>
      <c r="X2665" s="15"/>
      <c r="Y2665" s="15"/>
      <c r="Z2665" s="15"/>
    </row>
    <row r="2666" spans="1:26" x14ac:dyDescent="0.25">
      <c r="A2666" s="15" t="s">
        <v>16169</v>
      </c>
      <c r="B2666" s="15">
        <v>2665</v>
      </c>
      <c r="C2666" s="15" t="s">
        <v>11277</v>
      </c>
      <c r="D2666" s="15" t="s">
        <v>11277</v>
      </c>
      <c r="E2666" s="15" t="s">
        <v>73</v>
      </c>
      <c r="F2666" s="15" t="s">
        <v>16168</v>
      </c>
      <c r="G2666" s="15" t="s">
        <v>12310</v>
      </c>
      <c r="H2666" s="15">
        <v>6</v>
      </c>
      <c r="I2666" s="15">
        <v>6</v>
      </c>
      <c r="J2666" s="15">
        <v>1</v>
      </c>
      <c r="K2666" s="15" t="str">
        <f t="shared" si="41"/>
        <v>galadionspectralcurrent</v>
      </c>
      <c r="L2666" s="15" t="s">
        <v>12294</v>
      </c>
      <c r="M2666" s="15">
        <v>1</v>
      </c>
      <c r="N2666" s="15" t="s">
        <v>11222</v>
      </c>
      <c r="O2666" s="15"/>
      <c r="P2666" s="15"/>
      <c r="Q2666" s="15"/>
      <c r="R2666" s="15"/>
      <c r="S2666" s="15"/>
      <c r="T2666" s="15">
        <v>0</v>
      </c>
      <c r="U2666" s="15"/>
      <c r="V2666" s="15"/>
      <c r="W2666" s="15"/>
      <c r="X2666" s="15"/>
      <c r="Y2666" s="15"/>
      <c r="Z2666" s="15"/>
    </row>
    <row r="2667" spans="1:26" x14ac:dyDescent="0.25">
      <c r="A2667" s="15" t="s">
        <v>16170</v>
      </c>
      <c r="B2667" s="15">
        <v>2666</v>
      </c>
      <c r="C2667" s="15" t="s">
        <v>11277</v>
      </c>
      <c r="D2667" s="15" t="s">
        <v>11277</v>
      </c>
      <c r="E2667" s="15" t="s">
        <v>73</v>
      </c>
      <c r="F2667" s="15" t="s">
        <v>16168</v>
      </c>
      <c r="G2667" s="15" t="s">
        <v>12312</v>
      </c>
      <c r="H2667" s="15">
        <v>6</v>
      </c>
      <c r="I2667" s="15">
        <v>6</v>
      </c>
      <c r="J2667" s="15">
        <v>1</v>
      </c>
      <c r="K2667" s="15" t="str">
        <f t="shared" si="41"/>
        <v>galadionspectralcurrent</v>
      </c>
      <c r="L2667" s="15" t="s">
        <v>12298</v>
      </c>
      <c r="M2667" s="15">
        <v>2</v>
      </c>
      <c r="N2667" s="15" t="s">
        <v>11223</v>
      </c>
      <c r="O2667" s="15"/>
      <c r="P2667" s="15"/>
      <c r="Q2667" s="15"/>
      <c r="R2667" s="15"/>
      <c r="S2667" s="15"/>
      <c r="T2667" s="15">
        <v>0</v>
      </c>
      <c r="U2667" s="15"/>
      <c r="V2667" s="15"/>
      <c r="W2667" s="15"/>
      <c r="X2667" s="15"/>
      <c r="Y2667" s="15"/>
      <c r="Z2667" s="15"/>
    </row>
    <row r="2668" spans="1:26" x14ac:dyDescent="0.25">
      <c r="A2668" s="15" t="s">
        <v>16171</v>
      </c>
      <c r="B2668" s="15">
        <v>2667</v>
      </c>
      <c r="C2668" s="15" t="s">
        <v>11277</v>
      </c>
      <c r="D2668" s="15" t="s">
        <v>11277</v>
      </c>
      <c r="E2668" s="15" t="s">
        <v>73</v>
      </c>
      <c r="F2668" s="15" t="s">
        <v>16168</v>
      </c>
      <c r="G2668" s="15" t="s">
        <v>12314</v>
      </c>
      <c r="H2668" s="15">
        <v>6</v>
      </c>
      <c r="I2668" s="15">
        <v>6</v>
      </c>
      <c r="J2668" s="15">
        <v>1</v>
      </c>
      <c r="K2668" s="15" t="str">
        <f t="shared" si="41"/>
        <v>galadionspectralcurrent</v>
      </c>
      <c r="L2668" s="15" t="s">
        <v>12298</v>
      </c>
      <c r="M2668" s="15">
        <v>2</v>
      </c>
      <c r="N2668" s="15" t="s">
        <v>11223</v>
      </c>
      <c r="O2668" s="15"/>
      <c r="P2668" s="15"/>
      <c r="Q2668" s="15"/>
      <c r="R2668" s="15"/>
      <c r="S2668" s="15"/>
      <c r="T2668" s="15">
        <v>0</v>
      </c>
      <c r="U2668" s="15"/>
      <c r="V2668" s="15"/>
      <c r="W2668" s="15"/>
      <c r="X2668" s="15"/>
      <c r="Y2668" s="15"/>
      <c r="Z2668" s="15"/>
    </row>
    <row r="2669" spans="1:26" x14ac:dyDescent="0.25">
      <c r="A2669" s="15" t="s">
        <v>16172</v>
      </c>
      <c r="B2669" s="15">
        <v>2668</v>
      </c>
      <c r="C2669" s="15" t="s">
        <v>11277</v>
      </c>
      <c r="D2669" s="15" t="s">
        <v>11277</v>
      </c>
      <c r="E2669" s="15" t="s">
        <v>73</v>
      </c>
      <c r="F2669" s="15" t="s">
        <v>16168</v>
      </c>
      <c r="G2669" s="15" t="s">
        <v>12316</v>
      </c>
      <c r="H2669" s="15">
        <v>6</v>
      </c>
      <c r="I2669" s="15">
        <v>6</v>
      </c>
      <c r="J2669" s="15">
        <v>1</v>
      </c>
      <c r="K2669" s="15" t="str">
        <f t="shared" si="41"/>
        <v>galadionspectralcurrent</v>
      </c>
      <c r="L2669" s="15" t="s">
        <v>12296</v>
      </c>
      <c r="M2669" s="15">
        <v>1</v>
      </c>
      <c r="N2669" s="15" t="s">
        <v>11222</v>
      </c>
      <c r="O2669" s="15"/>
      <c r="P2669" s="15"/>
      <c r="Q2669" s="15"/>
      <c r="R2669" s="15"/>
      <c r="S2669" s="15"/>
      <c r="T2669" s="15">
        <v>0</v>
      </c>
      <c r="U2669" s="15"/>
      <c r="V2669" s="15"/>
      <c r="W2669" s="15"/>
      <c r="X2669" s="15"/>
      <c r="Y2669" s="15"/>
      <c r="Z2669" s="15"/>
    </row>
    <row r="2670" spans="1:26" x14ac:dyDescent="0.25">
      <c r="A2670" s="15" t="s">
        <v>16173</v>
      </c>
      <c r="B2670" s="15">
        <v>2669</v>
      </c>
      <c r="C2670" s="15" t="s">
        <v>11277</v>
      </c>
      <c r="D2670" s="15" t="s">
        <v>11277</v>
      </c>
      <c r="E2670" s="15" t="s">
        <v>73</v>
      </c>
      <c r="F2670" s="15" t="s">
        <v>16168</v>
      </c>
      <c r="G2670" s="15" t="s">
        <v>12318</v>
      </c>
      <c r="H2670" s="15">
        <v>6</v>
      </c>
      <c r="I2670" s="15">
        <v>6</v>
      </c>
      <c r="J2670" s="15">
        <v>1</v>
      </c>
      <c r="K2670" s="15" t="str">
        <f t="shared" si="41"/>
        <v>galadionspectralcurrent</v>
      </c>
      <c r="L2670" s="15" t="s">
        <v>12294</v>
      </c>
      <c r="M2670" s="15">
        <v>1</v>
      </c>
      <c r="N2670" s="15" t="s">
        <v>11222</v>
      </c>
      <c r="O2670" s="15" t="s">
        <v>14023</v>
      </c>
      <c r="P2670" s="15"/>
      <c r="Q2670" s="15"/>
      <c r="R2670" s="15"/>
      <c r="S2670" s="15"/>
      <c r="T2670" s="15">
        <v>0</v>
      </c>
      <c r="U2670" s="15"/>
      <c r="V2670" s="15"/>
      <c r="W2670" s="15"/>
      <c r="X2670" s="15"/>
      <c r="Y2670" s="15"/>
      <c r="Z2670" s="15"/>
    </row>
    <row r="2671" spans="1:26" x14ac:dyDescent="0.25">
      <c r="A2671" s="15" t="s">
        <v>16174</v>
      </c>
      <c r="B2671" s="15">
        <v>2670</v>
      </c>
      <c r="C2671" s="15" t="s">
        <v>11277</v>
      </c>
      <c r="D2671" s="15" t="s">
        <v>11277</v>
      </c>
      <c r="E2671" s="15" t="s">
        <v>73</v>
      </c>
      <c r="F2671" s="15" t="s">
        <v>16168</v>
      </c>
      <c r="G2671" s="15" t="s">
        <v>12320</v>
      </c>
      <c r="H2671" s="15">
        <v>6</v>
      </c>
      <c r="I2671" s="15">
        <v>6</v>
      </c>
      <c r="J2671" s="15">
        <v>1</v>
      </c>
      <c r="K2671" s="15" t="str">
        <f t="shared" si="41"/>
        <v>galadionspectralcurrent</v>
      </c>
      <c r="L2671" s="15" t="s">
        <v>12298</v>
      </c>
      <c r="M2671" s="15">
        <v>2</v>
      </c>
      <c r="N2671" s="15" t="s">
        <v>11223</v>
      </c>
      <c r="O2671" s="15" t="s">
        <v>14052</v>
      </c>
      <c r="P2671" s="15"/>
      <c r="Q2671" s="15"/>
      <c r="R2671" s="15"/>
      <c r="S2671" s="15"/>
      <c r="T2671" s="15">
        <v>0</v>
      </c>
      <c r="U2671" s="15"/>
      <c r="V2671" s="15"/>
      <c r="W2671" s="15"/>
      <c r="X2671" s="15"/>
      <c r="Y2671" s="15"/>
      <c r="Z2671" s="15"/>
    </row>
    <row r="2672" spans="1:26" x14ac:dyDescent="0.25">
      <c r="A2672" s="15" t="s">
        <v>16175</v>
      </c>
      <c r="B2672" s="15">
        <v>2671</v>
      </c>
      <c r="C2672" s="15" t="s">
        <v>11277</v>
      </c>
      <c r="D2672" s="15" t="s">
        <v>11277</v>
      </c>
      <c r="E2672" s="15" t="s">
        <v>73</v>
      </c>
      <c r="F2672" s="15" t="s">
        <v>16168</v>
      </c>
      <c r="G2672" s="15" t="s">
        <v>12322</v>
      </c>
      <c r="H2672" s="15">
        <v>6</v>
      </c>
      <c r="I2672" s="15">
        <v>6</v>
      </c>
      <c r="J2672" s="15">
        <v>1</v>
      </c>
      <c r="K2672" s="15" t="str">
        <f t="shared" si="41"/>
        <v>galadionspectralcurrent</v>
      </c>
      <c r="L2672" s="15" t="s">
        <v>12298</v>
      </c>
      <c r="M2672" s="15">
        <v>3</v>
      </c>
      <c r="N2672" s="15" t="s">
        <v>11223</v>
      </c>
      <c r="O2672" s="15" t="s">
        <v>14052</v>
      </c>
      <c r="P2672" s="15"/>
      <c r="Q2672" s="15"/>
      <c r="R2672" s="15"/>
      <c r="S2672" s="15"/>
      <c r="T2672" s="15">
        <v>0</v>
      </c>
      <c r="U2672" s="15"/>
      <c r="V2672" s="15"/>
      <c r="W2672" s="15"/>
      <c r="X2672" s="15"/>
      <c r="Y2672" s="15"/>
      <c r="Z2672" s="15"/>
    </row>
    <row r="2673" spans="1:26" x14ac:dyDescent="0.25">
      <c r="A2673" s="15" t="s">
        <v>16176</v>
      </c>
      <c r="B2673" s="15">
        <v>2672</v>
      </c>
      <c r="C2673" s="15" t="s">
        <v>11277</v>
      </c>
      <c r="D2673" s="15" t="s">
        <v>11277</v>
      </c>
      <c r="E2673" s="15" t="s">
        <v>73</v>
      </c>
      <c r="F2673" s="15" t="s">
        <v>16168</v>
      </c>
      <c r="G2673" s="15" t="s">
        <v>12324</v>
      </c>
      <c r="H2673" s="15">
        <v>6</v>
      </c>
      <c r="I2673" s="15">
        <v>6</v>
      </c>
      <c r="J2673" s="15">
        <v>1</v>
      </c>
      <c r="K2673" s="15" t="str">
        <f t="shared" si="41"/>
        <v>galadionspectralcurrent</v>
      </c>
      <c r="L2673" s="15" t="s">
        <v>12294</v>
      </c>
      <c r="M2673" s="15">
        <v>1</v>
      </c>
      <c r="N2673" s="15" t="s">
        <v>11222</v>
      </c>
      <c r="O2673" s="15" t="s">
        <v>14023</v>
      </c>
      <c r="P2673" s="15"/>
      <c r="Q2673" s="15"/>
      <c r="R2673" s="15"/>
      <c r="S2673" s="15"/>
      <c r="T2673" s="15">
        <v>0</v>
      </c>
      <c r="U2673" s="15"/>
      <c r="V2673" s="15"/>
      <c r="W2673" s="15"/>
      <c r="X2673" s="15"/>
      <c r="Y2673" s="15"/>
      <c r="Z2673" s="15"/>
    </row>
    <row r="2674" spans="1:26" x14ac:dyDescent="0.25">
      <c r="A2674" s="15" t="s">
        <v>16177</v>
      </c>
      <c r="B2674" s="15">
        <v>2673</v>
      </c>
      <c r="C2674" s="15" t="s">
        <v>11277</v>
      </c>
      <c r="D2674" s="15" t="s">
        <v>11277</v>
      </c>
      <c r="E2674" s="15" t="s">
        <v>102</v>
      </c>
      <c r="F2674" s="15" t="s">
        <v>16168</v>
      </c>
      <c r="G2674" s="15" t="s">
        <v>12326</v>
      </c>
      <c r="H2674" s="15">
        <v>6</v>
      </c>
      <c r="I2674" s="15">
        <v>6</v>
      </c>
      <c r="J2674" s="15">
        <v>80</v>
      </c>
      <c r="K2674" s="15" t="str">
        <f t="shared" si="41"/>
        <v>galadionspectralcurrent</v>
      </c>
      <c r="L2674" s="15" t="s">
        <v>11376</v>
      </c>
      <c r="M2674" s="15">
        <v>3</v>
      </c>
      <c r="N2674" s="15" t="s">
        <v>11223</v>
      </c>
      <c r="O2674" s="15" t="s">
        <v>14077</v>
      </c>
      <c r="P2674" s="15" t="s">
        <v>16178</v>
      </c>
      <c r="Q2674" s="15"/>
      <c r="R2674" s="15"/>
      <c r="S2674" s="15"/>
      <c r="T2674" s="15">
        <v>0</v>
      </c>
      <c r="U2674" s="15"/>
      <c r="V2674" s="15"/>
      <c r="W2674" s="15"/>
      <c r="X2674" s="15"/>
      <c r="Y2674" s="15"/>
      <c r="Z2674" s="15"/>
    </row>
    <row r="2675" spans="1:26" x14ac:dyDescent="0.25">
      <c r="A2675" s="15" t="s">
        <v>16179</v>
      </c>
      <c r="B2675" s="15">
        <v>2674</v>
      </c>
      <c r="C2675" s="15" t="s">
        <v>11277</v>
      </c>
      <c r="D2675" s="15" t="s">
        <v>11277</v>
      </c>
      <c r="E2675" s="15" t="s">
        <v>73</v>
      </c>
      <c r="F2675" s="15" t="s">
        <v>16180</v>
      </c>
      <c r="G2675" s="15" t="s">
        <v>12328</v>
      </c>
      <c r="H2675" s="15">
        <v>6</v>
      </c>
      <c r="I2675" s="15">
        <v>6</v>
      </c>
      <c r="J2675" s="15">
        <v>1</v>
      </c>
      <c r="K2675" s="15" t="str">
        <f t="shared" si="41"/>
        <v>thesouthernstraitofmerlthor</v>
      </c>
      <c r="L2675" s="15" t="s">
        <v>12296</v>
      </c>
      <c r="M2675" s="15">
        <v>2</v>
      </c>
      <c r="N2675" s="15" t="s">
        <v>11223</v>
      </c>
      <c r="O2675" s="15"/>
      <c r="P2675" s="15"/>
      <c r="Q2675" s="15"/>
      <c r="R2675" s="15"/>
      <c r="S2675" s="15"/>
      <c r="T2675" s="15">
        <v>0</v>
      </c>
      <c r="U2675" s="15"/>
      <c r="V2675" s="15"/>
      <c r="W2675" s="15"/>
      <c r="X2675" s="15"/>
      <c r="Y2675" s="15"/>
      <c r="Z2675" s="15"/>
    </row>
    <row r="2676" spans="1:26" x14ac:dyDescent="0.25">
      <c r="A2676" s="15" t="s">
        <v>16181</v>
      </c>
      <c r="B2676" s="15">
        <v>2675</v>
      </c>
      <c r="C2676" s="15" t="s">
        <v>11277</v>
      </c>
      <c r="D2676" s="15" t="s">
        <v>11277</v>
      </c>
      <c r="E2676" s="15" t="s">
        <v>73</v>
      </c>
      <c r="F2676" s="15" t="s">
        <v>16180</v>
      </c>
      <c r="G2676" s="15" t="s">
        <v>12330</v>
      </c>
      <c r="H2676" s="15">
        <v>6</v>
      </c>
      <c r="I2676" s="15">
        <v>6</v>
      </c>
      <c r="J2676" s="15">
        <v>1</v>
      </c>
      <c r="K2676" s="15" t="str">
        <f t="shared" si="41"/>
        <v>thesouthernstraitofmerlthor</v>
      </c>
      <c r="L2676" s="15" t="s">
        <v>12294</v>
      </c>
      <c r="M2676" s="15">
        <v>1</v>
      </c>
      <c r="N2676" s="15" t="s">
        <v>11222</v>
      </c>
      <c r="O2676" s="15"/>
      <c r="P2676" s="15"/>
      <c r="Q2676" s="15"/>
      <c r="R2676" s="15"/>
      <c r="S2676" s="15"/>
      <c r="T2676" s="15">
        <v>0</v>
      </c>
      <c r="U2676" s="15"/>
      <c r="V2676" s="15"/>
      <c r="W2676" s="15"/>
      <c r="X2676" s="15"/>
      <c r="Y2676" s="15"/>
      <c r="Z2676" s="15"/>
    </row>
    <row r="2677" spans="1:26" x14ac:dyDescent="0.25">
      <c r="A2677" s="15" t="s">
        <v>16182</v>
      </c>
      <c r="B2677" s="15">
        <v>2676</v>
      </c>
      <c r="C2677" s="15" t="s">
        <v>11277</v>
      </c>
      <c r="D2677" s="15" t="s">
        <v>11277</v>
      </c>
      <c r="E2677" s="15" t="s">
        <v>73</v>
      </c>
      <c r="F2677" s="15" t="s">
        <v>16180</v>
      </c>
      <c r="G2677" s="15" t="s">
        <v>12332</v>
      </c>
      <c r="H2677" s="15">
        <v>6</v>
      </c>
      <c r="I2677" s="15">
        <v>6</v>
      </c>
      <c r="J2677" s="15">
        <v>1</v>
      </c>
      <c r="K2677" s="15" t="str">
        <f t="shared" si="41"/>
        <v>thesouthernstraitofmerlthor</v>
      </c>
      <c r="L2677" s="15" t="s">
        <v>12294</v>
      </c>
      <c r="M2677" s="15">
        <v>1</v>
      </c>
      <c r="N2677" s="15" t="s">
        <v>11222</v>
      </c>
      <c r="O2677" s="15"/>
      <c r="P2677" s="15"/>
      <c r="Q2677" s="15"/>
      <c r="R2677" s="15"/>
      <c r="S2677" s="15"/>
      <c r="T2677" s="15">
        <v>0</v>
      </c>
      <c r="U2677" s="15"/>
      <c r="V2677" s="15"/>
      <c r="W2677" s="15"/>
      <c r="X2677" s="15"/>
      <c r="Y2677" s="15"/>
      <c r="Z2677" s="15"/>
    </row>
    <row r="2678" spans="1:26" x14ac:dyDescent="0.25">
      <c r="A2678" s="15" t="s">
        <v>16183</v>
      </c>
      <c r="B2678" s="15">
        <v>2677</v>
      </c>
      <c r="C2678" s="15" t="s">
        <v>11277</v>
      </c>
      <c r="D2678" s="15" t="s">
        <v>11277</v>
      </c>
      <c r="E2678" s="15" t="s">
        <v>73</v>
      </c>
      <c r="F2678" s="15" t="s">
        <v>16180</v>
      </c>
      <c r="G2678" s="15" t="s">
        <v>12334</v>
      </c>
      <c r="H2678" s="15">
        <v>6</v>
      </c>
      <c r="I2678" s="15">
        <v>6</v>
      </c>
      <c r="J2678" s="15">
        <v>1</v>
      </c>
      <c r="K2678" s="15" t="str">
        <f t="shared" si="41"/>
        <v>thesouthernstraitofmerlthor</v>
      </c>
      <c r="L2678" s="15" t="s">
        <v>12296</v>
      </c>
      <c r="M2678" s="15">
        <v>1</v>
      </c>
      <c r="N2678" s="15" t="s">
        <v>11222</v>
      </c>
      <c r="O2678" s="15"/>
      <c r="P2678" s="15"/>
      <c r="Q2678" s="15"/>
      <c r="R2678" s="15"/>
      <c r="S2678" s="15"/>
      <c r="T2678" s="15">
        <v>0</v>
      </c>
      <c r="U2678" s="15"/>
      <c r="V2678" s="15"/>
      <c r="W2678" s="15"/>
      <c r="X2678" s="15"/>
      <c r="Y2678" s="15"/>
      <c r="Z2678" s="15"/>
    </row>
    <row r="2679" spans="1:26" x14ac:dyDescent="0.25">
      <c r="A2679" s="15" t="s">
        <v>16184</v>
      </c>
      <c r="B2679" s="15">
        <v>2678</v>
      </c>
      <c r="C2679" s="15" t="s">
        <v>11277</v>
      </c>
      <c r="D2679" s="15" t="s">
        <v>11277</v>
      </c>
      <c r="E2679" s="15" t="s">
        <v>73</v>
      </c>
      <c r="F2679" s="15" t="s">
        <v>16180</v>
      </c>
      <c r="G2679" s="15" t="s">
        <v>12336</v>
      </c>
      <c r="H2679" s="15">
        <v>6</v>
      </c>
      <c r="I2679" s="15">
        <v>6</v>
      </c>
      <c r="J2679" s="15">
        <v>1</v>
      </c>
      <c r="K2679" s="15" t="str">
        <f t="shared" si="41"/>
        <v>thesouthernstraitofmerlthor</v>
      </c>
      <c r="L2679" s="15" t="s">
        <v>12294</v>
      </c>
      <c r="M2679" s="15">
        <v>1</v>
      </c>
      <c r="N2679" s="15" t="s">
        <v>11222</v>
      </c>
      <c r="O2679" s="15"/>
      <c r="P2679" s="15"/>
      <c r="Q2679" s="15"/>
      <c r="R2679" s="15"/>
      <c r="S2679" s="15"/>
      <c r="T2679" s="15">
        <v>0</v>
      </c>
      <c r="U2679" s="15"/>
      <c r="V2679" s="15"/>
      <c r="W2679" s="15"/>
      <c r="X2679" s="15"/>
      <c r="Y2679" s="15"/>
      <c r="Z2679" s="15"/>
    </row>
    <row r="2680" spans="1:26" x14ac:dyDescent="0.25">
      <c r="A2680" s="15" t="s">
        <v>16185</v>
      </c>
      <c r="B2680" s="15">
        <v>2679</v>
      </c>
      <c r="C2680" s="15" t="s">
        <v>11277</v>
      </c>
      <c r="D2680" s="15" t="s">
        <v>11277</v>
      </c>
      <c r="E2680" s="15" t="s">
        <v>73</v>
      </c>
      <c r="F2680" s="15" t="s">
        <v>16180</v>
      </c>
      <c r="G2680" s="15" t="s">
        <v>12338</v>
      </c>
      <c r="H2680" s="15">
        <v>6</v>
      </c>
      <c r="I2680" s="15">
        <v>6</v>
      </c>
      <c r="J2680" s="15">
        <v>1</v>
      </c>
      <c r="K2680" s="15" t="str">
        <f t="shared" si="41"/>
        <v>thesouthernstraitofmerlthor</v>
      </c>
      <c r="L2680" s="15" t="s">
        <v>12298</v>
      </c>
      <c r="M2680" s="15">
        <v>3</v>
      </c>
      <c r="N2680" s="15" t="s">
        <v>11223</v>
      </c>
      <c r="O2680" s="15"/>
      <c r="P2680" s="15"/>
      <c r="Q2680" s="15"/>
      <c r="R2680" s="15"/>
      <c r="S2680" s="15"/>
      <c r="T2680" s="15">
        <v>0</v>
      </c>
      <c r="U2680" s="15"/>
      <c r="V2680" s="15"/>
      <c r="W2680" s="15"/>
      <c r="X2680" s="15"/>
      <c r="Y2680" s="15"/>
      <c r="Z2680" s="15"/>
    </row>
    <row r="2681" spans="1:26" x14ac:dyDescent="0.25">
      <c r="A2681" s="15" t="s">
        <v>16186</v>
      </c>
      <c r="B2681" s="15">
        <v>2680</v>
      </c>
      <c r="C2681" s="15" t="s">
        <v>11277</v>
      </c>
      <c r="D2681" s="15" t="s">
        <v>11277</v>
      </c>
      <c r="E2681" s="15" t="s">
        <v>73</v>
      </c>
      <c r="F2681" s="15" t="s">
        <v>16180</v>
      </c>
      <c r="G2681" s="15" t="s">
        <v>12340</v>
      </c>
      <c r="H2681" s="15">
        <v>6</v>
      </c>
      <c r="I2681" s="15">
        <v>6</v>
      </c>
      <c r="J2681" s="15">
        <v>1</v>
      </c>
      <c r="K2681" s="15" t="str">
        <f t="shared" si="41"/>
        <v>thesouthernstraitofmerlthor</v>
      </c>
      <c r="L2681" s="15" t="s">
        <v>12294</v>
      </c>
      <c r="M2681" s="15">
        <v>1</v>
      </c>
      <c r="N2681" s="15" t="s">
        <v>11222</v>
      </c>
      <c r="O2681" s="15"/>
      <c r="P2681" s="15"/>
      <c r="Q2681" s="15"/>
      <c r="R2681" s="15"/>
      <c r="S2681" s="15"/>
      <c r="T2681" s="15">
        <v>0</v>
      </c>
      <c r="U2681" s="15"/>
      <c r="V2681" s="15"/>
      <c r="W2681" s="15"/>
      <c r="X2681" s="15"/>
      <c r="Y2681" s="15"/>
      <c r="Z2681" s="15"/>
    </row>
    <row r="2682" spans="1:26" x14ac:dyDescent="0.25">
      <c r="A2682" s="15" t="s">
        <v>16187</v>
      </c>
      <c r="B2682" s="15">
        <v>2681</v>
      </c>
      <c r="C2682" s="15" t="s">
        <v>11277</v>
      </c>
      <c r="D2682" s="15" t="s">
        <v>11277</v>
      </c>
      <c r="E2682" s="15" t="s">
        <v>73</v>
      </c>
      <c r="F2682" s="15" t="s">
        <v>16180</v>
      </c>
      <c r="G2682" s="15" t="s">
        <v>12342</v>
      </c>
      <c r="H2682" s="15">
        <v>6</v>
      </c>
      <c r="I2682" s="15">
        <v>6</v>
      </c>
      <c r="J2682" s="15">
        <v>1</v>
      </c>
      <c r="K2682" s="15" t="str">
        <f t="shared" si="41"/>
        <v>thesouthernstraitofmerlthor</v>
      </c>
      <c r="L2682" s="15" t="s">
        <v>12328</v>
      </c>
      <c r="M2682" s="15">
        <v>2</v>
      </c>
      <c r="N2682" s="15" t="s">
        <v>11223</v>
      </c>
      <c r="O2682" s="15"/>
      <c r="P2682" s="15"/>
      <c r="Q2682" s="15"/>
      <c r="R2682" s="15"/>
      <c r="S2682" s="15"/>
      <c r="T2682" s="15">
        <v>0</v>
      </c>
      <c r="U2682" s="15"/>
      <c r="V2682" s="15"/>
      <c r="W2682" s="15"/>
      <c r="X2682" s="15"/>
      <c r="Y2682" s="15"/>
      <c r="Z2682" s="15"/>
    </row>
    <row r="2683" spans="1:26" x14ac:dyDescent="0.25">
      <c r="A2683" s="15" t="s">
        <v>16188</v>
      </c>
      <c r="B2683" s="15">
        <v>2682</v>
      </c>
      <c r="C2683" s="15" t="s">
        <v>11277</v>
      </c>
      <c r="D2683" s="15" t="s">
        <v>11277</v>
      </c>
      <c r="E2683" s="15" t="s">
        <v>73</v>
      </c>
      <c r="F2683" s="15" t="s">
        <v>16180</v>
      </c>
      <c r="G2683" s="15" t="s">
        <v>12344</v>
      </c>
      <c r="H2683" s="15">
        <v>6</v>
      </c>
      <c r="I2683" s="15">
        <v>6</v>
      </c>
      <c r="J2683" s="15">
        <v>1</v>
      </c>
      <c r="K2683" s="15" t="str">
        <f t="shared" si="41"/>
        <v>thesouthernstraitofmerlthor</v>
      </c>
      <c r="L2683" s="15" t="s">
        <v>12296</v>
      </c>
      <c r="M2683" s="15">
        <v>3</v>
      </c>
      <c r="N2683" s="15" t="s">
        <v>11222</v>
      </c>
      <c r="O2683" s="15"/>
      <c r="P2683" s="15"/>
      <c r="Q2683" s="15"/>
      <c r="R2683" s="15"/>
      <c r="S2683" s="15"/>
      <c r="T2683" s="15">
        <v>0</v>
      </c>
      <c r="U2683" s="15"/>
      <c r="V2683" s="15"/>
      <c r="W2683" s="15"/>
      <c r="X2683" s="15"/>
      <c r="Y2683" s="15"/>
      <c r="Z2683" s="15"/>
    </row>
    <row r="2684" spans="1:26" x14ac:dyDescent="0.25">
      <c r="A2684" s="15" t="s">
        <v>16189</v>
      </c>
      <c r="B2684" s="15">
        <v>2683</v>
      </c>
      <c r="C2684" s="15" t="s">
        <v>11277</v>
      </c>
      <c r="D2684" s="15" t="s">
        <v>11277</v>
      </c>
      <c r="E2684" s="15" t="s">
        <v>73</v>
      </c>
      <c r="F2684" s="15" t="s">
        <v>16180</v>
      </c>
      <c r="G2684" s="15" t="s">
        <v>12346</v>
      </c>
      <c r="H2684" s="15">
        <v>6</v>
      </c>
      <c r="I2684" s="15">
        <v>6</v>
      </c>
      <c r="J2684" s="15">
        <v>1</v>
      </c>
      <c r="K2684" s="15" t="str">
        <f t="shared" si="41"/>
        <v>thesouthernstraitofmerlthor</v>
      </c>
      <c r="L2684" s="15" t="s">
        <v>12298</v>
      </c>
      <c r="M2684" s="15">
        <v>3</v>
      </c>
      <c r="N2684" s="15" t="s">
        <v>11223</v>
      </c>
      <c r="O2684" s="15"/>
      <c r="P2684" s="15" t="s">
        <v>16190</v>
      </c>
      <c r="Q2684" s="15"/>
      <c r="R2684" s="15"/>
      <c r="S2684" s="15"/>
      <c r="T2684" s="15">
        <v>0</v>
      </c>
      <c r="U2684" s="15"/>
      <c r="V2684" s="15"/>
      <c r="W2684" s="15"/>
      <c r="X2684" s="15"/>
      <c r="Y2684" s="15"/>
      <c r="Z2684" s="15"/>
    </row>
    <row r="2685" spans="1:26" x14ac:dyDescent="0.25">
      <c r="A2685" s="15" t="s">
        <v>16191</v>
      </c>
      <c r="B2685" s="15">
        <v>2684</v>
      </c>
      <c r="C2685" s="15" t="s">
        <v>11277</v>
      </c>
      <c r="D2685" s="15" t="s">
        <v>11277</v>
      </c>
      <c r="E2685" s="15" t="s">
        <v>73</v>
      </c>
      <c r="F2685" s="15" t="s">
        <v>16192</v>
      </c>
      <c r="G2685" s="15" t="s">
        <v>12348</v>
      </c>
      <c r="H2685" s="15">
        <v>6</v>
      </c>
      <c r="I2685" s="15">
        <v>6</v>
      </c>
      <c r="J2685" s="15">
        <v>1</v>
      </c>
      <c r="K2685" s="15" t="str">
        <f t="shared" si="41"/>
        <v>southernmerlthorspectralcurrent</v>
      </c>
      <c r="L2685" s="15" t="s">
        <v>12294</v>
      </c>
      <c r="M2685" s="15">
        <v>1</v>
      </c>
      <c r="N2685" s="15" t="s">
        <v>11222</v>
      </c>
      <c r="O2685" s="15" t="s">
        <v>14052</v>
      </c>
      <c r="P2685" s="15"/>
      <c r="Q2685" s="15"/>
      <c r="R2685" s="15"/>
      <c r="S2685" s="15"/>
      <c r="T2685" s="15">
        <v>0</v>
      </c>
      <c r="U2685" s="15"/>
      <c r="V2685" s="15"/>
      <c r="W2685" s="15"/>
      <c r="X2685" s="15"/>
      <c r="Y2685" s="15"/>
      <c r="Z2685" s="15"/>
    </row>
    <row r="2686" spans="1:26" x14ac:dyDescent="0.25">
      <c r="A2686" s="15" t="s">
        <v>16193</v>
      </c>
      <c r="B2686" s="15">
        <v>2685</v>
      </c>
      <c r="C2686" s="15" t="s">
        <v>11277</v>
      </c>
      <c r="D2686" s="15" t="s">
        <v>11277</v>
      </c>
      <c r="E2686" s="15" t="s">
        <v>73</v>
      </c>
      <c r="F2686" s="15" t="s">
        <v>16192</v>
      </c>
      <c r="G2686" s="15" t="s">
        <v>12350</v>
      </c>
      <c r="H2686" s="15">
        <v>6</v>
      </c>
      <c r="I2686" s="15">
        <v>6</v>
      </c>
      <c r="J2686" s="15">
        <v>1</v>
      </c>
      <c r="K2686" s="15" t="str">
        <f t="shared" si="41"/>
        <v>southernmerlthorspectralcurrent</v>
      </c>
      <c r="L2686" s="15" t="s">
        <v>12356</v>
      </c>
      <c r="M2686" s="15">
        <v>2</v>
      </c>
      <c r="N2686" s="15" t="s">
        <v>11223</v>
      </c>
      <c r="O2686" s="15"/>
      <c r="P2686" s="15"/>
      <c r="Q2686" s="15"/>
      <c r="R2686" s="15"/>
      <c r="S2686" s="15"/>
      <c r="T2686" s="15">
        <v>0</v>
      </c>
      <c r="U2686" s="15"/>
      <c r="V2686" s="15"/>
      <c r="W2686" s="15"/>
      <c r="X2686" s="15"/>
      <c r="Y2686" s="15"/>
      <c r="Z2686" s="15"/>
    </row>
    <row r="2687" spans="1:26" x14ac:dyDescent="0.25">
      <c r="A2687" s="15" t="s">
        <v>16194</v>
      </c>
      <c r="B2687" s="15">
        <v>2686</v>
      </c>
      <c r="C2687" s="15" t="s">
        <v>11277</v>
      </c>
      <c r="D2687" s="15" t="s">
        <v>11277</v>
      </c>
      <c r="E2687" s="15" t="s">
        <v>73</v>
      </c>
      <c r="F2687" s="15" t="s">
        <v>16192</v>
      </c>
      <c r="G2687" s="15" t="s">
        <v>12352</v>
      </c>
      <c r="H2687" s="15">
        <v>6</v>
      </c>
      <c r="I2687" s="15">
        <v>6</v>
      </c>
      <c r="J2687" s="15">
        <v>1</v>
      </c>
      <c r="K2687" s="15" t="str">
        <f t="shared" si="41"/>
        <v>southernmerlthorspectralcurrent</v>
      </c>
      <c r="L2687" s="15" t="s">
        <v>12298</v>
      </c>
      <c r="M2687" s="15">
        <v>2</v>
      </c>
      <c r="N2687" s="15" t="s">
        <v>11223</v>
      </c>
      <c r="O2687" s="15"/>
      <c r="P2687" s="15"/>
      <c r="Q2687" s="15"/>
      <c r="R2687" s="15"/>
      <c r="S2687" s="15"/>
      <c r="T2687" s="15">
        <v>0</v>
      </c>
      <c r="U2687" s="15"/>
      <c r="V2687" s="15"/>
      <c r="W2687" s="15"/>
      <c r="X2687" s="15"/>
      <c r="Y2687" s="15"/>
      <c r="Z2687" s="15"/>
    </row>
    <row r="2688" spans="1:26" x14ac:dyDescent="0.25">
      <c r="A2688" s="15" t="s">
        <v>16195</v>
      </c>
      <c r="B2688" s="15">
        <v>2687</v>
      </c>
      <c r="C2688" s="15" t="s">
        <v>11277</v>
      </c>
      <c r="D2688" s="15" t="s">
        <v>11277</v>
      </c>
      <c r="E2688" s="15" t="s">
        <v>73</v>
      </c>
      <c r="F2688" s="15" t="s">
        <v>16192</v>
      </c>
      <c r="G2688" s="15" t="s">
        <v>12354</v>
      </c>
      <c r="H2688" s="15">
        <v>6</v>
      </c>
      <c r="I2688" s="15">
        <v>6</v>
      </c>
      <c r="J2688" s="15">
        <v>1</v>
      </c>
      <c r="K2688" s="15" t="str">
        <f t="shared" si="41"/>
        <v>southernmerlthorspectralcurrent</v>
      </c>
      <c r="L2688" s="15" t="s">
        <v>12296</v>
      </c>
      <c r="M2688" s="15">
        <v>1</v>
      </c>
      <c r="N2688" s="15" t="s">
        <v>11222</v>
      </c>
      <c r="O2688" s="15"/>
      <c r="P2688" s="15"/>
      <c r="Q2688" s="15"/>
      <c r="R2688" s="15"/>
      <c r="S2688" s="15"/>
      <c r="T2688" s="15">
        <v>0</v>
      </c>
      <c r="U2688" s="15"/>
      <c r="V2688" s="15"/>
      <c r="W2688" s="15"/>
      <c r="X2688" s="15"/>
      <c r="Y2688" s="15"/>
      <c r="Z2688" s="15"/>
    </row>
    <row r="2689" spans="1:26" x14ac:dyDescent="0.25">
      <c r="A2689" s="15" t="s">
        <v>16196</v>
      </c>
      <c r="B2689" s="15">
        <v>2688</v>
      </c>
      <c r="C2689" s="15" t="s">
        <v>11277</v>
      </c>
      <c r="D2689" s="15" t="s">
        <v>11277</v>
      </c>
      <c r="E2689" s="15" t="s">
        <v>73</v>
      </c>
      <c r="F2689" s="15" t="s">
        <v>16192</v>
      </c>
      <c r="G2689" s="15" t="s">
        <v>12356</v>
      </c>
      <c r="H2689" s="15">
        <v>6</v>
      </c>
      <c r="I2689" s="15">
        <v>6</v>
      </c>
      <c r="J2689" s="15">
        <v>1</v>
      </c>
      <c r="K2689" s="15" t="str">
        <f t="shared" si="41"/>
        <v>southernmerlthorspectralcurrent</v>
      </c>
      <c r="L2689" s="15" t="s">
        <v>12294</v>
      </c>
      <c r="M2689" s="15">
        <v>1</v>
      </c>
      <c r="N2689" s="15" t="s">
        <v>11222</v>
      </c>
      <c r="O2689" s="15"/>
      <c r="P2689" s="15"/>
      <c r="Q2689" s="15"/>
      <c r="R2689" s="15"/>
      <c r="S2689" s="15"/>
      <c r="T2689" s="15">
        <v>0</v>
      </c>
      <c r="U2689" s="15"/>
      <c r="V2689" s="15"/>
      <c r="W2689" s="15"/>
      <c r="X2689" s="15"/>
      <c r="Y2689" s="15"/>
      <c r="Z2689" s="15"/>
    </row>
    <row r="2690" spans="1:26" x14ac:dyDescent="0.25">
      <c r="A2690" s="15" t="s">
        <v>16197</v>
      </c>
      <c r="B2690" s="15">
        <v>2689</v>
      </c>
      <c r="C2690" s="15" t="s">
        <v>11277</v>
      </c>
      <c r="D2690" s="15" t="s">
        <v>11277</v>
      </c>
      <c r="E2690" s="15" t="s">
        <v>73</v>
      </c>
      <c r="F2690" s="15" t="s">
        <v>16192</v>
      </c>
      <c r="G2690" s="15" t="s">
        <v>12358</v>
      </c>
      <c r="H2690" s="15">
        <v>6</v>
      </c>
      <c r="I2690" s="15">
        <v>6</v>
      </c>
      <c r="J2690" s="15">
        <v>1</v>
      </c>
      <c r="K2690" s="15" t="str">
        <f t="shared" ref="K2690:K2753" si="42">LOWER(SUBSTITUTE(SUBSTITUTE(SUBSTITUTE(SUBSTITUTE(SUBSTITUTE(F2690," ",""),"(",""),")",""),"'",""),"-",""))</f>
        <v>southernmerlthorspectralcurrent</v>
      </c>
      <c r="L2690" s="15" t="s">
        <v>12296</v>
      </c>
      <c r="M2690" s="15">
        <v>1</v>
      </c>
      <c r="N2690" s="15" t="s">
        <v>11222</v>
      </c>
      <c r="O2690" s="15"/>
      <c r="P2690" s="15"/>
      <c r="Q2690" s="15"/>
      <c r="R2690" s="15"/>
      <c r="S2690" s="15"/>
      <c r="T2690" s="15">
        <v>0</v>
      </c>
      <c r="U2690" s="15"/>
      <c r="V2690" s="15"/>
      <c r="W2690" s="15"/>
      <c r="X2690" s="15"/>
      <c r="Y2690" s="15"/>
      <c r="Z2690" s="15"/>
    </row>
    <row r="2691" spans="1:26" x14ac:dyDescent="0.25">
      <c r="A2691" s="15" t="s">
        <v>16198</v>
      </c>
      <c r="B2691" s="15">
        <v>2690</v>
      </c>
      <c r="C2691" s="15" t="s">
        <v>11277</v>
      </c>
      <c r="D2691" s="15" t="s">
        <v>11277</v>
      </c>
      <c r="E2691" s="15" t="s">
        <v>73</v>
      </c>
      <c r="F2691" s="15" t="s">
        <v>16192</v>
      </c>
      <c r="G2691" s="15" t="s">
        <v>12360</v>
      </c>
      <c r="H2691" s="15">
        <v>6</v>
      </c>
      <c r="I2691" s="15">
        <v>6</v>
      </c>
      <c r="J2691" s="15">
        <v>1</v>
      </c>
      <c r="K2691" s="15" t="str">
        <f t="shared" si="42"/>
        <v>southernmerlthorspectralcurrent</v>
      </c>
      <c r="L2691" s="15" t="s">
        <v>12356</v>
      </c>
      <c r="M2691" s="15">
        <v>2</v>
      </c>
      <c r="N2691" s="15" t="s">
        <v>11223</v>
      </c>
      <c r="O2691" s="15" t="s">
        <v>14077</v>
      </c>
      <c r="P2691" s="15"/>
      <c r="Q2691" s="15"/>
      <c r="R2691" s="15"/>
      <c r="S2691" s="15"/>
      <c r="T2691" s="15">
        <v>0</v>
      </c>
      <c r="U2691" s="15"/>
      <c r="V2691" s="15"/>
      <c r="W2691" s="15"/>
      <c r="X2691" s="15"/>
      <c r="Y2691" s="15"/>
      <c r="Z2691" s="15"/>
    </row>
    <row r="2692" spans="1:26" x14ac:dyDescent="0.25">
      <c r="A2692" s="15" t="s">
        <v>16199</v>
      </c>
      <c r="B2692" s="15">
        <v>2691</v>
      </c>
      <c r="C2692" s="15" t="s">
        <v>11277</v>
      </c>
      <c r="D2692" s="15" t="s">
        <v>11277</v>
      </c>
      <c r="E2692" s="15" t="s">
        <v>73</v>
      </c>
      <c r="F2692" s="15" t="s">
        <v>16192</v>
      </c>
      <c r="G2692" s="15" t="s">
        <v>12362</v>
      </c>
      <c r="H2692" s="15">
        <v>6</v>
      </c>
      <c r="I2692" s="15">
        <v>6</v>
      </c>
      <c r="J2692" s="15">
        <v>1</v>
      </c>
      <c r="K2692" s="15" t="str">
        <f t="shared" si="42"/>
        <v>southernmerlthorspectralcurrent</v>
      </c>
      <c r="L2692" s="15" t="s">
        <v>12296</v>
      </c>
      <c r="M2692" s="15">
        <v>2</v>
      </c>
      <c r="N2692" s="15" t="s">
        <v>11223</v>
      </c>
      <c r="O2692" s="15" t="s">
        <v>14023</v>
      </c>
      <c r="P2692" s="15"/>
      <c r="Q2692" s="15"/>
      <c r="R2692" s="15"/>
      <c r="S2692" s="15"/>
      <c r="T2692" s="15">
        <v>0</v>
      </c>
      <c r="U2692" s="15"/>
      <c r="V2692" s="15"/>
      <c r="W2692" s="15"/>
      <c r="X2692" s="15"/>
      <c r="Y2692" s="15"/>
      <c r="Z2692" s="15"/>
    </row>
    <row r="2693" spans="1:26" x14ac:dyDescent="0.25">
      <c r="A2693" s="15" t="s">
        <v>16200</v>
      </c>
      <c r="B2693" s="15">
        <v>2692</v>
      </c>
      <c r="C2693" s="15" t="s">
        <v>11277</v>
      </c>
      <c r="D2693" s="15" t="s">
        <v>11277</v>
      </c>
      <c r="E2693" s="15" t="s">
        <v>73</v>
      </c>
      <c r="F2693" s="15" t="s">
        <v>16192</v>
      </c>
      <c r="G2693" s="15" t="s">
        <v>12364</v>
      </c>
      <c r="H2693" s="15">
        <v>6</v>
      </c>
      <c r="I2693" s="15">
        <v>6</v>
      </c>
      <c r="J2693" s="15">
        <v>1</v>
      </c>
      <c r="K2693" s="15" t="str">
        <f t="shared" si="42"/>
        <v>southernmerlthorspectralcurrent</v>
      </c>
      <c r="L2693" s="15" t="s">
        <v>12356</v>
      </c>
      <c r="M2693" s="15">
        <v>3</v>
      </c>
      <c r="N2693" s="15" t="s">
        <v>11223</v>
      </c>
      <c r="O2693" s="15" t="s">
        <v>14052</v>
      </c>
      <c r="P2693" s="15"/>
      <c r="Q2693" s="15"/>
      <c r="R2693" s="15"/>
      <c r="S2693" s="15"/>
      <c r="T2693" s="15">
        <v>0</v>
      </c>
      <c r="U2693" s="15"/>
      <c r="V2693" s="15"/>
      <c r="W2693" s="15"/>
      <c r="X2693" s="15"/>
      <c r="Y2693" s="15"/>
      <c r="Z2693" s="15"/>
    </row>
    <row r="2694" spans="1:26" x14ac:dyDescent="0.25">
      <c r="A2694" s="15" t="s">
        <v>16201</v>
      </c>
      <c r="B2694" s="15">
        <v>2693</v>
      </c>
      <c r="C2694" s="15" t="s">
        <v>11277</v>
      </c>
      <c r="D2694" s="15" t="s">
        <v>11277</v>
      </c>
      <c r="E2694" s="15" t="s">
        <v>102</v>
      </c>
      <c r="F2694" s="15" t="s">
        <v>16192</v>
      </c>
      <c r="G2694" s="15" t="s">
        <v>12366</v>
      </c>
      <c r="H2694" s="15">
        <v>6</v>
      </c>
      <c r="I2694" s="15">
        <v>6</v>
      </c>
      <c r="J2694" s="15">
        <v>80</v>
      </c>
      <c r="K2694" s="15" t="str">
        <f t="shared" si="42"/>
        <v>southernmerlthorspectralcurrent</v>
      </c>
      <c r="L2694" s="15" t="s">
        <v>11317</v>
      </c>
      <c r="M2694" s="15">
        <v>3</v>
      </c>
      <c r="N2694" s="15" t="s">
        <v>11223</v>
      </c>
      <c r="O2694" s="15" t="s">
        <v>14077</v>
      </c>
      <c r="P2694" s="15"/>
      <c r="Q2694" s="15"/>
      <c r="R2694" s="15"/>
      <c r="S2694" s="15"/>
      <c r="T2694" s="15">
        <v>0</v>
      </c>
      <c r="U2694" s="15"/>
      <c r="V2694" s="15"/>
      <c r="W2694" s="15"/>
      <c r="X2694" s="15"/>
      <c r="Y2694" s="15"/>
      <c r="Z2694" s="15"/>
    </row>
    <row r="2695" spans="1:26" x14ac:dyDescent="0.25">
      <c r="A2695" s="15" t="s">
        <v>16202</v>
      </c>
      <c r="B2695" s="15">
        <v>2694</v>
      </c>
      <c r="C2695" s="15" t="s">
        <v>11277</v>
      </c>
      <c r="D2695" s="15" t="s">
        <v>11277</v>
      </c>
      <c r="E2695" s="15" t="s">
        <v>73</v>
      </c>
      <c r="F2695" s="15" t="s">
        <v>16203</v>
      </c>
      <c r="G2695" s="15" t="s">
        <v>12368</v>
      </c>
      <c r="H2695" s="15">
        <v>6</v>
      </c>
      <c r="I2695" s="15">
        <v>6</v>
      </c>
      <c r="J2695" s="15">
        <v>1</v>
      </c>
      <c r="K2695" s="15" t="str">
        <f t="shared" si="42"/>
        <v>thenorthernstraitofmerlthor</v>
      </c>
      <c r="L2695" s="15" t="s">
        <v>12294</v>
      </c>
      <c r="M2695" s="15">
        <v>1</v>
      </c>
      <c r="N2695" s="15" t="s">
        <v>11222</v>
      </c>
      <c r="O2695" s="15"/>
      <c r="P2695" s="15"/>
      <c r="Q2695" s="15"/>
      <c r="R2695" s="15"/>
      <c r="S2695" s="15"/>
      <c r="T2695" s="15">
        <v>0</v>
      </c>
      <c r="U2695" s="15"/>
      <c r="V2695" s="15"/>
      <c r="W2695" s="15"/>
      <c r="X2695" s="15"/>
      <c r="Y2695" s="15"/>
      <c r="Z2695" s="15"/>
    </row>
    <row r="2696" spans="1:26" x14ac:dyDescent="0.25">
      <c r="A2696" s="15" t="s">
        <v>16204</v>
      </c>
      <c r="B2696" s="15">
        <v>2695</v>
      </c>
      <c r="C2696" s="15" t="s">
        <v>11277</v>
      </c>
      <c r="D2696" s="15" t="s">
        <v>11277</v>
      </c>
      <c r="E2696" s="15" t="s">
        <v>73</v>
      </c>
      <c r="F2696" s="15" t="s">
        <v>16203</v>
      </c>
      <c r="G2696" s="15" t="s">
        <v>12370</v>
      </c>
      <c r="H2696" s="15">
        <v>6</v>
      </c>
      <c r="I2696" s="15">
        <v>6</v>
      </c>
      <c r="J2696" s="15">
        <v>1</v>
      </c>
      <c r="K2696" s="15" t="str">
        <f t="shared" si="42"/>
        <v>thenorthernstraitofmerlthor</v>
      </c>
      <c r="L2696" s="15" t="s">
        <v>12298</v>
      </c>
      <c r="M2696" s="15">
        <v>2</v>
      </c>
      <c r="N2696" s="15" t="s">
        <v>11223</v>
      </c>
      <c r="O2696" s="15"/>
      <c r="P2696" s="15"/>
      <c r="Q2696" s="15"/>
      <c r="R2696" s="15"/>
      <c r="S2696" s="15"/>
      <c r="T2696" s="15">
        <v>0</v>
      </c>
      <c r="U2696" s="15"/>
      <c r="V2696" s="15"/>
      <c r="W2696" s="15"/>
      <c r="X2696" s="15"/>
      <c r="Y2696" s="15"/>
      <c r="Z2696" s="15"/>
    </row>
    <row r="2697" spans="1:26" x14ac:dyDescent="0.25">
      <c r="A2697" s="15" t="s">
        <v>16205</v>
      </c>
      <c r="B2697" s="15">
        <v>2696</v>
      </c>
      <c r="C2697" s="15" t="s">
        <v>11277</v>
      </c>
      <c r="D2697" s="15" t="s">
        <v>11277</v>
      </c>
      <c r="E2697" s="15" t="s">
        <v>73</v>
      </c>
      <c r="F2697" s="15" t="s">
        <v>16203</v>
      </c>
      <c r="G2697" s="15" t="s">
        <v>12372</v>
      </c>
      <c r="H2697" s="15">
        <v>6</v>
      </c>
      <c r="I2697" s="15">
        <v>6</v>
      </c>
      <c r="J2697" s="15">
        <v>1</v>
      </c>
      <c r="K2697" s="15" t="str">
        <f t="shared" si="42"/>
        <v>thenorthernstraitofmerlthor</v>
      </c>
      <c r="L2697" s="15" t="s">
        <v>12298</v>
      </c>
      <c r="M2697" s="15">
        <v>2</v>
      </c>
      <c r="N2697" s="15" t="s">
        <v>11223</v>
      </c>
      <c r="O2697" s="15"/>
      <c r="P2697" s="15"/>
      <c r="Q2697" s="15"/>
      <c r="R2697" s="15"/>
      <c r="S2697" s="15"/>
      <c r="T2697" s="15">
        <v>0</v>
      </c>
      <c r="U2697" s="15"/>
      <c r="V2697" s="15"/>
      <c r="W2697" s="15"/>
      <c r="X2697" s="15"/>
      <c r="Y2697" s="15"/>
      <c r="Z2697" s="15"/>
    </row>
    <row r="2698" spans="1:26" x14ac:dyDescent="0.25">
      <c r="A2698" s="15" t="s">
        <v>16206</v>
      </c>
      <c r="B2698" s="15">
        <v>2697</v>
      </c>
      <c r="C2698" s="15" t="s">
        <v>11277</v>
      </c>
      <c r="D2698" s="15" t="s">
        <v>11277</v>
      </c>
      <c r="E2698" s="15" t="s">
        <v>73</v>
      </c>
      <c r="F2698" s="15" t="s">
        <v>16203</v>
      </c>
      <c r="G2698" s="15" t="s">
        <v>12374</v>
      </c>
      <c r="H2698" s="15">
        <v>6</v>
      </c>
      <c r="I2698" s="15">
        <v>6</v>
      </c>
      <c r="J2698" s="15">
        <v>1</v>
      </c>
      <c r="K2698" s="15" t="str">
        <f t="shared" si="42"/>
        <v>thenorthernstraitofmerlthor</v>
      </c>
      <c r="L2698" s="15" t="s">
        <v>12294</v>
      </c>
      <c r="M2698" s="15">
        <v>1</v>
      </c>
      <c r="N2698" s="15" t="s">
        <v>11222</v>
      </c>
      <c r="O2698" s="15"/>
      <c r="P2698" s="15"/>
      <c r="Q2698" s="15"/>
      <c r="R2698" s="15"/>
      <c r="S2698" s="15"/>
      <c r="T2698" s="15">
        <v>0</v>
      </c>
      <c r="U2698" s="15"/>
      <c r="V2698" s="15"/>
      <c r="W2698" s="15"/>
      <c r="X2698" s="15"/>
      <c r="Y2698" s="15"/>
      <c r="Z2698" s="15"/>
    </row>
    <row r="2699" spans="1:26" x14ac:dyDescent="0.25">
      <c r="A2699" s="15" t="s">
        <v>16207</v>
      </c>
      <c r="B2699" s="15">
        <v>2698</v>
      </c>
      <c r="C2699" s="15" t="s">
        <v>11277</v>
      </c>
      <c r="D2699" s="15" t="s">
        <v>11277</v>
      </c>
      <c r="E2699" s="15" t="s">
        <v>73</v>
      </c>
      <c r="F2699" s="15" t="s">
        <v>16203</v>
      </c>
      <c r="G2699" s="15" t="s">
        <v>12376</v>
      </c>
      <c r="H2699" s="15">
        <v>6</v>
      </c>
      <c r="I2699" s="15">
        <v>6</v>
      </c>
      <c r="J2699" s="15">
        <v>1</v>
      </c>
      <c r="K2699" s="15" t="str">
        <f t="shared" si="42"/>
        <v>thenorthernstraitofmerlthor</v>
      </c>
      <c r="L2699" s="15" t="s">
        <v>12296</v>
      </c>
      <c r="M2699" s="15">
        <v>1</v>
      </c>
      <c r="N2699" s="15" t="s">
        <v>11222</v>
      </c>
      <c r="O2699" s="15"/>
      <c r="P2699" s="15"/>
      <c r="Q2699" s="15"/>
      <c r="R2699" s="15"/>
      <c r="S2699" s="15"/>
      <c r="T2699" s="15">
        <v>0</v>
      </c>
      <c r="U2699" s="15"/>
      <c r="V2699" s="15"/>
      <c r="W2699" s="15"/>
      <c r="X2699" s="15"/>
      <c r="Y2699" s="15"/>
      <c r="Z2699" s="15"/>
    </row>
    <row r="2700" spans="1:26" x14ac:dyDescent="0.25">
      <c r="A2700" s="15" t="s">
        <v>16208</v>
      </c>
      <c r="B2700" s="15">
        <v>2699</v>
      </c>
      <c r="C2700" s="15" t="s">
        <v>11277</v>
      </c>
      <c r="D2700" s="15" t="s">
        <v>11277</v>
      </c>
      <c r="E2700" s="15" t="s">
        <v>73</v>
      </c>
      <c r="F2700" s="15" t="s">
        <v>16203</v>
      </c>
      <c r="G2700" s="15" t="s">
        <v>12378</v>
      </c>
      <c r="H2700" s="15">
        <v>6</v>
      </c>
      <c r="I2700" s="15">
        <v>6</v>
      </c>
      <c r="J2700" s="15">
        <v>1</v>
      </c>
      <c r="K2700" s="15" t="str">
        <f t="shared" si="42"/>
        <v>thenorthernstraitofmerlthor</v>
      </c>
      <c r="L2700" s="15" t="s">
        <v>12296</v>
      </c>
      <c r="M2700" s="15">
        <v>2</v>
      </c>
      <c r="N2700" s="15" t="s">
        <v>11223</v>
      </c>
      <c r="O2700" s="15"/>
      <c r="P2700" s="15"/>
      <c r="Q2700" s="15"/>
      <c r="R2700" s="15"/>
      <c r="S2700" s="15"/>
      <c r="T2700" s="15">
        <v>0</v>
      </c>
      <c r="U2700" s="15"/>
      <c r="V2700" s="15"/>
      <c r="W2700" s="15"/>
      <c r="X2700" s="15"/>
      <c r="Y2700" s="15"/>
      <c r="Z2700" s="15"/>
    </row>
    <row r="2701" spans="1:26" x14ac:dyDescent="0.25">
      <c r="A2701" s="15" t="s">
        <v>16209</v>
      </c>
      <c r="B2701" s="15">
        <v>2700</v>
      </c>
      <c r="C2701" s="15" t="s">
        <v>11277</v>
      </c>
      <c r="D2701" s="15" t="s">
        <v>11277</v>
      </c>
      <c r="E2701" s="15" t="s">
        <v>73</v>
      </c>
      <c r="F2701" s="15" t="s">
        <v>16203</v>
      </c>
      <c r="G2701" s="15" t="s">
        <v>12380</v>
      </c>
      <c r="H2701" s="15">
        <v>6</v>
      </c>
      <c r="I2701" s="15">
        <v>6</v>
      </c>
      <c r="J2701" s="15">
        <v>1</v>
      </c>
      <c r="K2701" s="15" t="str">
        <f t="shared" si="42"/>
        <v>thenorthernstraitofmerlthor</v>
      </c>
      <c r="L2701" s="15" t="s">
        <v>12296</v>
      </c>
      <c r="M2701" s="15">
        <v>1</v>
      </c>
      <c r="N2701" s="15" t="s">
        <v>11222</v>
      </c>
      <c r="O2701" s="15"/>
      <c r="P2701" s="15"/>
      <c r="Q2701" s="15"/>
      <c r="R2701" s="15"/>
      <c r="S2701" s="15"/>
      <c r="T2701" s="15">
        <v>0</v>
      </c>
      <c r="U2701" s="15"/>
      <c r="V2701" s="15"/>
      <c r="W2701" s="15"/>
      <c r="X2701" s="15"/>
      <c r="Y2701" s="15"/>
      <c r="Z2701" s="15"/>
    </row>
    <row r="2702" spans="1:26" x14ac:dyDescent="0.25">
      <c r="A2702" s="15" t="s">
        <v>16210</v>
      </c>
      <c r="B2702" s="15">
        <v>2701</v>
      </c>
      <c r="C2702" s="15" t="s">
        <v>11277</v>
      </c>
      <c r="D2702" s="15" t="s">
        <v>11277</v>
      </c>
      <c r="E2702" s="15" t="s">
        <v>73</v>
      </c>
      <c r="F2702" s="15" t="s">
        <v>16203</v>
      </c>
      <c r="G2702" s="15" t="s">
        <v>12382</v>
      </c>
      <c r="H2702" s="15">
        <v>6</v>
      </c>
      <c r="I2702" s="15">
        <v>6</v>
      </c>
      <c r="J2702" s="15">
        <v>1</v>
      </c>
      <c r="K2702" s="15" t="str">
        <f t="shared" si="42"/>
        <v>thenorthernstraitofmerlthor</v>
      </c>
      <c r="L2702" s="15" t="s">
        <v>12374</v>
      </c>
      <c r="M2702" s="15">
        <v>2</v>
      </c>
      <c r="N2702" s="15" t="s">
        <v>11223</v>
      </c>
      <c r="O2702" s="15"/>
      <c r="P2702" s="15"/>
      <c r="Q2702" s="15"/>
      <c r="R2702" s="15"/>
      <c r="S2702" s="15"/>
      <c r="T2702" s="15">
        <v>0</v>
      </c>
      <c r="U2702" s="15"/>
      <c r="V2702" s="15"/>
      <c r="W2702" s="15"/>
      <c r="X2702" s="15"/>
      <c r="Y2702" s="15"/>
      <c r="Z2702" s="15"/>
    </row>
    <row r="2703" spans="1:26" x14ac:dyDescent="0.25">
      <c r="A2703" s="15" t="s">
        <v>16211</v>
      </c>
      <c r="B2703" s="15">
        <v>2702</v>
      </c>
      <c r="C2703" s="15" t="s">
        <v>11277</v>
      </c>
      <c r="D2703" s="15" t="s">
        <v>11277</v>
      </c>
      <c r="E2703" s="15" t="s">
        <v>73</v>
      </c>
      <c r="F2703" s="15" t="s">
        <v>16203</v>
      </c>
      <c r="G2703" s="15" t="s">
        <v>12384</v>
      </c>
      <c r="H2703" s="15">
        <v>6</v>
      </c>
      <c r="I2703" s="15">
        <v>6</v>
      </c>
      <c r="J2703" s="15">
        <v>1</v>
      </c>
      <c r="K2703" s="15" t="str">
        <f t="shared" si="42"/>
        <v>thenorthernstraitofmerlthor</v>
      </c>
      <c r="L2703" s="15" t="s">
        <v>12294</v>
      </c>
      <c r="M2703" s="15">
        <v>3</v>
      </c>
      <c r="N2703" s="15" t="s">
        <v>11222</v>
      </c>
      <c r="O2703" s="15"/>
      <c r="P2703" s="15"/>
      <c r="Q2703" s="15"/>
      <c r="R2703" s="15"/>
      <c r="S2703" s="15"/>
      <c r="T2703" s="15">
        <v>0</v>
      </c>
      <c r="U2703" s="15"/>
      <c r="V2703" s="15"/>
      <c r="W2703" s="15"/>
      <c r="X2703" s="15"/>
      <c r="Y2703" s="15"/>
      <c r="Z2703" s="15"/>
    </row>
    <row r="2704" spans="1:26" x14ac:dyDescent="0.25">
      <c r="A2704" s="15" t="s">
        <v>16212</v>
      </c>
      <c r="B2704" s="15">
        <v>2703</v>
      </c>
      <c r="C2704" s="15" t="s">
        <v>11277</v>
      </c>
      <c r="D2704" s="15" t="s">
        <v>11277</v>
      </c>
      <c r="E2704" s="15" t="s">
        <v>73</v>
      </c>
      <c r="F2704" s="15" t="s">
        <v>16203</v>
      </c>
      <c r="G2704" s="15" t="s">
        <v>12386</v>
      </c>
      <c r="H2704" s="15">
        <v>6</v>
      </c>
      <c r="I2704" s="15">
        <v>6</v>
      </c>
      <c r="J2704" s="15">
        <v>1</v>
      </c>
      <c r="K2704" s="15" t="str">
        <f t="shared" si="42"/>
        <v>thenorthernstraitofmerlthor</v>
      </c>
      <c r="L2704" s="15" t="s">
        <v>12294</v>
      </c>
      <c r="M2704" s="15">
        <v>3</v>
      </c>
      <c r="N2704" s="15" t="s">
        <v>11222</v>
      </c>
      <c r="O2704" s="15"/>
      <c r="P2704" s="15"/>
      <c r="Q2704" s="15"/>
      <c r="R2704" s="15"/>
      <c r="S2704" s="15"/>
      <c r="T2704" s="15">
        <v>0</v>
      </c>
      <c r="U2704" s="15"/>
      <c r="V2704" s="15"/>
      <c r="W2704" s="15"/>
      <c r="X2704" s="15"/>
      <c r="Y2704" s="15"/>
      <c r="Z2704" s="15"/>
    </row>
    <row r="2705" spans="1:26" x14ac:dyDescent="0.25">
      <c r="A2705" s="15" t="s">
        <v>16213</v>
      </c>
      <c r="B2705" s="15">
        <v>2704</v>
      </c>
      <c r="C2705" s="15" t="s">
        <v>11277</v>
      </c>
      <c r="D2705" s="15" t="s">
        <v>11277</v>
      </c>
      <c r="E2705" s="15" t="s">
        <v>73</v>
      </c>
      <c r="F2705" s="15" t="s">
        <v>16214</v>
      </c>
      <c r="G2705" s="15" t="s">
        <v>12388</v>
      </c>
      <c r="H2705" s="15">
        <v>6</v>
      </c>
      <c r="I2705" s="15">
        <v>6</v>
      </c>
      <c r="J2705" s="15">
        <v>1</v>
      </c>
      <c r="K2705" s="15" t="str">
        <f t="shared" si="42"/>
        <v>northernmerlthorspectralcurrent</v>
      </c>
      <c r="L2705" s="15" t="s">
        <v>12296</v>
      </c>
      <c r="M2705" s="15">
        <v>1</v>
      </c>
      <c r="N2705" s="15" t="s">
        <v>11222</v>
      </c>
      <c r="O2705" s="15"/>
      <c r="P2705" s="15"/>
      <c r="Q2705" s="15"/>
      <c r="R2705" s="15"/>
      <c r="S2705" s="15"/>
      <c r="T2705" s="15">
        <v>0</v>
      </c>
      <c r="U2705" s="15"/>
      <c r="V2705" s="15"/>
      <c r="W2705" s="15"/>
      <c r="X2705" s="15"/>
      <c r="Y2705" s="15"/>
      <c r="Z2705" s="15"/>
    </row>
    <row r="2706" spans="1:26" x14ac:dyDescent="0.25">
      <c r="A2706" s="15" t="s">
        <v>16215</v>
      </c>
      <c r="B2706" s="15">
        <v>2705</v>
      </c>
      <c r="C2706" s="15" t="s">
        <v>11277</v>
      </c>
      <c r="D2706" s="15" t="s">
        <v>11277</v>
      </c>
      <c r="E2706" s="15" t="s">
        <v>73</v>
      </c>
      <c r="F2706" s="15" t="s">
        <v>16214</v>
      </c>
      <c r="G2706" s="15" t="s">
        <v>12390</v>
      </c>
      <c r="H2706" s="15">
        <v>6</v>
      </c>
      <c r="I2706" s="15">
        <v>6</v>
      </c>
      <c r="J2706" s="15">
        <v>1</v>
      </c>
      <c r="K2706" s="15" t="str">
        <f t="shared" si="42"/>
        <v>northernmerlthorspectralcurrent</v>
      </c>
      <c r="L2706" s="15" t="s">
        <v>12298</v>
      </c>
      <c r="M2706" s="15">
        <v>2</v>
      </c>
      <c r="N2706" s="15" t="s">
        <v>11223</v>
      </c>
      <c r="O2706" s="15"/>
      <c r="P2706" s="15"/>
      <c r="Q2706" s="15"/>
      <c r="R2706" s="15"/>
      <c r="S2706" s="15"/>
      <c r="T2706" s="15">
        <v>0</v>
      </c>
      <c r="U2706" s="15"/>
      <c r="V2706" s="15"/>
      <c r="W2706" s="15"/>
      <c r="X2706" s="15"/>
      <c r="Y2706" s="15"/>
      <c r="Z2706" s="15"/>
    </row>
    <row r="2707" spans="1:26" x14ac:dyDescent="0.25">
      <c r="A2707" s="15" t="s">
        <v>16216</v>
      </c>
      <c r="B2707" s="15">
        <v>2706</v>
      </c>
      <c r="C2707" s="15" t="s">
        <v>11277</v>
      </c>
      <c r="D2707" s="15" t="s">
        <v>11277</v>
      </c>
      <c r="E2707" s="15" t="s">
        <v>73</v>
      </c>
      <c r="F2707" s="15" t="s">
        <v>16214</v>
      </c>
      <c r="G2707" s="15" t="s">
        <v>12392</v>
      </c>
      <c r="H2707" s="15">
        <v>6</v>
      </c>
      <c r="I2707" s="15">
        <v>6</v>
      </c>
      <c r="J2707" s="15">
        <v>1</v>
      </c>
      <c r="K2707" s="15" t="str">
        <f t="shared" si="42"/>
        <v>northernmerlthorspectralcurrent</v>
      </c>
      <c r="L2707" s="15" t="s">
        <v>12294</v>
      </c>
      <c r="M2707" s="15">
        <v>1</v>
      </c>
      <c r="N2707" s="15" t="s">
        <v>11222</v>
      </c>
      <c r="O2707" s="15" t="s">
        <v>14077</v>
      </c>
      <c r="P2707" s="15"/>
      <c r="Q2707" s="15"/>
      <c r="R2707" s="15"/>
      <c r="S2707" s="15"/>
      <c r="T2707" s="15">
        <v>0</v>
      </c>
      <c r="U2707" s="15"/>
      <c r="V2707" s="15"/>
      <c r="W2707" s="15"/>
      <c r="X2707" s="15"/>
      <c r="Y2707" s="15"/>
      <c r="Z2707" s="15"/>
    </row>
    <row r="2708" spans="1:26" x14ac:dyDescent="0.25">
      <c r="A2708" s="15" t="s">
        <v>16217</v>
      </c>
      <c r="B2708" s="15">
        <v>2707</v>
      </c>
      <c r="C2708" s="15" t="s">
        <v>11277</v>
      </c>
      <c r="D2708" s="15" t="s">
        <v>11277</v>
      </c>
      <c r="E2708" s="15" t="s">
        <v>73</v>
      </c>
      <c r="F2708" s="15" t="s">
        <v>16214</v>
      </c>
      <c r="G2708" s="15" t="s">
        <v>12394</v>
      </c>
      <c r="H2708" s="15">
        <v>6</v>
      </c>
      <c r="I2708" s="15">
        <v>6</v>
      </c>
      <c r="J2708" s="15">
        <v>1</v>
      </c>
      <c r="K2708" s="15" t="str">
        <f t="shared" si="42"/>
        <v>northernmerlthorspectralcurrent</v>
      </c>
      <c r="L2708" s="15" t="s">
        <v>12294</v>
      </c>
      <c r="M2708" s="15">
        <v>1</v>
      </c>
      <c r="N2708" s="15" t="s">
        <v>11222</v>
      </c>
      <c r="O2708" s="15"/>
      <c r="P2708" s="15"/>
      <c r="Q2708" s="15"/>
      <c r="R2708" s="15"/>
      <c r="S2708" s="15"/>
      <c r="T2708" s="15">
        <v>0</v>
      </c>
      <c r="U2708" s="15"/>
      <c r="V2708" s="15"/>
      <c r="W2708" s="15"/>
      <c r="X2708" s="15"/>
      <c r="Y2708" s="15"/>
      <c r="Z2708" s="15"/>
    </row>
    <row r="2709" spans="1:26" x14ac:dyDescent="0.25">
      <c r="A2709" s="15" t="s">
        <v>16218</v>
      </c>
      <c r="B2709" s="15">
        <v>2708</v>
      </c>
      <c r="C2709" s="15" t="s">
        <v>11277</v>
      </c>
      <c r="D2709" s="15" t="s">
        <v>11277</v>
      </c>
      <c r="E2709" s="15" t="s">
        <v>73</v>
      </c>
      <c r="F2709" s="15" t="s">
        <v>16214</v>
      </c>
      <c r="G2709" s="15" t="s">
        <v>12396</v>
      </c>
      <c r="H2709" s="15">
        <v>6</v>
      </c>
      <c r="I2709" s="15">
        <v>6</v>
      </c>
      <c r="J2709" s="15">
        <v>1</v>
      </c>
      <c r="K2709" s="15" t="str">
        <f t="shared" si="42"/>
        <v>northernmerlthorspectralcurrent</v>
      </c>
      <c r="L2709" s="15" t="s">
        <v>12296</v>
      </c>
      <c r="M2709" s="15">
        <v>2</v>
      </c>
      <c r="N2709" s="15" t="s">
        <v>11223</v>
      </c>
      <c r="O2709" s="15" t="s">
        <v>14077</v>
      </c>
      <c r="P2709" s="15"/>
      <c r="Q2709" s="15"/>
      <c r="R2709" s="15"/>
      <c r="S2709" s="15"/>
      <c r="T2709" s="15">
        <v>0</v>
      </c>
      <c r="U2709" s="15"/>
      <c r="V2709" s="15"/>
      <c r="W2709" s="15"/>
      <c r="X2709" s="15"/>
      <c r="Y2709" s="15"/>
      <c r="Z2709" s="15"/>
    </row>
    <row r="2710" spans="1:26" x14ac:dyDescent="0.25">
      <c r="A2710" s="15" t="s">
        <v>16219</v>
      </c>
      <c r="B2710" s="15">
        <v>2709</v>
      </c>
      <c r="C2710" s="15" t="s">
        <v>11277</v>
      </c>
      <c r="D2710" s="15" t="s">
        <v>11277</v>
      </c>
      <c r="E2710" s="15" t="s">
        <v>73</v>
      </c>
      <c r="F2710" s="15" t="s">
        <v>16214</v>
      </c>
      <c r="G2710" s="15" t="s">
        <v>12398</v>
      </c>
      <c r="H2710" s="15">
        <v>6</v>
      </c>
      <c r="I2710" s="15">
        <v>6</v>
      </c>
      <c r="J2710" s="15">
        <v>1</v>
      </c>
      <c r="K2710" s="15" t="str">
        <f t="shared" si="42"/>
        <v>northernmerlthorspectralcurrent</v>
      </c>
      <c r="L2710" s="15" t="s">
        <v>12294</v>
      </c>
      <c r="M2710" s="15">
        <v>1</v>
      </c>
      <c r="N2710" s="15" t="s">
        <v>11222</v>
      </c>
      <c r="O2710" s="15"/>
      <c r="P2710" s="15"/>
      <c r="Q2710" s="15"/>
      <c r="R2710" s="15"/>
      <c r="S2710" s="15"/>
      <c r="T2710" s="15">
        <v>0</v>
      </c>
      <c r="U2710" s="15"/>
      <c r="V2710" s="15"/>
      <c r="W2710" s="15"/>
      <c r="X2710" s="15"/>
      <c r="Y2710" s="15"/>
      <c r="Z2710" s="15"/>
    </row>
    <row r="2711" spans="1:26" x14ac:dyDescent="0.25">
      <c r="A2711" s="15" t="s">
        <v>16220</v>
      </c>
      <c r="B2711" s="15">
        <v>2710</v>
      </c>
      <c r="C2711" s="15" t="s">
        <v>11277</v>
      </c>
      <c r="D2711" s="15" t="s">
        <v>11277</v>
      </c>
      <c r="E2711" s="15" t="s">
        <v>73</v>
      </c>
      <c r="F2711" s="15" t="s">
        <v>16214</v>
      </c>
      <c r="G2711" s="15" t="s">
        <v>12400</v>
      </c>
      <c r="H2711" s="15">
        <v>6</v>
      </c>
      <c r="I2711" s="15">
        <v>6</v>
      </c>
      <c r="J2711" s="15">
        <v>1</v>
      </c>
      <c r="K2711" s="15" t="str">
        <f t="shared" si="42"/>
        <v>northernmerlthorspectralcurrent</v>
      </c>
      <c r="L2711" s="15" t="s">
        <v>12298</v>
      </c>
      <c r="M2711" s="15">
        <v>3</v>
      </c>
      <c r="N2711" s="15" t="s">
        <v>11223</v>
      </c>
      <c r="O2711" s="15"/>
      <c r="P2711" s="15"/>
      <c r="Q2711" s="15"/>
      <c r="R2711" s="15"/>
      <c r="S2711" s="15"/>
      <c r="T2711" s="15">
        <v>0</v>
      </c>
      <c r="U2711" s="15"/>
      <c r="V2711" s="15"/>
      <c r="W2711" s="15"/>
      <c r="X2711" s="15"/>
      <c r="Y2711" s="15"/>
      <c r="Z2711" s="15"/>
    </row>
    <row r="2712" spans="1:26" x14ac:dyDescent="0.25">
      <c r="A2712" s="15" t="s">
        <v>16221</v>
      </c>
      <c r="B2712" s="15">
        <v>2711</v>
      </c>
      <c r="C2712" s="15" t="s">
        <v>11277</v>
      </c>
      <c r="D2712" s="15" t="s">
        <v>11277</v>
      </c>
      <c r="E2712" s="15" t="s">
        <v>73</v>
      </c>
      <c r="F2712" s="15" t="s">
        <v>16214</v>
      </c>
      <c r="G2712" s="15" t="s">
        <v>12402</v>
      </c>
      <c r="H2712" s="15">
        <v>6</v>
      </c>
      <c r="I2712" s="15">
        <v>6</v>
      </c>
      <c r="J2712" s="15">
        <v>1</v>
      </c>
      <c r="K2712" s="15" t="str">
        <f t="shared" si="42"/>
        <v>northernmerlthorspectralcurrent</v>
      </c>
      <c r="L2712" s="15" t="s">
        <v>12294</v>
      </c>
      <c r="M2712" s="15">
        <v>1</v>
      </c>
      <c r="N2712" s="15" t="s">
        <v>11222</v>
      </c>
      <c r="O2712" s="15" t="s">
        <v>14052</v>
      </c>
      <c r="P2712" s="15"/>
      <c r="Q2712" s="15"/>
      <c r="R2712" s="15"/>
      <c r="S2712" s="15"/>
      <c r="T2712" s="15">
        <v>0</v>
      </c>
      <c r="U2712" s="15"/>
      <c r="V2712" s="15"/>
      <c r="W2712" s="15"/>
      <c r="X2712" s="15"/>
      <c r="Y2712" s="15"/>
      <c r="Z2712" s="15"/>
    </row>
    <row r="2713" spans="1:26" x14ac:dyDescent="0.25">
      <c r="A2713" s="15" t="s">
        <v>16222</v>
      </c>
      <c r="B2713" s="15">
        <v>2712</v>
      </c>
      <c r="C2713" s="15" t="s">
        <v>11277</v>
      </c>
      <c r="D2713" s="15" t="s">
        <v>11277</v>
      </c>
      <c r="E2713" s="15" t="s">
        <v>73</v>
      </c>
      <c r="F2713" s="15" t="s">
        <v>16214</v>
      </c>
      <c r="G2713" s="15" t="s">
        <v>12404</v>
      </c>
      <c r="H2713" s="15">
        <v>6</v>
      </c>
      <c r="I2713" s="15">
        <v>6</v>
      </c>
      <c r="J2713" s="15">
        <v>1</v>
      </c>
      <c r="K2713" s="15" t="str">
        <f t="shared" si="42"/>
        <v>northernmerlthorspectralcurrent</v>
      </c>
      <c r="L2713" s="15" t="s">
        <v>12296</v>
      </c>
      <c r="M2713" s="15">
        <v>2</v>
      </c>
      <c r="N2713" s="15" t="s">
        <v>11223</v>
      </c>
      <c r="O2713" s="15" t="s">
        <v>14052</v>
      </c>
      <c r="P2713" s="15"/>
      <c r="Q2713" s="15"/>
      <c r="R2713" s="15"/>
      <c r="S2713" s="15"/>
      <c r="T2713" s="15">
        <v>0</v>
      </c>
      <c r="U2713" s="15"/>
      <c r="V2713" s="15"/>
      <c r="W2713" s="15"/>
      <c r="X2713" s="15"/>
      <c r="Y2713" s="15"/>
      <c r="Z2713" s="15"/>
    </row>
    <row r="2714" spans="1:26" x14ac:dyDescent="0.25">
      <c r="A2714" s="15" t="s">
        <v>16223</v>
      </c>
      <c r="B2714" s="15">
        <v>2713</v>
      </c>
      <c r="C2714" s="15" t="s">
        <v>11277</v>
      </c>
      <c r="D2714" s="15" t="s">
        <v>11277</v>
      </c>
      <c r="E2714" s="15" t="s">
        <v>102</v>
      </c>
      <c r="F2714" s="15" t="s">
        <v>16214</v>
      </c>
      <c r="G2714" s="15" t="s">
        <v>12406</v>
      </c>
      <c r="H2714" s="15">
        <v>6</v>
      </c>
      <c r="I2714" s="15">
        <v>6</v>
      </c>
      <c r="J2714" s="15">
        <v>80</v>
      </c>
      <c r="K2714" s="15" t="str">
        <f t="shared" si="42"/>
        <v>northernmerlthorspectralcurrent</v>
      </c>
      <c r="L2714" s="15" t="s">
        <v>11330</v>
      </c>
      <c r="M2714" s="15">
        <v>3</v>
      </c>
      <c r="N2714" s="15" t="s">
        <v>11223</v>
      </c>
      <c r="O2714" s="15" t="s">
        <v>14023</v>
      </c>
      <c r="P2714" s="15"/>
      <c r="Q2714" s="15"/>
      <c r="R2714" s="15"/>
      <c r="S2714" s="15"/>
      <c r="T2714" s="15">
        <v>0</v>
      </c>
      <c r="U2714" s="15"/>
      <c r="V2714" s="15"/>
      <c r="W2714" s="15"/>
      <c r="X2714" s="15"/>
      <c r="Y2714" s="15"/>
      <c r="Z2714" s="15"/>
    </row>
    <row r="2715" spans="1:26" x14ac:dyDescent="0.25">
      <c r="A2715" s="15" t="s">
        <v>16224</v>
      </c>
      <c r="B2715" s="15">
        <v>2714</v>
      </c>
      <c r="C2715" s="15" t="s">
        <v>11277</v>
      </c>
      <c r="D2715" s="15" t="s">
        <v>11277</v>
      </c>
      <c r="E2715" s="15" t="s">
        <v>73</v>
      </c>
      <c r="F2715" s="15" t="s">
        <v>16225</v>
      </c>
      <c r="G2715" s="15" t="s">
        <v>12408</v>
      </c>
      <c r="H2715" s="15">
        <v>6</v>
      </c>
      <c r="I2715" s="15">
        <v>6</v>
      </c>
      <c r="J2715" s="15">
        <v>1</v>
      </c>
      <c r="K2715" s="15" t="str">
        <f t="shared" si="42"/>
        <v>openrhotanosea</v>
      </c>
      <c r="L2715" s="15" t="s">
        <v>12296</v>
      </c>
      <c r="M2715" s="15">
        <v>2</v>
      </c>
      <c r="N2715" s="15" t="s">
        <v>11223</v>
      </c>
      <c r="O2715" s="15"/>
      <c r="P2715" s="15"/>
      <c r="Q2715" s="15"/>
      <c r="R2715" s="15"/>
      <c r="S2715" s="15"/>
      <c r="T2715" s="15">
        <v>0</v>
      </c>
      <c r="U2715" s="15"/>
      <c r="V2715" s="15"/>
      <c r="W2715" s="15"/>
      <c r="X2715" s="15"/>
      <c r="Y2715" s="15"/>
      <c r="Z2715" s="15"/>
    </row>
    <row r="2716" spans="1:26" x14ac:dyDescent="0.25">
      <c r="A2716" s="15" t="s">
        <v>16226</v>
      </c>
      <c r="B2716" s="15">
        <v>2715</v>
      </c>
      <c r="C2716" s="15" t="s">
        <v>11277</v>
      </c>
      <c r="D2716" s="15" t="s">
        <v>11277</v>
      </c>
      <c r="E2716" s="15" t="s">
        <v>73</v>
      </c>
      <c r="F2716" s="15" t="s">
        <v>16225</v>
      </c>
      <c r="G2716" s="15" t="s">
        <v>12410</v>
      </c>
      <c r="H2716" s="15">
        <v>6</v>
      </c>
      <c r="I2716" s="15">
        <v>6</v>
      </c>
      <c r="J2716" s="15">
        <v>1</v>
      </c>
      <c r="K2716" s="15" t="str">
        <f t="shared" si="42"/>
        <v>openrhotanosea</v>
      </c>
      <c r="L2716" s="15" t="s">
        <v>12294</v>
      </c>
      <c r="M2716" s="15">
        <v>1</v>
      </c>
      <c r="N2716" s="15" t="s">
        <v>11222</v>
      </c>
      <c r="O2716" s="15"/>
      <c r="P2716" s="15"/>
      <c r="Q2716" s="15"/>
      <c r="R2716" s="15"/>
      <c r="S2716" s="15"/>
      <c r="T2716" s="15">
        <v>0</v>
      </c>
      <c r="U2716" s="15"/>
      <c r="V2716" s="15"/>
      <c r="W2716" s="15"/>
      <c r="X2716" s="15"/>
      <c r="Y2716" s="15"/>
      <c r="Z2716" s="15"/>
    </row>
    <row r="2717" spans="1:26" x14ac:dyDescent="0.25">
      <c r="A2717" s="15" t="s">
        <v>16227</v>
      </c>
      <c r="B2717" s="15">
        <v>2716</v>
      </c>
      <c r="C2717" s="15" t="s">
        <v>11277</v>
      </c>
      <c r="D2717" s="15" t="s">
        <v>11277</v>
      </c>
      <c r="E2717" s="15" t="s">
        <v>73</v>
      </c>
      <c r="F2717" s="15" t="s">
        <v>16225</v>
      </c>
      <c r="G2717" s="15" t="s">
        <v>12412</v>
      </c>
      <c r="H2717" s="15">
        <v>6</v>
      </c>
      <c r="I2717" s="15">
        <v>6</v>
      </c>
      <c r="J2717" s="15">
        <v>1</v>
      </c>
      <c r="K2717" s="15" t="str">
        <f t="shared" si="42"/>
        <v>openrhotanosea</v>
      </c>
      <c r="L2717" s="15" t="s">
        <v>12296</v>
      </c>
      <c r="M2717" s="15">
        <v>2</v>
      </c>
      <c r="N2717" s="15" t="s">
        <v>11223</v>
      </c>
      <c r="O2717" s="15"/>
      <c r="P2717" s="15"/>
      <c r="Q2717" s="15"/>
      <c r="R2717" s="15"/>
      <c r="S2717" s="15"/>
      <c r="T2717" s="15">
        <v>0</v>
      </c>
      <c r="U2717" s="15"/>
      <c r="V2717" s="15"/>
      <c r="W2717" s="15"/>
      <c r="X2717" s="15"/>
      <c r="Y2717" s="15"/>
      <c r="Z2717" s="15"/>
    </row>
    <row r="2718" spans="1:26" x14ac:dyDescent="0.25">
      <c r="A2718" s="15" t="s">
        <v>16228</v>
      </c>
      <c r="B2718" s="15">
        <v>2717</v>
      </c>
      <c r="C2718" s="15" t="s">
        <v>11277</v>
      </c>
      <c r="D2718" s="15" t="s">
        <v>11277</v>
      </c>
      <c r="E2718" s="15" t="s">
        <v>73</v>
      </c>
      <c r="F2718" s="15" t="s">
        <v>16225</v>
      </c>
      <c r="G2718" s="15" t="s">
        <v>12414</v>
      </c>
      <c r="H2718" s="15">
        <v>6</v>
      </c>
      <c r="I2718" s="15">
        <v>6</v>
      </c>
      <c r="J2718" s="15">
        <v>1</v>
      </c>
      <c r="K2718" s="15" t="str">
        <f t="shared" si="42"/>
        <v>openrhotanosea</v>
      </c>
      <c r="L2718" s="15" t="s">
        <v>12298</v>
      </c>
      <c r="M2718" s="15">
        <v>2</v>
      </c>
      <c r="N2718" s="15" t="s">
        <v>11223</v>
      </c>
      <c r="O2718" s="15"/>
      <c r="P2718" s="15"/>
      <c r="Q2718" s="15"/>
      <c r="R2718" s="15"/>
      <c r="S2718" s="15"/>
      <c r="T2718" s="15">
        <v>0</v>
      </c>
      <c r="U2718" s="15"/>
      <c r="V2718" s="15"/>
      <c r="W2718" s="15"/>
      <c r="X2718" s="15"/>
      <c r="Y2718" s="15"/>
      <c r="Z2718" s="15"/>
    </row>
    <row r="2719" spans="1:26" x14ac:dyDescent="0.25">
      <c r="A2719" s="15" t="s">
        <v>16229</v>
      </c>
      <c r="B2719" s="15">
        <v>2718</v>
      </c>
      <c r="C2719" s="15" t="s">
        <v>11277</v>
      </c>
      <c r="D2719" s="15" t="s">
        <v>11277</v>
      </c>
      <c r="E2719" s="15" t="s">
        <v>73</v>
      </c>
      <c r="F2719" s="15" t="s">
        <v>16225</v>
      </c>
      <c r="G2719" s="15" t="s">
        <v>12416</v>
      </c>
      <c r="H2719" s="15">
        <v>6</v>
      </c>
      <c r="I2719" s="15">
        <v>6</v>
      </c>
      <c r="J2719" s="15">
        <v>1</v>
      </c>
      <c r="K2719" s="15" t="str">
        <f t="shared" si="42"/>
        <v>openrhotanosea</v>
      </c>
      <c r="L2719" s="15" t="s">
        <v>12298</v>
      </c>
      <c r="M2719" s="15">
        <v>3</v>
      </c>
      <c r="N2719" s="15" t="s">
        <v>11223</v>
      </c>
      <c r="O2719" s="15"/>
      <c r="P2719" s="15"/>
      <c r="Q2719" s="15"/>
      <c r="R2719" s="15"/>
      <c r="S2719" s="15"/>
      <c r="T2719" s="15">
        <v>0</v>
      </c>
      <c r="U2719" s="15"/>
      <c r="V2719" s="15"/>
      <c r="W2719" s="15"/>
      <c r="X2719" s="15"/>
      <c r="Y2719" s="15"/>
      <c r="Z2719" s="15"/>
    </row>
    <row r="2720" spans="1:26" x14ac:dyDescent="0.25">
      <c r="A2720" s="15" t="s">
        <v>16230</v>
      </c>
      <c r="B2720" s="15">
        <v>2719</v>
      </c>
      <c r="C2720" s="15" t="s">
        <v>11277</v>
      </c>
      <c r="D2720" s="15" t="s">
        <v>11277</v>
      </c>
      <c r="E2720" s="15" t="s">
        <v>73</v>
      </c>
      <c r="F2720" s="15" t="s">
        <v>16225</v>
      </c>
      <c r="G2720" s="15" t="s">
        <v>12418</v>
      </c>
      <c r="H2720" s="15">
        <v>6</v>
      </c>
      <c r="I2720" s="15">
        <v>6</v>
      </c>
      <c r="J2720" s="15">
        <v>1</v>
      </c>
      <c r="K2720" s="15" t="str">
        <f t="shared" si="42"/>
        <v>openrhotanosea</v>
      </c>
      <c r="L2720" s="15" t="s">
        <v>12298</v>
      </c>
      <c r="M2720" s="15">
        <v>2</v>
      </c>
      <c r="N2720" s="15" t="s">
        <v>11223</v>
      </c>
      <c r="O2720" s="15"/>
      <c r="P2720" s="15"/>
      <c r="Q2720" s="15"/>
      <c r="R2720" s="15"/>
      <c r="S2720" s="15"/>
      <c r="T2720" s="15">
        <v>0</v>
      </c>
      <c r="U2720" s="15"/>
      <c r="V2720" s="15"/>
      <c r="W2720" s="15"/>
      <c r="X2720" s="15"/>
      <c r="Y2720" s="15"/>
      <c r="Z2720" s="15"/>
    </row>
    <row r="2721" spans="1:26" x14ac:dyDescent="0.25">
      <c r="A2721" s="15" t="s">
        <v>16231</v>
      </c>
      <c r="B2721" s="15">
        <v>2720</v>
      </c>
      <c r="C2721" s="15" t="s">
        <v>11277</v>
      </c>
      <c r="D2721" s="15" t="s">
        <v>11277</v>
      </c>
      <c r="E2721" s="15" t="s">
        <v>73</v>
      </c>
      <c r="F2721" s="15" t="s">
        <v>16225</v>
      </c>
      <c r="G2721" s="15" t="s">
        <v>12420</v>
      </c>
      <c r="H2721" s="15">
        <v>6</v>
      </c>
      <c r="I2721" s="15">
        <v>6</v>
      </c>
      <c r="J2721" s="15">
        <v>1</v>
      </c>
      <c r="K2721" s="15" t="str">
        <f t="shared" si="42"/>
        <v>openrhotanosea</v>
      </c>
      <c r="L2721" s="15" t="s">
        <v>12296</v>
      </c>
      <c r="M2721" s="15">
        <v>1</v>
      </c>
      <c r="N2721" s="15" t="s">
        <v>11222</v>
      </c>
      <c r="O2721" s="15"/>
      <c r="P2721" s="15"/>
      <c r="Q2721" s="15"/>
      <c r="R2721" s="15"/>
      <c r="S2721" s="15"/>
      <c r="T2721" s="15">
        <v>0</v>
      </c>
      <c r="U2721" s="15"/>
      <c r="V2721" s="15"/>
      <c r="W2721" s="15"/>
      <c r="X2721" s="15"/>
      <c r="Y2721" s="15"/>
      <c r="Z2721" s="15"/>
    </row>
    <row r="2722" spans="1:26" x14ac:dyDescent="0.25">
      <c r="A2722" s="15" t="s">
        <v>16232</v>
      </c>
      <c r="B2722" s="15">
        <v>2721</v>
      </c>
      <c r="C2722" s="15" t="s">
        <v>11277</v>
      </c>
      <c r="D2722" s="15" t="s">
        <v>11277</v>
      </c>
      <c r="E2722" s="15" t="s">
        <v>73</v>
      </c>
      <c r="F2722" s="15" t="s">
        <v>16225</v>
      </c>
      <c r="G2722" s="15" t="s">
        <v>12422</v>
      </c>
      <c r="H2722" s="15">
        <v>6</v>
      </c>
      <c r="I2722" s="15">
        <v>6</v>
      </c>
      <c r="J2722" s="15">
        <v>1</v>
      </c>
      <c r="K2722" s="15" t="str">
        <f t="shared" si="42"/>
        <v>openrhotanosea</v>
      </c>
      <c r="L2722" s="15" t="s">
        <v>12294</v>
      </c>
      <c r="M2722" s="15">
        <v>1</v>
      </c>
      <c r="N2722" s="15" t="s">
        <v>11222</v>
      </c>
      <c r="O2722" s="15"/>
      <c r="P2722" s="15"/>
      <c r="Q2722" s="15"/>
      <c r="R2722" s="15"/>
      <c r="S2722" s="15"/>
      <c r="T2722" s="15">
        <v>0</v>
      </c>
      <c r="U2722" s="15"/>
      <c r="V2722" s="15"/>
      <c r="W2722" s="15"/>
      <c r="X2722" s="15"/>
      <c r="Y2722" s="15"/>
      <c r="Z2722" s="15"/>
    </row>
    <row r="2723" spans="1:26" x14ac:dyDescent="0.25">
      <c r="A2723" s="15" t="s">
        <v>16233</v>
      </c>
      <c r="B2723" s="15">
        <v>2722</v>
      </c>
      <c r="C2723" s="15" t="s">
        <v>11277</v>
      </c>
      <c r="D2723" s="15" t="s">
        <v>11277</v>
      </c>
      <c r="E2723" s="15" t="s">
        <v>73</v>
      </c>
      <c r="F2723" s="15" t="s">
        <v>16225</v>
      </c>
      <c r="G2723" s="15" t="s">
        <v>12424</v>
      </c>
      <c r="H2723" s="15">
        <v>6</v>
      </c>
      <c r="I2723" s="15">
        <v>6</v>
      </c>
      <c r="J2723" s="15">
        <v>1</v>
      </c>
      <c r="K2723" s="15" t="str">
        <f t="shared" si="42"/>
        <v>openrhotanosea</v>
      </c>
      <c r="L2723" s="15" t="s">
        <v>12298</v>
      </c>
      <c r="M2723" s="15">
        <v>3</v>
      </c>
      <c r="N2723" s="15" t="s">
        <v>11223</v>
      </c>
      <c r="O2723" s="15"/>
      <c r="P2723" s="15"/>
      <c r="Q2723" s="15"/>
      <c r="R2723" s="15"/>
      <c r="S2723" s="15"/>
      <c r="T2723" s="15">
        <v>0</v>
      </c>
      <c r="U2723" s="15"/>
      <c r="V2723" s="15"/>
      <c r="W2723" s="15"/>
      <c r="X2723" s="15"/>
      <c r="Y2723" s="15"/>
      <c r="Z2723" s="15"/>
    </row>
    <row r="2724" spans="1:26" x14ac:dyDescent="0.25">
      <c r="A2724" s="15" t="s">
        <v>16234</v>
      </c>
      <c r="B2724" s="15">
        <v>2723</v>
      </c>
      <c r="C2724" s="15" t="s">
        <v>11277</v>
      </c>
      <c r="D2724" s="15" t="s">
        <v>11277</v>
      </c>
      <c r="E2724" s="15" t="s">
        <v>73</v>
      </c>
      <c r="F2724" s="15" t="s">
        <v>16225</v>
      </c>
      <c r="G2724" s="15" t="s">
        <v>12426</v>
      </c>
      <c r="H2724" s="15">
        <v>6</v>
      </c>
      <c r="I2724" s="15">
        <v>6</v>
      </c>
      <c r="J2724" s="15">
        <v>1</v>
      </c>
      <c r="K2724" s="15" t="str">
        <f t="shared" si="42"/>
        <v>openrhotanosea</v>
      </c>
      <c r="L2724" s="15" t="s">
        <v>12296</v>
      </c>
      <c r="M2724" s="15">
        <v>3</v>
      </c>
      <c r="N2724" s="15" t="s">
        <v>11222</v>
      </c>
      <c r="O2724" s="15"/>
      <c r="P2724" s="15"/>
      <c r="Q2724" s="15"/>
      <c r="R2724" s="15"/>
      <c r="S2724" s="15"/>
      <c r="T2724" s="15">
        <v>0</v>
      </c>
      <c r="U2724" s="15"/>
      <c r="V2724" s="15"/>
      <c r="W2724" s="15"/>
      <c r="X2724" s="15"/>
      <c r="Y2724" s="15"/>
      <c r="Z2724" s="15"/>
    </row>
    <row r="2725" spans="1:26" x14ac:dyDescent="0.25">
      <c r="A2725" s="15" t="s">
        <v>16235</v>
      </c>
      <c r="B2725" s="15">
        <v>2724</v>
      </c>
      <c r="C2725" s="15" t="s">
        <v>11277</v>
      </c>
      <c r="D2725" s="15" t="s">
        <v>11277</v>
      </c>
      <c r="E2725" s="15" t="s">
        <v>73</v>
      </c>
      <c r="F2725" s="15" t="s">
        <v>16236</v>
      </c>
      <c r="G2725" s="15" t="s">
        <v>12428</v>
      </c>
      <c r="H2725" s="15">
        <v>6</v>
      </c>
      <c r="I2725" s="15">
        <v>6</v>
      </c>
      <c r="J2725" s="15">
        <v>1</v>
      </c>
      <c r="K2725" s="15" t="str">
        <f t="shared" si="42"/>
        <v>rhotanospectralcurrent</v>
      </c>
      <c r="L2725" s="15" t="s">
        <v>12296</v>
      </c>
      <c r="M2725" s="15">
        <v>1</v>
      </c>
      <c r="N2725" s="15" t="s">
        <v>11222</v>
      </c>
      <c r="O2725" s="15"/>
      <c r="P2725" s="15"/>
      <c r="Q2725" s="15"/>
      <c r="R2725" s="15"/>
      <c r="S2725" s="15"/>
      <c r="T2725" s="15">
        <v>0</v>
      </c>
      <c r="U2725" s="15"/>
      <c r="V2725" s="15"/>
      <c r="W2725" s="15"/>
      <c r="X2725" s="15"/>
      <c r="Y2725" s="15"/>
      <c r="Z2725" s="15"/>
    </row>
    <row r="2726" spans="1:26" x14ac:dyDescent="0.25">
      <c r="A2726" s="15" t="s">
        <v>16237</v>
      </c>
      <c r="B2726" s="15">
        <v>2725</v>
      </c>
      <c r="C2726" s="15" t="s">
        <v>11277</v>
      </c>
      <c r="D2726" s="15" t="s">
        <v>11277</v>
      </c>
      <c r="E2726" s="15" t="s">
        <v>73</v>
      </c>
      <c r="F2726" s="15" t="s">
        <v>16236</v>
      </c>
      <c r="G2726" s="15" t="s">
        <v>12430</v>
      </c>
      <c r="H2726" s="15">
        <v>6</v>
      </c>
      <c r="I2726" s="15">
        <v>6</v>
      </c>
      <c r="J2726" s="15">
        <v>1</v>
      </c>
      <c r="K2726" s="15" t="str">
        <f t="shared" si="42"/>
        <v>rhotanospectralcurrent</v>
      </c>
      <c r="L2726" s="15" t="s">
        <v>12298</v>
      </c>
      <c r="M2726" s="15">
        <v>2</v>
      </c>
      <c r="N2726" s="15" t="s">
        <v>11223</v>
      </c>
      <c r="O2726" s="15" t="s">
        <v>14023</v>
      </c>
      <c r="P2726" s="15"/>
      <c r="Q2726" s="15"/>
      <c r="R2726" s="15"/>
      <c r="S2726" s="15"/>
      <c r="T2726" s="15">
        <v>0</v>
      </c>
      <c r="U2726" s="15"/>
      <c r="V2726" s="15"/>
      <c r="W2726" s="15"/>
      <c r="X2726" s="15"/>
      <c r="Y2726" s="15"/>
      <c r="Z2726" s="15"/>
    </row>
    <row r="2727" spans="1:26" x14ac:dyDescent="0.25">
      <c r="A2727" s="15" t="s">
        <v>16238</v>
      </c>
      <c r="B2727" s="15">
        <v>2726</v>
      </c>
      <c r="C2727" s="15" t="s">
        <v>11277</v>
      </c>
      <c r="D2727" s="15" t="s">
        <v>11277</v>
      </c>
      <c r="E2727" s="15" t="s">
        <v>73</v>
      </c>
      <c r="F2727" s="15" t="s">
        <v>16236</v>
      </c>
      <c r="G2727" s="15" t="s">
        <v>12432</v>
      </c>
      <c r="H2727" s="15">
        <v>6</v>
      </c>
      <c r="I2727" s="15">
        <v>6</v>
      </c>
      <c r="J2727" s="15">
        <v>1</v>
      </c>
      <c r="K2727" s="15" t="str">
        <f t="shared" si="42"/>
        <v>rhotanospectralcurrent</v>
      </c>
      <c r="L2727" s="15" t="s">
        <v>12294</v>
      </c>
      <c r="M2727" s="15">
        <v>1</v>
      </c>
      <c r="N2727" s="15" t="s">
        <v>11222</v>
      </c>
      <c r="O2727" s="15"/>
      <c r="P2727" s="15"/>
      <c r="Q2727" s="15"/>
      <c r="R2727" s="15"/>
      <c r="S2727" s="15"/>
      <c r="T2727" s="15">
        <v>0</v>
      </c>
      <c r="U2727" s="15"/>
      <c r="V2727" s="15"/>
      <c r="W2727" s="15"/>
      <c r="X2727" s="15"/>
      <c r="Y2727" s="15"/>
      <c r="Z2727" s="15"/>
    </row>
    <row r="2728" spans="1:26" x14ac:dyDescent="0.25">
      <c r="A2728" s="15" t="s">
        <v>16239</v>
      </c>
      <c r="B2728" s="15">
        <v>2727</v>
      </c>
      <c r="C2728" s="15" t="s">
        <v>11277</v>
      </c>
      <c r="D2728" s="15" t="s">
        <v>11277</v>
      </c>
      <c r="E2728" s="15" t="s">
        <v>73</v>
      </c>
      <c r="F2728" s="15" t="s">
        <v>16236</v>
      </c>
      <c r="G2728" s="15" t="s">
        <v>12434</v>
      </c>
      <c r="H2728" s="15">
        <v>6</v>
      </c>
      <c r="I2728" s="15">
        <v>6</v>
      </c>
      <c r="J2728" s="15">
        <v>1</v>
      </c>
      <c r="K2728" s="15" t="str">
        <f t="shared" si="42"/>
        <v>rhotanospectralcurrent</v>
      </c>
      <c r="L2728" s="15" t="s">
        <v>12298</v>
      </c>
      <c r="M2728" s="15">
        <v>2</v>
      </c>
      <c r="N2728" s="15" t="s">
        <v>11223</v>
      </c>
      <c r="O2728" s="15"/>
      <c r="P2728" s="15"/>
      <c r="Q2728" s="15"/>
      <c r="R2728" s="15"/>
      <c r="S2728" s="15"/>
      <c r="T2728" s="15">
        <v>0</v>
      </c>
      <c r="U2728" s="15"/>
      <c r="V2728" s="15"/>
      <c r="W2728" s="15"/>
      <c r="X2728" s="15"/>
      <c r="Y2728" s="15"/>
      <c r="Z2728" s="15"/>
    </row>
    <row r="2729" spans="1:26" x14ac:dyDescent="0.25">
      <c r="A2729" s="15" t="s">
        <v>16240</v>
      </c>
      <c r="B2729" s="15">
        <v>2728</v>
      </c>
      <c r="C2729" s="15" t="s">
        <v>11277</v>
      </c>
      <c r="D2729" s="15" t="s">
        <v>11277</v>
      </c>
      <c r="E2729" s="15" t="s">
        <v>73</v>
      </c>
      <c r="F2729" s="15" t="s">
        <v>16236</v>
      </c>
      <c r="G2729" s="15" t="s">
        <v>12436</v>
      </c>
      <c r="H2729" s="15">
        <v>6</v>
      </c>
      <c r="I2729" s="15">
        <v>6</v>
      </c>
      <c r="J2729" s="15">
        <v>1</v>
      </c>
      <c r="K2729" s="15" t="str">
        <f t="shared" si="42"/>
        <v>rhotanospectralcurrent</v>
      </c>
      <c r="L2729" s="15" t="s">
        <v>12298</v>
      </c>
      <c r="M2729" s="15">
        <v>3</v>
      </c>
      <c r="N2729" s="15" t="s">
        <v>11223</v>
      </c>
      <c r="O2729" s="15" t="s">
        <v>14023</v>
      </c>
      <c r="P2729" s="15"/>
      <c r="Q2729" s="15"/>
      <c r="R2729" s="15"/>
      <c r="S2729" s="15"/>
      <c r="T2729" s="15">
        <v>0</v>
      </c>
      <c r="U2729" s="15"/>
      <c r="V2729" s="15"/>
      <c r="W2729" s="15"/>
      <c r="X2729" s="15"/>
      <c r="Y2729" s="15"/>
      <c r="Z2729" s="15"/>
    </row>
    <row r="2730" spans="1:26" x14ac:dyDescent="0.25">
      <c r="A2730" s="15" t="s">
        <v>16241</v>
      </c>
      <c r="B2730" s="15">
        <v>2729</v>
      </c>
      <c r="C2730" s="15" t="s">
        <v>11277</v>
      </c>
      <c r="D2730" s="15" t="s">
        <v>11277</v>
      </c>
      <c r="E2730" s="15" t="s">
        <v>73</v>
      </c>
      <c r="F2730" s="15" t="s">
        <v>16236</v>
      </c>
      <c r="G2730" s="15" t="s">
        <v>12438</v>
      </c>
      <c r="H2730" s="15">
        <v>6</v>
      </c>
      <c r="I2730" s="15">
        <v>6</v>
      </c>
      <c r="J2730" s="15">
        <v>1</v>
      </c>
      <c r="K2730" s="15" t="str">
        <f t="shared" si="42"/>
        <v>rhotanospectralcurrent</v>
      </c>
      <c r="L2730" s="15" t="s">
        <v>12296</v>
      </c>
      <c r="M2730" s="15">
        <v>1</v>
      </c>
      <c r="N2730" s="15" t="s">
        <v>11222</v>
      </c>
      <c r="O2730" s="15" t="s">
        <v>14077</v>
      </c>
      <c r="P2730" s="15"/>
      <c r="Q2730" s="15"/>
      <c r="R2730" s="15"/>
      <c r="S2730" s="15"/>
      <c r="T2730" s="15">
        <v>0</v>
      </c>
      <c r="U2730" s="15"/>
      <c r="V2730" s="15"/>
      <c r="W2730" s="15"/>
      <c r="X2730" s="15"/>
      <c r="Y2730" s="15"/>
      <c r="Z2730" s="15"/>
    </row>
    <row r="2731" spans="1:26" x14ac:dyDescent="0.25">
      <c r="A2731" s="15" t="s">
        <v>16242</v>
      </c>
      <c r="B2731" s="15">
        <v>2730</v>
      </c>
      <c r="C2731" s="15" t="s">
        <v>11277</v>
      </c>
      <c r="D2731" s="15" t="s">
        <v>11277</v>
      </c>
      <c r="E2731" s="15" t="s">
        <v>73</v>
      </c>
      <c r="F2731" s="15" t="s">
        <v>16236</v>
      </c>
      <c r="G2731" s="15" t="s">
        <v>12440</v>
      </c>
      <c r="H2731" s="15">
        <v>6</v>
      </c>
      <c r="I2731" s="15">
        <v>6</v>
      </c>
      <c r="J2731" s="15">
        <v>1</v>
      </c>
      <c r="K2731" s="15" t="str">
        <f t="shared" si="42"/>
        <v>rhotanospectralcurrent</v>
      </c>
      <c r="L2731" s="15" t="s">
        <v>12296</v>
      </c>
      <c r="M2731" s="15">
        <v>2</v>
      </c>
      <c r="N2731" s="15" t="s">
        <v>11223</v>
      </c>
      <c r="O2731" s="15"/>
      <c r="P2731" s="15"/>
      <c r="Q2731" s="15"/>
      <c r="R2731" s="15"/>
      <c r="S2731" s="15"/>
      <c r="T2731" s="15">
        <v>0</v>
      </c>
      <c r="U2731" s="15"/>
      <c r="V2731" s="15"/>
      <c r="W2731" s="15"/>
      <c r="X2731" s="15"/>
      <c r="Y2731" s="15"/>
      <c r="Z2731" s="15"/>
    </row>
    <row r="2732" spans="1:26" x14ac:dyDescent="0.25">
      <c r="A2732" s="15" t="s">
        <v>16243</v>
      </c>
      <c r="B2732" s="15">
        <v>2731</v>
      </c>
      <c r="C2732" s="15" t="s">
        <v>11277</v>
      </c>
      <c r="D2732" s="15" t="s">
        <v>11277</v>
      </c>
      <c r="E2732" s="15" t="s">
        <v>73</v>
      </c>
      <c r="F2732" s="15" t="s">
        <v>16236</v>
      </c>
      <c r="G2732" s="15" t="s">
        <v>12442</v>
      </c>
      <c r="H2732" s="15">
        <v>6</v>
      </c>
      <c r="I2732" s="15">
        <v>6</v>
      </c>
      <c r="J2732" s="15">
        <v>1</v>
      </c>
      <c r="K2732" s="15" t="str">
        <f t="shared" si="42"/>
        <v>rhotanospectralcurrent</v>
      </c>
      <c r="L2732" s="15" t="s">
        <v>12296</v>
      </c>
      <c r="M2732" s="15">
        <v>2</v>
      </c>
      <c r="N2732" s="15" t="s">
        <v>11223</v>
      </c>
      <c r="O2732" s="15"/>
      <c r="P2732" s="15"/>
      <c r="Q2732" s="15"/>
      <c r="R2732" s="15"/>
      <c r="S2732" s="15"/>
      <c r="T2732" s="15">
        <v>0</v>
      </c>
      <c r="U2732" s="15"/>
      <c r="V2732" s="15"/>
      <c r="W2732" s="15"/>
      <c r="X2732" s="15"/>
      <c r="Y2732" s="15"/>
      <c r="Z2732" s="15"/>
    </row>
    <row r="2733" spans="1:26" x14ac:dyDescent="0.25">
      <c r="A2733" s="15" t="s">
        <v>16244</v>
      </c>
      <c r="B2733" s="15">
        <v>2732</v>
      </c>
      <c r="C2733" s="15" t="s">
        <v>11277</v>
      </c>
      <c r="D2733" s="15" t="s">
        <v>11277</v>
      </c>
      <c r="E2733" s="15" t="s">
        <v>73</v>
      </c>
      <c r="F2733" s="15" t="s">
        <v>16236</v>
      </c>
      <c r="G2733" s="15" t="s">
        <v>12444</v>
      </c>
      <c r="H2733" s="15">
        <v>6</v>
      </c>
      <c r="I2733" s="15">
        <v>6</v>
      </c>
      <c r="J2733" s="15">
        <v>1</v>
      </c>
      <c r="K2733" s="15" t="str">
        <f t="shared" si="42"/>
        <v>rhotanospectralcurrent</v>
      </c>
      <c r="L2733" s="15" t="s">
        <v>12294</v>
      </c>
      <c r="M2733" s="15">
        <v>1</v>
      </c>
      <c r="N2733" s="15" t="s">
        <v>11222</v>
      </c>
      <c r="O2733" s="15" t="s">
        <v>14077</v>
      </c>
      <c r="P2733" s="15"/>
      <c r="Q2733" s="15"/>
      <c r="R2733" s="15"/>
      <c r="S2733" s="15"/>
      <c r="T2733" s="15">
        <v>0</v>
      </c>
      <c r="U2733" s="15"/>
      <c r="V2733" s="15"/>
      <c r="W2733" s="15"/>
      <c r="X2733" s="15"/>
      <c r="Y2733" s="15"/>
      <c r="Z2733" s="15"/>
    </row>
    <row r="2734" spans="1:26" x14ac:dyDescent="0.25">
      <c r="A2734" s="15" t="s">
        <v>16245</v>
      </c>
      <c r="B2734" s="15">
        <v>2733</v>
      </c>
      <c r="C2734" s="15" t="s">
        <v>11277</v>
      </c>
      <c r="D2734" s="15" t="s">
        <v>11277</v>
      </c>
      <c r="E2734" s="15" t="s">
        <v>102</v>
      </c>
      <c r="F2734" s="15" t="s">
        <v>16236</v>
      </c>
      <c r="G2734" s="15" t="s">
        <v>12446</v>
      </c>
      <c r="H2734" s="15">
        <v>6</v>
      </c>
      <c r="I2734" s="15">
        <v>6</v>
      </c>
      <c r="J2734" s="15">
        <v>80</v>
      </c>
      <c r="K2734" s="15" t="str">
        <f t="shared" si="42"/>
        <v>rhotanospectralcurrent</v>
      </c>
      <c r="L2734" s="15" t="s">
        <v>11245</v>
      </c>
      <c r="M2734" s="15">
        <v>3</v>
      </c>
      <c r="N2734" s="15" t="s">
        <v>11223</v>
      </c>
      <c r="O2734" s="15" t="s">
        <v>14052</v>
      </c>
      <c r="P2734" s="15"/>
      <c r="Q2734" s="15"/>
      <c r="R2734" s="15"/>
      <c r="S2734" s="15"/>
      <c r="T2734" s="15">
        <v>0</v>
      </c>
      <c r="U2734" s="15"/>
      <c r="V2734" s="15"/>
      <c r="W2734" s="15"/>
      <c r="X2734" s="15"/>
      <c r="Y2734" s="15"/>
      <c r="Z2734" s="15"/>
    </row>
    <row r="2735" spans="1:26" x14ac:dyDescent="0.25">
      <c r="A2735" s="15" t="s">
        <v>16246</v>
      </c>
      <c r="B2735" s="15">
        <v>2734</v>
      </c>
      <c r="C2735" s="15" t="s">
        <v>11277</v>
      </c>
      <c r="D2735" s="15" t="s">
        <v>11277</v>
      </c>
      <c r="E2735" s="15" t="s">
        <v>73</v>
      </c>
      <c r="F2735" s="15" t="s">
        <v>16247</v>
      </c>
      <c r="G2735" s="15" t="s">
        <v>12448</v>
      </c>
      <c r="H2735" s="15">
        <v>6</v>
      </c>
      <c r="I2735" s="15">
        <v>6</v>
      </c>
      <c r="J2735" s="15">
        <v>1</v>
      </c>
      <c r="K2735" s="15" t="str">
        <f t="shared" si="42"/>
        <v>cieldalaesmargin</v>
      </c>
      <c r="L2735" s="15" t="s">
        <v>12296</v>
      </c>
      <c r="M2735" s="15">
        <v>2</v>
      </c>
      <c r="N2735" s="15" t="s">
        <v>11223</v>
      </c>
      <c r="O2735" s="15"/>
      <c r="P2735" s="15"/>
      <c r="Q2735" s="15"/>
      <c r="R2735" s="15"/>
      <c r="S2735" s="15"/>
      <c r="T2735" s="15">
        <v>0</v>
      </c>
      <c r="U2735" s="15"/>
      <c r="V2735" s="15"/>
      <c r="W2735" s="15"/>
      <c r="X2735" s="15"/>
      <c r="Y2735" s="15"/>
      <c r="Z2735" s="15"/>
    </row>
    <row r="2736" spans="1:26" x14ac:dyDescent="0.25">
      <c r="A2736" s="15" t="s">
        <v>16248</v>
      </c>
      <c r="B2736" s="15">
        <v>2735</v>
      </c>
      <c r="C2736" s="15" t="s">
        <v>11277</v>
      </c>
      <c r="D2736" s="15" t="s">
        <v>11277</v>
      </c>
      <c r="E2736" s="15" t="s">
        <v>73</v>
      </c>
      <c r="F2736" s="15" t="s">
        <v>16247</v>
      </c>
      <c r="G2736" s="15" t="s">
        <v>12450</v>
      </c>
      <c r="H2736" s="15">
        <v>6</v>
      </c>
      <c r="I2736" s="15">
        <v>6</v>
      </c>
      <c r="J2736" s="15">
        <v>1</v>
      </c>
      <c r="K2736" s="15" t="str">
        <f t="shared" si="42"/>
        <v>cieldalaesmargin</v>
      </c>
      <c r="L2736" s="15" t="s">
        <v>12294</v>
      </c>
      <c r="M2736" s="15">
        <v>1</v>
      </c>
      <c r="N2736" s="15" t="s">
        <v>11222</v>
      </c>
      <c r="O2736" s="15"/>
      <c r="P2736" s="15"/>
      <c r="Q2736" s="15"/>
      <c r="R2736" s="15"/>
      <c r="S2736" s="15"/>
      <c r="T2736" s="15">
        <v>0</v>
      </c>
      <c r="U2736" s="15"/>
      <c r="V2736" s="15"/>
      <c r="W2736" s="15"/>
      <c r="X2736" s="15"/>
      <c r="Y2736" s="15"/>
      <c r="Z2736" s="15"/>
    </row>
    <row r="2737" spans="1:26" x14ac:dyDescent="0.25">
      <c r="A2737" s="15" t="s">
        <v>16249</v>
      </c>
      <c r="B2737" s="15">
        <v>2736</v>
      </c>
      <c r="C2737" s="15" t="s">
        <v>11277</v>
      </c>
      <c r="D2737" s="15" t="s">
        <v>11277</v>
      </c>
      <c r="E2737" s="15" t="s">
        <v>73</v>
      </c>
      <c r="F2737" s="15" t="s">
        <v>16247</v>
      </c>
      <c r="G2737" s="15" t="s">
        <v>12452</v>
      </c>
      <c r="H2737" s="15">
        <v>6</v>
      </c>
      <c r="I2737" s="15">
        <v>6</v>
      </c>
      <c r="J2737" s="15">
        <v>1</v>
      </c>
      <c r="K2737" s="15" t="str">
        <f t="shared" si="42"/>
        <v>cieldalaesmargin</v>
      </c>
      <c r="L2737" s="15" t="s">
        <v>12294</v>
      </c>
      <c r="M2737" s="15">
        <v>1</v>
      </c>
      <c r="N2737" s="15" t="s">
        <v>11222</v>
      </c>
      <c r="O2737" s="15"/>
      <c r="P2737" s="15"/>
      <c r="Q2737" s="15"/>
      <c r="R2737" s="15"/>
      <c r="S2737" s="15"/>
      <c r="T2737" s="15">
        <v>0</v>
      </c>
      <c r="U2737" s="15"/>
      <c r="V2737" s="15"/>
      <c r="W2737" s="15"/>
      <c r="X2737" s="15"/>
      <c r="Y2737" s="15"/>
      <c r="Z2737" s="15"/>
    </row>
    <row r="2738" spans="1:26" x14ac:dyDescent="0.25">
      <c r="A2738" s="15" t="s">
        <v>16250</v>
      </c>
      <c r="B2738" s="15">
        <v>2737</v>
      </c>
      <c r="C2738" s="15" t="s">
        <v>11277</v>
      </c>
      <c r="D2738" s="15" t="s">
        <v>11277</v>
      </c>
      <c r="E2738" s="15" t="s">
        <v>73</v>
      </c>
      <c r="F2738" s="15" t="s">
        <v>16247</v>
      </c>
      <c r="G2738" s="15" t="s">
        <v>12454</v>
      </c>
      <c r="H2738" s="15">
        <v>6</v>
      </c>
      <c r="I2738" s="15">
        <v>6</v>
      </c>
      <c r="J2738" s="15">
        <v>1</v>
      </c>
      <c r="K2738" s="15" t="str">
        <f t="shared" si="42"/>
        <v>cieldalaesmargin</v>
      </c>
      <c r="L2738" s="15" t="s">
        <v>12298</v>
      </c>
      <c r="M2738" s="15">
        <v>2</v>
      </c>
      <c r="N2738" s="15" t="s">
        <v>11223</v>
      </c>
      <c r="O2738" s="15"/>
      <c r="P2738" s="15"/>
      <c r="Q2738" s="15"/>
      <c r="R2738" s="15"/>
      <c r="S2738" s="15"/>
      <c r="T2738" s="15">
        <v>0</v>
      </c>
      <c r="U2738" s="15"/>
      <c r="V2738" s="15"/>
      <c r="W2738" s="15"/>
      <c r="X2738" s="15"/>
      <c r="Y2738" s="15"/>
      <c r="Z2738" s="15"/>
    </row>
    <row r="2739" spans="1:26" x14ac:dyDescent="0.25">
      <c r="A2739" s="15" t="s">
        <v>16251</v>
      </c>
      <c r="B2739" s="15">
        <v>2738</v>
      </c>
      <c r="C2739" s="15" t="s">
        <v>11277</v>
      </c>
      <c r="D2739" s="15" t="s">
        <v>11277</v>
      </c>
      <c r="E2739" s="15" t="s">
        <v>73</v>
      </c>
      <c r="F2739" s="15" t="s">
        <v>16247</v>
      </c>
      <c r="G2739" s="15" t="s">
        <v>12456</v>
      </c>
      <c r="H2739" s="15">
        <v>6</v>
      </c>
      <c r="I2739" s="15">
        <v>6</v>
      </c>
      <c r="J2739" s="15">
        <v>1</v>
      </c>
      <c r="K2739" s="15" t="str">
        <f t="shared" si="42"/>
        <v>cieldalaesmargin</v>
      </c>
      <c r="L2739" s="15" t="s">
        <v>12296</v>
      </c>
      <c r="M2739" s="15">
        <v>1</v>
      </c>
      <c r="N2739" s="15" t="s">
        <v>11222</v>
      </c>
      <c r="O2739" s="15"/>
      <c r="P2739" s="15"/>
      <c r="Q2739" s="15"/>
      <c r="R2739" s="15"/>
      <c r="S2739" s="15"/>
      <c r="T2739" s="15">
        <v>0</v>
      </c>
      <c r="U2739" s="15"/>
      <c r="V2739" s="15"/>
      <c r="W2739" s="15"/>
      <c r="X2739" s="15"/>
      <c r="Y2739" s="15"/>
      <c r="Z2739" s="15"/>
    </row>
    <row r="2740" spans="1:26" x14ac:dyDescent="0.25">
      <c r="A2740" s="15" t="s">
        <v>16252</v>
      </c>
      <c r="B2740" s="15">
        <v>2739</v>
      </c>
      <c r="C2740" s="15" t="s">
        <v>11277</v>
      </c>
      <c r="D2740" s="15" t="s">
        <v>11277</v>
      </c>
      <c r="E2740" s="15" t="s">
        <v>73</v>
      </c>
      <c r="F2740" s="15" t="s">
        <v>16247</v>
      </c>
      <c r="G2740" s="15" t="s">
        <v>12458</v>
      </c>
      <c r="H2740" s="15">
        <v>6</v>
      </c>
      <c r="I2740" s="15">
        <v>6</v>
      </c>
      <c r="J2740" s="15">
        <v>1</v>
      </c>
      <c r="K2740" s="15" t="str">
        <f t="shared" si="42"/>
        <v>cieldalaesmargin</v>
      </c>
      <c r="L2740" s="15" t="s">
        <v>12298</v>
      </c>
      <c r="M2740" s="15">
        <v>3</v>
      </c>
      <c r="N2740" s="15" t="s">
        <v>11223</v>
      </c>
      <c r="O2740" s="15"/>
      <c r="P2740" s="15"/>
      <c r="Q2740" s="15"/>
      <c r="R2740" s="15"/>
      <c r="S2740" s="15"/>
      <c r="T2740" s="15">
        <v>0</v>
      </c>
      <c r="U2740" s="15"/>
      <c r="V2740" s="15"/>
      <c r="W2740" s="15"/>
      <c r="X2740" s="15"/>
      <c r="Y2740" s="15"/>
      <c r="Z2740" s="15"/>
    </row>
    <row r="2741" spans="1:26" x14ac:dyDescent="0.25">
      <c r="A2741" s="15" t="s">
        <v>16253</v>
      </c>
      <c r="B2741" s="15">
        <v>2740</v>
      </c>
      <c r="C2741" s="15" t="s">
        <v>11277</v>
      </c>
      <c r="D2741" s="15" t="s">
        <v>11277</v>
      </c>
      <c r="E2741" s="15" t="s">
        <v>73</v>
      </c>
      <c r="F2741" s="15" t="s">
        <v>16247</v>
      </c>
      <c r="G2741" s="15" t="s">
        <v>12460</v>
      </c>
      <c r="H2741" s="15">
        <v>6</v>
      </c>
      <c r="I2741" s="15">
        <v>6</v>
      </c>
      <c r="J2741" s="15">
        <v>1</v>
      </c>
      <c r="K2741" s="15" t="str">
        <f t="shared" si="42"/>
        <v>cieldalaesmargin</v>
      </c>
      <c r="L2741" s="15" t="s">
        <v>12298</v>
      </c>
      <c r="M2741" s="15">
        <v>3</v>
      </c>
      <c r="N2741" s="15" t="s">
        <v>11223</v>
      </c>
      <c r="O2741" s="15"/>
      <c r="P2741" s="15"/>
      <c r="Q2741" s="15"/>
      <c r="R2741" s="15"/>
      <c r="S2741" s="15"/>
      <c r="T2741" s="15">
        <v>0</v>
      </c>
      <c r="U2741" s="15"/>
      <c r="V2741" s="15"/>
      <c r="W2741" s="15"/>
      <c r="X2741" s="15"/>
      <c r="Y2741" s="15"/>
      <c r="Z2741" s="15"/>
    </row>
    <row r="2742" spans="1:26" x14ac:dyDescent="0.25">
      <c r="A2742" s="15" t="s">
        <v>16254</v>
      </c>
      <c r="B2742" s="15">
        <v>2741</v>
      </c>
      <c r="C2742" s="15" t="s">
        <v>11277</v>
      </c>
      <c r="D2742" s="15" t="s">
        <v>11277</v>
      </c>
      <c r="E2742" s="15" t="s">
        <v>73</v>
      </c>
      <c r="F2742" s="15" t="s">
        <v>16247</v>
      </c>
      <c r="G2742" s="15" t="s">
        <v>12462</v>
      </c>
      <c r="H2742" s="15">
        <v>6</v>
      </c>
      <c r="I2742" s="15">
        <v>6</v>
      </c>
      <c r="J2742" s="15">
        <v>1</v>
      </c>
      <c r="K2742" s="15" t="str">
        <f t="shared" si="42"/>
        <v>cieldalaesmargin</v>
      </c>
      <c r="L2742" s="15" t="s">
        <v>12296</v>
      </c>
      <c r="M2742" s="15">
        <v>1</v>
      </c>
      <c r="N2742" s="15" t="s">
        <v>11222</v>
      </c>
      <c r="O2742" s="15"/>
      <c r="P2742" s="15"/>
      <c r="Q2742" s="15"/>
      <c r="R2742" s="15"/>
      <c r="S2742" s="15"/>
      <c r="T2742" s="15">
        <v>0</v>
      </c>
      <c r="U2742" s="15"/>
      <c r="V2742" s="15"/>
      <c r="W2742" s="15"/>
      <c r="X2742" s="15"/>
      <c r="Y2742" s="15"/>
      <c r="Z2742" s="15"/>
    </row>
    <row r="2743" spans="1:26" x14ac:dyDescent="0.25">
      <c r="A2743" s="15" t="s">
        <v>16255</v>
      </c>
      <c r="B2743" s="15">
        <v>2742</v>
      </c>
      <c r="C2743" s="15" t="s">
        <v>11277</v>
      </c>
      <c r="D2743" s="15" t="s">
        <v>11277</v>
      </c>
      <c r="E2743" s="15" t="s">
        <v>73</v>
      </c>
      <c r="F2743" s="15" t="s">
        <v>16247</v>
      </c>
      <c r="G2743" s="15" t="s">
        <v>12464</v>
      </c>
      <c r="H2743" s="15">
        <v>6</v>
      </c>
      <c r="I2743" s="15">
        <v>6</v>
      </c>
      <c r="J2743" s="15">
        <v>1</v>
      </c>
      <c r="K2743" s="15" t="str">
        <f t="shared" si="42"/>
        <v>cieldalaesmargin</v>
      </c>
      <c r="L2743" s="15" t="s">
        <v>12294</v>
      </c>
      <c r="M2743" s="15">
        <v>3</v>
      </c>
      <c r="N2743" s="15" t="s">
        <v>11222</v>
      </c>
      <c r="O2743" s="15"/>
      <c r="P2743" s="15"/>
      <c r="Q2743" s="15"/>
      <c r="R2743" s="15"/>
      <c r="S2743" s="15"/>
      <c r="T2743" s="15">
        <v>0</v>
      </c>
      <c r="U2743" s="15"/>
      <c r="V2743" s="15"/>
      <c r="W2743" s="15"/>
      <c r="X2743" s="15"/>
      <c r="Y2743" s="15"/>
      <c r="Z2743" s="15"/>
    </row>
    <row r="2744" spans="1:26" x14ac:dyDescent="0.25">
      <c r="A2744" s="15" t="s">
        <v>16256</v>
      </c>
      <c r="B2744" s="15">
        <v>2743</v>
      </c>
      <c r="C2744" s="15" t="s">
        <v>11277</v>
      </c>
      <c r="D2744" s="15" t="s">
        <v>11277</v>
      </c>
      <c r="E2744" s="15" t="s">
        <v>73</v>
      </c>
      <c r="F2744" s="15" t="s">
        <v>16247</v>
      </c>
      <c r="G2744" s="15" t="s">
        <v>12466</v>
      </c>
      <c r="H2744" s="15">
        <v>6</v>
      </c>
      <c r="I2744" s="15">
        <v>6</v>
      </c>
      <c r="J2744" s="15">
        <v>1</v>
      </c>
      <c r="K2744" s="15" t="str">
        <f t="shared" si="42"/>
        <v>cieldalaesmargin</v>
      </c>
      <c r="L2744" s="15" t="s">
        <v>12296</v>
      </c>
      <c r="M2744" s="15">
        <v>3</v>
      </c>
      <c r="N2744" s="15" t="s">
        <v>11223</v>
      </c>
      <c r="O2744" s="15"/>
      <c r="P2744" s="15"/>
      <c r="Q2744" s="15"/>
      <c r="R2744" s="15"/>
      <c r="S2744" s="15"/>
      <c r="T2744" s="15">
        <v>0</v>
      </c>
      <c r="U2744" s="15"/>
      <c r="V2744" s="15"/>
      <c r="W2744" s="15"/>
      <c r="X2744" s="15"/>
      <c r="Y2744" s="15"/>
      <c r="Z2744" s="15"/>
    </row>
    <row r="2745" spans="1:26" x14ac:dyDescent="0.25">
      <c r="A2745" s="15" t="s">
        <v>16257</v>
      </c>
      <c r="B2745" s="15">
        <v>2744</v>
      </c>
      <c r="C2745" s="15" t="s">
        <v>11277</v>
      </c>
      <c r="D2745" s="15" t="s">
        <v>11277</v>
      </c>
      <c r="E2745" s="15" t="s">
        <v>73</v>
      </c>
      <c r="F2745" s="15" t="s">
        <v>16258</v>
      </c>
      <c r="G2745" s="15" t="s">
        <v>12468</v>
      </c>
      <c r="H2745" s="15">
        <v>6</v>
      </c>
      <c r="I2745" s="15">
        <v>6</v>
      </c>
      <c r="J2745" s="15">
        <v>1</v>
      </c>
      <c r="K2745" s="15" t="str">
        <f t="shared" si="42"/>
        <v>cieldalaesspectralcurrent</v>
      </c>
      <c r="L2745" s="15" t="s">
        <v>12296</v>
      </c>
      <c r="M2745" s="15">
        <v>2</v>
      </c>
      <c r="N2745" s="15" t="s">
        <v>11223</v>
      </c>
      <c r="O2745" s="15"/>
      <c r="P2745" s="15"/>
      <c r="Q2745" s="15"/>
      <c r="R2745" s="15"/>
      <c r="S2745" s="15"/>
      <c r="T2745" s="15">
        <v>0</v>
      </c>
      <c r="U2745" s="15"/>
      <c r="V2745" s="15"/>
      <c r="W2745" s="15"/>
      <c r="X2745" s="15"/>
      <c r="Y2745" s="15"/>
      <c r="Z2745" s="15"/>
    </row>
    <row r="2746" spans="1:26" x14ac:dyDescent="0.25">
      <c r="A2746" s="15" t="s">
        <v>16259</v>
      </c>
      <c r="B2746" s="15">
        <v>2745</v>
      </c>
      <c r="C2746" s="15" t="s">
        <v>11277</v>
      </c>
      <c r="D2746" s="15" t="s">
        <v>11277</v>
      </c>
      <c r="E2746" s="15" t="s">
        <v>73</v>
      </c>
      <c r="F2746" s="15" t="s">
        <v>16258</v>
      </c>
      <c r="G2746" s="15" t="s">
        <v>12470</v>
      </c>
      <c r="H2746" s="15">
        <v>6</v>
      </c>
      <c r="I2746" s="15">
        <v>6</v>
      </c>
      <c r="J2746" s="15">
        <v>1</v>
      </c>
      <c r="K2746" s="15" t="str">
        <f t="shared" si="42"/>
        <v>cieldalaesspectralcurrent</v>
      </c>
      <c r="L2746" s="15" t="s">
        <v>12294</v>
      </c>
      <c r="M2746" s="15">
        <v>1</v>
      </c>
      <c r="N2746" s="15" t="s">
        <v>11222</v>
      </c>
      <c r="O2746" s="15"/>
      <c r="P2746" s="15"/>
      <c r="Q2746" s="15"/>
      <c r="R2746" s="15"/>
      <c r="S2746" s="15"/>
      <c r="T2746" s="15">
        <v>0</v>
      </c>
      <c r="U2746" s="15"/>
      <c r="V2746" s="15"/>
      <c r="W2746" s="15"/>
      <c r="X2746" s="15"/>
      <c r="Y2746" s="15"/>
      <c r="Z2746" s="15"/>
    </row>
    <row r="2747" spans="1:26" x14ac:dyDescent="0.25">
      <c r="A2747" s="15" t="s">
        <v>16260</v>
      </c>
      <c r="B2747" s="15">
        <v>2746</v>
      </c>
      <c r="C2747" s="15" t="s">
        <v>11277</v>
      </c>
      <c r="D2747" s="15" t="s">
        <v>11277</v>
      </c>
      <c r="E2747" s="15" t="s">
        <v>73</v>
      </c>
      <c r="F2747" s="15" t="s">
        <v>16258</v>
      </c>
      <c r="G2747" s="15" t="s">
        <v>12472</v>
      </c>
      <c r="H2747" s="15">
        <v>6</v>
      </c>
      <c r="I2747" s="15">
        <v>6</v>
      </c>
      <c r="J2747" s="15">
        <v>1</v>
      </c>
      <c r="K2747" s="15" t="str">
        <f t="shared" si="42"/>
        <v>cieldalaesspectralcurrent</v>
      </c>
      <c r="L2747" s="15" t="s">
        <v>12487</v>
      </c>
      <c r="M2747" s="15">
        <v>2</v>
      </c>
      <c r="N2747" s="15" t="s">
        <v>11223</v>
      </c>
      <c r="O2747" s="15"/>
      <c r="P2747" s="15"/>
      <c r="Q2747" s="15"/>
      <c r="R2747" s="15"/>
      <c r="S2747" s="15"/>
      <c r="T2747" s="15">
        <v>0</v>
      </c>
      <c r="U2747" s="15"/>
      <c r="V2747" s="15"/>
      <c r="W2747" s="15"/>
      <c r="X2747" s="15"/>
      <c r="Y2747" s="15"/>
      <c r="Z2747" s="15"/>
    </row>
    <row r="2748" spans="1:26" x14ac:dyDescent="0.25">
      <c r="A2748" s="15" t="s">
        <v>16261</v>
      </c>
      <c r="B2748" s="15">
        <v>2747</v>
      </c>
      <c r="C2748" s="15" t="s">
        <v>11277</v>
      </c>
      <c r="D2748" s="15" t="s">
        <v>11277</v>
      </c>
      <c r="E2748" s="15" t="s">
        <v>73</v>
      </c>
      <c r="F2748" s="15" t="s">
        <v>16258</v>
      </c>
      <c r="G2748" s="15" t="s">
        <v>12474</v>
      </c>
      <c r="H2748" s="15">
        <v>6</v>
      </c>
      <c r="I2748" s="15">
        <v>6</v>
      </c>
      <c r="J2748" s="15">
        <v>1</v>
      </c>
      <c r="K2748" s="15" t="str">
        <f t="shared" si="42"/>
        <v>cieldalaesspectralcurrent</v>
      </c>
      <c r="L2748" s="15" t="s">
        <v>12487</v>
      </c>
      <c r="M2748" s="15">
        <v>1</v>
      </c>
      <c r="N2748" s="15" t="s">
        <v>11222</v>
      </c>
      <c r="O2748" s="15"/>
      <c r="P2748" s="15"/>
      <c r="Q2748" s="15"/>
      <c r="R2748" s="15"/>
      <c r="S2748" s="15"/>
      <c r="T2748" s="15">
        <v>0</v>
      </c>
      <c r="U2748" s="15"/>
      <c r="V2748" s="15"/>
      <c r="W2748" s="15"/>
      <c r="X2748" s="15"/>
      <c r="Y2748" s="15"/>
      <c r="Z2748" s="15"/>
    </row>
    <row r="2749" spans="1:26" x14ac:dyDescent="0.25">
      <c r="A2749" s="15" t="s">
        <v>16262</v>
      </c>
      <c r="B2749" s="15">
        <v>2748</v>
      </c>
      <c r="C2749" s="15" t="s">
        <v>11277</v>
      </c>
      <c r="D2749" s="15" t="s">
        <v>11277</v>
      </c>
      <c r="E2749" s="15" t="s">
        <v>73</v>
      </c>
      <c r="F2749" s="15" t="s">
        <v>16258</v>
      </c>
      <c r="G2749" s="15" t="s">
        <v>12476</v>
      </c>
      <c r="H2749" s="15">
        <v>6</v>
      </c>
      <c r="I2749" s="15">
        <v>6</v>
      </c>
      <c r="J2749" s="15">
        <v>1</v>
      </c>
      <c r="K2749" s="15" t="str">
        <f t="shared" si="42"/>
        <v>cieldalaesspectralcurrent</v>
      </c>
      <c r="L2749" s="15" t="s">
        <v>12296</v>
      </c>
      <c r="M2749" s="15">
        <v>2</v>
      </c>
      <c r="N2749" s="15" t="s">
        <v>11223</v>
      </c>
      <c r="O2749" s="15" t="s">
        <v>14052</v>
      </c>
      <c r="P2749" s="15"/>
      <c r="Q2749" s="15"/>
      <c r="R2749" s="15"/>
      <c r="S2749" s="15"/>
      <c r="T2749" s="15">
        <v>0</v>
      </c>
      <c r="U2749" s="15"/>
      <c r="V2749" s="15"/>
      <c r="W2749" s="15"/>
      <c r="X2749" s="15"/>
      <c r="Y2749" s="15"/>
      <c r="Z2749" s="15"/>
    </row>
    <row r="2750" spans="1:26" x14ac:dyDescent="0.25">
      <c r="A2750" s="15" t="s">
        <v>16263</v>
      </c>
      <c r="B2750" s="15">
        <v>2749</v>
      </c>
      <c r="C2750" s="15" t="s">
        <v>11277</v>
      </c>
      <c r="D2750" s="15" t="s">
        <v>11277</v>
      </c>
      <c r="E2750" s="15" t="s">
        <v>73</v>
      </c>
      <c r="F2750" s="15" t="s">
        <v>16258</v>
      </c>
      <c r="G2750" s="15" t="s">
        <v>12478</v>
      </c>
      <c r="H2750" s="15">
        <v>6</v>
      </c>
      <c r="I2750" s="15">
        <v>6</v>
      </c>
      <c r="J2750" s="15">
        <v>1</v>
      </c>
      <c r="K2750" s="15" t="str">
        <f t="shared" si="42"/>
        <v>cieldalaesspectralcurrent</v>
      </c>
      <c r="L2750" s="15" t="s">
        <v>12298</v>
      </c>
      <c r="M2750" s="15">
        <v>3</v>
      </c>
      <c r="N2750" s="15" t="s">
        <v>11223</v>
      </c>
      <c r="O2750" s="15"/>
      <c r="P2750" s="15"/>
      <c r="Q2750" s="15"/>
      <c r="R2750" s="15"/>
      <c r="S2750" s="15"/>
      <c r="T2750" s="15">
        <v>0</v>
      </c>
      <c r="U2750" s="15"/>
      <c r="V2750" s="15"/>
      <c r="W2750" s="15"/>
      <c r="X2750" s="15"/>
      <c r="Y2750" s="15"/>
      <c r="Z2750" s="15"/>
    </row>
    <row r="2751" spans="1:26" x14ac:dyDescent="0.25">
      <c r="A2751" s="15" t="s">
        <v>16264</v>
      </c>
      <c r="B2751" s="15">
        <v>2750</v>
      </c>
      <c r="C2751" s="15" t="s">
        <v>11277</v>
      </c>
      <c r="D2751" s="15" t="s">
        <v>11277</v>
      </c>
      <c r="E2751" s="15" t="s">
        <v>73</v>
      </c>
      <c r="F2751" s="15" t="s">
        <v>16258</v>
      </c>
      <c r="G2751" s="15" t="s">
        <v>12480</v>
      </c>
      <c r="H2751" s="15">
        <v>6</v>
      </c>
      <c r="I2751" s="15">
        <v>6</v>
      </c>
      <c r="J2751" s="15">
        <v>1</v>
      </c>
      <c r="K2751" s="15" t="str">
        <f t="shared" si="42"/>
        <v>cieldalaesspectralcurrent</v>
      </c>
      <c r="L2751" s="15" t="s">
        <v>12296</v>
      </c>
      <c r="M2751" s="15">
        <v>2</v>
      </c>
      <c r="N2751" s="15" t="s">
        <v>11223</v>
      </c>
      <c r="O2751" s="15" t="s">
        <v>14023</v>
      </c>
      <c r="P2751" s="15"/>
      <c r="Q2751" s="15"/>
      <c r="R2751" s="15"/>
      <c r="S2751" s="15"/>
      <c r="T2751" s="15">
        <v>0</v>
      </c>
      <c r="U2751" s="15"/>
      <c r="V2751" s="15"/>
      <c r="W2751" s="15"/>
      <c r="X2751" s="15"/>
      <c r="Y2751" s="15"/>
      <c r="Z2751" s="15"/>
    </row>
    <row r="2752" spans="1:26" x14ac:dyDescent="0.25">
      <c r="A2752" s="15" t="s">
        <v>16265</v>
      </c>
      <c r="B2752" s="15">
        <v>2751</v>
      </c>
      <c r="C2752" s="15" t="s">
        <v>11277</v>
      </c>
      <c r="D2752" s="15" t="s">
        <v>11277</v>
      </c>
      <c r="E2752" s="15" t="s">
        <v>73</v>
      </c>
      <c r="F2752" s="15" t="s">
        <v>16258</v>
      </c>
      <c r="G2752" s="15" t="s">
        <v>12482</v>
      </c>
      <c r="H2752" s="15">
        <v>6</v>
      </c>
      <c r="I2752" s="15">
        <v>6</v>
      </c>
      <c r="J2752" s="15">
        <v>1</v>
      </c>
      <c r="K2752" s="15" t="str">
        <f t="shared" si="42"/>
        <v>cieldalaesspectralcurrent</v>
      </c>
      <c r="L2752" s="15" t="s">
        <v>12298</v>
      </c>
      <c r="M2752" s="15">
        <v>3</v>
      </c>
      <c r="N2752" s="15" t="s">
        <v>11223</v>
      </c>
      <c r="O2752" s="15" t="s">
        <v>14023</v>
      </c>
      <c r="P2752" s="15"/>
      <c r="Q2752" s="15"/>
      <c r="R2752" s="15"/>
      <c r="S2752" s="15"/>
      <c r="T2752" s="15">
        <v>0</v>
      </c>
      <c r="U2752" s="15"/>
      <c r="V2752" s="15"/>
      <c r="W2752" s="15"/>
      <c r="X2752" s="15"/>
      <c r="Y2752" s="15"/>
      <c r="Z2752" s="15"/>
    </row>
    <row r="2753" spans="1:26" x14ac:dyDescent="0.25">
      <c r="A2753" s="15" t="s">
        <v>16266</v>
      </c>
      <c r="B2753" s="15">
        <v>2752</v>
      </c>
      <c r="C2753" s="15" t="s">
        <v>11277</v>
      </c>
      <c r="D2753" s="15" t="s">
        <v>11277</v>
      </c>
      <c r="E2753" s="15" t="s">
        <v>73</v>
      </c>
      <c r="F2753" s="15" t="s">
        <v>16258</v>
      </c>
      <c r="G2753" s="15" t="s">
        <v>12484</v>
      </c>
      <c r="H2753" s="15">
        <v>6</v>
      </c>
      <c r="I2753" s="15">
        <v>6</v>
      </c>
      <c r="J2753" s="15">
        <v>1</v>
      </c>
      <c r="K2753" s="15" t="str">
        <f t="shared" si="42"/>
        <v>cieldalaesspectralcurrent</v>
      </c>
      <c r="L2753" s="15" t="s">
        <v>12298</v>
      </c>
      <c r="M2753" s="15">
        <v>2</v>
      </c>
      <c r="N2753" s="15" t="s">
        <v>11223</v>
      </c>
      <c r="O2753" s="15" t="s">
        <v>14052</v>
      </c>
      <c r="P2753" s="15"/>
      <c r="Q2753" s="15"/>
      <c r="R2753" s="15"/>
      <c r="S2753" s="15"/>
      <c r="T2753" s="15">
        <v>0</v>
      </c>
      <c r="U2753" s="15"/>
      <c r="V2753" s="15"/>
      <c r="W2753" s="15"/>
      <c r="X2753" s="15"/>
      <c r="Y2753" s="15"/>
      <c r="Z2753" s="15"/>
    </row>
    <row r="2754" spans="1:26" x14ac:dyDescent="0.25">
      <c r="A2754" s="15" t="s">
        <v>16267</v>
      </c>
      <c r="B2754" s="15">
        <v>2753</v>
      </c>
      <c r="C2754" s="15" t="s">
        <v>11277</v>
      </c>
      <c r="D2754" s="15" t="s">
        <v>11277</v>
      </c>
      <c r="E2754" s="15" t="s">
        <v>102</v>
      </c>
      <c r="F2754" s="15" t="s">
        <v>16258</v>
      </c>
      <c r="G2754" s="15" t="s">
        <v>12486</v>
      </c>
      <c r="H2754" s="15">
        <v>6</v>
      </c>
      <c r="I2754" s="15">
        <v>6</v>
      </c>
      <c r="J2754" s="15">
        <v>80</v>
      </c>
      <c r="K2754" s="15" t="str">
        <f t="shared" ref="K2754:K2817" si="43">LOWER(SUBSTITUTE(SUBSTITUTE(SUBSTITUTE(SUBSTITUTE(SUBSTITUTE(F2754," ",""),"(",""),")",""),"'",""),"-",""))</f>
        <v>cieldalaesspectralcurrent</v>
      </c>
      <c r="L2754" s="15" t="s">
        <v>12487</v>
      </c>
      <c r="M2754" s="15">
        <v>3</v>
      </c>
      <c r="N2754" s="15" t="s">
        <v>11223</v>
      </c>
      <c r="O2754" s="15" t="s">
        <v>14077</v>
      </c>
      <c r="P2754" s="15" t="s">
        <v>16268</v>
      </c>
      <c r="Q2754" s="15"/>
      <c r="R2754" s="15"/>
      <c r="S2754" s="15"/>
      <c r="T2754" s="15">
        <v>0</v>
      </c>
      <c r="U2754" s="15"/>
      <c r="V2754" s="15"/>
      <c r="W2754" s="15"/>
      <c r="X2754" s="15"/>
      <c r="Y2754" s="15"/>
      <c r="Z2754" s="15"/>
    </row>
    <row r="2755" spans="1:26" x14ac:dyDescent="0.25">
      <c r="A2755" s="15" t="s">
        <v>16269</v>
      </c>
      <c r="B2755" s="15">
        <v>2754</v>
      </c>
      <c r="C2755" s="15" t="s">
        <v>11277</v>
      </c>
      <c r="D2755" s="15" t="s">
        <v>11277</v>
      </c>
      <c r="E2755" s="15" t="s">
        <v>73</v>
      </c>
      <c r="F2755" s="15" t="s">
        <v>16270</v>
      </c>
      <c r="G2755" s="15" t="s">
        <v>12489</v>
      </c>
      <c r="H2755" s="15">
        <v>6</v>
      </c>
      <c r="I2755" s="15">
        <v>6</v>
      </c>
      <c r="J2755" s="15">
        <v>1</v>
      </c>
      <c r="K2755" s="15" t="str">
        <f t="shared" si="43"/>
        <v>openbloodbrinesea</v>
      </c>
      <c r="L2755" s="15" t="s">
        <v>12294</v>
      </c>
      <c r="M2755" s="15">
        <v>1</v>
      </c>
      <c r="N2755" s="15" t="s">
        <v>11222</v>
      </c>
      <c r="O2755" s="15"/>
      <c r="P2755" s="15"/>
      <c r="Q2755" s="15"/>
      <c r="R2755" s="15"/>
      <c r="S2755" s="15"/>
      <c r="T2755" s="15">
        <v>0</v>
      </c>
      <c r="U2755" s="15"/>
      <c r="V2755" s="15"/>
      <c r="W2755" s="15"/>
      <c r="X2755" s="15"/>
      <c r="Y2755" s="15"/>
      <c r="Z2755" s="15"/>
    </row>
    <row r="2756" spans="1:26" x14ac:dyDescent="0.25">
      <c r="A2756" s="15" t="s">
        <v>16271</v>
      </c>
      <c r="B2756" s="15">
        <v>2755</v>
      </c>
      <c r="C2756" s="15" t="s">
        <v>11277</v>
      </c>
      <c r="D2756" s="15" t="s">
        <v>11277</v>
      </c>
      <c r="E2756" s="15" t="s">
        <v>73</v>
      </c>
      <c r="F2756" s="15" t="s">
        <v>16270</v>
      </c>
      <c r="G2756" s="15" t="s">
        <v>12491</v>
      </c>
      <c r="H2756" s="15">
        <v>6</v>
      </c>
      <c r="I2756" s="15">
        <v>6</v>
      </c>
      <c r="J2756" s="15">
        <v>1</v>
      </c>
      <c r="K2756" s="15" t="str">
        <f t="shared" si="43"/>
        <v>openbloodbrinesea</v>
      </c>
      <c r="L2756" s="15" t="s">
        <v>12294</v>
      </c>
      <c r="M2756" s="15">
        <v>1</v>
      </c>
      <c r="N2756" s="15" t="s">
        <v>11222</v>
      </c>
      <c r="O2756" s="15"/>
      <c r="P2756" s="15"/>
      <c r="Q2756" s="15"/>
      <c r="R2756" s="15"/>
      <c r="S2756" s="15"/>
      <c r="T2756" s="15">
        <v>0</v>
      </c>
      <c r="U2756" s="15"/>
      <c r="V2756" s="15"/>
      <c r="W2756" s="15"/>
      <c r="X2756" s="15"/>
      <c r="Y2756" s="15"/>
      <c r="Z2756" s="15"/>
    </row>
    <row r="2757" spans="1:26" x14ac:dyDescent="0.25">
      <c r="A2757" s="15" t="s">
        <v>16272</v>
      </c>
      <c r="B2757" s="15">
        <v>2756</v>
      </c>
      <c r="C2757" s="15" t="s">
        <v>11277</v>
      </c>
      <c r="D2757" s="15" t="s">
        <v>11277</v>
      </c>
      <c r="E2757" s="15" t="s">
        <v>73</v>
      </c>
      <c r="F2757" s="15" t="s">
        <v>16270</v>
      </c>
      <c r="G2757" s="15" t="s">
        <v>12493</v>
      </c>
      <c r="H2757" s="15">
        <v>6</v>
      </c>
      <c r="I2757" s="15">
        <v>6</v>
      </c>
      <c r="J2757" s="15">
        <v>1</v>
      </c>
      <c r="K2757" s="15" t="str">
        <f t="shared" si="43"/>
        <v>openbloodbrinesea</v>
      </c>
      <c r="L2757" s="15" t="s">
        <v>12296</v>
      </c>
      <c r="M2757" s="15">
        <v>2</v>
      </c>
      <c r="N2757" s="15" t="s">
        <v>11223</v>
      </c>
      <c r="O2757" s="15"/>
      <c r="P2757" s="15"/>
      <c r="Q2757" s="15"/>
      <c r="R2757" s="15"/>
      <c r="S2757" s="15"/>
      <c r="T2757" s="15">
        <v>0</v>
      </c>
      <c r="U2757" s="15"/>
      <c r="V2757" s="15"/>
      <c r="W2757" s="15"/>
      <c r="X2757" s="15"/>
      <c r="Y2757" s="15"/>
      <c r="Z2757" s="15"/>
    </row>
    <row r="2758" spans="1:26" x14ac:dyDescent="0.25">
      <c r="A2758" s="15" t="s">
        <v>16273</v>
      </c>
      <c r="B2758" s="15">
        <v>2757</v>
      </c>
      <c r="C2758" s="15" t="s">
        <v>11277</v>
      </c>
      <c r="D2758" s="15" t="s">
        <v>11277</v>
      </c>
      <c r="E2758" s="15" t="s">
        <v>73</v>
      </c>
      <c r="F2758" s="15" t="s">
        <v>16270</v>
      </c>
      <c r="G2758" s="15" t="s">
        <v>12495</v>
      </c>
      <c r="H2758" s="15">
        <v>6</v>
      </c>
      <c r="I2758" s="15">
        <v>6</v>
      </c>
      <c r="J2758" s="15">
        <v>1</v>
      </c>
      <c r="K2758" s="15" t="str">
        <f t="shared" si="43"/>
        <v>openbloodbrinesea</v>
      </c>
      <c r="L2758" s="15" t="s">
        <v>12298</v>
      </c>
      <c r="M2758" s="15">
        <v>2</v>
      </c>
      <c r="N2758" s="15" t="s">
        <v>11223</v>
      </c>
      <c r="O2758" s="15"/>
      <c r="P2758" s="15"/>
      <c r="Q2758" s="15"/>
      <c r="R2758" s="15"/>
      <c r="S2758" s="15"/>
      <c r="T2758" s="15">
        <v>0</v>
      </c>
      <c r="U2758" s="15"/>
      <c r="V2758" s="15"/>
      <c r="W2758" s="15"/>
      <c r="X2758" s="15"/>
      <c r="Y2758" s="15"/>
      <c r="Z2758" s="15"/>
    </row>
    <row r="2759" spans="1:26" x14ac:dyDescent="0.25">
      <c r="A2759" s="15" t="s">
        <v>16274</v>
      </c>
      <c r="B2759" s="15">
        <v>2758</v>
      </c>
      <c r="C2759" s="15" t="s">
        <v>11277</v>
      </c>
      <c r="D2759" s="15" t="s">
        <v>11277</v>
      </c>
      <c r="E2759" s="15" t="s">
        <v>73</v>
      </c>
      <c r="F2759" s="15" t="s">
        <v>16270</v>
      </c>
      <c r="G2759" s="15" t="s">
        <v>12497</v>
      </c>
      <c r="H2759" s="15">
        <v>6</v>
      </c>
      <c r="I2759" s="15">
        <v>6</v>
      </c>
      <c r="J2759" s="15">
        <v>1</v>
      </c>
      <c r="K2759" s="15" t="str">
        <f t="shared" si="43"/>
        <v>openbloodbrinesea</v>
      </c>
      <c r="L2759" s="15" t="s">
        <v>12294</v>
      </c>
      <c r="M2759" s="15">
        <v>1</v>
      </c>
      <c r="N2759" s="15" t="s">
        <v>11222</v>
      </c>
      <c r="O2759" s="15"/>
      <c r="P2759" s="15"/>
      <c r="Q2759" s="15"/>
      <c r="R2759" s="15"/>
      <c r="S2759" s="15"/>
      <c r="T2759" s="15">
        <v>0</v>
      </c>
      <c r="U2759" s="15"/>
      <c r="V2759" s="15"/>
      <c r="W2759" s="15"/>
      <c r="X2759" s="15"/>
      <c r="Y2759" s="15"/>
      <c r="Z2759" s="15"/>
    </row>
    <row r="2760" spans="1:26" x14ac:dyDescent="0.25">
      <c r="A2760" s="15" t="s">
        <v>16275</v>
      </c>
      <c r="B2760" s="15">
        <v>2759</v>
      </c>
      <c r="C2760" s="15" t="s">
        <v>11277</v>
      </c>
      <c r="D2760" s="15" t="s">
        <v>11277</v>
      </c>
      <c r="E2760" s="15" t="s">
        <v>73</v>
      </c>
      <c r="F2760" s="15" t="s">
        <v>16270</v>
      </c>
      <c r="G2760" s="15" t="s">
        <v>12499</v>
      </c>
      <c r="H2760" s="15">
        <v>6</v>
      </c>
      <c r="I2760" s="15">
        <v>6</v>
      </c>
      <c r="J2760" s="15">
        <v>1</v>
      </c>
      <c r="K2760" s="15" t="str">
        <f t="shared" si="43"/>
        <v>openbloodbrinesea</v>
      </c>
      <c r="L2760" s="15" t="s">
        <v>12296</v>
      </c>
      <c r="M2760" s="15">
        <v>1</v>
      </c>
      <c r="N2760" s="15" t="s">
        <v>11222</v>
      </c>
      <c r="O2760" s="15"/>
      <c r="P2760" s="15"/>
      <c r="Q2760" s="15"/>
      <c r="R2760" s="15"/>
      <c r="S2760" s="15"/>
      <c r="T2760" s="15">
        <v>0</v>
      </c>
      <c r="U2760" s="15"/>
      <c r="V2760" s="15"/>
      <c r="W2760" s="15"/>
      <c r="X2760" s="15"/>
      <c r="Y2760" s="15"/>
      <c r="Z2760" s="15"/>
    </row>
    <row r="2761" spans="1:26" x14ac:dyDescent="0.25">
      <c r="A2761" s="15" t="s">
        <v>16276</v>
      </c>
      <c r="B2761" s="15">
        <v>2760</v>
      </c>
      <c r="C2761" s="15" t="s">
        <v>11277</v>
      </c>
      <c r="D2761" s="15" t="s">
        <v>11277</v>
      </c>
      <c r="E2761" s="15" t="s">
        <v>73</v>
      </c>
      <c r="F2761" s="15" t="s">
        <v>16270</v>
      </c>
      <c r="G2761" s="15" t="s">
        <v>12501</v>
      </c>
      <c r="H2761" s="15">
        <v>6</v>
      </c>
      <c r="I2761" s="15">
        <v>6</v>
      </c>
      <c r="J2761" s="15">
        <v>1</v>
      </c>
      <c r="K2761" s="15" t="str">
        <f t="shared" si="43"/>
        <v>openbloodbrinesea</v>
      </c>
      <c r="L2761" s="15" t="s">
        <v>12298</v>
      </c>
      <c r="M2761" s="15">
        <v>2</v>
      </c>
      <c r="N2761" s="15" t="s">
        <v>11223</v>
      </c>
      <c r="O2761" s="15"/>
      <c r="P2761" s="15"/>
      <c r="Q2761" s="15"/>
      <c r="R2761" s="15"/>
      <c r="S2761" s="15"/>
      <c r="T2761" s="15">
        <v>0</v>
      </c>
      <c r="U2761" s="15"/>
      <c r="V2761" s="15"/>
      <c r="W2761" s="15"/>
      <c r="X2761" s="15"/>
      <c r="Y2761" s="15"/>
      <c r="Z2761" s="15"/>
    </row>
    <row r="2762" spans="1:26" x14ac:dyDescent="0.25">
      <c r="A2762" s="15" t="s">
        <v>16277</v>
      </c>
      <c r="B2762" s="15">
        <v>2761</v>
      </c>
      <c r="C2762" s="15" t="s">
        <v>11277</v>
      </c>
      <c r="D2762" s="15" t="s">
        <v>11277</v>
      </c>
      <c r="E2762" s="15" t="s">
        <v>73</v>
      </c>
      <c r="F2762" s="15" t="s">
        <v>16270</v>
      </c>
      <c r="G2762" s="15" t="s">
        <v>12503</v>
      </c>
      <c r="H2762" s="15">
        <v>6</v>
      </c>
      <c r="I2762" s="15">
        <v>6</v>
      </c>
      <c r="J2762" s="15">
        <v>1</v>
      </c>
      <c r="K2762" s="15" t="str">
        <f t="shared" si="43"/>
        <v>openbloodbrinesea</v>
      </c>
      <c r="L2762" s="15" t="s">
        <v>12294</v>
      </c>
      <c r="M2762" s="15">
        <v>3</v>
      </c>
      <c r="N2762" s="15" t="s">
        <v>11223</v>
      </c>
      <c r="O2762" s="15"/>
      <c r="P2762" s="15"/>
      <c r="Q2762" s="15"/>
      <c r="R2762" s="15"/>
      <c r="S2762" s="15"/>
      <c r="T2762" s="15">
        <v>0</v>
      </c>
      <c r="U2762" s="15"/>
      <c r="V2762" s="15"/>
      <c r="W2762" s="15"/>
      <c r="X2762" s="15"/>
      <c r="Y2762" s="15"/>
      <c r="Z2762" s="15"/>
    </row>
    <row r="2763" spans="1:26" x14ac:dyDescent="0.25">
      <c r="A2763" s="15" t="s">
        <v>16278</v>
      </c>
      <c r="B2763" s="15">
        <v>2762</v>
      </c>
      <c r="C2763" s="15" t="s">
        <v>11277</v>
      </c>
      <c r="D2763" s="15" t="s">
        <v>11277</v>
      </c>
      <c r="E2763" s="15" t="s">
        <v>73</v>
      </c>
      <c r="F2763" s="15" t="s">
        <v>16270</v>
      </c>
      <c r="G2763" s="15" t="s">
        <v>12505</v>
      </c>
      <c r="H2763" s="15">
        <v>6</v>
      </c>
      <c r="I2763" s="15">
        <v>6</v>
      </c>
      <c r="J2763" s="15">
        <v>1</v>
      </c>
      <c r="K2763" s="15" t="str">
        <f t="shared" si="43"/>
        <v>openbloodbrinesea</v>
      </c>
      <c r="L2763" s="15" t="s">
        <v>12296</v>
      </c>
      <c r="M2763" s="15">
        <v>3</v>
      </c>
      <c r="N2763" s="15" t="s">
        <v>11223</v>
      </c>
      <c r="O2763" s="15"/>
      <c r="P2763" s="15"/>
      <c r="Q2763" s="15"/>
      <c r="R2763" s="15"/>
      <c r="S2763" s="15"/>
      <c r="T2763" s="15">
        <v>0</v>
      </c>
      <c r="U2763" s="15"/>
      <c r="V2763" s="15"/>
      <c r="W2763" s="15"/>
      <c r="X2763" s="15"/>
      <c r="Y2763" s="15"/>
      <c r="Z2763" s="15"/>
    </row>
    <row r="2764" spans="1:26" x14ac:dyDescent="0.25">
      <c r="A2764" s="15" t="s">
        <v>16279</v>
      </c>
      <c r="B2764" s="15">
        <v>2763</v>
      </c>
      <c r="C2764" s="15" t="s">
        <v>11277</v>
      </c>
      <c r="D2764" s="15" t="s">
        <v>11277</v>
      </c>
      <c r="E2764" s="15" t="s">
        <v>73</v>
      </c>
      <c r="F2764" s="15" t="s">
        <v>16270</v>
      </c>
      <c r="G2764" s="15" t="s">
        <v>12507</v>
      </c>
      <c r="H2764" s="15">
        <v>6</v>
      </c>
      <c r="I2764" s="15">
        <v>6</v>
      </c>
      <c r="J2764" s="15">
        <v>1</v>
      </c>
      <c r="K2764" s="15" t="str">
        <f t="shared" si="43"/>
        <v>openbloodbrinesea</v>
      </c>
      <c r="L2764" s="15" t="s">
        <v>12296</v>
      </c>
      <c r="M2764" s="15">
        <v>3</v>
      </c>
      <c r="N2764" s="15" t="s">
        <v>11223</v>
      </c>
      <c r="O2764" s="15"/>
      <c r="P2764" s="15"/>
      <c r="Q2764" s="15"/>
      <c r="R2764" s="15"/>
      <c r="S2764" s="15"/>
      <c r="T2764" s="15">
        <v>0</v>
      </c>
      <c r="U2764" s="15"/>
      <c r="V2764" s="15"/>
      <c r="W2764" s="15"/>
      <c r="X2764" s="15"/>
      <c r="Y2764" s="15"/>
      <c r="Z2764" s="15"/>
    </row>
    <row r="2765" spans="1:26" x14ac:dyDescent="0.25">
      <c r="A2765" s="15" t="s">
        <v>16280</v>
      </c>
      <c r="B2765" s="15">
        <v>2764</v>
      </c>
      <c r="C2765" s="15" t="s">
        <v>11277</v>
      </c>
      <c r="D2765" s="15" t="s">
        <v>11277</v>
      </c>
      <c r="E2765" s="15" t="s">
        <v>73</v>
      </c>
      <c r="F2765" s="15" t="s">
        <v>16281</v>
      </c>
      <c r="G2765" s="15" t="s">
        <v>12509</v>
      </c>
      <c r="H2765" s="15">
        <v>6</v>
      </c>
      <c r="I2765" s="15">
        <v>6</v>
      </c>
      <c r="J2765" s="15">
        <v>1</v>
      </c>
      <c r="K2765" s="15" t="str">
        <f t="shared" si="43"/>
        <v>bloodbrinespectralcurrent</v>
      </c>
      <c r="L2765" s="15" t="s">
        <v>12294</v>
      </c>
      <c r="M2765" s="15">
        <v>1</v>
      </c>
      <c r="N2765" s="15" t="s">
        <v>11222</v>
      </c>
      <c r="O2765" s="15" t="s">
        <v>14023</v>
      </c>
      <c r="P2765" s="15"/>
      <c r="Q2765" s="15"/>
      <c r="R2765" s="15"/>
      <c r="S2765" s="15"/>
      <c r="T2765" s="15">
        <v>0</v>
      </c>
      <c r="U2765" s="15"/>
      <c r="V2765" s="15"/>
      <c r="W2765" s="15"/>
      <c r="X2765" s="15"/>
      <c r="Y2765" s="15"/>
      <c r="Z2765" s="15"/>
    </row>
    <row r="2766" spans="1:26" x14ac:dyDescent="0.25">
      <c r="A2766" s="15" t="s">
        <v>16282</v>
      </c>
      <c r="B2766" s="15">
        <v>2765</v>
      </c>
      <c r="C2766" s="15" t="s">
        <v>11277</v>
      </c>
      <c r="D2766" s="15" t="s">
        <v>11277</v>
      </c>
      <c r="E2766" s="15" t="s">
        <v>73</v>
      </c>
      <c r="F2766" s="15" t="s">
        <v>16281</v>
      </c>
      <c r="G2766" s="15" t="s">
        <v>12511</v>
      </c>
      <c r="H2766" s="15">
        <v>6</v>
      </c>
      <c r="I2766" s="15">
        <v>6</v>
      </c>
      <c r="J2766" s="15">
        <v>1</v>
      </c>
      <c r="K2766" s="15" t="str">
        <f t="shared" si="43"/>
        <v>bloodbrinespectralcurrent</v>
      </c>
      <c r="L2766" s="15" t="s">
        <v>12296</v>
      </c>
      <c r="M2766" s="15">
        <v>1</v>
      </c>
      <c r="N2766" s="15" t="s">
        <v>11222</v>
      </c>
      <c r="O2766" s="15"/>
      <c r="P2766" s="15"/>
      <c r="Q2766" s="15"/>
      <c r="R2766" s="15"/>
      <c r="S2766" s="15"/>
      <c r="T2766" s="15">
        <v>0</v>
      </c>
      <c r="U2766" s="15"/>
      <c r="V2766" s="15"/>
      <c r="W2766" s="15"/>
      <c r="X2766" s="15"/>
      <c r="Y2766" s="15"/>
      <c r="Z2766" s="15"/>
    </row>
    <row r="2767" spans="1:26" x14ac:dyDescent="0.25">
      <c r="A2767" s="15" t="s">
        <v>16283</v>
      </c>
      <c r="B2767" s="15">
        <v>2766</v>
      </c>
      <c r="C2767" s="15" t="s">
        <v>11277</v>
      </c>
      <c r="D2767" s="15" t="s">
        <v>11277</v>
      </c>
      <c r="E2767" s="15" t="s">
        <v>73</v>
      </c>
      <c r="F2767" s="15" t="s">
        <v>16281</v>
      </c>
      <c r="G2767" s="15" t="s">
        <v>12513</v>
      </c>
      <c r="H2767" s="15">
        <v>6</v>
      </c>
      <c r="I2767" s="15">
        <v>6</v>
      </c>
      <c r="J2767" s="15">
        <v>1</v>
      </c>
      <c r="K2767" s="15" t="str">
        <f t="shared" si="43"/>
        <v>bloodbrinespectralcurrent</v>
      </c>
      <c r="L2767" s="15" t="s">
        <v>12296</v>
      </c>
      <c r="M2767" s="15">
        <v>2</v>
      </c>
      <c r="N2767" s="15" t="s">
        <v>11223</v>
      </c>
      <c r="O2767" s="15" t="s">
        <v>14077</v>
      </c>
      <c r="P2767" s="15"/>
      <c r="Q2767" s="15"/>
      <c r="R2767" s="15"/>
      <c r="S2767" s="15"/>
      <c r="T2767" s="15">
        <v>0</v>
      </c>
      <c r="U2767" s="15"/>
      <c r="V2767" s="15"/>
      <c r="W2767" s="15"/>
      <c r="X2767" s="15"/>
      <c r="Y2767" s="15"/>
      <c r="Z2767" s="15"/>
    </row>
    <row r="2768" spans="1:26" x14ac:dyDescent="0.25">
      <c r="A2768" s="15" t="s">
        <v>16284</v>
      </c>
      <c r="B2768" s="15">
        <v>2767</v>
      </c>
      <c r="C2768" s="15" t="s">
        <v>11277</v>
      </c>
      <c r="D2768" s="15" t="s">
        <v>11277</v>
      </c>
      <c r="E2768" s="15" t="s">
        <v>73</v>
      </c>
      <c r="F2768" s="15" t="s">
        <v>16281</v>
      </c>
      <c r="G2768" s="15" t="s">
        <v>12515</v>
      </c>
      <c r="H2768" s="15">
        <v>6</v>
      </c>
      <c r="I2768" s="15">
        <v>6</v>
      </c>
      <c r="J2768" s="15">
        <v>1</v>
      </c>
      <c r="K2768" s="15" t="str">
        <f t="shared" si="43"/>
        <v>bloodbrinespectralcurrent</v>
      </c>
      <c r="L2768" s="15" t="s">
        <v>12294</v>
      </c>
      <c r="M2768" s="15">
        <v>1</v>
      </c>
      <c r="N2768" s="15" t="s">
        <v>11222</v>
      </c>
      <c r="O2768" s="15"/>
      <c r="P2768" s="15"/>
      <c r="Q2768" s="15"/>
      <c r="R2768" s="15"/>
      <c r="S2768" s="15"/>
      <c r="T2768" s="15">
        <v>0</v>
      </c>
      <c r="U2768" s="15"/>
      <c r="V2768" s="15"/>
      <c r="W2768" s="15"/>
      <c r="X2768" s="15"/>
      <c r="Y2768" s="15"/>
      <c r="Z2768" s="15"/>
    </row>
    <row r="2769" spans="1:26" x14ac:dyDescent="0.25">
      <c r="A2769" s="15" t="s">
        <v>16285</v>
      </c>
      <c r="B2769" s="15">
        <v>2768</v>
      </c>
      <c r="C2769" s="15" t="s">
        <v>11277</v>
      </c>
      <c r="D2769" s="15" t="s">
        <v>11277</v>
      </c>
      <c r="E2769" s="15" t="s">
        <v>73</v>
      </c>
      <c r="F2769" s="15" t="s">
        <v>16281</v>
      </c>
      <c r="G2769" s="15" t="s">
        <v>12517</v>
      </c>
      <c r="H2769" s="15">
        <v>6</v>
      </c>
      <c r="I2769" s="15">
        <v>6</v>
      </c>
      <c r="J2769" s="15">
        <v>1</v>
      </c>
      <c r="K2769" s="15" t="str">
        <f t="shared" si="43"/>
        <v>bloodbrinespectralcurrent</v>
      </c>
      <c r="L2769" s="15" t="s">
        <v>11234</v>
      </c>
      <c r="M2769" s="15">
        <v>2</v>
      </c>
      <c r="N2769" s="15" t="s">
        <v>11223</v>
      </c>
      <c r="O2769" s="15"/>
      <c r="P2769" s="15"/>
      <c r="Q2769" s="15"/>
      <c r="R2769" s="15"/>
      <c r="S2769" s="15"/>
      <c r="T2769" s="15">
        <v>0</v>
      </c>
      <c r="U2769" s="15"/>
      <c r="V2769" s="15"/>
      <c r="W2769" s="15"/>
      <c r="X2769" s="15"/>
      <c r="Y2769" s="15"/>
      <c r="Z2769" s="15"/>
    </row>
    <row r="2770" spans="1:26" x14ac:dyDescent="0.25">
      <c r="A2770" s="15" t="s">
        <v>16286</v>
      </c>
      <c r="B2770" s="15">
        <v>2769</v>
      </c>
      <c r="C2770" s="15" t="s">
        <v>11277</v>
      </c>
      <c r="D2770" s="15" t="s">
        <v>11277</v>
      </c>
      <c r="E2770" s="15" t="s">
        <v>73</v>
      </c>
      <c r="F2770" s="15" t="s">
        <v>16281</v>
      </c>
      <c r="G2770" s="15" t="s">
        <v>12519</v>
      </c>
      <c r="H2770" s="15">
        <v>6</v>
      </c>
      <c r="I2770" s="15">
        <v>6</v>
      </c>
      <c r="J2770" s="15">
        <v>1</v>
      </c>
      <c r="K2770" s="15" t="str">
        <f t="shared" si="43"/>
        <v>bloodbrinespectralcurrent</v>
      </c>
      <c r="L2770" s="15" t="s">
        <v>12294</v>
      </c>
      <c r="M2770" s="15">
        <v>1</v>
      </c>
      <c r="N2770" s="15" t="s">
        <v>11222</v>
      </c>
      <c r="O2770" s="15" t="s">
        <v>14023</v>
      </c>
      <c r="P2770" s="15"/>
      <c r="Q2770" s="15"/>
      <c r="R2770" s="15"/>
      <c r="S2770" s="15"/>
      <c r="T2770" s="15">
        <v>0</v>
      </c>
      <c r="U2770" s="15"/>
      <c r="V2770" s="15"/>
      <c r="W2770" s="15"/>
      <c r="X2770" s="15"/>
      <c r="Y2770" s="15"/>
      <c r="Z2770" s="15"/>
    </row>
    <row r="2771" spans="1:26" x14ac:dyDescent="0.25">
      <c r="A2771" s="15" t="s">
        <v>16287</v>
      </c>
      <c r="B2771" s="15">
        <v>2770</v>
      </c>
      <c r="C2771" s="15" t="s">
        <v>11277</v>
      </c>
      <c r="D2771" s="15" t="s">
        <v>11277</v>
      </c>
      <c r="E2771" s="15" t="s">
        <v>73</v>
      </c>
      <c r="F2771" s="15" t="s">
        <v>16281</v>
      </c>
      <c r="G2771" s="15" t="s">
        <v>12521</v>
      </c>
      <c r="H2771" s="15">
        <v>6</v>
      </c>
      <c r="I2771" s="15">
        <v>6</v>
      </c>
      <c r="J2771" s="15">
        <v>1</v>
      </c>
      <c r="K2771" s="15" t="str">
        <f t="shared" si="43"/>
        <v>bloodbrinespectralcurrent</v>
      </c>
      <c r="L2771" s="15" t="s">
        <v>12298</v>
      </c>
      <c r="M2771" s="15">
        <v>2</v>
      </c>
      <c r="N2771" s="15" t="s">
        <v>11223</v>
      </c>
      <c r="O2771" s="15"/>
      <c r="P2771" s="15"/>
      <c r="Q2771" s="15"/>
      <c r="R2771" s="15"/>
      <c r="S2771" s="15"/>
      <c r="T2771" s="15">
        <v>0</v>
      </c>
      <c r="U2771" s="15"/>
      <c r="V2771" s="15"/>
      <c r="W2771" s="15"/>
      <c r="X2771" s="15"/>
      <c r="Y2771" s="15"/>
      <c r="Z2771" s="15"/>
    </row>
    <row r="2772" spans="1:26" x14ac:dyDescent="0.25">
      <c r="A2772" s="15" t="s">
        <v>16288</v>
      </c>
      <c r="B2772" s="15">
        <v>2771</v>
      </c>
      <c r="C2772" s="15" t="s">
        <v>11277</v>
      </c>
      <c r="D2772" s="15" t="s">
        <v>11277</v>
      </c>
      <c r="E2772" s="15" t="s">
        <v>73</v>
      </c>
      <c r="F2772" s="15" t="s">
        <v>16281</v>
      </c>
      <c r="G2772" s="15" t="s">
        <v>12523</v>
      </c>
      <c r="H2772" s="15">
        <v>6</v>
      </c>
      <c r="I2772" s="15">
        <v>6</v>
      </c>
      <c r="J2772" s="15">
        <v>1</v>
      </c>
      <c r="K2772" s="15" t="str">
        <f t="shared" si="43"/>
        <v>bloodbrinespectralcurrent</v>
      </c>
      <c r="L2772" s="15" t="s">
        <v>12298</v>
      </c>
      <c r="M2772" s="15">
        <v>3</v>
      </c>
      <c r="N2772" s="15" t="s">
        <v>11223</v>
      </c>
      <c r="O2772" s="15"/>
      <c r="P2772" s="15"/>
      <c r="Q2772" s="15"/>
      <c r="R2772" s="15"/>
      <c r="S2772" s="15"/>
      <c r="T2772" s="15">
        <v>0</v>
      </c>
      <c r="U2772" s="15"/>
      <c r="V2772" s="15"/>
      <c r="W2772" s="15"/>
      <c r="X2772" s="15"/>
      <c r="Y2772" s="15"/>
      <c r="Z2772" s="15"/>
    </row>
    <row r="2773" spans="1:26" x14ac:dyDescent="0.25">
      <c r="A2773" s="15" t="s">
        <v>16289</v>
      </c>
      <c r="B2773" s="15">
        <v>2772</v>
      </c>
      <c r="C2773" s="15" t="s">
        <v>11277</v>
      </c>
      <c r="D2773" s="15" t="s">
        <v>11277</v>
      </c>
      <c r="E2773" s="15" t="s">
        <v>73</v>
      </c>
      <c r="F2773" s="15" t="s">
        <v>16281</v>
      </c>
      <c r="G2773" s="15" t="s">
        <v>12525</v>
      </c>
      <c r="H2773" s="15">
        <v>6</v>
      </c>
      <c r="I2773" s="15">
        <v>6</v>
      </c>
      <c r="J2773" s="15">
        <v>1</v>
      </c>
      <c r="K2773" s="15" t="str">
        <f t="shared" si="43"/>
        <v>bloodbrinespectralcurrent</v>
      </c>
      <c r="L2773" s="15" t="s">
        <v>12298</v>
      </c>
      <c r="M2773" s="15">
        <v>3</v>
      </c>
      <c r="N2773" s="15" t="s">
        <v>11223</v>
      </c>
      <c r="O2773" s="15"/>
      <c r="P2773" s="15"/>
      <c r="Q2773" s="15"/>
      <c r="R2773" s="15"/>
      <c r="S2773" s="15"/>
      <c r="T2773" s="15">
        <v>0</v>
      </c>
      <c r="U2773" s="15"/>
      <c r="V2773" s="15"/>
      <c r="W2773" s="15"/>
      <c r="X2773" s="15"/>
      <c r="Y2773" s="15"/>
      <c r="Z2773" s="15"/>
    </row>
    <row r="2774" spans="1:26" x14ac:dyDescent="0.25">
      <c r="A2774" s="15" t="s">
        <v>16290</v>
      </c>
      <c r="B2774" s="15">
        <v>2773</v>
      </c>
      <c r="C2774" s="15" t="s">
        <v>11277</v>
      </c>
      <c r="D2774" s="15" t="s">
        <v>11277</v>
      </c>
      <c r="E2774" s="15" t="s">
        <v>102</v>
      </c>
      <c r="F2774" s="15" t="s">
        <v>16281</v>
      </c>
      <c r="G2774" s="15" t="s">
        <v>12527</v>
      </c>
      <c r="H2774" s="15">
        <v>6</v>
      </c>
      <c r="I2774" s="15">
        <v>6</v>
      </c>
      <c r="J2774" s="15">
        <v>80</v>
      </c>
      <c r="K2774" s="15" t="str">
        <f t="shared" si="43"/>
        <v>bloodbrinespectralcurrent</v>
      </c>
      <c r="L2774" s="15" t="s">
        <v>11234</v>
      </c>
      <c r="M2774" s="15">
        <v>3</v>
      </c>
      <c r="N2774" s="15" t="s">
        <v>11222</v>
      </c>
      <c r="O2774" s="15" t="s">
        <v>14023</v>
      </c>
      <c r="P2774" s="15"/>
      <c r="Q2774" s="15"/>
      <c r="R2774" s="15"/>
      <c r="S2774" s="15"/>
      <c r="T2774" s="15">
        <v>0</v>
      </c>
      <c r="U2774" s="15"/>
      <c r="V2774" s="15"/>
      <c r="W2774" s="15"/>
      <c r="X2774" s="15"/>
      <c r="Y2774" s="15"/>
      <c r="Z2774" s="15"/>
    </row>
    <row r="2775" spans="1:26" x14ac:dyDescent="0.25">
      <c r="A2775" s="15" t="s">
        <v>16291</v>
      </c>
      <c r="B2775" s="15">
        <v>2774</v>
      </c>
      <c r="C2775" s="15" t="s">
        <v>11277</v>
      </c>
      <c r="D2775" s="15" t="s">
        <v>11277</v>
      </c>
      <c r="E2775" s="15" t="s">
        <v>73</v>
      </c>
      <c r="F2775" s="15" t="s">
        <v>16292</v>
      </c>
      <c r="G2775" s="15" t="s">
        <v>12529</v>
      </c>
      <c r="H2775" s="15">
        <v>6</v>
      </c>
      <c r="I2775" s="15">
        <v>6</v>
      </c>
      <c r="J2775" s="15">
        <v>1</v>
      </c>
      <c r="K2775" s="15" t="str">
        <f t="shared" si="43"/>
        <v>outerrothlytsound</v>
      </c>
      <c r="L2775" s="15" t="s">
        <v>12294</v>
      </c>
      <c r="M2775" s="15">
        <v>1</v>
      </c>
      <c r="N2775" s="15" t="s">
        <v>11222</v>
      </c>
      <c r="O2775" s="15"/>
      <c r="P2775" s="15"/>
      <c r="Q2775" s="15"/>
      <c r="R2775" s="15"/>
      <c r="S2775" s="15"/>
      <c r="T2775" s="15">
        <v>0</v>
      </c>
      <c r="U2775" s="15"/>
      <c r="V2775" s="15"/>
      <c r="W2775" s="15"/>
      <c r="X2775" s="15"/>
      <c r="Y2775" s="15"/>
      <c r="Z2775" s="15"/>
    </row>
    <row r="2776" spans="1:26" x14ac:dyDescent="0.25">
      <c r="A2776" s="15" t="s">
        <v>16293</v>
      </c>
      <c r="B2776" s="15">
        <v>2775</v>
      </c>
      <c r="C2776" s="15" t="s">
        <v>11277</v>
      </c>
      <c r="D2776" s="15" t="s">
        <v>11277</v>
      </c>
      <c r="E2776" s="15" t="s">
        <v>73</v>
      </c>
      <c r="F2776" s="15" t="s">
        <v>16292</v>
      </c>
      <c r="G2776" s="15" t="s">
        <v>12531</v>
      </c>
      <c r="H2776" s="15">
        <v>6</v>
      </c>
      <c r="I2776" s="15">
        <v>6</v>
      </c>
      <c r="J2776" s="15">
        <v>1</v>
      </c>
      <c r="K2776" s="15" t="str">
        <f t="shared" si="43"/>
        <v>outerrothlytsound</v>
      </c>
      <c r="L2776" s="15" t="s">
        <v>12294</v>
      </c>
      <c r="M2776" s="15">
        <v>1</v>
      </c>
      <c r="N2776" s="15" t="s">
        <v>11222</v>
      </c>
      <c r="O2776" s="15"/>
      <c r="P2776" s="15"/>
      <c r="Q2776" s="15"/>
      <c r="R2776" s="15"/>
      <c r="S2776" s="15"/>
      <c r="T2776" s="15">
        <v>0</v>
      </c>
      <c r="U2776" s="15"/>
      <c r="V2776" s="15"/>
      <c r="W2776" s="15"/>
      <c r="X2776" s="15"/>
      <c r="Y2776" s="15"/>
      <c r="Z2776" s="15"/>
    </row>
    <row r="2777" spans="1:26" x14ac:dyDescent="0.25">
      <c r="A2777" s="15" t="s">
        <v>16294</v>
      </c>
      <c r="B2777" s="15">
        <v>2776</v>
      </c>
      <c r="C2777" s="15" t="s">
        <v>11277</v>
      </c>
      <c r="D2777" s="15" t="s">
        <v>11277</v>
      </c>
      <c r="E2777" s="15" t="s">
        <v>73</v>
      </c>
      <c r="F2777" s="15" t="s">
        <v>16292</v>
      </c>
      <c r="G2777" s="15" t="s">
        <v>12533</v>
      </c>
      <c r="H2777" s="15">
        <v>6</v>
      </c>
      <c r="I2777" s="15">
        <v>6</v>
      </c>
      <c r="J2777" s="15">
        <v>1</v>
      </c>
      <c r="K2777" s="15" t="str">
        <f t="shared" si="43"/>
        <v>outerrothlytsound</v>
      </c>
      <c r="L2777" s="15" t="s">
        <v>12296</v>
      </c>
      <c r="M2777" s="15">
        <v>2</v>
      </c>
      <c r="N2777" s="15" t="s">
        <v>11223</v>
      </c>
      <c r="O2777" s="15"/>
      <c r="P2777" s="15"/>
      <c r="Q2777" s="15"/>
      <c r="R2777" s="15"/>
      <c r="S2777" s="15"/>
      <c r="T2777" s="15">
        <v>0</v>
      </c>
      <c r="U2777" s="15"/>
      <c r="V2777" s="15"/>
      <c r="W2777" s="15"/>
      <c r="X2777" s="15"/>
      <c r="Y2777" s="15"/>
      <c r="Z2777" s="15"/>
    </row>
    <row r="2778" spans="1:26" x14ac:dyDescent="0.25">
      <c r="A2778" s="15" t="s">
        <v>16295</v>
      </c>
      <c r="B2778" s="15">
        <v>2777</v>
      </c>
      <c r="C2778" s="15" t="s">
        <v>11277</v>
      </c>
      <c r="D2778" s="15" t="s">
        <v>11277</v>
      </c>
      <c r="E2778" s="15" t="s">
        <v>73</v>
      </c>
      <c r="F2778" s="15" t="s">
        <v>16292</v>
      </c>
      <c r="G2778" s="15" t="s">
        <v>12535</v>
      </c>
      <c r="H2778" s="15">
        <v>6</v>
      </c>
      <c r="I2778" s="15">
        <v>6</v>
      </c>
      <c r="J2778" s="15">
        <v>1</v>
      </c>
      <c r="K2778" s="15" t="str">
        <f t="shared" si="43"/>
        <v>outerrothlytsound</v>
      </c>
      <c r="L2778" s="15" t="s">
        <v>12294</v>
      </c>
      <c r="M2778" s="15">
        <v>1</v>
      </c>
      <c r="N2778" s="15" t="s">
        <v>11222</v>
      </c>
      <c r="O2778" s="15"/>
      <c r="P2778" s="15"/>
      <c r="Q2778" s="15"/>
      <c r="R2778" s="15"/>
      <c r="S2778" s="15"/>
      <c r="T2778" s="15">
        <v>0</v>
      </c>
      <c r="U2778" s="15"/>
      <c r="V2778" s="15"/>
      <c r="W2778" s="15"/>
      <c r="X2778" s="15"/>
      <c r="Y2778" s="15"/>
      <c r="Z2778" s="15"/>
    </row>
    <row r="2779" spans="1:26" x14ac:dyDescent="0.25">
      <c r="A2779" s="15" t="s">
        <v>16296</v>
      </c>
      <c r="B2779" s="15">
        <v>2778</v>
      </c>
      <c r="C2779" s="15" t="s">
        <v>11277</v>
      </c>
      <c r="D2779" s="15" t="s">
        <v>11277</v>
      </c>
      <c r="E2779" s="15" t="s">
        <v>73</v>
      </c>
      <c r="F2779" s="15" t="s">
        <v>16292</v>
      </c>
      <c r="G2779" s="15" t="s">
        <v>12537</v>
      </c>
      <c r="H2779" s="15">
        <v>6</v>
      </c>
      <c r="I2779" s="15">
        <v>6</v>
      </c>
      <c r="J2779" s="15">
        <v>1</v>
      </c>
      <c r="K2779" s="15" t="str">
        <f t="shared" si="43"/>
        <v>outerrothlytsound</v>
      </c>
      <c r="L2779" s="15" t="s">
        <v>12298</v>
      </c>
      <c r="M2779" s="15">
        <v>2</v>
      </c>
      <c r="N2779" s="15" t="s">
        <v>11223</v>
      </c>
      <c r="O2779" s="15"/>
      <c r="P2779" s="15"/>
      <c r="Q2779" s="15"/>
      <c r="R2779" s="15"/>
      <c r="S2779" s="15"/>
      <c r="T2779" s="15">
        <v>0</v>
      </c>
      <c r="U2779" s="15"/>
      <c r="V2779" s="15"/>
      <c r="W2779" s="15"/>
      <c r="X2779" s="15"/>
      <c r="Y2779" s="15"/>
      <c r="Z2779" s="15"/>
    </row>
    <row r="2780" spans="1:26" x14ac:dyDescent="0.25">
      <c r="A2780" s="15" t="s">
        <v>16297</v>
      </c>
      <c r="B2780" s="15">
        <v>2779</v>
      </c>
      <c r="C2780" s="15" t="s">
        <v>11277</v>
      </c>
      <c r="D2780" s="15" t="s">
        <v>11277</v>
      </c>
      <c r="E2780" s="15" t="s">
        <v>73</v>
      </c>
      <c r="F2780" s="15" t="s">
        <v>16292</v>
      </c>
      <c r="G2780" s="15" t="s">
        <v>12539</v>
      </c>
      <c r="H2780" s="15">
        <v>6</v>
      </c>
      <c r="I2780" s="15">
        <v>6</v>
      </c>
      <c r="J2780" s="15">
        <v>1</v>
      </c>
      <c r="K2780" s="15" t="str">
        <f t="shared" si="43"/>
        <v>outerrothlytsound</v>
      </c>
      <c r="L2780" s="15" t="s">
        <v>12298</v>
      </c>
      <c r="M2780" s="15">
        <v>2</v>
      </c>
      <c r="N2780" s="15" t="s">
        <v>11223</v>
      </c>
      <c r="O2780" s="15"/>
      <c r="P2780" s="15"/>
      <c r="Q2780" s="15"/>
      <c r="R2780" s="15"/>
      <c r="S2780" s="15"/>
      <c r="T2780" s="15">
        <v>0</v>
      </c>
      <c r="U2780" s="15"/>
      <c r="V2780" s="15"/>
      <c r="W2780" s="15"/>
      <c r="X2780" s="15"/>
      <c r="Y2780" s="15"/>
      <c r="Z2780" s="15"/>
    </row>
    <row r="2781" spans="1:26" x14ac:dyDescent="0.25">
      <c r="A2781" s="15" t="s">
        <v>16298</v>
      </c>
      <c r="B2781" s="15">
        <v>2780</v>
      </c>
      <c r="C2781" s="15" t="s">
        <v>11277</v>
      </c>
      <c r="D2781" s="15" t="s">
        <v>11277</v>
      </c>
      <c r="E2781" s="15" t="s">
        <v>73</v>
      </c>
      <c r="F2781" s="15" t="s">
        <v>16292</v>
      </c>
      <c r="G2781" s="15" t="s">
        <v>12541</v>
      </c>
      <c r="H2781" s="15">
        <v>6</v>
      </c>
      <c r="I2781" s="15">
        <v>6</v>
      </c>
      <c r="J2781" s="15">
        <v>1</v>
      </c>
      <c r="K2781" s="15" t="str">
        <f t="shared" si="43"/>
        <v>outerrothlytsound</v>
      </c>
      <c r="L2781" s="15" t="s">
        <v>12296</v>
      </c>
      <c r="M2781" s="15">
        <v>3</v>
      </c>
      <c r="N2781" s="15" t="s">
        <v>11223</v>
      </c>
      <c r="O2781" s="15"/>
      <c r="P2781" s="15"/>
      <c r="Q2781" s="15"/>
      <c r="R2781" s="15"/>
      <c r="S2781" s="15"/>
      <c r="T2781" s="15">
        <v>0</v>
      </c>
      <c r="U2781" s="15"/>
      <c r="V2781" s="15"/>
      <c r="W2781" s="15"/>
      <c r="X2781" s="15"/>
      <c r="Y2781" s="15"/>
      <c r="Z2781" s="15"/>
    </row>
    <row r="2782" spans="1:26" x14ac:dyDescent="0.25">
      <c r="A2782" s="15" t="s">
        <v>16299</v>
      </c>
      <c r="B2782" s="15">
        <v>2781</v>
      </c>
      <c r="C2782" s="15" t="s">
        <v>11277</v>
      </c>
      <c r="D2782" s="15" t="s">
        <v>11277</v>
      </c>
      <c r="E2782" s="15" t="s">
        <v>73</v>
      </c>
      <c r="F2782" s="15" t="s">
        <v>16292</v>
      </c>
      <c r="G2782" s="15" t="s">
        <v>12543</v>
      </c>
      <c r="H2782" s="15">
        <v>6</v>
      </c>
      <c r="I2782" s="15">
        <v>6</v>
      </c>
      <c r="J2782" s="15">
        <v>1</v>
      </c>
      <c r="K2782" s="15" t="str">
        <f t="shared" si="43"/>
        <v>outerrothlytsound</v>
      </c>
      <c r="L2782" s="15" t="s">
        <v>12296</v>
      </c>
      <c r="M2782" s="15">
        <v>2</v>
      </c>
      <c r="N2782" s="15" t="s">
        <v>11223</v>
      </c>
      <c r="O2782" s="15"/>
      <c r="P2782" s="15"/>
      <c r="Q2782" s="15"/>
      <c r="R2782" s="15"/>
      <c r="S2782" s="15"/>
      <c r="T2782" s="15">
        <v>0</v>
      </c>
      <c r="U2782" s="15"/>
      <c r="V2782" s="15"/>
      <c r="W2782" s="15"/>
      <c r="X2782" s="15"/>
      <c r="Y2782" s="15"/>
      <c r="Z2782" s="15"/>
    </row>
    <row r="2783" spans="1:26" x14ac:dyDescent="0.25">
      <c r="A2783" s="15" t="s">
        <v>16300</v>
      </c>
      <c r="B2783" s="15">
        <v>2782</v>
      </c>
      <c r="C2783" s="15" t="s">
        <v>11277</v>
      </c>
      <c r="D2783" s="15" t="s">
        <v>11277</v>
      </c>
      <c r="E2783" s="15" t="s">
        <v>73</v>
      </c>
      <c r="F2783" s="15" t="s">
        <v>16292</v>
      </c>
      <c r="G2783" s="15" t="s">
        <v>12545</v>
      </c>
      <c r="H2783" s="15">
        <v>6</v>
      </c>
      <c r="I2783" s="15">
        <v>6</v>
      </c>
      <c r="J2783" s="15">
        <v>1</v>
      </c>
      <c r="K2783" s="15" t="str">
        <f t="shared" si="43"/>
        <v>outerrothlytsound</v>
      </c>
      <c r="L2783" s="15" t="s">
        <v>12298</v>
      </c>
      <c r="M2783" s="15">
        <v>3</v>
      </c>
      <c r="N2783" s="15" t="s">
        <v>11223</v>
      </c>
      <c r="O2783" s="15"/>
      <c r="P2783" s="15"/>
      <c r="Q2783" s="15"/>
      <c r="R2783" s="15"/>
      <c r="S2783" s="15"/>
      <c r="T2783" s="15">
        <v>0</v>
      </c>
      <c r="U2783" s="15"/>
      <c r="V2783" s="15"/>
      <c r="W2783" s="15"/>
      <c r="X2783" s="15"/>
      <c r="Y2783" s="15"/>
      <c r="Z2783" s="15"/>
    </row>
    <row r="2784" spans="1:26" x14ac:dyDescent="0.25">
      <c r="A2784" s="15" t="s">
        <v>16301</v>
      </c>
      <c r="B2784" s="15">
        <v>2783</v>
      </c>
      <c r="C2784" s="15" t="s">
        <v>11277</v>
      </c>
      <c r="D2784" s="15" t="s">
        <v>11277</v>
      </c>
      <c r="E2784" s="15" t="s">
        <v>73</v>
      </c>
      <c r="F2784" s="15" t="s">
        <v>16292</v>
      </c>
      <c r="G2784" s="15" t="s">
        <v>12547</v>
      </c>
      <c r="H2784" s="15">
        <v>6</v>
      </c>
      <c r="I2784" s="15">
        <v>6</v>
      </c>
      <c r="J2784" s="15">
        <v>1</v>
      </c>
      <c r="K2784" s="15" t="str">
        <f t="shared" si="43"/>
        <v>outerrothlytsound</v>
      </c>
      <c r="L2784" s="15" t="s">
        <v>12294</v>
      </c>
      <c r="M2784" s="15">
        <v>3</v>
      </c>
      <c r="N2784" s="15" t="s">
        <v>11222</v>
      </c>
      <c r="O2784" s="15"/>
      <c r="P2784" s="15"/>
      <c r="Q2784" s="15"/>
      <c r="R2784" s="15"/>
      <c r="S2784" s="15"/>
      <c r="T2784" s="15">
        <v>0</v>
      </c>
      <c r="U2784" s="15"/>
      <c r="V2784" s="15"/>
      <c r="W2784" s="15"/>
      <c r="X2784" s="15"/>
      <c r="Y2784" s="15"/>
      <c r="Z2784" s="15"/>
    </row>
    <row r="2785" spans="1:26" x14ac:dyDescent="0.25">
      <c r="A2785" s="15" t="s">
        <v>16302</v>
      </c>
      <c r="B2785" s="15">
        <v>2784</v>
      </c>
      <c r="C2785" s="15" t="s">
        <v>11277</v>
      </c>
      <c r="D2785" s="15" t="s">
        <v>11277</v>
      </c>
      <c r="E2785" s="15" t="s">
        <v>73</v>
      </c>
      <c r="F2785" s="15" t="s">
        <v>16303</v>
      </c>
      <c r="G2785" s="15" t="s">
        <v>12549</v>
      </c>
      <c r="H2785" s="15">
        <v>6</v>
      </c>
      <c r="I2785" s="15">
        <v>6</v>
      </c>
      <c r="J2785" s="15">
        <v>1</v>
      </c>
      <c r="K2785" s="15" t="str">
        <f t="shared" si="43"/>
        <v>rothlytspectralcurrent</v>
      </c>
      <c r="L2785" s="15" t="s">
        <v>12294</v>
      </c>
      <c r="M2785" s="15">
        <v>1</v>
      </c>
      <c r="N2785" s="15" t="s">
        <v>11222</v>
      </c>
      <c r="O2785" s="15" t="s">
        <v>14078</v>
      </c>
      <c r="P2785" s="15"/>
      <c r="Q2785" s="15"/>
      <c r="R2785" s="15"/>
      <c r="S2785" s="15"/>
      <c r="T2785" s="15">
        <v>0</v>
      </c>
      <c r="U2785" s="15"/>
      <c r="V2785" s="15"/>
      <c r="W2785" s="15"/>
      <c r="X2785" s="15"/>
      <c r="Y2785" s="15"/>
      <c r="Z2785" s="15"/>
    </row>
    <row r="2786" spans="1:26" x14ac:dyDescent="0.25">
      <c r="A2786" s="15" t="s">
        <v>16304</v>
      </c>
      <c r="B2786" s="15">
        <v>2785</v>
      </c>
      <c r="C2786" s="15" t="s">
        <v>11277</v>
      </c>
      <c r="D2786" s="15" t="s">
        <v>11277</v>
      </c>
      <c r="E2786" s="15" t="s">
        <v>73</v>
      </c>
      <c r="F2786" s="15" t="s">
        <v>16303</v>
      </c>
      <c r="G2786" s="15" t="s">
        <v>12551</v>
      </c>
      <c r="H2786" s="15">
        <v>6</v>
      </c>
      <c r="I2786" s="15">
        <v>6</v>
      </c>
      <c r="J2786" s="15">
        <v>1</v>
      </c>
      <c r="K2786" s="15" t="str">
        <f t="shared" si="43"/>
        <v>rothlytspectralcurrent</v>
      </c>
      <c r="L2786" s="15" t="s">
        <v>12298</v>
      </c>
      <c r="M2786" s="15">
        <v>2</v>
      </c>
      <c r="N2786" s="15" t="s">
        <v>11223</v>
      </c>
      <c r="O2786" s="15"/>
      <c r="P2786" s="15"/>
      <c r="Q2786" s="15"/>
      <c r="R2786" s="15"/>
      <c r="S2786" s="15"/>
      <c r="T2786" s="15">
        <v>0</v>
      </c>
      <c r="U2786" s="15"/>
      <c r="V2786" s="15"/>
      <c r="W2786" s="15"/>
      <c r="X2786" s="15"/>
      <c r="Y2786" s="15"/>
      <c r="Z2786" s="15"/>
    </row>
    <row r="2787" spans="1:26" x14ac:dyDescent="0.25">
      <c r="A2787" s="15" t="s">
        <v>16305</v>
      </c>
      <c r="B2787" s="15">
        <v>2786</v>
      </c>
      <c r="C2787" s="15" t="s">
        <v>11277</v>
      </c>
      <c r="D2787" s="15" t="s">
        <v>11277</v>
      </c>
      <c r="E2787" s="15" t="s">
        <v>73</v>
      </c>
      <c r="F2787" s="15" t="s">
        <v>16303</v>
      </c>
      <c r="G2787" s="15" t="s">
        <v>12553</v>
      </c>
      <c r="H2787" s="15">
        <v>6</v>
      </c>
      <c r="I2787" s="15">
        <v>6</v>
      </c>
      <c r="J2787" s="15">
        <v>1</v>
      </c>
      <c r="K2787" s="15" t="str">
        <f t="shared" si="43"/>
        <v>rothlytspectralcurrent</v>
      </c>
      <c r="L2787" s="15" t="s">
        <v>12294</v>
      </c>
      <c r="M2787" s="15">
        <v>1</v>
      </c>
      <c r="N2787" s="15" t="s">
        <v>11222</v>
      </c>
      <c r="O2787" s="15"/>
      <c r="P2787" s="15"/>
      <c r="Q2787" s="15"/>
      <c r="R2787" s="15"/>
      <c r="S2787" s="15"/>
      <c r="T2787" s="15">
        <v>0</v>
      </c>
      <c r="U2787" s="15"/>
      <c r="V2787" s="15"/>
      <c r="W2787" s="15"/>
      <c r="X2787" s="15"/>
      <c r="Y2787" s="15"/>
      <c r="Z2787" s="15"/>
    </row>
    <row r="2788" spans="1:26" x14ac:dyDescent="0.25">
      <c r="A2788" s="15" t="s">
        <v>16306</v>
      </c>
      <c r="B2788" s="15">
        <v>2787</v>
      </c>
      <c r="C2788" s="15" t="s">
        <v>11277</v>
      </c>
      <c r="D2788" s="15" t="s">
        <v>11277</v>
      </c>
      <c r="E2788" s="15" t="s">
        <v>73</v>
      </c>
      <c r="F2788" s="15" t="s">
        <v>16303</v>
      </c>
      <c r="G2788" s="15" t="s">
        <v>12555</v>
      </c>
      <c r="H2788" s="15">
        <v>6</v>
      </c>
      <c r="I2788" s="15">
        <v>6</v>
      </c>
      <c r="J2788" s="15">
        <v>1</v>
      </c>
      <c r="K2788" s="15" t="str">
        <f t="shared" si="43"/>
        <v>rothlytspectralcurrent</v>
      </c>
      <c r="L2788" s="15" t="s">
        <v>12296</v>
      </c>
      <c r="M2788" s="15">
        <v>2</v>
      </c>
      <c r="N2788" s="15" t="s">
        <v>11223</v>
      </c>
      <c r="O2788" s="15"/>
      <c r="P2788" s="15"/>
      <c r="Q2788" s="15"/>
      <c r="R2788" s="15"/>
      <c r="S2788" s="15"/>
      <c r="T2788" s="15">
        <v>0</v>
      </c>
      <c r="U2788" s="15"/>
      <c r="V2788" s="15"/>
      <c r="W2788" s="15"/>
      <c r="X2788" s="15"/>
      <c r="Y2788" s="15"/>
      <c r="Z2788" s="15"/>
    </row>
    <row r="2789" spans="1:26" x14ac:dyDescent="0.25">
      <c r="A2789" s="15" t="s">
        <v>16307</v>
      </c>
      <c r="B2789" s="15">
        <v>2788</v>
      </c>
      <c r="C2789" s="15" t="s">
        <v>11277</v>
      </c>
      <c r="D2789" s="15" t="s">
        <v>11277</v>
      </c>
      <c r="E2789" s="15" t="s">
        <v>73</v>
      </c>
      <c r="F2789" s="15" t="s">
        <v>16303</v>
      </c>
      <c r="G2789" s="15" t="s">
        <v>12557</v>
      </c>
      <c r="H2789" s="15">
        <v>6</v>
      </c>
      <c r="I2789" s="15">
        <v>6</v>
      </c>
      <c r="J2789" s="15">
        <v>1</v>
      </c>
      <c r="K2789" s="15" t="str">
        <f t="shared" si="43"/>
        <v>rothlytspectralcurrent</v>
      </c>
      <c r="L2789" s="15" t="s">
        <v>12296</v>
      </c>
      <c r="M2789" s="15">
        <v>2</v>
      </c>
      <c r="N2789" s="15" t="s">
        <v>11223</v>
      </c>
      <c r="O2789" s="15" t="s">
        <v>14078</v>
      </c>
      <c r="P2789" s="15"/>
      <c r="Q2789" s="15"/>
      <c r="R2789" s="15"/>
      <c r="S2789" s="15"/>
      <c r="T2789" s="15">
        <v>0</v>
      </c>
      <c r="U2789" s="15"/>
      <c r="V2789" s="15"/>
      <c r="W2789" s="15"/>
      <c r="X2789" s="15"/>
      <c r="Y2789" s="15"/>
      <c r="Z2789" s="15"/>
    </row>
    <row r="2790" spans="1:26" x14ac:dyDescent="0.25">
      <c r="A2790" s="15" t="s">
        <v>16308</v>
      </c>
      <c r="B2790" s="15">
        <v>2789</v>
      </c>
      <c r="C2790" s="15" t="s">
        <v>11277</v>
      </c>
      <c r="D2790" s="15" t="s">
        <v>11277</v>
      </c>
      <c r="E2790" s="15" t="s">
        <v>73</v>
      </c>
      <c r="F2790" s="15" t="s">
        <v>16303</v>
      </c>
      <c r="G2790" s="15" t="s">
        <v>12559</v>
      </c>
      <c r="H2790" s="15">
        <v>6</v>
      </c>
      <c r="I2790" s="15">
        <v>6</v>
      </c>
      <c r="J2790" s="15">
        <v>1</v>
      </c>
      <c r="K2790" s="15" t="str">
        <f t="shared" si="43"/>
        <v>rothlytspectralcurrent</v>
      </c>
      <c r="L2790" s="15" t="s">
        <v>12553</v>
      </c>
      <c r="M2790" s="15">
        <v>1</v>
      </c>
      <c r="N2790" s="15" t="s">
        <v>11222</v>
      </c>
      <c r="O2790" s="15"/>
      <c r="P2790" s="15"/>
      <c r="Q2790" s="15"/>
      <c r="R2790" s="15"/>
      <c r="S2790" s="15"/>
      <c r="T2790" s="15">
        <v>0</v>
      </c>
      <c r="U2790" s="15"/>
      <c r="V2790" s="15"/>
      <c r="W2790" s="15"/>
      <c r="X2790" s="15"/>
      <c r="Y2790" s="15"/>
      <c r="Z2790" s="15"/>
    </row>
    <row r="2791" spans="1:26" x14ac:dyDescent="0.25">
      <c r="A2791" s="15" t="s">
        <v>16309</v>
      </c>
      <c r="B2791" s="15">
        <v>2790</v>
      </c>
      <c r="C2791" s="15" t="s">
        <v>11277</v>
      </c>
      <c r="D2791" s="15" t="s">
        <v>11277</v>
      </c>
      <c r="E2791" s="15" t="s">
        <v>73</v>
      </c>
      <c r="F2791" s="15" t="s">
        <v>16303</v>
      </c>
      <c r="G2791" s="15" t="s">
        <v>12561</v>
      </c>
      <c r="H2791" s="15">
        <v>6</v>
      </c>
      <c r="I2791" s="15">
        <v>6</v>
      </c>
      <c r="J2791" s="15">
        <v>1</v>
      </c>
      <c r="K2791" s="15" t="str">
        <f t="shared" si="43"/>
        <v>rothlytspectralcurrent</v>
      </c>
      <c r="L2791" s="15" t="s">
        <v>12298</v>
      </c>
      <c r="M2791" s="15">
        <v>2</v>
      </c>
      <c r="N2791" s="15" t="s">
        <v>11223</v>
      </c>
      <c r="O2791" s="15" t="s">
        <v>14023</v>
      </c>
      <c r="P2791" s="15"/>
      <c r="Q2791" s="15"/>
      <c r="R2791" s="15"/>
      <c r="S2791" s="15"/>
      <c r="T2791" s="15">
        <v>0</v>
      </c>
      <c r="U2791" s="15"/>
      <c r="V2791" s="15"/>
      <c r="W2791" s="15"/>
      <c r="X2791" s="15"/>
      <c r="Y2791" s="15"/>
      <c r="Z2791" s="15"/>
    </row>
    <row r="2792" spans="1:26" x14ac:dyDescent="0.25">
      <c r="A2792" s="15" t="s">
        <v>16310</v>
      </c>
      <c r="B2792" s="15">
        <v>2791</v>
      </c>
      <c r="C2792" s="15" t="s">
        <v>11277</v>
      </c>
      <c r="D2792" s="15" t="s">
        <v>11277</v>
      </c>
      <c r="E2792" s="15" t="s">
        <v>73</v>
      </c>
      <c r="F2792" s="15" t="s">
        <v>16303</v>
      </c>
      <c r="G2792" s="15" t="s">
        <v>12563</v>
      </c>
      <c r="H2792" s="15">
        <v>6</v>
      </c>
      <c r="I2792" s="15">
        <v>6</v>
      </c>
      <c r="J2792" s="15">
        <v>1</v>
      </c>
      <c r="K2792" s="15" t="str">
        <f t="shared" si="43"/>
        <v>rothlytspectralcurrent</v>
      </c>
      <c r="L2792" s="15" t="s">
        <v>12294</v>
      </c>
      <c r="M2792" s="15">
        <v>1</v>
      </c>
      <c r="N2792" s="15" t="s">
        <v>11222</v>
      </c>
      <c r="O2792" s="15"/>
      <c r="P2792" s="15"/>
      <c r="Q2792" s="15"/>
      <c r="R2792" s="15"/>
      <c r="S2792" s="15"/>
      <c r="T2792" s="15">
        <v>0</v>
      </c>
      <c r="U2792" s="15"/>
      <c r="V2792" s="15"/>
      <c r="W2792" s="15"/>
      <c r="X2792" s="15"/>
      <c r="Y2792" s="15"/>
      <c r="Z2792" s="15"/>
    </row>
    <row r="2793" spans="1:26" x14ac:dyDescent="0.25">
      <c r="A2793" s="15" t="s">
        <v>16311</v>
      </c>
      <c r="B2793" s="15">
        <v>2792</v>
      </c>
      <c r="C2793" s="15" t="s">
        <v>11277</v>
      </c>
      <c r="D2793" s="15" t="s">
        <v>11277</v>
      </c>
      <c r="E2793" s="15" t="s">
        <v>73</v>
      </c>
      <c r="F2793" s="15" t="s">
        <v>16303</v>
      </c>
      <c r="G2793" s="15" t="s">
        <v>12565</v>
      </c>
      <c r="H2793" s="15">
        <v>6</v>
      </c>
      <c r="I2793" s="15">
        <v>6</v>
      </c>
      <c r="J2793" s="15">
        <v>1</v>
      </c>
      <c r="K2793" s="15" t="str">
        <f t="shared" si="43"/>
        <v>rothlytspectralcurrent</v>
      </c>
      <c r="L2793" s="15" t="s">
        <v>12296</v>
      </c>
      <c r="M2793" s="15">
        <v>2</v>
      </c>
      <c r="N2793" s="15" t="s">
        <v>11223</v>
      </c>
      <c r="O2793" s="15"/>
      <c r="P2793" s="15"/>
      <c r="Q2793" s="15"/>
      <c r="R2793" s="15"/>
      <c r="S2793" s="15"/>
      <c r="T2793" s="15">
        <v>0</v>
      </c>
      <c r="U2793" s="15"/>
      <c r="V2793" s="15"/>
      <c r="W2793" s="15"/>
      <c r="X2793" s="15"/>
      <c r="Y2793" s="15"/>
      <c r="Z2793" s="15"/>
    </row>
    <row r="2794" spans="1:26" x14ac:dyDescent="0.25">
      <c r="A2794" s="15" t="s">
        <v>16312</v>
      </c>
      <c r="B2794" s="15">
        <v>2793</v>
      </c>
      <c r="C2794" s="15" t="s">
        <v>11277</v>
      </c>
      <c r="D2794" s="15" t="s">
        <v>11277</v>
      </c>
      <c r="E2794" s="15" t="s">
        <v>102</v>
      </c>
      <c r="F2794" s="15" t="s">
        <v>16303</v>
      </c>
      <c r="G2794" s="15" t="s">
        <v>12567</v>
      </c>
      <c r="H2794" s="15">
        <v>6</v>
      </c>
      <c r="I2794" s="15">
        <v>6</v>
      </c>
      <c r="J2794" s="15">
        <v>80</v>
      </c>
      <c r="K2794" s="15" t="str">
        <f t="shared" si="43"/>
        <v>rothlytspectralcurrent</v>
      </c>
      <c r="L2794" s="15" t="s">
        <v>12553</v>
      </c>
      <c r="M2794" s="15">
        <v>3</v>
      </c>
      <c r="N2794" s="15" t="s">
        <v>11223</v>
      </c>
      <c r="O2794" s="15" t="s">
        <v>14052</v>
      </c>
      <c r="P2794" s="15"/>
      <c r="Q2794" s="15"/>
      <c r="R2794" s="15"/>
      <c r="S2794" s="15"/>
      <c r="T2794" s="15">
        <v>0</v>
      </c>
      <c r="U2794" s="15"/>
      <c r="V2794" s="15"/>
      <c r="W2794" s="15"/>
      <c r="X2794" s="15"/>
      <c r="Y2794" s="15"/>
      <c r="Z2794" s="15"/>
    </row>
    <row r="2795" spans="1:26" x14ac:dyDescent="0.25">
      <c r="A2795" s="15" t="s">
        <v>16313</v>
      </c>
      <c r="B2795" s="15">
        <v>2794</v>
      </c>
      <c r="C2795" s="15" t="s">
        <v>11277</v>
      </c>
      <c r="D2795" s="15" t="s">
        <v>11277</v>
      </c>
      <c r="E2795" s="15" t="s">
        <v>73</v>
      </c>
      <c r="F2795" s="15" t="s">
        <v>16314</v>
      </c>
      <c r="G2795" s="15" t="s">
        <v>12569</v>
      </c>
      <c r="H2795" s="15">
        <v>6</v>
      </c>
      <c r="I2795" s="15">
        <v>6</v>
      </c>
      <c r="J2795" s="15">
        <v>1</v>
      </c>
      <c r="K2795" s="15" t="str">
        <f t="shared" si="43"/>
        <v>opensirensongsea</v>
      </c>
      <c r="L2795" s="15" t="s">
        <v>12298</v>
      </c>
      <c r="M2795" s="15">
        <v>2</v>
      </c>
      <c r="N2795" s="15" t="s">
        <v>11223</v>
      </c>
      <c r="O2795" s="15"/>
      <c r="P2795" s="15"/>
      <c r="Q2795" s="15"/>
      <c r="R2795" s="15"/>
      <c r="S2795" s="15"/>
      <c r="T2795" s="15">
        <v>0</v>
      </c>
      <c r="U2795" s="15"/>
      <c r="V2795" s="15"/>
      <c r="W2795" s="15"/>
      <c r="X2795" s="15"/>
      <c r="Y2795" s="15"/>
      <c r="Z2795" s="15"/>
    </row>
    <row r="2796" spans="1:26" x14ac:dyDescent="0.25">
      <c r="A2796" s="15" t="s">
        <v>16315</v>
      </c>
      <c r="B2796" s="15">
        <v>2795</v>
      </c>
      <c r="C2796" s="15" t="s">
        <v>11277</v>
      </c>
      <c r="D2796" s="15" t="s">
        <v>11277</v>
      </c>
      <c r="E2796" s="15" t="s">
        <v>73</v>
      </c>
      <c r="F2796" s="15" t="s">
        <v>16314</v>
      </c>
      <c r="G2796" s="15" t="s">
        <v>12571</v>
      </c>
      <c r="H2796" s="15">
        <v>6</v>
      </c>
      <c r="I2796" s="15">
        <v>6</v>
      </c>
      <c r="J2796" s="15">
        <v>1</v>
      </c>
      <c r="K2796" s="15" t="str">
        <f t="shared" si="43"/>
        <v>opensirensongsea</v>
      </c>
      <c r="L2796" s="15" t="s">
        <v>12294</v>
      </c>
      <c r="M2796" s="15">
        <v>1</v>
      </c>
      <c r="N2796" s="15" t="s">
        <v>11222</v>
      </c>
      <c r="O2796" s="15"/>
      <c r="P2796" s="15"/>
      <c r="Q2796" s="15"/>
      <c r="R2796" s="15"/>
      <c r="S2796" s="15"/>
      <c r="T2796" s="15">
        <v>0</v>
      </c>
      <c r="U2796" s="15"/>
      <c r="V2796" s="15"/>
      <c r="W2796" s="15"/>
      <c r="X2796" s="15"/>
      <c r="Y2796" s="15"/>
      <c r="Z2796" s="15"/>
    </row>
    <row r="2797" spans="1:26" x14ac:dyDescent="0.25">
      <c r="A2797" s="15" t="s">
        <v>16316</v>
      </c>
      <c r="B2797" s="15">
        <v>2796</v>
      </c>
      <c r="C2797" s="15" t="s">
        <v>11277</v>
      </c>
      <c r="D2797" s="15" t="s">
        <v>11277</v>
      </c>
      <c r="E2797" s="15" t="s">
        <v>73</v>
      </c>
      <c r="F2797" s="15" t="s">
        <v>16314</v>
      </c>
      <c r="G2797" s="15" t="s">
        <v>12573</v>
      </c>
      <c r="H2797" s="15">
        <v>6</v>
      </c>
      <c r="I2797" s="15">
        <v>6</v>
      </c>
      <c r="J2797" s="15">
        <v>1</v>
      </c>
      <c r="K2797" s="15" t="str">
        <f t="shared" si="43"/>
        <v>opensirensongsea</v>
      </c>
      <c r="L2797" s="15" t="s">
        <v>12296</v>
      </c>
      <c r="M2797" s="15">
        <v>2</v>
      </c>
      <c r="N2797" s="15" t="s">
        <v>11223</v>
      </c>
      <c r="O2797" s="15"/>
      <c r="P2797" s="15"/>
      <c r="Q2797" s="15"/>
      <c r="R2797" s="15"/>
      <c r="S2797" s="15"/>
      <c r="T2797" s="15">
        <v>0</v>
      </c>
      <c r="U2797" s="15"/>
      <c r="V2797" s="15"/>
      <c r="W2797" s="15"/>
      <c r="X2797" s="15"/>
      <c r="Y2797" s="15"/>
      <c r="Z2797" s="15"/>
    </row>
    <row r="2798" spans="1:26" x14ac:dyDescent="0.25">
      <c r="A2798" s="15" t="s">
        <v>16317</v>
      </c>
      <c r="B2798" s="15">
        <v>2797</v>
      </c>
      <c r="C2798" s="15" t="s">
        <v>11277</v>
      </c>
      <c r="D2798" s="15" t="s">
        <v>11277</v>
      </c>
      <c r="E2798" s="15" t="s">
        <v>73</v>
      </c>
      <c r="F2798" s="15" t="s">
        <v>16314</v>
      </c>
      <c r="G2798" s="15" t="s">
        <v>12575</v>
      </c>
      <c r="H2798" s="15">
        <v>6</v>
      </c>
      <c r="I2798" s="15">
        <v>6</v>
      </c>
      <c r="J2798" s="15">
        <v>1</v>
      </c>
      <c r="K2798" s="15" t="str">
        <f t="shared" si="43"/>
        <v>opensirensongsea</v>
      </c>
      <c r="L2798" s="15" t="s">
        <v>12296</v>
      </c>
      <c r="M2798" s="15">
        <v>1</v>
      </c>
      <c r="N2798" s="15" t="s">
        <v>11222</v>
      </c>
      <c r="O2798" s="15"/>
      <c r="P2798" s="15"/>
      <c r="Q2798" s="15"/>
      <c r="R2798" s="15"/>
      <c r="S2798" s="15"/>
      <c r="T2798" s="15">
        <v>0</v>
      </c>
      <c r="U2798" s="15"/>
      <c r="V2798" s="15"/>
      <c r="W2798" s="15"/>
      <c r="X2798" s="15"/>
      <c r="Y2798" s="15"/>
      <c r="Z2798" s="15"/>
    </row>
    <row r="2799" spans="1:26" x14ac:dyDescent="0.25">
      <c r="A2799" s="15" t="s">
        <v>16318</v>
      </c>
      <c r="B2799" s="15">
        <v>2798</v>
      </c>
      <c r="C2799" s="15" t="s">
        <v>11277</v>
      </c>
      <c r="D2799" s="15" t="s">
        <v>11277</v>
      </c>
      <c r="E2799" s="15" t="s">
        <v>73</v>
      </c>
      <c r="F2799" s="15" t="s">
        <v>16314</v>
      </c>
      <c r="G2799" s="15" t="s">
        <v>12577</v>
      </c>
      <c r="H2799" s="15">
        <v>6</v>
      </c>
      <c r="I2799" s="15">
        <v>6</v>
      </c>
      <c r="J2799" s="15">
        <v>1</v>
      </c>
      <c r="K2799" s="15" t="str">
        <f t="shared" si="43"/>
        <v>opensirensongsea</v>
      </c>
      <c r="L2799" s="15" t="s">
        <v>12296</v>
      </c>
      <c r="M2799" s="15">
        <v>2</v>
      </c>
      <c r="N2799" s="15" t="s">
        <v>11223</v>
      </c>
      <c r="O2799" s="15"/>
      <c r="P2799" s="15"/>
      <c r="Q2799" s="15"/>
      <c r="R2799" s="15"/>
      <c r="S2799" s="15"/>
      <c r="T2799" s="15">
        <v>0</v>
      </c>
      <c r="U2799" s="15"/>
      <c r="V2799" s="15"/>
      <c r="W2799" s="15"/>
      <c r="X2799" s="15"/>
      <c r="Y2799" s="15"/>
      <c r="Z2799" s="15"/>
    </row>
    <row r="2800" spans="1:26" x14ac:dyDescent="0.25">
      <c r="A2800" s="15" t="s">
        <v>16319</v>
      </c>
      <c r="B2800" s="15">
        <v>2799</v>
      </c>
      <c r="C2800" s="15" t="s">
        <v>11277</v>
      </c>
      <c r="D2800" s="15" t="s">
        <v>11277</v>
      </c>
      <c r="E2800" s="15" t="s">
        <v>73</v>
      </c>
      <c r="F2800" s="15" t="s">
        <v>16314</v>
      </c>
      <c r="G2800" s="15" t="s">
        <v>12579</v>
      </c>
      <c r="H2800" s="15">
        <v>6</v>
      </c>
      <c r="I2800" s="15">
        <v>6</v>
      </c>
      <c r="J2800" s="15">
        <v>1</v>
      </c>
      <c r="K2800" s="15" t="str">
        <f t="shared" si="43"/>
        <v>opensirensongsea</v>
      </c>
      <c r="L2800" s="15" t="s">
        <v>12294</v>
      </c>
      <c r="M2800" s="15">
        <v>1</v>
      </c>
      <c r="N2800" s="15" t="s">
        <v>11222</v>
      </c>
      <c r="O2800" s="15"/>
      <c r="P2800" s="15"/>
      <c r="Q2800" s="15"/>
      <c r="R2800" s="15"/>
      <c r="S2800" s="15"/>
      <c r="T2800" s="15">
        <v>0</v>
      </c>
      <c r="U2800" s="15"/>
      <c r="V2800" s="15"/>
      <c r="W2800" s="15"/>
      <c r="X2800" s="15"/>
      <c r="Y2800" s="15"/>
      <c r="Z2800" s="15"/>
    </row>
    <row r="2801" spans="1:26" x14ac:dyDescent="0.25">
      <c r="A2801" s="15" t="s">
        <v>16320</v>
      </c>
      <c r="B2801" s="15">
        <v>2800</v>
      </c>
      <c r="C2801" s="15" t="s">
        <v>11277</v>
      </c>
      <c r="D2801" s="15" t="s">
        <v>11277</v>
      </c>
      <c r="E2801" s="15" t="s">
        <v>73</v>
      </c>
      <c r="F2801" s="15" t="s">
        <v>16314</v>
      </c>
      <c r="G2801" s="15" t="s">
        <v>12581</v>
      </c>
      <c r="H2801" s="15">
        <v>6</v>
      </c>
      <c r="I2801" s="15">
        <v>6</v>
      </c>
      <c r="J2801" s="15">
        <v>1</v>
      </c>
      <c r="K2801" s="15" t="str">
        <f t="shared" si="43"/>
        <v>opensirensongsea</v>
      </c>
      <c r="L2801" s="15" t="s">
        <v>12294</v>
      </c>
      <c r="M2801" s="15">
        <v>1</v>
      </c>
      <c r="N2801" s="15" t="s">
        <v>11222</v>
      </c>
      <c r="O2801" s="15"/>
      <c r="P2801" s="15"/>
      <c r="Q2801" s="15"/>
      <c r="R2801" s="15"/>
      <c r="S2801" s="15"/>
      <c r="T2801" s="15">
        <v>0</v>
      </c>
      <c r="U2801" s="15"/>
      <c r="V2801" s="15"/>
      <c r="W2801" s="15"/>
      <c r="X2801" s="15"/>
      <c r="Y2801" s="15"/>
      <c r="Z2801" s="15"/>
    </row>
    <row r="2802" spans="1:26" x14ac:dyDescent="0.25">
      <c r="A2802" s="15" t="s">
        <v>16321</v>
      </c>
      <c r="B2802" s="15">
        <v>2801</v>
      </c>
      <c r="C2802" s="15" t="s">
        <v>11277</v>
      </c>
      <c r="D2802" s="15" t="s">
        <v>11277</v>
      </c>
      <c r="E2802" s="15" t="s">
        <v>73</v>
      </c>
      <c r="F2802" s="15" t="s">
        <v>16314</v>
      </c>
      <c r="G2802" s="15" t="s">
        <v>12583</v>
      </c>
      <c r="H2802" s="15">
        <v>6</v>
      </c>
      <c r="I2802" s="15">
        <v>6</v>
      </c>
      <c r="J2802" s="15">
        <v>1</v>
      </c>
      <c r="K2802" s="15" t="str">
        <f t="shared" si="43"/>
        <v>opensirensongsea</v>
      </c>
      <c r="L2802" s="15" t="s">
        <v>12298</v>
      </c>
      <c r="M2802" s="15">
        <v>3</v>
      </c>
      <c r="N2802" s="15" t="s">
        <v>11223</v>
      </c>
      <c r="O2802" s="15"/>
      <c r="P2802" s="15"/>
      <c r="Q2802" s="15"/>
      <c r="R2802" s="15"/>
      <c r="S2802" s="15"/>
      <c r="T2802" s="15">
        <v>0</v>
      </c>
      <c r="U2802" s="15"/>
      <c r="V2802" s="15"/>
      <c r="W2802" s="15"/>
      <c r="X2802" s="15"/>
      <c r="Y2802" s="15"/>
      <c r="Z2802" s="15"/>
    </row>
    <row r="2803" spans="1:26" x14ac:dyDescent="0.25">
      <c r="A2803" s="15" t="s">
        <v>16322</v>
      </c>
      <c r="B2803" s="15">
        <v>2802</v>
      </c>
      <c r="C2803" s="15" t="s">
        <v>11277</v>
      </c>
      <c r="D2803" s="15" t="s">
        <v>11277</v>
      </c>
      <c r="E2803" s="15" t="s">
        <v>73</v>
      </c>
      <c r="F2803" s="15" t="s">
        <v>16314</v>
      </c>
      <c r="G2803" s="15" t="s">
        <v>12585</v>
      </c>
      <c r="H2803" s="15">
        <v>6</v>
      </c>
      <c r="I2803" s="15">
        <v>6</v>
      </c>
      <c r="J2803" s="15">
        <v>1</v>
      </c>
      <c r="K2803" s="15" t="str">
        <f t="shared" si="43"/>
        <v>opensirensongsea</v>
      </c>
      <c r="L2803" s="15" t="s">
        <v>12298</v>
      </c>
      <c r="M2803" s="15">
        <v>3</v>
      </c>
      <c r="N2803" s="15" t="s">
        <v>11223</v>
      </c>
      <c r="O2803" s="15"/>
      <c r="P2803" s="15"/>
      <c r="Q2803" s="15"/>
      <c r="R2803" s="15"/>
      <c r="S2803" s="15"/>
      <c r="T2803" s="15">
        <v>0</v>
      </c>
      <c r="U2803" s="15" t="s">
        <v>5892</v>
      </c>
      <c r="V2803" s="15" t="s">
        <v>5908</v>
      </c>
      <c r="W2803" s="15" t="s">
        <v>5914</v>
      </c>
      <c r="X2803" s="15"/>
      <c r="Y2803" s="15"/>
      <c r="Z2803" s="15"/>
    </row>
    <row r="2804" spans="1:26" x14ac:dyDescent="0.25">
      <c r="A2804" s="15" t="s">
        <v>16323</v>
      </c>
      <c r="B2804" s="15">
        <v>2803</v>
      </c>
      <c r="C2804" s="15" t="s">
        <v>11277</v>
      </c>
      <c r="D2804" s="15" t="s">
        <v>11277</v>
      </c>
      <c r="E2804" s="15" t="s">
        <v>73</v>
      </c>
      <c r="F2804" s="15" t="s">
        <v>16314</v>
      </c>
      <c r="G2804" s="15" t="s">
        <v>12587</v>
      </c>
      <c r="H2804" s="15">
        <v>6</v>
      </c>
      <c r="I2804" s="15">
        <v>6</v>
      </c>
      <c r="J2804" s="15">
        <v>1</v>
      </c>
      <c r="K2804" s="15" t="str">
        <f t="shared" si="43"/>
        <v>opensirensongsea</v>
      </c>
      <c r="L2804" s="15" t="s">
        <v>12298</v>
      </c>
      <c r="M2804" s="15">
        <v>3</v>
      </c>
      <c r="N2804" s="15" t="s">
        <v>11223</v>
      </c>
      <c r="O2804" s="15"/>
      <c r="P2804" s="15"/>
      <c r="Q2804" s="15"/>
      <c r="R2804" s="15"/>
      <c r="S2804" s="15"/>
      <c r="T2804" s="15">
        <v>0</v>
      </c>
      <c r="U2804" s="15"/>
      <c r="V2804" s="15"/>
      <c r="W2804" s="15"/>
      <c r="X2804" s="15"/>
      <c r="Y2804" s="15"/>
      <c r="Z2804" s="15"/>
    </row>
    <row r="2805" spans="1:26" x14ac:dyDescent="0.25">
      <c r="A2805" s="15" t="s">
        <v>16324</v>
      </c>
      <c r="B2805" s="15">
        <v>2804</v>
      </c>
      <c r="C2805" s="15" t="s">
        <v>11277</v>
      </c>
      <c r="D2805" s="15" t="s">
        <v>11277</v>
      </c>
      <c r="E2805" s="15" t="s">
        <v>102</v>
      </c>
      <c r="F2805" s="15" t="s">
        <v>16325</v>
      </c>
      <c r="G2805" s="15" t="s">
        <v>11653</v>
      </c>
      <c r="H2805" s="15">
        <v>32</v>
      </c>
      <c r="I2805" s="15">
        <v>11</v>
      </c>
      <c r="J2805" s="15">
        <v>80</v>
      </c>
      <c r="K2805" s="15" t="str">
        <f t="shared" si="43"/>
        <v>blusterycloudtop</v>
      </c>
      <c r="L2805" s="15"/>
      <c r="M2805" s="15"/>
      <c r="N2805" s="15"/>
      <c r="O2805" s="15"/>
      <c r="P2805" s="15"/>
      <c r="Q2805" s="15"/>
      <c r="R2805" s="15"/>
      <c r="S2805" s="15"/>
      <c r="T2805" s="15"/>
      <c r="U2805" s="15" t="s">
        <v>16326</v>
      </c>
      <c r="V2805" s="15"/>
      <c r="W2805" s="15"/>
      <c r="X2805" s="15"/>
      <c r="Y2805" s="15"/>
      <c r="Z2805" s="15"/>
    </row>
    <row r="2806" spans="1:26" x14ac:dyDescent="0.25">
      <c r="A2806" s="15" t="s">
        <v>16327</v>
      </c>
      <c r="B2806" s="15">
        <v>2805</v>
      </c>
      <c r="C2806" s="15" t="s">
        <v>11277</v>
      </c>
      <c r="D2806" s="15" t="s">
        <v>11277</v>
      </c>
      <c r="E2806" s="15" t="s">
        <v>102</v>
      </c>
      <c r="F2806" s="15" t="s">
        <v>16325</v>
      </c>
      <c r="G2806" s="15" t="s">
        <v>11654</v>
      </c>
      <c r="H2806" s="15">
        <v>32</v>
      </c>
      <c r="I2806" s="15">
        <v>11</v>
      </c>
      <c r="J2806" s="15">
        <v>80</v>
      </c>
      <c r="K2806" s="15" t="str">
        <f t="shared" si="43"/>
        <v>blusterycloudtop</v>
      </c>
      <c r="L2806" s="15"/>
      <c r="M2806" s="15"/>
      <c r="N2806" s="15"/>
      <c r="O2806" s="15"/>
      <c r="P2806" s="15"/>
      <c r="Q2806" s="15" t="s">
        <v>16328</v>
      </c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 spans="1:26" x14ac:dyDescent="0.25">
      <c r="A2807" s="15" t="s">
        <v>16329</v>
      </c>
      <c r="B2807" s="15">
        <v>2806</v>
      </c>
      <c r="C2807" s="15" t="s">
        <v>11277</v>
      </c>
      <c r="D2807" s="15" t="s">
        <v>11277</v>
      </c>
      <c r="E2807" s="15" t="s">
        <v>102</v>
      </c>
      <c r="F2807" s="15" t="s">
        <v>16325</v>
      </c>
      <c r="G2807" s="15" t="s">
        <v>11655</v>
      </c>
      <c r="H2807" s="15">
        <v>32</v>
      </c>
      <c r="I2807" s="15">
        <v>11</v>
      </c>
      <c r="J2807" s="15">
        <v>80</v>
      </c>
      <c r="K2807" s="15" t="str">
        <f t="shared" si="43"/>
        <v>blusterycloudtop</v>
      </c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 spans="1:26" x14ac:dyDescent="0.25">
      <c r="A2808" s="15" t="s">
        <v>16330</v>
      </c>
      <c r="B2808" s="15">
        <v>2807</v>
      </c>
      <c r="C2808" s="15" t="s">
        <v>11277</v>
      </c>
      <c r="D2808" s="15" t="s">
        <v>11277</v>
      </c>
      <c r="E2808" s="15" t="s">
        <v>102</v>
      </c>
      <c r="F2808" s="15" t="s">
        <v>16325</v>
      </c>
      <c r="G2808" s="15" t="s">
        <v>11656</v>
      </c>
      <c r="H2808" s="15">
        <v>32</v>
      </c>
      <c r="I2808" s="15">
        <v>11</v>
      </c>
      <c r="J2808" s="15">
        <v>80</v>
      </c>
      <c r="K2808" s="15" t="str">
        <f t="shared" si="43"/>
        <v>blusterycloudtop</v>
      </c>
      <c r="L2808" s="15"/>
      <c r="M2808" s="15"/>
      <c r="N2808" s="15"/>
      <c r="O2808" s="15"/>
      <c r="P2808" s="15"/>
      <c r="Q2808" s="15" t="s">
        <v>11655</v>
      </c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 spans="1:26" x14ac:dyDescent="0.25">
      <c r="A2809" s="15" t="s">
        <v>16331</v>
      </c>
      <c r="B2809" s="15">
        <v>2808</v>
      </c>
      <c r="C2809" s="15" t="s">
        <v>11277</v>
      </c>
      <c r="D2809" s="15" t="s">
        <v>11277</v>
      </c>
      <c r="E2809" s="15" t="s">
        <v>102</v>
      </c>
      <c r="F2809" s="15" t="s">
        <v>16325</v>
      </c>
      <c r="G2809" s="15" t="s">
        <v>11657</v>
      </c>
      <c r="H2809" s="15">
        <v>32</v>
      </c>
      <c r="I2809" s="15">
        <v>11</v>
      </c>
      <c r="J2809" s="15">
        <v>80</v>
      </c>
      <c r="K2809" s="15" t="str">
        <f t="shared" si="43"/>
        <v>blusterycloudtop</v>
      </c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 spans="1:26" x14ac:dyDescent="0.25">
      <c r="A2810" s="15" t="s">
        <v>16332</v>
      </c>
      <c r="B2810" s="15">
        <v>2809</v>
      </c>
      <c r="C2810" s="15" t="s">
        <v>11277</v>
      </c>
      <c r="D2810" s="15" t="s">
        <v>11277</v>
      </c>
      <c r="E2810" s="15" t="s">
        <v>102</v>
      </c>
      <c r="F2810" s="15" t="s">
        <v>16325</v>
      </c>
      <c r="G2810" s="15" t="s">
        <v>11658</v>
      </c>
      <c r="H2810" s="15">
        <v>32</v>
      </c>
      <c r="I2810" s="15">
        <v>11</v>
      </c>
      <c r="J2810" s="15">
        <v>80</v>
      </c>
      <c r="K2810" s="15" t="str">
        <f t="shared" si="43"/>
        <v>blusterycloudtop</v>
      </c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 spans="1:26" x14ac:dyDescent="0.25">
      <c r="A2811" s="15" t="s">
        <v>16333</v>
      </c>
      <c r="B2811" s="15">
        <v>2810</v>
      </c>
      <c r="C2811" s="15" t="s">
        <v>11277</v>
      </c>
      <c r="D2811" s="15" t="s">
        <v>11277</v>
      </c>
      <c r="E2811" s="15" t="s">
        <v>102</v>
      </c>
      <c r="F2811" s="15" t="s">
        <v>16325</v>
      </c>
      <c r="G2811" s="15" t="s">
        <v>11659</v>
      </c>
      <c r="H2811" s="15">
        <v>32</v>
      </c>
      <c r="I2811" s="15">
        <v>11</v>
      </c>
      <c r="J2811" s="15">
        <v>80</v>
      </c>
      <c r="K2811" s="15" t="str">
        <f t="shared" si="43"/>
        <v>blusterycloudtop</v>
      </c>
      <c r="L2811" s="15"/>
      <c r="M2811" s="15"/>
      <c r="N2811" s="15"/>
      <c r="O2811" s="15"/>
      <c r="P2811" s="15"/>
      <c r="Q2811" s="15"/>
      <c r="R2811" s="15"/>
      <c r="S2811" s="15"/>
      <c r="T2811" s="15"/>
      <c r="U2811" s="15" t="s">
        <v>16334</v>
      </c>
      <c r="V2811" s="15"/>
      <c r="W2811" s="15"/>
      <c r="X2811" s="15"/>
      <c r="Y2811" s="15"/>
      <c r="Z2811" s="15"/>
    </row>
    <row r="2812" spans="1:26" x14ac:dyDescent="0.25">
      <c r="A2812" s="15" t="s">
        <v>16335</v>
      </c>
      <c r="B2812" s="15">
        <v>2811</v>
      </c>
      <c r="C2812" s="15" t="s">
        <v>11277</v>
      </c>
      <c r="D2812" s="15" t="s">
        <v>11277</v>
      </c>
      <c r="E2812" s="15" t="s">
        <v>102</v>
      </c>
      <c r="F2812" s="15" t="s">
        <v>16336</v>
      </c>
      <c r="G2812" s="15" t="s">
        <v>11660</v>
      </c>
      <c r="H2812" s="15">
        <v>34</v>
      </c>
      <c r="I2812" s="15">
        <v>17</v>
      </c>
      <c r="J2812" s="15">
        <v>80</v>
      </c>
      <c r="K2812" s="15" t="str">
        <f t="shared" si="43"/>
        <v>buffetedcloudtop</v>
      </c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 spans="1:26" x14ac:dyDescent="0.25">
      <c r="A2813" s="15" t="s">
        <v>16337</v>
      </c>
      <c r="B2813" s="15">
        <v>2812</v>
      </c>
      <c r="C2813" s="15" t="s">
        <v>11277</v>
      </c>
      <c r="D2813" s="15" t="s">
        <v>11277</v>
      </c>
      <c r="E2813" s="15" t="s">
        <v>102</v>
      </c>
      <c r="F2813" s="15" t="s">
        <v>16336</v>
      </c>
      <c r="G2813" s="15" t="s">
        <v>11661</v>
      </c>
      <c r="H2813" s="15">
        <v>34</v>
      </c>
      <c r="I2813" s="15">
        <v>17</v>
      </c>
      <c r="J2813" s="15">
        <v>80</v>
      </c>
      <c r="K2813" s="15" t="str">
        <f t="shared" si="43"/>
        <v>buffetedcloudtop</v>
      </c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 spans="1:26" x14ac:dyDescent="0.25">
      <c r="A2814" s="15" t="s">
        <v>16338</v>
      </c>
      <c r="B2814" s="15">
        <v>2813</v>
      </c>
      <c r="C2814" s="15" t="s">
        <v>11277</v>
      </c>
      <c r="D2814" s="15" t="s">
        <v>11277</v>
      </c>
      <c r="E2814" s="15" t="s">
        <v>102</v>
      </c>
      <c r="F2814" s="15" t="s">
        <v>16336</v>
      </c>
      <c r="G2814" s="15" t="s">
        <v>11662</v>
      </c>
      <c r="H2814" s="15">
        <v>34</v>
      </c>
      <c r="I2814" s="15">
        <v>17</v>
      </c>
      <c r="J2814" s="15">
        <v>80</v>
      </c>
      <c r="K2814" s="15" t="str">
        <f t="shared" si="43"/>
        <v>buffetedcloudtop</v>
      </c>
      <c r="L2814" s="15"/>
      <c r="M2814" s="15"/>
      <c r="N2814" s="15"/>
      <c r="O2814" s="15"/>
      <c r="P2814" s="15"/>
      <c r="Q2814" s="15"/>
      <c r="R2814" s="15"/>
      <c r="S2814" s="15"/>
      <c r="T2814" s="15"/>
      <c r="U2814" s="15" t="s">
        <v>16339</v>
      </c>
      <c r="V2814" s="15"/>
      <c r="W2814" s="15"/>
      <c r="X2814" s="15"/>
      <c r="Y2814" s="15"/>
      <c r="Z2814" s="15"/>
    </row>
    <row r="2815" spans="1:26" x14ac:dyDescent="0.25">
      <c r="A2815" s="15" t="s">
        <v>16340</v>
      </c>
      <c r="B2815" s="15">
        <v>2814</v>
      </c>
      <c r="C2815" s="15" t="s">
        <v>11277</v>
      </c>
      <c r="D2815" s="15" t="s">
        <v>11277</v>
      </c>
      <c r="E2815" s="15" t="s">
        <v>102</v>
      </c>
      <c r="F2815" s="15" t="s">
        <v>16336</v>
      </c>
      <c r="G2815" s="15" t="s">
        <v>11663</v>
      </c>
      <c r="H2815" s="15">
        <v>34</v>
      </c>
      <c r="I2815" s="15">
        <v>17</v>
      </c>
      <c r="J2815" s="15">
        <v>80</v>
      </c>
      <c r="K2815" s="15" t="str">
        <f t="shared" si="43"/>
        <v>buffetedcloudtop</v>
      </c>
      <c r="L2815" s="15"/>
      <c r="M2815" s="15"/>
      <c r="N2815" s="15"/>
      <c r="O2815" s="15"/>
      <c r="P2815" s="15"/>
      <c r="Q2815" s="15"/>
      <c r="R2815" s="15"/>
      <c r="S2815" s="15"/>
      <c r="T2815" s="15"/>
      <c r="U2815" s="15" t="s">
        <v>16341</v>
      </c>
      <c r="V2815" s="15"/>
      <c r="W2815" s="15"/>
      <c r="X2815" s="15"/>
      <c r="Y2815" s="15"/>
      <c r="Z2815" s="15"/>
    </row>
    <row r="2816" spans="1:26" x14ac:dyDescent="0.25">
      <c r="A2816" s="15" t="s">
        <v>16342</v>
      </c>
      <c r="B2816" s="15">
        <v>2815</v>
      </c>
      <c r="C2816" s="15" t="s">
        <v>11277</v>
      </c>
      <c r="D2816" s="15" t="s">
        <v>11277</v>
      </c>
      <c r="E2816" s="15" t="s">
        <v>102</v>
      </c>
      <c r="F2816" s="15" t="s">
        <v>16336</v>
      </c>
      <c r="G2816" s="15" t="s">
        <v>11664</v>
      </c>
      <c r="H2816" s="15">
        <v>34</v>
      </c>
      <c r="I2816" s="15">
        <v>17</v>
      </c>
      <c r="J2816" s="15">
        <v>80</v>
      </c>
      <c r="K2816" s="15" t="str">
        <f t="shared" si="43"/>
        <v>buffetedcloudtop</v>
      </c>
      <c r="L2816" s="15"/>
      <c r="M2816" s="15"/>
      <c r="N2816" s="15"/>
      <c r="O2816" s="15"/>
      <c r="P2816" s="15"/>
      <c r="Q2816" s="15" t="s">
        <v>11655</v>
      </c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 spans="1:26" x14ac:dyDescent="0.25">
      <c r="A2817" s="15" t="s">
        <v>16343</v>
      </c>
      <c r="B2817" s="15">
        <v>2816</v>
      </c>
      <c r="C2817" s="15" t="s">
        <v>11277</v>
      </c>
      <c r="D2817" s="15" t="s">
        <v>11277</v>
      </c>
      <c r="E2817" s="15" t="s">
        <v>102</v>
      </c>
      <c r="F2817" s="15" t="s">
        <v>16336</v>
      </c>
      <c r="G2817" s="15" t="s">
        <v>11665</v>
      </c>
      <c r="H2817" s="15">
        <v>34</v>
      </c>
      <c r="I2817" s="15">
        <v>17</v>
      </c>
      <c r="J2817" s="15">
        <v>80</v>
      </c>
      <c r="K2817" s="15" t="str">
        <f t="shared" si="43"/>
        <v>buffetedcloudtop</v>
      </c>
      <c r="L2817" s="15"/>
      <c r="M2817" s="15"/>
      <c r="N2817" s="15"/>
      <c r="O2817" s="15"/>
      <c r="P2817" s="15"/>
      <c r="Q2817" s="15" t="s">
        <v>11655</v>
      </c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 spans="1:26" x14ac:dyDescent="0.25">
      <c r="A2818" s="15" t="s">
        <v>16344</v>
      </c>
      <c r="B2818" s="15">
        <v>2817</v>
      </c>
      <c r="C2818" s="15" t="s">
        <v>11277</v>
      </c>
      <c r="D2818" s="15" t="s">
        <v>11277</v>
      </c>
      <c r="E2818" s="15" t="s">
        <v>102</v>
      </c>
      <c r="F2818" s="15" t="s">
        <v>16336</v>
      </c>
      <c r="G2818" s="15" t="s">
        <v>11666</v>
      </c>
      <c r="H2818" s="15">
        <v>34</v>
      </c>
      <c r="I2818" s="15">
        <v>17</v>
      </c>
      <c r="J2818" s="15">
        <v>80</v>
      </c>
      <c r="K2818" s="15" t="str">
        <f t="shared" ref="K2818:K2873" si="44">LOWER(SUBSTITUTE(SUBSTITUTE(SUBSTITUTE(SUBSTITUTE(SUBSTITUTE(F2818," ",""),"(",""),")",""),"'",""),"-",""))</f>
        <v>buffetedcloudtop</v>
      </c>
      <c r="L2818" s="15"/>
      <c r="M2818" s="15"/>
      <c r="N2818" s="15"/>
      <c r="O2818" s="15"/>
      <c r="P2818" s="15"/>
      <c r="Q2818" s="15" t="s">
        <v>11655</v>
      </c>
      <c r="R2818" s="15"/>
      <c r="S2818" s="15"/>
      <c r="T2818" s="15"/>
      <c r="U2818" s="15" t="s">
        <v>16326</v>
      </c>
      <c r="V2818" s="15"/>
      <c r="W2818" s="15"/>
      <c r="X2818" s="15"/>
      <c r="Y2818" s="15"/>
      <c r="Z2818" s="15"/>
    </row>
    <row r="2819" spans="1:26" x14ac:dyDescent="0.25">
      <c r="A2819" s="15" t="s">
        <v>16345</v>
      </c>
      <c r="B2819" s="15">
        <v>2818</v>
      </c>
      <c r="C2819" s="15" t="s">
        <v>11277</v>
      </c>
      <c r="D2819" s="15" t="s">
        <v>11277</v>
      </c>
      <c r="E2819" s="15" t="s">
        <v>102</v>
      </c>
      <c r="F2819" s="15" t="s">
        <v>16336</v>
      </c>
      <c r="G2819" s="15" t="s">
        <v>11667</v>
      </c>
      <c r="H2819" s="15">
        <v>34</v>
      </c>
      <c r="I2819" s="15">
        <v>17</v>
      </c>
      <c r="J2819" s="15">
        <v>80</v>
      </c>
      <c r="K2819" s="15" t="str">
        <f t="shared" si="44"/>
        <v>buffetedcloudtop</v>
      </c>
      <c r="L2819" s="15"/>
      <c r="M2819" s="15"/>
      <c r="N2819" s="15"/>
      <c r="O2819" s="15"/>
      <c r="P2819" s="15"/>
      <c r="Q2819" s="15" t="s">
        <v>11655</v>
      </c>
      <c r="R2819" s="15"/>
      <c r="S2819" s="15"/>
      <c r="T2819" s="15"/>
      <c r="U2819" s="15" t="s">
        <v>16334</v>
      </c>
      <c r="V2819" s="15"/>
      <c r="W2819" s="15"/>
      <c r="X2819" s="15"/>
      <c r="Y2819" s="15"/>
      <c r="Z2819" s="15"/>
    </row>
    <row r="2820" spans="1:26" x14ac:dyDescent="0.25">
      <c r="A2820" s="15" t="s">
        <v>16346</v>
      </c>
      <c r="B2820" s="15">
        <v>2819</v>
      </c>
      <c r="C2820" s="15" t="s">
        <v>11277</v>
      </c>
      <c r="D2820" s="15" t="s">
        <v>11277</v>
      </c>
      <c r="E2820" s="15" t="s">
        <v>102</v>
      </c>
      <c r="F2820" s="15" t="s">
        <v>16336</v>
      </c>
      <c r="G2820" s="15" t="s">
        <v>11655</v>
      </c>
      <c r="H2820" s="15">
        <v>34</v>
      </c>
      <c r="I2820" s="15">
        <v>17</v>
      </c>
      <c r="J2820" s="15">
        <v>80</v>
      </c>
      <c r="K2820" s="15" t="str">
        <f t="shared" si="44"/>
        <v>buffetedcloudtop</v>
      </c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 spans="1:26" x14ac:dyDescent="0.25">
      <c r="A2821" s="15" t="s">
        <v>16347</v>
      </c>
      <c r="B2821" s="15">
        <v>2820</v>
      </c>
      <c r="C2821" s="15" t="s">
        <v>11277</v>
      </c>
      <c r="D2821" s="15" t="s">
        <v>11277</v>
      </c>
      <c r="E2821" s="15" t="s">
        <v>102</v>
      </c>
      <c r="F2821" s="15" t="s">
        <v>16336</v>
      </c>
      <c r="G2821" s="15" t="s">
        <v>11656</v>
      </c>
      <c r="H2821" s="15">
        <v>34</v>
      </c>
      <c r="I2821" s="15">
        <v>17</v>
      </c>
      <c r="J2821" s="15">
        <v>80</v>
      </c>
      <c r="K2821" s="15" t="str">
        <f t="shared" si="44"/>
        <v>buffetedcloudtop</v>
      </c>
      <c r="L2821" s="15"/>
      <c r="M2821" s="15"/>
      <c r="N2821" s="15"/>
      <c r="O2821" s="15"/>
      <c r="P2821" s="15"/>
      <c r="Q2821" s="15" t="s">
        <v>11655</v>
      </c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 spans="1:26" x14ac:dyDescent="0.25">
      <c r="A2822" s="15" t="s">
        <v>16348</v>
      </c>
      <c r="B2822" s="15">
        <v>2821</v>
      </c>
      <c r="C2822" s="15" t="s">
        <v>11277</v>
      </c>
      <c r="D2822" s="15" t="s">
        <v>11277</v>
      </c>
      <c r="E2822" s="15" t="s">
        <v>102</v>
      </c>
      <c r="F2822" s="15" t="s">
        <v>16336</v>
      </c>
      <c r="G2822" s="15" t="s">
        <v>11668</v>
      </c>
      <c r="H2822" s="15">
        <v>34</v>
      </c>
      <c r="I2822" s="15">
        <v>17</v>
      </c>
      <c r="J2822" s="15">
        <v>80</v>
      </c>
      <c r="K2822" s="15" t="str">
        <f t="shared" si="44"/>
        <v>buffetedcloudtop</v>
      </c>
      <c r="L2822" s="15"/>
      <c r="M2822" s="15"/>
      <c r="N2822" s="15"/>
      <c r="O2822" s="15"/>
      <c r="P2822" s="15"/>
      <c r="Q2822" s="15" t="s">
        <v>11655</v>
      </c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 spans="1:26" x14ac:dyDescent="0.25">
      <c r="A2823" s="15" t="s">
        <v>16349</v>
      </c>
      <c r="B2823" s="15">
        <v>2822</v>
      </c>
      <c r="C2823" s="15" t="s">
        <v>11277</v>
      </c>
      <c r="D2823" s="15" t="s">
        <v>11277</v>
      </c>
      <c r="E2823" s="15" t="s">
        <v>102</v>
      </c>
      <c r="F2823" s="15" t="s">
        <v>16350</v>
      </c>
      <c r="G2823" s="15" t="s">
        <v>11669</v>
      </c>
      <c r="H2823" s="15">
        <v>27</v>
      </c>
      <c r="I2823" s="15">
        <v>32</v>
      </c>
      <c r="J2823" s="15">
        <v>80</v>
      </c>
      <c r="K2823" s="15" t="str">
        <f t="shared" si="44"/>
        <v>calmcloudtop</v>
      </c>
      <c r="L2823" s="15"/>
      <c r="M2823" s="15"/>
      <c r="N2823" s="15"/>
      <c r="O2823" s="15"/>
      <c r="P2823" s="15"/>
      <c r="Q2823" s="15"/>
      <c r="R2823" s="15"/>
      <c r="S2823" s="15"/>
      <c r="T2823" s="15"/>
      <c r="U2823" s="15" t="s">
        <v>16334</v>
      </c>
      <c r="V2823" s="15"/>
      <c r="W2823" s="15"/>
      <c r="X2823" s="15"/>
      <c r="Y2823" s="15"/>
      <c r="Z2823" s="15"/>
    </row>
    <row r="2824" spans="1:26" x14ac:dyDescent="0.25">
      <c r="A2824" s="15" t="s">
        <v>16351</v>
      </c>
      <c r="B2824" s="15">
        <v>2823</v>
      </c>
      <c r="C2824" s="15" t="s">
        <v>11277</v>
      </c>
      <c r="D2824" s="15" t="s">
        <v>11277</v>
      </c>
      <c r="E2824" s="15" t="s">
        <v>102</v>
      </c>
      <c r="F2824" s="15" t="s">
        <v>16350</v>
      </c>
      <c r="G2824" s="15" t="s">
        <v>11670</v>
      </c>
      <c r="H2824" s="15">
        <v>27</v>
      </c>
      <c r="I2824" s="15">
        <v>32</v>
      </c>
      <c r="J2824" s="15">
        <v>80</v>
      </c>
      <c r="K2824" s="15" t="str">
        <f t="shared" si="44"/>
        <v>calmcloudtop</v>
      </c>
      <c r="L2824" s="15"/>
      <c r="M2824" s="15"/>
      <c r="N2824" s="15"/>
      <c r="O2824" s="15"/>
      <c r="P2824" s="15"/>
      <c r="Q2824" s="15" t="s">
        <v>16328</v>
      </c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 spans="1:26" x14ac:dyDescent="0.25">
      <c r="A2825" s="15" t="s">
        <v>16352</v>
      </c>
      <c r="B2825" s="15">
        <v>2824</v>
      </c>
      <c r="C2825" s="15" t="s">
        <v>11277</v>
      </c>
      <c r="D2825" s="15" t="s">
        <v>11277</v>
      </c>
      <c r="E2825" s="15" t="s">
        <v>102</v>
      </c>
      <c r="F2825" s="15" t="s">
        <v>16350</v>
      </c>
      <c r="G2825" s="15" t="s">
        <v>11655</v>
      </c>
      <c r="H2825" s="15">
        <v>27</v>
      </c>
      <c r="I2825" s="15">
        <v>32</v>
      </c>
      <c r="J2825" s="15">
        <v>80</v>
      </c>
      <c r="K2825" s="15" t="str">
        <f t="shared" si="44"/>
        <v>calmcloudtop</v>
      </c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 spans="1:26" x14ac:dyDescent="0.25">
      <c r="A2826" s="15" t="s">
        <v>16353</v>
      </c>
      <c r="B2826" s="15">
        <v>2825</v>
      </c>
      <c r="C2826" s="15" t="s">
        <v>11277</v>
      </c>
      <c r="D2826" s="15" t="s">
        <v>11277</v>
      </c>
      <c r="E2826" s="15" t="s">
        <v>102</v>
      </c>
      <c r="F2826" s="15" t="s">
        <v>16350</v>
      </c>
      <c r="G2826" s="15" t="s">
        <v>11656</v>
      </c>
      <c r="H2826" s="15">
        <v>27</v>
      </c>
      <c r="I2826" s="15">
        <v>32</v>
      </c>
      <c r="J2826" s="15">
        <v>80</v>
      </c>
      <c r="K2826" s="15" t="str">
        <f t="shared" si="44"/>
        <v>calmcloudtop</v>
      </c>
      <c r="L2826" s="15"/>
      <c r="M2826" s="15"/>
      <c r="N2826" s="15"/>
      <c r="O2826" s="15"/>
      <c r="P2826" s="15"/>
      <c r="Q2826" s="15" t="s">
        <v>11655</v>
      </c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spans="1:26" x14ac:dyDescent="0.25">
      <c r="A2827" s="15" t="s">
        <v>16354</v>
      </c>
      <c r="B2827" s="15">
        <v>2826</v>
      </c>
      <c r="C2827" s="15" t="s">
        <v>11277</v>
      </c>
      <c r="D2827" s="15" t="s">
        <v>11277</v>
      </c>
      <c r="E2827" s="15" t="s">
        <v>102</v>
      </c>
      <c r="F2827" s="15" t="s">
        <v>16350</v>
      </c>
      <c r="G2827" s="15" t="s">
        <v>11671</v>
      </c>
      <c r="H2827" s="15">
        <v>27</v>
      </c>
      <c r="I2827" s="15">
        <v>32</v>
      </c>
      <c r="J2827" s="15">
        <v>80</v>
      </c>
      <c r="K2827" s="15" t="str">
        <f t="shared" si="44"/>
        <v>calmcloudtop</v>
      </c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spans="1:26" x14ac:dyDescent="0.25">
      <c r="A2828" s="15" t="s">
        <v>16355</v>
      </c>
      <c r="B2828" s="15">
        <v>2827</v>
      </c>
      <c r="C2828" s="15" t="s">
        <v>11277</v>
      </c>
      <c r="D2828" s="15" t="s">
        <v>11277</v>
      </c>
      <c r="E2828" s="15" t="s">
        <v>102</v>
      </c>
      <c r="F2828" s="15" t="s">
        <v>16350</v>
      </c>
      <c r="G2828" s="15" t="s">
        <v>11672</v>
      </c>
      <c r="H2828" s="15">
        <v>27</v>
      </c>
      <c r="I2828" s="15">
        <v>32</v>
      </c>
      <c r="J2828" s="15">
        <v>80</v>
      </c>
      <c r="K2828" s="15" t="str">
        <f t="shared" si="44"/>
        <v>calmcloudtop</v>
      </c>
      <c r="L2828" s="15"/>
      <c r="M2828" s="15"/>
      <c r="N2828" s="15"/>
      <c r="O2828" s="15"/>
      <c r="P2828" s="15" t="s">
        <v>16356</v>
      </c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spans="1:26" x14ac:dyDescent="0.25">
      <c r="A2829" s="15" t="s">
        <v>16357</v>
      </c>
      <c r="B2829" s="15">
        <v>2828</v>
      </c>
      <c r="C2829" s="15" t="s">
        <v>11277</v>
      </c>
      <c r="D2829" s="15" t="s">
        <v>11277</v>
      </c>
      <c r="E2829" s="15" t="s">
        <v>102</v>
      </c>
      <c r="F2829" s="15" t="s">
        <v>16350</v>
      </c>
      <c r="G2829" s="15" t="s">
        <v>11673</v>
      </c>
      <c r="H2829" s="15">
        <v>27</v>
      </c>
      <c r="I2829" s="15">
        <v>32</v>
      </c>
      <c r="J2829" s="15">
        <v>80</v>
      </c>
      <c r="K2829" s="15" t="str">
        <f t="shared" si="44"/>
        <v>calmcloudtop</v>
      </c>
      <c r="L2829" s="15"/>
      <c r="M2829" s="15"/>
      <c r="N2829" s="15"/>
      <c r="O2829" s="15"/>
      <c r="P2829" s="15"/>
      <c r="Q2829" s="15"/>
      <c r="R2829" s="15"/>
      <c r="S2829" s="15"/>
      <c r="T2829" s="15"/>
      <c r="U2829" s="15" t="s">
        <v>16326</v>
      </c>
      <c r="V2829" s="15"/>
      <c r="W2829" s="15"/>
      <c r="X2829" s="15"/>
      <c r="Y2829" s="15"/>
      <c r="Z2829" s="15"/>
    </row>
    <row r="2830" spans="1:26" x14ac:dyDescent="0.25">
      <c r="A2830" s="15" t="s">
        <v>16358</v>
      </c>
      <c r="B2830" s="15">
        <v>2829</v>
      </c>
      <c r="C2830" s="15" t="s">
        <v>11277</v>
      </c>
      <c r="D2830" s="15" t="s">
        <v>11277</v>
      </c>
      <c r="E2830" s="15" t="s">
        <v>11</v>
      </c>
      <c r="F2830" s="15" t="s">
        <v>16359</v>
      </c>
      <c r="G2830" s="15" t="s">
        <v>11674</v>
      </c>
      <c r="H2830" s="15">
        <v>15</v>
      </c>
      <c r="I2830" s="15">
        <v>35</v>
      </c>
      <c r="J2830" s="15">
        <v>60</v>
      </c>
      <c r="K2830" s="15" t="str">
        <f t="shared" si="44"/>
        <v>diademgrotto</v>
      </c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spans="1:26" x14ac:dyDescent="0.25">
      <c r="A2831" s="15" t="s">
        <v>16360</v>
      </c>
      <c r="B2831" s="15">
        <v>2830</v>
      </c>
      <c r="C2831" s="15" t="s">
        <v>11277</v>
      </c>
      <c r="D2831" s="15" t="s">
        <v>11277</v>
      </c>
      <c r="E2831" s="15" t="s">
        <v>11</v>
      </c>
      <c r="F2831" s="15" t="s">
        <v>16359</v>
      </c>
      <c r="G2831" s="15" t="s">
        <v>11675</v>
      </c>
      <c r="H2831" s="15">
        <v>15</v>
      </c>
      <c r="I2831" s="15">
        <v>35</v>
      </c>
      <c r="J2831" s="15">
        <v>60</v>
      </c>
      <c r="K2831" s="15" t="str">
        <f t="shared" si="44"/>
        <v>diademgrotto</v>
      </c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x14ac:dyDescent="0.25">
      <c r="A2832" s="15" t="s">
        <v>16361</v>
      </c>
      <c r="B2832" s="15">
        <v>2831</v>
      </c>
      <c r="C2832" s="15" t="s">
        <v>11277</v>
      </c>
      <c r="D2832" s="15" t="s">
        <v>11277</v>
      </c>
      <c r="E2832" s="15" t="s">
        <v>11</v>
      </c>
      <c r="F2832" s="15" t="s">
        <v>16359</v>
      </c>
      <c r="G2832" s="15" t="s">
        <v>11676</v>
      </c>
      <c r="H2832" s="15">
        <v>15</v>
      </c>
      <c r="I2832" s="15">
        <v>35</v>
      </c>
      <c r="J2832" s="15">
        <v>60</v>
      </c>
      <c r="K2832" s="15" t="str">
        <f t="shared" si="44"/>
        <v>diademgrotto</v>
      </c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x14ac:dyDescent="0.25">
      <c r="A2833" s="15" t="s">
        <v>16362</v>
      </c>
      <c r="B2833" s="15">
        <v>2832</v>
      </c>
      <c r="C2833" s="15" t="s">
        <v>11277</v>
      </c>
      <c r="D2833" s="15" t="s">
        <v>11277</v>
      </c>
      <c r="E2833" s="15" t="s">
        <v>11</v>
      </c>
      <c r="F2833" s="15" t="s">
        <v>16359</v>
      </c>
      <c r="G2833" s="15" t="s">
        <v>11677</v>
      </c>
      <c r="H2833" s="15">
        <v>15</v>
      </c>
      <c r="I2833" s="15">
        <v>35</v>
      </c>
      <c r="J2833" s="15">
        <v>60</v>
      </c>
      <c r="K2833" s="15" t="str">
        <f t="shared" si="44"/>
        <v>diademgrotto</v>
      </c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spans="1:26" x14ac:dyDescent="0.25">
      <c r="A2834" s="15" t="s">
        <v>16363</v>
      </c>
      <c r="B2834" s="15">
        <v>2833</v>
      </c>
      <c r="C2834" s="15" t="s">
        <v>11277</v>
      </c>
      <c r="D2834" s="15" t="s">
        <v>11277</v>
      </c>
      <c r="E2834" s="15" t="s">
        <v>11</v>
      </c>
      <c r="F2834" s="15" t="s">
        <v>16364</v>
      </c>
      <c r="G2834" s="15" t="s">
        <v>11678</v>
      </c>
      <c r="H2834" s="15">
        <v>10</v>
      </c>
      <c r="I2834" s="15">
        <v>9</v>
      </c>
      <c r="J2834" s="15">
        <v>60</v>
      </c>
      <c r="K2834" s="15" t="str">
        <f t="shared" si="44"/>
        <v>northerndiademlake</v>
      </c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 spans="1:26" x14ac:dyDescent="0.25">
      <c r="A2835" s="15" t="s">
        <v>16365</v>
      </c>
      <c r="B2835" s="15">
        <v>2834</v>
      </c>
      <c r="C2835" s="15" t="s">
        <v>11277</v>
      </c>
      <c r="D2835" s="15" t="s">
        <v>11277</v>
      </c>
      <c r="E2835" s="15" t="s">
        <v>11</v>
      </c>
      <c r="F2835" s="15" t="s">
        <v>16364</v>
      </c>
      <c r="G2835" s="15" t="s">
        <v>11679</v>
      </c>
      <c r="H2835" s="15">
        <v>10</v>
      </c>
      <c r="I2835" s="15">
        <v>9</v>
      </c>
      <c r="J2835" s="15">
        <v>60</v>
      </c>
      <c r="K2835" s="15" t="str">
        <f t="shared" si="44"/>
        <v>northerndiademlake</v>
      </c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 spans="1:26" x14ac:dyDescent="0.25">
      <c r="A2836" s="15" t="s">
        <v>16366</v>
      </c>
      <c r="B2836" s="15">
        <v>2835</v>
      </c>
      <c r="C2836" s="15" t="s">
        <v>11277</v>
      </c>
      <c r="D2836" s="15" t="s">
        <v>11277</v>
      </c>
      <c r="E2836" s="15" t="s">
        <v>11</v>
      </c>
      <c r="F2836" s="15" t="s">
        <v>16364</v>
      </c>
      <c r="G2836" s="15" t="s">
        <v>11680</v>
      </c>
      <c r="H2836" s="15">
        <v>10</v>
      </c>
      <c r="I2836" s="15">
        <v>9</v>
      </c>
      <c r="J2836" s="15">
        <v>60</v>
      </c>
      <c r="K2836" s="15" t="str">
        <f t="shared" si="44"/>
        <v>northerndiademlake</v>
      </c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 spans="1:26" x14ac:dyDescent="0.25">
      <c r="A2837" s="15" t="s">
        <v>16367</v>
      </c>
      <c r="B2837" s="15">
        <v>2836</v>
      </c>
      <c r="C2837" s="15" t="s">
        <v>11277</v>
      </c>
      <c r="D2837" s="15" t="s">
        <v>11277</v>
      </c>
      <c r="E2837" s="15" t="s">
        <v>11</v>
      </c>
      <c r="F2837" s="15" t="s">
        <v>16364</v>
      </c>
      <c r="G2837" s="15" t="s">
        <v>11681</v>
      </c>
      <c r="H2837" s="15">
        <v>10</v>
      </c>
      <c r="I2837" s="15">
        <v>9</v>
      </c>
      <c r="J2837" s="15">
        <v>60</v>
      </c>
      <c r="K2837" s="15" t="str">
        <f t="shared" si="44"/>
        <v>northerndiademlake</v>
      </c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 spans="1:26" x14ac:dyDescent="0.25">
      <c r="A2838" s="15" t="s">
        <v>16368</v>
      </c>
      <c r="B2838" s="15">
        <v>2837</v>
      </c>
      <c r="C2838" s="15" t="s">
        <v>11277</v>
      </c>
      <c r="D2838" s="15" t="s">
        <v>11277</v>
      </c>
      <c r="E2838" s="15" t="s">
        <v>11</v>
      </c>
      <c r="F2838" s="15" t="s">
        <v>16369</v>
      </c>
      <c r="G2838" s="15" t="s">
        <v>11682</v>
      </c>
      <c r="H2838" s="15">
        <v>13</v>
      </c>
      <c r="I2838" s="15">
        <v>31</v>
      </c>
      <c r="J2838" s="15">
        <v>10</v>
      </c>
      <c r="K2838" s="15" t="str">
        <f t="shared" si="44"/>
        <v>southerndiademlake</v>
      </c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 spans="1:26" x14ac:dyDescent="0.25">
      <c r="A2839" s="15" t="s">
        <v>16370</v>
      </c>
      <c r="B2839" s="15">
        <v>2838</v>
      </c>
      <c r="C2839" s="15" t="s">
        <v>11277</v>
      </c>
      <c r="D2839" s="15" t="s">
        <v>11277</v>
      </c>
      <c r="E2839" s="15" t="s">
        <v>11</v>
      </c>
      <c r="F2839" s="15" t="s">
        <v>16369</v>
      </c>
      <c r="G2839" s="15" t="s">
        <v>11683</v>
      </c>
      <c r="H2839" s="15">
        <v>13</v>
      </c>
      <c r="I2839" s="15">
        <v>31</v>
      </c>
      <c r="J2839" s="15">
        <v>10</v>
      </c>
      <c r="K2839" s="15" t="str">
        <f t="shared" si="44"/>
        <v>southerndiademlake</v>
      </c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 spans="1:26" x14ac:dyDescent="0.25">
      <c r="A2840" s="15" t="s">
        <v>16371</v>
      </c>
      <c r="B2840" s="15">
        <v>2839</v>
      </c>
      <c r="C2840" s="15" t="s">
        <v>11277</v>
      </c>
      <c r="D2840" s="15" t="s">
        <v>11277</v>
      </c>
      <c r="E2840" s="15" t="s">
        <v>11</v>
      </c>
      <c r="F2840" s="15" t="s">
        <v>16369</v>
      </c>
      <c r="G2840" s="15" t="s">
        <v>11684</v>
      </c>
      <c r="H2840" s="15">
        <v>13</v>
      </c>
      <c r="I2840" s="15">
        <v>31</v>
      </c>
      <c r="J2840" s="15">
        <v>10</v>
      </c>
      <c r="K2840" s="15" t="str">
        <f t="shared" si="44"/>
        <v>southerndiademlake</v>
      </c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 spans="1:26" x14ac:dyDescent="0.25">
      <c r="A2841" s="15" t="s">
        <v>16372</v>
      </c>
      <c r="B2841" s="15">
        <v>2840</v>
      </c>
      <c r="C2841" s="15" t="s">
        <v>11277</v>
      </c>
      <c r="D2841" s="15" t="s">
        <v>11277</v>
      </c>
      <c r="E2841" s="15" t="s">
        <v>11</v>
      </c>
      <c r="F2841" s="15" t="s">
        <v>16369</v>
      </c>
      <c r="G2841" s="15" t="s">
        <v>11685</v>
      </c>
      <c r="H2841" s="15">
        <v>13</v>
      </c>
      <c r="I2841" s="15">
        <v>31</v>
      </c>
      <c r="J2841" s="15">
        <v>10</v>
      </c>
      <c r="K2841" s="15" t="str">
        <f t="shared" si="44"/>
        <v>southerndiademlake</v>
      </c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 spans="1:26" x14ac:dyDescent="0.25">
      <c r="A2842" s="15" t="s">
        <v>16373</v>
      </c>
      <c r="B2842" s="15">
        <v>2841</v>
      </c>
      <c r="C2842" s="15" t="s">
        <v>11277</v>
      </c>
      <c r="D2842" s="15" t="s">
        <v>11277</v>
      </c>
      <c r="E2842" s="15" t="s">
        <v>102</v>
      </c>
      <c r="F2842" s="15" t="s">
        <v>16374</v>
      </c>
      <c r="G2842" s="15" t="s">
        <v>11660</v>
      </c>
      <c r="H2842" s="15">
        <v>13</v>
      </c>
      <c r="I2842" s="15">
        <v>25</v>
      </c>
      <c r="J2842" s="15">
        <v>80</v>
      </c>
      <c r="K2842" s="15" t="str">
        <f t="shared" si="44"/>
        <v>swirlingcloudtop</v>
      </c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 spans="1:26" x14ac:dyDescent="0.25">
      <c r="A2843" s="15" t="s">
        <v>16375</v>
      </c>
      <c r="B2843" s="15">
        <v>2842</v>
      </c>
      <c r="C2843" s="15" t="s">
        <v>11277</v>
      </c>
      <c r="D2843" s="15" t="s">
        <v>11277</v>
      </c>
      <c r="E2843" s="15" t="s">
        <v>102</v>
      </c>
      <c r="F2843" s="15" t="s">
        <v>16374</v>
      </c>
      <c r="G2843" s="15" t="s">
        <v>11662</v>
      </c>
      <c r="H2843" s="15">
        <v>13</v>
      </c>
      <c r="I2843" s="15">
        <v>25</v>
      </c>
      <c r="J2843" s="15">
        <v>80</v>
      </c>
      <c r="K2843" s="15" t="str">
        <f t="shared" si="44"/>
        <v>swirlingcloudtop</v>
      </c>
      <c r="L2843" s="15"/>
      <c r="M2843" s="15"/>
      <c r="N2843" s="15"/>
      <c r="O2843" s="15"/>
      <c r="P2843" s="15"/>
      <c r="Q2843" s="15"/>
      <c r="R2843" s="15"/>
      <c r="S2843" s="15"/>
      <c r="T2843" s="15"/>
      <c r="U2843" s="15" t="s">
        <v>16339</v>
      </c>
      <c r="V2843" s="15"/>
      <c r="W2843" s="15"/>
      <c r="X2843" s="15"/>
      <c r="Y2843" s="15"/>
      <c r="Z2843" s="15"/>
    </row>
    <row r="2844" spans="1:26" x14ac:dyDescent="0.25">
      <c r="A2844" s="15" t="s">
        <v>16376</v>
      </c>
      <c r="B2844" s="15">
        <v>2843</v>
      </c>
      <c r="C2844" s="15" t="s">
        <v>11277</v>
      </c>
      <c r="D2844" s="15" t="s">
        <v>11277</v>
      </c>
      <c r="E2844" s="15" t="s">
        <v>102</v>
      </c>
      <c r="F2844" s="15" t="s">
        <v>16374</v>
      </c>
      <c r="G2844" s="15" t="s">
        <v>11655</v>
      </c>
      <c r="H2844" s="15">
        <v>13</v>
      </c>
      <c r="I2844" s="15">
        <v>25</v>
      </c>
      <c r="J2844" s="15">
        <v>80</v>
      </c>
      <c r="K2844" s="15" t="str">
        <f t="shared" si="44"/>
        <v>swirlingcloudtop</v>
      </c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 spans="1:26" x14ac:dyDescent="0.25">
      <c r="A2845" s="15" t="s">
        <v>16377</v>
      </c>
      <c r="B2845" s="15">
        <v>2844</v>
      </c>
      <c r="C2845" s="15" t="s">
        <v>11277</v>
      </c>
      <c r="D2845" s="15" t="s">
        <v>11277</v>
      </c>
      <c r="E2845" s="15" t="s">
        <v>102</v>
      </c>
      <c r="F2845" s="15" t="s">
        <v>16374</v>
      </c>
      <c r="G2845" s="15" t="s">
        <v>11656</v>
      </c>
      <c r="H2845" s="15">
        <v>13</v>
      </c>
      <c r="I2845" s="15">
        <v>25</v>
      </c>
      <c r="J2845" s="15">
        <v>80</v>
      </c>
      <c r="K2845" s="15" t="str">
        <f t="shared" si="44"/>
        <v>swirlingcloudtop</v>
      </c>
      <c r="L2845" s="15"/>
      <c r="M2845" s="15"/>
      <c r="N2845" s="15"/>
      <c r="O2845" s="15"/>
      <c r="P2845" s="15"/>
      <c r="Q2845" s="15" t="s">
        <v>11655</v>
      </c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 spans="1:26" x14ac:dyDescent="0.25">
      <c r="A2846" s="15" t="s">
        <v>16378</v>
      </c>
      <c r="B2846" s="15">
        <v>2845</v>
      </c>
      <c r="C2846" s="15" t="s">
        <v>11277</v>
      </c>
      <c r="D2846" s="15" t="s">
        <v>11277</v>
      </c>
      <c r="E2846" s="15" t="s">
        <v>102</v>
      </c>
      <c r="F2846" s="15" t="s">
        <v>16374</v>
      </c>
      <c r="G2846" s="15" t="s">
        <v>11686</v>
      </c>
      <c r="H2846" s="15">
        <v>13</v>
      </c>
      <c r="I2846" s="15">
        <v>25</v>
      </c>
      <c r="J2846" s="15">
        <v>80</v>
      </c>
      <c r="K2846" s="15" t="str">
        <f t="shared" si="44"/>
        <v>swirlingcloudtop</v>
      </c>
      <c r="L2846" s="15"/>
      <c r="M2846" s="15"/>
      <c r="N2846" s="15"/>
      <c r="O2846" s="15"/>
      <c r="P2846" s="15"/>
      <c r="Q2846" s="15" t="s">
        <v>11655</v>
      </c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spans="1:26" x14ac:dyDescent="0.25">
      <c r="A2847" s="15" t="s">
        <v>16379</v>
      </c>
      <c r="B2847" s="15">
        <v>2846</v>
      </c>
      <c r="C2847" s="15" t="s">
        <v>11277</v>
      </c>
      <c r="D2847" s="15" t="s">
        <v>11277</v>
      </c>
      <c r="E2847" s="15" t="s">
        <v>102</v>
      </c>
      <c r="F2847" s="15" t="s">
        <v>16374</v>
      </c>
      <c r="G2847" s="15" t="s">
        <v>11687</v>
      </c>
      <c r="H2847" s="15">
        <v>13</v>
      </c>
      <c r="I2847" s="15">
        <v>25</v>
      </c>
      <c r="J2847" s="15">
        <v>80</v>
      </c>
      <c r="K2847" s="15" t="str">
        <f t="shared" si="44"/>
        <v>swirlingcloudtop</v>
      </c>
      <c r="L2847" s="15"/>
      <c r="M2847" s="15"/>
      <c r="N2847" s="15"/>
      <c r="O2847" s="15"/>
      <c r="P2847" s="15"/>
      <c r="Q2847" s="15" t="s">
        <v>11655</v>
      </c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spans="1:26" x14ac:dyDescent="0.25">
      <c r="A2848" s="15" t="s">
        <v>16380</v>
      </c>
      <c r="B2848" s="15">
        <v>2847</v>
      </c>
      <c r="C2848" s="15" t="s">
        <v>11277</v>
      </c>
      <c r="D2848" s="15" t="s">
        <v>11277</v>
      </c>
      <c r="E2848" s="15" t="s">
        <v>102</v>
      </c>
      <c r="F2848" s="15" t="s">
        <v>16374</v>
      </c>
      <c r="G2848" s="15" t="s">
        <v>11688</v>
      </c>
      <c r="H2848" s="15">
        <v>13</v>
      </c>
      <c r="I2848" s="15">
        <v>25</v>
      </c>
      <c r="J2848" s="15">
        <v>80</v>
      </c>
      <c r="K2848" s="15" t="str">
        <f t="shared" si="44"/>
        <v>swirlingcloudtop</v>
      </c>
      <c r="L2848" s="15"/>
      <c r="M2848" s="15"/>
      <c r="N2848" s="15"/>
      <c r="O2848" s="15"/>
      <c r="P2848" s="15"/>
      <c r="Q2848" s="15" t="s">
        <v>11655</v>
      </c>
      <c r="R2848" s="15"/>
      <c r="S2848" s="15"/>
      <c r="T2848" s="15"/>
      <c r="U2848" s="15" t="s">
        <v>16341</v>
      </c>
      <c r="V2848" s="15"/>
      <c r="W2848" s="15"/>
      <c r="X2848" s="15"/>
      <c r="Y2848" s="15"/>
      <c r="Z2848" s="15"/>
    </row>
    <row r="2849" spans="1:26" x14ac:dyDescent="0.25">
      <c r="A2849" s="15" t="s">
        <v>16381</v>
      </c>
      <c r="B2849" s="15">
        <v>2848</v>
      </c>
      <c r="C2849" s="15" t="s">
        <v>11277</v>
      </c>
      <c r="D2849" s="15" t="s">
        <v>11277</v>
      </c>
      <c r="E2849" s="15" t="s">
        <v>102</v>
      </c>
      <c r="F2849" s="15" t="s">
        <v>16382</v>
      </c>
      <c r="G2849" s="15" t="s">
        <v>11654</v>
      </c>
      <c r="H2849" s="15">
        <v>27</v>
      </c>
      <c r="I2849" s="15">
        <v>9</v>
      </c>
      <c r="J2849" s="15">
        <v>80</v>
      </c>
      <c r="K2849" s="15" t="str">
        <f t="shared" si="44"/>
        <v>windbreakingcloudtop</v>
      </c>
      <c r="L2849" s="15"/>
      <c r="M2849" s="15"/>
      <c r="N2849" s="15"/>
      <c r="O2849" s="15"/>
      <c r="P2849" s="15"/>
      <c r="Q2849" s="15" t="s">
        <v>16328</v>
      </c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 spans="1:26" x14ac:dyDescent="0.25">
      <c r="A2850" s="15" t="s">
        <v>16383</v>
      </c>
      <c r="B2850" s="15">
        <v>2849</v>
      </c>
      <c r="C2850" s="15" t="s">
        <v>11277</v>
      </c>
      <c r="D2850" s="15" t="s">
        <v>11277</v>
      </c>
      <c r="E2850" s="15" t="s">
        <v>102</v>
      </c>
      <c r="F2850" s="15" t="s">
        <v>16382</v>
      </c>
      <c r="G2850" s="15" t="s">
        <v>11670</v>
      </c>
      <c r="H2850" s="15">
        <v>27</v>
      </c>
      <c r="I2850" s="15">
        <v>9</v>
      </c>
      <c r="J2850" s="15">
        <v>80</v>
      </c>
      <c r="K2850" s="15" t="str">
        <f t="shared" si="44"/>
        <v>windbreakingcloudtop</v>
      </c>
      <c r="L2850" s="15"/>
      <c r="M2850" s="15"/>
      <c r="N2850" s="15"/>
      <c r="O2850" s="15"/>
      <c r="P2850" s="15"/>
      <c r="Q2850" s="15" t="s">
        <v>16328</v>
      </c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 spans="1:26" x14ac:dyDescent="0.25">
      <c r="A2851" s="15" t="s">
        <v>16384</v>
      </c>
      <c r="B2851" s="15">
        <v>2850</v>
      </c>
      <c r="C2851" s="15" t="s">
        <v>11277</v>
      </c>
      <c r="D2851" s="15" t="s">
        <v>11277</v>
      </c>
      <c r="E2851" s="15" t="s">
        <v>102</v>
      </c>
      <c r="F2851" s="15" t="s">
        <v>16382</v>
      </c>
      <c r="G2851" s="15" t="s">
        <v>11653</v>
      </c>
      <c r="H2851" s="15">
        <v>27</v>
      </c>
      <c r="I2851" s="15">
        <v>9</v>
      </c>
      <c r="J2851" s="15">
        <v>80</v>
      </c>
      <c r="K2851" s="15" t="str">
        <f t="shared" si="44"/>
        <v>windbreakingcloudtop</v>
      </c>
      <c r="L2851" s="15"/>
      <c r="M2851" s="15"/>
      <c r="N2851" s="15"/>
      <c r="O2851" s="15"/>
      <c r="P2851" s="15"/>
      <c r="Q2851" s="15"/>
      <c r="R2851" s="15"/>
      <c r="S2851" s="15"/>
      <c r="T2851" s="15"/>
      <c r="U2851" s="15" t="s">
        <v>16326</v>
      </c>
      <c r="V2851" s="15"/>
      <c r="W2851" s="15"/>
      <c r="X2851" s="15"/>
      <c r="Y2851" s="15"/>
      <c r="Z2851" s="15"/>
    </row>
    <row r="2852" spans="1:26" x14ac:dyDescent="0.25">
      <c r="A2852" s="15" t="s">
        <v>16385</v>
      </c>
      <c r="B2852" s="15">
        <v>2851</v>
      </c>
      <c r="C2852" s="15" t="s">
        <v>11277</v>
      </c>
      <c r="D2852" s="15" t="s">
        <v>11277</v>
      </c>
      <c r="E2852" s="15" t="s">
        <v>102</v>
      </c>
      <c r="F2852" s="15" t="s">
        <v>16382</v>
      </c>
      <c r="G2852" s="15" t="s">
        <v>11669</v>
      </c>
      <c r="H2852" s="15">
        <v>27</v>
      </c>
      <c r="I2852" s="15">
        <v>9</v>
      </c>
      <c r="J2852" s="15">
        <v>80</v>
      </c>
      <c r="K2852" s="15" t="str">
        <f t="shared" si="44"/>
        <v>windbreakingcloudtop</v>
      </c>
      <c r="L2852" s="15"/>
      <c r="M2852" s="15"/>
      <c r="N2852" s="15"/>
      <c r="O2852" s="15"/>
      <c r="P2852" s="15"/>
      <c r="Q2852" s="15"/>
      <c r="R2852" s="15"/>
      <c r="S2852" s="15"/>
      <c r="T2852" s="15"/>
      <c r="U2852" s="15" t="s">
        <v>16334</v>
      </c>
      <c r="V2852" s="15"/>
      <c r="W2852" s="15"/>
      <c r="X2852" s="15"/>
      <c r="Y2852" s="15"/>
      <c r="Z2852" s="15"/>
    </row>
    <row r="2853" spans="1:26" x14ac:dyDescent="0.25">
      <c r="A2853" s="15" t="s">
        <v>16386</v>
      </c>
      <c r="B2853" s="15">
        <v>2852</v>
      </c>
      <c r="C2853" s="15" t="s">
        <v>11277</v>
      </c>
      <c r="D2853" s="15" t="s">
        <v>11277</v>
      </c>
      <c r="E2853" s="15" t="s">
        <v>102</v>
      </c>
      <c r="F2853" s="15" t="s">
        <v>16382</v>
      </c>
      <c r="G2853" s="15" t="s">
        <v>11689</v>
      </c>
      <c r="H2853" s="15">
        <v>27</v>
      </c>
      <c r="I2853" s="15">
        <v>9</v>
      </c>
      <c r="J2853" s="15">
        <v>80</v>
      </c>
      <c r="K2853" s="15" t="str">
        <f t="shared" si="44"/>
        <v>windbreakingcloudtop</v>
      </c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 spans="1:26" x14ac:dyDescent="0.25">
      <c r="A2854" s="15" t="s">
        <v>16387</v>
      </c>
      <c r="B2854" s="15">
        <v>2853</v>
      </c>
      <c r="C2854" s="15" t="s">
        <v>11277</v>
      </c>
      <c r="D2854" s="15" t="s">
        <v>11277</v>
      </c>
      <c r="E2854" s="15" t="s">
        <v>102</v>
      </c>
      <c r="F2854" s="15" t="s">
        <v>16382</v>
      </c>
      <c r="G2854" s="15" t="s">
        <v>11690</v>
      </c>
      <c r="H2854" s="15">
        <v>27</v>
      </c>
      <c r="I2854" s="15">
        <v>9</v>
      </c>
      <c r="J2854" s="15">
        <v>80</v>
      </c>
      <c r="K2854" s="15" t="str">
        <f t="shared" si="44"/>
        <v>windbreakingcloudtop</v>
      </c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 spans="1:26" x14ac:dyDescent="0.25">
      <c r="A2855" s="15" t="s">
        <v>16388</v>
      </c>
      <c r="B2855" s="15">
        <v>2854</v>
      </c>
      <c r="C2855" s="15" t="s">
        <v>11277</v>
      </c>
      <c r="D2855" s="15" t="s">
        <v>11277</v>
      </c>
      <c r="E2855" s="15" t="s">
        <v>102</v>
      </c>
      <c r="F2855" s="15" t="s">
        <v>16382</v>
      </c>
      <c r="G2855" s="15" t="s">
        <v>11664</v>
      </c>
      <c r="H2855" s="15">
        <v>27</v>
      </c>
      <c r="I2855" s="15">
        <v>9</v>
      </c>
      <c r="J2855" s="15">
        <v>80</v>
      </c>
      <c r="K2855" s="15" t="str">
        <f t="shared" si="44"/>
        <v>windbreakingcloudtop</v>
      </c>
      <c r="L2855" s="15"/>
      <c r="M2855" s="15"/>
      <c r="N2855" s="15"/>
      <c r="O2855" s="15"/>
      <c r="P2855" s="15"/>
      <c r="Q2855" s="15" t="s">
        <v>11655</v>
      </c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 spans="1:26" x14ac:dyDescent="0.25">
      <c r="A2856" s="15" t="s">
        <v>16389</v>
      </c>
      <c r="B2856" s="15">
        <v>2855</v>
      </c>
      <c r="C2856" s="15" t="s">
        <v>11277</v>
      </c>
      <c r="D2856" s="15" t="s">
        <v>11277</v>
      </c>
      <c r="E2856" s="15" t="s">
        <v>102</v>
      </c>
      <c r="F2856" s="15" t="s">
        <v>16382</v>
      </c>
      <c r="G2856" s="15" t="s">
        <v>11691</v>
      </c>
      <c r="H2856" s="15">
        <v>27</v>
      </c>
      <c r="I2856" s="15">
        <v>9</v>
      </c>
      <c r="J2856" s="15">
        <v>80</v>
      </c>
      <c r="K2856" s="15" t="str">
        <f t="shared" si="44"/>
        <v>windbreakingcloudtop</v>
      </c>
      <c r="L2856" s="15"/>
      <c r="M2856" s="15"/>
      <c r="N2856" s="15"/>
      <c r="O2856" s="15"/>
      <c r="P2856" s="15"/>
      <c r="Q2856" s="15"/>
      <c r="R2856" s="15"/>
      <c r="S2856" s="15"/>
      <c r="T2856" s="15"/>
      <c r="U2856" s="15" t="s">
        <v>16341</v>
      </c>
      <c r="V2856" s="15"/>
      <c r="W2856" s="15"/>
      <c r="X2856" s="15"/>
      <c r="Y2856" s="15"/>
      <c r="Z2856" s="15"/>
    </row>
    <row r="2857" spans="1:26" x14ac:dyDescent="0.25">
      <c r="A2857" s="15" t="s">
        <v>16390</v>
      </c>
      <c r="B2857" s="15">
        <v>2856</v>
      </c>
      <c r="C2857" s="15" t="s">
        <v>11277</v>
      </c>
      <c r="D2857" s="15" t="s">
        <v>11277</v>
      </c>
      <c r="E2857" s="15" t="s">
        <v>102</v>
      </c>
      <c r="F2857" s="15" t="s">
        <v>16382</v>
      </c>
      <c r="G2857" s="15" t="s">
        <v>11692</v>
      </c>
      <c r="H2857" s="15">
        <v>27</v>
      </c>
      <c r="I2857" s="15">
        <v>9</v>
      </c>
      <c r="J2857" s="15">
        <v>80</v>
      </c>
      <c r="K2857" s="15" t="str">
        <f t="shared" si="44"/>
        <v>windbreakingcloudtop</v>
      </c>
      <c r="L2857" s="15"/>
      <c r="M2857" s="15"/>
      <c r="N2857" s="15"/>
      <c r="O2857" s="15"/>
      <c r="P2857" s="15"/>
      <c r="Q2857" s="15"/>
      <c r="R2857" s="15"/>
      <c r="S2857" s="15"/>
      <c r="T2857" s="15"/>
      <c r="U2857" s="15" t="s">
        <v>16339</v>
      </c>
      <c r="V2857" s="15"/>
      <c r="W2857" s="15"/>
      <c r="X2857" s="15"/>
      <c r="Y2857" s="15"/>
      <c r="Z2857" s="15"/>
    </row>
    <row r="2858" spans="1:26" x14ac:dyDescent="0.25">
      <c r="A2858" s="15" t="s">
        <v>16391</v>
      </c>
      <c r="B2858" s="15">
        <v>2857</v>
      </c>
      <c r="C2858" s="15" t="s">
        <v>11277</v>
      </c>
      <c r="D2858" s="15" t="s">
        <v>11277</v>
      </c>
      <c r="E2858" s="15" t="s">
        <v>102</v>
      </c>
      <c r="F2858" s="15" t="s">
        <v>16382</v>
      </c>
      <c r="G2858" s="15" t="s">
        <v>11655</v>
      </c>
      <c r="H2858" s="15">
        <v>27</v>
      </c>
      <c r="I2858" s="15">
        <v>9</v>
      </c>
      <c r="J2858" s="15">
        <v>80</v>
      </c>
      <c r="K2858" s="15" t="str">
        <f t="shared" si="44"/>
        <v>windbreakingcloudtop</v>
      </c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spans="1:26" x14ac:dyDescent="0.25">
      <c r="A2859" s="15" t="s">
        <v>16392</v>
      </c>
      <c r="B2859" s="15">
        <v>2858</v>
      </c>
      <c r="C2859" s="15" t="s">
        <v>11277</v>
      </c>
      <c r="D2859" s="15" t="s">
        <v>11277</v>
      </c>
      <c r="E2859" s="15" t="s">
        <v>102</v>
      </c>
      <c r="F2859" s="15" t="s">
        <v>16382</v>
      </c>
      <c r="G2859" s="15" t="s">
        <v>11656</v>
      </c>
      <c r="H2859" s="15">
        <v>27</v>
      </c>
      <c r="I2859" s="15">
        <v>9</v>
      </c>
      <c r="J2859" s="15">
        <v>80</v>
      </c>
      <c r="K2859" s="15" t="str">
        <f t="shared" si="44"/>
        <v>windbreakingcloudtop</v>
      </c>
      <c r="L2859" s="15"/>
      <c r="M2859" s="15"/>
      <c r="N2859" s="15"/>
      <c r="O2859" s="15"/>
      <c r="P2859" s="15"/>
      <c r="Q2859" s="15" t="s">
        <v>11655</v>
      </c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 spans="1:26" x14ac:dyDescent="0.25">
      <c r="A2860" s="15" t="s">
        <v>16393</v>
      </c>
      <c r="B2860" s="15">
        <v>2859</v>
      </c>
      <c r="C2860" s="15" t="s">
        <v>11277</v>
      </c>
      <c r="D2860" s="15" t="s">
        <v>11277</v>
      </c>
      <c r="E2860" s="15" t="s">
        <v>102</v>
      </c>
      <c r="F2860" s="15" t="s">
        <v>16394</v>
      </c>
      <c r="G2860" s="15" t="s">
        <v>11663</v>
      </c>
      <c r="H2860" s="15">
        <v>26</v>
      </c>
      <c r="I2860" s="15">
        <v>13</v>
      </c>
      <c r="J2860" s="15">
        <v>80</v>
      </c>
      <c r="K2860" s="15" t="str">
        <f t="shared" si="44"/>
        <v>windsweptcloudtop</v>
      </c>
      <c r="L2860" s="15"/>
      <c r="M2860" s="15"/>
      <c r="N2860" s="15"/>
      <c r="O2860" s="15"/>
      <c r="P2860" s="15"/>
      <c r="Q2860" s="15"/>
      <c r="R2860" s="15"/>
      <c r="S2860" s="15"/>
      <c r="T2860" s="15"/>
      <c r="U2860" s="15" t="s">
        <v>16341</v>
      </c>
      <c r="V2860" s="15"/>
      <c r="W2860" s="15"/>
      <c r="X2860" s="15"/>
      <c r="Y2860" s="15"/>
      <c r="Z2860" s="15"/>
    </row>
    <row r="2861" spans="1:26" x14ac:dyDescent="0.25">
      <c r="A2861" s="15" t="s">
        <v>16395</v>
      </c>
      <c r="B2861" s="15">
        <v>2860</v>
      </c>
      <c r="C2861" s="15" t="s">
        <v>11277</v>
      </c>
      <c r="D2861" s="15" t="s">
        <v>11277</v>
      </c>
      <c r="E2861" s="15" t="s">
        <v>102</v>
      </c>
      <c r="F2861" s="15" t="s">
        <v>16394</v>
      </c>
      <c r="G2861" s="15" t="s">
        <v>11661</v>
      </c>
      <c r="H2861" s="15">
        <v>26</v>
      </c>
      <c r="I2861" s="15">
        <v>13</v>
      </c>
      <c r="J2861" s="15">
        <v>80</v>
      </c>
      <c r="K2861" s="15" t="str">
        <f t="shared" si="44"/>
        <v>windsweptcloudtop</v>
      </c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 spans="1:26" x14ac:dyDescent="0.25">
      <c r="A2862" s="15" t="s">
        <v>16396</v>
      </c>
      <c r="B2862" s="15">
        <v>2861</v>
      </c>
      <c r="C2862" s="15" t="s">
        <v>11277</v>
      </c>
      <c r="D2862" s="15" t="s">
        <v>11277</v>
      </c>
      <c r="E2862" s="15" t="s">
        <v>102</v>
      </c>
      <c r="F2862" s="15" t="s">
        <v>16394</v>
      </c>
      <c r="G2862" s="15" t="s">
        <v>11655</v>
      </c>
      <c r="H2862" s="15">
        <v>26</v>
      </c>
      <c r="I2862" s="15">
        <v>13</v>
      </c>
      <c r="J2862" s="15">
        <v>80</v>
      </c>
      <c r="K2862" s="15" t="str">
        <f t="shared" si="44"/>
        <v>windsweptcloudtop</v>
      </c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 spans="1:26" x14ac:dyDescent="0.25">
      <c r="A2863" s="15" t="s">
        <v>16397</v>
      </c>
      <c r="B2863" s="15">
        <v>2862</v>
      </c>
      <c r="C2863" s="15" t="s">
        <v>11277</v>
      </c>
      <c r="D2863" s="15" t="s">
        <v>11277</v>
      </c>
      <c r="E2863" s="15" t="s">
        <v>102</v>
      </c>
      <c r="F2863" s="15" t="s">
        <v>16394</v>
      </c>
      <c r="G2863" s="15" t="s">
        <v>11656</v>
      </c>
      <c r="H2863" s="15">
        <v>26</v>
      </c>
      <c r="I2863" s="15">
        <v>13</v>
      </c>
      <c r="J2863" s="15">
        <v>80</v>
      </c>
      <c r="K2863" s="15" t="str">
        <f t="shared" si="44"/>
        <v>windsweptcloudtop</v>
      </c>
      <c r="L2863" s="15"/>
      <c r="M2863" s="15"/>
      <c r="N2863" s="15"/>
      <c r="O2863" s="15"/>
      <c r="P2863" s="15"/>
      <c r="Q2863" s="15" t="s">
        <v>11655</v>
      </c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 spans="1:26" x14ac:dyDescent="0.25">
      <c r="A2864" s="15" t="s">
        <v>16398</v>
      </c>
      <c r="B2864" s="15">
        <v>2863</v>
      </c>
      <c r="C2864" s="15" t="s">
        <v>11277</v>
      </c>
      <c r="D2864" s="15" t="s">
        <v>11277</v>
      </c>
      <c r="E2864" s="15" t="s">
        <v>102</v>
      </c>
      <c r="F2864" s="15" t="s">
        <v>16394</v>
      </c>
      <c r="G2864" s="15" t="s">
        <v>11693</v>
      </c>
      <c r="H2864" s="15">
        <v>26</v>
      </c>
      <c r="I2864" s="15">
        <v>13</v>
      </c>
      <c r="J2864" s="15">
        <v>80</v>
      </c>
      <c r="K2864" s="15" t="str">
        <f t="shared" si="44"/>
        <v>windsweptcloudtop</v>
      </c>
      <c r="L2864" s="15"/>
      <c r="M2864" s="15"/>
      <c r="N2864" s="15"/>
      <c r="O2864" s="15"/>
      <c r="P2864" s="15"/>
      <c r="Q2864" s="15" t="s">
        <v>11655</v>
      </c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 spans="1:26" x14ac:dyDescent="0.25">
      <c r="A2865" s="15" t="s">
        <v>16399</v>
      </c>
      <c r="B2865" s="15">
        <v>2864</v>
      </c>
      <c r="C2865" s="15" t="s">
        <v>11277</v>
      </c>
      <c r="D2865" s="15" t="s">
        <v>11277</v>
      </c>
      <c r="E2865" s="15" t="s">
        <v>102</v>
      </c>
      <c r="F2865" s="15" t="s">
        <v>16394</v>
      </c>
      <c r="G2865" s="15" t="s">
        <v>11668</v>
      </c>
      <c r="H2865" s="15">
        <v>26</v>
      </c>
      <c r="I2865" s="15">
        <v>13</v>
      </c>
      <c r="J2865" s="15">
        <v>80</v>
      </c>
      <c r="K2865" s="15" t="str">
        <f t="shared" si="44"/>
        <v>windsweptcloudtop</v>
      </c>
      <c r="L2865" s="15"/>
      <c r="M2865" s="15"/>
      <c r="N2865" s="15"/>
      <c r="O2865" s="15"/>
      <c r="P2865" s="15"/>
      <c r="Q2865" s="15" t="s">
        <v>11655</v>
      </c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 spans="1:26" x14ac:dyDescent="0.25">
      <c r="A2866" s="15" t="s">
        <v>16400</v>
      </c>
      <c r="B2866" s="15">
        <v>2865</v>
      </c>
      <c r="C2866" s="15" t="s">
        <v>11277</v>
      </c>
      <c r="D2866" s="15" t="s">
        <v>11277</v>
      </c>
      <c r="E2866" s="15" t="s">
        <v>102</v>
      </c>
      <c r="F2866" s="15" t="s">
        <v>16394</v>
      </c>
      <c r="G2866" s="15" t="s">
        <v>11694</v>
      </c>
      <c r="H2866" s="15">
        <v>26</v>
      </c>
      <c r="I2866" s="15">
        <v>13</v>
      </c>
      <c r="J2866" s="15">
        <v>80</v>
      </c>
      <c r="K2866" s="15" t="str">
        <f t="shared" si="44"/>
        <v>windsweptcloudtop</v>
      </c>
      <c r="L2866" s="15"/>
      <c r="M2866" s="15"/>
      <c r="N2866" s="15"/>
      <c r="O2866" s="15"/>
      <c r="P2866" s="15"/>
      <c r="Q2866" s="15" t="s">
        <v>11655</v>
      </c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 spans="1:26" x14ac:dyDescent="0.25">
      <c r="A2867" s="15" t="s">
        <v>16401</v>
      </c>
      <c r="B2867" s="15">
        <v>2866</v>
      </c>
      <c r="C2867" s="15" t="s">
        <v>11277</v>
      </c>
      <c r="D2867" s="15" t="s">
        <v>11277</v>
      </c>
      <c r="E2867" s="15" t="s">
        <v>102</v>
      </c>
      <c r="F2867" s="15" t="s">
        <v>16402</v>
      </c>
      <c r="G2867" s="15" t="s">
        <v>13918</v>
      </c>
      <c r="H2867" s="15">
        <v>6</v>
      </c>
      <c r="I2867" s="15">
        <v>13</v>
      </c>
      <c r="J2867" s="15">
        <v>77</v>
      </c>
      <c r="K2867" s="15" t="str">
        <f t="shared" si="44"/>
        <v>westcalibangap</v>
      </c>
      <c r="L2867" s="15" t="s">
        <v>13544</v>
      </c>
      <c r="M2867" s="15">
        <v>2</v>
      </c>
      <c r="N2867" s="15" t="s">
        <v>11223</v>
      </c>
      <c r="O2867" s="15"/>
      <c r="P2867" s="15"/>
      <c r="Q2867" s="15" t="s">
        <v>13938</v>
      </c>
      <c r="R2867" s="15"/>
      <c r="S2867" s="15"/>
      <c r="T2867" s="15">
        <v>0</v>
      </c>
      <c r="U2867" s="15"/>
      <c r="V2867" s="15"/>
      <c r="W2867" s="15"/>
      <c r="X2867" s="15"/>
      <c r="Y2867" s="15"/>
      <c r="Z2867" s="15"/>
    </row>
    <row r="2868" spans="1:26" x14ac:dyDescent="0.25">
      <c r="A2868" s="15" t="s">
        <v>16403</v>
      </c>
      <c r="B2868" s="15">
        <v>2867</v>
      </c>
      <c r="C2868" s="15" t="s">
        <v>11277</v>
      </c>
      <c r="D2868" s="15" t="s">
        <v>11277</v>
      </c>
      <c r="E2868" s="15" t="s">
        <v>102</v>
      </c>
      <c r="F2868" s="15" t="s">
        <v>16402</v>
      </c>
      <c r="G2868" s="15" t="s">
        <v>13936</v>
      </c>
      <c r="H2868" s="15">
        <v>6</v>
      </c>
      <c r="I2868" s="15">
        <v>13</v>
      </c>
      <c r="J2868" s="15">
        <v>77</v>
      </c>
      <c r="K2868" s="15" t="str">
        <f t="shared" si="44"/>
        <v>westcalibangap</v>
      </c>
      <c r="L2868" s="15" t="s">
        <v>13544</v>
      </c>
      <c r="M2868" s="15">
        <v>1</v>
      </c>
      <c r="N2868" s="15" t="s">
        <v>11222</v>
      </c>
      <c r="O2868" s="15"/>
      <c r="P2868" s="15"/>
      <c r="Q2868" s="15"/>
      <c r="R2868" s="15"/>
      <c r="S2868" s="15"/>
      <c r="T2868" s="15">
        <v>0</v>
      </c>
      <c r="U2868" s="15"/>
      <c r="V2868" s="15"/>
      <c r="W2868" s="15"/>
      <c r="X2868" s="15"/>
      <c r="Y2868" s="15"/>
      <c r="Z2868" s="15"/>
    </row>
    <row r="2869" spans="1:26" x14ac:dyDescent="0.25">
      <c r="A2869" s="15" t="s">
        <v>16404</v>
      </c>
      <c r="B2869" s="15">
        <v>2868</v>
      </c>
      <c r="C2869" s="15" t="s">
        <v>11277</v>
      </c>
      <c r="D2869" s="15" t="s">
        <v>11277</v>
      </c>
      <c r="E2869" s="15" t="s">
        <v>102</v>
      </c>
      <c r="F2869" s="15" t="s">
        <v>16402</v>
      </c>
      <c r="G2869" s="15" t="s">
        <v>13938</v>
      </c>
      <c r="H2869" s="15">
        <v>6</v>
      </c>
      <c r="I2869" s="15">
        <v>13</v>
      </c>
      <c r="J2869" s="15">
        <v>79</v>
      </c>
      <c r="K2869" s="15" t="str">
        <f t="shared" si="44"/>
        <v>westcalibangap</v>
      </c>
      <c r="L2869" s="15" t="s">
        <v>13675</v>
      </c>
      <c r="M2869" s="15">
        <v>1</v>
      </c>
      <c r="N2869" s="15" t="s">
        <v>11222</v>
      </c>
      <c r="O2869" s="15"/>
      <c r="P2869" s="15"/>
      <c r="Q2869" s="15"/>
      <c r="R2869" s="15"/>
      <c r="S2869" s="15"/>
      <c r="T2869" s="15">
        <v>0</v>
      </c>
      <c r="U2869" s="15"/>
      <c r="V2869" s="15"/>
      <c r="W2869" s="15"/>
      <c r="X2869" s="15"/>
      <c r="Y2869" s="15"/>
      <c r="Z2869" s="15"/>
    </row>
    <row r="2870" spans="1:26" x14ac:dyDescent="0.25">
      <c r="A2870" s="15" t="s">
        <v>16405</v>
      </c>
      <c r="B2870" s="15">
        <v>2869</v>
      </c>
      <c r="C2870" s="15" t="s">
        <v>11277</v>
      </c>
      <c r="D2870" s="15" t="s">
        <v>11277</v>
      </c>
      <c r="E2870" s="15" t="s">
        <v>102</v>
      </c>
      <c r="F2870" s="15" t="s">
        <v>16402</v>
      </c>
      <c r="G2870" s="15" t="s">
        <v>13940</v>
      </c>
      <c r="H2870" s="15">
        <v>6</v>
      </c>
      <c r="I2870" s="15">
        <v>13</v>
      </c>
      <c r="J2870" s="15">
        <v>80</v>
      </c>
      <c r="K2870" s="15" t="str">
        <f t="shared" si="44"/>
        <v>westcalibangap</v>
      </c>
      <c r="L2870" s="15" t="s">
        <v>13560</v>
      </c>
      <c r="M2870" s="15">
        <v>1</v>
      </c>
      <c r="N2870" s="15" t="s">
        <v>11222</v>
      </c>
      <c r="O2870" s="15"/>
      <c r="P2870" s="15"/>
      <c r="Q2870" s="15" t="s">
        <v>13938</v>
      </c>
      <c r="R2870" s="15"/>
      <c r="S2870" s="15"/>
      <c r="T2870" s="15">
        <v>0</v>
      </c>
      <c r="U2870" s="15"/>
      <c r="V2870" s="15"/>
      <c r="W2870" s="15"/>
      <c r="X2870" s="15"/>
      <c r="Y2870" s="15"/>
      <c r="Z2870" s="15"/>
    </row>
    <row r="2871" spans="1:26" x14ac:dyDescent="0.25">
      <c r="A2871" s="15" t="s">
        <v>16406</v>
      </c>
      <c r="B2871" s="15">
        <v>2870</v>
      </c>
      <c r="C2871" s="15" t="s">
        <v>11277</v>
      </c>
      <c r="D2871" s="15" t="s">
        <v>11277</v>
      </c>
      <c r="E2871" s="15" t="s">
        <v>102</v>
      </c>
      <c r="F2871" s="15" t="s">
        <v>16402</v>
      </c>
      <c r="G2871" s="15" t="s">
        <v>13942</v>
      </c>
      <c r="H2871" s="15">
        <v>6</v>
      </c>
      <c r="I2871" s="15">
        <v>13</v>
      </c>
      <c r="J2871" s="15">
        <v>80</v>
      </c>
      <c r="K2871" s="15" t="str">
        <f t="shared" si="44"/>
        <v>westcalibangap</v>
      </c>
      <c r="L2871" s="15" t="s">
        <v>13938</v>
      </c>
      <c r="M2871" s="15">
        <v>3</v>
      </c>
      <c r="N2871" s="15" t="s">
        <v>11223</v>
      </c>
      <c r="O2871" s="15" t="s">
        <v>2819</v>
      </c>
      <c r="P2871" s="15"/>
      <c r="Q2871" s="15" t="s">
        <v>13938</v>
      </c>
      <c r="R2871" s="15"/>
      <c r="S2871" s="15"/>
      <c r="T2871" s="15">
        <v>0</v>
      </c>
      <c r="U2871" s="15" t="s">
        <v>5893</v>
      </c>
      <c r="V2871" s="15"/>
      <c r="W2871" s="15"/>
      <c r="X2871" s="15"/>
      <c r="Y2871" s="15"/>
      <c r="Z2871" s="15"/>
    </row>
    <row r="2872" spans="1:26" x14ac:dyDescent="0.25">
      <c r="A2872" s="15" t="s">
        <v>16407</v>
      </c>
      <c r="B2872" s="15">
        <v>2871</v>
      </c>
      <c r="C2872" s="15" t="s">
        <v>11277</v>
      </c>
      <c r="D2872" s="15" t="s">
        <v>11277</v>
      </c>
      <c r="E2872" s="15" t="s">
        <v>133</v>
      </c>
      <c r="F2872" s="15" t="s">
        <v>16402</v>
      </c>
      <c r="G2872" s="15" t="s">
        <v>13944</v>
      </c>
      <c r="H2872" s="15">
        <v>6</v>
      </c>
      <c r="I2872" s="15">
        <v>13</v>
      </c>
      <c r="J2872" s="15">
        <v>90</v>
      </c>
      <c r="K2872" s="15" t="str">
        <f t="shared" si="44"/>
        <v>westcalibangap</v>
      </c>
      <c r="L2872" s="15" t="s">
        <v>13560</v>
      </c>
      <c r="M2872" s="15">
        <v>1</v>
      </c>
      <c r="N2872" s="15" t="s">
        <v>11222</v>
      </c>
      <c r="O2872" s="15"/>
      <c r="P2872" s="15"/>
      <c r="Q2872" s="15"/>
      <c r="R2872" s="15"/>
      <c r="S2872" s="15"/>
      <c r="T2872" s="15">
        <v>0</v>
      </c>
      <c r="U2872" s="15"/>
      <c r="V2872" s="15"/>
      <c r="W2872" s="15"/>
      <c r="X2872" s="15"/>
      <c r="Y2872" s="15"/>
      <c r="Z2872" s="15"/>
    </row>
    <row r="2873" spans="1:26" x14ac:dyDescent="0.25">
      <c r="A2873" s="15" t="s">
        <v>16408</v>
      </c>
      <c r="B2873" s="15">
        <v>2872</v>
      </c>
      <c r="C2873" s="15" t="s">
        <v>11277</v>
      </c>
      <c r="D2873" s="15" t="s">
        <v>11277</v>
      </c>
      <c r="E2873" s="15" t="s">
        <v>102</v>
      </c>
      <c r="F2873" s="15" t="s">
        <v>16402</v>
      </c>
      <c r="G2873" s="15" t="s">
        <v>13946</v>
      </c>
      <c r="H2873" s="15">
        <v>6</v>
      </c>
      <c r="I2873" s="15">
        <v>13</v>
      </c>
      <c r="J2873" s="15">
        <v>80</v>
      </c>
      <c r="K2873" s="15" t="str">
        <f t="shared" si="44"/>
        <v>westcalibangap</v>
      </c>
      <c r="L2873" s="15" t="s">
        <v>13938</v>
      </c>
      <c r="M2873" s="15">
        <v>3</v>
      </c>
      <c r="N2873" s="15" t="s">
        <v>11222</v>
      </c>
      <c r="O2873" s="15" t="s">
        <v>2821</v>
      </c>
      <c r="P2873" s="15"/>
      <c r="Q2873" s="15"/>
      <c r="R2873" s="15"/>
      <c r="S2873" s="15"/>
      <c r="T2873" s="15">
        <v>0</v>
      </c>
      <c r="U2873" s="15"/>
      <c r="V2873" s="15"/>
      <c r="W2873" s="15"/>
      <c r="X2873" s="15"/>
      <c r="Y2873" s="15"/>
      <c r="Z2873" s="15"/>
    </row>
  </sheetData>
  <sortState xmlns:xlrd2="http://schemas.microsoft.com/office/spreadsheetml/2017/richdata2" ref="A2:Z2873">
    <sortCondition ref="B2873"/>
  </sortState>
  <phoneticPr fontId="1" type="noConversion"/>
  <conditionalFormatting sqref="L1:L2873">
    <cfRule type="beginsWith" dxfId="0" priority="1" operator="beginsWith" text="mooch">
      <formula>LEFT(L1,LEN("mooch"))="mooch"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5960-A66F-4574-9517-5D5818AC5AB1}">
  <sheetPr>
    <tabColor theme="9" tint="-0.499984740745262"/>
  </sheetPr>
  <dimension ref="A1:J108"/>
  <sheetViews>
    <sheetView workbookViewId="0">
      <pane ySplit="1" topLeftCell="A92" activePane="bottomLeft" state="frozen"/>
      <selection pane="bottomLeft" activeCell="G24" sqref="G24"/>
    </sheetView>
  </sheetViews>
  <sheetFormatPr defaultRowHeight="15" x14ac:dyDescent="0.25"/>
  <cols>
    <col min="1" max="1" width="14.42578125" customWidth="1"/>
    <col min="3" max="3" width="26.5703125" customWidth="1"/>
    <col min="4" max="4" width="24.7109375" customWidth="1"/>
    <col min="5" max="5" width="29.5703125" customWidth="1"/>
    <col min="10" max="10" width="22" customWidth="1"/>
  </cols>
  <sheetData>
    <row r="1" spans="1:10" x14ac:dyDescent="0.25">
      <c r="A1" s="8" t="s">
        <v>0</v>
      </c>
      <c r="B1" s="8" t="s">
        <v>1</v>
      </c>
      <c r="C1" s="8" t="s">
        <v>1064</v>
      </c>
      <c r="D1" s="8" t="s">
        <v>1061</v>
      </c>
      <c r="E1" s="8" t="s">
        <v>1063</v>
      </c>
      <c r="F1" s="8" t="s">
        <v>243</v>
      </c>
      <c r="G1" s="8" t="s">
        <v>244</v>
      </c>
      <c r="H1" s="8" t="s">
        <v>2840</v>
      </c>
      <c r="I1" s="8" t="s">
        <v>2841</v>
      </c>
      <c r="J1" s="8" t="s">
        <v>2842</v>
      </c>
    </row>
    <row r="2" spans="1:10" x14ac:dyDescent="0.25">
      <c r="A2" t="s">
        <v>3372</v>
      </c>
      <c r="B2">
        <v>1</v>
      </c>
      <c r="D2" t="s">
        <v>1073</v>
      </c>
      <c r="E2" t="s">
        <v>1073</v>
      </c>
      <c r="F2">
        <v>9</v>
      </c>
      <c r="G2">
        <v>10.8</v>
      </c>
      <c r="H2">
        <v>334</v>
      </c>
      <c r="I2">
        <v>401</v>
      </c>
      <c r="J2" t="str">
        <f>LEFT(A2,4)&amp;SUBSTITUTE(F2,".","")&amp;SUBSTITUTE(G2,".","")</f>
        <v>aeth9108</v>
      </c>
    </row>
    <row r="3" spans="1:10" x14ac:dyDescent="0.25">
      <c r="A3" t="s">
        <v>3373</v>
      </c>
      <c r="B3">
        <v>2</v>
      </c>
      <c r="D3" t="s">
        <v>248</v>
      </c>
      <c r="E3" t="s">
        <v>3374</v>
      </c>
      <c r="F3">
        <v>26</v>
      </c>
      <c r="G3">
        <v>16.3</v>
      </c>
      <c r="H3">
        <v>488</v>
      </c>
      <c r="I3">
        <v>301</v>
      </c>
      <c r="J3" t="str">
        <f t="shared" ref="J3:J66" si="0">LEFT(A3,4)&amp;SUBSTITUTE(F3,".","")&amp;SUBSTITUTE(G3,".","")</f>
        <v>aeth26163</v>
      </c>
    </row>
    <row r="4" spans="1:10" x14ac:dyDescent="0.25">
      <c r="A4" t="s">
        <v>3375</v>
      </c>
      <c r="B4">
        <v>3</v>
      </c>
      <c r="D4" t="s">
        <v>408</v>
      </c>
      <c r="E4" t="s">
        <v>3376</v>
      </c>
      <c r="F4">
        <v>24.6</v>
      </c>
      <c r="G4">
        <v>34.9</v>
      </c>
      <c r="H4">
        <v>461</v>
      </c>
      <c r="I4">
        <v>658</v>
      </c>
      <c r="J4" t="str">
        <f t="shared" si="0"/>
        <v>aeth246349</v>
      </c>
    </row>
    <row r="5" spans="1:10" x14ac:dyDescent="0.25">
      <c r="A5" t="s">
        <v>3377</v>
      </c>
      <c r="B5">
        <v>4</v>
      </c>
      <c r="D5" t="s">
        <v>475</v>
      </c>
      <c r="E5" t="s">
        <v>3378</v>
      </c>
      <c r="F5">
        <v>31.2</v>
      </c>
      <c r="G5">
        <v>30.8</v>
      </c>
      <c r="H5">
        <v>590</v>
      </c>
      <c r="I5">
        <v>584</v>
      </c>
      <c r="J5" t="str">
        <f t="shared" si="0"/>
        <v>aeth312308</v>
      </c>
    </row>
    <row r="6" spans="1:10" x14ac:dyDescent="0.25">
      <c r="A6" t="s">
        <v>3379</v>
      </c>
      <c r="B6">
        <v>5</v>
      </c>
      <c r="D6" t="s">
        <v>475</v>
      </c>
      <c r="E6" t="s">
        <v>3380</v>
      </c>
      <c r="F6">
        <v>21</v>
      </c>
      <c r="G6">
        <v>21.5</v>
      </c>
      <c r="H6">
        <v>389</v>
      </c>
      <c r="I6">
        <v>402</v>
      </c>
      <c r="J6" t="str">
        <f t="shared" si="0"/>
        <v>aeth21215</v>
      </c>
    </row>
    <row r="7" spans="1:10" x14ac:dyDescent="0.25">
      <c r="A7" t="s">
        <v>3381</v>
      </c>
      <c r="B7">
        <v>6</v>
      </c>
      <c r="D7" t="s">
        <v>412</v>
      </c>
      <c r="E7" t="s">
        <v>3382</v>
      </c>
      <c r="F7">
        <v>34.5</v>
      </c>
      <c r="G7">
        <v>31.7</v>
      </c>
      <c r="H7">
        <v>654</v>
      </c>
      <c r="I7">
        <v>597</v>
      </c>
      <c r="J7" t="str">
        <f t="shared" si="0"/>
        <v>aeth345317</v>
      </c>
    </row>
    <row r="8" spans="1:10" x14ac:dyDescent="0.25">
      <c r="A8" t="s">
        <v>3383</v>
      </c>
      <c r="B8">
        <v>7</v>
      </c>
      <c r="D8" t="s">
        <v>412</v>
      </c>
      <c r="E8" t="s">
        <v>3384</v>
      </c>
      <c r="F8">
        <v>26.6</v>
      </c>
      <c r="G8">
        <v>25.8</v>
      </c>
      <c r="H8">
        <v>501</v>
      </c>
      <c r="I8">
        <v>488</v>
      </c>
      <c r="J8" t="str">
        <f t="shared" si="0"/>
        <v>aeth266258</v>
      </c>
    </row>
    <row r="9" spans="1:10" x14ac:dyDescent="0.25">
      <c r="A9" t="s">
        <v>3385</v>
      </c>
      <c r="B9">
        <v>8</v>
      </c>
      <c r="D9" t="s">
        <v>389</v>
      </c>
      <c r="E9" t="s">
        <v>3386</v>
      </c>
      <c r="F9">
        <v>30.2</v>
      </c>
      <c r="G9">
        <v>23.3</v>
      </c>
      <c r="H9">
        <v>571</v>
      </c>
      <c r="I9">
        <v>438</v>
      </c>
      <c r="J9" t="str">
        <f t="shared" si="0"/>
        <v>aeth302233</v>
      </c>
    </row>
    <row r="10" spans="1:10" x14ac:dyDescent="0.25">
      <c r="A10" t="s">
        <v>3387</v>
      </c>
      <c r="B10">
        <v>9</v>
      </c>
      <c r="D10" t="s">
        <v>277</v>
      </c>
      <c r="E10" t="s">
        <v>3388</v>
      </c>
      <c r="F10">
        <v>19.100000000000001</v>
      </c>
      <c r="G10">
        <v>17.2</v>
      </c>
      <c r="H10">
        <v>351</v>
      </c>
      <c r="I10">
        <v>313</v>
      </c>
      <c r="J10" t="str">
        <f t="shared" si="0"/>
        <v>aeth191172</v>
      </c>
    </row>
    <row r="11" spans="1:10" x14ac:dyDescent="0.25">
      <c r="A11" t="s">
        <v>3389</v>
      </c>
      <c r="B11">
        <v>10</v>
      </c>
      <c r="D11" t="s">
        <v>1081</v>
      </c>
      <c r="E11" t="s">
        <v>1081</v>
      </c>
      <c r="F11">
        <v>5.3</v>
      </c>
      <c r="G11">
        <v>5.8</v>
      </c>
      <c r="H11">
        <v>345</v>
      </c>
      <c r="I11">
        <v>374</v>
      </c>
      <c r="J11" t="str">
        <f t="shared" si="0"/>
        <v>aeth5358</v>
      </c>
    </row>
    <row r="12" spans="1:10" x14ac:dyDescent="0.25">
      <c r="A12" t="s">
        <v>3390</v>
      </c>
      <c r="B12">
        <v>11</v>
      </c>
      <c r="D12" t="s">
        <v>1224</v>
      </c>
      <c r="E12" t="s">
        <v>1224</v>
      </c>
      <c r="F12">
        <v>11.9</v>
      </c>
      <c r="G12">
        <v>11.8</v>
      </c>
      <c r="H12">
        <v>426</v>
      </c>
      <c r="I12">
        <v>418</v>
      </c>
      <c r="J12" t="str">
        <f t="shared" si="0"/>
        <v>aeth119118</v>
      </c>
    </row>
    <row r="13" spans="1:10" x14ac:dyDescent="0.25">
      <c r="A13" t="s">
        <v>3391</v>
      </c>
      <c r="B13">
        <v>12</v>
      </c>
      <c r="D13" t="s">
        <v>362</v>
      </c>
      <c r="E13" t="s">
        <v>3392</v>
      </c>
      <c r="F13">
        <v>21.7</v>
      </c>
      <c r="G13">
        <v>22.1</v>
      </c>
      <c r="H13">
        <v>406</v>
      </c>
      <c r="I13">
        <v>413</v>
      </c>
      <c r="J13" t="str">
        <f t="shared" si="0"/>
        <v>aeth217221</v>
      </c>
    </row>
    <row r="14" spans="1:10" x14ac:dyDescent="0.25">
      <c r="A14" t="s">
        <v>3393</v>
      </c>
      <c r="B14">
        <v>13</v>
      </c>
      <c r="D14" t="s">
        <v>369</v>
      </c>
      <c r="E14" t="s">
        <v>3394</v>
      </c>
      <c r="F14">
        <v>17.7</v>
      </c>
      <c r="G14">
        <v>27.4</v>
      </c>
      <c r="H14">
        <v>326</v>
      </c>
      <c r="I14">
        <v>513</v>
      </c>
      <c r="J14" t="str">
        <f t="shared" si="0"/>
        <v>aeth177274</v>
      </c>
    </row>
    <row r="15" spans="1:10" x14ac:dyDescent="0.25">
      <c r="A15" t="s">
        <v>3395</v>
      </c>
      <c r="B15">
        <v>14</v>
      </c>
      <c r="D15" t="s">
        <v>512</v>
      </c>
      <c r="E15" t="s">
        <v>3396</v>
      </c>
      <c r="F15">
        <v>25</v>
      </c>
      <c r="G15">
        <v>20</v>
      </c>
      <c r="H15">
        <v>469</v>
      </c>
      <c r="I15">
        <v>371</v>
      </c>
      <c r="J15" t="str">
        <f t="shared" si="0"/>
        <v>aeth2520</v>
      </c>
    </row>
    <row r="16" spans="1:10" x14ac:dyDescent="0.25">
      <c r="A16" t="s">
        <v>3397</v>
      </c>
      <c r="B16">
        <v>15</v>
      </c>
      <c r="D16" t="s">
        <v>512</v>
      </c>
      <c r="E16" t="s">
        <v>3398</v>
      </c>
      <c r="F16">
        <v>16.8</v>
      </c>
      <c r="G16">
        <v>28.5</v>
      </c>
      <c r="H16">
        <v>311</v>
      </c>
      <c r="I16">
        <v>539</v>
      </c>
      <c r="J16" t="str">
        <f t="shared" si="0"/>
        <v>aeth168285</v>
      </c>
    </row>
    <row r="17" spans="1:10" x14ac:dyDescent="0.25">
      <c r="A17" t="s">
        <v>3399</v>
      </c>
      <c r="B17">
        <v>16</v>
      </c>
      <c r="D17" t="s">
        <v>344</v>
      </c>
      <c r="E17" t="s">
        <v>1326</v>
      </c>
      <c r="F17">
        <v>20.5</v>
      </c>
      <c r="G17">
        <v>26</v>
      </c>
      <c r="H17">
        <v>381</v>
      </c>
      <c r="I17">
        <v>492</v>
      </c>
      <c r="J17" t="str">
        <f t="shared" si="0"/>
        <v>aeth20526</v>
      </c>
    </row>
    <row r="18" spans="1:10" x14ac:dyDescent="0.25">
      <c r="A18" t="s">
        <v>3400</v>
      </c>
      <c r="B18">
        <v>17</v>
      </c>
      <c r="D18" t="s">
        <v>1348</v>
      </c>
      <c r="E18" t="s">
        <v>1348</v>
      </c>
      <c r="F18">
        <v>8.3000000000000007</v>
      </c>
      <c r="G18">
        <v>7.8</v>
      </c>
      <c r="H18">
        <v>288</v>
      </c>
      <c r="I18">
        <v>265</v>
      </c>
      <c r="J18" t="str">
        <f t="shared" si="0"/>
        <v>aeth8378</v>
      </c>
    </row>
    <row r="19" spans="1:10" x14ac:dyDescent="0.25">
      <c r="A19" t="s">
        <v>3401</v>
      </c>
      <c r="B19">
        <v>18</v>
      </c>
      <c r="D19" t="s">
        <v>446</v>
      </c>
      <c r="E19" t="s">
        <v>3402</v>
      </c>
      <c r="F19">
        <v>22.8</v>
      </c>
      <c r="G19">
        <v>16.8</v>
      </c>
      <c r="H19">
        <v>426</v>
      </c>
      <c r="I19">
        <v>307</v>
      </c>
      <c r="J19" t="str">
        <f t="shared" si="0"/>
        <v>aeth228168</v>
      </c>
    </row>
    <row r="20" spans="1:10" x14ac:dyDescent="0.25">
      <c r="A20" t="s">
        <v>3403</v>
      </c>
      <c r="B20">
        <v>19</v>
      </c>
      <c r="D20" t="s">
        <v>337</v>
      </c>
      <c r="E20" t="s">
        <v>3404</v>
      </c>
      <c r="F20">
        <v>21</v>
      </c>
      <c r="G20">
        <v>18.100000000000001</v>
      </c>
      <c r="H20">
        <v>392</v>
      </c>
      <c r="I20">
        <v>333</v>
      </c>
      <c r="J20" t="str">
        <f t="shared" si="0"/>
        <v>aeth21181</v>
      </c>
    </row>
    <row r="21" spans="1:10" x14ac:dyDescent="0.25">
      <c r="A21" t="s">
        <v>3405</v>
      </c>
      <c r="B21">
        <v>20</v>
      </c>
      <c r="D21" t="s">
        <v>398</v>
      </c>
      <c r="E21" t="s">
        <v>3406</v>
      </c>
      <c r="F21">
        <v>13.7</v>
      </c>
      <c r="G21">
        <v>24.3</v>
      </c>
      <c r="H21">
        <v>247</v>
      </c>
      <c r="I21">
        <v>451</v>
      </c>
      <c r="J21" t="str">
        <f t="shared" si="0"/>
        <v>aeth137243</v>
      </c>
    </row>
    <row r="22" spans="1:10" x14ac:dyDescent="0.25">
      <c r="A22" t="s">
        <v>3407</v>
      </c>
      <c r="B22">
        <v>21</v>
      </c>
      <c r="D22" t="s">
        <v>347</v>
      </c>
      <c r="E22" t="s">
        <v>3408</v>
      </c>
      <c r="F22">
        <v>18.2</v>
      </c>
      <c r="G22">
        <v>13.1</v>
      </c>
      <c r="H22">
        <v>337</v>
      </c>
      <c r="I22">
        <v>234</v>
      </c>
      <c r="J22" t="str">
        <f t="shared" si="0"/>
        <v>aeth182131</v>
      </c>
    </row>
    <row r="23" spans="1:10" x14ac:dyDescent="0.25">
      <c r="A23" t="s">
        <v>3409</v>
      </c>
      <c r="B23">
        <v>22</v>
      </c>
      <c r="D23" t="s">
        <v>347</v>
      </c>
      <c r="E23" t="s">
        <v>3410</v>
      </c>
      <c r="F23">
        <v>14.9</v>
      </c>
      <c r="G23">
        <v>29.5</v>
      </c>
      <c r="H23">
        <v>272</v>
      </c>
      <c r="I23">
        <v>555</v>
      </c>
      <c r="J23" t="str">
        <f t="shared" si="0"/>
        <v>aeth149295</v>
      </c>
    </row>
    <row r="24" spans="1:10" x14ac:dyDescent="0.25">
      <c r="A24" t="s">
        <v>3411</v>
      </c>
      <c r="B24">
        <v>23</v>
      </c>
      <c r="D24" t="s">
        <v>291</v>
      </c>
      <c r="E24" t="s">
        <v>3412</v>
      </c>
      <c r="F24">
        <v>21.8</v>
      </c>
      <c r="G24">
        <v>30.5</v>
      </c>
      <c r="H24">
        <v>409</v>
      </c>
      <c r="I24">
        <v>574</v>
      </c>
      <c r="J24" t="str">
        <f t="shared" si="0"/>
        <v>aeth218305</v>
      </c>
    </row>
    <row r="25" spans="1:10" x14ac:dyDescent="0.25">
      <c r="A25" t="s">
        <v>3413</v>
      </c>
      <c r="B25">
        <v>24</v>
      </c>
      <c r="D25" t="s">
        <v>291</v>
      </c>
      <c r="E25" t="s">
        <v>3414</v>
      </c>
      <c r="F25">
        <v>20.9</v>
      </c>
      <c r="G25">
        <v>20.8</v>
      </c>
      <c r="H25">
        <v>388</v>
      </c>
      <c r="I25">
        <v>388</v>
      </c>
      <c r="J25" t="str">
        <f t="shared" si="0"/>
        <v>aeth209208</v>
      </c>
    </row>
    <row r="26" spans="1:10" x14ac:dyDescent="0.25">
      <c r="A26" t="s">
        <v>3415</v>
      </c>
      <c r="B26">
        <v>25</v>
      </c>
      <c r="C26" t="s">
        <v>1360</v>
      </c>
      <c r="D26" t="s">
        <v>1360</v>
      </c>
      <c r="E26" t="s">
        <v>1360</v>
      </c>
      <c r="F26">
        <v>6.1</v>
      </c>
      <c r="G26">
        <v>6.1</v>
      </c>
      <c r="H26">
        <v>400</v>
      </c>
      <c r="I26">
        <v>400</v>
      </c>
      <c r="J26" t="str">
        <f t="shared" si="0"/>
        <v>aeth6161</v>
      </c>
    </row>
    <row r="27" spans="1:10" x14ac:dyDescent="0.25">
      <c r="A27" t="s">
        <v>3416</v>
      </c>
      <c r="B27">
        <v>26</v>
      </c>
      <c r="D27" t="s">
        <v>1499</v>
      </c>
      <c r="E27" t="s">
        <v>3417</v>
      </c>
      <c r="F27">
        <v>25.9</v>
      </c>
      <c r="G27">
        <v>16.7</v>
      </c>
      <c r="H27">
        <v>490</v>
      </c>
      <c r="I27">
        <v>304</v>
      </c>
      <c r="J27" t="str">
        <f t="shared" si="0"/>
        <v>aeth259167</v>
      </c>
    </row>
    <row r="28" spans="1:10" x14ac:dyDescent="0.25">
      <c r="A28" t="s">
        <v>3418</v>
      </c>
      <c r="B28">
        <v>27</v>
      </c>
      <c r="D28" t="s">
        <v>494</v>
      </c>
      <c r="E28" t="s">
        <v>1574</v>
      </c>
      <c r="F28">
        <v>22.2</v>
      </c>
      <c r="G28">
        <v>8.1</v>
      </c>
      <c r="H28">
        <v>415</v>
      </c>
      <c r="I28">
        <v>137</v>
      </c>
      <c r="J28" t="str">
        <f t="shared" si="0"/>
        <v>aeth22281</v>
      </c>
    </row>
    <row r="29" spans="1:10" x14ac:dyDescent="0.25">
      <c r="A29" t="s">
        <v>3419</v>
      </c>
      <c r="B29">
        <v>28</v>
      </c>
      <c r="C29" t="s">
        <v>710</v>
      </c>
      <c r="D29" t="s">
        <v>710</v>
      </c>
      <c r="E29" t="s">
        <v>710</v>
      </c>
      <c r="F29">
        <v>9.9</v>
      </c>
      <c r="G29">
        <v>12.1</v>
      </c>
      <c r="H29">
        <v>350</v>
      </c>
      <c r="I29">
        <v>432</v>
      </c>
      <c r="J29" t="str">
        <f t="shared" si="0"/>
        <v>aeth99121</v>
      </c>
    </row>
    <row r="30" spans="1:10" x14ac:dyDescent="0.25">
      <c r="A30" t="s">
        <v>3420</v>
      </c>
      <c r="B30">
        <v>29</v>
      </c>
      <c r="D30" t="s">
        <v>686</v>
      </c>
      <c r="E30" t="s">
        <v>3421</v>
      </c>
      <c r="F30">
        <v>32</v>
      </c>
      <c r="G30">
        <v>36.700000000000003</v>
      </c>
      <c r="H30">
        <v>573</v>
      </c>
      <c r="I30">
        <v>665</v>
      </c>
      <c r="J30" t="str">
        <f t="shared" si="0"/>
        <v>aeth32367</v>
      </c>
    </row>
    <row r="31" spans="1:10" x14ac:dyDescent="0.25">
      <c r="A31" t="s">
        <v>3422</v>
      </c>
      <c r="B31">
        <v>30</v>
      </c>
      <c r="D31" t="s">
        <v>666</v>
      </c>
      <c r="E31" t="s">
        <v>3423</v>
      </c>
      <c r="F31">
        <v>10.199999999999999</v>
      </c>
      <c r="G31">
        <v>33.5</v>
      </c>
      <c r="H31">
        <v>173</v>
      </c>
      <c r="I31">
        <v>599</v>
      </c>
      <c r="J31" t="str">
        <f t="shared" si="0"/>
        <v>aeth102335</v>
      </c>
    </row>
    <row r="32" spans="1:10" x14ac:dyDescent="0.25">
      <c r="A32" t="s">
        <v>3424</v>
      </c>
      <c r="B32">
        <v>31</v>
      </c>
      <c r="D32" t="s">
        <v>666</v>
      </c>
      <c r="E32" t="s">
        <v>3425</v>
      </c>
      <c r="F32">
        <v>10.4</v>
      </c>
      <c r="G32">
        <v>14.1</v>
      </c>
      <c r="H32">
        <v>176</v>
      </c>
      <c r="I32">
        <v>246</v>
      </c>
      <c r="J32" t="str">
        <f t="shared" si="0"/>
        <v>aeth104141</v>
      </c>
    </row>
    <row r="33" spans="1:10" x14ac:dyDescent="0.25">
      <c r="A33" t="s">
        <v>3426</v>
      </c>
      <c r="B33">
        <v>32</v>
      </c>
      <c r="D33" t="s">
        <v>733</v>
      </c>
      <c r="E33" t="s">
        <v>1629</v>
      </c>
      <c r="F33">
        <v>8.1</v>
      </c>
      <c r="G33">
        <v>10.5</v>
      </c>
      <c r="H33">
        <v>133</v>
      </c>
      <c r="I33">
        <v>179</v>
      </c>
      <c r="J33" t="str">
        <f t="shared" si="0"/>
        <v>aeth81105</v>
      </c>
    </row>
    <row r="34" spans="1:10" x14ac:dyDescent="0.25">
      <c r="A34" t="s">
        <v>3427</v>
      </c>
      <c r="B34">
        <v>33</v>
      </c>
      <c r="D34" t="s">
        <v>1496</v>
      </c>
      <c r="E34" t="s">
        <v>1496</v>
      </c>
      <c r="F34">
        <v>7.5</v>
      </c>
      <c r="G34">
        <v>5.7</v>
      </c>
      <c r="H34">
        <v>512</v>
      </c>
      <c r="I34">
        <v>368</v>
      </c>
      <c r="J34" t="str">
        <f t="shared" si="0"/>
        <v>aeth7557</v>
      </c>
    </row>
    <row r="35" spans="1:10" x14ac:dyDescent="0.25">
      <c r="A35" t="s">
        <v>3428</v>
      </c>
      <c r="B35">
        <v>34</v>
      </c>
      <c r="D35" t="s">
        <v>956</v>
      </c>
      <c r="E35" t="s">
        <v>3429</v>
      </c>
      <c r="F35">
        <v>33.200000000000003</v>
      </c>
      <c r="G35">
        <v>23.1</v>
      </c>
      <c r="H35">
        <v>599</v>
      </c>
      <c r="I35">
        <v>412</v>
      </c>
      <c r="J35" t="str">
        <f t="shared" si="0"/>
        <v>aeth332231</v>
      </c>
    </row>
    <row r="36" spans="1:10" x14ac:dyDescent="0.25">
      <c r="A36" t="s">
        <v>3430</v>
      </c>
      <c r="B36">
        <v>35</v>
      </c>
      <c r="D36" t="s">
        <v>956</v>
      </c>
      <c r="E36" t="s">
        <v>3431</v>
      </c>
      <c r="F36">
        <v>16.399999999999999</v>
      </c>
      <c r="G36">
        <v>23.2</v>
      </c>
      <c r="H36">
        <v>287</v>
      </c>
      <c r="I36">
        <v>412</v>
      </c>
      <c r="J36" t="str">
        <f t="shared" si="0"/>
        <v>aeth164232</v>
      </c>
    </row>
    <row r="37" spans="1:10" x14ac:dyDescent="0.25">
      <c r="A37" t="s">
        <v>3432</v>
      </c>
      <c r="B37">
        <v>36</v>
      </c>
      <c r="D37" t="s">
        <v>831</v>
      </c>
      <c r="E37" t="s">
        <v>3433</v>
      </c>
      <c r="F37">
        <v>27.9</v>
      </c>
      <c r="G37">
        <v>34.200000000000003</v>
      </c>
      <c r="H37">
        <v>498</v>
      </c>
      <c r="I37">
        <v>618</v>
      </c>
      <c r="J37" t="str">
        <f t="shared" si="0"/>
        <v>aeth279342</v>
      </c>
    </row>
    <row r="38" spans="1:10" x14ac:dyDescent="0.25">
      <c r="A38" t="s">
        <v>3434</v>
      </c>
      <c r="B38">
        <v>37</v>
      </c>
      <c r="D38" t="s">
        <v>831</v>
      </c>
      <c r="E38" t="s">
        <v>3435</v>
      </c>
      <c r="F38">
        <v>10.8</v>
      </c>
      <c r="G38">
        <v>28.8</v>
      </c>
      <c r="H38">
        <v>182</v>
      </c>
      <c r="I38">
        <v>514</v>
      </c>
      <c r="J38" t="str">
        <f t="shared" si="0"/>
        <v>aeth108288</v>
      </c>
    </row>
    <row r="39" spans="1:10" x14ac:dyDescent="0.25">
      <c r="A39" t="s">
        <v>3436</v>
      </c>
      <c r="B39">
        <v>38</v>
      </c>
      <c r="D39" t="s">
        <v>1731</v>
      </c>
      <c r="E39" t="s">
        <v>1731</v>
      </c>
      <c r="F39">
        <v>12.7</v>
      </c>
      <c r="G39">
        <v>13.1</v>
      </c>
      <c r="H39">
        <v>461</v>
      </c>
      <c r="I39">
        <v>474</v>
      </c>
      <c r="J39" t="str">
        <f t="shared" si="0"/>
        <v>aeth127131</v>
      </c>
    </row>
    <row r="40" spans="1:10" x14ac:dyDescent="0.25">
      <c r="A40" t="s">
        <v>3437</v>
      </c>
      <c r="B40">
        <v>39</v>
      </c>
      <c r="D40" t="s">
        <v>1734</v>
      </c>
      <c r="E40" t="s">
        <v>1287</v>
      </c>
      <c r="F40">
        <v>8.8000000000000007</v>
      </c>
      <c r="G40">
        <v>11.3</v>
      </c>
      <c r="H40">
        <v>158</v>
      </c>
      <c r="I40">
        <v>201</v>
      </c>
      <c r="J40" t="str">
        <f t="shared" si="0"/>
        <v>aeth88113</v>
      </c>
    </row>
    <row r="41" spans="1:10" x14ac:dyDescent="0.25">
      <c r="A41" t="s">
        <v>3438</v>
      </c>
      <c r="B41">
        <v>40</v>
      </c>
      <c r="D41" t="s">
        <v>1734</v>
      </c>
      <c r="E41" t="s">
        <v>3439</v>
      </c>
      <c r="F41">
        <v>29.7</v>
      </c>
      <c r="G41">
        <v>26.3</v>
      </c>
      <c r="H41">
        <v>562</v>
      </c>
      <c r="I41">
        <v>498</v>
      </c>
      <c r="J41" t="str">
        <f t="shared" si="0"/>
        <v>aeth297263</v>
      </c>
    </row>
    <row r="42" spans="1:10" x14ac:dyDescent="0.25">
      <c r="A42" t="s">
        <v>3440</v>
      </c>
      <c r="B42">
        <v>41</v>
      </c>
      <c r="D42" t="s">
        <v>603</v>
      </c>
      <c r="E42" t="s">
        <v>3441</v>
      </c>
      <c r="F42">
        <v>23.7</v>
      </c>
      <c r="G42">
        <v>6.5</v>
      </c>
      <c r="H42">
        <v>445</v>
      </c>
      <c r="I42">
        <v>108</v>
      </c>
      <c r="J42" t="str">
        <f t="shared" si="0"/>
        <v>aeth23765</v>
      </c>
    </row>
    <row r="43" spans="1:10" x14ac:dyDescent="0.25">
      <c r="A43" t="s">
        <v>3442</v>
      </c>
      <c r="B43">
        <v>42</v>
      </c>
      <c r="D43" t="s">
        <v>603</v>
      </c>
      <c r="E43" t="s">
        <v>3443</v>
      </c>
      <c r="F43">
        <v>16</v>
      </c>
      <c r="G43">
        <v>36.4</v>
      </c>
      <c r="H43">
        <v>291</v>
      </c>
      <c r="I43">
        <v>694</v>
      </c>
      <c r="J43" t="str">
        <f t="shared" si="0"/>
        <v>aeth16364</v>
      </c>
    </row>
    <row r="44" spans="1:10" x14ac:dyDescent="0.25">
      <c r="A44" t="s">
        <v>3444</v>
      </c>
      <c r="B44">
        <v>43</v>
      </c>
      <c r="D44" t="s">
        <v>637</v>
      </c>
      <c r="E44" t="s">
        <v>3445</v>
      </c>
      <c r="F44">
        <v>8.4</v>
      </c>
      <c r="G44">
        <v>21</v>
      </c>
      <c r="H44">
        <v>146</v>
      </c>
      <c r="I44">
        <v>394</v>
      </c>
      <c r="J44" t="str">
        <f t="shared" si="0"/>
        <v>aeth8421</v>
      </c>
    </row>
    <row r="45" spans="1:10" x14ac:dyDescent="0.25">
      <c r="A45" t="s">
        <v>3446</v>
      </c>
      <c r="B45">
        <v>44</v>
      </c>
      <c r="D45" t="s">
        <v>637</v>
      </c>
      <c r="E45" t="s">
        <v>1855</v>
      </c>
      <c r="F45">
        <v>33.700000000000003</v>
      </c>
      <c r="G45">
        <v>34.5</v>
      </c>
      <c r="H45">
        <v>639</v>
      </c>
      <c r="I45">
        <v>655</v>
      </c>
      <c r="J45" t="str">
        <f t="shared" si="0"/>
        <v>aeth337345</v>
      </c>
    </row>
    <row r="46" spans="1:10" x14ac:dyDescent="0.25">
      <c r="A46" t="s">
        <v>3447</v>
      </c>
      <c r="B46">
        <v>45</v>
      </c>
      <c r="D46" t="s">
        <v>1880</v>
      </c>
      <c r="E46" t="s">
        <v>1880</v>
      </c>
      <c r="F46">
        <v>12.1</v>
      </c>
      <c r="G46">
        <v>10.4</v>
      </c>
      <c r="H46">
        <v>437</v>
      </c>
      <c r="I46">
        <v>372</v>
      </c>
      <c r="J46" t="str">
        <f t="shared" si="0"/>
        <v>aeth121104</v>
      </c>
    </row>
    <row r="47" spans="1:10" x14ac:dyDescent="0.25">
      <c r="A47" t="s">
        <v>3448</v>
      </c>
      <c r="B47">
        <v>46</v>
      </c>
      <c r="D47" t="s">
        <v>1889</v>
      </c>
      <c r="E47" t="s">
        <v>3449</v>
      </c>
      <c r="F47">
        <v>28.6</v>
      </c>
      <c r="G47">
        <v>16.2</v>
      </c>
      <c r="H47">
        <v>540</v>
      </c>
      <c r="I47">
        <v>297</v>
      </c>
      <c r="J47" t="str">
        <f t="shared" si="0"/>
        <v>aeth286162</v>
      </c>
    </row>
    <row r="48" spans="1:10" x14ac:dyDescent="0.25">
      <c r="A48" t="s">
        <v>3450</v>
      </c>
      <c r="B48">
        <v>47</v>
      </c>
      <c r="D48" t="s">
        <v>1889</v>
      </c>
      <c r="E48" t="s">
        <v>1903</v>
      </c>
      <c r="F48">
        <v>23.2</v>
      </c>
      <c r="G48">
        <v>9.6999999999999993</v>
      </c>
      <c r="H48">
        <v>435</v>
      </c>
      <c r="I48">
        <v>174</v>
      </c>
      <c r="J48" t="str">
        <f t="shared" si="0"/>
        <v>aeth23297</v>
      </c>
    </row>
    <row r="49" spans="1:10" x14ac:dyDescent="0.25">
      <c r="A49" t="s">
        <v>3451</v>
      </c>
      <c r="B49">
        <v>48</v>
      </c>
      <c r="D49" t="s">
        <v>799</v>
      </c>
      <c r="E49" t="s">
        <v>3452</v>
      </c>
      <c r="F49">
        <v>30.1</v>
      </c>
      <c r="G49">
        <v>19.600000000000001</v>
      </c>
      <c r="H49">
        <v>569</v>
      </c>
      <c r="I49">
        <v>363</v>
      </c>
      <c r="J49" t="str">
        <f t="shared" si="0"/>
        <v>aeth301196</v>
      </c>
    </row>
    <row r="50" spans="1:10" x14ac:dyDescent="0.25">
      <c r="A50" t="s">
        <v>3453</v>
      </c>
      <c r="B50">
        <v>49</v>
      </c>
      <c r="D50" t="s">
        <v>799</v>
      </c>
      <c r="E50" t="s">
        <v>3454</v>
      </c>
      <c r="F50">
        <v>26.3</v>
      </c>
      <c r="G50">
        <v>13.3</v>
      </c>
      <c r="H50">
        <v>496</v>
      </c>
      <c r="I50">
        <v>243</v>
      </c>
      <c r="J50" t="str">
        <f t="shared" si="0"/>
        <v>aeth263133</v>
      </c>
    </row>
    <row r="51" spans="1:10" x14ac:dyDescent="0.25">
      <c r="A51" t="s">
        <v>3455</v>
      </c>
      <c r="B51">
        <v>50</v>
      </c>
      <c r="D51" t="s">
        <v>1972</v>
      </c>
      <c r="E51" t="s">
        <v>3456</v>
      </c>
      <c r="F51">
        <v>32.5</v>
      </c>
      <c r="G51">
        <v>28.2</v>
      </c>
      <c r="H51">
        <v>618</v>
      </c>
      <c r="I51">
        <v>534</v>
      </c>
      <c r="J51" t="str">
        <f t="shared" si="0"/>
        <v>aeth325282</v>
      </c>
    </row>
    <row r="52" spans="1:10" x14ac:dyDescent="0.25">
      <c r="A52" t="s">
        <v>3457</v>
      </c>
      <c r="B52">
        <v>51</v>
      </c>
      <c r="D52" t="s">
        <v>1972</v>
      </c>
      <c r="E52" t="s">
        <v>3458</v>
      </c>
      <c r="F52">
        <v>23</v>
      </c>
      <c r="G52">
        <v>22.1</v>
      </c>
      <c r="H52">
        <v>431</v>
      </c>
      <c r="I52">
        <v>411</v>
      </c>
      <c r="J52" t="str">
        <f t="shared" si="0"/>
        <v>aeth23221</v>
      </c>
    </row>
    <row r="53" spans="1:10" x14ac:dyDescent="0.25">
      <c r="A53" t="s">
        <v>3459</v>
      </c>
      <c r="B53">
        <v>52</v>
      </c>
      <c r="D53" t="s">
        <v>1972</v>
      </c>
      <c r="E53" t="s">
        <v>3460</v>
      </c>
      <c r="F53">
        <v>6.3</v>
      </c>
      <c r="G53">
        <v>23.8</v>
      </c>
      <c r="H53">
        <v>105</v>
      </c>
      <c r="I53">
        <v>442</v>
      </c>
      <c r="J53" t="str">
        <f t="shared" si="0"/>
        <v>aeth63238</v>
      </c>
    </row>
    <row r="54" spans="1:10" x14ac:dyDescent="0.25">
      <c r="A54" t="s">
        <v>3461</v>
      </c>
      <c r="B54">
        <v>53</v>
      </c>
      <c r="D54" t="s">
        <v>1970</v>
      </c>
      <c r="E54" t="s">
        <v>1970</v>
      </c>
      <c r="F54">
        <v>7.4</v>
      </c>
      <c r="G54">
        <v>6.5</v>
      </c>
      <c r="H54">
        <v>503</v>
      </c>
      <c r="I54">
        <v>427</v>
      </c>
      <c r="J54" t="str">
        <f t="shared" si="0"/>
        <v>aeth7465</v>
      </c>
    </row>
    <row r="55" spans="1:10" x14ac:dyDescent="0.25">
      <c r="A55" t="s">
        <v>3462</v>
      </c>
      <c r="B55">
        <v>54</v>
      </c>
      <c r="D55" t="s">
        <v>3463</v>
      </c>
      <c r="E55" t="s">
        <v>3463</v>
      </c>
      <c r="F55">
        <v>9.9</v>
      </c>
      <c r="G55">
        <v>11.2</v>
      </c>
      <c r="H55">
        <v>349</v>
      </c>
      <c r="I55">
        <v>396</v>
      </c>
      <c r="J55" t="str">
        <f t="shared" si="0"/>
        <v>aeth99112</v>
      </c>
    </row>
    <row r="56" spans="1:10" x14ac:dyDescent="0.25">
      <c r="A56" t="s">
        <v>3464</v>
      </c>
      <c r="B56">
        <v>55</v>
      </c>
      <c r="C56" t="s">
        <v>3466</v>
      </c>
      <c r="D56" t="s">
        <v>3465</v>
      </c>
      <c r="E56" t="s">
        <v>3465</v>
      </c>
      <c r="F56">
        <v>11.2</v>
      </c>
      <c r="G56">
        <v>11.1</v>
      </c>
      <c r="H56">
        <v>400</v>
      </c>
      <c r="I56">
        <v>400</v>
      </c>
      <c r="J56" t="str">
        <f t="shared" si="0"/>
        <v>aeth112111</v>
      </c>
    </row>
    <row r="57" spans="1:10" x14ac:dyDescent="0.25">
      <c r="A57" t="s">
        <v>3467</v>
      </c>
      <c r="B57">
        <v>56</v>
      </c>
      <c r="D57" t="s">
        <v>562</v>
      </c>
      <c r="E57" t="s">
        <v>3468</v>
      </c>
      <c r="F57">
        <v>36.5</v>
      </c>
      <c r="G57">
        <v>20.9</v>
      </c>
      <c r="H57">
        <v>695</v>
      </c>
      <c r="I57">
        <v>389</v>
      </c>
      <c r="J57" t="str">
        <f t="shared" si="0"/>
        <v>aeth365209</v>
      </c>
    </row>
    <row r="58" spans="1:10" x14ac:dyDescent="0.25">
      <c r="A58" t="s">
        <v>3469</v>
      </c>
      <c r="B58">
        <v>57</v>
      </c>
      <c r="D58" t="s">
        <v>562</v>
      </c>
      <c r="E58" t="s">
        <v>3470</v>
      </c>
      <c r="F58">
        <v>6.7</v>
      </c>
      <c r="G58">
        <v>16.899999999999999</v>
      </c>
      <c r="H58">
        <v>112</v>
      </c>
      <c r="I58">
        <v>309</v>
      </c>
      <c r="J58" t="str">
        <f t="shared" si="0"/>
        <v>aeth67169</v>
      </c>
    </row>
    <row r="59" spans="1:10" x14ac:dyDescent="0.25">
      <c r="A59" t="s">
        <v>3471</v>
      </c>
      <c r="B59">
        <v>58</v>
      </c>
      <c r="D59" t="s">
        <v>976</v>
      </c>
      <c r="E59" t="s">
        <v>2090</v>
      </c>
      <c r="F59">
        <v>34.799999999999997</v>
      </c>
      <c r="G59">
        <v>27.2</v>
      </c>
      <c r="H59">
        <v>662</v>
      </c>
      <c r="I59">
        <v>514</v>
      </c>
      <c r="J59" t="str">
        <f t="shared" si="0"/>
        <v>aeth348272</v>
      </c>
    </row>
    <row r="60" spans="1:10" x14ac:dyDescent="0.25">
      <c r="A60" t="s">
        <v>3472</v>
      </c>
      <c r="B60">
        <v>59</v>
      </c>
      <c r="D60" t="s">
        <v>976</v>
      </c>
      <c r="E60" t="s">
        <v>3473</v>
      </c>
      <c r="F60">
        <v>16.5</v>
      </c>
      <c r="G60">
        <v>29.1</v>
      </c>
      <c r="H60">
        <v>304</v>
      </c>
      <c r="I60">
        <v>551</v>
      </c>
      <c r="J60" t="str">
        <f t="shared" si="0"/>
        <v>aeth165291</v>
      </c>
    </row>
    <row r="61" spans="1:10" x14ac:dyDescent="0.25">
      <c r="A61" t="s">
        <v>3474</v>
      </c>
      <c r="B61">
        <v>60</v>
      </c>
      <c r="D61" t="s">
        <v>976</v>
      </c>
      <c r="E61" t="s">
        <v>2117</v>
      </c>
      <c r="F61">
        <v>12.9</v>
      </c>
      <c r="G61">
        <v>9</v>
      </c>
      <c r="H61">
        <v>234</v>
      </c>
      <c r="I61">
        <v>161</v>
      </c>
      <c r="J61" t="str">
        <f t="shared" si="0"/>
        <v>aeth1299</v>
      </c>
    </row>
    <row r="62" spans="1:10" x14ac:dyDescent="0.25">
      <c r="A62" t="s">
        <v>3475</v>
      </c>
      <c r="B62">
        <v>61</v>
      </c>
      <c r="D62" t="s">
        <v>988</v>
      </c>
      <c r="E62" t="s">
        <v>2167</v>
      </c>
      <c r="F62">
        <v>26.3</v>
      </c>
      <c r="G62">
        <v>16.899999999999999</v>
      </c>
      <c r="H62">
        <v>496</v>
      </c>
      <c r="I62">
        <v>313</v>
      </c>
      <c r="J62" t="str">
        <f t="shared" si="0"/>
        <v>aeth263169</v>
      </c>
    </row>
    <row r="63" spans="1:10" x14ac:dyDescent="0.25">
      <c r="A63" t="s">
        <v>3476</v>
      </c>
      <c r="B63">
        <v>62</v>
      </c>
      <c r="D63" t="s">
        <v>988</v>
      </c>
      <c r="E63" t="s">
        <v>2179</v>
      </c>
      <c r="F63">
        <v>29.4</v>
      </c>
      <c r="G63">
        <v>27.6</v>
      </c>
      <c r="H63">
        <v>556</v>
      </c>
      <c r="I63">
        <v>519</v>
      </c>
      <c r="J63" t="str">
        <f t="shared" si="0"/>
        <v>aeth294276</v>
      </c>
    </row>
    <row r="64" spans="1:10" x14ac:dyDescent="0.25">
      <c r="A64" t="s">
        <v>3477</v>
      </c>
      <c r="B64">
        <v>63</v>
      </c>
      <c r="D64" t="s">
        <v>988</v>
      </c>
      <c r="E64" t="s">
        <v>3478</v>
      </c>
      <c r="F64">
        <v>11.2</v>
      </c>
      <c r="G64">
        <v>17.2</v>
      </c>
      <c r="H64">
        <v>202</v>
      </c>
      <c r="I64">
        <v>315</v>
      </c>
      <c r="J64" t="str">
        <f t="shared" si="0"/>
        <v>aeth112172</v>
      </c>
    </row>
    <row r="65" spans="1:10" x14ac:dyDescent="0.25">
      <c r="A65" t="s">
        <v>3479</v>
      </c>
      <c r="B65">
        <v>64</v>
      </c>
      <c r="D65" t="s">
        <v>329</v>
      </c>
      <c r="E65" t="s">
        <v>3480</v>
      </c>
      <c r="F65">
        <v>14.5</v>
      </c>
      <c r="G65">
        <v>31.7</v>
      </c>
      <c r="H65">
        <v>266</v>
      </c>
      <c r="I65">
        <v>598</v>
      </c>
      <c r="J65" t="str">
        <f t="shared" si="0"/>
        <v>aeth145317</v>
      </c>
    </row>
    <row r="66" spans="1:10" x14ac:dyDescent="0.25">
      <c r="A66" t="s">
        <v>3481</v>
      </c>
      <c r="B66">
        <v>65</v>
      </c>
      <c r="D66" t="s">
        <v>329</v>
      </c>
      <c r="E66" t="s">
        <v>3482</v>
      </c>
      <c r="F66">
        <v>20</v>
      </c>
      <c r="G66">
        <v>4.3</v>
      </c>
      <c r="H66">
        <v>373</v>
      </c>
      <c r="I66">
        <v>64</v>
      </c>
      <c r="J66" t="str">
        <f t="shared" si="0"/>
        <v>aeth2043</v>
      </c>
    </row>
    <row r="67" spans="1:10" x14ac:dyDescent="0.25">
      <c r="A67" t="s">
        <v>3483</v>
      </c>
      <c r="B67">
        <v>66</v>
      </c>
      <c r="D67" t="s">
        <v>329</v>
      </c>
      <c r="E67" t="s">
        <v>3484</v>
      </c>
      <c r="F67">
        <v>29</v>
      </c>
      <c r="G67">
        <v>7.7</v>
      </c>
      <c r="H67">
        <v>549</v>
      </c>
      <c r="I67">
        <v>130</v>
      </c>
      <c r="J67" t="str">
        <f t="shared" ref="J67:J108" si="1">LEFT(A67,4)&amp;SUBSTITUTE(F67,".","")&amp;SUBSTITUTE(G67,".","")</f>
        <v>aeth2977</v>
      </c>
    </row>
    <row r="68" spans="1:10" x14ac:dyDescent="0.25">
      <c r="A68" t="s">
        <v>3485</v>
      </c>
      <c r="B68">
        <v>67</v>
      </c>
      <c r="D68" t="s">
        <v>2221</v>
      </c>
      <c r="E68" t="s">
        <v>2223</v>
      </c>
      <c r="F68">
        <v>19.399999999999999</v>
      </c>
      <c r="G68">
        <v>27.4</v>
      </c>
      <c r="H68">
        <v>360</v>
      </c>
      <c r="I68">
        <v>515</v>
      </c>
      <c r="J68" t="str">
        <f t="shared" si="1"/>
        <v>aeth194274</v>
      </c>
    </row>
    <row r="69" spans="1:10" x14ac:dyDescent="0.25">
      <c r="A69" t="s">
        <v>3486</v>
      </c>
      <c r="B69">
        <v>68</v>
      </c>
      <c r="D69" t="s">
        <v>2221</v>
      </c>
      <c r="E69" t="s">
        <v>2250</v>
      </c>
      <c r="F69">
        <v>29.1</v>
      </c>
      <c r="G69">
        <v>17.600000000000001</v>
      </c>
      <c r="H69">
        <v>550</v>
      </c>
      <c r="I69">
        <v>321</v>
      </c>
      <c r="J69" t="str">
        <f t="shared" si="1"/>
        <v>aeth291176</v>
      </c>
    </row>
    <row r="70" spans="1:10" x14ac:dyDescent="0.25">
      <c r="A70" t="s">
        <v>3487</v>
      </c>
      <c r="B70">
        <v>69</v>
      </c>
      <c r="D70" t="s">
        <v>944</v>
      </c>
      <c r="E70" t="s">
        <v>2296</v>
      </c>
      <c r="F70">
        <v>32.6</v>
      </c>
      <c r="G70">
        <v>17.399999999999999</v>
      </c>
      <c r="H70">
        <v>619</v>
      </c>
      <c r="I70">
        <v>316</v>
      </c>
      <c r="J70" t="str">
        <f t="shared" si="1"/>
        <v>aeth326174</v>
      </c>
    </row>
    <row r="71" spans="1:10" x14ac:dyDescent="0.25">
      <c r="A71" t="s">
        <v>3488</v>
      </c>
      <c r="B71">
        <v>70</v>
      </c>
      <c r="D71" t="s">
        <v>944</v>
      </c>
      <c r="E71" t="s">
        <v>3489</v>
      </c>
      <c r="F71">
        <v>18.600000000000001</v>
      </c>
      <c r="G71">
        <v>25.8</v>
      </c>
      <c r="H71">
        <v>344</v>
      </c>
      <c r="I71">
        <v>484</v>
      </c>
      <c r="J71" t="str">
        <f t="shared" si="1"/>
        <v>aeth186258</v>
      </c>
    </row>
    <row r="72" spans="1:10" x14ac:dyDescent="0.25">
      <c r="A72" t="s">
        <v>3490</v>
      </c>
      <c r="B72">
        <v>71</v>
      </c>
      <c r="D72" t="s">
        <v>2368</v>
      </c>
      <c r="E72" t="s">
        <v>2368</v>
      </c>
      <c r="F72">
        <v>11.7</v>
      </c>
      <c r="G72">
        <v>10.6</v>
      </c>
      <c r="H72">
        <v>420</v>
      </c>
      <c r="I72">
        <v>379</v>
      </c>
      <c r="J72" t="str">
        <f t="shared" si="1"/>
        <v>aeth117106</v>
      </c>
    </row>
    <row r="73" spans="1:10" x14ac:dyDescent="0.25">
      <c r="A73" t="s">
        <v>3491</v>
      </c>
      <c r="B73">
        <v>72</v>
      </c>
      <c r="D73" t="s">
        <v>837</v>
      </c>
      <c r="E73" t="s">
        <v>3492</v>
      </c>
      <c r="F73">
        <v>25.3</v>
      </c>
      <c r="G73">
        <v>34</v>
      </c>
      <c r="H73">
        <v>476</v>
      </c>
      <c r="I73">
        <v>643</v>
      </c>
      <c r="J73" t="str">
        <f t="shared" si="1"/>
        <v>aeth25334</v>
      </c>
    </row>
    <row r="74" spans="1:10" x14ac:dyDescent="0.25">
      <c r="A74" t="s">
        <v>3493</v>
      </c>
      <c r="B74">
        <v>73</v>
      </c>
      <c r="D74" t="s">
        <v>837</v>
      </c>
      <c r="E74" t="s">
        <v>2392</v>
      </c>
      <c r="F74">
        <v>10.9</v>
      </c>
      <c r="G74">
        <v>22.2</v>
      </c>
      <c r="H74">
        <v>194</v>
      </c>
      <c r="I74">
        <v>414</v>
      </c>
      <c r="J74" t="str">
        <f t="shared" si="1"/>
        <v>aeth109222</v>
      </c>
    </row>
    <row r="75" spans="1:10" x14ac:dyDescent="0.25">
      <c r="A75" t="s">
        <v>3494</v>
      </c>
      <c r="B75">
        <v>74</v>
      </c>
      <c r="D75" t="s">
        <v>837</v>
      </c>
      <c r="E75" t="s">
        <v>3495</v>
      </c>
      <c r="F75">
        <v>29.5</v>
      </c>
      <c r="G75">
        <v>16.5</v>
      </c>
      <c r="H75">
        <v>558</v>
      </c>
      <c r="I75">
        <v>302</v>
      </c>
      <c r="J75" t="str">
        <f t="shared" si="1"/>
        <v>aeth295165</v>
      </c>
    </row>
    <row r="76" spans="1:10" x14ac:dyDescent="0.25">
      <c r="A76" t="s">
        <v>3496</v>
      </c>
      <c r="B76">
        <v>75</v>
      </c>
      <c r="D76" t="s">
        <v>2407</v>
      </c>
      <c r="E76" t="s">
        <v>2440</v>
      </c>
      <c r="F76">
        <v>13.3</v>
      </c>
      <c r="G76">
        <v>31.1</v>
      </c>
      <c r="H76">
        <v>241</v>
      </c>
      <c r="I76">
        <v>589</v>
      </c>
      <c r="J76" t="str">
        <f t="shared" si="1"/>
        <v>aeth133311</v>
      </c>
    </row>
    <row r="77" spans="1:10" x14ac:dyDescent="0.25">
      <c r="A77" t="s">
        <v>3497</v>
      </c>
      <c r="B77">
        <v>76</v>
      </c>
      <c r="D77" t="s">
        <v>2407</v>
      </c>
      <c r="E77" t="s">
        <v>2438</v>
      </c>
      <c r="F77">
        <v>31.7</v>
      </c>
      <c r="G77">
        <v>18</v>
      </c>
      <c r="H77">
        <v>601</v>
      </c>
      <c r="I77">
        <v>329</v>
      </c>
      <c r="J77" t="str">
        <f t="shared" si="1"/>
        <v>aeth31718</v>
      </c>
    </row>
    <row r="78" spans="1:10" x14ac:dyDescent="0.25">
      <c r="A78" t="s">
        <v>3498</v>
      </c>
      <c r="B78">
        <v>77</v>
      </c>
      <c r="D78" t="s">
        <v>2318</v>
      </c>
      <c r="E78" t="s">
        <v>2318</v>
      </c>
      <c r="F78">
        <v>11.2</v>
      </c>
      <c r="G78">
        <v>11.2</v>
      </c>
      <c r="H78">
        <v>400</v>
      </c>
      <c r="I78">
        <v>400</v>
      </c>
      <c r="J78" t="str">
        <f t="shared" si="1"/>
        <v>aeth112112</v>
      </c>
    </row>
    <row r="79" spans="1:10" x14ac:dyDescent="0.25">
      <c r="A79" t="s">
        <v>3499</v>
      </c>
      <c r="B79">
        <v>78</v>
      </c>
      <c r="D79" t="s">
        <v>2320</v>
      </c>
      <c r="E79" t="s">
        <v>3500</v>
      </c>
      <c r="F79">
        <v>30.3</v>
      </c>
      <c r="G79">
        <v>11.8</v>
      </c>
      <c r="H79">
        <v>574</v>
      </c>
      <c r="I79">
        <v>212</v>
      </c>
      <c r="J79" t="str">
        <f t="shared" si="1"/>
        <v>aeth303118</v>
      </c>
    </row>
    <row r="80" spans="1:10" x14ac:dyDescent="0.25">
      <c r="A80" t="s">
        <v>3501</v>
      </c>
      <c r="B80">
        <v>79</v>
      </c>
      <c r="D80" t="s">
        <v>2320</v>
      </c>
      <c r="E80" t="s">
        <v>2365</v>
      </c>
      <c r="F80">
        <v>21.6</v>
      </c>
      <c r="G80">
        <v>20.399999999999999</v>
      </c>
      <c r="H80">
        <v>403</v>
      </c>
      <c r="I80">
        <v>379</v>
      </c>
      <c r="J80" t="str">
        <f t="shared" si="1"/>
        <v>aeth216204</v>
      </c>
    </row>
    <row r="81" spans="1:10" x14ac:dyDescent="0.25">
      <c r="A81" t="s">
        <v>3502</v>
      </c>
      <c r="B81">
        <v>80</v>
      </c>
      <c r="D81" t="s">
        <v>2320</v>
      </c>
      <c r="E81" t="s">
        <v>3503</v>
      </c>
      <c r="F81">
        <v>6.8</v>
      </c>
      <c r="G81">
        <v>27.5</v>
      </c>
      <c r="H81">
        <v>115</v>
      </c>
      <c r="I81">
        <v>516</v>
      </c>
      <c r="J81" t="str">
        <f t="shared" si="1"/>
        <v>aeth68275</v>
      </c>
    </row>
    <row r="82" spans="1:10" x14ac:dyDescent="0.25">
      <c r="A82" t="s">
        <v>3504</v>
      </c>
      <c r="B82">
        <v>81</v>
      </c>
      <c r="D82" t="s">
        <v>2443</v>
      </c>
      <c r="E82" t="s">
        <v>2444</v>
      </c>
      <c r="F82">
        <v>10.1</v>
      </c>
      <c r="G82">
        <v>34.4</v>
      </c>
      <c r="H82">
        <v>180</v>
      </c>
      <c r="I82">
        <v>651</v>
      </c>
      <c r="J82" t="str">
        <f t="shared" si="1"/>
        <v>aeth101344</v>
      </c>
    </row>
    <row r="83" spans="1:10" x14ac:dyDescent="0.25">
      <c r="A83" t="s">
        <v>3505</v>
      </c>
      <c r="B83">
        <v>82</v>
      </c>
      <c r="D83" t="s">
        <v>2443</v>
      </c>
      <c r="E83" t="s">
        <v>2474</v>
      </c>
      <c r="F83">
        <v>21.4</v>
      </c>
      <c r="G83">
        <v>11.2</v>
      </c>
      <c r="H83">
        <v>400</v>
      </c>
      <c r="I83">
        <v>196</v>
      </c>
      <c r="J83" t="str">
        <f t="shared" si="1"/>
        <v>aeth214112</v>
      </c>
    </row>
    <row r="84" spans="1:10" x14ac:dyDescent="0.25">
      <c r="A84" t="s">
        <v>3506</v>
      </c>
      <c r="B84">
        <v>83</v>
      </c>
      <c r="D84" t="s">
        <v>2481</v>
      </c>
      <c r="E84" t="s">
        <v>2489</v>
      </c>
      <c r="F84">
        <v>10.5</v>
      </c>
      <c r="G84">
        <v>26.8</v>
      </c>
      <c r="H84">
        <v>186</v>
      </c>
      <c r="I84">
        <v>501</v>
      </c>
      <c r="J84" t="str">
        <f t="shared" si="1"/>
        <v>aeth105268</v>
      </c>
    </row>
    <row r="85" spans="1:10" x14ac:dyDescent="0.25">
      <c r="A85" t="s">
        <v>3507</v>
      </c>
      <c r="B85">
        <v>84</v>
      </c>
      <c r="D85" t="s">
        <v>2481</v>
      </c>
      <c r="E85" t="s">
        <v>3508</v>
      </c>
      <c r="F85">
        <v>22.7</v>
      </c>
      <c r="G85">
        <v>8.3000000000000007</v>
      </c>
      <c r="H85">
        <v>426</v>
      </c>
      <c r="I85">
        <v>144</v>
      </c>
      <c r="J85" t="str">
        <f t="shared" si="1"/>
        <v>aeth22783</v>
      </c>
    </row>
    <row r="86" spans="1:10" x14ac:dyDescent="0.25">
      <c r="A86" t="s">
        <v>3509</v>
      </c>
      <c r="B86">
        <v>85</v>
      </c>
      <c r="D86" t="s">
        <v>2481</v>
      </c>
      <c r="E86" t="s">
        <v>3510</v>
      </c>
      <c r="F86">
        <v>31.2</v>
      </c>
      <c r="G86">
        <v>28</v>
      </c>
      <c r="H86">
        <v>590</v>
      </c>
      <c r="I86">
        <v>527</v>
      </c>
      <c r="J86" t="str">
        <f t="shared" si="1"/>
        <v>aeth31228</v>
      </c>
    </row>
    <row r="87" spans="1:10" x14ac:dyDescent="0.25">
      <c r="A87" t="s">
        <v>3511</v>
      </c>
      <c r="B87">
        <v>86</v>
      </c>
      <c r="D87" t="s">
        <v>2518</v>
      </c>
      <c r="E87" t="s">
        <v>3512</v>
      </c>
      <c r="F87">
        <v>24.6</v>
      </c>
      <c r="G87">
        <v>23.9</v>
      </c>
      <c r="H87">
        <v>461</v>
      </c>
      <c r="I87">
        <v>448</v>
      </c>
      <c r="J87" t="str">
        <f t="shared" si="1"/>
        <v>aeth246239</v>
      </c>
    </row>
    <row r="88" spans="1:10" x14ac:dyDescent="0.25">
      <c r="A88" t="s">
        <v>3513</v>
      </c>
      <c r="B88">
        <v>87</v>
      </c>
      <c r="D88" t="s">
        <v>2518</v>
      </c>
      <c r="E88" t="s">
        <v>3514</v>
      </c>
      <c r="F88">
        <v>8.6999999999999993</v>
      </c>
      <c r="G88">
        <v>32.299999999999997</v>
      </c>
      <c r="H88">
        <v>152</v>
      </c>
      <c r="I88">
        <v>612</v>
      </c>
      <c r="J88" t="str">
        <f t="shared" si="1"/>
        <v>aeth87323</v>
      </c>
    </row>
    <row r="89" spans="1:10" x14ac:dyDescent="0.25">
      <c r="A89" t="s">
        <v>3515</v>
      </c>
      <c r="B89">
        <v>88</v>
      </c>
      <c r="D89" t="s">
        <v>2518</v>
      </c>
      <c r="E89" t="s">
        <v>3516</v>
      </c>
      <c r="F89">
        <v>10.8</v>
      </c>
      <c r="G89">
        <v>17</v>
      </c>
      <c r="H89">
        <v>194</v>
      </c>
      <c r="I89">
        <v>313</v>
      </c>
      <c r="J89" t="str">
        <f t="shared" si="1"/>
        <v>aeth10817</v>
      </c>
    </row>
    <row r="90" spans="1:10" x14ac:dyDescent="0.25">
      <c r="A90" t="s">
        <v>3517</v>
      </c>
      <c r="B90">
        <v>89</v>
      </c>
      <c r="D90" t="s">
        <v>2543</v>
      </c>
      <c r="E90" t="s">
        <v>2543</v>
      </c>
      <c r="F90">
        <v>12.8</v>
      </c>
      <c r="G90">
        <v>11.1</v>
      </c>
      <c r="H90">
        <v>418</v>
      </c>
      <c r="I90">
        <v>356</v>
      </c>
      <c r="J90" t="str">
        <f t="shared" si="1"/>
        <v>aeth128111</v>
      </c>
    </row>
    <row r="91" spans="1:10" x14ac:dyDescent="0.25">
      <c r="A91" t="s">
        <v>3518</v>
      </c>
      <c r="B91">
        <v>90</v>
      </c>
      <c r="D91" t="s">
        <v>2545</v>
      </c>
      <c r="E91" t="s">
        <v>2585</v>
      </c>
      <c r="F91">
        <v>28.1</v>
      </c>
      <c r="G91">
        <v>13.1</v>
      </c>
      <c r="H91">
        <v>530</v>
      </c>
      <c r="I91">
        <v>232</v>
      </c>
      <c r="J91" t="str">
        <f t="shared" si="1"/>
        <v>aeth281131</v>
      </c>
    </row>
    <row r="92" spans="1:10" x14ac:dyDescent="0.25">
      <c r="A92" t="s">
        <v>3519</v>
      </c>
      <c r="B92">
        <v>91</v>
      </c>
      <c r="D92" t="s">
        <v>2545</v>
      </c>
      <c r="E92" t="s">
        <v>2592</v>
      </c>
      <c r="F92">
        <v>30.5</v>
      </c>
      <c r="G92">
        <v>34.200000000000003</v>
      </c>
      <c r="H92">
        <v>583</v>
      </c>
      <c r="I92">
        <v>647</v>
      </c>
      <c r="J92" t="str">
        <f t="shared" si="1"/>
        <v>aeth305342</v>
      </c>
    </row>
    <row r="93" spans="1:10" x14ac:dyDescent="0.25">
      <c r="A93" t="s">
        <v>3520</v>
      </c>
      <c r="B93">
        <v>92</v>
      </c>
      <c r="D93" t="s">
        <v>2597</v>
      </c>
      <c r="E93" t="s">
        <v>3521</v>
      </c>
      <c r="F93">
        <v>18</v>
      </c>
      <c r="G93">
        <v>11.9</v>
      </c>
      <c r="H93">
        <v>335</v>
      </c>
      <c r="I93">
        <v>212</v>
      </c>
      <c r="J93" t="str">
        <f t="shared" si="1"/>
        <v>aeth18119</v>
      </c>
    </row>
    <row r="94" spans="1:10" x14ac:dyDescent="0.25">
      <c r="A94" t="s">
        <v>3522</v>
      </c>
      <c r="B94">
        <v>93</v>
      </c>
      <c r="D94" t="s">
        <v>2597</v>
      </c>
      <c r="E94" t="s">
        <v>3523</v>
      </c>
      <c r="F94">
        <v>32.200000000000003</v>
      </c>
      <c r="G94">
        <v>25.5</v>
      </c>
      <c r="H94">
        <v>611</v>
      </c>
      <c r="I94">
        <v>477</v>
      </c>
      <c r="J94" t="str">
        <f t="shared" si="1"/>
        <v>aeth322255</v>
      </c>
    </row>
    <row r="95" spans="1:10" x14ac:dyDescent="0.25">
      <c r="A95" t="s">
        <v>3524</v>
      </c>
      <c r="B95">
        <v>94</v>
      </c>
      <c r="D95" t="s">
        <v>2597</v>
      </c>
      <c r="E95" t="s">
        <v>2646</v>
      </c>
      <c r="F95">
        <v>11.8</v>
      </c>
      <c r="G95">
        <v>27.8</v>
      </c>
      <c r="H95">
        <v>213</v>
      </c>
      <c r="I95">
        <v>519</v>
      </c>
      <c r="J95" t="str">
        <f t="shared" si="1"/>
        <v>aeth118278</v>
      </c>
    </row>
    <row r="96" spans="1:10" x14ac:dyDescent="0.25">
      <c r="A96" t="s">
        <v>3525</v>
      </c>
      <c r="B96">
        <v>95</v>
      </c>
      <c r="D96" t="s">
        <v>2597</v>
      </c>
      <c r="E96" t="s">
        <v>3526</v>
      </c>
      <c r="F96">
        <v>37.200000000000003</v>
      </c>
      <c r="G96">
        <v>16.8</v>
      </c>
      <c r="H96">
        <v>707</v>
      </c>
      <c r="I96">
        <v>308</v>
      </c>
      <c r="J96" t="str">
        <f t="shared" si="1"/>
        <v>aeth372168</v>
      </c>
    </row>
    <row r="97" spans="1:10" x14ac:dyDescent="0.25">
      <c r="A97" t="s">
        <v>3527</v>
      </c>
      <c r="B97">
        <v>96</v>
      </c>
      <c r="D97" t="s">
        <v>2649</v>
      </c>
      <c r="E97" t="s">
        <v>2663</v>
      </c>
      <c r="F97">
        <v>13.4</v>
      </c>
      <c r="G97">
        <v>12.8</v>
      </c>
      <c r="H97">
        <v>245</v>
      </c>
      <c r="I97">
        <v>229</v>
      </c>
      <c r="J97" t="str">
        <f t="shared" si="1"/>
        <v>aeth134128</v>
      </c>
    </row>
    <row r="98" spans="1:10" x14ac:dyDescent="0.25">
      <c r="A98" t="s">
        <v>3528</v>
      </c>
      <c r="B98">
        <v>97</v>
      </c>
      <c r="D98" t="s">
        <v>2649</v>
      </c>
      <c r="E98" t="s">
        <v>2677</v>
      </c>
      <c r="F98">
        <v>35.799999999999997</v>
      </c>
      <c r="G98">
        <v>31.9</v>
      </c>
      <c r="H98">
        <v>683</v>
      </c>
      <c r="I98">
        <v>605</v>
      </c>
      <c r="J98" t="str">
        <f t="shared" si="1"/>
        <v>aeth358319</v>
      </c>
    </row>
    <row r="99" spans="1:10" x14ac:dyDescent="0.25">
      <c r="A99" t="s">
        <v>3529</v>
      </c>
      <c r="B99">
        <v>98</v>
      </c>
      <c r="D99" t="s">
        <v>2711</v>
      </c>
      <c r="E99" t="s">
        <v>2711</v>
      </c>
      <c r="F99">
        <v>12.3</v>
      </c>
      <c r="G99">
        <v>14.1</v>
      </c>
      <c r="H99">
        <v>401</v>
      </c>
      <c r="I99">
        <v>461</v>
      </c>
      <c r="J99" t="str">
        <f t="shared" si="1"/>
        <v>aeth123141</v>
      </c>
    </row>
    <row r="100" spans="1:10" x14ac:dyDescent="0.25">
      <c r="A100" t="s">
        <v>3530</v>
      </c>
      <c r="B100">
        <v>99</v>
      </c>
      <c r="D100" t="s">
        <v>2713</v>
      </c>
      <c r="E100" t="s">
        <v>3531</v>
      </c>
      <c r="F100">
        <v>29</v>
      </c>
      <c r="G100">
        <v>30.8</v>
      </c>
      <c r="H100">
        <v>549</v>
      </c>
      <c r="I100">
        <v>580</v>
      </c>
      <c r="J100" t="str">
        <f t="shared" si="1"/>
        <v>aeth29308</v>
      </c>
    </row>
    <row r="101" spans="1:10" x14ac:dyDescent="0.25">
      <c r="A101" t="s">
        <v>3532</v>
      </c>
      <c r="B101">
        <v>100</v>
      </c>
      <c r="D101" t="s">
        <v>2713</v>
      </c>
      <c r="E101" t="s">
        <v>3533</v>
      </c>
      <c r="F101">
        <v>15.6</v>
      </c>
      <c r="G101">
        <v>19.2</v>
      </c>
      <c r="H101">
        <v>286</v>
      </c>
      <c r="I101">
        <v>352</v>
      </c>
      <c r="J101" t="str">
        <f t="shared" si="1"/>
        <v>aeth156192</v>
      </c>
    </row>
    <row r="102" spans="1:10" x14ac:dyDescent="0.25">
      <c r="A102" t="s">
        <v>3534</v>
      </c>
      <c r="B102">
        <v>101</v>
      </c>
      <c r="D102" t="s">
        <v>2713</v>
      </c>
      <c r="E102" t="s">
        <v>3535</v>
      </c>
      <c r="F102">
        <v>27.7</v>
      </c>
      <c r="G102">
        <v>10.1</v>
      </c>
      <c r="H102">
        <v>542</v>
      </c>
      <c r="I102">
        <v>180</v>
      </c>
      <c r="J102" t="str">
        <f t="shared" si="1"/>
        <v>aeth277101</v>
      </c>
    </row>
    <row r="103" spans="1:10" x14ac:dyDescent="0.25">
      <c r="A103" t="s">
        <v>3536</v>
      </c>
      <c r="B103">
        <v>102</v>
      </c>
      <c r="D103" t="s">
        <v>340</v>
      </c>
      <c r="E103" t="s">
        <v>3537</v>
      </c>
      <c r="F103">
        <v>31.7</v>
      </c>
      <c r="G103">
        <v>25.7</v>
      </c>
      <c r="H103">
        <v>599</v>
      </c>
      <c r="I103">
        <v>481</v>
      </c>
      <c r="J103" t="str">
        <f t="shared" si="1"/>
        <v>aeth317257</v>
      </c>
    </row>
    <row r="104" spans="1:10" x14ac:dyDescent="0.25">
      <c r="A104" t="s">
        <v>3538</v>
      </c>
      <c r="B104">
        <v>103</v>
      </c>
      <c r="D104" t="s">
        <v>340</v>
      </c>
      <c r="E104" t="s">
        <v>3539</v>
      </c>
      <c r="F104">
        <v>17</v>
      </c>
      <c r="G104">
        <v>9.8000000000000007</v>
      </c>
      <c r="H104">
        <v>312</v>
      </c>
      <c r="I104">
        <v>171</v>
      </c>
      <c r="J104" t="str">
        <f t="shared" si="1"/>
        <v>aeth1798</v>
      </c>
    </row>
    <row r="105" spans="1:10" x14ac:dyDescent="0.25">
      <c r="A105" t="s">
        <v>3540</v>
      </c>
      <c r="B105">
        <v>104</v>
      </c>
      <c r="D105" t="s">
        <v>340</v>
      </c>
      <c r="E105" t="s">
        <v>3541</v>
      </c>
      <c r="F105">
        <v>17</v>
      </c>
      <c r="G105">
        <v>23.9</v>
      </c>
      <c r="H105">
        <v>314</v>
      </c>
      <c r="I105">
        <v>448</v>
      </c>
      <c r="J105" t="str">
        <f t="shared" si="1"/>
        <v>aeth17239</v>
      </c>
    </row>
    <row r="106" spans="1:10" x14ac:dyDescent="0.25">
      <c r="A106" t="s">
        <v>3542</v>
      </c>
      <c r="B106">
        <v>105</v>
      </c>
      <c r="D106" t="s">
        <v>2749</v>
      </c>
      <c r="E106" t="s">
        <v>3543</v>
      </c>
      <c r="F106">
        <v>21.5</v>
      </c>
      <c r="G106">
        <v>37.299999999999997</v>
      </c>
      <c r="H106">
        <v>400</v>
      </c>
      <c r="I106">
        <v>713</v>
      </c>
      <c r="J106" t="str">
        <f t="shared" si="1"/>
        <v>aeth215373</v>
      </c>
    </row>
    <row r="107" spans="1:10" x14ac:dyDescent="0.25">
      <c r="A107" t="s">
        <v>3544</v>
      </c>
      <c r="B107">
        <v>106</v>
      </c>
      <c r="D107" t="s">
        <v>2749</v>
      </c>
      <c r="E107" t="s">
        <v>3545</v>
      </c>
      <c r="F107">
        <v>34.700000000000003</v>
      </c>
      <c r="G107">
        <v>15.7</v>
      </c>
      <c r="H107">
        <v>657</v>
      </c>
      <c r="I107">
        <v>288</v>
      </c>
      <c r="J107" t="str">
        <f t="shared" si="1"/>
        <v>aeth347157</v>
      </c>
    </row>
    <row r="108" spans="1:10" x14ac:dyDescent="0.25">
      <c r="A108" t="s">
        <v>3546</v>
      </c>
      <c r="B108">
        <v>107</v>
      </c>
      <c r="D108" t="s">
        <v>2749</v>
      </c>
      <c r="E108" t="s">
        <v>3547</v>
      </c>
      <c r="F108">
        <v>16.399999999999999</v>
      </c>
      <c r="G108">
        <v>13.5</v>
      </c>
      <c r="H108">
        <v>300</v>
      </c>
      <c r="I108">
        <v>242</v>
      </c>
      <c r="J108" t="str">
        <f t="shared" si="1"/>
        <v>aeth164135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2A66-410D-4395-9B4C-D6E80035A747}">
  <sheetPr>
    <tabColor theme="9" tint="-0.499984740745262"/>
  </sheetPr>
  <dimension ref="A1:R220"/>
  <sheetViews>
    <sheetView topLeftCell="C1" workbookViewId="0">
      <pane ySplit="1" topLeftCell="A197" activePane="bottomLeft" state="frozen"/>
      <selection pane="bottomLeft" activeCell="E173" sqref="E173"/>
    </sheetView>
  </sheetViews>
  <sheetFormatPr defaultRowHeight="15" x14ac:dyDescent="0.25"/>
  <cols>
    <col min="1" max="1" width="17.7109375" customWidth="1"/>
    <col min="2" max="2" width="17.28515625" customWidth="1"/>
    <col min="3" max="3" width="7.5703125" customWidth="1"/>
    <col min="4" max="4" width="42.5703125" customWidth="1"/>
    <col min="5" max="5" width="32" customWidth="1"/>
    <col min="6" max="6" width="15.28515625" customWidth="1"/>
    <col min="8" max="8" width="21.28515625" customWidth="1"/>
    <col min="9" max="11" width="31.7109375" customWidth="1"/>
    <col min="12" max="12" width="19.42578125" customWidth="1"/>
    <col min="13" max="13" width="184" customWidth="1"/>
    <col min="14" max="14" width="32.7109375" customWidth="1"/>
    <col min="15" max="15" width="5.7109375" customWidth="1"/>
    <col min="16" max="16" width="30.140625" customWidth="1"/>
    <col min="18" max="18" width="32" customWidth="1"/>
  </cols>
  <sheetData>
    <row r="1" spans="1:1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1061</v>
      </c>
      <c r="F1" s="1" t="s">
        <v>11079</v>
      </c>
      <c r="G1" s="1" t="s">
        <v>4</v>
      </c>
      <c r="H1" s="1" t="s">
        <v>2842</v>
      </c>
      <c r="I1" s="1" t="s">
        <v>6900</v>
      </c>
      <c r="J1" s="1" t="s">
        <v>5886</v>
      </c>
      <c r="K1" s="1" t="s">
        <v>5887</v>
      </c>
      <c r="L1" s="1" t="s">
        <v>6929</v>
      </c>
      <c r="M1" s="1" t="s">
        <v>6915</v>
      </c>
    </row>
    <row r="2" spans="1:18" x14ac:dyDescent="0.25">
      <c r="A2" s="1" t="s">
        <v>6885</v>
      </c>
      <c r="B2" s="1" t="s">
        <v>1067</v>
      </c>
      <c r="C2" s="1">
        <v>1</v>
      </c>
      <c r="D2" s="1" t="s">
        <v>6886</v>
      </c>
      <c r="E2" s="1" t="s">
        <v>248</v>
      </c>
      <c r="F2" s="2" t="s">
        <v>7811</v>
      </c>
      <c r="G2" s="1">
        <v>50</v>
      </c>
      <c r="H2" s="1" t="str">
        <f t="shared" ref="H2:H65" si="0">LEFT(A2,4)&amp;LOWER(LEFT(SUBSTITUTE(D2," ",""),2)&amp;LEFT(SUBSTITUTE(SUBSTITUTE(E2," ",""),"'",""),6)&amp;F2)</f>
        <v>huntskmiddleb1</v>
      </c>
      <c r="I2" s="2" t="s">
        <v>7089</v>
      </c>
      <c r="J2" s="2"/>
      <c r="K2" s="2"/>
      <c r="L2" s="1"/>
      <c r="M2" s="1"/>
    </row>
    <row r="3" spans="1:18" x14ac:dyDescent="0.25">
      <c r="A3" s="1" t="s">
        <v>6968</v>
      </c>
      <c r="B3" s="1" t="s">
        <v>1067</v>
      </c>
      <c r="C3" s="1">
        <v>2</v>
      </c>
      <c r="D3" s="1" t="s">
        <v>417</v>
      </c>
      <c r="E3" s="1" t="s">
        <v>408</v>
      </c>
      <c r="F3" s="2" t="s">
        <v>7811</v>
      </c>
      <c r="G3" s="1">
        <v>50</v>
      </c>
      <c r="H3" s="1" t="str">
        <f t="shared" si="0"/>
        <v>huntbalowerlb1</v>
      </c>
      <c r="I3" s="2" t="s">
        <v>7089</v>
      </c>
      <c r="J3" s="2"/>
      <c r="K3" s="2"/>
      <c r="L3" s="1"/>
      <c r="M3" s="1"/>
    </row>
    <row r="4" spans="1:18" x14ac:dyDescent="0.25">
      <c r="A4" s="1" t="s">
        <v>6969</v>
      </c>
      <c r="B4" s="1" t="s">
        <v>1067</v>
      </c>
      <c r="C4" s="1">
        <v>3</v>
      </c>
      <c r="D4" s="1" t="s">
        <v>6899</v>
      </c>
      <c r="E4" s="1" t="s">
        <v>412</v>
      </c>
      <c r="F4" s="2" t="s">
        <v>7811</v>
      </c>
      <c r="G4" s="1">
        <v>50</v>
      </c>
      <c r="H4" s="1" t="str">
        <f t="shared" si="0"/>
        <v>huntdawesterb1</v>
      </c>
      <c r="I4" s="2" t="s">
        <v>7089</v>
      </c>
      <c r="J4" s="2"/>
      <c r="K4" s="2"/>
      <c r="L4" s="1"/>
      <c r="M4" s="1"/>
    </row>
    <row r="5" spans="1:18" x14ac:dyDescent="0.25">
      <c r="A5" s="1" t="s">
        <v>6970</v>
      </c>
      <c r="B5" s="1" t="s">
        <v>1067</v>
      </c>
      <c r="C5" s="1">
        <v>4</v>
      </c>
      <c r="D5" s="1" t="s">
        <v>482</v>
      </c>
      <c r="E5" s="1" t="s">
        <v>475</v>
      </c>
      <c r="F5" s="2" t="s">
        <v>7811</v>
      </c>
      <c r="G5" s="1">
        <v>50</v>
      </c>
      <c r="H5" s="1" t="str">
        <f t="shared" si="0"/>
        <v>huntbleasterb1</v>
      </c>
      <c r="I5" s="2" t="s">
        <v>7089</v>
      </c>
      <c r="J5" s="2"/>
      <c r="K5" s="2"/>
      <c r="L5" s="1"/>
      <c r="M5" s="1"/>
    </row>
    <row r="6" spans="1:18" x14ac:dyDescent="0.25">
      <c r="A6" s="1" t="s">
        <v>6971</v>
      </c>
      <c r="B6" s="1" t="s">
        <v>1067</v>
      </c>
      <c r="C6" s="1">
        <v>5</v>
      </c>
      <c r="D6" s="1" t="s">
        <v>6898</v>
      </c>
      <c r="E6" s="1" t="s">
        <v>389</v>
      </c>
      <c r="F6" s="2" t="s">
        <v>7811</v>
      </c>
      <c r="G6" s="1">
        <v>50</v>
      </c>
      <c r="H6" s="1" t="str">
        <f t="shared" si="0"/>
        <v>huntmyupperlb1</v>
      </c>
      <c r="I6" s="2" t="s">
        <v>7089</v>
      </c>
      <c r="J6" s="2"/>
      <c r="K6" s="2"/>
      <c r="L6" s="1"/>
      <c r="M6" s="1"/>
    </row>
    <row r="7" spans="1:18" x14ac:dyDescent="0.25">
      <c r="A7" s="1" t="s">
        <v>6972</v>
      </c>
      <c r="B7" s="1" t="s">
        <v>1067</v>
      </c>
      <c r="C7" s="1">
        <v>6</v>
      </c>
      <c r="D7" s="1" t="s">
        <v>6897</v>
      </c>
      <c r="E7" s="1" t="s">
        <v>277</v>
      </c>
      <c r="F7" s="2" t="s">
        <v>7811</v>
      </c>
      <c r="G7" s="1">
        <v>50</v>
      </c>
      <c r="H7" s="1" t="str">
        <f t="shared" si="0"/>
        <v>huntvuouterlb1</v>
      </c>
      <c r="I7" s="2" t="s">
        <v>7089</v>
      </c>
      <c r="J7" s="2"/>
      <c r="K7" s="2"/>
      <c r="L7" s="1"/>
      <c r="M7" s="1"/>
      <c r="R7" s="2"/>
    </row>
    <row r="8" spans="1:18" x14ac:dyDescent="0.25">
      <c r="A8" s="1" t="s">
        <v>6973</v>
      </c>
      <c r="B8" s="1" t="s">
        <v>1067</v>
      </c>
      <c r="C8" s="1">
        <v>7</v>
      </c>
      <c r="D8" s="1" t="s">
        <v>6896</v>
      </c>
      <c r="E8" s="1" t="s">
        <v>337</v>
      </c>
      <c r="F8" s="2" t="s">
        <v>7811</v>
      </c>
      <c r="G8" s="1">
        <v>50</v>
      </c>
      <c r="H8" s="1" t="str">
        <f t="shared" si="0"/>
        <v>huntovcentrab1</v>
      </c>
      <c r="I8" s="2" t="s">
        <v>7089</v>
      </c>
      <c r="J8" s="2"/>
      <c r="K8" s="2"/>
      <c r="L8" s="1"/>
      <c r="M8" s="1"/>
      <c r="R8" s="2"/>
    </row>
    <row r="9" spans="1:18" x14ac:dyDescent="0.25">
      <c r="A9" s="1" t="s">
        <v>6974</v>
      </c>
      <c r="B9" s="1" t="s">
        <v>1067</v>
      </c>
      <c r="C9" s="1">
        <v>8</v>
      </c>
      <c r="D9" s="1" t="s">
        <v>6895</v>
      </c>
      <c r="E9" s="1" t="s">
        <v>446</v>
      </c>
      <c r="F9" s="2" t="s">
        <v>7811</v>
      </c>
      <c r="G9" s="1">
        <v>50</v>
      </c>
      <c r="H9" s="1" t="str">
        <f t="shared" si="0"/>
        <v>huntsewesterb1</v>
      </c>
      <c r="I9" s="2" t="s">
        <v>7089</v>
      </c>
      <c r="J9" s="2"/>
      <c r="K9" s="2"/>
      <c r="L9" s="1"/>
      <c r="M9" s="1"/>
      <c r="R9" s="2"/>
    </row>
    <row r="10" spans="1:18" x14ac:dyDescent="0.25">
      <c r="A10" s="1" t="s">
        <v>6975</v>
      </c>
      <c r="B10" s="1" t="s">
        <v>1067</v>
      </c>
      <c r="C10" s="1">
        <v>9</v>
      </c>
      <c r="D10" s="1" t="s">
        <v>6894</v>
      </c>
      <c r="E10" s="1" t="s">
        <v>398</v>
      </c>
      <c r="F10" s="2" t="s">
        <v>7811</v>
      </c>
      <c r="G10" s="1">
        <v>50</v>
      </c>
      <c r="H10" s="1" t="str">
        <f t="shared" si="0"/>
        <v>huntgaeasterb1</v>
      </c>
      <c r="I10" s="2" t="s">
        <v>7089</v>
      </c>
      <c r="J10" s="2"/>
      <c r="K10" s="2"/>
      <c r="L10" s="1"/>
      <c r="M10" s="1"/>
      <c r="R10" s="2"/>
    </row>
    <row r="11" spans="1:18" x14ac:dyDescent="0.25">
      <c r="A11" s="1" t="s">
        <v>6976</v>
      </c>
      <c r="B11" s="1" t="s">
        <v>1067</v>
      </c>
      <c r="C11" s="1">
        <v>10</v>
      </c>
      <c r="D11" s="1" t="s">
        <v>6893</v>
      </c>
      <c r="E11" s="1" t="s">
        <v>347</v>
      </c>
      <c r="F11" s="2" t="s">
        <v>7811</v>
      </c>
      <c r="G11" s="1">
        <v>50</v>
      </c>
      <c r="H11" s="1" t="str">
        <f t="shared" si="0"/>
        <v>huntalsoutheb1</v>
      </c>
      <c r="I11" s="2" t="s">
        <v>7089</v>
      </c>
      <c r="J11" s="2"/>
      <c r="K11" s="2"/>
      <c r="L11" s="1"/>
      <c r="M11" s="1"/>
      <c r="R11" s="2"/>
    </row>
    <row r="12" spans="1:18" x14ac:dyDescent="0.25">
      <c r="A12" s="1" t="s">
        <v>6977</v>
      </c>
      <c r="B12" s="1" t="s">
        <v>1067</v>
      </c>
      <c r="C12" s="1">
        <v>11</v>
      </c>
      <c r="D12" s="1" t="s">
        <v>311</v>
      </c>
      <c r="E12" s="1" t="s">
        <v>291</v>
      </c>
      <c r="F12" s="2" t="s">
        <v>7811</v>
      </c>
      <c r="G12" s="1">
        <v>50</v>
      </c>
      <c r="H12" s="1" t="str">
        <f t="shared" si="0"/>
        <v>huntflnortheb1</v>
      </c>
      <c r="I12" s="2" t="s">
        <v>7089</v>
      </c>
      <c r="J12" s="2"/>
      <c r="K12" s="2"/>
      <c r="L12" s="1"/>
      <c r="M12" s="1"/>
      <c r="R12" s="2"/>
    </row>
    <row r="13" spans="1:18" x14ac:dyDescent="0.25">
      <c r="A13" s="1" t="s">
        <v>6978</v>
      </c>
      <c r="B13" s="1" t="s">
        <v>1067</v>
      </c>
      <c r="C13" s="1">
        <v>12</v>
      </c>
      <c r="D13" s="1" t="s">
        <v>6892</v>
      </c>
      <c r="E13" s="1" t="s">
        <v>362</v>
      </c>
      <c r="F13" s="2" t="s">
        <v>7811</v>
      </c>
      <c r="G13" s="1">
        <v>50</v>
      </c>
      <c r="H13" s="1" t="str">
        <f t="shared" si="0"/>
        <v>huntwhcentrab1</v>
      </c>
      <c r="I13" s="2" t="s">
        <v>7089</v>
      </c>
      <c r="J13" s="2"/>
      <c r="K13" s="2"/>
      <c r="L13" s="1"/>
      <c r="M13" s="1"/>
      <c r="R13" s="2"/>
    </row>
    <row r="14" spans="1:18" x14ac:dyDescent="0.25">
      <c r="A14" s="1" t="s">
        <v>6979</v>
      </c>
      <c r="B14" s="1" t="s">
        <v>1067</v>
      </c>
      <c r="C14" s="1">
        <v>13</v>
      </c>
      <c r="D14" s="1" t="s">
        <v>6891</v>
      </c>
      <c r="E14" s="1" t="s">
        <v>512</v>
      </c>
      <c r="F14" s="2" t="s">
        <v>7811</v>
      </c>
      <c r="G14" s="1">
        <v>50</v>
      </c>
      <c r="H14" s="1" t="str">
        <f t="shared" si="0"/>
        <v>huntmosouthsb1</v>
      </c>
      <c r="I14" s="2" t="s">
        <v>7089</v>
      </c>
      <c r="J14" s="2"/>
      <c r="K14" s="2"/>
      <c r="L14" s="1"/>
      <c r="M14" s="1"/>
      <c r="R14" s="2"/>
    </row>
    <row r="15" spans="1:18" x14ac:dyDescent="0.25">
      <c r="A15" s="1" t="s">
        <v>6980</v>
      </c>
      <c r="B15" s="1" t="s">
        <v>1067</v>
      </c>
      <c r="C15" s="1">
        <v>14</v>
      </c>
      <c r="D15" s="1" t="s">
        <v>6890</v>
      </c>
      <c r="E15" s="1" t="s">
        <v>369</v>
      </c>
      <c r="F15" s="2" t="s">
        <v>7811</v>
      </c>
      <c r="G15" s="1">
        <v>50</v>
      </c>
      <c r="H15" s="1" t="str">
        <f t="shared" si="0"/>
        <v>huntsteastshb1</v>
      </c>
      <c r="I15" s="2" t="s">
        <v>7089</v>
      </c>
      <c r="J15" s="2"/>
      <c r="K15" s="2"/>
      <c r="L15" s="1"/>
      <c r="M15" s="1"/>
      <c r="R15" s="2"/>
    </row>
    <row r="16" spans="1:18" x14ac:dyDescent="0.25">
      <c r="A16" s="1" t="s">
        <v>6981</v>
      </c>
      <c r="B16" s="1" t="s">
        <v>1067</v>
      </c>
      <c r="C16" s="1">
        <v>15</v>
      </c>
      <c r="D16" s="1" t="s">
        <v>6889</v>
      </c>
      <c r="E16" s="1" t="s">
        <v>344</v>
      </c>
      <c r="F16" s="2" t="s">
        <v>7811</v>
      </c>
      <c r="G16" s="1">
        <v>50</v>
      </c>
      <c r="H16" s="1" t="str">
        <f t="shared" si="0"/>
        <v>huntphnorthsb1</v>
      </c>
      <c r="I16" s="2" t="s">
        <v>7089</v>
      </c>
      <c r="J16" s="2"/>
      <c r="K16" s="2"/>
      <c r="L16" s="1"/>
      <c r="M16" s="1"/>
      <c r="R16" s="2"/>
    </row>
    <row r="17" spans="1:18" x14ac:dyDescent="0.25">
      <c r="A17" s="1" t="s">
        <v>6982</v>
      </c>
      <c r="B17" s="1" t="s">
        <v>1067</v>
      </c>
      <c r="C17" s="1">
        <v>16</v>
      </c>
      <c r="D17" s="1" t="s">
        <v>6888</v>
      </c>
      <c r="E17" s="1" t="s">
        <v>1499</v>
      </c>
      <c r="F17" s="2" t="s">
        <v>7811</v>
      </c>
      <c r="G17" s="1">
        <v>50</v>
      </c>
      <c r="H17" s="1" t="str">
        <f t="shared" si="0"/>
        <v>huntnacoerthb1</v>
      </c>
      <c r="I17" s="2" t="s">
        <v>7089</v>
      </c>
      <c r="J17" s="2"/>
      <c r="K17" s="2"/>
      <c r="L17" s="1"/>
      <c r="M17" s="1"/>
      <c r="R17" s="2"/>
    </row>
    <row r="18" spans="1:18" x14ac:dyDescent="0.25">
      <c r="A18" s="1" t="s">
        <v>6983</v>
      </c>
      <c r="B18" s="1" t="s">
        <v>1067</v>
      </c>
      <c r="C18" s="1">
        <v>17</v>
      </c>
      <c r="D18" s="1" t="s">
        <v>6887</v>
      </c>
      <c r="E18" s="1" t="s">
        <v>494</v>
      </c>
      <c r="F18" s="2" t="s">
        <v>7811</v>
      </c>
      <c r="G18" s="1">
        <v>50</v>
      </c>
      <c r="H18" s="1" t="str">
        <f t="shared" si="0"/>
        <v>huntlemordhob1</v>
      </c>
      <c r="I18" s="2" t="s">
        <v>7089</v>
      </c>
      <c r="J18" s="2"/>
      <c r="K18" s="2"/>
      <c r="L18" s="1"/>
      <c r="M18" s="1"/>
      <c r="R18" s="2"/>
    </row>
    <row r="19" spans="1:18" x14ac:dyDescent="0.25">
      <c r="A19" s="1" t="s">
        <v>6984</v>
      </c>
      <c r="B19" s="1" t="s">
        <v>1067</v>
      </c>
      <c r="C19" s="1">
        <v>18</v>
      </c>
      <c r="D19" s="1" t="s">
        <v>6901</v>
      </c>
      <c r="E19" s="1" t="s">
        <v>248</v>
      </c>
      <c r="F19" s="2" t="s">
        <v>7812</v>
      </c>
      <c r="G19" s="1">
        <v>50</v>
      </c>
      <c r="H19" s="1" t="str">
        <f t="shared" si="0"/>
        <v>huntvomiddlea1</v>
      </c>
      <c r="I19" s="3" t="s">
        <v>6949</v>
      </c>
      <c r="J19" s="3"/>
      <c r="K19" s="3"/>
      <c r="L19" s="1"/>
      <c r="M19" s="1"/>
      <c r="R19" s="2"/>
    </row>
    <row r="20" spans="1:18" x14ac:dyDescent="0.25">
      <c r="A20" s="1" t="s">
        <v>6985</v>
      </c>
      <c r="B20" s="1" t="s">
        <v>1067</v>
      </c>
      <c r="C20" s="1">
        <v>19</v>
      </c>
      <c r="D20" s="1" t="s">
        <v>6902</v>
      </c>
      <c r="E20" s="1" t="s">
        <v>408</v>
      </c>
      <c r="F20" s="2" t="s">
        <v>7812</v>
      </c>
      <c r="G20" s="1">
        <v>50</v>
      </c>
      <c r="H20" s="1" t="str">
        <f t="shared" si="0"/>
        <v>huntunlowerla1</v>
      </c>
      <c r="I20" s="3" t="s">
        <v>6949</v>
      </c>
      <c r="J20" s="3"/>
      <c r="K20" s="3"/>
      <c r="L20" s="1"/>
      <c r="M20" s="1"/>
      <c r="R20" s="2"/>
    </row>
    <row r="21" spans="1:18" x14ac:dyDescent="0.25">
      <c r="A21" s="1" t="s">
        <v>6986</v>
      </c>
      <c r="B21" s="1" t="s">
        <v>1067</v>
      </c>
      <c r="C21" s="1">
        <v>20</v>
      </c>
      <c r="D21" s="1" t="s">
        <v>6903</v>
      </c>
      <c r="E21" s="1" t="s">
        <v>412</v>
      </c>
      <c r="F21" s="2" t="s">
        <v>7812</v>
      </c>
      <c r="G21" s="1">
        <v>50</v>
      </c>
      <c r="H21" s="1" t="str">
        <f t="shared" si="0"/>
        <v>huntnawestera1</v>
      </c>
      <c r="I21" s="3" t="s">
        <v>6949</v>
      </c>
      <c r="J21" s="3"/>
      <c r="K21" s="3"/>
      <c r="L21" s="1"/>
      <c r="M21" s="1"/>
      <c r="R21" s="2"/>
    </row>
    <row r="22" spans="1:18" x14ac:dyDescent="0.25">
      <c r="A22" s="1" t="s">
        <v>6987</v>
      </c>
      <c r="B22" s="1" t="s">
        <v>1067</v>
      </c>
      <c r="C22" s="1">
        <v>21</v>
      </c>
      <c r="D22" s="1" t="s">
        <v>6904</v>
      </c>
      <c r="E22" s="1" t="s">
        <v>475</v>
      </c>
      <c r="F22" s="2" t="s">
        <v>7812</v>
      </c>
      <c r="G22" s="1">
        <v>50</v>
      </c>
      <c r="H22" s="1" t="str">
        <f t="shared" si="0"/>
        <v>huntheeastera1</v>
      </c>
      <c r="I22" s="3" t="s">
        <v>6949</v>
      </c>
      <c r="J22" s="3"/>
      <c r="K22" s="3"/>
      <c r="L22" s="1"/>
      <c r="M22" s="1"/>
      <c r="R22" s="2"/>
    </row>
    <row r="23" spans="1:18" x14ac:dyDescent="0.25">
      <c r="A23" s="1" t="s">
        <v>6988</v>
      </c>
      <c r="B23" s="1" t="s">
        <v>1067</v>
      </c>
      <c r="C23" s="1">
        <v>22</v>
      </c>
      <c r="D23" s="1" t="s">
        <v>390</v>
      </c>
      <c r="E23" s="1" t="s">
        <v>389</v>
      </c>
      <c r="F23" s="2" t="s">
        <v>7812</v>
      </c>
      <c r="G23" s="1">
        <v>50</v>
      </c>
      <c r="H23" s="1" t="str">
        <f t="shared" si="0"/>
        <v>huntmaupperla1</v>
      </c>
      <c r="I23" s="3" t="s">
        <v>6950</v>
      </c>
      <c r="J23" s="3"/>
      <c r="K23" s="3"/>
      <c r="L23" s="1"/>
      <c r="M23" s="1"/>
      <c r="R23" s="2"/>
    </row>
    <row r="24" spans="1:18" x14ac:dyDescent="0.25">
      <c r="A24" s="1" t="s">
        <v>6989</v>
      </c>
      <c r="B24" s="1" t="s">
        <v>1067</v>
      </c>
      <c r="C24" s="1">
        <v>23</v>
      </c>
      <c r="D24" s="1" t="s">
        <v>278</v>
      </c>
      <c r="E24" s="1" t="s">
        <v>277</v>
      </c>
      <c r="F24" s="2" t="s">
        <v>7812</v>
      </c>
      <c r="G24" s="1">
        <v>50</v>
      </c>
      <c r="H24" s="1" t="str">
        <f t="shared" si="0"/>
        <v>huntcoouterla1</v>
      </c>
      <c r="I24" s="3" t="s">
        <v>6949</v>
      </c>
      <c r="J24" s="3"/>
      <c r="K24" s="3"/>
      <c r="L24" s="1"/>
      <c r="M24" s="1"/>
    </row>
    <row r="25" spans="1:18" x14ac:dyDescent="0.25">
      <c r="A25" s="1" t="s">
        <v>6990</v>
      </c>
      <c r="B25" s="1" t="s">
        <v>1067</v>
      </c>
      <c r="C25" s="1">
        <v>24</v>
      </c>
      <c r="D25" s="1" t="s">
        <v>6905</v>
      </c>
      <c r="E25" s="1" t="s">
        <v>337</v>
      </c>
      <c r="F25" s="2" t="s">
        <v>7812</v>
      </c>
      <c r="G25" s="1">
        <v>50</v>
      </c>
      <c r="H25" s="1" t="str">
        <f t="shared" si="0"/>
        <v>huntsacentraa1</v>
      </c>
      <c r="I25" s="3" t="s">
        <v>6950</v>
      </c>
      <c r="J25" s="3"/>
      <c r="K25" s="3"/>
      <c r="L25" s="1"/>
      <c r="M25" s="1"/>
    </row>
    <row r="26" spans="1:18" x14ac:dyDescent="0.25">
      <c r="A26" s="1" t="s">
        <v>6991</v>
      </c>
      <c r="B26" s="1" t="s">
        <v>1067</v>
      </c>
      <c r="C26" s="1">
        <v>25</v>
      </c>
      <c r="D26" s="1" t="s">
        <v>6906</v>
      </c>
      <c r="E26" s="1" t="s">
        <v>446</v>
      </c>
      <c r="F26" s="2" t="s">
        <v>7812</v>
      </c>
      <c r="G26" s="1">
        <v>50</v>
      </c>
      <c r="H26" s="1" t="str">
        <f t="shared" si="0"/>
        <v>huntalwestera1</v>
      </c>
      <c r="I26" s="3" t="s">
        <v>6949</v>
      </c>
      <c r="J26" s="3"/>
      <c r="K26" s="3"/>
      <c r="L26" s="1"/>
      <c r="M26" s="1"/>
      <c r="Q26" s="2"/>
    </row>
    <row r="27" spans="1:18" x14ac:dyDescent="0.25">
      <c r="A27" s="1" t="s">
        <v>6992</v>
      </c>
      <c r="B27" s="1" t="s">
        <v>1067</v>
      </c>
      <c r="C27" s="1">
        <v>26</v>
      </c>
      <c r="D27" s="1" t="s">
        <v>6907</v>
      </c>
      <c r="E27" s="1" t="s">
        <v>398</v>
      </c>
      <c r="F27" s="2" t="s">
        <v>7812</v>
      </c>
      <c r="G27" s="1">
        <v>50</v>
      </c>
      <c r="H27" s="1" t="str">
        <f t="shared" si="0"/>
        <v>huntmaeastera1</v>
      </c>
      <c r="I27" s="3" t="s">
        <v>6949</v>
      </c>
      <c r="J27" s="3"/>
      <c r="K27" s="3"/>
      <c r="L27" s="1"/>
      <c r="M27" s="1"/>
      <c r="Q27" s="2"/>
    </row>
    <row r="28" spans="1:18" x14ac:dyDescent="0.25">
      <c r="A28" s="1" t="s">
        <v>6993</v>
      </c>
      <c r="B28" s="1" t="s">
        <v>1067</v>
      </c>
      <c r="C28" s="1">
        <v>27</v>
      </c>
      <c r="D28" s="1" t="s">
        <v>6908</v>
      </c>
      <c r="E28" s="1" t="s">
        <v>347</v>
      </c>
      <c r="F28" s="2" t="s">
        <v>7812</v>
      </c>
      <c r="G28" s="1">
        <v>50</v>
      </c>
      <c r="H28" s="1" t="str">
        <f t="shared" si="0"/>
        <v>huntzasouthea1</v>
      </c>
      <c r="I28" s="3" t="s">
        <v>6949</v>
      </c>
      <c r="J28" s="3"/>
      <c r="K28" s="3"/>
      <c r="L28" s="1"/>
      <c r="M28" s="1"/>
      <c r="Q28" s="2"/>
    </row>
    <row r="29" spans="1:18" x14ac:dyDescent="0.25">
      <c r="A29" s="1" t="s">
        <v>6994</v>
      </c>
      <c r="B29" s="1" t="s">
        <v>1067</v>
      </c>
      <c r="C29" s="1">
        <v>28</v>
      </c>
      <c r="D29" s="1" t="s">
        <v>6909</v>
      </c>
      <c r="E29" s="1" t="s">
        <v>291</v>
      </c>
      <c r="F29" s="2" t="s">
        <v>7812</v>
      </c>
      <c r="G29" s="1">
        <v>50</v>
      </c>
      <c r="H29" s="1" t="str">
        <f t="shared" si="0"/>
        <v>huntdanorthea1</v>
      </c>
      <c r="I29" s="3" t="s">
        <v>6950</v>
      </c>
      <c r="J29" s="3"/>
      <c r="K29" s="3"/>
      <c r="L29" s="1"/>
      <c r="M29" s="1"/>
      <c r="Q29" s="2"/>
    </row>
    <row r="30" spans="1:18" x14ac:dyDescent="0.25">
      <c r="A30" s="1" t="s">
        <v>6995</v>
      </c>
      <c r="B30" s="1" t="s">
        <v>1067</v>
      </c>
      <c r="C30" s="1">
        <v>29</v>
      </c>
      <c r="D30" s="1" t="s">
        <v>6910</v>
      </c>
      <c r="E30" s="1" t="s">
        <v>362</v>
      </c>
      <c r="F30" s="2" t="s">
        <v>7812</v>
      </c>
      <c r="G30" s="1">
        <v>50</v>
      </c>
      <c r="H30" s="1" t="str">
        <f t="shared" si="0"/>
        <v>huntfocentraa1</v>
      </c>
      <c r="I30" s="3" t="s">
        <v>6949</v>
      </c>
      <c r="J30" s="3"/>
      <c r="K30" s="3"/>
      <c r="L30" s="1"/>
      <c r="M30" s="1"/>
      <c r="Q30" s="2"/>
    </row>
    <row r="31" spans="1:18" x14ac:dyDescent="0.25">
      <c r="A31" s="1" t="s">
        <v>6996</v>
      </c>
      <c r="B31" s="1" t="s">
        <v>1067</v>
      </c>
      <c r="C31" s="1">
        <v>30</v>
      </c>
      <c r="D31" s="1" t="s">
        <v>6911</v>
      </c>
      <c r="E31" s="1" t="s">
        <v>512</v>
      </c>
      <c r="F31" s="2" t="s">
        <v>7812</v>
      </c>
      <c r="G31" s="1">
        <v>50</v>
      </c>
      <c r="H31" s="1" t="str">
        <f t="shared" si="0"/>
        <v>huntghsouthsa1</v>
      </c>
      <c r="I31" s="3" t="s">
        <v>6949</v>
      </c>
      <c r="J31" s="3"/>
      <c r="K31" s="3"/>
      <c r="L31" s="1"/>
      <c r="M31" s="1"/>
      <c r="Q31" s="2"/>
    </row>
    <row r="32" spans="1:18" x14ac:dyDescent="0.25">
      <c r="A32" s="1" t="s">
        <v>6997</v>
      </c>
      <c r="B32" s="1" t="s">
        <v>1067</v>
      </c>
      <c r="C32" s="1">
        <v>31</v>
      </c>
      <c r="D32" s="1" t="s">
        <v>6912</v>
      </c>
      <c r="E32" s="1" t="s">
        <v>369</v>
      </c>
      <c r="F32" s="2" t="s">
        <v>7812</v>
      </c>
      <c r="G32" s="1">
        <v>50</v>
      </c>
      <c r="H32" s="1" t="str">
        <f t="shared" si="0"/>
        <v>huntmeeastsha1</v>
      </c>
      <c r="I32" s="3" t="s">
        <v>6949</v>
      </c>
      <c r="J32" s="3"/>
      <c r="K32" s="3"/>
      <c r="L32" s="1"/>
      <c r="M32" s="1"/>
      <c r="Q32" s="2"/>
    </row>
    <row r="33" spans="1:17" x14ac:dyDescent="0.25">
      <c r="A33" s="1" t="s">
        <v>6998</v>
      </c>
      <c r="B33" s="1" t="s">
        <v>1067</v>
      </c>
      <c r="C33" s="1">
        <v>32</v>
      </c>
      <c r="D33" s="1" t="s">
        <v>6913</v>
      </c>
      <c r="E33" s="1" t="s">
        <v>344</v>
      </c>
      <c r="F33" s="2" t="s">
        <v>7812</v>
      </c>
      <c r="G33" s="1">
        <v>50</v>
      </c>
      <c r="H33" s="1" t="str">
        <f t="shared" si="0"/>
        <v>huntginorthsa1</v>
      </c>
      <c r="I33" s="3" t="s">
        <v>6949</v>
      </c>
      <c r="J33" s="3"/>
      <c r="K33" s="3"/>
      <c r="L33" s="1"/>
      <c r="M33" s="1"/>
      <c r="Q33" s="2"/>
    </row>
    <row r="34" spans="1:17" x14ac:dyDescent="0.25">
      <c r="A34" s="1" t="s">
        <v>6999</v>
      </c>
      <c r="B34" s="1" t="s">
        <v>1067</v>
      </c>
      <c r="C34" s="1">
        <v>33</v>
      </c>
      <c r="D34" s="1" t="s">
        <v>6914</v>
      </c>
      <c r="E34" s="1" t="s">
        <v>1499</v>
      </c>
      <c r="F34" s="2" t="s">
        <v>7812</v>
      </c>
      <c r="G34" s="1">
        <v>50</v>
      </c>
      <c r="H34" s="1" t="str">
        <f t="shared" si="0"/>
        <v>huntmacoertha1</v>
      </c>
      <c r="I34" s="3" t="s">
        <v>6949</v>
      </c>
      <c r="J34" s="3"/>
      <c r="K34" s="3"/>
      <c r="L34" s="1"/>
      <c r="M34" s="1"/>
      <c r="Q34" s="2"/>
    </row>
    <row r="35" spans="1:17" x14ac:dyDescent="0.25">
      <c r="A35" s="1" t="s">
        <v>7000</v>
      </c>
      <c r="B35" s="1" t="s">
        <v>1067</v>
      </c>
      <c r="C35" s="1">
        <v>34</v>
      </c>
      <c r="D35" s="1" t="s">
        <v>630</v>
      </c>
      <c r="E35" s="1" t="s">
        <v>494</v>
      </c>
      <c r="F35" s="2" t="s">
        <v>7812</v>
      </c>
      <c r="G35" s="1">
        <v>50</v>
      </c>
      <c r="H35" s="1" t="str">
        <f t="shared" si="0"/>
        <v>huntkumordhoa1</v>
      </c>
      <c r="I35" s="3" t="s">
        <v>6949</v>
      </c>
      <c r="J35" s="3"/>
      <c r="K35" s="3"/>
      <c r="L35" s="1"/>
      <c r="M35" s="1"/>
      <c r="Q35" s="2"/>
    </row>
    <row r="36" spans="1:17" x14ac:dyDescent="0.25">
      <c r="A36" s="1" t="s">
        <v>7001</v>
      </c>
      <c r="B36" s="1" t="s">
        <v>1067</v>
      </c>
      <c r="C36" s="1">
        <v>35</v>
      </c>
      <c r="D36" s="1" t="s">
        <v>6916</v>
      </c>
      <c r="E36" s="1" t="s">
        <v>248</v>
      </c>
      <c r="F36" s="2" t="s">
        <v>7813</v>
      </c>
      <c r="G36" s="1">
        <v>50</v>
      </c>
      <c r="H36" s="1" t="str">
        <f t="shared" si="0"/>
        <v>huntcrmiddles1</v>
      </c>
      <c r="I36" s="3" t="s">
        <v>6930</v>
      </c>
      <c r="J36" s="3"/>
      <c r="K36" s="3"/>
      <c r="L36" s="3" t="s">
        <v>6939</v>
      </c>
      <c r="M36" s="3" t="s">
        <v>6963</v>
      </c>
      <c r="Q36" s="2"/>
    </row>
    <row r="37" spans="1:17" x14ac:dyDescent="0.25">
      <c r="A37" s="1" t="s">
        <v>7002</v>
      </c>
      <c r="B37" s="1" t="s">
        <v>1067</v>
      </c>
      <c r="C37" s="1">
        <v>36</v>
      </c>
      <c r="D37" s="1" t="s">
        <v>6917</v>
      </c>
      <c r="E37" s="1" t="s">
        <v>408</v>
      </c>
      <c r="F37" s="2" t="s">
        <v>7813</v>
      </c>
      <c r="G37" s="1">
        <v>50</v>
      </c>
      <c r="H37" s="1" t="str">
        <f t="shared" si="0"/>
        <v>huntcrlowerls1</v>
      </c>
      <c r="I37" s="3" t="s">
        <v>6931</v>
      </c>
      <c r="J37" s="3"/>
      <c r="K37" s="3"/>
      <c r="L37" s="3" t="s">
        <v>6940</v>
      </c>
      <c r="M37" s="3" t="s">
        <v>6951</v>
      </c>
      <c r="Q37" s="2"/>
    </row>
    <row r="38" spans="1:17" x14ac:dyDescent="0.25">
      <c r="A38" s="1" t="s">
        <v>7003</v>
      </c>
      <c r="B38" s="1" t="s">
        <v>1067</v>
      </c>
      <c r="C38" s="1">
        <v>37</v>
      </c>
      <c r="D38" s="1" t="s">
        <v>6918</v>
      </c>
      <c r="E38" s="1" t="s">
        <v>412</v>
      </c>
      <c r="F38" s="2" t="s">
        <v>7813</v>
      </c>
      <c r="G38" s="1">
        <v>50</v>
      </c>
      <c r="H38" s="1" t="str">
        <f t="shared" si="0"/>
        <v>huntbowesters1</v>
      </c>
      <c r="I38" s="3" t="s">
        <v>6930</v>
      </c>
      <c r="J38" s="3"/>
      <c r="K38" s="3"/>
      <c r="L38" s="3" t="s">
        <v>6939</v>
      </c>
      <c r="M38" s="3" t="s">
        <v>6964</v>
      </c>
      <c r="Q38" s="2"/>
    </row>
    <row r="39" spans="1:17" x14ac:dyDescent="0.25">
      <c r="A39" s="1" t="s">
        <v>7004</v>
      </c>
      <c r="B39" s="1" t="s">
        <v>1067</v>
      </c>
      <c r="C39" s="1">
        <v>38</v>
      </c>
      <c r="D39" s="1" t="s">
        <v>6919</v>
      </c>
      <c r="E39" s="1" t="s">
        <v>475</v>
      </c>
      <c r="F39" s="2" t="s">
        <v>7813</v>
      </c>
      <c r="G39" s="1">
        <v>50</v>
      </c>
      <c r="H39" s="1" t="str">
        <f t="shared" si="0"/>
        <v>hunttheasters1</v>
      </c>
      <c r="I39" s="3" t="s">
        <v>6932</v>
      </c>
      <c r="J39" s="3" t="s">
        <v>5900</v>
      </c>
      <c r="K39" s="3"/>
      <c r="L39" s="3" t="s">
        <v>6941</v>
      </c>
      <c r="M39" s="3" t="s">
        <v>6965</v>
      </c>
      <c r="Q39" s="2"/>
    </row>
    <row r="40" spans="1:17" x14ac:dyDescent="0.25">
      <c r="A40" s="1" t="s">
        <v>7005</v>
      </c>
      <c r="B40" s="1" t="s">
        <v>1067</v>
      </c>
      <c r="C40" s="1">
        <v>39</v>
      </c>
      <c r="D40" s="1" t="s">
        <v>6920</v>
      </c>
      <c r="E40" s="1" t="s">
        <v>389</v>
      </c>
      <c r="F40" s="2" t="s">
        <v>7813</v>
      </c>
      <c r="G40" s="1">
        <v>50</v>
      </c>
      <c r="H40" s="1" t="str">
        <f t="shared" si="0"/>
        <v>huntnaupperls1</v>
      </c>
      <c r="I40" s="3" t="s">
        <v>6933</v>
      </c>
      <c r="J40" s="3"/>
      <c r="K40" s="3"/>
      <c r="L40" s="3" t="s">
        <v>6942</v>
      </c>
      <c r="M40" s="3" t="s">
        <v>6952</v>
      </c>
      <c r="Q40" s="2"/>
    </row>
    <row r="41" spans="1:17" x14ac:dyDescent="0.25">
      <c r="A41" s="1" t="s">
        <v>7006</v>
      </c>
      <c r="B41" s="1" t="s">
        <v>1067</v>
      </c>
      <c r="C41" s="1">
        <v>40</v>
      </c>
      <c r="D41" s="1" t="s">
        <v>6921</v>
      </c>
      <c r="E41" s="1" t="s">
        <v>277</v>
      </c>
      <c r="F41" s="2" t="s">
        <v>7813</v>
      </c>
      <c r="G41" s="1">
        <v>50</v>
      </c>
      <c r="H41" s="1" t="str">
        <f t="shared" si="0"/>
        <v>huntchouterls1</v>
      </c>
      <c r="I41" s="3" t="s">
        <v>6934</v>
      </c>
      <c r="J41" s="3"/>
      <c r="K41" s="3"/>
      <c r="L41" s="3" t="s">
        <v>6943</v>
      </c>
      <c r="M41" s="3" t="s">
        <v>6953</v>
      </c>
      <c r="Q41" s="2"/>
    </row>
    <row r="42" spans="1:17" x14ac:dyDescent="0.25">
      <c r="A42" s="1" t="s">
        <v>7007</v>
      </c>
      <c r="B42" s="1" t="s">
        <v>1067</v>
      </c>
      <c r="C42" s="1">
        <v>41</v>
      </c>
      <c r="D42" s="1" t="s">
        <v>338</v>
      </c>
      <c r="E42" s="1" t="s">
        <v>337</v>
      </c>
      <c r="F42" s="2" t="s">
        <v>7813</v>
      </c>
      <c r="G42" s="1">
        <v>50</v>
      </c>
      <c r="H42" s="1" t="str">
        <f t="shared" si="0"/>
        <v>huntbrcentras1</v>
      </c>
      <c r="I42" s="3" t="s">
        <v>6935</v>
      </c>
      <c r="J42" s="3"/>
      <c r="K42" s="3"/>
      <c r="L42" s="3" t="s">
        <v>6944</v>
      </c>
      <c r="M42" s="3" t="s">
        <v>6954</v>
      </c>
      <c r="Q42" s="2"/>
    </row>
    <row r="43" spans="1:17" x14ac:dyDescent="0.25">
      <c r="A43" s="1" t="s">
        <v>7008</v>
      </c>
      <c r="B43" s="1" t="s">
        <v>1067</v>
      </c>
      <c r="C43" s="1">
        <v>42</v>
      </c>
      <c r="D43" s="1" t="s">
        <v>6922</v>
      </c>
      <c r="E43" s="1" t="s">
        <v>446</v>
      </c>
      <c r="F43" s="2" t="s">
        <v>7813</v>
      </c>
      <c r="G43" s="1">
        <v>50</v>
      </c>
      <c r="H43" s="1" t="str">
        <f t="shared" si="0"/>
        <v>huntzowesters1</v>
      </c>
      <c r="I43" s="3" t="s">
        <v>6936</v>
      </c>
      <c r="J43" s="3"/>
      <c r="K43" s="3"/>
      <c r="L43" s="3" t="s">
        <v>6945</v>
      </c>
      <c r="M43" s="3" t="s">
        <v>6966</v>
      </c>
    </row>
    <row r="44" spans="1:17" x14ac:dyDescent="0.25">
      <c r="A44" s="1" t="s">
        <v>7009</v>
      </c>
      <c r="B44" s="1" t="s">
        <v>1067</v>
      </c>
      <c r="C44" s="1">
        <v>43</v>
      </c>
      <c r="D44" s="1" t="s">
        <v>6923</v>
      </c>
      <c r="E44" s="1" t="s">
        <v>398</v>
      </c>
      <c r="F44" s="2" t="s">
        <v>7813</v>
      </c>
      <c r="G44" s="1">
        <v>50</v>
      </c>
      <c r="H44" s="1" t="str">
        <f t="shared" si="0"/>
        <v>huntlaeasters1</v>
      </c>
      <c r="I44" s="3" t="s">
        <v>6935</v>
      </c>
      <c r="J44" s="3"/>
      <c r="K44" s="3"/>
      <c r="L44" s="3" t="s">
        <v>6944</v>
      </c>
      <c r="M44" s="3" t="s">
        <v>6955</v>
      </c>
    </row>
    <row r="45" spans="1:17" x14ac:dyDescent="0.25">
      <c r="A45" s="1" t="s">
        <v>7010</v>
      </c>
      <c r="B45" s="1" t="s">
        <v>1067</v>
      </c>
      <c r="C45" s="1">
        <v>44</v>
      </c>
      <c r="D45" s="1" t="s">
        <v>350</v>
      </c>
      <c r="E45" s="1" t="s">
        <v>347</v>
      </c>
      <c r="F45" s="2" t="s">
        <v>7813</v>
      </c>
      <c r="G45" s="1">
        <v>50</v>
      </c>
      <c r="H45" s="1" t="str">
        <f t="shared" si="0"/>
        <v>huntnusouthes1</v>
      </c>
      <c r="I45" s="3" t="s">
        <v>6937</v>
      </c>
      <c r="J45" s="3"/>
      <c r="K45" s="3"/>
      <c r="L45" s="3" t="s">
        <v>6946</v>
      </c>
      <c r="M45" s="3" t="s">
        <v>6956</v>
      </c>
    </row>
    <row r="46" spans="1:17" x14ac:dyDescent="0.25">
      <c r="A46" s="1" t="s">
        <v>7011</v>
      </c>
      <c r="B46" s="1" t="s">
        <v>1067</v>
      </c>
      <c r="C46" s="1">
        <v>45</v>
      </c>
      <c r="D46" s="1" t="s">
        <v>6924</v>
      </c>
      <c r="E46" s="1" t="s">
        <v>291</v>
      </c>
      <c r="F46" s="2" t="s">
        <v>7813</v>
      </c>
      <c r="G46" s="1">
        <v>50</v>
      </c>
      <c r="H46" s="1" t="str">
        <f t="shared" si="0"/>
        <v>huntminorthes1</v>
      </c>
      <c r="I46" s="3" t="s">
        <v>6936</v>
      </c>
      <c r="J46" s="3"/>
      <c r="K46" s="3"/>
      <c r="L46" s="3" t="s">
        <v>6945</v>
      </c>
      <c r="M46" s="3" t="s">
        <v>6957</v>
      </c>
    </row>
    <row r="47" spans="1:17" x14ac:dyDescent="0.25">
      <c r="A47" s="1" t="s">
        <v>7012</v>
      </c>
      <c r="B47" s="1" t="s">
        <v>1067</v>
      </c>
      <c r="C47" s="1">
        <v>46</v>
      </c>
      <c r="D47" s="1" t="s">
        <v>6925</v>
      </c>
      <c r="E47" s="1" t="s">
        <v>362</v>
      </c>
      <c r="F47" s="2" t="s">
        <v>7813</v>
      </c>
      <c r="G47" s="1">
        <v>50</v>
      </c>
      <c r="H47" s="1" t="str">
        <f t="shared" si="0"/>
        <v>huntlacentras1</v>
      </c>
      <c r="I47" s="3" t="s">
        <v>6932</v>
      </c>
      <c r="J47" s="3" t="s">
        <v>5900</v>
      </c>
      <c r="K47" s="3"/>
      <c r="L47" s="3" t="s">
        <v>6947</v>
      </c>
      <c r="M47" s="3" t="s">
        <v>6958</v>
      </c>
    </row>
    <row r="48" spans="1:17" x14ac:dyDescent="0.25">
      <c r="A48" s="1" t="s">
        <v>7013</v>
      </c>
      <c r="B48" s="1" t="s">
        <v>1067</v>
      </c>
      <c r="C48" s="1">
        <v>47</v>
      </c>
      <c r="D48" s="1" t="s">
        <v>621</v>
      </c>
      <c r="E48" s="1" t="s">
        <v>512</v>
      </c>
      <c r="F48" s="2" t="s">
        <v>7813</v>
      </c>
      <c r="G48" s="1">
        <v>50</v>
      </c>
      <c r="H48" s="1" t="str">
        <f t="shared" si="0"/>
        <v>huntmisouthss1</v>
      </c>
      <c r="I48" s="3" t="s">
        <v>6931</v>
      </c>
      <c r="J48" s="3"/>
      <c r="K48" s="3"/>
      <c r="L48" s="3" t="s">
        <v>6940</v>
      </c>
      <c r="M48" s="3" t="s">
        <v>6959</v>
      </c>
    </row>
    <row r="49" spans="1:13" x14ac:dyDescent="0.25">
      <c r="A49" s="1" t="s">
        <v>7014</v>
      </c>
      <c r="B49" s="1" t="s">
        <v>1067</v>
      </c>
      <c r="C49" s="1">
        <v>48</v>
      </c>
      <c r="D49" s="1" t="s">
        <v>429</v>
      </c>
      <c r="E49" s="1" t="s">
        <v>369</v>
      </c>
      <c r="F49" s="2" t="s">
        <v>7813</v>
      </c>
      <c r="G49" s="1">
        <v>50</v>
      </c>
      <c r="H49" s="1" t="str">
        <f t="shared" si="0"/>
        <v>huntwueastshs1</v>
      </c>
      <c r="I49" s="3" t="s">
        <v>6935</v>
      </c>
      <c r="J49" s="3"/>
      <c r="K49" s="3"/>
      <c r="L49" s="3" t="s">
        <v>6944</v>
      </c>
      <c r="M49" s="3" t="s">
        <v>6960</v>
      </c>
    </row>
    <row r="50" spans="1:13" x14ac:dyDescent="0.25">
      <c r="A50" s="1" t="s">
        <v>7015</v>
      </c>
      <c r="B50" s="1" t="s">
        <v>1067</v>
      </c>
      <c r="C50" s="1">
        <v>49</v>
      </c>
      <c r="D50" s="1" t="s">
        <v>6926</v>
      </c>
      <c r="E50" s="1" t="s">
        <v>344</v>
      </c>
      <c r="F50" s="2" t="s">
        <v>7813</v>
      </c>
      <c r="G50" s="1">
        <v>50</v>
      </c>
      <c r="H50" s="1" t="str">
        <f t="shared" si="0"/>
        <v>huntthnorthss1</v>
      </c>
      <c r="I50" s="3" t="s">
        <v>6936</v>
      </c>
      <c r="J50" s="3"/>
      <c r="K50" s="3"/>
      <c r="L50" s="3" t="s">
        <v>6945</v>
      </c>
      <c r="M50" s="3" t="s">
        <v>6967</v>
      </c>
    </row>
    <row r="51" spans="1:13" x14ac:dyDescent="0.25">
      <c r="A51" s="1" t="s">
        <v>7016</v>
      </c>
      <c r="B51" s="1" t="s">
        <v>1067</v>
      </c>
      <c r="C51" s="1">
        <v>50</v>
      </c>
      <c r="D51" s="1" t="s">
        <v>6927</v>
      </c>
      <c r="E51" s="1" t="s">
        <v>1499</v>
      </c>
      <c r="F51" s="2" t="s">
        <v>7813</v>
      </c>
      <c r="G51" s="1">
        <v>50</v>
      </c>
      <c r="H51" s="1" t="str">
        <f t="shared" si="0"/>
        <v>huntsacoerths1</v>
      </c>
      <c r="I51" s="3" t="s">
        <v>6938</v>
      </c>
      <c r="J51" s="3"/>
      <c r="K51" s="3"/>
      <c r="L51" s="3" t="s">
        <v>6948</v>
      </c>
      <c r="M51" s="3" t="s">
        <v>6961</v>
      </c>
    </row>
    <row r="52" spans="1:13" x14ac:dyDescent="0.25">
      <c r="A52" s="1" t="s">
        <v>7017</v>
      </c>
      <c r="B52" s="1" t="s">
        <v>1067</v>
      </c>
      <c r="C52" s="1">
        <v>51</v>
      </c>
      <c r="D52" s="1" t="s">
        <v>6928</v>
      </c>
      <c r="E52" s="1" t="s">
        <v>494</v>
      </c>
      <c r="F52" s="2" t="s">
        <v>7813</v>
      </c>
      <c r="G52" s="1">
        <v>50</v>
      </c>
      <c r="H52" s="1" t="str">
        <f t="shared" si="0"/>
        <v>huntagmordhos1</v>
      </c>
      <c r="I52" s="3" t="s">
        <v>6938</v>
      </c>
      <c r="J52" s="3"/>
      <c r="K52" s="3"/>
      <c r="L52" s="3" t="s">
        <v>6948</v>
      </c>
      <c r="M52" s="3" t="s">
        <v>6962</v>
      </c>
    </row>
    <row r="53" spans="1:13" x14ac:dyDescent="0.25">
      <c r="A53" s="1" t="s">
        <v>7049</v>
      </c>
      <c r="B53" s="1" t="s">
        <v>11</v>
      </c>
      <c r="C53" s="1">
        <v>52</v>
      </c>
      <c r="D53" s="1" t="s">
        <v>7027</v>
      </c>
      <c r="E53" s="1" t="s">
        <v>686</v>
      </c>
      <c r="F53" s="2" t="s">
        <v>7811</v>
      </c>
      <c r="G53" s="1">
        <v>60</v>
      </c>
      <c r="H53" s="1" t="str">
        <f t="shared" si="0"/>
        <v>huntalcoerthb1</v>
      </c>
      <c r="I53" s="2" t="s">
        <v>7089</v>
      </c>
      <c r="J53" s="2"/>
      <c r="K53" s="2"/>
      <c r="L53" s="1"/>
      <c r="M53" s="1"/>
    </row>
    <row r="54" spans="1:13" x14ac:dyDescent="0.25">
      <c r="A54" s="1" t="s">
        <v>7050</v>
      </c>
      <c r="B54" s="1" t="s">
        <v>11</v>
      </c>
      <c r="C54" s="1">
        <v>53</v>
      </c>
      <c r="D54" s="1" t="s">
        <v>7026</v>
      </c>
      <c r="E54" s="1" t="s">
        <v>686</v>
      </c>
      <c r="F54" s="2" t="s">
        <v>7814</v>
      </c>
      <c r="G54" s="1">
        <v>60</v>
      </c>
      <c r="H54" s="1" t="str">
        <f t="shared" si="0"/>
        <v>huntkrcoerthb2</v>
      </c>
      <c r="I54" s="2" t="s">
        <v>7089</v>
      </c>
      <c r="J54" s="2"/>
      <c r="K54" s="2"/>
      <c r="L54" s="1"/>
      <c r="M54" s="1"/>
    </row>
    <row r="55" spans="1:13" x14ac:dyDescent="0.25">
      <c r="A55" s="1" t="s">
        <v>7051</v>
      </c>
      <c r="B55" s="1" t="s">
        <v>11</v>
      </c>
      <c r="C55" s="1">
        <v>54</v>
      </c>
      <c r="D55" s="1" t="s">
        <v>7025</v>
      </c>
      <c r="E55" s="1" t="s">
        <v>956</v>
      </c>
      <c r="F55" s="2" t="s">
        <v>7811</v>
      </c>
      <c r="G55" s="1">
        <v>60</v>
      </c>
      <c r="H55" s="1" t="str">
        <f t="shared" si="0"/>
        <v>huntgnthedrab1</v>
      </c>
      <c r="I55" s="2" t="s">
        <v>7089</v>
      </c>
      <c r="J55" s="2"/>
      <c r="K55" s="2"/>
      <c r="L55" s="1"/>
      <c r="M55" s="1"/>
    </row>
    <row r="56" spans="1:13" x14ac:dyDescent="0.25">
      <c r="A56" s="1" t="s">
        <v>7052</v>
      </c>
      <c r="B56" s="1" t="s">
        <v>11</v>
      </c>
      <c r="C56" s="1">
        <v>55</v>
      </c>
      <c r="D56" s="1" t="s">
        <v>7024</v>
      </c>
      <c r="E56" s="1" t="s">
        <v>956</v>
      </c>
      <c r="F56" s="2" t="s">
        <v>7814</v>
      </c>
      <c r="G56" s="1">
        <v>60</v>
      </c>
      <c r="H56" s="1" t="str">
        <f t="shared" si="0"/>
        <v>huntththedrab2</v>
      </c>
      <c r="I56" s="2" t="s">
        <v>7089</v>
      </c>
      <c r="J56" s="2"/>
      <c r="K56" s="2"/>
      <c r="L56" s="1"/>
      <c r="M56" s="1"/>
    </row>
    <row r="57" spans="1:13" x14ac:dyDescent="0.25">
      <c r="A57" s="1" t="s">
        <v>7053</v>
      </c>
      <c r="B57" s="1" t="s">
        <v>11</v>
      </c>
      <c r="C57" s="1">
        <v>56</v>
      </c>
      <c r="D57" s="1" t="s">
        <v>7023</v>
      </c>
      <c r="E57" s="1" t="s">
        <v>831</v>
      </c>
      <c r="F57" s="2" t="s">
        <v>7811</v>
      </c>
      <c r="G57" s="1">
        <v>60</v>
      </c>
      <c r="H57" s="1" t="str">
        <f t="shared" si="0"/>
        <v>huntscthechub1</v>
      </c>
      <c r="I57" s="2" t="s">
        <v>7089</v>
      </c>
      <c r="J57" s="2"/>
      <c r="K57" s="2"/>
      <c r="L57" s="1"/>
      <c r="M57" s="1"/>
    </row>
    <row r="58" spans="1:13" x14ac:dyDescent="0.25">
      <c r="A58" s="1" t="s">
        <v>7054</v>
      </c>
      <c r="B58" s="1" t="s">
        <v>11</v>
      </c>
      <c r="C58" s="1">
        <v>57</v>
      </c>
      <c r="D58" s="1" t="s">
        <v>7022</v>
      </c>
      <c r="E58" s="1" t="s">
        <v>831</v>
      </c>
      <c r="F58" s="2" t="s">
        <v>7814</v>
      </c>
      <c r="G58" s="1">
        <v>60</v>
      </c>
      <c r="H58" s="1" t="str">
        <f t="shared" si="0"/>
        <v>huntththechub2</v>
      </c>
      <c r="I58" s="2" t="s">
        <v>7089</v>
      </c>
      <c r="J58" s="2"/>
      <c r="K58" s="2"/>
      <c r="L58" s="1"/>
      <c r="M58" s="1"/>
    </row>
    <row r="59" spans="1:13" x14ac:dyDescent="0.25">
      <c r="A59" s="1" t="s">
        <v>7055</v>
      </c>
      <c r="B59" s="1" t="s">
        <v>11</v>
      </c>
      <c r="C59" s="1">
        <v>58</v>
      </c>
      <c r="D59" s="1" t="s">
        <v>727</v>
      </c>
      <c r="E59" s="1" t="s">
        <v>666</v>
      </c>
      <c r="F59" s="2" t="s">
        <v>7811</v>
      </c>
      <c r="G59" s="1">
        <v>60</v>
      </c>
      <c r="H59" s="1" t="str">
        <f t="shared" si="0"/>
        <v>huntsqtheseab1</v>
      </c>
      <c r="I59" s="2" t="s">
        <v>7089</v>
      </c>
      <c r="J59" s="2"/>
      <c r="K59" s="2"/>
      <c r="L59" s="1"/>
      <c r="M59" s="1"/>
    </row>
    <row r="60" spans="1:13" x14ac:dyDescent="0.25">
      <c r="A60" s="1" t="s">
        <v>7056</v>
      </c>
      <c r="B60" s="1" t="s">
        <v>11</v>
      </c>
      <c r="C60" s="1">
        <v>59</v>
      </c>
      <c r="D60" s="1" t="s">
        <v>7021</v>
      </c>
      <c r="E60" s="1" t="s">
        <v>666</v>
      </c>
      <c r="F60" s="2" t="s">
        <v>7814</v>
      </c>
      <c r="G60" s="1">
        <v>60</v>
      </c>
      <c r="H60" s="1" t="str">
        <f t="shared" si="0"/>
        <v>huntsatheseab2</v>
      </c>
      <c r="I60" s="2" t="s">
        <v>7089</v>
      </c>
      <c r="J60" s="2"/>
      <c r="K60" s="2"/>
      <c r="L60" s="1"/>
      <c r="M60" s="1"/>
    </row>
    <row r="61" spans="1:13" x14ac:dyDescent="0.25">
      <c r="A61" s="1" t="s">
        <v>7057</v>
      </c>
      <c r="B61" s="1" t="s">
        <v>11</v>
      </c>
      <c r="C61" s="1">
        <v>60</v>
      </c>
      <c r="D61" s="1" t="s">
        <v>612</v>
      </c>
      <c r="E61" s="1" t="s">
        <v>434</v>
      </c>
      <c r="F61" s="2" t="s">
        <v>7811</v>
      </c>
      <c r="G61" s="1">
        <v>60</v>
      </c>
      <c r="H61" s="1" t="str">
        <f t="shared" si="0"/>
        <v>huntptthedrab1</v>
      </c>
      <c r="I61" s="2" t="s">
        <v>7089</v>
      </c>
      <c r="J61" s="2"/>
      <c r="K61" s="2"/>
      <c r="L61" s="1"/>
      <c r="M61" s="1"/>
    </row>
    <row r="62" spans="1:13" x14ac:dyDescent="0.25">
      <c r="A62" s="1" t="s">
        <v>7058</v>
      </c>
      <c r="B62" s="1" t="s">
        <v>11</v>
      </c>
      <c r="C62" s="1">
        <v>61</v>
      </c>
      <c r="D62" s="1" t="s">
        <v>7020</v>
      </c>
      <c r="E62" s="1" t="s">
        <v>434</v>
      </c>
      <c r="F62" s="2" t="s">
        <v>7814</v>
      </c>
      <c r="G62" s="1">
        <v>60</v>
      </c>
      <c r="H62" s="1" t="str">
        <f t="shared" si="0"/>
        <v>huntfathedrab2</v>
      </c>
      <c r="I62" s="2" t="s">
        <v>7089</v>
      </c>
      <c r="J62" s="2"/>
      <c r="K62" s="2"/>
      <c r="L62" s="1"/>
      <c r="M62" s="1"/>
    </row>
    <row r="63" spans="1:13" x14ac:dyDescent="0.25">
      <c r="A63" s="1" t="s">
        <v>7059</v>
      </c>
      <c r="B63" s="1" t="s">
        <v>11</v>
      </c>
      <c r="C63" s="1">
        <v>62</v>
      </c>
      <c r="D63" s="1" t="s">
        <v>7019</v>
      </c>
      <c r="E63" s="1" t="s">
        <v>733</v>
      </c>
      <c r="F63" s="2" t="s">
        <v>7811</v>
      </c>
      <c r="G63" s="1">
        <v>60</v>
      </c>
      <c r="H63" s="1" t="str">
        <f t="shared" si="0"/>
        <v>huntlyazysllb1</v>
      </c>
      <c r="I63" s="2" t="s">
        <v>7089</v>
      </c>
      <c r="J63" s="2"/>
      <c r="K63" s="2"/>
      <c r="L63" s="1"/>
      <c r="M63" s="1"/>
    </row>
    <row r="64" spans="1:13" x14ac:dyDescent="0.25">
      <c r="A64" s="1" t="s">
        <v>7060</v>
      </c>
      <c r="B64" s="1" t="s">
        <v>11</v>
      </c>
      <c r="C64" s="1">
        <v>63</v>
      </c>
      <c r="D64" s="1" t="s">
        <v>7018</v>
      </c>
      <c r="E64" s="1" t="s">
        <v>733</v>
      </c>
      <c r="F64" s="2" t="s">
        <v>7814</v>
      </c>
      <c r="G64" s="1">
        <v>60</v>
      </c>
      <c r="H64" s="1" t="str">
        <f t="shared" si="0"/>
        <v>huntomazysllb2</v>
      </c>
      <c r="I64" s="2" t="s">
        <v>7089</v>
      </c>
      <c r="J64" s="2"/>
      <c r="K64" s="2"/>
      <c r="L64" s="1"/>
      <c r="M64" s="1"/>
    </row>
    <row r="65" spans="1:13" x14ac:dyDescent="0.25">
      <c r="A65" s="1" t="s">
        <v>7061</v>
      </c>
      <c r="B65" s="1" t="s">
        <v>11</v>
      </c>
      <c r="C65" s="1">
        <v>64</v>
      </c>
      <c r="D65" s="1" t="s">
        <v>691</v>
      </c>
      <c r="E65" s="1" t="s">
        <v>686</v>
      </c>
      <c r="F65" s="2" t="s">
        <v>7812</v>
      </c>
      <c r="G65" s="1">
        <v>60</v>
      </c>
      <c r="H65" s="1" t="str">
        <f t="shared" si="0"/>
        <v>huntmicoertha1</v>
      </c>
      <c r="I65" s="3" t="s">
        <v>7037</v>
      </c>
      <c r="J65" s="3"/>
      <c r="K65" s="3"/>
      <c r="L65" s="1"/>
      <c r="M65" s="1"/>
    </row>
    <row r="66" spans="1:13" x14ac:dyDescent="0.25">
      <c r="A66" s="1" t="s">
        <v>7062</v>
      </c>
      <c r="B66" s="1" t="s">
        <v>11</v>
      </c>
      <c r="C66" s="1">
        <v>65</v>
      </c>
      <c r="D66" s="1" t="s">
        <v>7036</v>
      </c>
      <c r="E66" s="1" t="s">
        <v>686</v>
      </c>
      <c r="F66" s="2" t="s">
        <v>7848</v>
      </c>
      <c r="G66" s="1">
        <v>60</v>
      </c>
      <c r="H66" s="1" t="str">
        <f t="shared" ref="H66:H129" si="1">LEFT(A66,4)&amp;LOWER(LEFT(SUBSTITUTE(D66," ",""),2)&amp;LEFT(SUBSTITUTE(SUBSTITUTE(E66," ",""),"'",""),6)&amp;F66)</f>
        <v>huntlycoertha2</v>
      </c>
      <c r="I66" s="3" t="s">
        <v>7037</v>
      </c>
      <c r="J66" s="3"/>
      <c r="K66" s="3"/>
      <c r="L66" s="1"/>
      <c r="M66" s="1"/>
    </row>
    <row r="67" spans="1:13" x14ac:dyDescent="0.25">
      <c r="A67" s="1" t="s">
        <v>7063</v>
      </c>
      <c r="B67" s="1" t="s">
        <v>11</v>
      </c>
      <c r="C67" s="1">
        <v>66</v>
      </c>
      <c r="D67" s="1" t="s">
        <v>7035</v>
      </c>
      <c r="E67" s="1" t="s">
        <v>956</v>
      </c>
      <c r="F67" s="2" t="s">
        <v>7812</v>
      </c>
      <c r="G67" s="1">
        <v>60</v>
      </c>
      <c r="H67" s="1" t="str">
        <f t="shared" si="1"/>
        <v>huntpythedraa1</v>
      </c>
      <c r="I67" s="3" t="s">
        <v>7037</v>
      </c>
      <c r="J67" s="3"/>
      <c r="K67" s="3"/>
      <c r="L67" s="1"/>
      <c r="M67" s="1"/>
    </row>
    <row r="68" spans="1:13" x14ac:dyDescent="0.25">
      <c r="A68" s="1" t="s">
        <v>7064</v>
      </c>
      <c r="B68" s="1" t="s">
        <v>11</v>
      </c>
      <c r="C68" s="1">
        <v>67</v>
      </c>
      <c r="D68" s="1" t="s">
        <v>7034</v>
      </c>
      <c r="E68" s="1" t="s">
        <v>956</v>
      </c>
      <c r="F68" s="2" t="s">
        <v>7848</v>
      </c>
      <c r="G68" s="1">
        <v>60</v>
      </c>
      <c r="H68" s="1" t="str">
        <f t="shared" si="1"/>
        <v>huntlothedraa2</v>
      </c>
      <c r="I68" s="3" t="s">
        <v>7037</v>
      </c>
      <c r="J68" s="3"/>
      <c r="K68" s="3"/>
      <c r="L68" s="1"/>
      <c r="M68" s="1"/>
    </row>
    <row r="69" spans="1:13" x14ac:dyDescent="0.25">
      <c r="A69" s="1" t="s">
        <v>7065</v>
      </c>
      <c r="B69" s="1" t="s">
        <v>11</v>
      </c>
      <c r="C69" s="1">
        <v>68</v>
      </c>
      <c r="D69" s="1" t="s">
        <v>7033</v>
      </c>
      <c r="E69" s="1" t="s">
        <v>831</v>
      </c>
      <c r="F69" s="2" t="s">
        <v>7812</v>
      </c>
      <c r="G69" s="1">
        <v>60</v>
      </c>
      <c r="H69" s="1" t="str">
        <f t="shared" si="1"/>
        <v>huntbuthechua1</v>
      </c>
      <c r="I69" s="3" t="s">
        <v>7037</v>
      </c>
      <c r="J69" s="3"/>
      <c r="K69" s="3"/>
      <c r="L69" s="1"/>
      <c r="M69" s="1"/>
    </row>
    <row r="70" spans="1:13" x14ac:dyDescent="0.25">
      <c r="A70" s="1" t="s">
        <v>7066</v>
      </c>
      <c r="B70" s="1" t="s">
        <v>11</v>
      </c>
      <c r="C70" s="1">
        <v>69</v>
      </c>
      <c r="D70" s="1" t="s">
        <v>7032</v>
      </c>
      <c r="E70" s="1" t="s">
        <v>831</v>
      </c>
      <c r="F70" s="2" t="s">
        <v>7848</v>
      </c>
      <c r="G70" s="1">
        <v>60</v>
      </c>
      <c r="H70" s="1" t="str">
        <f t="shared" si="1"/>
        <v>huntagthechua2</v>
      </c>
      <c r="I70" s="3" t="s">
        <v>7037</v>
      </c>
      <c r="J70" s="3"/>
      <c r="K70" s="3"/>
      <c r="L70" s="1"/>
      <c r="M70" s="1"/>
    </row>
    <row r="71" spans="1:13" x14ac:dyDescent="0.25">
      <c r="A71" s="1" t="s">
        <v>7067</v>
      </c>
      <c r="B71" s="1" t="s">
        <v>11</v>
      </c>
      <c r="C71" s="1">
        <v>70</v>
      </c>
      <c r="D71" s="1" t="s">
        <v>7031</v>
      </c>
      <c r="E71" s="1" t="s">
        <v>666</v>
      </c>
      <c r="F71" s="2" t="s">
        <v>7812</v>
      </c>
      <c r="G71" s="1">
        <v>60</v>
      </c>
      <c r="H71" s="1" t="str">
        <f t="shared" si="1"/>
        <v>huntentheseaa1</v>
      </c>
      <c r="I71" s="3" t="s">
        <v>7037</v>
      </c>
      <c r="J71" s="3"/>
      <c r="K71" s="3"/>
      <c r="L71" s="1"/>
      <c r="M71" s="1"/>
    </row>
    <row r="72" spans="1:13" x14ac:dyDescent="0.25">
      <c r="A72" s="1" t="s">
        <v>7068</v>
      </c>
      <c r="B72" s="1" t="s">
        <v>11</v>
      </c>
      <c r="C72" s="1">
        <v>71</v>
      </c>
      <c r="D72" s="1" t="s">
        <v>7030</v>
      </c>
      <c r="E72" s="1" t="s">
        <v>666</v>
      </c>
      <c r="F72" s="2" t="s">
        <v>7848</v>
      </c>
      <c r="G72" s="1">
        <v>60</v>
      </c>
      <c r="H72" s="1" t="str">
        <f t="shared" si="1"/>
        <v>huntsitheseaa2</v>
      </c>
      <c r="I72" s="3" t="s">
        <v>7037</v>
      </c>
      <c r="J72" s="3"/>
      <c r="K72" s="3"/>
      <c r="L72" s="1"/>
      <c r="M72" s="1"/>
    </row>
    <row r="73" spans="1:13" x14ac:dyDescent="0.25">
      <c r="A73" s="1" t="s">
        <v>7069</v>
      </c>
      <c r="B73" s="1" t="s">
        <v>11</v>
      </c>
      <c r="C73" s="1">
        <v>72</v>
      </c>
      <c r="D73" s="1" t="s">
        <v>437</v>
      </c>
      <c r="E73" s="1" t="s">
        <v>434</v>
      </c>
      <c r="F73" s="2" t="s">
        <v>7812</v>
      </c>
      <c r="G73" s="1">
        <v>60</v>
      </c>
      <c r="H73" s="1" t="str">
        <f t="shared" si="1"/>
        <v>huntslthedraa1</v>
      </c>
      <c r="I73" s="3" t="s">
        <v>7037</v>
      </c>
      <c r="J73" s="3"/>
      <c r="K73" s="3"/>
      <c r="L73" s="1"/>
      <c r="M73" s="1"/>
    </row>
    <row r="74" spans="1:13" x14ac:dyDescent="0.25">
      <c r="A74" s="1" t="s">
        <v>7070</v>
      </c>
      <c r="B74" s="1" t="s">
        <v>11</v>
      </c>
      <c r="C74" s="1">
        <v>73</v>
      </c>
      <c r="D74" s="1" t="s">
        <v>729</v>
      </c>
      <c r="E74" s="1" t="s">
        <v>434</v>
      </c>
      <c r="F74" s="2" t="s">
        <v>7848</v>
      </c>
      <c r="G74" s="1">
        <v>60</v>
      </c>
      <c r="H74" s="1" t="str">
        <f t="shared" si="1"/>
        <v>huntstthedraa2</v>
      </c>
      <c r="I74" s="3" t="s">
        <v>7037</v>
      </c>
      <c r="J74" s="3"/>
      <c r="K74" s="3"/>
      <c r="L74" s="1"/>
      <c r="M74" s="1"/>
    </row>
    <row r="75" spans="1:13" x14ac:dyDescent="0.25">
      <c r="A75" s="1" t="s">
        <v>7071</v>
      </c>
      <c r="B75" s="1" t="s">
        <v>11</v>
      </c>
      <c r="C75" s="1">
        <v>74</v>
      </c>
      <c r="D75" s="1" t="s">
        <v>7029</v>
      </c>
      <c r="E75" s="1" t="s">
        <v>733</v>
      </c>
      <c r="F75" s="2" t="s">
        <v>7812</v>
      </c>
      <c r="G75" s="1">
        <v>60</v>
      </c>
      <c r="H75" s="1" t="str">
        <f t="shared" si="1"/>
        <v>huntcaazyslla1</v>
      </c>
      <c r="I75" s="3" t="s">
        <v>7037</v>
      </c>
      <c r="J75" s="3"/>
      <c r="K75" s="3"/>
      <c r="L75" s="1"/>
      <c r="M75" s="1"/>
    </row>
    <row r="76" spans="1:13" x14ac:dyDescent="0.25">
      <c r="A76" s="1" t="s">
        <v>7072</v>
      </c>
      <c r="B76" s="1" t="s">
        <v>11</v>
      </c>
      <c r="C76" s="1">
        <v>75</v>
      </c>
      <c r="D76" s="1" t="s">
        <v>7028</v>
      </c>
      <c r="E76" s="1" t="s">
        <v>733</v>
      </c>
      <c r="F76" s="2" t="s">
        <v>7848</v>
      </c>
      <c r="G76" s="1">
        <v>60</v>
      </c>
      <c r="H76" s="1" t="str">
        <f t="shared" si="1"/>
        <v>huntstazyslla2</v>
      </c>
      <c r="I76" s="3" t="s">
        <v>7037</v>
      </c>
      <c r="J76" s="3"/>
      <c r="K76" s="3"/>
      <c r="L76" s="1"/>
      <c r="M76" s="1"/>
    </row>
    <row r="77" spans="1:13" x14ac:dyDescent="0.25">
      <c r="A77" s="1" t="s">
        <v>7073</v>
      </c>
      <c r="B77" s="1" t="s">
        <v>11</v>
      </c>
      <c r="C77" s="1">
        <v>76</v>
      </c>
      <c r="D77" s="3" t="s">
        <v>7038</v>
      </c>
      <c r="E77" s="3" t="s">
        <v>686</v>
      </c>
      <c r="F77" s="2" t="s">
        <v>7813</v>
      </c>
      <c r="G77" s="1">
        <v>60</v>
      </c>
      <c r="H77" s="1" t="str">
        <f t="shared" si="1"/>
        <v>huntkacoerths1</v>
      </c>
      <c r="I77" s="3" t="s">
        <v>7047</v>
      </c>
      <c r="J77" s="3"/>
      <c r="K77" s="3"/>
      <c r="L77" s="1" t="s">
        <v>7048</v>
      </c>
      <c r="M77" s="3" t="s">
        <v>7044</v>
      </c>
    </row>
    <row r="78" spans="1:13" x14ac:dyDescent="0.25">
      <c r="A78" s="1" t="s">
        <v>7074</v>
      </c>
      <c r="B78" s="1" t="s">
        <v>11</v>
      </c>
      <c r="C78" s="1">
        <v>77</v>
      </c>
      <c r="D78" s="3" t="s">
        <v>7039</v>
      </c>
      <c r="E78" s="3" t="s">
        <v>956</v>
      </c>
      <c r="F78" s="2" t="s">
        <v>7813</v>
      </c>
      <c r="G78" s="1">
        <v>60</v>
      </c>
      <c r="H78" s="1" t="str">
        <f t="shared" si="1"/>
        <v>huntsethedras1</v>
      </c>
      <c r="I78" s="3" t="s">
        <v>7047</v>
      </c>
      <c r="J78" s="3"/>
      <c r="K78" s="3"/>
      <c r="L78" s="1" t="s">
        <v>7048</v>
      </c>
      <c r="M78" s="3" t="s">
        <v>7045</v>
      </c>
    </row>
    <row r="79" spans="1:13" x14ac:dyDescent="0.25">
      <c r="A79" s="1" t="s">
        <v>7075</v>
      </c>
      <c r="B79" s="1" t="s">
        <v>11</v>
      </c>
      <c r="C79" s="1">
        <v>78</v>
      </c>
      <c r="D79" s="3" t="s">
        <v>7040</v>
      </c>
      <c r="E79" s="3" t="s">
        <v>831</v>
      </c>
      <c r="F79" s="2" t="s">
        <v>7813</v>
      </c>
      <c r="G79" s="1">
        <v>60</v>
      </c>
      <c r="H79" s="1" t="str">
        <f t="shared" si="1"/>
        <v>huntgathechus1</v>
      </c>
      <c r="I79" s="3" t="s">
        <v>7047</v>
      </c>
      <c r="J79" s="3"/>
      <c r="K79" s="3"/>
      <c r="L79" s="1" t="s">
        <v>7048</v>
      </c>
      <c r="M79" s="3" t="s">
        <v>7314</v>
      </c>
    </row>
    <row r="80" spans="1:13" x14ac:dyDescent="0.25">
      <c r="A80" s="1" t="s">
        <v>7076</v>
      </c>
      <c r="B80" s="1" t="s">
        <v>11</v>
      </c>
      <c r="C80" s="1">
        <v>79</v>
      </c>
      <c r="D80" s="3" t="s">
        <v>7041</v>
      </c>
      <c r="E80" s="3" t="s">
        <v>666</v>
      </c>
      <c r="F80" s="2" t="s">
        <v>7813</v>
      </c>
      <c r="G80" s="1">
        <v>60</v>
      </c>
      <c r="H80" s="1" t="str">
        <f t="shared" si="1"/>
        <v>huntbitheseas1</v>
      </c>
      <c r="I80" s="3" t="s">
        <v>7047</v>
      </c>
      <c r="J80" s="3"/>
      <c r="K80" s="3"/>
      <c r="L80" s="1" t="s">
        <v>7048</v>
      </c>
      <c r="M80" s="3" t="s">
        <v>7046</v>
      </c>
    </row>
    <row r="81" spans="1:13" x14ac:dyDescent="0.25">
      <c r="A81" s="1" t="s">
        <v>7077</v>
      </c>
      <c r="B81" s="1" t="s">
        <v>11</v>
      </c>
      <c r="C81" s="1">
        <v>80</v>
      </c>
      <c r="D81" s="3" t="s">
        <v>7042</v>
      </c>
      <c r="E81" s="3" t="s">
        <v>434</v>
      </c>
      <c r="F81" s="2" t="s">
        <v>7813</v>
      </c>
      <c r="G81" s="1">
        <v>60</v>
      </c>
      <c r="H81" s="1" t="str">
        <f t="shared" si="1"/>
        <v>huntththedras1</v>
      </c>
      <c r="I81" s="3" t="s">
        <v>7047</v>
      </c>
      <c r="J81" s="3"/>
      <c r="K81" s="3"/>
      <c r="L81" s="1" t="s">
        <v>7048</v>
      </c>
      <c r="M81" s="3" t="s">
        <v>7315</v>
      </c>
    </row>
    <row r="82" spans="1:13" x14ac:dyDescent="0.25">
      <c r="A82" s="1" t="s">
        <v>7078</v>
      </c>
      <c r="B82" s="1" t="s">
        <v>11</v>
      </c>
      <c r="C82" s="1">
        <v>81</v>
      </c>
      <c r="D82" s="3" t="s">
        <v>7043</v>
      </c>
      <c r="E82" s="3" t="s">
        <v>733</v>
      </c>
      <c r="F82" s="2" t="s">
        <v>7813</v>
      </c>
      <c r="G82" s="1">
        <v>60</v>
      </c>
      <c r="H82" s="1" t="str">
        <f t="shared" si="1"/>
        <v>huntleazyslls1</v>
      </c>
      <c r="I82" s="3" t="s">
        <v>7047</v>
      </c>
      <c r="J82" s="3"/>
      <c r="K82" s="3"/>
      <c r="L82" s="1" t="s">
        <v>7048</v>
      </c>
      <c r="M82" s="3" t="s">
        <v>7316</v>
      </c>
    </row>
    <row r="83" spans="1:13" x14ac:dyDescent="0.25">
      <c r="A83" s="1" t="s">
        <v>7105</v>
      </c>
      <c r="B83" s="1" t="s">
        <v>73</v>
      </c>
      <c r="C83" s="1">
        <v>82</v>
      </c>
      <c r="D83" s="1" t="s">
        <v>7088</v>
      </c>
      <c r="E83" s="1" t="s">
        <v>1734</v>
      </c>
      <c r="F83" s="2" t="s">
        <v>7811</v>
      </c>
      <c r="G83" s="1">
        <v>70</v>
      </c>
      <c r="H83" s="1" t="str">
        <f t="shared" si="1"/>
        <v>huntshthefrib1</v>
      </c>
      <c r="I83" s="2" t="s">
        <v>7089</v>
      </c>
      <c r="J83" s="2"/>
      <c r="K83" s="2"/>
      <c r="L83" s="1"/>
      <c r="M83" s="1"/>
    </row>
    <row r="84" spans="1:13" x14ac:dyDescent="0.25">
      <c r="A84" s="1" t="s">
        <v>7106</v>
      </c>
      <c r="B84" s="1" t="s">
        <v>73</v>
      </c>
      <c r="C84" s="1">
        <v>83</v>
      </c>
      <c r="D84" s="1" t="s">
        <v>7087</v>
      </c>
      <c r="E84" s="1" t="s">
        <v>1734</v>
      </c>
      <c r="F84" s="2" t="s">
        <v>7814</v>
      </c>
      <c r="G84" s="1">
        <v>70</v>
      </c>
      <c r="H84" s="1" t="str">
        <f t="shared" si="1"/>
        <v>huntouthefrib2</v>
      </c>
      <c r="I84" s="2" t="s">
        <v>7089</v>
      </c>
      <c r="J84" s="2"/>
      <c r="K84" s="2"/>
      <c r="L84" s="1"/>
      <c r="M84" s="1"/>
    </row>
    <row r="85" spans="1:13" x14ac:dyDescent="0.25">
      <c r="A85" s="1" t="s">
        <v>7107</v>
      </c>
      <c r="B85" s="1" t="s">
        <v>73</v>
      </c>
      <c r="C85" s="1">
        <v>84</v>
      </c>
      <c r="D85" s="1" t="s">
        <v>7086</v>
      </c>
      <c r="E85" s="1" t="s">
        <v>799</v>
      </c>
      <c r="F85" s="2" t="s">
        <v>7811</v>
      </c>
      <c r="G85" s="1">
        <v>70</v>
      </c>
      <c r="H85" s="1" t="str">
        <f t="shared" si="1"/>
        <v>huntdeyanxiab1</v>
      </c>
      <c r="I85" s="2" t="s">
        <v>7089</v>
      </c>
      <c r="J85" s="2"/>
      <c r="K85" s="2"/>
      <c r="L85" s="1"/>
      <c r="M85" s="1"/>
    </row>
    <row r="86" spans="1:13" x14ac:dyDescent="0.25">
      <c r="A86" s="1" t="s">
        <v>7108</v>
      </c>
      <c r="B86" s="1" t="s">
        <v>73</v>
      </c>
      <c r="C86" s="1">
        <v>85</v>
      </c>
      <c r="D86" s="1" t="s">
        <v>880</v>
      </c>
      <c r="E86" s="1" t="s">
        <v>799</v>
      </c>
      <c r="F86" s="2" t="s">
        <v>7814</v>
      </c>
      <c r="G86" s="1">
        <v>70</v>
      </c>
      <c r="H86" s="1" t="str">
        <f t="shared" si="1"/>
        <v>huntgyyanxiab2</v>
      </c>
      <c r="I86" s="2" t="s">
        <v>7089</v>
      </c>
      <c r="J86" s="2"/>
      <c r="K86" s="2"/>
      <c r="L86" s="1"/>
      <c r="M86" s="1"/>
    </row>
    <row r="87" spans="1:13" x14ac:dyDescent="0.25">
      <c r="A87" s="1" t="s">
        <v>7109</v>
      </c>
      <c r="B87" s="1" t="s">
        <v>73</v>
      </c>
      <c r="C87" s="1">
        <v>86</v>
      </c>
      <c r="D87" s="1" t="s">
        <v>7085</v>
      </c>
      <c r="E87" s="1" t="s">
        <v>1889</v>
      </c>
      <c r="F87" s="2" t="s">
        <v>7811</v>
      </c>
      <c r="G87" s="1">
        <v>70</v>
      </c>
      <c r="H87" s="1" t="str">
        <f t="shared" si="1"/>
        <v>huntgutherubb1</v>
      </c>
      <c r="I87" s="2" t="s">
        <v>7089</v>
      </c>
      <c r="J87" s="2"/>
      <c r="K87" s="2"/>
      <c r="L87" s="1"/>
      <c r="M87" s="1"/>
    </row>
    <row r="88" spans="1:13" x14ac:dyDescent="0.25">
      <c r="A88" s="1" t="s">
        <v>7110</v>
      </c>
      <c r="B88" s="1" t="s">
        <v>73</v>
      </c>
      <c r="C88" s="1">
        <v>87</v>
      </c>
      <c r="D88" s="1" t="s">
        <v>7084</v>
      </c>
      <c r="E88" s="1" t="s">
        <v>1889</v>
      </c>
      <c r="F88" s="2" t="s">
        <v>7814</v>
      </c>
      <c r="G88" s="1">
        <v>70</v>
      </c>
      <c r="H88" s="1" t="str">
        <f t="shared" si="1"/>
        <v>huntgatherubb2</v>
      </c>
      <c r="I88" s="2" t="s">
        <v>7089</v>
      </c>
      <c r="J88" s="2"/>
      <c r="K88" s="2"/>
      <c r="L88" s="1"/>
      <c r="M88" s="1"/>
    </row>
    <row r="89" spans="1:13" x14ac:dyDescent="0.25">
      <c r="A89" s="1" t="s">
        <v>7111</v>
      </c>
      <c r="B89" s="1" t="s">
        <v>73</v>
      </c>
      <c r="C89" s="1">
        <v>88</v>
      </c>
      <c r="D89" s="1" t="s">
        <v>927</v>
      </c>
      <c r="E89" s="1" t="s">
        <v>603</v>
      </c>
      <c r="F89" s="2" t="s">
        <v>7811</v>
      </c>
      <c r="G89" s="1">
        <v>70</v>
      </c>
      <c r="H89" s="1" t="str">
        <f t="shared" si="1"/>
        <v>huntgwthepeab1</v>
      </c>
      <c r="I89" s="2" t="s">
        <v>7089</v>
      </c>
      <c r="J89" s="2"/>
      <c r="K89" s="2"/>
      <c r="L89" s="1"/>
      <c r="M89" s="1"/>
    </row>
    <row r="90" spans="1:13" x14ac:dyDescent="0.25">
      <c r="A90" s="1" t="s">
        <v>7112</v>
      </c>
      <c r="B90" s="1" t="s">
        <v>73</v>
      </c>
      <c r="C90" s="1">
        <v>89</v>
      </c>
      <c r="D90" s="1" t="s">
        <v>7083</v>
      </c>
      <c r="E90" s="1" t="s">
        <v>603</v>
      </c>
      <c r="F90" s="2" t="s">
        <v>7814</v>
      </c>
      <c r="G90" s="1">
        <v>70</v>
      </c>
      <c r="H90" s="1" t="str">
        <f t="shared" si="1"/>
        <v>huntbuthepeab2</v>
      </c>
      <c r="I90" s="2" t="s">
        <v>7089</v>
      </c>
      <c r="J90" s="2"/>
      <c r="K90" s="2"/>
      <c r="L90" s="1"/>
      <c r="M90" s="1"/>
    </row>
    <row r="91" spans="1:13" x14ac:dyDescent="0.25">
      <c r="A91" s="1" t="s">
        <v>7113</v>
      </c>
      <c r="B91" s="1" t="s">
        <v>73</v>
      </c>
      <c r="C91" s="1">
        <v>90</v>
      </c>
      <c r="D91" s="1" t="s">
        <v>7082</v>
      </c>
      <c r="E91" s="1" t="s">
        <v>1972</v>
      </c>
      <c r="F91" s="2" t="s">
        <v>7811</v>
      </c>
      <c r="G91" s="1">
        <v>70</v>
      </c>
      <c r="H91" s="1" t="str">
        <f t="shared" si="1"/>
        <v>huntastheazib1</v>
      </c>
      <c r="I91" s="2" t="s">
        <v>7089</v>
      </c>
      <c r="J91" s="2"/>
      <c r="K91" s="2"/>
      <c r="L91" s="1"/>
      <c r="M91" s="1"/>
    </row>
    <row r="92" spans="1:13" x14ac:dyDescent="0.25">
      <c r="A92" s="1" t="s">
        <v>7114</v>
      </c>
      <c r="B92" s="1" t="s">
        <v>73</v>
      </c>
      <c r="C92" s="1">
        <v>91</v>
      </c>
      <c r="D92" s="1" t="s">
        <v>7081</v>
      </c>
      <c r="E92" s="1" t="s">
        <v>1972</v>
      </c>
      <c r="F92" s="2" t="s">
        <v>7814</v>
      </c>
      <c r="G92" s="1">
        <v>70</v>
      </c>
      <c r="H92" s="1" t="str">
        <f t="shared" si="1"/>
        <v>huntkutheazib2</v>
      </c>
      <c r="I92" s="2" t="s">
        <v>7089</v>
      </c>
      <c r="J92" s="2"/>
      <c r="K92" s="2"/>
      <c r="L92" s="1"/>
      <c r="M92" s="1"/>
    </row>
    <row r="93" spans="1:13" x14ac:dyDescent="0.25">
      <c r="A93" s="1" t="s">
        <v>7115</v>
      </c>
      <c r="B93" s="1" t="s">
        <v>73</v>
      </c>
      <c r="C93" s="1">
        <v>92</v>
      </c>
      <c r="D93" s="1" t="s">
        <v>7080</v>
      </c>
      <c r="E93" s="1" t="s">
        <v>637</v>
      </c>
      <c r="F93" s="2" t="s">
        <v>7811</v>
      </c>
      <c r="G93" s="1">
        <v>70</v>
      </c>
      <c r="H93" s="1" t="str">
        <f t="shared" si="1"/>
        <v>huntkithelocb1</v>
      </c>
      <c r="I93" s="2" t="s">
        <v>7089</v>
      </c>
      <c r="J93" s="2"/>
      <c r="K93" s="2"/>
      <c r="L93" s="1"/>
      <c r="M93" s="1"/>
    </row>
    <row r="94" spans="1:13" x14ac:dyDescent="0.25">
      <c r="A94" s="1" t="s">
        <v>7116</v>
      </c>
      <c r="B94" s="1" t="s">
        <v>73</v>
      </c>
      <c r="C94" s="1">
        <v>93</v>
      </c>
      <c r="D94" s="1" t="s">
        <v>7079</v>
      </c>
      <c r="E94" s="1" t="s">
        <v>637</v>
      </c>
      <c r="F94" s="2" t="s">
        <v>7814</v>
      </c>
      <c r="G94" s="1">
        <v>70</v>
      </c>
      <c r="H94" s="1" t="str">
        <f t="shared" si="1"/>
        <v>huntmathelocb2</v>
      </c>
      <c r="I94" s="2" t="s">
        <v>7089</v>
      </c>
      <c r="J94" s="2"/>
      <c r="K94" s="2"/>
      <c r="L94" s="1"/>
      <c r="M94" s="1"/>
    </row>
    <row r="95" spans="1:13" x14ac:dyDescent="0.25">
      <c r="A95" s="1" t="s">
        <v>7117</v>
      </c>
      <c r="B95" s="1" t="s">
        <v>73</v>
      </c>
      <c r="C95" s="1">
        <v>94</v>
      </c>
      <c r="D95" s="1" t="s">
        <v>7098</v>
      </c>
      <c r="E95" s="1" t="s">
        <v>1734</v>
      </c>
      <c r="F95" s="2" t="s">
        <v>7812</v>
      </c>
      <c r="G95" s="1">
        <v>70</v>
      </c>
      <c r="H95" s="1" t="str">
        <f t="shared" si="1"/>
        <v>huntorthefria1</v>
      </c>
      <c r="I95" s="2" t="s">
        <v>7037</v>
      </c>
      <c r="J95" s="2"/>
      <c r="K95" s="2"/>
      <c r="L95" s="1"/>
      <c r="M95" s="1"/>
    </row>
    <row r="96" spans="1:13" x14ac:dyDescent="0.25">
      <c r="A96" s="1" t="s">
        <v>7118</v>
      </c>
      <c r="B96" s="1" t="s">
        <v>73</v>
      </c>
      <c r="C96" s="1">
        <v>95</v>
      </c>
      <c r="D96" s="1" t="s">
        <v>7097</v>
      </c>
      <c r="E96" s="1" t="s">
        <v>1734</v>
      </c>
      <c r="F96" s="2" t="s">
        <v>7848</v>
      </c>
      <c r="G96" s="1">
        <v>70</v>
      </c>
      <c r="H96" s="1" t="str">
        <f t="shared" si="1"/>
        <v>hunterthefria2</v>
      </c>
      <c r="I96" s="2" t="s">
        <v>7037</v>
      </c>
      <c r="J96" s="2"/>
      <c r="K96" s="2"/>
      <c r="L96" s="1"/>
      <c r="M96" s="1"/>
    </row>
    <row r="97" spans="1:13" x14ac:dyDescent="0.25">
      <c r="A97" s="1" t="s">
        <v>7119</v>
      </c>
      <c r="B97" s="1" t="s">
        <v>73</v>
      </c>
      <c r="C97" s="1">
        <v>96</v>
      </c>
      <c r="D97" s="1" t="s">
        <v>7096</v>
      </c>
      <c r="E97" s="1" t="s">
        <v>799</v>
      </c>
      <c r="F97" s="2" t="s">
        <v>7812</v>
      </c>
      <c r="G97" s="1">
        <v>70</v>
      </c>
      <c r="H97" s="1" t="str">
        <f t="shared" si="1"/>
        <v>huntgayanxiaa1</v>
      </c>
      <c r="I97" s="2" t="s">
        <v>7037</v>
      </c>
      <c r="J97" s="2"/>
      <c r="K97" s="2"/>
      <c r="L97" s="1"/>
      <c r="M97" s="1"/>
    </row>
    <row r="98" spans="1:13" x14ac:dyDescent="0.25">
      <c r="A98" s="1" t="s">
        <v>7120</v>
      </c>
      <c r="B98" s="1" t="s">
        <v>73</v>
      </c>
      <c r="C98" s="1">
        <v>97</v>
      </c>
      <c r="D98" s="1" t="s">
        <v>7095</v>
      </c>
      <c r="E98" s="1" t="s">
        <v>799</v>
      </c>
      <c r="F98" s="2" t="s">
        <v>7848</v>
      </c>
      <c r="G98" s="1">
        <v>70</v>
      </c>
      <c r="H98" s="1" t="str">
        <f t="shared" si="1"/>
        <v>huntanyanxiaa2</v>
      </c>
      <c r="I98" s="2" t="s">
        <v>7037</v>
      </c>
      <c r="J98" s="2"/>
      <c r="K98" s="2"/>
      <c r="L98" s="1"/>
      <c r="M98" s="1"/>
    </row>
    <row r="99" spans="1:13" x14ac:dyDescent="0.25">
      <c r="A99" s="1" t="s">
        <v>7121</v>
      </c>
      <c r="B99" s="1" t="s">
        <v>73</v>
      </c>
      <c r="C99" s="1">
        <v>98</v>
      </c>
      <c r="D99" s="1" t="s">
        <v>7094</v>
      </c>
      <c r="E99" s="1" t="s">
        <v>1889</v>
      </c>
      <c r="F99" s="2" t="s">
        <v>7812</v>
      </c>
      <c r="G99" s="1">
        <v>70</v>
      </c>
      <c r="H99" s="1" t="str">
        <f t="shared" si="1"/>
        <v>huntfutheruba1</v>
      </c>
      <c r="I99" s="2" t="s">
        <v>7037</v>
      </c>
      <c r="J99" s="2"/>
      <c r="K99" s="2"/>
      <c r="L99" s="1"/>
      <c r="M99" s="1"/>
    </row>
    <row r="100" spans="1:13" x14ac:dyDescent="0.25">
      <c r="A100" s="1" t="s">
        <v>7122</v>
      </c>
      <c r="B100" s="1" t="s">
        <v>73</v>
      </c>
      <c r="C100" s="1">
        <v>99</v>
      </c>
      <c r="D100" s="1" t="s">
        <v>7093</v>
      </c>
      <c r="E100" s="1" t="s">
        <v>1889</v>
      </c>
      <c r="F100" s="2" t="s">
        <v>7848</v>
      </c>
      <c r="G100" s="1">
        <v>70</v>
      </c>
      <c r="H100" s="1" t="str">
        <f t="shared" si="1"/>
        <v>huntontheruba2</v>
      </c>
      <c r="I100" s="2" t="s">
        <v>7037</v>
      </c>
      <c r="J100" s="2"/>
      <c r="K100" s="2"/>
      <c r="L100" s="1"/>
      <c r="M100" s="1"/>
    </row>
    <row r="101" spans="1:13" x14ac:dyDescent="0.25">
      <c r="A101" s="1" t="s">
        <v>7123</v>
      </c>
      <c r="B101" s="1" t="s">
        <v>73</v>
      </c>
      <c r="C101" s="1">
        <v>100</v>
      </c>
      <c r="D101" s="1" t="s">
        <v>674</v>
      </c>
      <c r="E101" s="1" t="s">
        <v>603</v>
      </c>
      <c r="F101" s="2" t="s">
        <v>7812</v>
      </c>
      <c r="G101" s="1">
        <v>70</v>
      </c>
      <c r="H101" s="1" t="str">
        <f t="shared" si="1"/>
        <v>huntvothepeaa1</v>
      </c>
      <c r="I101" s="2" t="s">
        <v>7037</v>
      </c>
      <c r="J101" s="2"/>
      <c r="K101" s="2"/>
      <c r="L101" s="1"/>
      <c r="M101" s="1"/>
    </row>
    <row r="102" spans="1:13" x14ac:dyDescent="0.25">
      <c r="A102" s="1" t="s">
        <v>7124</v>
      </c>
      <c r="B102" s="1" t="s">
        <v>73</v>
      </c>
      <c r="C102" s="1">
        <v>101</v>
      </c>
      <c r="D102" s="1" t="s">
        <v>7092</v>
      </c>
      <c r="E102" s="1" t="s">
        <v>603</v>
      </c>
      <c r="F102" s="2" t="s">
        <v>7848</v>
      </c>
      <c r="G102" s="1">
        <v>70</v>
      </c>
      <c r="H102" s="1" t="str">
        <f t="shared" si="1"/>
        <v>huntaqthepeaa2</v>
      </c>
      <c r="I102" s="2" t="s">
        <v>7037</v>
      </c>
      <c r="J102" s="2"/>
      <c r="K102" s="2"/>
      <c r="L102" s="1"/>
      <c r="M102" s="1"/>
    </row>
    <row r="103" spans="1:13" x14ac:dyDescent="0.25">
      <c r="A103" s="1" t="s">
        <v>7125</v>
      </c>
      <c r="B103" s="1" t="s">
        <v>73</v>
      </c>
      <c r="C103" s="1">
        <v>102</v>
      </c>
      <c r="D103" s="1" t="s">
        <v>7091</v>
      </c>
      <c r="E103" s="1" t="s">
        <v>1972</v>
      </c>
      <c r="F103" s="2" t="s">
        <v>7812</v>
      </c>
      <c r="G103" s="1">
        <v>70</v>
      </c>
      <c r="H103" s="1" t="str">
        <f t="shared" si="1"/>
        <v>huntgitheazia1</v>
      </c>
      <c r="I103" s="2" t="s">
        <v>7037</v>
      </c>
      <c r="J103" s="2"/>
      <c r="K103" s="2"/>
      <c r="L103" s="1"/>
      <c r="M103" s="1"/>
    </row>
    <row r="104" spans="1:13" x14ac:dyDescent="0.25">
      <c r="A104" s="1" t="s">
        <v>7126</v>
      </c>
      <c r="B104" s="1" t="s">
        <v>73</v>
      </c>
      <c r="C104" s="1">
        <v>103</v>
      </c>
      <c r="D104" s="1" t="s">
        <v>7090</v>
      </c>
      <c r="E104" s="1" t="s">
        <v>1972</v>
      </c>
      <c r="F104" s="2" t="s">
        <v>7848</v>
      </c>
      <c r="G104" s="1">
        <v>70</v>
      </c>
      <c r="H104" s="1" t="str">
        <f t="shared" si="1"/>
        <v>huntsutheazia2</v>
      </c>
      <c r="I104" s="2" t="s">
        <v>7037</v>
      </c>
      <c r="J104" s="2"/>
      <c r="K104" s="2"/>
      <c r="L104" s="1"/>
      <c r="M104" s="1"/>
    </row>
    <row r="105" spans="1:13" x14ac:dyDescent="0.25">
      <c r="A105" s="1" t="s">
        <v>7127</v>
      </c>
      <c r="B105" s="1" t="s">
        <v>73</v>
      </c>
      <c r="C105" s="1">
        <v>104</v>
      </c>
      <c r="D105" s="1" t="s">
        <v>835</v>
      </c>
      <c r="E105" s="1" t="s">
        <v>637</v>
      </c>
      <c r="F105" s="2" t="s">
        <v>7812</v>
      </c>
      <c r="G105" s="1">
        <v>70</v>
      </c>
      <c r="H105" s="1" t="str">
        <f t="shared" si="1"/>
        <v>huntmatheloca1</v>
      </c>
      <c r="I105" s="2" t="s">
        <v>7037</v>
      </c>
      <c r="J105" s="2"/>
      <c r="K105" s="2"/>
      <c r="L105" s="1"/>
      <c r="M105" s="1"/>
    </row>
    <row r="106" spans="1:13" x14ac:dyDescent="0.25">
      <c r="A106" s="1" t="s">
        <v>7128</v>
      </c>
      <c r="B106" s="1" t="s">
        <v>73</v>
      </c>
      <c r="C106" s="1">
        <v>105</v>
      </c>
      <c r="D106" s="1" t="s">
        <v>942</v>
      </c>
      <c r="E106" s="1" t="s">
        <v>637</v>
      </c>
      <c r="F106" s="2" t="s">
        <v>7848</v>
      </c>
      <c r="G106" s="1">
        <v>70</v>
      </c>
      <c r="H106" s="1" t="str">
        <f t="shared" si="1"/>
        <v>huntlutheloca2</v>
      </c>
      <c r="I106" s="2" t="s">
        <v>7037</v>
      </c>
      <c r="J106" s="2"/>
      <c r="K106" s="2"/>
      <c r="L106" s="1"/>
      <c r="M106" s="1"/>
    </row>
    <row r="107" spans="1:13" x14ac:dyDescent="0.25">
      <c r="A107" s="1" t="s">
        <v>7129</v>
      </c>
      <c r="B107" s="1" t="s">
        <v>73</v>
      </c>
      <c r="C107" s="1">
        <v>106</v>
      </c>
      <c r="D107" s="1" t="s">
        <v>7099</v>
      </c>
      <c r="E107" s="1" t="s">
        <v>1734</v>
      </c>
      <c r="F107" s="2" t="s">
        <v>7813</v>
      </c>
      <c r="G107" s="1">
        <v>70</v>
      </c>
      <c r="H107" s="1" t="str">
        <f t="shared" si="1"/>
        <v>huntudthefris1</v>
      </c>
      <c r="I107" s="1" t="s">
        <v>7047</v>
      </c>
      <c r="J107" s="1"/>
      <c r="K107" s="1"/>
      <c r="L107" s="1" t="s">
        <v>7048</v>
      </c>
      <c r="M107" s="3" t="s">
        <v>7317</v>
      </c>
    </row>
    <row r="108" spans="1:13" x14ac:dyDescent="0.25">
      <c r="A108" s="1" t="s">
        <v>7130</v>
      </c>
      <c r="B108" s="1" t="s">
        <v>73</v>
      </c>
      <c r="C108" s="1">
        <v>107</v>
      </c>
      <c r="D108" s="1" t="s">
        <v>800</v>
      </c>
      <c r="E108" s="1" t="s">
        <v>799</v>
      </c>
      <c r="F108" s="2" t="s">
        <v>7813</v>
      </c>
      <c r="G108" s="1">
        <v>70</v>
      </c>
      <c r="H108" s="1" t="str">
        <f t="shared" si="1"/>
        <v>huntgayanxias1</v>
      </c>
      <c r="I108" s="1" t="s">
        <v>7047</v>
      </c>
      <c r="J108" s="1"/>
      <c r="K108" s="1"/>
      <c r="L108" s="1" t="s">
        <v>7048</v>
      </c>
      <c r="M108" s="3" t="s">
        <v>7318</v>
      </c>
    </row>
    <row r="109" spans="1:13" x14ac:dyDescent="0.25">
      <c r="A109" s="1" t="s">
        <v>7131</v>
      </c>
      <c r="B109" s="1" t="s">
        <v>73</v>
      </c>
      <c r="C109" s="1">
        <v>108</v>
      </c>
      <c r="D109" s="1" t="s">
        <v>7100</v>
      </c>
      <c r="E109" s="1" t="s">
        <v>1889</v>
      </c>
      <c r="F109" s="2" t="s">
        <v>7813</v>
      </c>
      <c r="G109" s="1">
        <v>70</v>
      </c>
      <c r="H109" s="1" t="str">
        <f t="shared" si="1"/>
        <v>huntoktherubs1</v>
      </c>
      <c r="I109" s="1" t="s">
        <v>7047</v>
      </c>
      <c r="J109" s="1"/>
      <c r="K109" s="1"/>
      <c r="L109" s="1" t="s">
        <v>7048</v>
      </c>
      <c r="M109" s="3" t="s">
        <v>7319</v>
      </c>
    </row>
    <row r="110" spans="1:13" x14ac:dyDescent="0.25">
      <c r="A110" s="1" t="s">
        <v>7132</v>
      </c>
      <c r="B110" s="1" t="s">
        <v>73</v>
      </c>
      <c r="C110" s="1">
        <v>109</v>
      </c>
      <c r="D110" s="1" t="s">
        <v>7101</v>
      </c>
      <c r="E110" s="1" t="s">
        <v>603</v>
      </c>
      <c r="F110" s="2" t="s">
        <v>7813</v>
      </c>
      <c r="G110" s="1">
        <v>70</v>
      </c>
      <c r="H110" s="1" t="str">
        <f t="shared" si="1"/>
        <v>huntbothepeas1</v>
      </c>
      <c r="I110" s="1" t="s">
        <v>7047</v>
      </c>
      <c r="J110" s="1"/>
      <c r="K110" s="1"/>
      <c r="L110" s="1" t="s">
        <v>7048</v>
      </c>
      <c r="M110" s="3" t="s">
        <v>7103</v>
      </c>
    </row>
    <row r="111" spans="1:13" x14ac:dyDescent="0.25">
      <c r="A111" s="1" t="s">
        <v>7133</v>
      </c>
      <c r="B111" s="1" t="s">
        <v>73</v>
      </c>
      <c r="C111" s="1">
        <v>110</v>
      </c>
      <c r="D111" s="1" t="s">
        <v>7102</v>
      </c>
      <c r="E111" s="1" t="s">
        <v>1972</v>
      </c>
      <c r="F111" s="2" t="s">
        <v>7813</v>
      </c>
      <c r="G111" s="1">
        <v>70</v>
      </c>
      <c r="H111" s="1" t="str">
        <f t="shared" si="1"/>
        <v>huntortheazis1</v>
      </c>
      <c r="I111" s="1" t="s">
        <v>7047</v>
      </c>
      <c r="J111" s="1"/>
      <c r="K111" s="1"/>
      <c r="L111" s="1" t="s">
        <v>7048</v>
      </c>
      <c r="M111" s="3" t="s">
        <v>7320</v>
      </c>
    </row>
    <row r="112" spans="1:13" x14ac:dyDescent="0.25">
      <c r="A112" s="1" t="s">
        <v>7134</v>
      </c>
      <c r="B112" s="1" t="s">
        <v>73</v>
      </c>
      <c r="C112" s="1">
        <v>111</v>
      </c>
      <c r="D112" s="1" t="s">
        <v>677</v>
      </c>
      <c r="E112" s="1" t="s">
        <v>637</v>
      </c>
      <c r="F112" s="2" t="s">
        <v>7813</v>
      </c>
      <c r="G112" s="1">
        <v>70</v>
      </c>
      <c r="H112" s="1" t="str">
        <f t="shared" si="1"/>
        <v>huntsathelocs1</v>
      </c>
      <c r="I112" s="1" t="s">
        <v>7047</v>
      </c>
      <c r="J112" s="1"/>
      <c r="K112" s="1"/>
      <c r="L112" s="1" t="s">
        <v>7048</v>
      </c>
      <c r="M112" s="3" t="s">
        <v>7104</v>
      </c>
    </row>
    <row r="113" spans="1:13" x14ac:dyDescent="0.25">
      <c r="A113" s="1" t="s">
        <v>7156</v>
      </c>
      <c r="B113" s="1" t="s">
        <v>102</v>
      </c>
      <c r="C113" s="1">
        <v>112</v>
      </c>
      <c r="D113" s="1" t="s">
        <v>7155</v>
      </c>
      <c r="E113" s="1" t="s">
        <v>562</v>
      </c>
      <c r="F113" s="2" t="s">
        <v>7811</v>
      </c>
      <c r="G113" s="1">
        <v>80</v>
      </c>
      <c r="H113" s="1" t="str">
        <f t="shared" si="1"/>
        <v>huntlalakelab1</v>
      </c>
      <c r="I113" s="2" t="s">
        <v>7089</v>
      </c>
      <c r="J113" s="2"/>
      <c r="K113" s="2"/>
      <c r="L113" s="1"/>
      <c r="M113" s="1"/>
    </row>
    <row r="114" spans="1:13" x14ac:dyDescent="0.25">
      <c r="A114" s="1" t="s">
        <v>7157</v>
      </c>
      <c r="B114" s="1" t="s">
        <v>102</v>
      </c>
      <c r="C114" s="1">
        <v>113</v>
      </c>
      <c r="D114" s="1" t="s">
        <v>7154</v>
      </c>
      <c r="E114" s="1" t="s">
        <v>562</v>
      </c>
      <c r="F114" s="2" t="s">
        <v>7814</v>
      </c>
      <c r="G114" s="1">
        <v>80</v>
      </c>
      <c r="H114" s="1" t="str">
        <f t="shared" si="1"/>
        <v>huntitlakelab2</v>
      </c>
      <c r="I114" s="2" t="s">
        <v>7089</v>
      </c>
      <c r="J114" s="2"/>
      <c r="K114" s="2"/>
      <c r="L114" s="1"/>
      <c r="M114" s="1"/>
    </row>
    <row r="115" spans="1:13" x14ac:dyDescent="0.25">
      <c r="A115" s="1" t="s">
        <v>7158</v>
      </c>
      <c r="B115" s="1" t="s">
        <v>102</v>
      </c>
      <c r="C115" s="1">
        <v>114</v>
      </c>
      <c r="D115" s="1" t="s">
        <v>7153</v>
      </c>
      <c r="E115" s="1" t="s">
        <v>329</v>
      </c>
      <c r="F115" s="2" t="s">
        <v>7811</v>
      </c>
      <c r="G115" s="1">
        <v>80</v>
      </c>
      <c r="H115" s="1" t="str">
        <f t="shared" si="1"/>
        <v>huntdoilmhegb1</v>
      </c>
      <c r="I115" s="2" t="s">
        <v>7089</v>
      </c>
      <c r="J115" s="2"/>
      <c r="K115" s="2"/>
      <c r="L115" s="1"/>
      <c r="M115" s="1"/>
    </row>
    <row r="116" spans="1:13" x14ac:dyDescent="0.25">
      <c r="A116" s="1" t="s">
        <v>7159</v>
      </c>
      <c r="B116" s="1" t="s">
        <v>102</v>
      </c>
      <c r="C116" s="1">
        <v>115</v>
      </c>
      <c r="D116" s="1" t="s">
        <v>7152</v>
      </c>
      <c r="E116" s="1" t="s">
        <v>329</v>
      </c>
      <c r="F116" s="2" t="s">
        <v>7814</v>
      </c>
      <c r="G116" s="1">
        <v>80</v>
      </c>
      <c r="H116" s="1" t="str">
        <f t="shared" si="1"/>
        <v>huntvuilmhegb2</v>
      </c>
      <c r="I116" s="2" t="s">
        <v>7089</v>
      </c>
      <c r="J116" s="2"/>
      <c r="K116" s="2"/>
      <c r="L116" s="1"/>
      <c r="M116" s="1"/>
    </row>
    <row r="117" spans="1:13" x14ac:dyDescent="0.25">
      <c r="A117" s="1" t="s">
        <v>7160</v>
      </c>
      <c r="B117" s="1" t="s">
        <v>102</v>
      </c>
      <c r="C117" s="1">
        <v>116</v>
      </c>
      <c r="D117" s="1" t="s">
        <v>7151</v>
      </c>
      <c r="E117" s="1" t="s">
        <v>976</v>
      </c>
      <c r="F117" s="2" t="s">
        <v>7811</v>
      </c>
      <c r="G117" s="1">
        <v>80</v>
      </c>
      <c r="H117" s="1" t="str">
        <f t="shared" si="1"/>
        <v>huntcokholusb1</v>
      </c>
      <c r="I117" s="2" t="s">
        <v>7089</v>
      </c>
      <c r="J117" s="2"/>
      <c r="K117" s="2"/>
      <c r="L117" s="1"/>
      <c r="M117" s="1"/>
    </row>
    <row r="118" spans="1:13" x14ac:dyDescent="0.25">
      <c r="A118" s="1" t="s">
        <v>7161</v>
      </c>
      <c r="B118" s="1" t="s">
        <v>102</v>
      </c>
      <c r="C118" s="1">
        <v>117</v>
      </c>
      <c r="D118" s="1" t="s">
        <v>7150</v>
      </c>
      <c r="E118" s="1" t="s">
        <v>976</v>
      </c>
      <c r="F118" s="2" t="s">
        <v>7814</v>
      </c>
      <c r="G118" s="1">
        <v>80</v>
      </c>
      <c r="H118" s="1" t="str">
        <f t="shared" si="1"/>
        <v>huntinkholusb2</v>
      </c>
      <c r="I118" s="2" t="s">
        <v>7089</v>
      </c>
      <c r="J118" s="2"/>
      <c r="K118" s="2"/>
      <c r="L118" s="1"/>
      <c r="M118" s="1"/>
    </row>
    <row r="119" spans="1:13" x14ac:dyDescent="0.25">
      <c r="A119" s="1" t="s">
        <v>7162</v>
      </c>
      <c r="B119" s="1" t="s">
        <v>102</v>
      </c>
      <c r="C119" s="1">
        <v>118</v>
      </c>
      <c r="D119" s="1" t="s">
        <v>7149</v>
      </c>
      <c r="E119" s="1" t="s">
        <v>988</v>
      </c>
      <c r="F119" s="2" t="s">
        <v>7811</v>
      </c>
      <c r="G119" s="1">
        <v>80</v>
      </c>
      <c r="H119" s="1" t="str">
        <f t="shared" si="1"/>
        <v>huntwoamharab1</v>
      </c>
      <c r="I119" s="2" t="s">
        <v>7089</v>
      </c>
      <c r="J119" s="2"/>
      <c r="K119" s="2"/>
      <c r="L119" s="1"/>
      <c r="M119" s="1"/>
    </row>
    <row r="120" spans="1:13" x14ac:dyDescent="0.25">
      <c r="A120" s="1" t="s">
        <v>7163</v>
      </c>
      <c r="B120" s="1" t="s">
        <v>102</v>
      </c>
      <c r="C120" s="1">
        <v>119</v>
      </c>
      <c r="D120" s="1" t="s">
        <v>7148</v>
      </c>
      <c r="E120" s="1" t="s">
        <v>988</v>
      </c>
      <c r="F120" s="2" t="s">
        <v>7814</v>
      </c>
      <c r="G120" s="1">
        <v>80</v>
      </c>
      <c r="H120" s="1" t="str">
        <f t="shared" si="1"/>
        <v>huntjuamharab2</v>
      </c>
      <c r="I120" s="2" t="s">
        <v>7089</v>
      </c>
      <c r="J120" s="2"/>
      <c r="K120" s="2"/>
      <c r="L120" s="1"/>
      <c r="M120" s="1"/>
    </row>
    <row r="121" spans="1:13" x14ac:dyDescent="0.25">
      <c r="A121" s="1" t="s">
        <v>7164</v>
      </c>
      <c r="B121" s="1" t="s">
        <v>102</v>
      </c>
      <c r="C121" s="1">
        <v>120</v>
      </c>
      <c r="D121" s="1" t="s">
        <v>7147</v>
      </c>
      <c r="E121" s="1" t="s">
        <v>2221</v>
      </c>
      <c r="F121" s="2" t="s">
        <v>7811</v>
      </c>
      <c r="G121" s="1">
        <v>80</v>
      </c>
      <c r="H121" s="1" t="str">
        <f t="shared" si="1"/>
        <v>huntmitherakb1</v>
      </c>
      <c r="I121" s="2" t="s">
        <v>7089</v>
      </c>
      <c r="J121" s="2"/>
      <c r="K121" s="2"/>
      <c r="L121" s="1"/>
      <c r="M121" s="1"/>
    </row>
    <row r="122" spans="1:13" x14ac:dyDescent="0.25">
      <c r="A122" s="1" t="s">
        <v>7165</v>
      </c>
      <c r="B122" s="1" t="s">
        <v>102</v>
      </c>
      <c r="C122" s="1">
        <v>121</v>
      </c>
      <c r="D122" s="1" t="s">
        <v>7146</v>
      </c>
      <c r="E122" s="1" t="s">
        <v>2221</v>
      </c>
      <c r="F122" s="2" t="s">
        <v>7814</v>
      </c>
      <c r="G122" s="1">
        <v>80</v>
      </c>
      <c r="H122" s="1" t="str">
        <f t="shared" si="1"/>
        <v>huntpatherakb2</v>
      </c>
      <c r="I122" s="2" t="s">
        <v>7089</v>
      </c>
      <c r="J122" s="2"/>
      <c r="K122" s="2"/>
      <c r="L122" s="1"/>
      <c r="M122" s="1"/>
    </row>
    <row r="123" spans="1:13" x14ac:dyDescent="0.25">
      <c r="A123" s="1" t="s">
        <v>7166</v>
      </c>
      <c r="B123" s="1" t="s">
        <v>102</v>
      </c>
      <c r="C123" s="1">
        <v>122</v>
      </c>
      <c r="D123" s="1" t="s">
        <v>7145</v>
      </c>
      <c r="E123" s="1" t="s">
        <v>944</v>
      </c>
      <c r="F123" s="2" t="s">
        <v>7811</v>
      </c>
      <c r="G123" s="1">
        <v>80</v>
      </c>
      <c r="H123" s="1" t="str">
        <f t="shared" si="1"/>
        <v>huntdethetemb1</v>
      </c>
      <c r="I123" s="2" t="s">
        <v>7089</v>
      </c>
      <c r="J123" s="2"/>
      <c r="K123" s="2"/>
      <c r="L123" s="1"/>
      <c r="M123" s="1"/>
    </row>
    <row r="124" spans="1:13" x14ac:dyDescent="0.25">
      <c r="A124" s="1" t="s">
        <v>7167</v>
      </c>
      <c r="B124" s="1" t="s">
        <v>102</v>
      </c>
      <c r="C124" s="1">
        <v>123</v>
      </c>
      <c r="D124" s="1" t="s">
        <v>7144</v>
      </c>
      <c r="E124" s="1" t="s">
        <v>944</v>
      </c>
      <c r="F124" s="2" t="s">
        <v>7814</v>
      </c>
      <c r="G124" s="1">
        <v>80</v>
      </c>
      <c r="H124" s="1" t="str">
        <f t="shared" si="1"/>
        <v>huntgithetemb2</v>
      </c>
      <c r="I124" s="2" t="s">
        <v>7089</v>
      </c>
      <c r="J124" s="2"/>
      <c r="K124" s="2"/>
      <c r="L124" s="1"/>
      <c r="M124" s="1"/>
    </row>
    <row r="125" spans="1:13" x14ac:dyDescent="0.25">
      <c r="A125" s="1" t="s">
        <v>7168</v>
      </c>
      <c r="B125" s="1" t="s">
        <v>102</v>
      </c>
      <c r="C125" s="1">
        <v>124</v>
      </c>
      <c r="D125" s="4" t="s">
        <v>7143</v>
      </c>
      <c r="E125" s="4" t="s">
        <v>562</v>
      </c>
      <c r="F125" s="2" t="s">
        <v>7812</v>
      </c>
      <c r="G125" s="1">
        <v>80</v>
      </c>
      <c r="H125" s="1" t="str">
        <f t="shared" si="1"/>
        <v>huntnalakelaa1</v>
      </c>
      <c r="I125" s="2" t="s">
        <v>7037</v>
      </c>
      <c r="J125" s="2"/>
      <c r="K125" s="2"/>
      <c r="L125" s="1"/>
      <c r="M125" s="1"/>
    </row>
    <row r="126" spans="1:13" x14ac:dyDescent="0.25">
      <c r="A126" s="1" t="s">
        <v>7169</v>
      </c>
      <c r="B126" s="1" t="s">
        <v>102</v>
      </c>
      <c r="C126" s="1">
        <v>125</v>
      </c>
      <c r="D126" s="4" t="s">
        <v>7142</v>
      </c>
      <c r="E126" s="4" t="s">
        <v>562</v>
      </c>
      <c r="F126" s="2" t="s">
        <v>7848</v>
      </c>
      <c r="G126" s="1">
        <v>80</v>
      </c>
      <c r="H126" s="1" t="str">
        <f t="shared" si="1"/>
        <v>huntnulakelaa2</v>
      </c>
      <c r="I126" s="2" t="s">
        <v>7037</v>
      </c>
      <c r="J126" s="2"/>
      <c r="K126" s="2"/>
      <c r="L126" s="1"/>
      <c r="M126" s="1"/>
    </row>
    <row r="127" spans="1:13" x14ac:dyDescent="0.25">
      <c r="A127" s="1" t="s">
        <v>7170</v>
      </c>
      <c r="B127" s="1" t="s">
        <v>102</v>
      </c>
      <c r="C127" s="1">
        <v>126</v>
      </c>
      <c r="D127" s="4" t="s">
        <v>7141</v>
      </c>
      <c r="E127" s="4" t="s">
        <v>329</v>
      </c>
      <c r="F127" s="2" t="s">
        <v>7812</v>
      </c>
      <c r="G127" s="1">
        <v>80</v>
      </c>
      <c r="H127" s="1" t="str">
        <f t="shared" si="1"/>
        <v>huntopilmhega1</v>
      </c>
      <c r="I127" s="2" t="s">
        <v>7037</v>
      </c>
      <c r="J127" s="2"/>
      <c r="K127" s="2"/>
      <c r="L127" s="1"/>
      <c r="M127" s="1"/>
    </row>
    <row r="128" spans="1:13" x14ac:dyDescent="0.25">
      <c r="A128" s="1" t="s">
        <v>7171</v>
      </c>
      <c r="B128" s="1" t="s">
        <v>102</v>
      </c>
      <c r="C128" s="1">
        <v>127</v>
      </c>
      <c r="D128" s="4" t="s">
        <v>905</v>
      </c>
      <c r="E128" s="4" t="s">
        <v>329</v>
      </c>
      <c r="F128" s="2" t="s">
        <v>7848</v>
      </c>
      <c r="G128" s="1">
        <v>80</v>
      </c>
      <c r="H128" s="1" t="str">
        <f t="shared" si="1"/>
        <v>huntthilmhega2</v>
      </c>
      <c r="I128" s="2" t="s">
        <v>7037</v>
      </c>
      <c r="J128" s="2"/>
      <c r="K128" s="2"/>
      <c r="L128" s="1"/>
      <c r="M128" s="1"/>
    </row>
    <row r="129" spans="1:13" x14ac:dyDescent="0.25">
      <c r="A129" s="1" t="s">
        <v>7172</v>
      </c>
      <c r="B129" s="1" t="s">
        <v>102</v>
      </c>
      <c r="C129" s="1">
        <v>128</v>
      </c>
      <c r="D129" s="4" t="s">
        <v>981</v>
      </c>
      <c r="E129" s="4" t="s">
        <v>976</v>
      </c>
      <c r="F129" s="2" t="s">
        <v>7812</v>
      </c>
      <c r="G129" s="1">
        <v>80</v>
      </c>
      <c r="H129" s="1" t="str">
        <f t="shared" si="1"/>
        <v>huntlikholusa1</v>
      </c>
      <c r="I129" s="2" t="s">
        <v>7037</v>
      </c>
      <c r="J129" s="2"/>
      <c r="K129" s="2"/>
      <c r="L129" s="1"/>
      <c r="M129" s="1"/>
    </row>
    <row r="130" spans="1:13" x14ac:dyDescent="0.25">
      <c r="A130" s="1" t="s">
        <v>7173</v>
      </c>
      <c r="B130" s="1" t="s">
        <v>102</v>
      </c>
      <c r="C130" s="1">
        <v>129</v>
      </c>
      <c r="D130" s="4" t="s">
        <v>7140</v>
      </c>
      <c r="E130" s="4" t="s">
        <v>976</v>
      </c>
      <c r="F130" s="2" t="s">
        <v>7848</v>
      </c>
      <c r="G130" s="1">
        <v>80</v>
      </c>
      <c r="H130" s="1" t="str">
        <f t="shared" ref="H130:H193" si="2">LEFT(A130,4)&amp;LOWER(LEFT(SUBSTITUTE(D130," ",""),2)&amp;LEFT(SUBSTITUTE(SUBSTITUTE(E130," ",""),"'",""),6)&amp;F130)</f>
        <v>hunthukholusa2</v>
      </c>
      <c r="I130" s="2" t="s">
        <v>7037</v>
      </c>
      <c r="J130" s="2"/>
      <c r="K130" s="2"/>
      <c r="L130" s="1"/>
      <c r="M130" s="1"/>
    </row>
    <row r="131" spans="1:13" x14ac:dyDescent="0.25">
      <c r="A131" s="1" t="s">
        <v>7174</v>
      </c>
      <c r="B131" s="1" t="s">
        <v>102</v>
      </c>
      <c r="C131" s="1">
        <v>130</v>
      </c>
      <c r="D131" s="4" t="s">
        <v>7139</v>
      </c>
      <c r="E131" s="4" t="s">
        <v>988</v>
      </c>
      <c r="F131" s="2" t="s">
        <v>7812</v>
      </c>
      <c r="G131" s="1">
        <v>80</v>
      </c>
      <c r="H131" s="1" t="str">
        <f t="shared" si="2"/>
        <v>huntmaamharaa1</v>
      </c>
      <c r="I131" s="2" t="s">
        <v>7037</v>
      </c>
      <c r="J131" s="2"/>
      <c r="K131" s="2"/>
      <c r="L131" s="1"/>
      <c r="M131" s="1"/>
    </row>
    <row r="132" spans="1:13" x14ac:dyDescent="0.25">
      <c r="A132" s="1" t="s">
        <v>7175</v>
      </c>
      <c r="B132" s="1" t="s">
        <v>102</v>
      </c>
      <c r="C132" s="1">
        <v>131</v>
      </c>
      <c r="D132" s="4" t="s">
        <v>7138</v>
      </c>
      <c r="E132" s="4" t="s">
        <v>988</v>
      </c>
      <c r="F132" s="2" t="s">
        <v>7848</v>
      </c>
      <c r="G132" s="1">
        <v>80</v>
      </c>
      <c r="H132" s="1" t="str">
        <f t="shared" si="2"/>
        <v>huntsuamharaa2</v>
      </c>
      <c r="I132" s="2" t="s">
        <v>7037</v>
      </c>
      <c r="J132" s="2"/>
      <c r="K132" s="2"/>
      <c r="L132" s="1"/>
      <c r="M132" s="1"/>
    </row>
    <row r="133" spans="1:13" x14ac:dyDescent="0.25">
      <c r="A133" s="1" t="s">
        <v>7176</v>
      </c>
      <c r="B133" s="1" t="s">
        <v>102</v>
      </c>
      <c r="C133" s="1">
        <v>132</v>
      </c>
      <c r="D133" s="4" t="s">
        <v>7137</v>
      </c>
      <c r="E133" s="4" t="s">
        <v>2221</v>
      </c>
      <c r="F133" s="2" t="s">
        <v>7812</v>
      </c>
      <c r="G133" s="1">
        <v>80</v>
      </c>
      <c r="H133" s="1" t="str">
        <f t="shared" si="2"/>
        <v>huntgrtheraka1</v>
      </c>
      <c r="I133" s="2" t="s">
        <v>7037</v>
      </c>
      <c r="J133" s="2"/>
      <c r="K133" s="2"/>
      <c r="L133" s="1"/>
      <c r="M133" s="1"/>
    </row>
    <row r="134" spans="1:13" x14ac:dyDescent="0.25">
      <c r="A134" s="1" t="s">
        <v>7177</v>
      </c>
      <c r="B134" s="1" t="s">
        <v>102</v>
      </c>
      <c r="C134" s="1">
        <v>133</v>
      </c>
      <c r="D134" s="4" t="s">
        <v>7136</v>
      </c>
      <c r="E134" s="4" t="s">
        <v>2221</v>
      </c>
      <c r="F134" s="2" t="s">
        <v>7848</v>
      </c>
      <c r="G134" s="1">
        <v>80</v>
      </c>
      <c r="H134" s="1" t="str">
        <f t="shared" si="2"/>
        <v>huntsutheraka2</v>
      </c>
      <c r="I134" s="2" t="s">
        <v>7037</v>
      </c>
      <c r="J134" s="2"/>
      <c r="K134" s="2"/>
      <c r="L134" s="1"/>
      <c r="M134" s="1"/>
    </row>
    <row r="135" spans="1:13" x14ac:dyDescent="0.25">
      <c r="A135" s="1" t="s">
        <v>7178</v>
      </c>
      <c r="B135" s="1" t="s">
        <v>102</v>
      </c>
      <c r="C135" s="1">
        <v>134</v>
      </c>
      <c r="D135" s="4" t="s">
        <v>7135</v>
      </c>
      <c r="E135" s="4" t="s">
        <v>944</v>
      </c>
      <c r="F135" s="2" t="s">
        <v>7812</v>
      </c>
      <c r="G135" s="1">
        <v>80</v>
      </c>
      <c r="H135" s="1" t="str">
        <f t="shared" si="2"/>
        <v>huntbathetema1</v>
      </c>
      <c r="I135" s="2" t="s">
        <v>7037</v>
      </c>
      <c r="J135" s="2"/>
      <c r="K135" s="2"/>
      <c r="L135" s="1"/>
      <c r="M135" s="1"/>
    </row>
    <row r="136" spans="1:13" x14ac:dyDescent="0.25">
      <c r="A136" s="1" t="s">
        <v>7179</v>
      </c>
      <c r="B136" s="1" t="s">
        <v>102</v>
      </c>
      <c r="C136" s="1">
        <v>135</v>
      </c>
      <c r="D136" s="4" t="s">
        <v>945</v>
      </c>
      <c r="E136" s="4" t="s">
        <v>944</v>
      </c>
      <c r="F136" s="2" t="s">
        <v>7848</v>
      </c>
      <c r="G136" s="1">
        <v>80</v>
      </c>
      <c r="H136" s="1" t="str">
        <f t="shared" si="2"/>
        <v>huntruthetema2</v>
      </c>
      <c r="I136" s="2" t="s">
        <v>7037</v>
      </c>
      <c r="J136" s="2"/>
      <c r="K136" s="2"/>
      <c r="L136" s="1"/>
      <c r="M136" s="1"/>
    </row>
    <row r="137" spans="1:13" x14ac:dyDescent="0.25">
      <c r="A137" s="1" t="s">
        <v>7184</v>
      </c>
      <c r="B137" s="1" t="s">
        <v>102</v>
      </c>
      <c r="C137" s="1">
        <v>136</v>
      </c>
      <c r="D137" s="1" t="s">
        <v>563</v>
      </c>
      <c r="E137" s="1" t="s">
        <v>562</v>
      </c>
      <c r="F137" s="2" t="s">
        <v>7813</v>
      </c>
      <c r="G137" s="1">
        <v>80</v>
      </c>
      <c r="H137" s="1" t="str">
        <f t="shared" si="2"/>
        <v>hunttylakelas1</v>
      </c>
      <c r="I137" s="1" t="s">
        <v>7047</v>
      </c>
      <c r="J137" s="1"/>
      <c r="K137" s="1"/>
      <c r="L137" s="1" t="s">
        <v>7048</v>
      </c>
      <c r="M137" s="3" t="s">
        <v>7321</v>
      </c>
    </row>
    <row r="138" spans="1:13" x14ac:dyDescent="0.25">
      <c r="A138" s="1" t="s">
        <v>7185</v>
      </c>
      <c r="B138" s="1" t="s">
        <v>102</v>
      </c>
      <c r="C138" s="1">
        <v>137</v>
      </c>
      <c r="D138" s="1" t="s">
        <v>330</v>
      </c>
      <c r="E138" s="1" t="s">
        <v>329</v>
      </c>
      <c r="F138" s="2" t="s">
        <v>7813</v>
      </c>
      <c r="G138" s="1">
        <v>80</v>
      </c>
      <c r="H138" s="1" t="str">
        <f t="shared" si="2"/>
        <v>huntagilmhegs1</v>
      </c>
      <c r="I138" s="1" t="s">
        <v>7047</v>
      </c>
      <c r="J138" s="1"/>
      <c r="K138" s="1"/>
      <c r="L138" s="1" t="s">
        <v>7048</v>
      </c>
      <c r="M138" s="3" t="s">
        <v>7322</v>
      </c>
    </row>
    <row r="139" spans="1:13" x14ac:dyDescent="0.25">
      <c r="A139" s="1" t="s">
        <v>7186</v>
      </c>
      <c r="B139" s="1" t="s">
        <v>102</v>
      </c>
      <c r="C139" s="1">
        <v>138</v>
      </c>
      <c r="D139" s="1" t="s">
        <v>7183</v>
      </c>
      <c r="E139" s="1" t="s">
        <v>976</v>
      </c>
      <c r="F139" s="2" t="s">
        <v>7813</v>
      </c>
      <c r="G139" s="1">
        <v>80</v>
      </c>
      <c r="H139" s="1" t="str">
        <f t="shared" si="2"/>
        <v>huntfokholuss1</v>
      </c>
      <c r="I139" s="1" t="s">
        <v>7047</v>
      </c>
      <c r="J139" s="1"/>
      <c r="K139" s="1"/>
      <c r="L139" s="1" t="s">
        <v>7048</v>
      </c>
      <c r="M139" s="3" t="s">
        <v>7323</v>
      </c>
    </row>
    <row r="140" spans="1:13" x14ac:dyDescent="0.25">
      <c r="A140" s="1" t="s">
        <v>7187</v>
      </c>
      <c r="B140" s="1" t="s">
        <v>102</v>
      </c>
      <c r="C140" s="1">
        <v>139</v>
      </c>
      <c r="D140" s="1" t="s">
        <v>7182</v>
      </c>
      <c r="E140" s="1" t="s">
        <v>988</v>
      </c>
      <c r="F140" s="2" t="s">
        <v>7813</v>
      </c>
      <c r="G140" s="1">
        <v>80</v>
      </c>
      <c r="H140" s="1" t="str">
        <f t="shared" si="2"/>
        <v>hunttaamharas1</v>
      </c>
      <c r="I140" s="1" t="s">
        <v>7047</v>
      </c>
      <c r="J140" s="1"/>
      <c r="K140" s="1"/>
      <c r="L140" s="1" t="s">
        <v>7048</v>
      </c>
      <c r="M140" s="3" t="s">
        <v>7324</v>
      </c>
    </row>
    <row r="141" spans="1:13" x14ac:dyDescent="0.25">
      <c r="A141" s="1" t="s">
        <v>7188</v>
      </c>
      <c r="B141" s="1" t="s">
        <v>102</v>
      </c>
      <c r="C141" s="1">
        <v>140</v>
      </c>
      <c r="D141" s="1" t="s">
        <v>7181</v>
      </c>
      <c r="E141" s="1" t="s">
        <v>2221</v>
      </c>
      <c r="F141" s="2" t="s">
        <v>7813</v>
      </c>
      <c r="G141" s="1">
        <v>80</v>
      </c>
      <c r="H141" s="1" t="str">
        <f t="shared" si="2"/>
        <v>huntixtheraks1</v>
      </c>
      <c r="I141" s="1" t="s">
        <v>7047</v>
      </c>
      <c r="J141" s="1"/>
      <c r="K141" s="1"/>
      <c r="L141" s="1" t="s">
        <v>7048</v>
      </c>
      <c r="M141" s="3" t="s">
        <v>7325</v>
      </c>
    </row>
    <row r="142" spans="1:13" x14ac:dyDescent="0.25">
      <c r="A142" s="1" t="s">
        <v>7189</v>
      </c>
      <c r="B142" s="1" t="s">
        <v>102</v>
      </c>
      <c r="C142" s="1">
        <v>141</v>
      </c>
      <c r="D142" s="1" t="s">
        <v>7180</v>
      </c>
      <c r="E142" s="1" t="s">
        <v>944</v>
      </c>
      <c r="F142" s="2" t="s">
        <v>7813</v>
      </c>
      <c r="G142" s="1">
        <v>80</v>
      </c>
      <c r="H142" s="1" t="str">
        <f t="shared" si="2"/>
        <v>huntguthetems1</v>
      </c>
      <c r="I142" s="1" t="s">
        <v>7047</v>
      </c>
      <c r="J142" s="1"/>
      <c r="K142" s="1"/>
      <c r="L142" s="1" t="s">
        <v>7048</v>
      </c>
      <c r="M142" s="3" t="s">
        <v>7326</v>
      </c>
    </row>
    <row r="143" spans="1:13" x14ac:dyDescent="0.25">
      <c r="A143" s="1" t="s">
        <v>7192</v>
      </c>
      <c r="B143" s="1" t="s">
        <v>102</v>
      </c>
      <c r="C143" s="1">
        <v>142</v>
      </c>
      <c r="D143" s="1" t="s">
        <v>7190</v>
      </c>
      <c r="E143" s="1" t="s">
        <v>562</v>
      </c>
      <c r="F143" s="2" t="s">
        <v>7191</v>
      </c>
      <c r="G143" s="1">
        <v>80</v>
      </c>
      <c r="H143" s="1" t="str">
        <f t="shared" si="2"/>
        <v>huntfolakelass</v>
      </c>
      <c r="I143" s="1" t="s">
        <v>7047</v>
      </c>
      <c r="J143" s="1"/>
      <c r="K143" s="1"/>
      <c r="L143" s="1" t="s">
        <v>7048</v>
      </c>
      <c r="M143" s="3" t="s">
        <v>7327</v>
      </c>
    </row>
    <row r="144" spans="1:13" x14ac:dyDescent="0.25">
      <c r="A144" s="1" t="s">
        <v>7222</v>
      </c>
      <c r="B144" s="1" t="s">
        <v>102</v>
      </c>
      <c r="C144" s="1">
        <v>143</v>
      </c>
      <c r="D144" s="1" t="s">
        <v>7190</v>
      </c>
      <c r="E144" s="1" t="s">
        <v>976</v>
      </c>
      <c r="F144" s="2" t="s">
        <v>7191</v>
      </c>
      <c r="G144" s="1">
        <v>80</v>
      </c>
      <c r="H144" s="1" t="str">
        <f t="shared" si="2"/>
        <v>huntfokholusss</v>
      </c>
      <c r="I144" s="1" t="s">
        <v>7047</v>
      </c>
      <c r="J144" s="1"/>
      <c r="K144" s="1"/>
      <c r="L144" s="1" t="s">
        <v>7048</v>
      </c>
      <c r="M144" s="3" t="s">
        <v>7327</v>
      </c>
    </row>
    <row r="145" spans="1:13" x14ac:dyDescent="0.25">
      <c r="A145" s="1" t="s">
        <v>7223</v>
      </c>
      <c r="B145" s="1" t="s">
        <v>102</v>
      </c>
      <c r="C145" s="1">
        <v>144</v>
      </c>
      <c r="D145" s="1" t="s">
        <v>7190</v>
      </c>
      <c r="E145" s="1" t="s">
        <v>2221</v>
      </c>
      <c r="F145" s="2" t="s">
        <v>7191</v>
      </c>
      <c r="G145" s="1">
        <v>80</v>
      </c>
      <c r="H145" s="1" t="str">
        <f t="shared" si="2"/>
        <v>huntfotherakss</v>
      </c>
      <c r="I145" s="1" t="s">
        <v>7047</v>
      </c>
      <c r="J145" s="1"/>
      <c r="K145" s="1"/>
      <c r="L145" s="1" t="s">
        <v>7048</v>
      </c>
      <c r="M145" s="3" t="s">
        <v>7327</v>
      </c>
    </row>
    <row r="146" spans="1:13" x14ac:dyDescent="0.25">
      <c r="A146" s="1" t="s">
        <v>7224</v>
      </c>
      <c r="B146" s="1" t="s">
        <v>102</v>
      </c>
      <c r="C146" s="1">
        <v>145</v>
      </c>
      <c r="D146" s="1" t="s">
        <v>7190</v>
      </c>
      <c r="E146" s="1" t="s">
        <v>988</v>
      </c>
      <c r="F146" s="2" t="s">
        <v>7191</v>
      </c>
      <c r="G146" s="1">
        <v>80</v>
      </c>
      <c r="H146" s="1" t="str">
        <f t="shared" si="2"/>
        <v>huntfoamharass</v>
      </c>
      <c r="I146" s="1" t="s">
        <v>7047</v>
      </c>
      <c r="J146" s="1"/>
      <c r="K146" s="1"/>
      <c r="L146" s="1" t="s">
        <v>7048</v>
      </c>
      <c r="M146" s="3" t="s">
        <v>7327</v>
      </c>
    </row>
    <row r="147" spans="1:13" x14ac:dyDescent="0.25">
      <c r="A147" s="1" t="s">
        <v>7225</v>
      </c>
      <c r="B147" s="1" t="s">
        <v>102</v>
      </c>
      <c r="C147" s="1">
        <v>146</v>
      </c>
      <c r="D147" s="1" t="s">
        <v>7190</v>
      </c>
      <c r="E147" s="1" t="s">
        <v>329</v>
      </c>
      <c r="F147" s="2" t="s">
        <v>7191</v>
      </c>
      <c r="G147" s="1">
        <v>80</v>
      </c>
      <c r="H147" s="1" t="str">
        <f t="shared" si="2"/>
        <v>huntfoilmhegss</v>
      </c>
      <c r="I147" s="1" t="s">
        <v>7047</v>
      </c>
      <c r="J147" s="1"/>
      <c r="K147" s="1"/>
      <c r="L147" s="1" t="s">
        <v>7048</v>
      </c>
      <c r="M147" s="3" t="s">
        <v>7327</v>
      </c>
    </row>
    <row r="148" spans="1:13" x14ac:dyDescent="0.25">
      <c r="A148" s="1" t="s">
        <v>7226</v>
      </c>
      <c r="B148" s="1" t="s">
        <v>102</v>
      </c>
      <c r="C148" s="1">
        <v>147</v>
      </c>
      <c r="D148" s="1" t="s">
        <v>7190</v>
      </c>
      <c r="E148" s="1" t="s">
        <v>944</v>
      </c>
      <c r="F148" s="2" t="s">
        <v>7191</v>
      </c>
      <c r="G148" s="1">
        <v>80</v>
      </c>
      <c r="H148" s="1" t="str">
        <f t="shared" si="2"/>
        <v>huntfothetemss</v>
      </c>
      <c r="I148" s="1" t="s">
        <v>7047</v>
      </c>
      <c r="J148" s="1"/>
      <c r="K148" s="1"/>
      <c r="L148" s="1" t="s">
        <v>7048</v>
      </c>
      <c r="M148" s="3" t="s">
        <v>7327</v>
      </c>
    </row>
    <row r="149" spans="1:13" x14ac:dyDescent="0.25">
      <c r="A149" s="1" t="s">
        <v>7227</v>
      </c>
      <c r="B149" s="1" t="s">
        <v>133</v>
      </c>
      <c r="C149" s="1">
        <v>148</v>
      </c>
      <c r="D149" s="1" t="s">
        <v>7221</v>
      </c>
      <c r="E149" s="1" t="s">
        <v>2320</v>
      </c>
      <c r="F149" s="2" t="s">
        <v>7811</v>
      </c>
      <c r="G149" s="1">
        <v>90</v>
      </c>
      <c r="H149" s="1" t="str">
        <f t="shared" si="2"/>
        <v>huntü-labyrib1</v>
      </c>
      <c r="I149" s="2" t="s">
        <v>7089</v>
      </c>
      <c r="J149" s="2"/>
      <c r="K149" s="2"/>
      <c r="L149" s="1"/>
      <c r="M149" s="1"/>
    </row>
    <row r="150" spans="1:13" x14ac:dyDescent="0.25">
      <c r="A150" s="1" t="s">
        <v>7228</v>
      </c>
      <c r="B150" s="1" t="s">
        <v>133</v>
      </c>
      <c r="C150" s="1">
        <v>149</v>
      </c>
      <c r="D150" s="1" t="s">
        <v>7220</v>
      </c>
      <c r="E150" s="1" t="s">
        <v>2320</v>
      </c>
      <c r="F150" s="2" t="s">
        <v>7814</v>
      </c>
      <c r="G150" s="1">
        <v>90</v>
      </c>
      <c r="H150" s="1" t="str">
        <f t="shared" si="2"/>
        <v>huntgrlabyrib2</v>
      </c>
      <c r="I150" s="2" t="s">
        <v>7089</v>
      </c>
      <c r="J150" s="2"/>
      <c r="K150" s="2"/>
      <c r="L150" s="1"/>
      <c r="M150" s="1"/>
    </row>
    <row r="151" spans="1:13" x14ac:dyDescent="0.25">
      <c r="A151" s="1" t="s">
        <v>7229</v>
      </c>
      <c r="B151" s="1" t="s">
        <v>133</v>
      </c>
      <c r="C151" s="1">
        <v>150</v>
      </c>
      <c r="D151" s="1" t="s">
        <v>7219</v>
      </c>
      <c r="E151" s="1" t="s">
        <v>837</v>
      </c>
      <c r="F151" s="2" t="s">
        <v>7811</v>
      </c>
      <c r="G151" s="1">
        <v>90</v>
      </c>
      <c r="H151" s="1" t="str">
        <f t="shared" si="2"/>
        <v>huntirthavnab1</v>
      </c>
      <c r="I151" s="2" t="s">
        <v>7089</v>
      </c>
      <c r="J151" s="2"/>
      <c r="K151" s="2"/>
      <c r="L151" s="1"/>
      <c r="M151" s="1"/>
    </row>
    <row r="152" spans="1:13" x14ac:dyDescent="0.25">
      <c r="A152" s="1" t="s">
        <v>7230</v>
      </c>
      <c r="B152" s="1" t="s">
        <v>133</v>
      </c>
      <c r="C152" s="1">
        <v>151</v>
      </c>
      <c r="D152" s="1" t="s">
        <v>991</v>
      </c>
      <c r="E152" s="1" t="s">
        <v>837</v>
      </c>
      <c r="F152" s="2" t="s">
        <v>7814</v>
      </c>
      <c r="G152" s="1">
        <v>90</v>
      </c>
      <c r="H152" s="1" t="str">
        <f t="shared" si="2"/>
        <v>huntvathavnab2</v>
      </c>
      <c r="I152" s="2" t="s">
        <v>7089</v>
      </c>
      <c r="J152" s="2"/>
      <c r="K152" s="2"/>
      <c r="L152" s="1"/>
      <c r="M152" s="1"/>
    </row>
    <row r="153" spans="1:13" x14ac:dyDescent="0.25">
      <c r="A153" s="1" t="s">
        <v>7231</v>
      </c>
      <c r="B153" s="1" t="s">
        <v>133</v>
      </c>
      <c r="C153" s="1">
        <v>152</v>
      </c>
      <c r="D153" s="1" t="s">
        <v>7218</v>
      </c>
      <c r="E153" s="1" t="s">
        <v>2407</v>
      </c>
      <c r="F153" s="2" t="s">
        <v>7811</v>
      </c>
      <c r="G153" s="1">
        <v>90</v>
      </c>
      <c r="H153" s="1" t="str">
        <f t="shared" si="2"/>
        <v>huntemgarlemb1</v>
      </c>
      <c r="I153" s="2" t="s">
        <v>7089</v>
      </c>
      <c r="J153" s="2"/>
      <c r="K153" s="2"/>
      <c r="L153" s="1"/>
      <c r="M153" s="1"/>
    </row>
    <row r="154" spans="1:13" x14ac:dyDescent="0.25">
      <c r="A154" s="1" t="s">
        <v>7232</v>
      </c>
      <c r="B154" s="1" t="s">
        <v>133</v>
      </c>
      <c r="C154" s="1">
        <v>153</v>
      </c>
      <c r="D154" s="1" t="s">
        <v>7217</v>
      </c>
      <c r="E154" s="1" t="s">
        <v>2407</v>
      </c>
      <c r="F154" s="2" t="s">
        <v>7814</v>
      </c>
      <c r="G154" s="1">
        <v>90</v>
      </c>
      <c r="H154" s="1" t="str">
        <f t="shared" si="2"/>
        <v>huntwagarlemb2</v>
      </c>
      <c r="I154" s="2" t="s">
        <v>7089</v>
      </c>
      <c r="J154" s="2"/>
      <c r="K154" s="2"/>
      <c r="L154" s="1"/>
      <c r="M154" s="1"/>
    </row>
    <row r="155" spans="1:13" x14ac:dyDescent="0.25">
      <c r="A155" s="1" t="s">
        <v>7233</v>
      </c>
      <c r="B155" s="1" t="s">
        <v>133</v>
      </c>
      <c r="C155" s="1">
        <v>154</v>
      </c>
      <c r="D155" s="1" t="s">
        <v>7216</v>
      </c>
      <c r="E155" s="1" t="s">
        <v>2443</v>
      </c>
      <c r="F155" s="2" t="s">
        <v>7811</v>
      </c>
      <c r="G155" s="1">
        <v>90</v>
      </c>
      <c r="H155" s="1" t="str">
        <f t="shared" si="2"/>
        <v>huntgemarelab1</v>
      </c>
      <c r="I155" s="2" t="s">
        <v>7089</v>
      </c>
      <c r="J155" s="2"/>
      <c r="K155" s="2"/>
      <c r="L155" s="1"/>
      <c r="M155" s="1"/>
    </row>
    <row r="156" spans="1:13" x14ac:dyDescent="0.25">
      <c r="A156" s="1" t="s">
        <v>7234</v>
      </c>
      <c r="B156" s="1" t="s">
        <v>133</v>
      </c>
      <c r="C156" s="1">
        <v>155</v>
      </c>
      <c r="D156" s="1" t="s">
        <v>7215</v>
      </c>
      <c r="E156" s="1" t="s">
        <v>2443</v>
      </c>
      <c r="F156" s="2" t="s">
        <v>7814</v>
      </c>
      <c r="G156" s="1">
        <v>90</v>
      </c>
      <c r="H156" s="1" t="str">
        <f t="shared" si="2"/>
        <v>huntdamarelab2</v>
      </c>
      <c r="I156" s="2" t="s">
        <v>7089</v>
      </c>
      <c r="J156" s="2"/>
      <c r="K156" s="2"/>
      <c r="L156" s="1"/>
      <c r="M156" s="1"/>
    </row>
    <row r="157" spans="1:13" x14ac:dyDescent="0.25">
      <c r="A157" s="1" t="s">
        <v>7235</v>
      </c>
      <c r="B157" s="1" t="s">
        <v>133</v>
      </c>
      <c r="C157" s="1">
        <v>156</v>
      </c>
      <c r="D157" s="1" t="s">
        <v>7214</v>
      </c>
      <c r="E157" s="1" t="s">
        <v>2518</v>
      </c>
      <c r="F157" s="2" t="s">
        <v>7811</v>
      </c>
      <c r="G157" s="1">
        <v>90</v>
      </c>
      <c r="H157" s="1" t="str">
        <f t="shared" si="2"/>
        <v>huntshelpisb1</v>
      </c>
      <c r="I157" s="2" t="s">
        <v>7089</v>
      </c>
      <c r="J157" s="2"/>
      <c r="K157" s="2"/>
      <c r="L157" s="1"/>
      <c r="M157" s="1"/>
    </row>
    <row r="158" spans="1:13" x14ac:dyDescent="0.25">
      <c r="A158" s="1" t="s">
        <v>7236</v>
      </c>
      <c r="B158" s="1" t="s">
        <v>133</v>
      </c>
      <c r="C158" s="1">
        <v>157</v>
      </c>
      <c r="D158" s="1" t="s">
        <v>7213</v>
      </c>
      <c r="E158" s="1" t="s">
        <v>2518</v>
      </c>
      <c r="F158" s="2" t="s">
        <v>7814</v>
      </c>
      <c r="G158" s="1">
        <v>90</v>
      </c>
      <c r="H158" s="1" t="str">
        <f t="shared" si="2"/>
        <v>huntyuelpisb2</v>
      </c>
      <c r="I158" s="2" t="s">
        <v>7089</v>
      </c>
      <c r="J158" s="2"/>
      <c r="K158" s="2"/>
      <c r="L158" s="1"/>
      <c r="M158" s="1"/>
    </row>
    <row r="159" spans="1:13" x14ac:dyDescent="0.25">
      <c r="A159" s="1" t="s">
        <v>7237</v>
      </c>
      <c r="B159" s="1" t="s">
        <v>133</v>
      </c>
      <c r="C159" s="1">
        <v>158</v>
      </c>
      <c r="D159" s="1" t="s">
        <v>7212</v>
      </c>
      <c r="E159" s="1" t="s">
        <v>2481</v>
      </c>
      <c r="F159" s="2" t="s">
        <v>7811</v>
      </c>
      <c r="G159" s="1">
        <v>90</v>
      </c>
      <c r="H159" s="1" t="str">
        <f t="shared" si="2"/>
        <v>huntosultimab1</v>
      </c>
      <c r="I159" s="2" t="s">
        <v>7089</v>
      </c>
      <c r="J159" s="2"/>
      <c r="K159" s="2"/>
      <c r="L159" s="1"/>
      <c r="M159" s="1"/>
    </row>
    <row r="160" spans="1:13" x14ac:dyDescent="0.25">
      <c r="A160" s="1" t="s">
        <v>7238</v>
      </c>
      <c r="B160" s="1" t="s">
        <v>133</v>
      </c>
      <c r="C160" s="1">
        <v>159</v>
      </c>
      <c r="D160" s="1" t="s">
        <v>7211</v>
      </c>
      <c r="E160" s="1" t="s">
        <v>2481</v>
      </c>
      <c r="F160" s="2" t="s">
        <v>7814</v>
      </c>
      <c r="G160" s="1">
        <v>90</v>
      </c>
      <c r="H160" s="1" t="str">
        <f t="shared" si="2"/>
        <v>huntleultimab2</v>
      </c>
      <c r="I160" s="2" t="s">
        <v>7089</v>
      </c>
      <c r="J160" s="2"/>
      <c r="K160" s="2"/>
      <c r="L160" s="1"/>
      <c r="M160" s="1"/>
    </row>
    <row r="161" spans="1:13" x14ac:dyDescent="0.25">
      <c r="A161" s="1" t="s">
        <v>7239</v>
      </c>
      <c r="B161" s="1" t="s">
        <v>133</v>
      </c>
      <c r="C161" s="1">
        <v>160</v>
      </c>
      <c r="D161" s="1" t="s">
        <v>7210</v>
      </c>
      <c r="E161" s="1" t="s">
        <v>2320</v>
      </c>
      <c r="F161" s="2" t="s">
        <v>7812</v>
      </c>
      <c r="G161" s="1">
        <v>90</v>
      </c>
      <c r="H161" s="1" t="str">
        <f t="shared" si="2"/>
        <v>hunthulabyria1</v>
      </c>
      <c r="I161" s="2" t="s">
        <v>7037</v>
      </c>
      <c r="J161" s="2"/>
      <c r="K161" s="2"/>
      <c r="L161" s="1"/>
      <c r="M161" s="1"/>
    </row>
    <row r="162" spans="1:13" x14ac:dyDescent="0.25">
      <c r="A162" s="1" t="s">
        <v>7240</v>
      </c>
      <c r="B162" s="1" t="s">
        <v>133</v>
      </c>
      <c r="C162" s="1">
        <v>161</v>
      </c>
      <c r="D162" s="1" t="s">
        <v>7209</v>
      </c>
      <c r="E162" s="1" t="s">
        <v>2320</v>
      </c>
      <c r="F162" s="2" t="s">
        <v>7848</v>
      </c>
      <c r="G162" s="1">
        <v>90</v>
      </c>
      <c r="H162" s="1" t="str">
        <f t="shared" si="2"/>
        <v>huntstlabyria2</v>
      </c>
      <c r="I162" s="2" t="s">
        <v>7037</v>
      </c>
      <c r="J162" s="2"/>
      <c r="K162" s="2"/>
      <c r="L162" s="1"/>
      <c r="M162" s="1"/>
    </row>
    <row r="163" spans="1:13" x14ac:dyDescent="0.25">
      <c r="A163" s="1" t="s">
        <v>7241</v>
      </c>
      <c r="B163" s="1" t="s">
        <v>133</v>
      </c>
      <c r="C163" s="1">
        <v>162</v>
      </c>
      <c r="D163" s="1" t="s">
        <v>7208</v>
      </c>
      <c r="E163" s="1" t="s">
        <v>837</v>
      </c>
      <c r="F163" s="2" t="s">
        <v>7812</v>
      </c>
      <c r="G163" s="1">
        <v>90</v>
      </c>
      <c r="H163" s="1" t="str">
        <f t="shared" si="2"/>
        <v>huntsuthavnaa1</v>
      </c>
      <c r="I163" s="2" t="s">
        <v>7037</v>
      </c>
      <c r="J163" s="2"/>
      <c r="K163" s="2"/>
      <c r="L163" s="1"/>
      <c r="M163" s="1"/>
    </row>
    <row r="164" spans="1:13" x14ac:dyDescent="0.25">
      <c r="A164" s="1" t="s">
        <v>7242</v>
      </c>
      <c r="B164" s="1" t="s">
        <v>133</v>
      </c>
      <c r="C164" s="1">
        <v>163</v>
      </c>
      <c r="D164" s="1" t="s">
        <v>838</v>
      </c>
      <c r="E164" s="1" t="s">
        <v>837</v>
      </c>
      <c r="F164" s="2" t="s">
        <v>7848</v>
      </c>
      <c r="G164" s="1">
        <v>90</v>
      </c>
      <c r="H164" s="1" t="str">
        <f t="shared" si="2"/>
        <v>huntyithavnaa2</v>
      </c>
      <c r="I164" s="2" t="s">
        <v>7037</v>
      </c>
      <c r="J164" s="2"/>
      <c r="K164" s="2"/>
      <c r="L164" s="1"/>
      <c r="M164" s="1"/>
    </row>
    <row r="165" spans="1:13" x14ac:dyDescent="0.25">
      <c r="A165" s="1" t="s">
        <v>7243</v>
      </c>
      <c r="B165" s="1" t="s">
        <v>133</v>
      </c>
      <c r="C165" s="1">
        <v>164</v>
      </c>
      <c r="D165" s="1" t="s">
        <v>7207</v>
      </c>
      <c r="E165" s="1" t="s">
        <v>2407</v>
      </c>
      <c r="F165" s="2" t="s">
        <v>7812</v>
      </c>
      <c r="G165" s="1">
        <v>90</v>
      </c>
      <c r="H165" s="1" t="str">
        <f t="shared" si="2"/>
        <v>huntaegarlema1</v>
      </c>
      <c r="I165" s="2" t="s">
        <v>7037</v>
      </c>
      <c r="J165" s="2"/>
      <c r="K165" s="2"/>
      <c r="L165" s="1"/>
      <c r="M165" s="1"/>
    </row>
    <row r="166" spans="1:13" x14ac:dyDescent="0.25">
      <c r="A166" s="1" t="s">
        <v>7244</v>
      </c>
      <c r="B166" s="1" t="s">
        <v>133</v>
      </c>
      <c r="C166" s="1">
        <v>165</v>
      </c>
      <c r="D166" s="1" t="s">
        <v>7206</v>
      </c>
      <c r="E166" s="1" t="s">
        <v>2407</v>
      </c>
      <c r="F166" s="2" t="s">
        <v>7848</v>
      </c>
      <c r="G166" s="1">
        <v>90</v>
      </c>
      <c r="H166" s="1" t="str">
        <f t="shared" si="2"/>
        <v>huntmigarlema2</v>
      </c>
      <c r="I166" s="2" t="s">
        <v>7037</v>
      </c>
      <c r="J166" s="2"/>
      <c r="K166" s="2"/>
      <c r="L166" s="1"/>
      <c r="M166" s="1"/>
    </row>
    <row r="167" spans="1:13" x14ac:dyDescent="0.25">
      <c r="A167" s="1" t="s">
        <v>7245</v>
      </c>
      <c r="B167" s="1" t="s">
        <v>133</v>
      </c>
      <c r="C167" s="1">
        <v>166</v>
      </c>
      <c r="D167" s="1" t="s">
        <v>7205</v>
      </c>
      <c r="E167" s="1" t="s">
        <v>2443</v>
      </c>
      <c r="F167" s="2" t="s">
        <v>7812</v>
      </c>
      <c r="G167" s="1">
        <v>90</v>
      </c>
      <c r="H167" s="1" t="str">
        <f t="shared" si="2"/>
        <v>huntmomarelaa1</v>
      </c>
      <c r="I167" s="2" t="s">
        <v>7037</v>
      </c>
      <c r="J167" s="2"/>
      <c r="K167" s="2"/>
      <c r="L167" s="1"/>
      <c r="M167" s="1"/>
    </row>
    <row r="168" spans="1:13" x14ac:dyDescent="0.25">
      <c r="A168" s="1" t="s">
        <v>7246</v>
      </c>
      <c r="B168" s="1" t="s">
        <v>133</v>
      </c>
      <c r="C168" s="1">
        <v>167</v>
      </c>
      <c r="D168" s="1" t="s">
        <v>7204</v>
      </c>
      <c r="E168" s="1" t="s">
        <v>2443</v>
      </c>
      <c r="F168" s="2" t="s">
        <v>7848</v>
      </c>
      <c r="G168" s="1">
        <v>90</v>
      </c>
      <c r="H168" s="1" t="str">
        <f t="shared" si="2"/>
        <v>huntlumarelaa2</v>
      </c>
      <c r="I168" s="2" t="s">
        <v>7037</v>
      </c>
      <c r="J168" s="2"/>
      <c r="K168" s="2"/>
      <c r="L168" s="1"/>
      <c r="M168" s="1"/>
    </row>
    <row r="169" spans="1:13" x14ac:dyDescent="0.25">
      <c r="A169" s="1" t="s">
        <v>7247</v>
      </c>
      <c r="B169" s="1" t="s">
        <v>133</v>
      </c>
      <c r="C169" s="1">
        <v>168</v>
      </c>
      <c r="D169" s="1" t="s">
        <v>7203</v>
      </c>
      <c r="E169" s="1" t="s">
        <v>2518</v>
      </c>
      <c r="F169" s="2" t="s">
        <v>7812</v>
      </c>
      <c r="G169" s="1">
        <v>90</v>
      </c>
      <c r="H169" s="1" t="str">
        <f t="shared" si="2"/>
        <v>huntpeelpisa1</v>
      </c>
      <c r="I169" s="2" t="s">
        <v>7037</v>
      </c>
      <c r="J169" s="2"/>
      <c r="K169" s="2"/>
      <c r="L169" s="1"/>
      <c r="M169" s="1"/>
    </row>
    <row r="170" spans="1:13" x14ac:dyDescent="0.25">
      <c r="A170" s="1" t="s">
        <v>7248</v>
      </c>
      <c r="B170" s="1" t="s">
        <v>133</v>
      </c>
      <c r="C170" s="1">
        <v>169</v>
      </c>
      <c r="D170" s="1" t="s">
        <v>7202</v>
      </c>
      <c r="E170" s="1" t="s">
        <v>2518</v>
      </c>
      <c r="F170" s="2" t="s">
        <v>7848</v>
      </c>
      <c r="G170" s="1">
        <v>90</v>
      </c>
      <c r="H170" s="1" t="str">
        <f t="shared" si="2"/>
        <v>huntguelpisa2</v>
      </c>
      <c r="I170" s="2" t="s">
        <v>7037</v>
      </c>
      <c r="J170" s="2"/>
      <c r="K170" s="2"/>
      <c r="L170" s="1"/>
      <c r="M170" s="1"/>
    </row>
    <row r="171" spans="1:13" x14ac:dyDescent="0.25">
      <c r="A171" s="1" t="s">
        <v>7249</v>
      </c>
      <c r="B171" s="1" t="s">
        <v>133</v>
      </c>
      <c r="C171" s="1">
        <v>170</v>
      </c>
      <c r="D171" s="1" t="s">
        <v>7201</v>
      </c>
      <c r="E171" s="1" t="s">
        <v>2481</v>
      </c>
      <c r="F171" s="2" t="s">
        <v>7812</v>
      </c>
      <c r="G171" s="1">
        <v>90</v>
      </c>
      <c r="H171" s="1" t="str">
        <f t="shared" si="2"/>
        <v>huntarultimaa1</v>
      </c>
      <c r="I171" s="2" t="s">
        <v>7037</v>
      </c>
      <c r="J171" s="2"/>
      <c r="K171" s="2"/>
      <c r="L171" s="1"/>
      <c r="M171" s="1"/>
    </row>
    <row r="172" spans="1:13" x14ac:dyDescent="0.25">
      <c r="A172" s="1" t="s">
        <v>7250</v>
      </c>
      <c r="B172" s="1" t="s">
        <v>133</v>
      </c>
      <c r="C172" s="1">
        <v>171</v>
      </c>
      <c r="D172" s="1" t="s">
        <v>7200</v>
      </c>
      <c r="E172" s="1" t="s">
        <v>2481</v>
      </c>
      <c r="F172" s="2" t="s">
        <v>7848</v>
      </c>
      <c r="G172" s="1">
        <v>90</v>
      </c>
      <c r="H172" s="1" t="str">
        <f t="shared" si="2"/>
        <v>huntfaultimaa2</v>
      </c>
      <c r="I172" s="2" t="s">
        <v>7037</v>
      </c>
      <c r="J172" s="2"/>
      <c r="K172" s="2"/>
      <c r="L172" s="1"/>
      <c r="M172" s="1"/>
    </row>
    <row r="173" spans="1:13" x14ac:dyDescent="0.25">
      <c r="A173" s="1" t="s">
        <v>7251</v>
      </c>
      <c r="B173" s="1" t="s">
        <v>133</v>
      </c>
      <c r="C173" s="1">
        <v>172</v>
      </c>
      <c r="D173" s="1" t="s">
        <v>7199</v>
      </c>
      <c r="E173" s="1" t="s">
        <v>2320</v>
      </c>
      <c r="F173" s="2" t="s">
        <v>7813</v>
      </c>
      <c r="G173" s="1">
        <v>90</v>
      </c>
      <c r="H173" s="1" t="str">
        <f t="shared" si="2"/>
        <v>huntbulabyris1</v>
      </c>
      <c r="I173" s="1" t="s">
        <v>7047</v>
      </c>
      <c r="J173" s="1" t="s">
        <v>5893</v>
      </c>
      <c r="K173" s="1" t="s">
        <v>5892</v>
      </c>
      <c r="L173" s="1" t="s">
        <v>7048</v>
      </c>
      <c r="M173" s="3" t="s">
        <v>7329</v>
      </c>
    </row>
    <row r="174" spans="1:13" x14ac:dyDescent="0.25">
      <c r="A174" s="1" t="s">
        <v>7252</v>
      </c>
      <c r="B174" s="1" t="s">
        <v>133</v>
      </c>
      <c r="C174" s="1">
        <v>173</v>
      </c>
      <c r="D174" s="1" t="s">
        <v>7198</v>
      </c>
      <c r="E174" s="1" t="s">
        <v>837</v>
      </c>
      <c r="F174" s="2" t="s">
        <v>7813</v>
      </c>
      <c r="G174" s="1">
        <v>90</v>
      </c>
      <c r="H174" s="1" t="str">
        <f t="shared" si="2"/>
        <v>huntspthavnas1</v>
      </c>
      <c r="I174" s="1" t="s">
        <v>7047</v>
      </c>
      <c r="J174" s="1"/>
      <c r="K174" s="1"/>
      <c r="L174" s="1" t="s">
        <v>7048</v>
      </c>
      <c r="M174" s="3" t="s">
        <v>7330</v>
      </c>
    </row>
    <row r="175" spans="1:13" x14ac:dyDescent="0.25">
      <c r="A175" s="1" t="s">
        <v>7283</v>
      </c>
      <c r="B175" s="1" t="s">
        <v>133</v>
      </c>
      <c r="C175" s="1">
        <v>174</v>
      </c>
      <c r="D175" s="1" t="s">
        <v>7197</v>
      </c>
      <c r="E175" s="1" t="s">
        <v>2407</v>
      </c>
      <c r="F175" s="2" t="s">
        <v>7813</v>
      </c>
      <c r="G175" s="1">
        <v>90</v>
      </c>
      <c r="H175" s="1" t="str">
        <f t="shared" si="2"/>
        <v>huntargarlems1</v>
      </c>
      <c r="I175" s="1" t="s">
        <v>7047</v>
      </c>
      <c r="J175" s="1"/>
      <c r="K175" s="1"/>
      <c r="L175" s="1" t="s">
        <v>7048</v>
      </c>
      <c r="M175" s="3" t="s">
        <v>7331</v>
      </c>
    </row>
    <row r="176" spans="1:13" x14ac:dyDescent="0.25">
      <c r="A176" s="1" t="s">
        <v>7284</v>
      </c>
      <c r="B176" s="1" t="s">
        <v>133</v>
      </c>
      <c r="C176" s="1">
        <v>175</v>
      </c>
      <c r="D176" s="1" t="s">
        <v>7196</v>
      </c>
      <c r="E176" s="1" t="s">
        <v>2443</v>
      </c>
      <c r="F176" s="2" t="s">
        <v>7813</v>
      </c>
      <c r="G176" s="1">
        <v>90</v>
      </c>
      <c r="H176" s="1" t="str">
        <f t="shared" si="2"/>
        <v>huntrumarelas1</v>
      </c>
      <c r="I176" s="1" t="s">
        <v>7047</v>
      </c>
      <c r="J176" s="1"/>
      <c r="K176" s="1"/>
      <c r="L176" s="1" t="s">
        <v>7048</v>
      </c>
      <c r="M176" s="3" t="s">
        <v>7332</v>
      </c>
    </row>
    <row r="177" spans="1:13" x14ac:dyDescent="0.25">
      <c r="A177" s="1" t="s">
        <v>7285</v>
      </c>
      <c r="B177" s="1" t="s">
        <v>133</v>
      </c>
      <c r="C177" s="1">
        <v>176</v>
      </c>
      <c r="D177" s="1" t="s">
        <v>7195</v>
      </c>
      <c r="E177" s="1" t="s">
        <v>2518</v>
      </c>
      <c r="F177" s="2" t="s">
        <v>7813</v>
      </c>
      <c r="G177" s="1">
        <v>90</v>
      </c>
      <c r="H177" s="1" t="str">
        <f t="shared" si="2"/>
        <v>huntopelpiss1</v>
      </c>
      <c r="I177" s="1" t="s">
        <v>7047</v>
      </c>
      <c r="J177" s="1"/>
      <c r="K177" s="1"/>
      <c r="L177" s="1" t="s">
        <v>7048</v>
      </c>
      <c r="M177" s="3" t="s">
        <v>7333</v>
      </c>
    </row>
    <row r="178" spans="1:13" x14ac:dyDescent="0.25">
      <c r="A178" s="1" t="s">
        <v>7286</v>
      </c>
      <c r="B178" s="1" t="s">
        <v>133</v>
      </c>
      <c r="C178" s="1">
        <v>177</v>
      </c>
      <c r="D178" s="1" t="s">
        <v>7194</v>
      </c>
      <c r="E178" s="1" t="s">
        <v>2481</v>
      </c>
      <c r="F178" s="2" t="s">
        <v>7813</v>
      </c>
      <c r="G178" s="1">
        <v>90</v>
      </c>
      <c r="H178" s="1" t="str">
        <f t="shared" si="2"/>
        <v>huntnaultimas1</v>
      </c>
      <c r="I178" s="1" t="s">
        <v>7047</v>
      </c>
      <c r="J178" s="1"/>
      <c r="K178" s="1"/>
      <c r="L178" s="1" t="s">
        <v>7048</v>
      </c>
      <c r="M178" s="3" t="s">
        <v>7334</v>
      </c>
    </row>
    <row r="179" spans="1:13" x14ac:dyDescent="0.25">
      <c r="A179" s="1" t="s">
        <v>7287</v>
      </c>
      <c r="B179" s="1" t="s">
        <v>133</v>
      </c>
      <c r="C179" s="1">
        <v>178</v>
      </c>
      <c r="D179" s="1" t="s">
        <v>7193</v>
      </c>
      <c r="E179" s="1" t="s">
        <v>2320</v>
      </c>
      <c r="F179" s="2" t="s">
        <v>7191</v>
      </c>
      <c r="G179" s="1">
        <v>90</v>
      </c>
      <c r="H179" s="1" t="str">
        <f t="shared" si="2"/>
        <v>huntkelabyriss</v>
      </c>
      <c r="I179" s="1" t="s">
        <v>7047</v>
      </c>
      <c r="J179" s="1"/>
      <c r="K179" s="1"/>
      <c r="L179" s="1" t="s">
        <v>7048</v>
      </c>
      <c r="M179" s="3" t="s">
        <v>7328</v>
      </c>
    </row>
    <row r="180" spans="1:13" x14ac:dyDescent="0.25">
      <c r="A180" s="1" t="s">
        <v>7288</v>
      </c>
      <c r="B180" s="1" t="s">
        <v>133</v>
      </c>
      <c r="C180" s="1">
        <v>179</v>
      </c>
      <c r="D180" s="1" t="s">
        <v>7193</v>
      </c>
      <c r="E180" s="1" t="s">
        <v>837</v>
      </c>
      <c r="F180" s="2" t="s">
        <v>7191</v>
      </c>
      <c r="G180" s="1">
        <v>90</v>
      </c>
      <c r="H180" s="1" t="str">
        <f t="shared" si="2"/>
        <v>huntkethavnass</v>
      </c>
      <c r="I180" s="1" t="s">
        <v>7047</v>
      </c>
      <c r="J180" s="1"/>
      <c r="K180" s="1"/>
      <c r="L180" s="1" t="s">
        <v>7048</v>
      </c>
      <c r="M180" s="3" t="s">
        <v>7328</v>
      </c>
    </row>
    <row r="181" spans="1:13" x14ac:dyDescent="0.25">
      <c r="A181" s="1" t="s">
        <v>7289</v>
      </c>
      <c r="B181" s="1" t="s">
        <v>133</v>
      </c>
      <c r="C181" s="1">
        <v>180</v>
      </c>
      <c r="D181" s="1" t="s">
        <v>7193</v>
      </c>
      <c r="E181" s="1" t="s">
        <v>2407</v>
      </c>
      <c r="F181" s="2" t="s">
        <v>7191</v>
      </c>
      <c r="G181" s="1">
        <v>90</v>
      </c>
      <c r="H181" s="1" t="str">
        <f t="shared" si="2"/>
        <v>huntkegarlemss</v>
      </c>
      <c r="I181" s="1" t="s">
        <v>7047</v>
      </c>
      <c r="J181" s="1"/>
      <c r="K181" s="1"/>
      <c r="L181" s="1" t="s">
        <v>7048</v>
      </c>
      <c r="M181" s="3" t="s">
        <v>7328</v>
      </c>
    </row>
    <row r="182" spans="1:13" x14ac:dyDescent="0.25">
      <c r="A182" s="1" t="s">
        <v>7290</v>
      </c>
      <c r="B182" s="1" t="s">
        <v>133</v>
      </c>
      <c r="C182" s="1">
        <v>181</v>
      </c>
      <c r="D182" s="1" t="s">
        <v>7193</v>
      </c>
      <c r="E182" s="1" t="s">
        <v>2443</v>
      </c>
      <c r="F182" s="2" t="s">
        <v>7191</v>
      </c>
      <c r="G182" s="1">
        <v>90</v>
      </c>
      <c r="H182" s="1" t="str">
        <f t="shared" si="2"/>
        <v>huntkemarelass</v>
      </c>
      <c r="I182" s="1" t="s">
        <v>7047</v>
      </c>
      <c r="J182" s="1"/>
      <c r="K182" s="1"/>
      <c r="L182" s="1" t="s">
        <v>7048</v>
      </c>
      <c r="M182" s="3" t="s">
        <v>7328</v>
      </c>
    </row>
    <row r="183" spans="1:13" x14ac:dyDescent="0.25">
      <c r="A183" s="1" t="s">
        <v>7291</v>
      </c>
      <c r="B183" s="1" t="s">
        <v>133</v>
      </c>
      <c r="C183" s="1">
        <v>182</v>
      </c>
      <c r="D183" s="1" t="s">
        <v>7193</v>
      </c>
      <c r="E183" s="1" t="s">
        <v>2481</v>
      </c>
      <c r="F183" s="2" t="s">
        <v>7191</v>
      </c>
      <c r="G183" s="1">
        <v>90</v>
      </c>
      <c r="H183" s="1" t="str">
        <f t="shared" si="2"/>
        <v>huntkeultimass</v>
      </c>
      <c r="I183" s="1" t="s">
        <v>7047</v>
      </c>
      <c r="J183" s="1"/>
      <c r="K183" s="1"/>
      <c r="L183" s="1" t="s">
        <v>7048</v>
      </c>
      <c r="M183" s="3" t="s">
        <v>7328</v>
      </c>
    </row>
    <row r="184" spans="1:13" x14ac:dyDescent="0.25">
      <c r="A184" s="1" t="s">
        <v>7292</v>
      </c>
      <c r="B184" s="1" t="s">
        <v>133</v>
      </c>
      <c r="C184" s="1">
        <v>183</v>
      </c>
      <c r="D184" s="1" t="s">
        <v>7193</v>
      </c>
      <c r="E184" s="1" t="s">
        <v>2518</v>
      </c>
      <c r="F184" s="2" t="s">
        <v>7191</v>
      </c>
      <c r="G184" s="1">
        <v>90</v>
      </c>
      <c r="H184" s="1" t="str">
        <f t="shared" si="2"/>
        <v>huntkeelpisss</v>
      </c>
      <c r="I184" s="1" t="s">
        <v>7047</v>
      </c>
      <c r="J184" s="1"/>
      <c r="K184" s="1"/>
      <c r="L184" s="1" t="s">
        <v>7048</v>
      </c>
      <c r="M184" s="3" t="s">
        <v>7328</v>
      </c>
    </row>
    <row r="185" spans="1:13" x14ac:dyDescent="0.25">
      <c r="A185" s="1" t="s">
        <v>7293</v>
      </c>
      <c r="B185" s="1" t="s">
        <v>215</v>
      </c>
      <c r="C185" s="1">
        <v>184</v>
      </c>
      <c r="D185" s="1" t="s">
        <v>7282</v>
      </c>
      <c r="E185" s="1" t="s">
        <v>2597</v>
      </c>
      <c r="F185" s="2" t="s">
        <v>7811</v>
      </c>
      <c r="G185" s="1">
        <v>100</v>
      </c>
      <c r="H185" s="1" t="str">
        <f t="shared" si="2"/>
        <v>huntgokozamab1</v>
      </c>
      <c r="I185" s="2" t="s">
        <v>7089</v>
      </c>
      <c r="J185" s="2"/>
      <c r="K185" s="2"/>
      <c r="L185" s="1"/>
      <c r="M185" s="1"/>
    </row>
    <row r="186" spans="1:13" x14ac:dyDescent="0.25">
      <c r="A186" s="1" t="s">
        <v>7294</v>
      </c>
      <c r="B186" s="1" t="s">
        <v>215</v>
      </c>
      <c r="C186" s="1">
        <v>185</v>
      </c>
      <c r="D186" s="1" t="s">
        <v>7281</v>
      </c>
      <c r="E186" s="1" t="s">
        <v>2597</v>
      </c>
      <c r="F186" s="2" t="s">
        <v>7814</v>
      </c>
      <c r="G186" s="1">
        <v>100</v>
      </c>
      <c r="H186" s="1" t="str">
        <f t="shared" si="2"/>
        <v>huntthkozamab2</v>
      </c>
      <c r="I186" s="2" t="s">
        <v>7089</v>
      </c>
      <c r="J186" s="2"/>
      <c r="K186" s="2"/>
      <c r="L186" s="1"/>
      <c r="M186" s="1"/>
    </row>
    <row r="187" spans="1:13" x14ac:dyDescent="0.25">
      <c r="A187" s="1" t="s">
        <v>7295</v>
      </c>
      <c r="B187" s="1" t="s">
        <v>215</v>
      </c>
      <c r="C187" s="1">
        <v>186</v>
      </c>
      <c r="D187" s="1" t="s">
        <v>7280</v>
      </c>
      <c r="E187" s="1" t="s">
        <v>2545</v>
      </c>
      <c r="F187" s="2" t="s">
        <v>7811</v>
      </c>
      <c r="G187" s="1">
        <v>100</v>
      </c>
      <c r="H187" s="1" t="str">
        <f t="shared" si="2"/>
        <v>huntchurqopab1</v>
      </c>
      <c r="I187" s="2" t="s">
        <v>7089</v>
      </c>
      <c r="J187" s="2"/>
      <c r="K187" s="2"/>
      <c r="L187" s="1"/>
      <c r="M187" s="1"/>
    </row>
    <row r="188" spans="1:13" x14ac:dyDescent="0.25">
      <c r="A188" s="1" t="s">
        <v>7296</v>
      </c>
      <c r="B188" s="1" t="s">
        <v>215</v>
      </c>
      <c r="C188" s="1">
        <v>187</v>
      </c>
      <c r="D188" s="1" t="s">
        <v>7279</v>
      </c>
      <c r="E188" s="1" t="s">
        <v>2545</v>
      </c>
      <c r="F188" s="2" t="s">
        <v>7814</v>
      </c>
      <c r="G188" s="1">
        <v>100</v>
      </c>
      <c r="H188" s="1" t="str">
        <f t="shared" si="2"/>
        <v>huntmaurqopab2</v>
      </c>
      <c r="I188" s="2" t="s">
        <v>7089</v>
      </c>
      <c r="J188" s="2"/>
      <c r="K188" s="2"/>
      <c r="L188" s="1"/>
      <c r="M188" s="1"/>
    </row>
    <row r="189" spans="1:13" x14ac:dyDescent="0.25">
      <c r="A189" s="1" t="s">
        <v>7297</v>
      </c>
      <c r="B189" s="1" t="s">
        <v>215</v>
      </c>
      <c r="C189" s="1">
        <v>188</v>
      </c>
      <c r="D189" s="1" t="s">
        <v>7278</v>
      </c>
      <c r="E189" s="1" t="s">
        <v>2649</v>
      </c>
      <c r="F189" s="2" t="s">
        <v>7811</v>
      </c>
      <c r="G189" s="1">
        <v>100</v>
      </c>
      <c r="H189" s="1" t="str">
        <f t="shared" si="2"/>
        <v>huntleyaktelb1</v>
      </c>
      <c r="I189" s="2" t="s">
        <v>7089</v>
      </c>
      <c r="J189" s="2"/>
      <c r="K189" s="2"/>
      <c r="L189" s="1"/>
      <c r="M189" s="1"/>
    </row>
    <row r="190" spans="1:13" x14ac:dyDescent="0.25">
      <c r="A190" s="1" t="s">
        <v>7298</v>
      </c>
      <c r="B190" s="1" t="s">
        <v>215</v>
      </c>
      <c r="C190" s="1">
        <v>189</v>
      </c>
      <c r="D190" s="1" t="s">
        <v>7277</v>
      </c>
      <c r="E190" s="1" t="s">
        <v>2649</v>
      </c>
      <c r="F190" s="2" t="s">
        <v>7814</v>
      </c>
      <c r="G190" s="1">
        <v>100</v>
      </c>
      <c r="H190" s="1" t="str">
        <f t="shared" si="2"/>
        <v>huntxtyaktelb2</v>
      </c>
      <c r="I190" s="2" t="s">
        <v>7089</v>
      </c>
      <c r="J190" s="2"/>
      <c r="K190" s="2"/>
      <c r="L190" s="1"/>
      <c r="M190" s="1"/>
    </row>
    <row r="191" spans="1:13" x14ac:dyDescent="0.25">
      <c r="A191" s="1" t="s">
        <v>7299</v>
      </c>
      <c r="B191" s="1" t="s">
        <v>215</v>
      </c>
      <c r="C191" s="1">
        <v>190</v>
      </c>
      <c r="D191" s="1" t="s">
        <v>7276</v>
      </c>
      <c r="E191" s="1" t="s">
        <v>2713</v>
      </c>
      <c r="F191" s="2" t="s">
        <v>7811</v>
      </c>
      <c r="G191" s="1">
        <v>100</v>
      </c>
      <c r="H191" s="1" t="str">
        <f t="shared" si="2"/>
        <v>huntnoshaalob1</v>
      </c>
      <c r="I191" s="2" t="s">
        <v>7089</v>
      </c>
      <c r="J191" s="2"/>
      <c r="K191" s="2"/>
      <c r="L191" s="1"/>
      <c r="M191" s="1"/>
    </row>
    <row r="192" spans="1:13" x14ac:dyDescent="0.25">
      <c r="A192" s="1" t="s">
        <v>7300</v>
      </c>
      <c r="B192" s="1" t="s">
        <v>215</v>
      </c>
      <c r="C192" s="1">
        <v>191</v>
      </c>
      <c r="D192" s="1" t="s">
        <v>7275</v>
      </c>
      <c r="E192" s="1" t="s">
        <v>2713</v>
      </c>
      <c r="F192" s="2" t="s">
        <v>7814</v>
      </c>
      <c r="G192" s="1">
        <v>100</v>
      </c>
      <c r="H192" s="1" t="str">
        <f t="shared" si="2"/>
        <v>huntukshaalob2</v>
      </c>
      <c r="I192" s="2" t="s">
        <v>7089</v>
      </c>
      <c r="J192" s="2"/>
      <c r="K192" s="2"/>
      <c r="L192" s="1"/>
      <c r="M192" s="1"/>
    </row>
    <row r="193" spans="1:13" x14ac:dyDescent="0.25">
      <c r="A193" s="1" t="s">
        <v>7301</v>
      </c>
      <c r="B193" s="1" t="s">
        <v>215</v>
      </c>
      <c r="C193" s="1">
        <v>192</v>
      </c>
      <c r="D193" s="1" t="s">
        <v>7274</v>
      </c>
      <c r="E193" s="1" t="s">
        <v>340</v>
      </c>
      <c r="F193" s="2" t="s">
        <v>7811</v>
      </c>
      <c r="G193" s="1">
        <v>100</v>
      </c>
      <c r="H193" s="1" t="str">
        <f t="shared" si="2"/>
        <v>huntgaheritab1</v>
      </c>
      <c r="I193" s="2" t="s">
        <v>7089</v>
      </c>
      <c r="J193" s="2"/>
      <c r="K193" s="2"/>
      <c r="L193" s="1"/>
      <c r="M193" s="1"/>
    </row>
    <row r="194" spans="1:13" x14ac:dyDescent="0.25">
      <c r="A194" s="1" t="s">
        <v>7302</v>
      </c>
      <c r="B194" s="1" t="s">
        <v>215</v>
      </c>
      <c r="C194" s="1">
        <v>193</v>
      </c>
      <c r="D194" s="1" t="s">
        <v>7273</v>
      </c>
      <c r="E194" s="1" t="s">
        <v>340</v>
      </c>
      <c r="F194" s="2" t="s">
        <v>7814</v>
      </c>
      <c r="G194" s="1">
        <v>100</v>
      </c>
      <c r="H194" s="1" t="str">
        <f t="shared" ref="H194:H219" si="3">LEFT(A194,4)&amp;LOWER(LEFT(SUBSTITUTE(D194," ",""),2)&amp;LEFT(SUBSTITUTE(SUBSTITUTE(E194," ",""),"'",""),6)&amp;F194)</f>
        <v>huntgaheritab2</v>
      </c>
      <c r="I194" s="2" t="s">
        <v>7089</v>
      </c>
      <c r="J194" s="2"/>
      <c r="K194" s="2"/>
      <c r="L194" s="1"/>
      <c r="M194" s="1"/>
    </row>
    <row r="195" spans="1:13" x14ac:dyDescent="0.25">
      <c r="A195" s="1" t="s">
        <v>7303</v>
      </c>
      <c r="B195" s="1" t="s">
        <v>215</v>
      </c>
      <c r="C195" s="1">
        <v>194</v>
      </c>
      <c r="D195" s="1" t="s">
        <v>7272</v>
      </c>
      <c r="E195" s="1" t="s">
        <v>2749</v>
      </c>
      <c r="F195" s="2" t="s">
        <v>7811</v>
      </c>
      <c r="G195" s="1">
        <v>100</v>
      </c>
      <c r="H195" s="1" t="str">
        <f t="shared" si="3"/>
        <v>hunt13livingb1</v>
      </c>
      <c r="I195" s="2" t="s">
        <v>7089</v>
      </c>
      <c r="J195" s="2"/>
      <c r="K195" s="2"/>
      <c r="L195" s="1"/>
      <c r="M195" s="1"/>
    </row>
    <row r="196" spans="1:13" x14ac:dyDescent="0.25">
      <c r="A196" s="1" t="s">
        <v>7304</v>
      </c>
      <c r="B196" s="1" t="s">
        <v>215</v>
      </c>
      <c r="C196" s="1">
        <v>195</v>
      </c>
      <c r="D196" s="1" t="s">
        <v>7271</v>
      </c>
      <c r="E196" s="1" t="s">
        <v>2749</v>
      </c>
      <c r="F196" s="2" t="s">
        <v>7814</v>
      </c>
      <c r="G196" s="1">
        <v>100</v>
      </c>
      <c r="H196" s="1" t="str">
        <f t="shared" si="3"/>
        <v>huntjelivingb2</v>
      </c>
      <c r="I196" s="2" t="s">
        <v>7089</v>
      </c>
      <c r="J196" s="2"/>
      <c r="K196" s="2"/>
      <c r="L196" s="1"/>
      <c r="M196" s="1"/>
    </row>
    <row r="197" spans="1:13" x14ac:dyDescent="0.25">
      <c r="A197" s="1" t="s">
        <v>7305</v>
      </c>
      <c r="B197" s="1" t="s">
        <v>215</v>
      </c>
      <c r="C197" s="1">
        <v>196</v>
      </c>
      <c r="D197" s="1" t="s">
        <v>7270</v>
      </c>
      <c r="E197" s="1" t="s">
        <v>2597</v>
      </c>
      <c r="F197" s="2" t="s">
        <v>7812</v>
      </c>
      <c r="G197" s="1">
        <v>100</v>
      </c>
      <c r="H197" s="1" t="str">
        <f t="shared" si="3"/>
        <v>huntpkkozamaa1</v>
      </c>
      <c r="I197" s="2" t="s">
        <v>7037</v>
      </c>
      <c r="J197" s="2"/>
      <c r="K197" s="2"/>
      <c r="L197" s="1"/>
      <c r="M197" s="1"/>
    </row>
    <row r="198" spans="1:13" x14ac:dyDescent="0.25">
      <c r="A198" s="1" t="s">
        <v>7306</v>
      </c>
      <c r="B198" s="1" t="s">
        <v>215</v>
      </c>
      <c r="C198" s="1">
        <v>197</v>
      </c>
      <c r="D198" s="1" t="s">
        <v>7269</v>
      </c>
      <c r="E198" s="1" t="s">
        <v>2597</v>
      </c>
      <c r="F198" s="2" t="s">
        <v>7848</v>
      </c>
      <c r="G198" s="1">
        <v>100</v>
      </c>
      <c r="H198" s="1" t="str">
        <f t="shared" si="3"/>
        <v>huntthkozamaa2</v>
      </c>
      <c r="I198" s="2" t="s">
        <v>7037</v>
      </c>
      <c r="J198" s="2"/>
      <c r="K198" s="2"/>
      <c r="L198" s="1"/>
      <c r="M198" s="1"/>
    </row>
    <row r="199" spans="1:13" x14ac:dyDescent="0.25">
      <c r="A199" s="1" t="s">
        <v>7307</v>
      </c>
      <c r="B199" s="1" t="s">
        <v>215</v>
      </c>
      <c r="C199" s="1">
        <v>198</v>
      </c>
      <c r="D199" s="1" t="s">
        <v>7268</v>
      </c>
      <c r="E199" s="1" t="s">
        <v>2545</v>
      </c>
      <c r="F199" s="2" t="s">
        <v>7812</v>
      </c>
      <c r="G199" s="1">
        <v>100</v>
      </c>
      <c r="H199" s="1" t="str">
        <f t="shared" si="3"/>
        <v>huntneurqopaa1</v>
      </c>
      <c r="I199" s="2" t="s">
        <v>7037</v>
      </c>
      <c r="J199" s="2"/>
      <c r="K199" s="2"/>
      <c r="L199" s="1"/>
      <c r="M199" s="1"/>
    </row>
    <row r="200" spans="1:13" x14ac:dyDescent="0.25">
      <c r="A200" s="1" t="s">
        <v>7308</v>
      </c>
      <c r="B200" s="1" t="s">
        <v>215</v>
      </c>
      <c r="C200" s="1">
        <v>199</v>
      </c>
      <c r="D200" s="1" t="s">
        <v>756</v>
      </c>
      <c r="E200" s="1" t="s">
        <v>2545</v>
      </c>
      <c r="F200" s="2" t="s">
        <v>7848</v>
      </c>
      <c r="G200" s="1">
        <v>100</v>
      </c>
      <c r="H200" s="1" t="str">
        <f t="shared" si="3"/>
        <v>huntquurqopaa2</v>
      </c>
      <c r="I200" s="2" t="s">
        <v>7037</v>
      </c>
      <c r="J200" s="2"/>
      <c r="K200" s="2"/>
      <c r="L200" s="1"/>
      <c r="M200" s="1"/>
    </row>
    <row r="201" spans="1:13" x14ac:dyDescent="0.25">
      <c r="A201" s="1" t="s">
        <v>7309</v>
      </c>
      <c r="B201" s="1" t="s">
        <v>215</v>
      </c>
      <c r="C201" s="1">
        <v>200</v>
      </c>
      <c r="D201" s="1" t="s">
        <v>7267</v>
      </c>
      <c r="E201" s="1" t="s">
        <v>2649</v>
      </c>
      <c r="F201" s="2" t="s">
        <v>7812</v>
      </c>
      <c r="G201" s="1">
        <v>100</v>
      </c>
      <c r="H201" s="1" t="str">
        <f t="shared" si="3"/>
        <v>huntrryaktela1</v>
      </c>
      <c r="I201" s="2" t="s">
        <v>7037</v>
      </c>
      <c r="J201" s="2"/>
      <c r="K201" s="2"/>
      <c r="L201" s="1"/>
      <c r="M201" s="1"/>
    </row>
    <row r="202" spans="1:13" x14ac:dyDescent="0.25">
      <c r="A202" s="1" t="s">
        <v>7310</v>
      </c>
      <c r="B202" s="1" t="s">
        <v>215</v>
      </c>
      <c r="C202" s="1">
        <v>201</v>
      </c>
      <c r="D202" s="1" t="s">
        <v>7266</v>
      </c>
      <c r="E202" s="1" t="s">
        <v>2649</v>
      </c>
      <c r="F202" s="2" t="s">
        <v>7848</v>
      </c>
      <c r="G202" s="1">
        <v>100</v>
      </c>
      <c r="H202" s="1" t="str">
        <f t="shared" si="3"/>
        <v>huntstyaktela2</v>
      </c>
      <c r="I202" s="2" t="s">
        <v>7037</v>
      </c>
      <c r="J202" s="2"/>
      <c r="K202" s="2"/>
      <c r="L202" s="1"/>
      <c r="M202" s="1"/>
    </row>
    <row r="203" spans="1:13" x14ac:dyDescent="0.25">
      <c r="A203" s="1" t="s">
        <v>7311</v>
      </c>
      <c r="B203" s="1" t="s">
        <v>215</v>
      </c>
      <c r="C203" s="1">
        <v>202</v>
      </c>
      <c r="D203" s="1" t="s">
        <v>7265</v>
      </c>
      <c r="E203" s="1" t="s">
        <v>2713</v>
      </c>
      <c r="F203" s="2" t="s">
        <v>7812</v>
      </c>
      <c r="G203" s="1">
        <v>100</v>
      </c>
      <c r="H203" s="1" t="str">
        <f t="shared" si="3"/>
        <v>huntkeshaaloa1</v>
      </c>
      <c r="I203" s="2" t="s">
        <v>7037</v>
      </c>
      <c r="J203" s="2"/>
      <c r="K203" s="2"/>
      <c r="L203" s="1"/>
      <c r="M203" s="1"/>
    </row>
    <row r="204" spans="1:13" x14ac:dyDescent="0.25">
      <c r="A204" s="1" t="s">
        <v>7312</v>
      </c>
      <c r="B204" s="1" t="s">
        <v>215</v>
      </c>
      <c r="C204" s="1">
        <v>203</v>
      </c>
      <c r="D204" s="1" t="s">
        <v>7264</v>
      </c>
      <c r="E204" s="1" t="s">
        <v>2713</v>
      </c>
      <c r="F204" s="2" t="s">
        <v>7848</v>
      </c>
      <c r="G204" s="1">
        <v>100</v>
      </c>
      <c r="H204" s="1" t="str">
        <f t="shared" si="3"/>
        <v>huntyeshaaloa2</v>
      </c>
      <c r="I204" s="2" t="s">
        <v>7037</v>
      </c>
      <c r="J204" s="2"/>
      <c r="K204" s="2"/>
      <c r="L204" s="1"/>
      <c r="M204" s="1"/>
    </row>
    <row r="205" spans="1:13" x14ac:dyDescent="0.25">
      <c r="A205" s="1" t="s">
        <v>7313</v>
      </c>
      <c r="B205" s="1" t="s">
        <v>215</v>
      </c>
      <c r="C205" s="1">
        <v>204</v>
      </c>
      <c r="D205" s="1" t="s">
        <v>7263</v>
      </c>
      <c r="E205" s="1" t="s">
        <v>340</v>
      </c>
      <c r="F205" s="2" t="s">
        <v>7812</v>
      </c>
      <c r="G205" s="1">
        <v>100</v>
      </c>
      <c r="H205" s="1" t="str">
        <f t="shared" si="3"/>
        <v>huntheheritaa1</v>
      </c>
      <c r="I205" s="2" t="s">
        <v>7037</v>
      </c>
      <c r="J205" s="2"/>
      <c r="K205" s="2"/>
      <c r="L205" s="1"/>
      <c r="M205" s="1"/>
    </row>
    <row r="206" spans="1:13" x14ac:dyDescent="0.25">
      <c r="A206" s="1" t="s">
        <v>8282</v>
      </c>
      <c r="B206" s="1" t="s">
        <v>215</v>
      </c>
      <c r="C206" s="1">
        <v>205</v>
      </c>
      <c r="D206" s="1" t="s">
        <v>7262</v>
      </c>
      <c r="E206" s="1" t="s">
        <v>340</v>
      </c>
      <c r="F206" s="2" t="s">
        <v>7848</v>
      </c>
      <c r="G206" s="1">
        <v>100</v>
      </c>
      <c r="H206" s="1" t="str">
        <f t="shared" si="3"/>
        <v>hunturheritaa2</v>
      </c>
      <c r="I206" s="2" t="s">
        <v>7037</v>
      </c>
      <c r="J206" s="2"/>
      <c r="K206" s="2"/>
      <c r="L206" s="1"/>
      <c r="M206" s="1"/>
    </row>
    <row r="207" spans="1:13" x14ac:dyDescent="0.25">
      <c r="A207" s="1" t="s">
        <v>8283</v>
      </c>
      <c r="B207" s="1" t="s">
        <v>215</v>
      </c>
      <c r="C207" s="1">
        <v>206</v>
      </c>
      <c r="D207" s="1" t="s">
        <v>7261</v>
      </c>
      <c r="E207" s="1" t="s">
        <v>2749</v>
      </c>
      <c r="F207" s="2" t="s">
        <v>7812</v>
      </c>
      <c r="G207" s="1">
        <v>100</v>
      </c>
      <c r="H207" s="1" t="str">
        <f t="shared" si="3"/>
        <v>huntcalivinga1</v>
      </c>
      <c r="I207" s="2" t="s">
        <v>7037</v>
      </c>
      <c r="J207" s="2"/>
      <c r="K207" s="2"/>
      <c r="L207" s="1"/>
      <c r="M207" s="1"/>
    </row>
    <row r="208" spans="1:13" x14ac:dyDescent="0.25">
      <c r="A208" s="1" t="s">
        <v>8284</v>
      </c>
      <c r="B208" s="1" t="s">
        <v>215</v>
      </c>
      <c r="C208" s="1">
        <v>207</v>
      </c>
      <c r="D208" s="1" t="s">
        <v>7260</v>
      </c>
      <c r="E208" s="1" t="s">
        <v>2749</v>
      </c>
      <c r="F208" s="2" t="s">
        <v>7848</v>
      </c>
      <c r="G208" s="1">
        <v>100</v>
      </c>
      <c r="H208" s="1" t="str">
        <f t="shared" si="3"/>
        <v>huntsalivinga2</v>
      </c>
      <c r="I208" s="2" t="s">
        <v>7037</v>
      </c>
      <c r="J208" s="2"/>
      <c r="K208" s="2"/>
      <c r="L208" s="1"/>
      <c r="M208" s="1"/>
    </row>
    <row r="209" spans="1:13" x14ac:dyDescent="0.25">
      <c r="A209" s="1" t="s">
        <v>8285</v>
      </c>
      <c r="B209" s="1" t="s">
        <v>215</v>
      </c>
      <c r="C209" s="1">
        <v>208</v>
      </c>
      <c r="D209" s="1" t="s">
        <v>7259</v>
      </c>
      <c r="E209" s="1" t="s">
        <v>2597</v>
      </c>
      <c r="F209" s="2" t="s">
        <v>7813</v>
      </c>
      <c r="G209" s="1">
        <v>100</v>
      </c>
      <c r="H209" s="1" t="str">
        <f t="shared" si="3"/>
        <v>huntihkozamas1</v>
      </c>
      <c r="I209" s="1" t="s">
        <v>7047</v>
      </c>
      <c r="J209" s="1"/>
      <c r="K209" s="1"/>
      <c r="L209" s="1" t="s">
        <v>7048</v>
      </c>
      <c r="M209" s="3" t="s">
        <v>7335</v>
      </c>
    </row>
    <row r="210" spans="1:13" x14ac:dyDescent="0.25">
      <c r="A210" s="1" t="s">
        <v>8286</v>
      </c>
      <c r="B210" s="1" t="s">
        <v>215</v>
      </c>
      <c r="C210" s="1">
        <v>209</v>
      </c>
      <c r="D210" s="1" t="s">
        <v>7258</v>
      </c>
      <c r="E210" s="1" t="s">
        <v>2545</v>
      </c>
      <c r="F210" s="2" t="s">
        <v>7813</v>
      </c>
      <c r="G210" s="1">
        <v>100</v>
      </c>
      <c r="H210" s="1" t="str">
        <f t="shared" si="3"/>
        <v>huntkiurqopas1</v>
      </c>
      <c r="I210" s="1" t="s">
        <v>7047</v>
      </c>
      <c r="J210" s="1"/>
      <c r="K210" s="1"/>
      <c r="L210" s="1" t="s">
        <v>7048</v>
      </c>
      <c r="M210" s="3" t="s">
        <v>7336</v>
      </c>
    </row>
    <row r="211" spans="1:13" x14ac:dyDescent="0.25">
      <c r="A211" s="1" t="s">
        <v>8287</v>
      </c>
      <c r="B211" s="1" t="s">
        <v>215</v>
      </c>
      <c r="C211" s="1">
        <v>210</v>
      </c>
      <c r="D211" s="1" t="s">
        <v>7257</v>
      </c>
      <c r="E211" s="1" t="s">
        <v>2649</v>
      </c>
      <c r="F211" s="2" t="s">
        <v>7813</v>
      </c>
      <c r="G211" s="1">
        <v>100</v>
      </c>
      <c r="H211" s="1" t="str">
        <f t="shared" si="3"/>
        <v>huntneyaktels1</v>
      </c>
      <c r="I211" s="1" t="s">
        <v>7047</v>
      </c>
      <c r="J211" s="1"/>
      <c r="K211" s="1"/>
      <c r="L211" s="1" t="s">
        <v>7048</v>
      </c>
      <c r="M211" s="3" t="s">
        <v>7337</v>
      </c>
    </row>
    <row r="212" spans="1:13" x14ac:dyDescent="0.25">
      <c r="A212" s="1" t="s">
        <v>8288</v>
      </c>
      <c r="B212" s="1" t="s">
        <v>215</v>
      </c>
      <c r="C212" s="1">
        <v>211</v>
      </c>
      <c r="D212" s="1" t="s">
        <v>7256</v>
      </c>
      <c r="E212" s="1" t="s">
        <v>2713</v>
      </c>
      <c r="F212" s="2" t="s">
        <v>7813</v>
      </c>
      <c r="G212" s="1">
        <v>100</v>
      </c>
      <c r="H212" s="1" t="str">
        <f t="shared" si="3"/>
        <v>huntsashaalos1</v>
      </c>
      <c r="I212" s="1" t="s">
        <v>7047</v>
      </c>
      <c r="J212" s="1"/>
      <c r="K212" s="1"/>
      <c r="L212" s="1" t="s">
        <v>7048</v>
      </c>
      <c r="M212" s="3" t="s">
        <v>7338</v>
      </c>
    </row>
    <row r="213" spans="1:13" x14ac:dyDescent="0.25">
      <c r="A213" s="1" t="s">
        <v>8289</v>
      </c>
      <c r="B213" s="1" t="s">
        <v>215</v>
      </c>
      <c r="C213" s="1">
        <v>212</v>
      </c>
      <c r="D213" s="1" t="s">
        <v>7255</v>
      </c>
      <c r="E213" s="1" t="s">
        <v>340</v>
      </c>
      <c r="F213" s="2" t="s">
        <v>7813</v>
      </c>
      <c r="G213" s="1">
        <v>100</v>
      </c>
      <c r="H213" s="1" t="str">
        <f t="shared" si="3"/>
        <v>huntatheritas1</v>
      </c>
      <c r="I213" s="1" t="s">
        <v>7047</v>
      </c>
      <c r="J213" s="1"/>
      <c r="K213" s="1"/>
      <c r="L213" s="1" t="s">
        <v>7048</v>
      </c>
      <c r="M213" s="3" t="s">
        <v>7339</v>
      </c>
    </row>
    <row r="214" spans="1:13" x14ac:dyDescent="0.25">
      <c r="A214" s="1" t="s">
        <v>8290</v>
      </c>
      <c r="B214" s="1" t="s">
        <v>215</v>
      </c>
      <c r="C214" s="1">
        <v>213</v>
      </c>
      <c r="D214" s="1" t="s">
        <v>7254</v>
      </c>
      <c r="E214" s="1" t="s">
        <v>2749</v>
      </c>
      <c r="F214" s="2" t="s">
        <v>7813</v>
      </c>
      <c r="G214" s="1">
        <v>100</v>
      </c>
      <c r="H214" s="1" t="str">
        <f t="shared" si="3"/>
        <v>huntthlivings1</v>
      </c>
      <c r="I214" s="1" t="s">
        <v>7047</v>
      </c>
      <c r="J214" s="1"/>
      <c r="K214" s="1"/>
      <c r="L214" s="1" t="s">
        <v>7048</v>
      </c>
      <c r="M214" s="3" t="s">
        <v>7341</v>
      </c>
    </row>
    <row r="215" spans="1:13" x14ac:dyDescent="0.25">
      <c r="A215" s="1" t="s">
        <v>8291</v>
      </c>
      <c r="B215" s="1" t="s">
        <v>215</v>
      </c>
      <c r="C215" s="1">
        <v>214</v>
      </c>
      <c r="D215" s="1" t="s">
        <v>7253</v>
      </c>
      <c r="E215" s="1" t="s">
        <v>2545</v>
      </c>
      <c r="F215" s="2" t="s">
        <v>7191</v>
      </c>
      <c r="G215" s="1">
        <v>100</v>
      </c>
      <c r="H215" s="1" t="str">
        <f t="shared" si="3"/>
        <v>huntarurqopass</v>
      </c>
      <c r="I215" s="1" t="s">
        <v>7047</v>
      </c>
      <c r="J215" s="1"/>
      <c r="K215" s="1"/>
      <c r="L215" s="1" t="s">
        <v>7048</v>
      </c>
      <c r="M215" s="3" t="s">
        <v>7340</v>
      </c>
    </row>
    <row r="216" spans="1:13" x14ac:dyDescent="0.25">
      <c r="A216" s="1" t="s">
        <v>8292</v>
      </c>
      <c r="B216" s="1" t="s">
        <v>215</v>
      </c>
      <c r="C216" s="1">
        <v>215</v>
      </c>
      <c r="D216" s="1" t="s">
        <v>7253</v>
      </c>
      <c r="E216" s="1" t="s">
        <v>2597</v>
      </c>
      <c r="F216" s="2" t="s">
        <v>7191</v>
      </c>
      <c r="G216" s="1">
        <v>100</v>
      </c>
      <c r="H216" s="1" t="str">
        <f t="shared" si="3"/>
        <v>huntarkozamass</v>
      </c>
      <c r="I216" s="1" t="s">
        <v>7047</v>
      </c>
      <c r="J216" s="1"/>
      <c r="K216" s="1"/>
      <c r="L216" s="1" t="s">
        <v>7048</v>
      </c>
      <c r="M216" s="3" t="s">
        <v>7340</v>
      </c>
    </row>
    <row r="217" spans="1:13" x14ac:dyDescent="0.25">
      <c r="A217" s="1" t="s">
        <v>8293</v>
      </c>
      <c r="B217" s="1" t="s">
        <v>215</v>
      </c>
      <c r="C217" s="1">
        <v>216</v>
      </c>
      <c r="D217" s="1" t="s">
        <v>7253</v>
      </c>
      <c r="E217" s="1" t="s">
        <v>2649</v>
      </c>
      <c r="F217" s="2" t="s">
        <v>7191</v>
      </c>
      <c r="G217" s="1">
        <v>100</v>
      </c>
      <c r="H217" s="1" t="str">
        <f t="shared" si="3"/>
        <v>huntaryaktelss</v>
      </c>
      <c r="I217" s="1" t="s">
        <v>7047</v>
      </c>
      <c r="J217" s="1"/>
      <c r="K217" s="1"/>
      <c r="L217" s="1" t="s">
        <v>7048</v>
      </c>
      <c r="M217" s="3" t="s">
        <v>7340</v>
      </c>
    </row>
    <row r="218" spans="1:13" x14ac:dyDescent="0.25">
      <c r="A218" s="1" t="s">
        <v>8294</v>
      </c>
      <c r="B218" s="1" t="s">
        <v>215</v>
      </c>
      <c r="C218" s="1">
        <v>217</v>
      </c>
      <c r="D218" s="1" t="s">
        <v>7253</v>
      </c>
      <c r="E218" s="1" t="s">
        <v>2713</v>
      </c>
      <c r="F218" s="2" t="s">
        <v>7191</v>
      </c>
      <c r="G218" s="1">
        <v>100</v>
      </c>
      <c r="H218" s="1" t="str">
        <f t="shared" si="3"/>
        <v>huntarshaaloss</v>
      </c>
      <c r="I218" s="1" t="s">
        <v>7047</v>
      </c>
      <c r="J218" s="1"/>
      <c r="K218" s="1"/>
      <c r="L218" s="1" t="s">
        <v>7048</v>
      </c>
      <c r="M218" s="3" t="s">
        <v>7340</v>
      </c>
    </row>
    <row r="219" spans="1:13" x14ac:dyDescent="0.25">
      <c r="A219" s="1" t="s">
        <v>8295</v>
      </c>
      <c r="B219" s="1" t="s">
        <v>215</v>
      </c>
      <c r="C219" s="1">
        <v>218</v>
      </c>
      <c r="D219" s="1" t="s">
        <v>7253</v>
      </c>
      <c r="E219" s="1" t="s">
        <v>340</v>
      </c>
      <c r="F219" s="2" t="s">
        <v>7191</v>
      </c>
      <c r="G219" s="1">
        <v>100</v>
      </c>
      <c r="H219" s="1" t="str">
        <f t="shared" si="3"/>
        <v>huntarheritass</v>
      </c>
      <c r="I219" s="1" t="s">
        <v>7047</v>
      </c>
      <c r="J219" s="1"/>
      <c r="K219" s="1"/>
      <c r="L219" s="1" t="s">
        <v>7048</v>
      </c>
      <c r="M219" s="3" t="s">
        <v>7340</v>
      </c>
    </row>
    <row r="220" spans="1:13" x14ac:dyDescent="0.25">
      <c r="A220" s="1" t="s">
        <v>8296</v>
      </c>
      <c r="B220" s="1" t="s">
        <v>215</v>
      </c>
      <c r="C220" s="1">
        <v>219</v>
      </c>
      <c r="D220" s="1" t="s">
        <v>7253</v>
      </c>
      <c r="E220" s="1" t="s">
        <v>2749</v>
      </c>
      <c r="F220" s="2" t="s">
        <v>7191</v>
      </c>
      <c r="G220" s="1">
        <v>100</v>
      </c>
      <c r="H220" s="1" t="str">
        <f t="shared" ref="H220" si="4">LEFT(A220,4)&amp;LOWER(LEFT(SUBSTITUTE(D220," ",""),2)&amp;LEFT(SUBSTITUTE(SUBSTITUTE(E220," ",""),"'",""),6)&amp;F220)</f>
        <v>huntarlivingss</v>
      </c>
      <c r="I220" s="1" t="s">
        <v>7047</v>
      </c>
      <c r="J220" s="1"/>
      <c r="K220" s="1"/>
      <c r="L220" s="1" t="s">
        <v>7048</v>
      </c>
      <c r="M220" s="3" t="s">
        <v>7340</v>
      </c>
    </row>
  </sheetData>
  <phoneticPr fontId="1" type="noConversion"/>
  <hyperlinks>
    <hyperlink ref="D125" r:id="rId1" tooltip="Nariphon" display="https://ffxiv.consolegameswiki.com/wiki/Nariphon" xr:uid="{33DCDDA7-904A-48BB-9AE2-707C1E0E9586}"/>
    <hyperlink ref="D126" r:id="rId2" tooltip="Nuckelavee" display="https://ffxiv.consolegameswiki.com/wiki/Nuckelavee" xr:uid="{01522415-6791-4DB3-A8F6-9D4BD356767C}"/>
    <hyperlink ref="D127" r:id="rId3" tooltip="O Poorest Pauldia" display="https://ffxiv.consolegameswiki.com/wiki/O_Poorest_Pauldia" xr:uid="{8F834CE3-7531-47E1-9EB4-BFB57D6AB52F}"/>
    <hyperlink ref="D128" r:id="rId4" tooltip="The Mudman" display="https://ffxiv.consolegameswiki.com/wiki/The_Mudman" xr:uid="{D3FC4FBD-AB6B-4DE6-A903-C4E96167E453}"/>
    <hyperlink ref="D129" r:id="rId5" tooltip="Li'l Murderer" display="https://ffxiv.consolegameswiki.com/wiki/Li%27l_Murderer" xr:uid="{A98A8112-0A7E-4922-8300-E481D50536A3}"/>
    <hyperlink ref="D130" r:id="rId6" tooltip="Huracan" display="https://ffxiv.consolegameswiki.com/wiki/Huracan" xr:uid="{8B7FEA0B-8E50-40B0-810D-A2B22DA0B931}"/>
    <hyperlink ref="D131" r:id="rId7" tooltip="Maliktender" display="https://ffxiv.consolegameswiki.com/wiki/Maliktender" xr:uid="{0EC9150B-4744-4293-8AE9-8FE178A6CFD4}"/>
    <hyperlink ref="D132" r:id="rId8" tooltip="Sugaar" display="https://ffxiv.consolegameswiki.com/wiki/Sugaar" xr:uid="{4E3C9A1F-591B-480F-BD11-1C3DCDA1FC63}"/>
    <hyperlink ref="D133" r:id="rId9" tooltip="Grassman" display="https://ffxiv.consolegameswiki.com/wiki/Grassman" xr:uid="{9D2DC253-B138-45BE-AD87-A3D68310AB06}"/>
    <hyperlink ref="D134" r:id="rId10" tooltip="Supay" display="https://ffxiv.consolegameswiki.com/wiki/Supay" xr:uid="{55DE21FF-A2F4-4F9A-BE97-B6E16D0ED824}"/>
    <hyperlink ref="D135" r:id="rId11" tooltip="Baal" display="https://ffxiv.consolegameswiki.com/wiki/Baal" xr:uid="{4DCEDE58-7BDC-45AB-A222-54B4DD42D1FA}"/>
    <hyperlink ref="D136" r:id="rId12" tooltip="Rusalka" display="https://ffxiv.consolegameswiki.com/wiki/Rusalka" xr:uid="{55F56C70-8C54-41EF-BB5B-E9C66CD4E4D1}"/>
    <hyperlink ref="E125" r:id="rId13" tooltip="Lakeland" display="https://ffxiv.consolegameswiki.com/wiki/Lakeland" xr:uid="{FF366AA1-FBD8-482F-AD7A-EADCB51CD162}"/>
    <hyperlink ref="E126" r:id="rId14" tooltip="Lakeland" display="https://ffxiv.consolegameswiki.com/wiki/Lakeland" xr:uid="{1C2CA954-5128-4275-8F06-64B7FBDD4FDC}"/>
    <hyperlink ref="E127" r:id="rId15" tooltip="Il Mheg" display="https://ffxiv.consolegameswiki.com/wiki/Il_Mheg" xr:uid="{04703944-2DCC-4DB4-B38A-F87DD170AE1F}"/>
    <hyperlink ref="E128" r:id="rId16" tooltip="Il Mheg" display="https://ffxiv.consolegameswiki.com/wiki/Il_Mheg" xr:uid="{239BD795-2777-4649-9704-249C4C821C10}"/>
    <hyperlink ref="E129" r:id="rId17" tooltip="Kholusia" display="https://ffxiv.consolegameswiki.com/wiki/Kholusia" xr:uid="{7AC2C9D1-0D10-406B-9545-B0D61310FB48}"/>
    <hyperlink ref="E130" r:id="rId18" tooltip="Kholusia" display="https://ffxiv.consolegameswiki.com/wiki/Kholusia" xr:uid="{587E3054-0B8A-41CF-A762-2487E754DFF4}"/>
    <hyperlink ref="E131" r:id="rId19" tooltip="Amh Araeng" display="https://ffxiv.consolegameswiki.com/wiki/Amh_Araeng" xr:uid="{67CD6E23-4331-4A40-86D6-1630BA9016BC}"/>
    <hyperlink ref="E132" r:id="rId20" tooltip="Amh Araeng" display="https://ffxiv.consolegameswiki.com/wiki/Amh_Araeng" xr:uid="{4988C982-BB79-4E03-B831-846FA3CD0C17}"/>
    <hyperlink ref="E133" r:id="rId21" tooltip="The Rak'tika Greatwood" display="https://ffxiv.consolegameswiki.com/wiki/The_Rak%27tika_Greatwood" xr:uid="{06EB04EE-A1C1-4F95-A8F9-F13676984979}"/>
    <hyperlink ref="E134" r:id="rId22" tooltip="The Rak'tika Greatwood" display="https://ffxiv.consolegameswiki.com/wiki/The_Rak%27tika_Greatwood" xr:uid="{A582B56D-9A05-4216-A809-5A41C527D350}"/>
    <hyperlink ref="E135" r:id="rId23" tooltip="The Tempest" display="https://ffxiv.consolegameswiki.com/wiki/The_Tempest" xr:uid="{17653243-D1AE-4BFD-8511-674D4CA1DED9}"/>
    <hyperlink ref="E136" r:id="rId24" tooltip="The Tempest" display="https://ffxiv.consolegameswiki.com/wiki/The_Tempest" xr:uid="{95B9B911-87DA-48F2-B3D9-E5201B2626D0}"/>
  </hyperlinks>
  <pageMargins left="0.7" right="0.7" top="0.75" bottom="0.75" header="0.3" footer="0.3"/>
  <pageSetup orientation="portrait" r:id="rId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4EB3-106C-466F-B433-084D1019853A}">
  <sheetPr>
    <tabColor theme="9" tint="-0.499984740745262"/>
  </sheetPr>
  <dimension ref="A1:H956"/>
  <sheetViews>
    <sheetView workbookViewId="0">
      <pane ySplit="1" topLeftCell="A2" activePane="bottomLeft" state="frozen"/>
      <selection pane="bottomLeft" activeCell="F859" sqref="F859"/>
    </sheetView>
  </sheetViews>
  <sheetFormatPr defaultRowHeight="15" x14ac:dyDescent="0.25"/>
  <cols>
    <col min="2" max="2" width="23.85546875" customWidth="1"/>
    <col min="3" max="3" width="32.140625" customWidth="1"/>
    <col min="4" max="4" width="11.7109375" customWidth="1"/>
    <col min="5" max="5" width="7.5703125" customWidth="1"/>
    <col min="6" max="6" width="11.140625" customWidth="1"/>
  </cols>
  <sheetData>
    <row r="1" spans="1:8" x14ac:dyDescent="0.25">
      <c r="A1" s="5" t="s">
        <v>0</v>
      </c>
      <c r="B1" s="5" t="s">
        <v>2</v>
      </c>
      <c r="C1" s="5" t="s">
        <v>1061</v>
      </c>
      <c r="D1" s="5" t="s">
        <v>7815</v>
      </c>
      <c r="E1" s="5" t="s">
        <v>243</v>
      </c>
      <c r="F1" s="5" t="s">
        <v>244</v>
      </c>
      <c r="G1" s="5" t="s">
        <v>2840</v>
      </c>
      <c r="H1" s="5" t="s">
        <v>2841</v>
      </c>
    </row>
    <row r="2" spans="1:8" x14ac:dyDescent="0.25">
      <c r="A2" s="5" t="s">
        <v>7342</v>
      </c>
      <c r="B2" s="5" t="s">
        <v>1067</v>
      </c>
      <c r="C2" s="5" t="s">
        <v>248</v>
      </c>
      <c r="D2" s="5" t="s">
        <v>7816</v>
      </c>
      <c r="E2" s="6">
        <v>23.9</v>
      </c>
      <c r="F2" s="6">
        <v>24.4</v>
      </c>
      <c r="G2" s="5">
        <v>443</v>
      </c>
      <c r="H2" s="5">
        <v>452</v>
      </c>
    </row>
    <row r="3" spans="1:8" x14ac:dyDescent="0.25">
      <c r="A3" s="5" t="s">
        <v>7343</v>
      </c>
      <c r="B3" s="5" t="s">
        <v>1067</v>
      </c>
      <c r="C3" s="5" t="s">
        <v>248</v>
      </c>
      <c r="D3" s="5" t="s">
        <v>7816</v>
      </c>
      <c r="E3" s="6">
        <v>22.9</v>
      </c>
      <c r="F3" s="6">
        <v>22.7</v>
      </c>
      <c r="G3" s="5">
        <v>425</v>
      </c>
      <c r="H3" s="5">
        <v>424</v>
      </c>
    </row>
    <row r="4" spans="1:8" x14ac:dyDescent="0.25">
      <c r="A4" s="5" t="s">
        <v>7344</v>
      </c>
      <c r="B4" s="5" t="s">
        <v>1067</v>
      </c>
      <c r="C4" s="5" t="s">
        <v>248</v>
      </c>
      <c r="D4" s="5" t="s">
        <v>7816</v>
      </c>
      <c r="E4" s="6">
        <v>25.1</v>
      </c>
      <c r="F4" s="6">
        <v>23.6</v>
      </c>
      <c r="G4" s="5">
        <v>470</v>
      </c>
      <c r="H4" s="5">
        <v>440</v>
      </c>
    </row>
    <row r="5" spans="1:8" x14ac:dyDescent="0.25">
      <c r="A5" s="5" t="s">
        <v>7345</v>
      </c>
      <c r="B5" s="5" t="s">
        <v>1067</v>
      </c>
      <c r="C5" s="5" t="s">
        <v>248</v>
      </c>
      <c r="D5" s="5" t="s">
        <v>7816</v>
      </c>
      <c r="E5" s="6">
        <v>24.4</v>
      </c>
      <c r="F5" s="6">
        <v>20.9</v>
      </c>
      <c r="G5" s="5">
        <v>457</v>
      </c>
      <c r="H5" s="5">
        <v>385</v>
      </c>
    </row>
    <row r="6" spans="1:8" x14ac:dyDescent="0.25">
      <c r="A6" s="5" t="s">
        <v>7346</v>
      </c>
      <c r="B6" s="5" t="s">
        <v>1067</v>
      </c>
      <c r="C6" s="5" t="s">
        <v>248</v>
      </c>
      <c r="D6" s="5" t="s">
        <v>7816</v>
      </c>
      <c r="E6" s="6">
        <v>24</v>
      </c>
      <c r="F6" s="6">
        <v>19.899999999999999</v>
      </c>
      <c r="G6" s="5">
        <v>448</v>
      </c>
      <c r="H6" s="5">
        <v>369</v>
      </c>
    </row>
    <row r="7" spans="1:8" x14ac:dyDescent="0.25">
      <c r="A7" s="5" t="s">
        <v>7347</v>
      </c>
      <c r="B7" s="5" t="s">
        <v>1067</v>
      </c>
      <c r="C7" s="5" t="s">
        <v>248</v>
      </c>
      <c r="D7" s="5" t="s">
        <v>7816</v>
      </c>
      <c r="E7" s="6">
        <v>19.600000000000001</v>
      </c>
      <c r="F7" s="6">
        <v>22.1</v>
      </c>
      <c r="G7" s="5">
        <v>365</v>
      </c>
      <c r="H7" s="5">
        <v>411</v>
      </c>
    </row>
    <row r="8" spans="1:8" x14ac:dyDescent="0.25">
      <c r="A8" s="5" t="s">
        <v>7348</v>
      </c>
      <c r="B8" s="5" t="s">
        <v>1067</v>
      </c>
      <c r="C8" s="5" t="s">
        <v>248</v>
      </c>
      <c r="D8" s="5" t="s">
        <v>7816</v>
      </c>
      <c r="E8" s="6">
        <v>19.5</v>
      </c>
      <c r="F8" s="6">
        <v>20.7</v>
      </c>
      <c r="G8" s="5">
        <v>373</v>
      </c>
      <c r="H8" s="5">
        <v>391</v>
      </c>
    </row>
    <row r="9" spans="1:8" x14ac:dyDescent="0.25">
      <c r="A9" s="5" t="s">
        <v>7349</v>
      </c>
      <c r="B9" s="5" t="s">
        <v>1067</v>
      </c>
      <c r="C9" s="5" t="s">
        <v>248</v>
      </c>
      <c r="D9" s="5" t="s">
        <v>7816</v>
      </c>
      <c r="E9" s="6">
        <v>19.2</v>
      </c>
      <c r="F9" s="6">
        <v>20.100000000000001</v>
      </c>
      <c r="G9" s="5">
        <v>358</v>
      </c>
      <c r="H9" s="5">
        <v>371</v>
      </c>
    </row>
    <row r="10" spans="1:8" x14ac:dyDescent="0.25">
      <c r="A10" s="5" t="s">
        <v>7350</v>
      </c>
      <c r="B10" s="5" t="s">
        <v>1067</v>
      </c>
      <c r="C10" s="5" t="s">
        <v>248</v>
      </c>
      <c r="D10" s="5" t="s">
        <v>7816</v>
      </c>
      <c r="E10" s="6">
        <v>20.9</v>
      </c>
      <c r="F10" s="6">
        <v>18</v>
      </c>
      <c r="G10" s="5">
        <v>389</v>
      </c>
      <c r="H10" s="5">
        <v>334</v>
      </c>
    </row>
    <row r="11" spans="1:8" x14ac:dyDescent="0.25">
      <c r="A11" s="5" t="s">
        <v>7351</v>
      </c>
      <c r="B11" s="5" t="s">
        <v>1067</v>
      </c>
      <c r="C11" s="5" t="s">
        <v>248</v>
      </c>
      <c r="D11" s="5" t="s">
        <v>7816</v>
      </c>
      <c r="E11" s="6">
        <v>23.2</v>
      </c>
      <c r="F11" s="6">
        <v>17.2</v>
      </c>
      <c r="G11" s="5">
        <v>436</v>
      </c>
      <c r="H11" s="5">
        <v>315</v>
      </c>
    </row>
    <row r="12" spans="1:8" x14ac:dyDescent="0.25">
      <c r="A12" s="5" t="s">
        <v>7352</v>
      </c>
      <c r="B12" s="5" t="s">
        <v>1067</v>
      </c>
      <c r="C12" s="5" t="s">
        <v>248</v>
      </c>
      <c r="D12" s="5" t="s">
        <v>7816</v>
      </c>
      <c r="E12" s="6">
        <v>20.7</v>
      </c>
      <c r="F12" s="6">
        <v>15.5</v>
      </c>
      <c r="G12" s="5">
        <v>389</v>
      </c>
      <c r="H12" s="5">
        <v>280</v>
      </c>
    </row>
    <row r="13" spans="1:8" x14ac:dyDescent="0.25">
      <c r="A13" s="5" t="s">
        <v>7353</v>
      </c>
      <c r="B13" s="5" t="s">
        <v>1067</v>
      </c>
      <c r="C13" s="5" t="s">
        <v>248</v>
      </c>
      <c r="D13" s="5" t="s">
        <v>7816</v>
      </c>
      <c r="E13" s="6">
        <v>20.100000000000001</v>
      </c>
      <c r="F13" s="6">
        <v>13.6</v>
      </c>
      <c r="G13" s="5">
        <v>376</v>
      </c>
      <c r="H13" s="5">
        <v>249</v>
      </c>
    </row>
    <row r="14" spans="1:8" x14ac:dyDescent="0.25">
      <c r="A14" s="5" t="s">
        <v>7354</v>
      </c>
      <c r="B14" s="5" t="s">
        <v>1067</v>
      </c>
      <c r="C14" s="5" t="s">
        <v>248</v>
      </c>
      <c r="D14" s="5" t="s">
        <v>7816</v>
      </c>
      <c r="E14" s="6">
        <v>18.7</v>
      </c>
      <c r="F14" s="6">
        <v>16.2</v>
      </c>
      <c r="G14" s="5">
        <v>346</v>
      </c>
      <c r="H14" s="5">
        <v>297</v>
      </c>
    </row>
    <row r="15" spans="1:8" x14ac:dyDescent="0.25">
      <c r="A15" s="5" t="s">
        <v>7355</v>
      </c>
      <c r="B15" s="5" t="s">
        <v>1067</v>
      </c>
      <c r="C15" s="5" t="s">
        <v>248</v>
      </c>
      <c r="D15" s="5" t="s">
        <v>7816</v>
      </c>
      <c r="E15" s="6">
        <v>17.399999999999999</v>
      </c>
      <c r="F15" s="6">
        <v>17.100000000000001</v>
      </c>
      <c r="G15" s="5">
        <v>318</v>
      </c>
      <c r="H15" s="5">
        <v>318</v>
      </c>
    </row>
    <row r="16" spans="1:8" x14ac:dyDescent="0.25">
      <c r="A16" s="5" t="s">
        <v>7356</v>
      </c>
      <c r="B16" s="5" t="s">
        <v>1067</v>
      </c>
      <c r="C16" s="5" t="s">
        <v>248</v>
      </c>
      <c r="D16" s="5" t="s">
        <v>7816</v>
      </c>
      <c r="E16" s="6">
        <v>18.399999999999999</v>
      </c>
      <c r="F16" s="6">
        <v>18</v>
      </c>
      <c r="G16" s="5">
        <v>336</v>
      </c>
      <c r="H16" s="5">
        <v>341</v>
      </c>
    </row>
    <row r="17" spans="1:8" x14ac:dyDescent="0.25">
      <c r="A17" s="5" t="s">
        <v>7357</v>
      </c>
      <c r="B17" s="5" t="s">
        <v>1067</v>
      </c>
      <c r="C17" s="5" t="s">
        <v>248</v>
      </c>
      <c r="D17" s="5" t="s">
        <v>7816</v>
      </c>
      <c r="E17" s="6">
        <v>15.5</v>
      </c>
      <c r="F17" s="6">
        <v>15.3</v>
      </c>
      <c r="G17" s="5">
        <v>283</v>
      </c>
      <c r="H17" s="5">
        <v>278</v>
      </c>
    </row>
    <row r="18" spans="1:8" x14ac:dyDescent="0.25">
      <c r="A18" s="5" t="s">
        <v>7358</v>
      </c>
      <c r="B18" s="5" t="s">
        <v>1067</v>
      </c>
      <c r="C18" s="5" t="s">
        <v>248</v>
      </c>
      <c r="D18" s="5" t="s">
        <v>7816</v>
      </c>
      <c r="E18" s="6">
        <v>16.100000000000001</v>
      </c>
      <c r="F18" s="6">
        <v>13.8</v>
      </c>
      <c r="G18" s="5">
        <v>301</v>
      </c>
      <c r="H18" s="5">
        <v>253</v>
      </c>
    </row>
    <row r="19" spans="1:8" x14ac:dyDescent="0.25">
      <c r="A19" s="5" t="s">
        <v>7359</v>
      </c>
      <c r="B19" s="5" t="s">
        <v>1067</v>
      </c>
      <c r="C19" s="5" t="s">
        <v>248</v>
      </c>
      <c r="D19" s="5" t="s">
        <v>7816</v>
      </c>
      <c r="E19" s="6">
        <v>18.2</v>
      </c>
      <c r="F19" s="6">
        <v>13.2</v>
      </c>
      <c r="G19" s="5">
        <v>337</v>
      </c>
      <c r="H19" s="5">
        <v>239</v>
      </c>
    </row>
    <row r="20" spans="1:8" x14ac:dyDescent="0.25">
      <c r="A20" s="5" t="s">
        <v>7360</v>
      </c>
      <c r="B20" s="5" t="s">
        <v>1067</v>
      </c>
      <c r="C20" s="5" t="s">
        <v>248</v>
      </c>
      <c r="D20" s="5" t="s">
        <v>7816</v>
      </c>
      <c r="E20" s="6">
        <v>14</v>
      </c>
      <c r="F20" s="6">
        <v>13.4</v>
      </c>
      <c r="G20" s="5">
        <v>252</v>
      </c>
      <c r="H20" s="5">
        <v>246</v>
      </c>
    </row>
    <row r="21" spans="1:8" x14ac:dyDescent="0.25">
      <c r="A21" s="5" t="s">
        <v>7361</v>
      </c>
      <c r="B21" s="5" t="s">
        <v>1067</v>
      </c>
      <c r="C21" s="5" t="s">
        <v>248</v>
      </c>
      <c r="D21" s="5" t="s">
        <v>7816</v>
      </c>
      <c r="E21" s="6">
        <v>14.1</v>
      </c>
      <c r="F21" s="6">
        <v>11.4</v>
      </c>
      <c r="G21" s="5">
        <v>256</v>
      </c>
      <c r="H21" s="5">
        <v>208</v>
      </c>
    </row>
    <row r="22" spans="1:8" x14ac:dyDescent="0.25">
      <c r="A22" s="5" t="s">
        <v>7362</v>
      </c>
      <c r="B22" s="5" t="s">
        <v>1067</v>
      </c>
      <c r="C22" s="5" t="s">
        <v>248</v>
      </c>
      <c r="D22" s="5" t="s">
        <v>7816</v>
      </c>
      <c r="E22" s="6">
        <v>15.9</v>
      </c>
      <c r="F22" s="6">
        <v>11</v>
      </c>
      <c r="G22" s="5">
        <v>291</v>
      </c>
      <c r="H22" s="5">
        <v>197</v>
      </c>
    </row>
    <row r="23" spans="1:8" x14ac:dyDescent="0.25">
      <c r="A23" s="5" t="s">
        <v>7363</v>
      </c>
      <c r="B23" s="5" t="s">
        <v>1067</v>
      </c>
      <c r="C23" s="5" t="s">
        <v>248</v>
      </c>
      <c r="D23" s="5" t="s">
        <v>7816</v>
      </c>
      <c r="E23" s="6">
        <v>16.899999999999999</v>
      </c>
      <c r="F23" s="6">
        <v>11.2</v>
      </c>
      <c r="G23" s="5">
        <v>309</v>
      </c>
      <c r="H23" s="5">
        <v>202</v>
      </c>
    </row>
    <row r="24" spans="1:8" x14ac:dyDescent="0.25">
      <c r="A24" s="5" t="s">
        <v>7364</v>
      </c>
      <c r="B24" s="5" t="s">
        <v>1067</v>
      </c>
      <c r="C24" s="5" t="s">
        <v>248</v>
      </c>
      <c r="D24" s="5" t="s">
        <v>7816</v>
      </c>
      <c r="E24" s="6">
        <v>18.600000000000001</v>
      </c>
      <c r="F24" s="6">
        <v>9.5</v>
      </c>
      <c r="G24" s="5">
        <v>337</v>
      </c>
      <c r="H24" s="5">
        <v>167</v>
      </c>
    </row>
    <row r="25" spans="1:8" x14ac:dyDescent="0.25">
      <c r="A25" s="5" t="s">
        <v>7365</v>
      </c>
      <c r="B25" s="5" t="s">
        <v>1067</v>
      </c>
      <c r="C25" s="5" t="s">
        <v>248</v>
      </c>
      <c r="D25" s="5" t="s">
        <v>7816</v>
      </c>
      <c r="E25" s="6">
        <v>16.3</v>
      </c>
      <c r="F25" s="6">
        <v>7.8</v>
      </c>
      <c r="G25" s="5">
        <v>307</v>
      </c>
      <c r="H25" s="5">
        <v>135</v>
      </c>
    </row>
    <row r="26" spans="1:8" x14ac:dyDescent="0.25">
      <c r="A26" s="5" t="s">
        <v>7366</v>
      </c>
      <c r="B26" s="5" t="s">
        <v>1067</v>
      </c>
      <c r="C26" s="5" t="s">
        <v>408</v>
      </c>
      <c r="D26" s="5" t="s">
        <v>7816</v>
      </c>
      <c r="E26" s="6">
        <v>23.1</v>
      </c>
      <c r="F26" s="6">
        <v>35.799999999999997</v>
      </c>
      <c r="G26" s="5">
        <v>430</v>
      </c>
      <c r="H26" s="5">
        <v>679</v>
      </c>
    </row>
    <row r="27" spans="1:8" x14ac:dyDescent="0.25">
      <c r="A27" s="5" t="s">
        <v>7367</v>
      </c>
      <c r="B27" s="5" t="s">
        <v>1067</v>
      </c>
      <c r="C27" s="5" t="s">
        <v>408</v>
      </c>
      <c r="D27" s="5" t="s">
        <v>7816</v>
      </c>
      <c r="E27" s="6">
        <v>21.8</v>
      </c>
      <c r="F27" s="6">
        <v>34</v>
      </c>
      <c r="G27" s="5">
        <v>417</v>
      </c>
      <c r="H27" s="5">
        <v>646</v>
      </c>
    </row>
    <row r="28" spans="1:8" x14ac:dyDescent="0.25">
      <c r="A28" s="5" t="s">
        <v>7368</v>
      </c>
      <c r="B28" s="5" t="s">
        <v>1067</v>
      </c>
      <c r="C28" s="5" t="s">
        <v>408</v>
      </c>
      <c r="D28" s="5" t="s">
        <v>7816</v>
      </c>
      <c r="E28" s="6">
        <v>20.8</v>
      </c>
      <c r="F28" s="6">
        <v>35.700000000000003</v>
      </c>
      <c r="G28" s="5">
        <v>387</v>
      </c>
      <c r="H28" s="5">
        <v>676</v>
      </c>
    </row>
    <row r="29" spans="1:8" x14ac:dyDescent="0.25">
      <c r="A29" s="5" t="s">
        <v>7369</v>
      </c>
      <c r="B29" s="5" t="s">
        <v>1067</v>
      </c>
      <c r="C29" s="5" t="s">
        <v>408</v>
      </c>
      <c r="D29" s="5" t="s">
        <v>7816</v>
      </c>
      <c r="E29" s="6">
        <v>20.2</v>
      </c>
      <c r="F29" s="6">
        <v>34.5</v>
      </c>
      <c r="G29" s="5">
        <v>373</v>
      </c>
      <c r="H29" s="5">
        <v>654</v>
      </c>
    </row>
    <row r="30" spans="1:8" x14ac:dyDescent="0.25">
      <c r="A30" s="5" t="s">
        <v>7370</v>
      </c>
      <c r="B30" s="5" t="s">
        <v>1067</v>
      </c>
      <c r="C30" s="5" t="s">
        <v>408</v>
      </c>
      <c r="D30" s="5" t="s">
        <v>7816</v>
      </c>
      <c r="E30" s="6">
        <v>18.7</v>
      </c>
      <c r="F30" s="6">
        <v>35.200000000000003</v>
      </c>
      <c r="G30" s="5">
        <v>347</v>
      </c>
      <c r="H30" s="5">
        <v>669</v>
      </c>
    </row>
    <row r="31" spans="1:8" x14ac:dyDescent="0.25">
      <c r="A31" s="5" t="s">
        <v>7371</v>
      </c>
      <c r="B31" s="5" t="s">
        <v>1067</v>
      </c>
      <c r="C31" s="5" t="s">
        <v>408</v>
      </c>
      <c r="D31" s="5" t="s">
        <v>7816</v>
      </c>
      <c r="E31" s="6">
        <v>16.8</v>
      </c>
      <c r="F31" s="6">
        <v>35</v>
      </c>
      <c r="G31" s="5">
        <v>308</v>
      </c>
      <c r="H31" s="5">
        <v>664</v>
      </c>
    </row>
    <row r="32" spans="1:8" x14ac:dyDescent="0.25">
      <c r="A32" s="5" t="s">
        <v>7372</v>
      </c>
      <c r="B32" s="5" t="s">
        <v>1067</v>
      </c>
      <c r="C32" s="5" t="s">
        <v>408</v>
      </c>
      <c r="D32" s="5" t="s">
        <v>7816</v>
      </c>
      <c r="E32" s="6">
        <v>19.899999999999999</v>
      </c>
      <c r="F32" s="6">
        <v>37.200000000000003</v>
      </c>
      <c r="G32" s="5">
        <v>367</v>
      </c>
      <c r="H32" s="5">
        <v>701</v>
      </c>
    </row>
    <row r="33" spans="1:8" x14ac:dyDescent="0.25">
      <c r="A33" s="5" t="s">
        <v>7373</v>
      </c>
      <c r="B33" s="5" t="s">
        <v>1067</v>
      </c>
      <c r="C33" s="5" t="s">
        <v>408</v>
      </c>
      <c r="D33" s="5" t="s">
        <v>7816</v>
      </c>
      <c r="E33" s="6">
        <v>224</v>
      </c>
      <c r="F33" s="6">
        <v>37.700000000000003</v>
      </c>
      <c r="G33" s="5">
        <v>418</v>
      </c>
      <c r="H33" s="5">
        <v>719</v>
      </c>
    </row>
    <row r="34" spans="1:8" x14ac:dyDescent="0.25">
      <c r="A34" s="5" t="s">
        <v>7374</v>
      </c>
      <c r="B34" s="5" t="s">
        <v>1067</v>
      </c>
      <c r="C34" s="5" t="s">
        <v>408</v>
      </c>
      <c r="D34" s="5" t="s">
        <v>7816</v>
      </c>
      <c r="E34" s="6">
        <v>20</v>
      </c>
      <c r="F34" s="6">
        <v>31.3</v>
      </c>
      <c r="G34" s="5">
        <v>374</v>
      </c>
      <c r="H34" s="5">
        <v>595</v>
      </c>
    </row>
    <row r="35" spans="1:8" x14ac:dyDescent="0.25">
      <c r="A35" s="5" t="s">
        <v>7375</v>
      </c>
      <c r="B35" s="5" t="s">
        <v>1067</v>
      </c>
      <c r="C35" s="5" t="s">
        <v>408</v>
      </c>
      <c r="D35" s="5" t="s">
        <v>7816</v>
      </c>
      <c r="E35" s="6">
        <v>24.5</v>
      </c>
      <c r="F35" s="6">
        <v>26.2</v>
      </c>
      <c r="G35" s="5">
        <v>460</v>
      </c>
      <c r="H35" s="5">
        <v>494</v>
      </c>
    </row>
    <row r="36" spans="1:8" x14ac:dyDescent="0.25">
      <c r="A36" s="5" t="s">
        <v>7376</v>
      </c>
      <c r="B36" s="5" t="s">
        <v>1067</v>
      </c>
      <c r="C36" s="5" t="s">
        <v>408</v>
      </c>
      <c r="D36" s="5" t="s">
        <v>7816</v>
      </c>
      <c r="E36" s="6">
        <v>26.4</v>
      </c>
      <c r="F36" s="6">
        <v>26.2</v>
      </c>
      <c r="G36" s="5">
        <v>500</v>
      </c>
      <c r="H36" s="5">
        <v>490</v>
      </c>
    </row>
    <row r="37" spans="1:8" x14ac:dyDescent="0.25">
      <c r="A37" s="5" t="s">
        <v>7377</v>
      </c>
      <c r="B37" s="5" t="s">
        <v>1067</v>
      </c>
      <c r="C37" s="5" t="s">
        <v>408</v>
      </c>
      <c r="D37" s="5" t="s">
        <v>7816</v>
      </c>
      <c r="E37" s="6">
        <v>25.9</v>
      </c>
      <c r="F37" s="6">
        <v>24.7</v>
      </c>
      <c r="G37" s="5">
        <v>490</v>
      </c>
      <c r="H37" s="5">
        <v>471</v>
      </c>
    </row>
    <row r="38" spans="1:8" x14ac:dyDescent="0.25">
      <c r="A38" s="5" t="s">
        <v>7378</v>
      </c>
      <c r="B38" s="5" t="s">
        <v>1067</v>
      </c>
      <c r="C38" s="5" t="s">
        <v>408</v>
      </c>
      <c r="D38" s="5" t="s">
        <v>7816</v>
      </c>
      <c r="E38" s="6">
        <v>25.1</v>
      </c>
      <c r="F38" s="6">
        <v>22.2</v>
      </c>
      <c r="G38" s="5">
        <v>468</v>
      </c>
      <c r="H38" s="5">
        <v>417</v>
      </c>
    </row>
    <row r="39" spans="1:8" x14ac:dyDescent="0.25">
      <c r="A39" s="5" t="s">
        <v>7379</v>
      </c>
      <c r="B39" s="5" t="s">
        <v>1067</v>
      </c>
      <c r="C39" s="5" t="s">
        <v>408</v>
      </c>
      <c r="D39" s="5" t="s">
        <v>7816</v>
      </c>
      <c r="E39" s="6">
        <v>28.9</v>
      </c>
      <c r="F39" s="6">
        <v>20.399999999999999</v>
      </c>
      <c r="G39" s="5">
        <v>547</v>
      </c>
      <c r="H39" s="5">
        <v>374</v>
      </c>
    </row>
    <row r="40" spans="1:8" x14ac:dyDescent="0.25">
      <c r="A40" s="5" t="s">
        <v>7380</v>
      </c>
      <c r="B40" s="5" t="s">
        <v>1067</v>
      </c>
      <c r="C40" s="5" t="s">
        <v>408</v>
      </c>
      <c r="D40" s="5" t="s">
        <v>7816</v>
      </c>
      <c r="E40" s="6">
        <v>28.9</v>
      </c>
      <c r="F40" s="6">
        <v>17.899999999999999</v>
      </c>
      <c r="G40" s="5">
        <v>542</v>
      </c>
      <c r="H40" s="5">
        <v>336</v>
      </c>
    </row>
    <row r="41" spans="1:8" x14ac:dyDescent="0.25">
      <c r="A41" s="5" t="s">
        <v>7381</v>
      </c>
      <c r="B41" s="5" t="s">
        <v>1067</v>
      </c>
      <c r="C41" s="5" t="s">
        <v>408</v>
      </c>
      <c r="D41" s="5" t="s">
        <v>7816</v>
      </c>
      <c r="E41" s="6">
        <v>29</v>
      </c>
      <c r="F41" s="6">
        <v>16.7</v>
      </c>
      <c r="G41" s="5">
        <v>549</v>
      </c>
      <c r="H41" s="5">
        <v>308</v>
      </c>
    </row>
    <row r="42" spans="1:8" x14ac:dyDescent="0.25">
      <c r="A42" s="5" t="s">
        <v>7382</v>
      </c>
      <c r="B42" s="5" t="s">
        <v>1067</v>
      </c>
      <c r="C42" s="5" t="s">
        <v>408</v>
      </c>
      <c r="D42" s="5" t="s">
        <v>7816</v>
      </c>
      <c r="E42" s="6">
        <v>30.2</v>
      </c>
      <c r="F42" s="6">
        <v>14.1</v>
      </c>
      <c r="G42" s="5">
        <v>568</v>
      </c>
      <c r="H42" s="5">
        <v>258</v>
      </c>
    </row>
    <row r="43" spans="1:8" x14ac:dyDescent="0.25">
      <c r="A43" s="5" t="s">
        <v>7383</v>
      </c>
      <c r="B43" s="5" t="s">
        <v>1067</v>
      </c>
      <c r="C43" s="5" t="s">
        <v>408</v>
      </c>
      <c r="D43" s="5" t="s">
        <v>7816</v>
      </c>
      <c r="E43" s="6">
        <v>31.4</v>
      </c>
      <c r="F43" s="6">
        <v>16.399999999999999</v>
      </c>
      <c r="G43" s="5">
        <v>588</v>
      </c>
      <c r="H43" s="5">
        <v>302</v>
      </c>
    </row>
    <row r="44" spans="1:8" x14ac:dyDescent="0.25">
      <c r="A44" s="5" t="s">
        <v>7384</v>
      </c>
      <c r="B44" s="5" t="s">
        <v>1067</v>
      </c>
      <c r="C44" s="5" t="s">
        <v>408</v>
      </c>
      <c r="D44" s="5" t="s">
        <v>7816</v>
      </c>
      <c r="E44" s="6">
        <v>33.299999999999997</v>
      </c>
      <c r="F44" s="6">
        <v>15.9</v>
      </c>
      <c r="G44" s="5">
        <v>627</v>
      </c>
      <c r="H44" s="5">
        <v>288</v>
      </c>
    </row>
    <row r="45" spans="1:8" x14ac:dyDescent="0.25">
      <c r="A45" s="5" t="s">
        <v>7385</v>
      </c>
      <c r="B45" s="5" t="s">
        <v>1067</v>
      </c>
      <c r="C45" s="5" t="s">
        <v>408</v>
      </c>
      <c r="D45" s="5" t="s">
        <v>7816</v>
      </c>
      <c r="E45" s="6">
        <v>33.6</v>
      </c>
      <c r="F45" s="6">
        <v>17.399999999999999</v>
      </c>
      <c r="G45" s="5">
        <v>636</v>
      </c>
      <c r="H45" s="5">
        <v>321</v>
      </c>
    </row>
    <row r="46" spans="1:8" x14ac:dyDescent="0.25">
      <c r="A46" s="5" t="s">
        <v>7386</v>
      </c>
      <c r="B46" s="5" t="s">
        <v>1067</v>
      </c>
      <c r="C46" s="5" t="s">
        <v>412</v>
      </c>
      <c r="D46" s="5" t="s">
        <v>7816</v>
      </c>
      <c r="E46" s="6">
        <v>15.7</v>
      </c>
      <c r="F46" s="6">
        <v>34.1</v>
      </c>
      <c r="G46" s="5">
        <v>291</v>
      </c>
      <c r="H46" s="5">
        <v>649</v>
      </c>
    </row>
    <row r="47" spans="1:8" x14ac:dyDescent="0.25">
      <c r="A47" s="5" t="s">
        <v>7387</v>
      </c>
      <c r="B47" s="5" t="s">
        <v>1067</v>
      </c>
      <c r="C47" s="5" t="s">
        <v>412</v>
      </c>
      <c r="D47" s="5" t="s">
        <v>7816</v>
      </c>
      <c r="E47" s="6">
        <v>16.8</v>
      </c>
      <c r="F47" s="6">
        <v>35.9</v>
      </c>
      <c r="G47" s="5">
        <v>305</v>
      </c>
      <c r="H47" s="5">
        <v>677</v>
      </c>
    </row>
    <row r="48" spans="1:8" x14ac:dyDescent="0.25">
      <c r="A48" s="5" t="s">
        <v>7388</v>
      </c>
      <c r="B48" s="5" t="s">
        <v>1067</v>
      </c>
      <c r="C48" s="5" t="s">
        <v>412</v>
      </c>
      <c r="D48" s="5" t="s">
        <v>7816</v>
      </c>
      <c r="E48" s="6">
        <v>13.9</v>
      </c>
      <c r="F48" s="6">
        <v>35.1</v>
      </c>
      <c r="G48" s="5">
        <v>254</v>
      </c>
      <c r="H48" s="5">
        <v>664</v>
      </c>
    </row>
    <row r="49" spans="1:8" x14ac:dyDescent="0.25">
      <c r="A49" s="5" t="s">
        <v>7389</v>
      </c>
      <c r="B49" s="5" t="s">
        <v>1067</v>
      </c>
      <c r="C49" s="5" t="s">
        <v>412</v>
      </c>
      <c r="D49" s="5" t="s">
        <v>7816</v>
      </c>
      <c r="E49" s="6">
        <v>33.299999999999997</v>
      </c>
      <c r="F49" s="6">
        <v>29.9</v>
      </c>
      <c r="G49" s="5">
        <v>626</v>
      </c>
      <c r="H49" s="5">
        <v>560</v>
      </c>
    </row>
    <row r="50" spans="1:8" x14ac:dyDescent="0.25">
      <c r="A50" s="5" t="s">
        <v>7390</v>
      </c>
      <c r="B50" s="5" t="s">
        <v>1067</v>
      </c>
      <c r="C50" s="5" t="s">
        <v>412</v>
      </c>
      <c r="D50" s="5" t="s">
        <v>7816</v>
      </c>
      <c r="E50" s="6">
        <v>32.1</v>
      </c>
      <c r="F50" s="6">
        <v>29.3</v>
      </c>
      <c r="G50" s="5">
        <v>605</v>
      </c>
      <c r="H50" s="5">
        <v>542</v>
      </c>
    </row>
    <row r="51" spans="1:8" x14ac:dyDescent="0.25">
      <c r="A51" s="5" t="s">
        <v>7391</v>
      </c>
      <c r="B51" s="5" t="s">
        <v>1067</v>
      </c>
      <c r="C51" s="5" t="s">
        <v>412</v>
      </c>
      <c r="D51" s="5" t="s">
        <v>7816</v>
      </c>
      <c r="E51" s="6">
        <v>30.8</v>
      </c>
      <c r="F51" s="6">
        <v>29.5</v>
      </c>
      <c r="G51" s="5">
        <v>584</v>
      </c>
      <c r="H51" s="5">
        <v>557</v>
      </c>
    </row>
    <row r="52" spans="1:8" x14ac:dyDescent="0.25">
      <c r="A52" s="5" t="s">
        <v>7392</v>
      </c>
      <c r="B52" s="5" t="s">
        <v>1067</v>
      </c>
      <c r="C52" s="5" t="s">
        <v>412</v>
      </c>
      <c r="D52" s="5" t="s">
        <v>7816</v>
      </c>
      <c r="E52" s="6">
        <v>31</v>
      </c>
      <c r="F52" s="6">
        <v>27.5</v>
      </c>
      <c r="G52" s="5">
        <v>586</v>
      </c>
      <c r="H52" s="5">
        <v>517</v>
      </c>
    </row>
    <row r="53" spans="1:8" x14ac:dyDescent="0.25">
      <c r="A53" s="5" t="s">
        <v>7393</v>
      </c>
      <c r="B53" s="5" t="s">
        <v>1067</v>
      </c>
      <c r="C53" s="5" t="s">
        <v>412</v>
      </c>
      <c r="D53" s="5" t="s">
        <v>7816</v>
      </c>
      <c r="E53" s="6">
        <v>35.200000000000003</v>
      </c>
      <c r="F53" s="6">
        <v>28.7</v>
      </c>
      <c r="G53" s="5">
        <v>655</v>
      </c>
      <c r="H53" s="5">
        <v>536</v>
      </c>
    </row>
    <row r="54" spans="1:8" x14ac:dyDescent="0.25">
      <c r="A54" s="5" t="s">
        <v>7394</v>
      </c>
      <c r="B54" s="5" t="s">
        <v>1067</v>
      </c>
      <c r="C54" s="5" t="s">
        <v>412</v>
      </c>
      <c r="D54" s="5" t="s">
        <v>7816</v>
      </c>
      <c r="E54" s="6">
        <v>28.9</v>
      </c>
      <c r="F54" s="6">
        <v>25.4</v>
      </c>
      <c r="G54" s="5">
        <v>541</v>
      </c>
      <c r="H54" s="5">
        <v>475</v>
      </c>
    </row>
    <row r="55" spans="1:8" x14ac:dyDescent="0.25">
      <c r="A55" s="5" t="s">
        <v>7395</v>
      </c>
      <c r="B55" s="5" t="s">
        <v>1067</v>
      </c>
      <c r="C55" s="5" t="s">
        <v>412</v>
      </c>
      <c r="D55" s="5" t="s">
        <v>7816</v>
      </c>
      <c r="E55" s="6">
        <v>27.8</v>
      </c>
      <c r="F55" s="6">
        <v>23.4</v>
      </c>
      <c r="G55" s="5">
        <v>519</v>
      </c>
      <c r="H55" s="5">
        <v>445</v>
      </c>
    </row>
    <row r="56" spans="1:8" x14ac:dyDescent="0.25">
      <c r="A56" s="5" t="s">
        <v>7396</v>
      </c>
      <c r="B56" s="5" t="s">
        <v>1067</v>
      </c>
      <c r="C56" s="5" t="s">
        <v>412</v>
      </c>
      <c r="D56" s="5" t="s">
        <v>7816</v>
      </c>
      <c r="E56" s="6">
        <v>26.3</v>
      </c>
      <c r="F56" s="6">
        <v>23.3</v>
      </c>
      <c r="G56" s="5">
        <v>498</v>
      </c>
      <c r="H56" s="5">
        <v>437</v>
      </c>
    </row>
    <row r="57" spans="1:8" x14ac:dyDescent="0.25">
      <c r="A57" s="5" t="s">
        <v>7397</v>
      </c>
      <c r="B57" s="5" t="s">
        <v>1067</v>
      </c>
      <c r="C57" s="5" t="s">
        <v>412</v>
      </c>
      <c r="D57" s="5" t="s">
        <v>7816</v>
      </c>
      <c r="E57" s="6">
        <v>25.2</v>
      </c>
      <c r="F57" s="6">
        <v>22.6</v>
      </c>
      <c r="G57" s="5">
        <v>467</v>
      </c>
      <c r="H57" s="5">
        <v>422</v>
      </c>
    </row>
    <row r="58" spans="1:8" x14ac:dyDescent="0.25">
      <c r="A58" s="5" t="s">
        <v>7398</v>
      </c>
      <c r="B58" s="5" t="s">
        <v>1067</v>
      </c>
      <c r="C58" s="5" t="s">
        <v>412</v>
      </c>
      <c r="D58" s="5" t="s">
        <v>7816</v>
      </c>
      <c r="E58" s="6">
        <v>23.4</v>
      </c>
      <c r="F58" s="6">
        <v>24.6</v>
      </c>
      <c r="G58" s="5">
        <v>434</v>
      </c>
      <c r="H58" s="5">
        <v>454</v>
      </c>
    </row>
    <row r="59" spans="1:8" x14ac:dyDescent="0.25">
      <c r="A59" s="5" t="s">
        <v>7399</v>
      </c>
      <c r="B59" s="5" t="s">
        <v>1067</v>
      </c>
      <c r="C59" s="5" t="s">
        <v>412</v>
      </c>
      <c r="D59" s="5" t="s">
        <v>7816</v>
      </c>
      <c r="E59" s="6">
        <v>23.4</v>
      </c>
      <c r="F59" s="6">
        <v>21.6</v>
      </c>
      <c r="G59" s="5">
        <v>436</v>
      </c>
      <c r="H59" s="5">
        <v>400</v>
      </c>
    </row>
    <row r="60" spans="1:8" x14ac:dyDescent="0.25">
      <c r="A60" s="5" t="s">
        <v>7400</v>
      </c>
      <c r="B60" s="5" t="s">
        <v>1067</v>
      </c>
      <c r="C60" s="5" t="s">
        <v>412</v>
      </c>
      <c r="D60" s="5" t="s">
        <v>7817</v>
      </c>
      <c r="E60" s="6">
        <v>19.7</v>
      </c>
      <c r="F60" s="6">
        <v>21.8</v>
      </c>
      <c r="G60" s="5">
        <v>368</v>
      </c>
      <c r="H60" s="5">
        <v>409</v>
      </c>
    </row>
    <row r="61" spans="1:8" x14ac:dyDescent="0.25">
      <c r="A61" s="5" t="s">
        <v>7401</v>
      </c>
      <c r="B61" s="5" t="s">
        <v>1067</v>
      </c>
      <c r="C61" s="5" t="s">
        <v>412</v>
      </c>
      <c r="D61" s="5" t="s">
        <v>7817</v>
      </c>
      <c r="E61" s="6">
        <v>19.100000000000001</v>
      </c>
      <c r="F61" s="6">
        <v>19.399999999999999</v>
      </c>
      <c r="G61" s="5">
        <v>359</v>
      </c>
      <c r="H61" s="5">
        <v>361</v>
      </c>
    </row>
    <row r="62" spans="1:8" x14ac:dyDescent="0.25">
      <c r="A62" s="5" t="s">
        <v>7402</v>
      </c>
      <c r="B62" s="5" t="s">
        <v>1067</v>
      </c>
      <c r="C62" s="5" t="s">
        <v>412</v>
      </c>
      <c r="D62" s="5" t="s">
        <v>7817</v>
      </c>
      <c r="E62" s="6">
        <v>20.100000000000001</v>
      </c>
      <c r="F62" s="6">
        <v>18.3</v>
      </c>
      <c r="G62" s="5">
        <v>376</v>
      </c>
      <c r="H62" s="5">
        <v>339</v>
      </c>
    </row>
    <row r="63" spans="1:8" x14ac:dyDescent="0.25">
      <c r="A63" s="5" t="s">
        <v>7403</v>
      </c>
      <c r="B63" s="5" t="s">
        <v>1067</v>
      </c>
      <c r="C63" s="5" t="s">
        <v>412</v>
      </c>
      <c r="D63" s="5" t="s">
        <v>7817</v>
      </c>
      <c r="E63" s="6">
        <v>16.899999999999999</v>
      </c>
      <c r="F63" s="6">
        <v>19.100000000000001</v>
      </c>
      <c r="G63" s="5">
        <v>311</v>
      </c>
      <c r="H63" s="5">
        <v>354</v>
      </c>
    </row>
    <row r="64" spans="1:8" x14ac:dyDescent="0.25">
      <c r="A64" s="5" t="s">
        <v>7404</v>
      </c>
      <c r="B64" s="5" t="s">
        <v>1067</v>
      </c>
      <c r="C64" s="5" t="s">
        <v>412</v>
      </c>
      <c r="D64" s="5" t="s">
        <v>7817</v>
      </c>
      <c r="E64" s="6">
        <v>14.2</v>
      </c>
      <c r="F64" s="6">
        <v>17</v>
      </c>
      <c r="G64" s="5">
        <v>256</v>
      </c>
      <c r="H64" s="5">
        <v>312</v>
      </c>
    </row>
    <row r="65" spans="1:8" x14ac:dyDescent="0.25">
      <c r="A65" s="5" t="s">
        <v>7405</v>
      </c>
      <c r="B65" s="5" t="s">
        <v>1067</v>
      </c>
      <c r="C65" s="5" t="s">
        <v>412</v>
      </c>
      <c r="D65" s="5" t="s">
        <v>7817</v>
      </c>
      <c r="E65" s="6">
        <v>15.7</v>
      </c>
      <c r="F65" s="6">
        <v>14.3</v>
      </c>
      <c r="G65" s="5">
        <v>290</v>
      </c>
      <c r="H65" s="5">
        <v>262</v>
      </c>
    </row>
    <row r="66" spans="1:8" x14ac:dyDescent="0.25">
      <c r="A66" s="5" t="s">
        <v>7406</v>
      </c>
      <c r="B66" s="5" t="s">
        <v>1067</v>
      </c>
      <c r="C66" s="5" t="s">
        <v>412</v>
      </c>
      <c r="D66" s="5" t="s">
        <v>7817</v>
      </c>
      <c r="E66" s="6">
        <v>14.1</v>
      </c>
      <c r="F66" s="6">
        <v>15.7</v>
      </c>
      <c r="G66" s="5">
        <v>254</v>
      </c>
      <c r="H66" s="5">
        <v>286</v>
      </c>
    </row>
    <row r="67" spans="1:8" x14ac:dyDescent="0.25">
      <c r="A67" s="5" t="s">
        <v>7407</v>
      </c>
      <c r="B67" s="5" t="s">
        <v>1067</v>
      </c>
      <c r="C67" s="5" t="s">
        <v>412</v>
      </c>
      <c r="D67" s="5" t="s">
        <v>7817</v>
      </c>
      <c r="E67" s="6">
        <v>14.4</v>
      </c>
      <c r="F67" s="6">
        <v>14.2</v>
      </c>
      <c r="G67" s="5">
        <v>259</v>
      </c>
      <c r="H67" s="5">
        <v>260</v>
      </c>
    </row>
    <row r="68" spans="1:8" x14ac:dyDescent="0.25">
      <c r="A68" s="5" t="s">
        <v>7408</v>
      </c>
      <c r="B68" s="5" t="s">
        <v>1067</v>
      </c>
      <c r="C68" s="5" t="s">
        <v>412</v>
      </c>
      <c r="D68" s="5" t="s">
        <v>7817</v>
      </c>
      <c r="E68" s="6">
        <v>13</v>
      </c>
      <c r="F68" s="6">
        <v>14.4</v>
      </c>
      <c r="G68" s="5">
        <v>233</v>
      </c>
      <c r="H68" s="5">
        <v>263</v>
      </c>
    </row>
    <row r="69" spans="1:8" x14ac:dyDescent="0.25">
      <c r="A69" s="5" t="s">
        <v>7409</v>
      </c>
      <c r="B69" s="5" t="s">
        <v>1067</v>
      </c>
      <c r="C69" s="5" t="s">
        <v>475</v>
      </c>
      <c r="D69" s="5" t="s">
        <v>7816</v>
      </c>
      <c r="E69" s="6">
        <v>22.4</v>
      </c>
      <c r="F69" s="6">
        <v>24.7</v>
      </c>
      <c r="G69" s="5">
        <v>418</v>
      </c>
      <c r="H69" s="5">
        <v>463</v>
      </c>
    </row>
    <row r="70" spans="1:8" x14ac:dyDescent="0.25">
      <c r="A70" s="5" t="s">
        <v>7410</v>
      </c>
      <c r="B70" s="5" t="s">
        <v>1067</v>
      </c>
      <c r="C70" s="5" t="s">
        <v>475</v>
      </c>
      <c r="D70" s="5" t="s">
        <v>7816</v>
      </c>
      <c r="E70" s="6">
        <v>19.8</v>
      </c>
      <c r="F70" s="6">
        <v>25</v>
      </c>
      <c r="G70" s="5">
        <v>372</v>
      </c>
      <c r="H70" s="5">
        <v>470</v>
      </c>
    </row>
    <row r="71" spans="1:8" x14ac:dyDescent="0.25">
      <c r="A71" s="5" t="s">
        <v>7411</v>
      </c>
      <c r="B71" s="5" t="s">
        <v>1067</v>
      </c>
      <c r="C71" s="5" t="s">
        <v>475</v>
      </c>
      <c r="D71" s="5" t="s">
        <v>7816</v>
      </c>
      <c r="E71" s="6">
        <v>18.2</v>
      </c>
      <c r="F71" s="6">
        <v>26.2</v>
      </c>
      <c r="G71" s="5">
        <v>334</v>
      </c>
      <c r="H71" s="5">
        <v>494</v>
      </c>
    </row>
    <row r="72" spans="1:8" x14ac:dyDescent="0.25">
      <c r="A72" s="5" t="s">
        <v>7412</v>
      </c>
      <c r="B72" s="5" t="s">
        <v>1067</v>
      </c>
      <c r="C72" s="5" t="s">
        <v>475</v>
      </c>
      <c r="D72" s="5" t="s">
        <v>7816</v>
      </c>
      <c r="E72" s="6">
        <v>17.399999999999999</v>
      </c>
      <c r="F72" s="6">
        <v>28.1</v>
      </c>
      <c r="G72" s="5">
        <v>321</v>
      </c>
      <c r="H72" s="5">
        <v>525</v>
      </c>
    </row>
    <row r="73" spans="1:8" x14ac:dyDescent="0.25">
      <c r="A73" s="5" t="s">
        <v>7413</v>
      </c>
      <c r="B73" s="5" t="s">
        <v>1067</v>
      </c>
      <c r="C73" s="5" t="s">
        <v>475</v>
      </c>
      <c r="D73" s="5" t="s">
        <v>7816</v>
      </c>
      <c r="E73" s="6">
        <v>17.3</v>
      </c>
      <c r="F73" s="6">
        <v>30</v>
      </c>
      <c r="G73" s="5">
        <v>317</v>
      </c>
      <c r="H73" s="5">
        <v>571</v>
      </c>
    </row>
    <row r="74" spans="1:8" x14ac:dyDescent="0.25">
      <c r="A74" s="5" t="s">
        <v>7414</v>
      </c>
      <c r="B74" s="5" t="s">
        <v>1067</v>
      </c>
      <c r="C74" s="5" t="s">
        <v>475</v>
      </c>
      <c r="D74" s="5" t="s">
        <v>7816</v>
      </c>
      <c r="E74" s="6">
        <v>14.8</v>
      </c>
      <c r="F74" s="6">
        <v>18.7</v>
      </c>
      <c r="G74" s="5">
        <v>269</v>
      </c>
      <c r="H74" s="5">
        <v>542</v>
      </c>
    </row>
    <row r="75" spans="1:8" x14ac:dyDescent="0.25">
      <c r="A75" s="5" t="s">
        <v>7415</v>
      </c>
      <c r="B75" s="5" t="s">
        <v>1067</v>
      </c>
      <c r="C75" s="5" t="s">
        <v>475</v>
      </c>
      <c r="D75" s="5" t="s">
        <v>7816</v>
      </c>
      <c r="E75" s="6">
        <v>15</v>
      </c>
      <c r="F75" s="6">
        <v>30.3</v>
      </c>
      <c r="G75" s="5">
        <v>273</v>
      </c>
      <c r="H75" s="5">
        <v>572</v>
      </c>
    </row>
    <row r="76" spans="1:8" x14ac:dyDescent="0.25">
      <c r="A76" s="5" t="s">
        <v>7416</v>
      </c>
      <c r="B76" s="5" t="s">
        <v>1067</v>
      </c>
      <c r="C76" s="5" t="s">
        <v>475</v>
      </c>
      <c r="D76" s="5" t="s">
        <v>7816</v>
      </c>
      <c r="E76" s="6">
        <v>21.3</v>
      </c>
      <c r="F76" s="6">
        <v>28.3</v>
      </c>
      <c r="G76" s="5">
        <v>398</v>
      </c>
      <c r="H76" s="5">
        <v>531</v>
      </c>
    </row>
    <row r="77" spans="1:8" x14ac:dyDescent="0.25">
      <c r="A77" s="5" t="s">
        <v>7417</v>
      </c>
      <c r="B77" s="5" t="s">
        <v>1067</v>
      </c>
      <c r="C77" s="5" t="s">
        <v>475</v>
      </c>
      <c r="D77" s="5" t="s">
        <v>7816</v>
      </c>
      <c r="E77" s="6">
        <v>21.1</v>
      </c>
      <c r="F77" s="6">
        <v>29.3</v>
      </c>
      <c r="G77" s="5">
        <v>392</v>
      </c>
      <c r="H77" s="5">
        <v>554</v>
      </c>
    </row>
    <row r="78" spans="1:8" x14ac:dyDescent="0.25">
      <c r="A78" s="5" t="s">
        <v>7418</v>
      </c>
      <c r="B78" s="5" t="s">
        <v>1067</v>
      </c>
      <c r="C78" s="5" t="s">
        <v>475</v>
      </c>
      <c r="D78" s="5" t="s">
        <v>7816</v>
      </c>
      <c r="E78" s="6">
        <v>16.5</v>
      </c>
      <c r="F78" s="6">
        <v>32.799999999999997</v>
      </c>
      <c r="G78" s="5">
        <v>304</v>
      </c>
      <c r="H78" s="5">
        <v>618</v>
      </c>
    </row>
    <row r="79" spans="1:8" x14ac:dyDescent="0.25">
      <c r="A79" s="5" t="s">
        <v>7419</v>
      </c>
      <c r="B79" s="5" t="s">
        <v>1067</v>
      </c>
      <c r="C79" s="5" t="s">
        <v>475</v>
      </c>
      <c r="D79" s="5" t="s">
        <v>7816</v>
      </c>
      <c r="E79" s="6">
        <v>17.100000000000001</v>
      </c>
      <c r="F79" s="6">
        <v>33.5</v>
      </c>
      <c r="G79" s="5">
        <v>314</v>
      </c>
      <c r="H79" s="5">
        <v>635</v>
      </c>
    </row>
    <row r="80" spans="1:8" x14ac:dyDescent="0.25">
      <c r="A80" s="5" t="s">
        <v>7420</v>
      </c>
      <c r="B80" s="5" t="s">
        <v>1067</v>
      </c>
      <c r="C80" s="5" t="s">
        <v>475</v>
      </c>
      <c r="D80" s="5" t="s">
        <v>7816</v>
      </c>
      <c r="E80" s="6">
        <v>19.2</v>
      </c>
      <c r="F80" s="6">
        <v>30.6</v>
      </c>
      <c r="G80" s="5">
        <v>361</v>
      </c>
      <c r="H80" s="5">
        <v>581</v>
      </c>
    </row>
    <row r="81" spans="1:8" x14ac:dyDescent="0.25">
      <c r="A81" s="5" t="s">
        <v>7421</v>
      </c>
      <c r="B81" s="5" t="s">
        <v>1067</v>
      </c>
      <c r="C81" s="5" t="s">
        <v>475</v>
      </c>
      <c r="D81" s="5" t="s">
        <v>7816</v>
      </c>
      <c r="E81" s="6">
        <v>20.5</v>
      </c>
      <c r="F81" s="6">
        <v>33.1</v>
      </c>
      <c r="G81" s="5">
        <v>384</v>
      </c>
      <c r="H81" s="5">
        <v>620</v>
      </c>
    </row>
    <row r="82" spans="1:8" x14ac:dyDescent="0.25">
      <c r="A82" s="5" t="s">
        <v>7422</v>
      </c>
      <c r="B82" s="5" t="s">
        <v>1067</v>
      </c>
      <c r="C82" s="5" t="s">
        <v>475</v>
      </c>
      <c r="D82" s="5" t="s">
        <v>7816</v>
      </c>
      <c r="E82" s="6">
        <v>21.5</v>
      </c>
      <c r="F82" s="6">
        <v>31.1</v>
      </c>
      <c r="G82" s="5">
        <v>398</v>
      </c>
      <c r="H82" s="5">
        <v>593</v>
      </c>
    </row>
    <row r="83" spans="1:8" x14ac:dyDescent="0.25">
      <c r="A83" s="5" t="s">
        <v>7423</v>
      </c>
      <c r="B83" s="5" t="s">
        <v>1067</v>
      </c>
      <c r="C83" s="5" t="s">
        <v>475</v>
      </c>
      <c r="D83" s="5" t="s">
        <v>7818</v>
      </c>
      <c r="E83" s="6">
        <v>31.9</v>
      </c>
      <c r="F83" s="6">
        <v>27.1</v>
      </c>
      <c r="G83" s="5">
        <v>603</v>
      </c>
      <c r="H83" s="5">
        <v>513</v>
      </c>
    </row>
    <row r="84" spans="1:8" x14ac:dyDescent="0.25">
      <c r="A84" s="5" t="s">
        <v>7424</v>
      </c>
      <c r="B84" s="5" t="s">
        <v>1067</v>
      </c>
      <c r="C84" s="5" t="s">
        <v>475</v>
      </c>
      <c r="D84" s="5" t="s">
        <v>7818</v>
      </c>
      <c r="E84" s="6">
        <v>27.7</v>
      </c>
      <c r="F84" s="6">
        <v>24.6</v>
      </c>
      <c r="G84" s="5">
        <v>522</v>
      </c>
      <c r="H84" s="5">
        <v>468</v>
      </c>
    </row>
    <row r="85" spans="1:8" x14ac:dyDescent="0.25">
      <c r="A85" s="5" t="s">
        <v>7425</v>
      </c>
      <c r="B85" s="5" t="s">
        <v>1067</v>
      </c>
      <c r="C85" s="5" t="s">
        <v>475</v>
      </c>
      <c r="D85" s="5" t="s">
        <v>7818</v>
      </c>
      <c r="E85" s="6">
        <v>28.2</v>
      </c>
      <c r="F85" s="6">
        <v>26.2</v>
      </c>
      <c r="G85" s="5">
        <v>530</v>
      </c>
      <c r="H85" s="5">
        <v>491</v>
      </c>
    </row>
    <row r="86" spans="1:8" x14ac:dyDescent="0.25">
      <c r="A86" s="5" t="s">
        <v>7426</v>
      </c>
      <c r="B86" s="5" t="s">
        <v>1067</v>
      </c>
      <c r="C86" s="5" t="s">
        <v>475</v>
      </c>
      <c r="D86" s="5" t="s">
        <v>7818</v>
      </c>
      <c r="E86" s="6">
        <v>28.2</v>
      </c>
      <c r="F86" s="6">
        <v>27.8</v>
      </c>
      <c r="G86" s="5">
        <v>533</v>
      </c>
      <c r="H86" s="5">
        <v>526</v>
      </c>
    </row>
    <row r="87" spans="1:8" x14ac:dyDescent="0.25">
      <c r="A87" s="5" t="s">
        <v>7427</v>
      </c>
      <c r="B87" s="5" t="s">
        <v>1067</v>
      </c>
      <c r="C87" s="5" t="s">
        <v>475</v>
      </c>
      <c r="D87" s="5" t="s">
        <v>7818</v>
      </c>
      <c r="E87" s="6">
        <v>30.1</v>
      </c>
      <c r="F87" s="6">
        <v>24.6</v>
      </c>
      <c r="G87" s="5">
        <v>568</v>
      </c>
      <c r="H87" s="5">
        <v>468</v>
      </c>
    </row>
    <row r="88" spans="1:8" x14ac:dyDescent="0.25">
      <c r="A88" s="5" t="s">
        <v>7428</v>
      </c>
      <c r="B88" s="5" t="s">
        <v>1067</v>
      </c>
      <c r="C88" s="5" t="s">
        <v>475</v>
      </c>
      <c r="D88" s="5" t="s">
        <v>7818</v>
      </c>
      <c r="E88" s="6">
        <v>30.6</v>
      </c>
      <c r="F88" s="6">
        <v>27.7</v>
      </c>
      <c r="G88" s="5">
        <v>582</v>
      </c>
      <c r="H88" s="5">
        <v>502</v>
      </c>
    </row>
    <row r="89" spans="1:8" x14ac:dyDescent="0.25">
      <c r="A89" s="5" t="s">
        <v>7429</v>
      </c>
      <c r="B89" s="5" t="s">
        <v>1067</v>
      </c>
      <c r="C89" s="5" t="s">
        <v>475</v>
      </c>
      <c r="D89" s="5" t="s">
        <v>7818</v>
      </c>
      <c r="E89" s="6">
        <v>26.7</v>
      </c>
      <c r="F89" s="6">
        <v>31</v>
      </c>
      <c r="G89" s="5">
        <v>504</v>
      </c>
      <c r="H89" s="5">
        <v>586</v>
      </c>
    </row>
    <row r="90" spans="1:8" x14ac:dyDescent="0.25">
      <c r="A90" s="5" t="s">
        <v>7430</v>
      </c>
      <c r="B90" s="5" t="s">
        <v>1067</v>
      </c>
      <c r="C90" s="5" t="s">
        <v>475</v>
      </c>
      <c r="D90" s="5" t="s">
        <v>7818</v>
      </c>
      <c r="E90" s="6">
        <v>26.5</v>
      </c>
      <c r="F90" s="6">
        <v>35.200000000000003</v>
      </c>
      <c r="G90" s="5">
        <v>490</v>
      </c>
      <c r="H90" s="5">
        <v>638</v>
      </c>
    </row>
    <row r="91" spans="1:8" x14ac:dyDescent="0.25">
      <c r="A91" s="5" t="s">
        <v>7431</v>
      </c>
      <c r="B91" s="5" t="s">
        <v>1067</v>
      </c>
      <c r="C91" s="5" t="s">
        <v>475</v>
      </c>
      <c r="D91" s="5" t="s">
        <v>7818</v>
      </c>
      <c r="E91" s="6">
        <v>27.1</v>
      </c>
      <c r="F91" s="6">
        <v>34.299999999999997</v>
      </c>
      <c r="G91" s="5">
        <v>507</v>
      </c>
      <c r="H91" s="5">
        <v>628</v>
      </c>
    </row>
    <row r="92" spans="1:8" x14ac:dyDescent="0.25">
      <c r="A92" s="5" t="s">
        <v>7432</v>
      </c>
      <c r="B92" s="5" t="s">
        <v>1067</v>
      </c>
      <c r="C92" s="5" t="s">
        <v>475</v>
      </c>
      <c r="D92" s="5" t="s">
        <v>7818</v>
      </c>
      <c r="E92" s="6">
        <v>28.8</v>
      </c>
      <c r="F92" s="6">
        <v>35.6</v>
      </c>
      <c r="G92" s="5">
        <v>545</v>
      </c>
      <c r="H92" s="5">
        <v>675</v>
      </c>
    </row>
    <row r="93" spans="1:8" x14ac:dyDescent="0.25">
      <c r="A93" s="5" t="s">
        <v>7433</v>
      </c>
      <c r="B93" s="5" t="s">
        <v>1067</v>
      </c>
      <c r="C93" s="5" t="s">
        <v>475</v>
      </c>
      <c r="D93" s="5" t="s">
        <v>7818</v>
      </c>
      <c r="E93" s="6">
        <v>31.5</v>
      </c>
      <c r="F93" s="6">
        <v>36.1</v>
      </c>
      <c r="G93" s="5">
        <v>595</v>
      </c>
      <c r="H93" s="5">
        <v>684</v>
      </c>
    </row>
    <row r="94" spans="1:8" x14ac:dyDescent="0.25">
      <c r="A94" s="5" t="s">
        <v>7434</v>
      </c>
      <c r="B94" s="5" t="s">
        <v>1067</v>
      </c>
      <c r="C94" s="5" t="s">
        <v>475</v>
      </c>
      <c r="D94" s="5" t="s">
        <v>7812</v>
      </c>
      <c r="E94" s="6">
        <v>25.5</v>
      </c>
      <c r="F94" s="6">
        <v>21.8</v>
      </c>
      <c r="G94" s="5">
        <v>482</v>
      </c>
      <c r="H94" s="5">
        <v>409</v>
      </c>
    </row>
    <row r="95" spans="1:8" x14ac:dyDescent="0.25">
      <c r="A95" s="5" t="s">
        <v>7435</v>
      </c>
      <c r="B95" s="5" t="s">
        <v>1067</v>
      </c>
      <c r="C95" s="5" t="s">
        <v>475</v>
      </c>
      <c r="D95" s="5" t="s">
        <v>7812</v>
      </c>
      <c r="E95" s="6">
        <v>25.6</v>
      </c>
      <c r="F95" s="6">
        <v>20.5</v>
      </c>
      <c r="G95" s="5">
        <v>477</v>
      </c>
      <c r="H95" s="5">
        <v>385</v>
      </c>
    </row>
    <row r="96" spans="1:8" x14ac:dyDescent="0.25">
      <c r="A96" s="5" t="s">
        <v>7436</v>
      </c>
      <c r="B96" s="5" t="s">
        <v>1067</v>
      </c>
      <c r="C96" s="5" t="s">
        <v>475</v>
      </c>
      <c r="D96" s="5" t="s">
        <v>7812</v>
      </c>
      <c r="E96" s="6">
        <v>28.6</v>
      </c>
      <c r="F96" s="6">
        <v>20.7</v>
      </c>
      <c r="G96" s="5">
        <v>537</v>
      </c>
      <c r="H96" s="5">
        <v>384</v>
      </c>
    </row>
    <row r="97" spans="1:8" x14ac:dyDescent="0.25">
      <c r="A97" s="5" t="s">
        <v>7437</v>
      </c>
      <c r="B97" s="5" t="s">
        <v>1067</v>
      </c>
      <c r="C97" s="5" t="s">
        <v>475</v>
      </c>
      <c r="D97" s="5" t="s">
        <v>7812</v>
      </c>
      <c r="E97" s="6">
        <v>29.1</v>
      </c>
      <c r="F97" s="6">
        <v>21.5</v>
      </c>
      <c r="G97" s="5">
        <v>549</v>
      </c>
      <c r="H97" s="5">
        <v>401</v>
      </c>
    </row>
    <row r="98" spans="1:8" x14ac:dyDescent="0.25">
      <c r="A98" s="5" t="s">
        <v>7438</v>
      </c>
      <c r="B98" s="5" t="s">
        <v>1067</v>
      </c>
      <c r="C98" s="5" t="s">
        <v>475</v>
      </c>
      <c r="D98" s="5" t="s">
        <v>7812</v>
      </c>
      <c r="E98" s="6">
        <v>29.1</v>
      </c>
      <c r="F98" s="6">
        <v>19.7</v>
      </c>
      <c r="G98" s="5">
        <v>547</v>
      </c>
      <c r="H98" s="5">
        <v>364</v>
      </c>
    </row>
    <row r="99" spans="1:8" x14ac:dyDescent="0.25">
      <c r="A99" s="5" t="s">
        <v>7439</v>
      </c>
      <c r="B99" s="5" t="s">
        <v>1067</v>
      </c>
      <c r="C99" s="5" t="s">
        <v>475</v>
      </c>
      <c r="D99" s="5" t="s">
        <v>7812</v>
      </c>
      <c r="E99" s="6">
        <v>30.5</v>
      </c>
      <c r="F99" s="6">
        <v>19.100000000000001</v>
      </c>
      <c r="G99" s="5">
        <v>572</v>
      </c>
      <c r="H99" s="5">
        <v>356</v>
      </c>
    </row>
    <row r="100" spans="1:8" x14ac:dyDescent="0.25">
      <c r="A100" s="5" t="s">
        <v>7440</v>
      </c>
      <c r="B100" s="5" t="s">
        <v>1067</v>
      </c>
      <c r="C100" s="5" t="s">
        <v>389</v>
      </c>
      <c r="D100" s="5" t="s">
        <v>7816</v>
      </c>
      <c r="E100" s="6">
        <v>28.9</v>
      </c>
      <c r="F100" s="6">
        <v>21.2</v>
      </c>
      <c r="G100" s="5">
        <v>547</v>
      </c>
      <c r="H100" s="5">
        <v>395</v>
      </c>
    </row>
    <row r="101" spans="1:8" x14ac:dyDescent="0.25">
      <c r="A101" s="5" t="s">
        <v>7441</v>
      </c>
      <c r="B101" s="5" t="s">
        <v>1067</v>
      </c>
      <c r="C101" s="5" t="s">
        <v>389</v>
      </c>
      <c r="D101" s="5" t="s">
        <v>7816</v>
      </c>
      <c r="E101" s="6">
        <v>27.9</v>
      </c>
      <c r="F101" s="6">
        <v>21.5</v>
      </c>
      <c r="G101" s="5">
        <v>525</v>
      </c>
      <c r="H101" s="5">
        <v>401</v>
      </c>
    </row>
    <row r="102" spans="1:8" x14ac:dyDescent="0.25">
      <c r="A102" s="5" t="s">
        <v>7442</v>
      </c>
      <c r="B102" s="5" t="s">
        <v>1067</v>
      </c>
      <c r="C102" s="5" t="s">
        <v>389</v>
      </c>
      <c r="D102" s="5" t="s">
        <v>7816</v>
      </c>
      <c r="E102" s="6">
        <v>28.7</v>
      </c>
      <c r="F102" s="6">
        <v>21.7</v>
      </c>
      <c r="G102" s="5">
        <v>542</v>
      </c>
      <c r="H102" s="5">
        <v>414</v>
      </c>
    </row>
    <row r="103" spans="1:8" x14ac:dyDescent="0.25">
      <c r="A103" s="5" t="s">
        <v>7443</v>
      </c>
      <c r="B103" s="5" t="s">
        <v>1067</v>
      </c>
      <c r="C103" s="5" t="s">
        <v>389</v>
      </c>
      <c r="D103" s="5" t="s">
        <v>7816</v>
      </c>
      <c r="E103" s="6">
        <v>27.7</v>
      </c>
      <c r="F103" s="6">
        <v>19.899999999999999</v>
      </c>
      <c r="G103" s="5">
        <v>520</v>
      </c>
      <c r="H103" s="5">
        <v>368</v>
      </c>
    </row>
    <row r="104" spans="1:8" x14ac:dyDescent="0.25">
      <c r="A104" s="5" t="s">
        <v>7444</v>
      </c>
      <c r="B104" s="5" t="s">
        <v>1067</v>
      </c>
      <c r="C104" s="5" t="s">
        <v>389</v>
      </c>
      <c r="D104" s="5" t="s">
        <v>7816</v>
      </c>
      <c r="E104" s="6">
        <v>27.5</v>
      </c>
      <c r="F104" s="6">
        <v>24.2</v>
      </c>
      <c r="G104" s="5">
        <v>524</v>
      </c>
      <c r="H104" s="5">
        <v>449</v>
      </c>
    </row>
    <row r="105" spans="1:8" x14ac:dyDescent="0.25">
      <c r="A105" s="5" t="s">
        <v>7445</v>
      </c>
      <c r="B105" s="5" t="s">
        <v>1067</v>
      </c>
      <c r="C105" s="5" t="s">
        <v>389</v>
      </c>
      <c r="D105" s="5" t="s">
        <v>7816</v>
      </c>
      <c r="E105" s="6">
        <v>29.9</v>
      </c>
      <c r="F105" s="6">
        <v>23.8</v>
      </c>
      <c r="G105" s="5">
        <v>562</v>
      </c>
      <c r="H105" s="5">
        <v>449</v>
      </c>
    </row>
    <row r="106" spans="1:8" x14ac:dyDescent="0.25">
      <c r="A106" s="5" t="s">
        <v>7446</v>
      </c>
      <c r="B106" s="5" t="s">
        <v>1067</v>
      </c>
      <c r="C106" s="5" t="s">
        <v>389</v>
      </c>
      <c r="D106" s="5" t="s">
        <v>7816</v>
      </c>
      <c r="E106" s="6">
        <v>28.3</v>
      </c>
      <c r="F106" s="6">
        <v>25.6</v>
      </c>
      <c r="G106" s="5">
        <v>529</v>
      </c>
      <c r="H106" s="5">
        <v>482</v>
      </c>
    </row>
    <row r="107" spans="1:8" x14ac:dyDescent="0.25">
      <c r="A107" s="5" t="s">
        <v>7447</v>
      </c>
      <c r="B107" s="5" t="s">
        <v>1067</v>
      </c>
      <c r="C107" s="5" t="s">
        <v>389</v>
      </c>
      <c r="D107" s="5" t="s">
        <v>7816</v>
      </c>
      <c r="E107" s="6">
        <v>30.6</v>
      </c>
      <c r="F107" s="6">
        <v>25.2</v>
      </c>
      <c r="G107" s="5">
        <v>577</v>
      </c>
      <c r="H107" s="5">
        <v>471</v>
      </c>
    </row>
    <row r="108" spans="1:8" x14ac:dyDescent="0.25">
      <c r="A108" s="5" t="s">
        <v>7448</v>
      </c>
      <c r="B108" s="5" t="s">
        <v>1067</v>
      </c>
      <c r="C108" s="5" t="s">
        <v>389</v>
      </c>
      <c r="D108" s="5" t="s">
        <v>7816</v>
      </c>
      <c r="E108" s="6">
        <v>33.1</v>
      </c>
      <c r="F108" s="6">
        <v>25.8</v>
      </c>
      <c r="G108" s="5">
        <v>631</v>
      </c>
      <c r="H108" s="5">
        <v>483</v>
      </c>
    </row>
    <row r="109" spans="1:8" x14ac:dyDescent="0.25">
      <c r="A109" s="5" t="s">
        <v>7449</v>
      </c>
      <c r="B109" s="5" t="s">
        <v>1067</v>
      </c>
      <c r="C109" s="5" t="s">
        <v>389</v>
      </c>
      <c r="D109" s="5" t="s">
        <v>7816</v>
      </c>
      <c r="E109" s="6">
        <v>33.799999999999997</v>
      </c>
      <c r="F109" s="6">
        <v>24</v>
      </c>
      <c r="G109" s="5">
        <v>641</v>
      </c>
      <c r="H109" s="5">
        <v>448</v>
      </c>
    </row>
    <row r="110" spans="1:8" x14ac:dyDescent="0.25">
      <c r="A110" s="5" t="s">
        <v>7450</v>
      </c>
      <c r="B110" s="5" t="s">
        <v>1067</v>
      </c>
      <c r="C110" s="5" t="s">
        <v>389</v>
      </c>
      <c r="D110" s="5" t="s">
        <v>7816</v>
      </c>
      <c r="E110" s="6">
        <v>35.200000000000003</v>
      </c>
      <c r="F110" s="6">
        <v>23.6</v>
      </c>
      <c r="G110" s="5">
        <v>671</v>
      </c>
      <c r="H110" s="5">
        <v>444</v>
      </c>
    </row>
    <row r="111" spans="1:8" x14ac:dyDescent="0.25">
      <c r="A111" s="5" t="s">
        <v>7451</v>
      </c>
      <c r="B111" s="5" t="s">
        <v>1067</v>
      </c>
      <c r="C111" s="5" t="s">
        <v>389</v>
      </c>
      <c r="D111" s="5" t="s">
        <v>7816</v>
      </c>
      <c r="E111" s="6">
        <v>13.5</v>
      </c>
      <c r="F111" s="6">
        <v>25.6</v>
      </c>
      <c r="G111" s="5">
        <v>245</v>
      </c>
      <c r="H111" s="5">
        <v>481</v>
      </c>
    </row>
    <row r="112" spans="1:8" x14ac:dyDescent="0.25">
      <c r="A112" s="5" t="s">
        <v>7452</v>
      </c>
      <c r="B112" s="5" t="s">
        <v>1067</v>
      </c>
      <c r="C112" s="5" t="s">
        <v>389</v>
      </c>
      <c r="D112" s="5" t="s">
        <v>7816</v>
      </c>
      <c r="E112" s="6">
        <v>12.3</v>
      </c>
      <c r="F112" s="6">
        <v>25.1</v>
      </c>
      <c r="G112" s="5">
        <v>222</v>
      </c>
      <c r="H112" s="5">
        <v>473</v>
      </c>
    </row>
    <row r="113" spans="1:8" x14ac:dyDescent="0.25">
      <c r="A113" s="5" t="s">
        <v>7453</v>
      </c>
      <c r="B113" s="5" t="s">
        <v>1067</v>
      </c>
      <c r="C113" s="5" t="s">
        <v>389</v>
      </c>
      <c r="D113" s="5" t="s">
        <v>7816</v>
      </c>
      <c r="E113" s="6">
        <v>12.8</v>
      </c>
      <c r="F113" s="6">
        <v>23.9</v>
      </c>
      <c r="G113" s="5">
        <v>233</v>
      </c>
      <c r="H113" s="5">
        <v>445</v>
      </c>
    </row>
    <row r="114" spans="1:8" x14ac:dyDescent="0.25">
      <c r="A114" s="5" t="s">
        <v>7454</v>
      </c>
      <c r="B114" s="5" t="s">
        <v>1067</v>
      </c>
      <c r="C114" s="5" t="s">
        <v>389</v>
      </c>
      <c r="D114" s="5" t="s">
        <v>7816</v>
      </c>
      <c r="E114" s="6">
        <v>11.6</v>
      </c>
      <c r="F114" s="6">
        <v>22.6</v>
      </c>
      <c r="G114" s="5">
        <v>207</v>
      </c>
      <c r="H114" s="5">
        <v>431</v>
      </c>
    </row>
    <row r="115" spans="1:8" x14ac:dyDescent="0.25">
      <c r="A115" s="5" t="s">
        <v>7455</v>
      </c>
      <c r="B115" s="5" t="s">
        <v>1067</v>
      </c>
      <c r="C115" s="5" t="s">
        <v>389</v>
      </c>
      <c r="D115" s="5" t="s">
        <v>7816</v>
      </c>
      <c r="E115" s="6">
        <v>11.9</v>
      </c>
      <c r="F115" s="6">
        <v>21.5</v>
      </c>
      <c r="G115" s="5">
        <v>210</v>
      </c>
      <c r="H115" s="5">
        <v>397</v>
      </c>
    </row>
    <row r="116" spans="1:8" x14ac:dyDescent="0.25">
      <c r="A116" s="5" t="s">
        <v>7456</v>
      </c>
      <c r="B116" s="5" t="s">
        <v>1067</v>
      </c>
      <c r="C116" s="5" t="s">
        <v>389</v>
      </c>
      <c r="D116" s="5" t="s">
        <v>7816</v>
      </c>
      <c r="E116" s="6">
        <v>10.7</v>
      </c>
      <c r="F116" s="6">
        <v>21.4</v>
      </c>
      <c r="G116" s="5">
        <v>188</v>
      </c>
      <c r="H116" s="5">
        <v>396</v>
      </c>
    </row>
    <row r="117" spans="1:8" x14ac:dyDescent="0.25">
      <c r="A117" s="5" t="s">
        <v>7457</v>
      </c>
      <c r="B117" s="5" t="s">
        <v>1067</v>
      </c>
      <c r="C117" s="5" t="s">
        <v>277</v>
      </c>
      <c r="D117" s="5" t="s">
        <v>7816</v>
      </c>
      <c r="E117" s="6">
        <v>16.2</v>
      </c>
      <c r="F117" s="6">
        <v>17.600000000000001</v>
      </c>
      <c r="G117" s="5">
        <v>300</v>
      </c>
      <c r="H117" s="5">
        <v>325</v>
      </c>
    </row>
    <row r="118" spans="1:8" x14ac:dyDescent="0.25">
      <c r="A118" s="5" t="s">
        <v>7458</v>
      </c>
      <c r="B118" s="5" t="s">
        <v>1067</v>
      </c>
      <c r="C118" s="5" t="s">
        <v>277</v>
      </c>
      <c r="D118" s="5" t="s">
        <v>7816</v>
      </c>
      <c r="E118" s="6">
        <v>14.7</v>
      </c>
      <c r="F118" s="6">
        <v>18.399999999999999</v>
      </c>
      <c r="G118" s="5">
        <v>270</v>
      </c>
      <c r="H118" s="5">
        <v>341</v>
      </c>
    </row>
    <row r="119" spans="1:8" x14ac:dyDescent="0.25">
      <c r="A119" s="5" t="s">
        <v>7459</v>
      </c>
      <c r="B119" s="5" t="s">
        <v>1067</v>
      </c>
      <c r="C119" s="5" t="s">
        <v>277</v>
      </c>
      <c r="D119" s="5" t="s">
        <v>7816</v>
      </c>
      <c r="E119" s="6">
        <v>14.4</v>
      </c>
      <c r="F119" s="6">
        <v>16.5</v>
      </c>
      <c r="G119" s="5">
        <v>267</v>
      </c>
      <c r="H119" s="5">
        <v>307</v>
      </c>
    </row>
    <row r="120" spans="1:8" x14ac:dyDescent="0.25">
      <c r="A120" s="5" t="s">
        <v>7460</v>
      </c>
      <c r="B120" s="5" t="s">
        <v>1067</v>
      </c>
      <c r="C120" s="5" t="s">
        <v>277</v>
      </c>
      <c r="D120" s="5" t="s">
        <v>7816</v>
      </c>
      <c r="E120" s="6">
        <v>13.5</v>
      </c>
      <c r="F120" s="6">
        <v>16.100000000000001</v>
      </c>
      <c r="G120" s="5">
        <v>246</v>
      </c>
      <c r="H120" s="5">
        <v>296</v>
      </c>
    </row>
    <row r="121" spans="1:8" x14ac:dyDescent="0.25">
      <c r="A121" s="5" t="s">
        <v>7461</v>
      </c>
      <c r="B121" s="5" t="s">
        <v>1067</v>
      </c>
      <c r="C121" s="5" t="s">
        <v>277</v>
      </c>
      <c r="D121" s="5" t="s">
        <v>7816</v>
      </c>
      <c r="E121" s="6">
        <v>15.2</v>
      </c>
      <c r="F121" s="6">
        <v>15</v>
      </c>
      <c r="G121" s="5">
        <v>279</v>
      </c>
      <c r="H121" s="5">
        <v>275</v>
      </c>
    </row>
    <row r="122" spans="1:8" x14ac:dyDescent="0.25">
      <c r="A122" s="5" t="s">
        <v>7462</v>
      </c>
      <c r="B122" s="5" t="s">
        <v>1067</v>
      </c>
      <c r="C122" s="5" t="s">
        <v>277</v>
      </c>
      <c r="D122" s="5" t="s">
        <v>7816</v>
      </c>
      <c r="E122" s="6">
        <v>14</v>
      </c>
      <c r="F122" s="6">
        <v>14</v>
      </c>
      <c r="G122" s="5">
        <v>255</v>
      </c>
      <c r="H122" s="5">
        <v>258</v>
      </c>
    </row>
    <row r="123" spans="1:8" x14ac:dyDescent="0.25">
      <c r="A123" s="5" t="s">
        <v>7463</v>
      </c>
      <c r="B123" s="5" t="s">
        <v>1067</v>
      </c>
      <c r="C123" s="5" t="s">
        <v>277</v>
      </c>
      <c r="D123" s="5" t="s">
        <v>7816</v>
      </c>
      <c r="E123" s="6">
        <v>15.3</v>
      </c>
      <c r="F123" s="6">
        <v>12.5</v>
      </c>
      <c r="G123" s="5">
        <v>279</v>
      </c>
      <c r="H123" s="5">
        <v>226</v>
      </c>
    </row>
    <row r="124" spans="1:8" x14ac:dyDescent="0.25">
      <c r="A124" s="5" t="s">
        <v>7464</v>
      </c>
      <c r="B124" s="5" t="s">
        <v>1067</v>
      </c>
      <c r="C124" s="5" t="s">
        <v>277</v>
      </c>
      <c r="D124" s="5" t="s">
        <v>7816</v>
      </c>
      <c r="E124" s="6">
        <v>15.5</v>
      </c>
      <c r="F124" s="6">
        <v>10.6</v>
      </c>
      <c r="G124" s="5">
        <v>284</v>
      </c>
      <c r="H124" s="5">
        <v>189</v>
      </c>
    </row>
    <row r="125" spans="1:8" x14ac:dyDescent="0.25">
      <c r="A125" s="5" t="s">
        <v>7465</v>
      </c>
      <c r="B125" s="5" t="s">
        <v>1067</v>
      </c>
      <c r="C125" s="5" t="s">
        <v>277</v>
      </c>
      <c r="D125" s="5" t="s">
        <v>7816</v>
      </c>
      <c r="E125" s="6">
        <v>19.100000000000001</v>
      </c>
      <c r="F125" s="6">
        <v>15.2</v>
      </c>
      <c r="G125" s="5">
        <v>352</v>
      </c>
      <c r="H125" s="5">
        <v>277</v>
      </c>
    </row>
    <row r="126" spans="1:8" x14ac:dyDescent="0.25">
      <c r="A126" s="5" t="s">
        <v>7466</v>
      </c>
      <c r="B126" s="5" t="s">
        <v>1067</v>
      </c>
      <c r="C126" s="5" t="s">
        <v>277</v>
      </c>
      <c r="D126" s="5" t="s">
        <v>7816</v>
      </c>
      <c r="E126" s="6">
        <v>22.7</v>
      </c>
      <c r="F126" s="6">
        <v>16.3</v>
      </c>
      <c r="G126" s="5">
        <v>425</v>
      </c>
      <c r="H126" s="5">
        <v>300</v>
      </c>
    </row>
    <row r="127" spans="1:8" x14ac:dyDescent="0.25">
      <c r="A127" s="5" t="s">
        <v>7467</v>
      </c>
      <c r="B127" s="5" t="s">
        <v>1067</v>
      </c>
      <c r="C127" s="5" t="s">
        <v>277</v>
      </c>
      <c r="D127" s="5" t="s">
        <v>7816</v>
      </c>
      <c r="E127" s="6">
        <v>22.9</v>
      </c>
      <c r="F127" s="6">
        <v>15.1</v>
      </c>
      <c r="G127" s="5">
        <v>427</v>
      </c>
      <c r="H127" s="5">
        <v>275</v>
      </c>
    </row>
    <row r="128" spans="1:8" x14ac:dyDescent="0.25">
      <c r="A128" s="5" t="s">
        <v>7468</v>
      </c>
      <c r="B128" s="5" t="s">
        <v>1067</v>
      </c>
      <c r="C128" s="5" t="s">
        <v>277</v>
      </c>
      <c r="D128" s="5" t="s">
        <v>7816</v>
      </c>
      <c r="E128" s="6">
        <v>21.1</v>
      </c>
      <c r="F128" s="6">
        <v>14.6</v>
      </c>
      <c r="G128" s="5">
        <v>394</v>
      </c>
      <c r="H128" s="5">
        <v>264</v>
      </c>
    </row>
    <row r="129" spans="1:8" x14ac:dyDescent="0.25">
      <c r="A129" s="5" t="s">
        <v>7469</v>
      </c>
      <c r="B129" s="5" t="s">
        <v>1067</v>
      </c>
      <c r="C129" s="5" t="s">
        <v>277</v>
      </c>
      <c r="D129" s="5" t="s">
        <v>7816</v>
      </c>
      <c r="E129" s="6">
        <v>24.5</v>
      </c>
      <c r="F129" s="6">
        <v>16.2</v>
      </c>
      <c r="G129" s="5">
        <v>454</v>
      </c>
      <c r="H129" s="5">
        <v>296</v>
      </c>
    </row>
    <row r="130" spans="1:8" x14ac:dyDescent="0.25">
      <c r="A130" s="5" t="s">
        <v>7470</v>
      </c>
      <c r="B130" s="5" t="s">
        <v>1067</v>
      </c>
      <c r="C130" s="5" t="s">
        <v>277</v>
      </c>
      <c r="D130" s="5" t="s">
        <v>7816</v>
      </c>
      <c r="E130" s="6">
        <v>22.9</v>
      </c>
      <c r="F130" s="6">
        <v>13.2</v>
      </c>
      <c r="G130" s="5">
        <v>427</v>
      </c>
      <c r="H130" s="5">
        <v>240</v>
      </c>
    </row>
    <row r="131" spans="1:8" x14ac:dyDescent="0.25">
      <c r="A131" s="5" t="s">
        <v>7471</v>
      </c>
      <c r="B131" s="5" t="s">
        <v>1067</v>
      </c>
      <c r="C131" s="5" t="s">
        <v>277</v>
      </c>
      <c r="D131" s="5" t="s">
        <v>7816</v>
      </c>
      <c r="E131" s="6">
        <v>21.7</v>
      </c>
      <c r="F131" s="6">
        <v>10.199999999999999</v>
      </c>
      <c r="G131" s="5">
        <v>407</v>
      </c>
      <c r="H131" s="5">
        <v>180</v>
      </c>
    </row>
    <row r="132" spans="1:8" x14ac:dyDescent="0.25">
      <c r="A132" s="5" t="s">
        <v>7472</v>
      </c>
      <c r="B132" s="5" t="s">
        <v>1067</v>
      </c>
      <c r="C132" s="5" t="s">
        <v>277</v>
      </c>
      <c r="D132" s="5" t="s">
        <v>7816</v>
      </c>
      <c r="E132" s="6">
        <v>21.7</v>
      </c>
      <c r="F132" s="6">
        <v>9.5</v>
      </c>
      <c r="G132" s="5">
        <v>407</v>
      </c>
      <c r="H132" s="5">
        <v>164</v>
      </c>
    </row>
    <row r="133" spans="1:8" x14ac:dyDescent="0.25">
      <c r="A133" s="5" t="s">
        <v>7473</v>
      </c>
      <c r="B133" s="5" t="s">
        <v>1067</v>
      </c>
      <c r="C133" s="5" t="s">
        <v>277</v>
      </c>
      <c r="D133" s="5" t="s">
        <v>7816</v>
      </c>
      <c r="E133" s="6">
        <v>23.3</v>
      </c>
      <c r="F133" s="6">
        <v>8.6</v>
      </c>
      <c r="G133" s="5">
        <v>438</v>
      </c>
      <c r="H133" s="5">
        <v>149</v>
      </c>
    </row>
    <row r="134" spans="1:8" x14ac:dyDescent="0.25">
      <c r="A134" s="5" t="s">
        <v>7474</v>
      </c>
      <c r="B134" s="5" t="s">
        <v>1067</v>
      </c>
      <c r="C134" s="5" t="s">
        <v>277</v>
      </c>
      <c r="D134" s="5" t="s">
        <v>7816</v>
      </c>
      <c r="E134" s="6">
        <v>21.8</v>
      </c>
      <c r="F134" s="6">
        <v>8.4</v>
      </c>
      <c r="G134" s="5">
        <v>406</v>
      </c>
      <c r="H134" s="5">
        <v>143</v>
      </c>
    </row>
    <row r="135" spans="1:8" x14ac:dyDescent="0.25">
      <c r="A135" s="5" t="s">
        <v>7475</v>
      </c>
      <c r="B135" s="5" t="s">
        <v>1067</v>
      </c>
      <c r="C135" s="5" t="s">
        <v>277</v>
      </c>
      <c r="D135" s="5" t="s">
        <v>7816</v>
      </c>
      <c r="E135" s="6">
        <v>22.3</v>
      </c>
      <c r="F135" s="6">
        <v>6.8</v>
      </c>
      <c r="G135" s="5">
        <v>419</v>
      </c>
      <c r="H135" s="5">
        <v>112</v>
      </c>
    </row>
    <row r="136" spans="1:8" x14ac:dyDescent="0.25">
      <c r="A136" s="5" t="s">
        <v>7476</v>
      </c>
      <c r="B136" s="5" t="s">
        <v>1067</v>
      </c>
      <c r="C136" s="5" t="s">
        <v>277</v>
      </c>
      <c r="D136" s="5" t="s">
        <v>7816</v>
      </c>
      <c r="E136" s="6">
        <v>21.4</v>
      </c>
      <c r="F136" s="6">
        <v>6.9</v>
      </c>
      <c r="G136" s="5">
        <v>400</v>
      </c>
      <c r="H136" s="5">
        <v>116</v>
      </c>
    </row>
    <row r="137" spans="1:8" x14ac:dyDescent="0.25">
      <c r="A137" s="5" t="s">
        <v>7477</v>
      </c>
      <c r="B137" s="5" t="s">
        <v>1067</v>
      </c>
      <c r="C137" s="5" t="s">
        <v>277</v>
      </c>
      <c r="D137" s="5" t="s">
        <v>7816</v>
      </c>
      <c r="E137" s="6">
        <v>24.5</v>
      </c>
      <c r="F137" s="6">
        <v>7.4</v>
      </c>
      <c r="G137" s="5">
        <v>462</v>
      </c>
      <c r="H137" s="5">
        <v>123</v>
      </c>
    </row>
    <row r="138" spans="1:8" x14ac:dyDescent="0.25">
      <c r="A138" s="5" t="s">
        <v>7478</v>
      </c>
      <c r="B138" s="5" t="s">
        <v>1067</v>
      </c>
      <c r="C138" s="5" t="s">
        <v>277</v>
      </c>
      <c r="D138" s="5" t="s">
        <v>7816</v>
      </c>
      <c r="E138" s="6">
        <v>26.8</v>
      </c>
      <c r="F138" s="6">
        <v>5.2</v>
      </c>
      <c r="G138" s="5">
        <v>503</v>
      </c>
      <c r="H138" s="5">
        <v>84</v>
      </c>
    </row>
    <row r="139" spans="1:8" x14ac:dyDescent="0.25">
      <c r="A139" s="5" t="s">
        <v>7479</v>
      </c>
      <c r="B139" s="5" t="s">
        <v>1067</v>
      </c>
      <c r="C139" s="5" t="s">
        <v>277</v>
      </c>
      <c r="D139" s="5" t="s">
        <v>7816</v>
      </c>
      <c r="E139" s="6">
        <v>27.4</v>
      </c>
      <c r="F139" s="6">
        <v>7.3</v>
      </c>
      <c r="G139" s="5">
        <v>516</v>
      </c>
      <c r="H139" s="5">
        <v>119</v>
      </c>
    </row>
    <row r="140" spans="1:8" x14ac:dyDescent="0.25">
      <c r="A140" s="5" t="s">
        <v>7480</v>
      </c>
      <c r="B140" s="5" t="s">
        <v>1067</v>
      </c>
      <c r="C140" s="5" t="s">
        <v>337</v>
      </c>
      <c r="D140" s="5" t="s">
        <v>7816</v>
      </c>
      <c r="E140" s="6">
        <v>23.1</v>
      </c>
      <c r="F140" s="6">
        <v>35.1</v>
      </c>
      <c r="G140" s="5">
        <v>432</v>
      </c>
      <c r="H140" s="5">
        <v>661</v>
      </c>
    </row>
    <row r="141" spans="1:8" x14ac:dyDescent="0.25">
      <c r="A141" s="5" t="s">
        <v>7481</v>
      </c>
      <c r="B141" s="5" t="s">
        <v>1067</v>
      </c>
      <c r="C141" s="5" t="s">
        <v>337</v>
      </c>
      <c r="D141" s="5" t="s">
        <v>7816</v>
      </c>
      <c r="E141" s="6">
        <v>24.3</v>
      </c>
      <c r="F141" s="6">
        <v>32</v>
      </c>
      <c r="G141" s="5">
        <v>452</v>
      </c>
      <c r="H141" s="5">
        <v>598</v>
      </c>
    </row>
    <row r="142" spans="1:8" x14ac:dyDescent="0.25">
      <c r="A142" s="5" t="s">
        <v>7482</v>
      </c>
      <c r="B142" s="5" t="s">
        <v>1067</v>
      </c>
      <c r="C142" s="5" t="s">
        <v>337</v>
      </c>
      <c r="D142" s="5" t="s">
        <v>7816</v>
      </c>
      <c r="E142" s="6">
        <v>22.4</v>
      </c>
      <c r="F142" s="6">
        <v>30.9</v>
      </c>
      <c r="G142" s="5">
        <v>419</v>
      </c>
      <c r="H142" s="5">
        <v>586</v>
      </c>
    </row>
    <row r="143" spans="1:8" x14ac:dyDescent="0.25">
      <c r="A143" s="5" t="s">
        <v>7483</v>
      </c>
      <c r="B143" s="5" t="s">
        <v>1067</v>
      </c>
      <c r="C143" s="5" t="s">
        <v>337</v>
      </c>
      <c r="D143" s="5" t="s">
        <v>7816</v>
      </c>
      <c r="E143" s="6">
        <v>26.1</v>
      </c>
      <c r="F143" s="6">
        <v>30.2</v>
      </c>
      <c r="G143" s="5">
        <v>487</v>
      </c>
      <c r="H143" s="5">
        <v>566</v>
      </c>
    </row>
    <row r="144" spans="1:8" x14ac:dyDescent="0.25">
      <c r="A144" s="5" t="s">
        <v>7484</v>
      </c>
      <c r="B144" s="5" t="s">
        <v>1067</v>
      </c>
      <c r="C144" s="5" t="s">
        <v>337</v>
      </c>
      <c r="D144" s="5" t="s">
        <v>7816</v>
      </c>
      <c r="E144" s="6">
        <v>20</v>
      </c>
      <c r="F144" s="6">
        <v>26.4</v>
      </c>
      <c r="G144" s="5">
        <v>376</v>
      </c>
      <c r="H144" s="5">
        <v>496</v>
      </c>
    </row>
    <row r="145" spans="1:8" x14ac:dyDescent="0.25">
      <c r="A145" s="5" t="s">
        <v>7485</v>
      </c>
      <c r="B145" s="5" t="s">
        <v>1067</v>
      </c>
      <c r="C145" s="5" t="s">
        <v>337</v>
      </c>
      <c r="D145" s="5" t="s">
        <v>7816</v>
      </c>
      <c r="E145" s="6">
        <v>18.399999999999999</v>
      </c>
      <c r="F145" s="6">
        <v>25.6</v>
      </c>
      <c r="G145" s="5">
        <v>346</v>
      </c>
      <c r="H145" s="5">
        <v>477</v>
      </c>
    </row>
    <row r="146" spans="1:8" x14ac:dyDescent="0.25">
      <c r="A146" s="5" t="s">
        <v>7486</v>
      </c>
      <c r="B146" s="5" t="s">
        <v>1067</v>
      </c>
      <c r="C146" s="5" t="s">
        <v>337</v>
      </c>
      <c r="D146" s="5" t="s">
        <v>7816</v>
      </c>
      <c r="E146" s="6">
        <v>19.399999999999999</v>
      </c>
      <c r="F146" s="6">
        <v>23.7</v>
      </c>
      <c r="G146" s="5">
        <v>363</v>
      </c>
      <c r="H146" s="5">
        <v>440</v>
      </c>
    </row>
    <row r="147" spans="1:8" x14ac:dyDescent="0.25">
      <c r="A147" s="5" t="s">
        <v>7487</v>
      </c>
      <c r="B147" s="5" t="s">
        <v>1067</v>
      </c>
      <c r="C147" s="5" t="s">
        <v>337</v>
      </c>
      <c r="D147" s="5" t="s">
        <v>7816</v>
      </c>
      <c r="E147" s="6">
        <v>16.100000000000001</v>
      </c>
      <c r="F147" s="6">
        <v>23.2</v>
      </c>
      <c r="G147" s="5">
        <v>306</v>
      </c>
      <c r="H147" s="5">
        <v>433</v>
      </c>
    </row>
    <row r="148" spans="1:8" x14ac:dyDescent="0.25">
      <c r="A148" s="5" t="s">
        <v>7488</v>
      </c>
      <c r="B148" s="5" t="s">
        <v>1067</v>
      </c>
      <c r="C148" s="5" t="s">
        <v>337</v>
      </c>
      <c r="D148" s="5" t="s">
        <v>7816</v>
      </c>
      <c r="E148" s="6">
        <v>19</v>
      </c>
      <c r="F148" s="6">
        <v>21.3</v>
      </c>
      <c r="G148" s="5">
        <v>354</v>
      </c>
      <c r="H148" s="5">
        <v>392</v>
      </c>
    </row>
    <row r="149" spans="1:8" x14ac:dyDescent="0.25">
      <c r="A149" s="5" t="s">
        <v>7489</v>
      </c>
      <c r="B149" s="5" t="s">
        <v>1067</v>
      </c>
      <c r="C149" s="5" t="s">
        <v>337</v>
      </c>
      <c r="D149" s="5" t="s">
        <v>7816</v>
      </c>
      <c r="E149" s="6">
        <v>16.399999999999999</v>
      </c>
      <c r="F149" s="6">
        <v>19.399999999999999</v>
      </c>
      <c r="G149" s="5">
        <v>300</v>
      </c>
      <c r="H149" s="5">
        <v>357</v>
      </c>
    </row>
    <row r="150" spans="1:8" x14ac:dyDescent="0.25">
      <c r="A150" s="5" t="s">
        <v>7490</v>
      </c>
      <c r="B150" s="5" t="s">
        <v>1067</v>
      </c>
      <c r="C150" s="5" t="s">
        <v>337</v>
      </c>
      <c r="D150" s="5" t="s">
        <v>7816</v>
      </c>
      <c r="E150" s="6">
        <v>18.2</v>
      </c>
      <c r="F150" s="6">
        <v>18.600000000000001</v>
      </c>
      <c r="G150" s="5">
        <v>334</v>
      </c>
      <c r="H150" s="5">
        <v>346</v>
      </c>
    </row>
    <row r="151" spans="1:8" x14ac:dyDescent="0.25">
      <c r="A151" s="5" t="s">
        <v>7491</v>
      </c>
      <c r="B151" s="5" t="s">
        <v>1067</v>
      </c>
      <c r="C151" s="5" t="s">
        <v>337</v>
      </c>
      <c r="D151" s="5" t="s">
        <v>7816</v>
      </c>
      <c r="E151" s="6">
        <v>21.4</v>
      </c>
      <c r="F151" s="6">
        <v>21</v>
      </c>
      <c r="G151" s="5">
        <v>402</v>
      </c>
      <c r="H151" s="5">
        <v>385</v>
      </c>
    </row>
    <row r="152" spans="1:8" x14ac:dyDescent="0.25">
      <c r="A152" s="5" t="s">
        <v>7492</v>
      </c>
      <c r="B152" s="5" t="s">
        <v>1067</v>
      </c>
      <c r="C152" s="5" t="s">
        <v>337</v>
      </c>
      <c r="D152" s="5" t="s">
        <v>7816</v>
      </c>
      <c r="E152" s="6">
        <v>18.399999999999999</v>
      </c>
      <c r="F152" s="6">
        <v>17.5</v>
      </c>
      <c r="G152" s="5">
        <v>341</v>
      </c>
      <c r="H152" s="5">
        <v>320</v>
      </c>
    </row>
    <row r="153" spans="1:8" x14ac:dyDescent="0.25">
      <c r="A153" s="5" t="s">
        <v>7493</v>
      </c>
      <c r="B153" s="5" t="s">
        <v>1067</v>
      </c>
      <c r="C153" s="5" t="s">
        <v>337</v>
      </c>
      <c r="D153" s="5" t="s">
        <v>7816</v>
      </c>
      <c r="E153" s="6">
        <v>16.600000000000001</v>
      </c>
      <c r="F153" s="6">
        <v>16.2</v>
      </c>
      <c r="G153" s="5">
        <v>303</v>
      </c>
      <c r="H153" s="5">
        <v>293</v>
      </c>
    </row>
    <row r="154" spans="1:8" x14ac:dyDescent="0.25">
      <c r="A154" s="5" t="s">
        <v>7494</v>
      </c>
      <c r="B154" s="5" t="s">
        <v>1067</v>
      </c>
      <c r="C154" s="5" t="s">
        <v>337</v>
      </c>
      <c r="D154" s="5" t="s">
        <v>7816</v>
      </c>
      <c r="E154" s="6">
        <v>16.2</v>
      </c>
      <c r="F154" s="6">
        <v>12.5</v>
      </c>
      <c r="G154" s="5">
        <v>300</v>
      </c>
      <c r="H154" s="5">
        <v>223</v>
      </c>
    </row>
    <row r="155" spans="1:8" x14ac:dyDescent="0.25">
      <c r="A155" s="5" t="s">
        <v>7495</v>
      </c>
      <c r="B155" s="5" t="s">
        <v>1067</v>
      </c>
      <c r="C155" s="5" t="s">
        <v>337</v>
      </c>
      <c r="D155" s="5" t="s">
        <v>7816</v>
      </c>
      <c r="E155" s="6">
        <v>17.7</v>
      </c>
      <c r="F155" s="6">
        <v>13.1</v>
      </c>
      <c r="G155" s="5">
        <v>331</v>
      </c>
      <c r="H155" s="5">
        <v>235</v>
      </c>
    </row>
    <row r="156" spans="1:8" x14ac:dyDescent="0.25">
      <c r="A156" s="5" t="s">
        <v>7496</v>
      </c>
      <c r="B156" s="5" t="s">
        <v>1067</v>
      </c>
      <c r="C156" s="5" t="s">
        <v>337</v>
      </c>
      <c r="D156" s="5" t="s">
        <v>7816</v>
      </c>
      <c r="E156" s="6">
        <v>21.6</v>
      </c>
      <c r="F156" s="6">
        <v>13.6</v>
      </c>
      <c r="G156" s="5">
        <v>405</v>
      </c>
      <c r="H156" s="5">
        <v>246</v>
      </c>
    </row>
    <row r="157" spans="1:8" x14ac:dyDescent="0.25">
      <c r="A157" s="5" t="s">
        <v>7497</v>
      </c>
      <c r="B157" s="5" t="s">
        <v>1067</v>
      </c>
      <c r="C157" s="5" t="s">
        <v>337</v>
      </c>
      <c r="D157" s="5" t="s">
        <v>7816</v>
      </c>
      <c r="E157" s="6">
        <v>22.3</v>
      </c>
      <c r="F157" s="6">
        <v>15.1</v>
      </c>
      <c r="G157" s="5">
        <v>416</v>
      </c>
      <c r="H157" s="5">
        <v>279</v>
      </c>
    </row>
    <row r="158" spans="1:8" x14ac:dyDescent="0.25">
      <c r="A158" s="5" t="s">
        <v>7498</v>
      </c>
      <c r="B158" s="5" t="s">
        <v>1067</v>
      </c>
      <c r="C158" s="5" t="s">
        <v>337</v>
      </c>
      <c r="D158" s="5" t="s">
        <v>7816</v>
      </c>
      <c r="E158" s="6">
        <v>20.8</v>
      </c>
      <c r="F158" s="6">
        <v>16.3</v>
      </c>
      <c r="G158" s="5">
        <v>387</v>
      </c>
      <c r="H158" s="5">
        <v>300</v>
      </c>
    </row>
    <row r="159" spans="1:8" x14ac:dyDescent="0.25">
      <c r="A159" s="5" t="s">
        <v>7499</v>
      </c>
      <c r="B159" s="5" t="s">
        <v>1067</v>
      </c>
      <c r="C159" s="5" t="s">
        <v>337</v>
      </c>
      <c r="D159" s="5" t="s">
        <v>7816</v>
      </c>
      <c r="E159" s="6">
        <v>25.8</v>
      </c>
      <c r="F159" s="6">
        <v>17.899999999999999</v>
      </c>
      <c r="G159" s="5">
        <v>480</v>
      </c>
      <c r="H159" s="5">
        <v>330</v>
      </c>
    </row>
    <row r="160" spans="1:8" x14ac:dyDescent="0.25">
      <c r="A160" s="5" t="s">
        <v>7500</v>
      </c>
      <c r="B160" s="5" t="s">
        <v>1067</v>
      </c>
      <c r="C160" s="5" t="s">
        <v>337</v>
      </c>
      <c r="D160" s="5" t="s">
        <v>7816</v>
      </c>
      <c r="E160" s="6">
        <v>28.3</v>
      </c>
      <c r="F160" s="6">
        <v>17.8</v>
      </c>
      <c r="G160" s="5">
        <v>521</v>
      </c>
      <c r="H160" s="5">
        <v>326</v>
      </c>
    </row>
    <row r="161" spans="1:8" x14ac:dyDescent="0.25">
      <c r="A161" s="5" t="s">
        <v>7501</v>
      </c>
      <c r="B161" s="5" t="s">
        <v>1067</v>
      </c>
      <c r="C161" s="5" t="s">
        <v>337</v>
      </c>
      <c r="D161" s="5" t="s">
        <v>7816</v>
      </c>
      <c r="E161" s="6">
        <v>27.2</v>
      </c>
      <c r="F161" s="6">
        <v>21.3</v>
      </c>
      <c r="G161" s="5">
        <v>512</v>
      </c>
      <c r="H161" s="5">
        <v>397</v>
      </c>
    </row>
    <row r="162" spans="1:8" x14ac:dyDescent="0.25">
      <c r="A162" s="5" t="s">
        <v>7502</v>
      </c>
      <c r="B162" s="5" t="s">
        <v>1067</v>
      </c>
      <c r="C162" s="5" t="s">
        <v>337</v>
      </c>
      <c r="D162" s="5" t="s">
        <v>7816</v>
      </c>
      <c r="E162" s="6">
        <v>29.2</v>
      </c>
      <c r="F162" s="6">
        <v>20.6</v>
      </c>
      <c r="G162" s="5">
        <v>557</v>
      </c>
      <c r="H162" s="5">
        <v>385</v>
      </c>
    </row>
    <row r="163" spans="1:8" x14ac:dyDescent="0.25">
      <c r="A163" s="5" t="s">
        <v>7503</v>
      </c>
      <c r="B163" s="5" t="s">
        <v>1067</v>
      </c>
      <c r="C163" s="5" t="s">
        <v>446</v>
      </c>
      <c r="D163" s="5" t="s">
        <v>7816</v>
      </c>
      <c r="E163" s="6">
        <v>25.8</v>
      </c>
      <c r="F163" s="6">
        <v>26.1</v>
      </c>
      <c r="G163" s="5">
        <v>484</v>
      </c>
      <c r="H163" s="5">
        <v>489</v>
      </c>
    </row>
    <row r="164" spans="1:8" x14ac:dyDescent="0.25">
      <c r="A164" s="5" t="s">
        <v>7504</v>
      </c>
      <c r="B164" s="5" t="s">
        <v>1067</v>
      </c>
      <c r="C164" s="5" t="s">
        <v>446</v>
      </c>
      <c r="D164" s="5" t="s">
        <v>7816</v>
      </c>
      <c r="E164" s="6">
        <v>21.4</v>
      </c>
      <c r="F164" s="6">
        <v>27.6</v>
      </c>
      <c r="G164" s="5">
        <v>384</v>
      </c>
      <c r="H164" s="5">
        <v>522</v>
      </c>
    </row>
    <row r="165" spans="1:8" x14ac:dyDescent="0.25">
      <c r="A165" s="5" t="s">
        <v>7505</v>
      </c>
      <c r="B165" s="5" t="s">
        <v>1067</v>
      </c>
      <c r="C165" s="5" t="s">
        <v>446</v>
      </c>
      <c r="D165" s="5" t="s">
        <v>7816</v>
      </c>
      <c r="E165" s="6">
        <v>20.3</v>
      </c>
      <c r="F165" s="6">
        <v>29.2</v>
      </c>
      <c r="G165" s="5">
        <v>374</v>
      </c>
      <c r="H165" s="5">
        <v>546</v>
      </c>
    </row>
    <row r="166" spans="1:8" x14ac:dyDescent="0.25">
      <c r="A166" s="5" t="s">
        <v>7506</v>
      </c>
      <c r="B166" s="5" t="s">
        <v>1067</v>
      </c>
      <c r="C166" s="5" t="s">
        <v>446</v>
      </c>
      <c r="D166" s="5" t="s">
        <v>7816</v>
      </c>
      <c r="E166" s="6">
        <v>19</v>
      </c>
      <c r="F166" s="6">
        <v>29.3</v>
      </c>
      <c r="G166" s="5">
        <v>353</v>
      </c>
      <c r="H166" s="5">
        <v>552</v>
      </c>
    </row>
    <row r="167" spans="1:8" x14ac:dyDescent="0.25">
      <c r="A167" s="5" t="s">
        <v>7507</v>
      </c>
      <c r="B167" s="5" t="s">
        <v>1067</v>
      </c>
      <c r="C167" s="5" t="s">
        <v>446</v>
      </c>
      <c r="D167" s="5" t="s">
        <v>7816</v>
      </c>
      <c r="E167" s="6">
        <v>20.399999999999999</v>
      </c>
      <c r="F167" s="6">
        <v>25.6</v>
      </c>
      <c r="G167" s="5">
        <v>384</v>
      </c>
      <c r="H167" s="5">
        <v>479</v>
      </c>
    </row>
    <row r="168" spans="1:8" x14ac:dyDescent="0.25">
      <c r="A168" s="5" t="s">
        <v>7508</v>
      </c>
      <c r="B168" s="5" t="s">
        <v>1067</v>
      </c>
      <c r="C168" s="5" t="s">
        <v>446</v>
      </c>
      <c r="D168" s="5" t="s">
        <v>7816</v>
      </c>
      <c r="E168" s="6">
        <v>21</v>
      </c>
      <c r="F168" s="6">
        <v>24.1</v>
      </c>
      <c r="G168" s="5">
        <v>390</v>
      </c>
      <c r="H168" s="5">
        <v>453</v>
      </c>
    </row>
    <row r="169" spans="1:8" x14ac:dyDescent="0.25">
      <c r="A169" s="5" t="s">
        <v>7509</v>
      </c>
      <c r="B169" s="5" t="s">
        <v>1067</v>
      </c>
      <c r="C169" s="5" t="s">
        <v>446</v>
      </c>
      <c r="D169" s="5" t="s">
        <v>7816</v>
      </c>
      <c r="E169" s="6">
        <v>22.2</v>
      </c>
      <c r="F169" s="6">
        <v>23.9</v>
      </c>
      <c r="G169" s="5">
        <v>409</v>
      </c>
      <c r="H169" s="5">
        <v>447</v>
      </c>
    </row>
    <row r="170" spans="1:8" x14ac:dyDescent="0.25">
      <c r="A170" s="5" t="s">
        <v>7510</v>
      </c>
      <c r="B170" s="5" t="s">
        <v>1067</v>
      </c>
      <c r="C170" s="5" t="s">
        <v>446</v>
      </c>
      <c r="D170" s="5" t="s">
        <v>7816</v>
      </c>
      <c r="E170" s="6">
        <v>23.1</v>
      </c>
      <c r="F170" s="6">
        <v>25.4</v>
      </c>
      <c r="G170" s="5">
        <v>425</v>
      </c>
      <c r="H170" s="5">
        <v>464</v>
      </c>
    </row>
    <row r="171" spans="1:8" x14ac:dyDescent="0.25">
      <c r="A171" s="5" t="s">
        <v>7511</v>
      </c>
      <c r="B171" s="5" t="s">
        <v>1067</v>
      </c>
      <c r="C171" s="5" t="s">
        <v>446</v>
      </c>
      <c r="D171" s="5" t="s">
        <v>7816</v>
      </c>
      <c r="E171" s="6">
        <v>22.3</v>
      </c>
      <c r="F171" s="6">
        <v>21.7</v>
      </c>
      <c r="G171" s="5">
        <v>415</v>
      </c>
      <c r="H171" s="5">
        <v>409</v>
      </c>
    </row>
    <row r="172" spans="1:8" x14ac:dyDescent="0.25">
      <c r="A172" s="5" t="s">
        <v>7512</v>
      </c>
      <c r="B172" s="5" t="s">
        <v>1067</v>
      </c>
      <c r="C172" s="5" t="s">
        <v>446</v>
      </c>
      <c r="D172" s="5" t="s">
        <v>7816</v>
      </c>
      <c r="E172" s="6">
        <v>22.9</v>
      </c>
      <c r="F172" s="6">
        <v>20.3</v>
      </c>
      <c r="G172" s="5">
        <v>431</v>
      </c>
      <c r="H172" s="5">
        <v>370</v>
      </c>
    </row>
    <row r="173" spans="1:8" x14ac:dyDescent="0.25">
      <c r="A173" s="5" t="s">
        <v>7513</v>
      </c>
      <c r="B173" s="5" t="s">
        <v>1067</v>
      </c>
      <c r="C173" s="5" t="s">
        <v>446</v>
      </c>
      <c r="D173" s="5" t="s">
        <v>7816</v>
      </c>
      <c r="E173" s="6">
        <v>26.4</v>
      </c>
      <c r="F173" s="6">
        <v>18.600000000000001</v>
      </c>
      <c r="G173" s="5">
        <v>492</v>
      </c>
      <c r="H173" s="5">
        <v>347</v>
      </c>
    </row>
    <row r="174" spans="1:8" x14ac:dyDescent="0.25">
      <c r="A174" s="5" t="s">
        <v>7514</v>
      </c>
      <c r="B174" s="5" t="s">
        <v>1067</v>
      </c>
      <c r="C174" s="5" t="s">
        <v>446</v>
      </c>
      <c r="D174" s="5" t="s">
        <v>7816</v>
      </c>
      <c r="E174" s="6">
        <v>27</v>
      </c>
      <c r="F174" s="6">
        <v>17.2</v>
      </c>
      <c r="G174" s="5">
        <v>509</v>
      </c>
      <c r="H174" s="5">
        <v>310</v>
      </c>
    </row>
    <row r="175" spans="1:8" x14ac:dyDescent="0.25">
      <c r="A175" s="5" t="s">
        <v>7515</v>
      </c>
      <c r="B175" s="5" t="s">
        <v>1067</v>
      </c>
      <c r="C175" s="5" t="s">
        <v>446</v>
      </c>
      <c r="D175" s="5" t="s">
        <v>7816</v>
      </c>
      <c r="E175" s="6">
        <v>18.2</v>
      </c>
      <c r="F175" s="6">
        <v>17.3</v>
      </c>
      <c r="G175" s="5">
        <v>336</v>
      </c>
      <c r="H175" s="5">
        <v>315</v>
      </c>
    </row>
    <row r="176" spans="1:8" x14ac:dyDescent="0.25">
      <c r="A176" s="5" t="s">
        <v>7516</v>
      </c>
      <c r="B176" s="5" t="s">
        <v>1067</v>
      </c>
      <c r="C176" s="5" t="s">
        <v>446</v>
      </c>
      <c r="D176" s="5" t="s">
        <v>7816</v>
      </c>
      <c r="E176" s="6">
        <v>16.5</v>
      </c>
      <c r="F176" s="6">
        <v>16</v>
      </c>
      <c r="G176" s="5">
        <v>309</v>
      </c>
      <c r="H176" s="5">
        <v>295</v>
      </c>
    </row>
    <row r="177" spans="1:8" x14ac:dyDescent="0.25">
      <c r="A177" s="5" t="s">
        <v>7517</v>
      </c>
      <c r="B177" s="5" t="s">
        <v>1067</v>
      </c>
      <c r="C177" s="5" t="s">
        <v>446</v>
      </c>
      <c r="D177" s="5" t="s">
        <v>7816</v>
      </c>
      <c r="E177" s="6">
        <v>18.2</v>
      </c>
      <c r="F177" s="6">
        <v>15.2</v>
      </c>
      <c r="G177" s="5">
        <v>336</v>
      </c>
      <c r="H177" s="5">
        <v>276</v>
      </c>
    </row>
    <row r="178" spans="1:8" x14ac:dyDescent="0.25">
      <c r="A178" s="5" t="s">
        <v>7518</v>
      </c>
      <c r="B178" s="5" t="s">
        <v>1067</v>
      </c>
      <c r="C178" s="5" t="s">
        <v>446</v>
      </c>
      <c r="D178" s="5" t="s">
        <v>7817</v>
      </c>
      <c r="E178" s="6">
        <v>13.7</v>
      </c>
      <c r="F178" s="6">
        <v>7.4</v>
      </c>
      <c r="G178" s="5">
        <v>251</v>
      </c>
      <c r="H178" s="5">
        <v>129</v>
      </c>
    </row>
    <row r="179" spans="1:8" x14ac:dyDescent="0.25">
      <c r="A179" s="5" t="s">
        <v>7519</v>
      </c>
      <c r="B179" s="5" t="s">
        <v>1067</v>
      </c>
      <c r="C179" s="5" t="s">
        <v>446</v>
      </c>
      <c r="D179" s="5" t="s">
        <v>7817</v>
      </c>
      <c r="E179" s="6">
        <v>14.7</v>
      </c>
      <c r="F179" s="6">
        <v>5.9</v>
      </c>
      <c r="G179" s="5">
        <v>274</v>
      </c>
      <c r="H179" s="5">
        <v>98</v>
      </c>
    </row>
    <row r="180" spans="1:8" x14ac:dyDescent="0.25">
      <c r="A180" s="5" t="s">
        <v>7520</v>
      </c>
      <c r="B180" s="5" t="s">
        <v>1067</v>
      </c>
      <c r="C180" s="5" t="s">
        <v>446</v>
      </c>
      <c r="D180" s="5" t="s">
        <v>7817</v>
      </c>
      <c r="E180" s="6">
        <v>12.5</v>
      </c>
      <c r="F180" s="6">
        <v>7.3</v>
      </c>
      <c r="G180" s="5">
        <v>222</v>
      </c>
      <c r="H180" s="5">
        <v>123</v>
      </c>
    </row>
    <row r="181" spans="1:8" x14ac:dyDescent="0.25">
      <c r="A181" s="5" t="s">
        <v>7521</v>
      </c>
      <c r="B181" s="5" t="s">
        <v>1067</v>
      </c>
      <c r="C181" s="5" t="s">
        <v>446</v>
      </c>
      <c r="D181" s="5" t="s">
        <v>7817</v>
      </c>
      <c r="E181" s="6">
        <v>11.7</v>
      </c>
      <c r="F181" s="6">
        <v>5.8</v>
      </c>
      <c r="G181" s="5">
        <v>212</v>
      </c>
      <c r="H181" s="5">
        <v>95</v>
      </c>
    </row>
    <row r="182" spans="1:8" x14ac:dyDescent="0.25">
      <c r="A182" s="5" t="s">
        <v>7522</v>
      </c>
      <c r="B182" s="5" t="s">
        <v>1067</v>
      </c>
      <c r="C182" s="5" t="s">
        <v>446</v>
      </c>
      <c r="D182" s="5" t="s">
        <v>7817</v>
      </c>
      <c r="E182" s="6">
        <v>10</v>
      </c>
      <c r="F182" s="6">
        <v>6.4</v>
      </c>
      <c r="G182" s="5">
        <v>178</v>
      </c>
      <c r="H182" s="5">
        <v>108</v>
      </c>
    </row>
    <row r="183" spans="1:8" x14ac:dyDescent="0.25">
      <c r="A183" s="5" t="s">
        <v>7523</v>
      </c>
      <c r="B183" s="5" t="s">
        <v>1067</v>
      </c>
      <c r="C183" s="5" t="s">
        <v>446</v>
      </c>
      <c r="D183" s="5" t="s">
        <v>7817</v>
      </c>
      <c r="E183" s="6">
        <v>8.9</v>
      </c>
      <c r="F183" s="6">
        <v>4.5</v>
      </c>
      <c r="G183" s="5">
        <v>187</v>
      </c>
      <c r="H183" s="5">
        <v>85</v>
      </c>
    </row>
    <row r="184" spans="1:8" x14ac:dyDescent="0.25">
      <c r="A184" s="5" t="s">
        <v>7524</v>
      </c>
      <c r="B184" s="5" t="s">
        <v>1067</v>
      </c>
      <c r="C184" s="5" t="s">
        <v>446</v>
      </c>
      <c r="D184" s="5" t="s">
        <v>7817</v>
      </c>
      <c r="E184" s="6">
        <v>8.1999999999999993</v>
      </c>
      <c r="F184" s="6">
        <v>5.0999999999999996</v>
      </c>
      <c r="G184" s="5">
        <v>140</v>
      </c>
      <c r="H184" s="5">
        <v>83</v>
      </c>
    </row>
    <row r="185" spans="1:8" x14ac:dyDescent="0.25">
      <c r="A185" s="5" t="s">
        <v>7525</v>
      </c>
      <c r="B185" s="5" t="s">
        <v>1067</v>
      </c>
      <c r="C185" s="5" t="s">
        <v>398</v>
      </c>
      <c r="D185" s="5" t="s">
        <v>7816</v>
      </c>
      <c r="E185" s="6">
        <v>13</v>
      </c>
      <c r="F185" s="6">
        <v>29</v>
      </c>
      <c r="G185" s="5">
        <v>236</v>
      </c>
      <c r="H185" s="5">
        <v>546</v>
      </c>
    </row>
    <row r="186" spans="1:8" x14ac:dyDescent="0.25">
      <c r="A186" s="5" t="s">
        <v>7526</v>
      </c>
      <c r="B186" s="5" t="s">
        <v>1067</v>
      </c>
      <c r="C186" s="5" t="s">
        <v>398</v>
      </c>
      <c r="D186" s="5" t="s">
        <v>7816</v>
      </c>
      <c r="E186" s="6">
        <v>15</v>
      </c>
      <c r="F186" s="6">
        <v>26</v>
      </c>
      <c r="G186" s="5">
        <v>272</v>
      </c>
      <c r="H186" s="5">
        <v>490</v>
      </c>
    </row>
    <row r="187" spans="1:8" x14ac:dyDescent="0.25">
      <c r="A187" s="5" t="s">
        <v>7527</v>
      </c>
      <c r="B187" s="5" t="s">
        <v>1067</v>
      </c>
      <c r="C187" s="5" t="s">
        <v>398</v>
      </c>
      <c r="D187" s="5" t="s">
        <v>7816</v>
      </c>
      <c r="E187" s="6">
        <v>16</v>
      </c>
      <c r="F187" s="6">
        <v>27</v>
      </c>
      <c r="G187" s="5">
        <v>293</v>
      </c>
      <c r="H187" s="5">
        <v>505</v>
      </c>
    </row>
    <row r="188" spans="1:8" x14ac:dyDescent="0.25">
      <c r="A188" s="5" t="s">
        <v>7528</v>
      </c>
      <c r="B188" s="5" t="s">
        <v>1067</v>
      </c>
      <c r="C188" s="5" t="s">
        <v>398</v>
      </c>
      <c r="D188" s="5" t="s">
        <v>7816</v>
      </c>
      <c r="E188" s="6">
        <v>17</v>
      </c>
      <c r="F188" s="6">
        <v>26</v>
      </c>
      <c r="G188" s="5">
        <v>303</v>
      </c>
      <c r="H188" s="5">
        <v>488</v>
      </c>
    </row>
    <row r="189" spans="1:8" x14ac:dyDescent="0.25">
      <c r="A189" s="5" t="s">
        <v>7529</v>
      </c>
      <c r="B189" s="5" t="s">
        <v>1067</v>
      </c>
      <c r="C189" s="5" t="s">
        <v>398</v>
      </c>
      <c r="D189" s="5" t="s">
        <v>7816</v>
      </c>
      <c r="E189" s="6">
        <v>17</v>
      </c>
      <c r="F189" s="6">
        <v>25</v>
      </c>
      <c r="G189" s="5">
        <v>318</v>
      </c>
      <c r="H189" s="5">
        <v>465</v>
      </c>
    </row>
    <row r="190" spans="1:8" x14ac:dyDescent="0.25">
      <c r="A190" s="5" t="s">
        <v>7530</v>
      </c>
      <c r="B190" s="5" t="s">
        <v>1067</v>
      </c>
      <c r="C190" s="5" t="s">
        <v>398</v>
      </c>
      <c r="D190" s="5" t="s">
        <v>7816</v>
      </c>
      <c r="E190" s="6">
        <v>18</v>
      </c>
      <c r="F190" s="6">
        <v>25</v>
      </c>
      <c r="G190" s="5">
        <v>332</v>
      </c>
      <c r="H190" s="5">
        <v>476</v>
      </c>
    </row>
    <row r="191" spans="1:8" x14ac:dyDescent="0.25">
      <c r="A191" s="5" t="s">
        <v>7531</v>
      </c>
      <c r="B191" s="5" t="s">
        <v>1067</v>
      </c>
      <c r="C191" s="5" t="s">
        <v>398</v>
      </c>
      <c r="D191" s="5" t="s">
        <v>7816</v>
      </c>
      <c r="E191" s="6">
        <v>20</v>
      </c>
      <c r="F191" s="6">
        <v>25</v>
      </c>
      <c r="G191" s="5">
        <v>367</v>
      </c>
      <c r="H191" s="5">
        <v>461</v>
      </c>
    </row>
    <row r="192" spans="1:8" x14ac:dyDescent="0.25">
      <c r="A192" s="5" t="s">
        <v>7532</v>
      </c>
      <c r="B192" s="5" t="s">
        <v>1067</v>
      </c>
      <c r="C192" s="5" t="s">
        <v>398</v>
      </c>
      <c r="D192" s="5" t="s">
        <v>7816</v>
      </c>
      <c r="E192" s="6">
        <v>19</v>
      </c>
      <c r="F192" s="6">
        <v>23</v>
      </c>
      <c r="G192" s="5">
        <v>355</v>
      </c>
      <c r="H192" s="5">
        <v>417</v>
      </c>
    </row>
    <row r="193" spans="1:8" x14ac:dyDescent="0.25">
      <c r="A193" s="5" t="s">
        <v>7533</v>
      </c>
      <c r="B193" s="5" t="s">
        <v>1067</v>
      </c>
      <c r="C193" s="5" t="s">
        <v>398</v>
      </c>
      <c r="D193" s="5" t="s">
        <v>7816</v>
      </c>
      <c r="E193" s="6">
        <v>18</v>
      </c>
      <c r="F193" s="6">
        <v>22</v>
      </c>
      <c r="G193" s="5">
        <v>326</v>
      </c>
      <c r="H193" s="5">
        <v>402</v>
      </c>
    </row>
    <row r="194" spans="1:8" x14ac:dyDescent="0.25">
      <c r="A194" s="5" t="s">
        <v>7534</v>
      </c>
      <c r="B194" s="5" t="s">
        <v>1067</v>
      </c>
      <c r="C194" s="5" t="s">
        <v>398</v>
      </c>
      <c r="D194" s="5" t="s">
        <v>7816</v>
      </c>
      <c r="E194" s="6">
        <v>17</v>
      </c>
      <c r="F194" s="6">
        <v>20</v>
      </c>
      <c r="G194" s="5">
        <v>320</v>
      </c>
      <c r="H194" s="5">
        <v>371</v>
      </c>
    </row>
    <row r="195" spans="1:8" x14ac:dyDescent="0.25">
      <c r="A195" s="5" t="s">
        <v>7535</v>
      </c>
      <c r="B195" s="5" t="s">
        <v>1067</v>
      </c>
      <c r="C195" s="5" t="s">
        <v>398</v>
      </c>
      <c r="D195" s="5" t="s">
        <v>7816</v>
      </c>
      <c r="E195" s="6">
        <v>16</v>
      </c>
      <c r="F195" s="6">
        <v>20</v>
      </c>
      <c r="G195" s="5">
        <v>285</v>
      </c>
      <c r="H195" s="5">
        <v>377</v>
      </c>
    </row>
    <row r="196" spans="1:8" x14ac:dyDescent="0.25">
      <c r="A196" s="5" t="s">
        <v>7536</v>
      </c>
      <c r="B196" s="5" t="s">
        <v>1067</v>
      </c>
      <c r="C196" s="5" t="s">
        <v>398</v>
      </c>
      <c r="D196" s="5" t="s">
        <v>7816</v>
      </c>
      <c r="E196" s="6">
        <v>15</v>
      </c>
      <c r="F196" s="6">
        <v>19</v>
      </c>
      <c r="G196" s="5">
        <v>269</v>
      </c>
      <c r="H196" s="5">
        <v>349</v>
      </c>
    </row>
    <row r="197" spans="1:8" x14ac:dyDescent="0.25">
      <c r="A197" s="5" t="s">
        <v>7537</v>
      </c>
      <c r="B197" s="5" t="s">
        <v>1067</v>
      </c>
      <c r="C197" s="5" t="s">
        <v>398</v>
      </c>
      <c r="D197" s="5" t="s">
        <v>7816</v>
      </c>
      <c r="E197" s="6">
        <v>15</v>
      </c>
      <c r="F197" s="6">
        <v>17</v>
      </c>
      <c r="G197" s="5">
        <v>267</v>
      </c>
      <c r="H197" s="5">
        <v>301</v>
      </c>
    </row>
    <row r="198" spans="1:8" x14ac:dyDescent="0.25">
      <c r="A198" s="5" t="s">
        <v>7538</v>
      </c>
      <c r="B198" s="5" t="s">
        <v>1067</v>
      </c>
      <c r="C198" s="5" t="s">
        <v>398</v>
      </c>
      <c r="D198" s="5" t="s">
        <v>7816</v>
      </c>
      <c r="E198" s="6">
        <v>13</v>
      </c>
      <c r="F198" s="6">
        <v>16</v>
      </c>
      <c r="G198" s="5">
        <v>226</v>
      </c>
      <c r="H198" s="5">
        <v>286</v>
      </c>
    </row>
    <row r="199" spans="1:8" x14ac:dyDescent="0.25">
      <c r="A199" s="5" t="s">
        <v>7539</v>
      </c>
      <c r="B199" s="5" t="s">
        <v>1067</v>
      </c>
      <c r="C199" s="5" t="s">
        <v>398</v>
      </c>
      <c r="D199" s="5" t="s">
        <v>7816</v>
      </c>
      <c r="E199" s="6">
        <v>11</v>
      </c>
      <c r="F199" s="6">
        <v>19</v>
      </c>
      <c r="G199" s="5">
        <v>195</v>
      </c>
      <c r="H199" s="5">
        <v>354</v>
      </c>
    </row>
    <row r="200" spans="1:8" x14ac:dyDescent="0.25">
      <c r="A200" s="5" t="s">
        <v>7540</v>
      </c>
      <c r="B200" s="5" t="s">
        <v>1067</v>
      </c>
      <c r="C200" s="5" t="s">
        <v>398</v>
      </c>
      <c r="D200" s="5" t="s">
        <v>7816</v>
      </c>
      <c r="E200" s="6">
        <v>13</v>
      </c>
      <c r="F200" s="6">
        <v>19</v>
      </c>
      <c r="G200" s="5">
        <v>228</v>
      </c>
      <c r="H200" s="5">
        <v>347</v>
      </c>
    </row>
    <row r="201" spans="1:8" x14ac:dyDescent="0.25">
      <c r="A201" s="5" t="s">
        <v>7541</v>
      </c>
      <c r="B201" s="5" t="s">
        <v>1067</v>
      </c>
      <c r="C201" s="5" t="s">
        <v>398</v>
      </c>
      <c r="D201" s="5" t="s">
        <v>7816</v>
      </c>
      <c r="E201" s="6">
        <v>18</v>
      </c>
      <c r="F201" s="6">
        <v>28</v>
      </c>
      <c r="G201" s="5">
        <v>320</v>
      </c>
      <c r="H201" s="5">
        <v>527</v>
      </c>
    </row>
    <row r="202" spans="1:8" x14ac:dyDescent="0.25">
      <c r="A202" s="5" t="s">
        <v>7542</v>
      </c>
      <c r="B202" s="5" t="s">
        <v>1067</v>
      </c>
      <c r="C202" s="5" t="s">
        <v>398</v>
      </c>
      <c r="D202" s="5" t="s">
        <v>7816</v>
      </c>
      <c r="E202" s="6">
        <v>19</v>
      </c>
      <c r="F202" s="6">
        <v>29</v>
      </c>
      <c r="G202" s="5">
        <v>363</v>
      </c>
      <c r="H202" s="5">
        <v>537</v>
      </c>
    </row>
    <row r="203" spans="1:8" x14ac:dyDescent="0.25">
      <c r="A203" s="5" t="s">
        <v>7543</v>
      </c>
      <c r="B203" s="5" t="s">
        <v>1067</v>
      </c>
      <c r="C203" s="5" t="s">
        <v>398</v>
      </c>
      <c r="D203" s="5" t="s">
        <v>7816</v>
      </c>
      <c r="E203" s="6">
        <v>21</v>
      </c>
      <c r="F203" s="6">
        <v>29</v>
      </c>
      <c r="G203" s="5">
        <v>381</v>
      </c>
      <c r="H203" s="5">
        <v>539</v>
      </c>
    </row>
    <row r="204" spans="1:8" x14ac:dyDescent="0.25">
      <c r="A204" s="5" t="s">
        <v>7544</v>
      </c>
      <c r="B204" s="5" t="s">
        <v>1067</v>
      </c>
      <c r="C204" s="5" t="s">
        <v>398</v>
      </c>
      <c r="D204" s="5" t="s">
        <v>7816</v>
      </c>
      <c r="E204" s="6">
        <v>23</v>
      </c>
      <c r="F204" s="6">
        <v>27</v>
      </c>
      <c r="G204" s="5">
        <v>437</v>
      </c>
      <c r="H204" s="5">
        <v>507</v>
      </c>
    </row>
    <row r="205" spans="1:8" x14ac:dyDescent="0.25">
      <c r="A205" s="5" t="s">
        <v>7545</v>
      </c>
      <c r="B205" s="5" t="s">
        <v>1067</v>
      </c>
      <c r="C205" s="5" t="s">
        <v>398</v>
      </c>
      <c r="D205" s="5" t="s">
        <v>7816</v>
      </c>
      <c r="E205" s="6">
        <v>25</v>
      </c>
      <c r="F205" s="6">
        <v>26</v>
      </c>
      <c r="G205" s="5">
        <v>476</v>
      </c>
      <c r="H205" s="5">
        <v>481</v>
      </c>
    </row>
    <row r="206" spans="1:8" x14ac:dyDescent="0.25">
      <c r="A206" s="5" t="s">
        <v>7546</v>
      </c>
      <c r="B206" s="5" t="s">
        <v>1067</v>
      </c>
      <c r="C206" s="5" t="s">
        <v>398</v>
      </c>
      <c r="D206" s="5" t="s">
        <v>7816</v>
      </c>
      <c r="E206" s="6">
        <v>27</v>
      </c>
      <c r="F206" s="6">
        <v>25</v>
      </c>
      <c r="G206" s="5">
        <v>502</v>
      </c>
      <c r="H206" s="5">
        <v>466</v>
      </c>
    </row>
    <row r="207" spans="1:8" x14ac:dyDescent="0.25">
      <c r="A207" s="5" t="s">
        <v>7547</v>
      </c>
      <c r="B207" s="5" t="s">
        <v>1067</v>
      </c>
      <c r="C207" s="5" t="s">
        <v>398</v>
      </c>
      <c r="D207" s="5" t="s">
        <v>7816</v>
      </c>
      <c r="E207" s="6">
        <v>28</v>
      </c>
      <c r="F207" s="6">
        <v>26</v>
      </c>
      <c r="G207" s="5">
        <v>527</v>
      </c>
      <c r="H207" s="5">
        <v>482</v>
      </c>
    </row>
    <row r="208" spans="1:8" x14ac:dyDescent="0.25">
      <c r="A208" s="5" t="s">
        <v>7548</v>
      </c>
      <c r="B208" s="5" t="s">
        <v>1067</v>
      </c>
      <c r="C208" s="5" t="s">
        <v>398</v>
      </c>
      <c r="D208" s="5" t="s">
        <v>7816</v>
      </c>
      <c r="E208" s="6">
        <v>28</v>
      </c>
      <c r="F208" s="6">
        <v>27</v>
      </c>
      <c r="G208" s="5">
        <v>551</v>
      </c>
      <c r="H208" s="5">
        <v>503</v>
      </c>
    </row>
    <row r="209" spans="1:8" x14ac:dyDescent="0.25">
      <c r="A209" s="5" t="s">
        <v>7549</v>
      </c>
      <c r="B209" s="5" t="s">
        <v>1067</v>
      </c>
      <c r="C209" s="5" t="s">
        <v>398</v>
      </c>
      <c r="D209" s="5" t="s">
        <v>7816</v>
      </c>
      <c r="E209" s="6">
        <v>28</v>
      </c>
      <c r="F209" s="6">
        <v>21</v>
      </c>
      <c r="G209" s="5">
        <v>524</v>
      </c>
      <c r="H209" s="5">
        <v>394</v>
      </c>
    </row>
    <row r="210" spans="1:8" x14ac:dyDescent="0.25">
      <c r="A210" s="5" t="s">
        <v>7550</v>
      </c>
      <c r="B210" s="5" t="s">
        <v>1067</v>
      </c>
      <c r="C210" s="5" t="s">
        <v>398</v>
      </c>
      <c r="D210" s="5" t="s">
        <v>7816</v>
      </c>
      <c r="E210" s="6">
        <v>25</v>
      </c>
      <c r="F210" s="6">
        <v>24</v>
      </c>
      <c r="G210" s="5">
        <v>464</v>
      </c>
      <c r="H210" s="5">
        <v>439</v>
      </c>
    </row>
    <row r="211" spans="1:8" x14ac:dyDescent="0.25">
      <c r="A211" s="5" t="s">
        <v>7551</v>
      </c>
      <c r="B211" s="5" t="s">
        <v>1067</v>
      </c>
      <c r="C211" s="5" t="s">
        <v>398</v>
      </c>
      <c r="D211" s="5" t="s">
        <v>7816</v>
      </c>
      <c r="E211" s="6">
        <v>23</v>
      </c>
      <c r="F211" s="6">
        <v>23</v>
      </c>
      <c r="G211" s="5">
        <v>430</v>
      </c>
      <c r="H211" s="5">
        <v>418</v>
      </c>
    </row>
    <row r="212" spans="1:8" x14ac:dyDescent="0.25">
      <c r="A212" s="5" t="s">
        <v>7552</v>
      </c>
      <c r="B212" s="5" t="s">
        <v>1067</v>
      </c>
      <c r="C212" s="5" t="s">
        <v>398</v>
      </c>
      <c r="D212" s="5" t="s">
        <v>7816</v>
      </c>
      <c r="E212" s="6">
        <v>24</v>
      </c>
      <c r="F212" s="6">
        <v>21</v>
      </c>
      <c r="G212" s="5">
        <v>450</v>
      </c>
      <c r="H212" s="5">
        <v>391</v>
      </c>
    </row>
    <row r="213" spans="1:8" x14ac:dyDescent="0.25">
      <c r="A213" s="5" t="s">
        <v>8297</v>
      </c>
      <c r="B213" s="5" t="s">
        <v>1067</v>
      </c>
      <c r="C213" s="5" t="s">
        <v>398</v>
      </c>
      <c r="D213" s="5" t="s">
        <v>7816</v>
      </c>
      <c r="E213" s="6">
        <v>24</v>
      </c>
      <c r="F213" s="6">
        <v>19</v>
      </c>
      <c r="G213" s="5">
        <v>454</v>
      </c>
      <c r="H213" s="5">
        <v>348</v>
      </c>
    </row>
    <row r="214" spans="1:8" x14ac:dyDescent="0.25">
      <c r="A214" s="5" t="s">
        <v>7553</v>
      </c>
      <c r="B214" s="5" t="s">
        <v>1067</v>
      </c>
      <c r="C214" s="5" t="s">
        <v>398</v>
      </c>
      <c r="D214" s="5" t="s">
        <v>7816</v>
      </c>
      <c r="E214" s="6">
        <v>23</v>
      </c>
      <c r="F214" s="6">
        <v>20</v>
      </c>
      <c r="G214" s="5">
        <v>422</v>
      </c>
      <c r="H214" s="5">
        <v>364</v>
      </c>
    </row>
    <row r="215" spans="1:8" x14ac:dyDescent="0.25">
      <c r="A215" s="5" t="s">
        <v>7554</v>
      </c>
      <c r="B215" s="5" t="s">
        <v>1067</v>
      </c>
      <c r="C215" s="5" t="s">
        <v>398</v>
      </c>
      <c r="D215" s="5" t="s">
        <v>7816</v>
      </c>
      <c r="E215" s="6">
        <v>26</v>
      </c>
      <c r="F215" s="6">
        <v>17</v>
      </c>
      <c r="G215" s="5">
        <v>486</v>
      </c>
      <c r="H215" s="5">
        <v>317</v>
      </c>
    </row>
    <row r="216" spans="1:8" x14ac:dyDescent="0.25">
      <c r="A216" s="5" t="s">
        <v>7555</v>
      </c>
      <c r="B216" s="5" t="s">
        <v>1067</v>
      </c>
      <c r="C216" s="5" t="s">
        <v>398</v>
      </c>
      <c r="D216" s="5" t="s">
        <v>7816</v>
      </c>
      <c r="E216" s="6">
        <v>27</v>
      </c>
      <c r="F216" s="6">
        <v>20</v>
      </c>
      <c r="G216" s="5">
        <v>501</v>
      </c>
      <c r="H216" s="5">
        <v>362</v>
      </c>
    </row>
    <row r="217" spans="1:8" x14ac:dyDescent="0.25">
      <c r="A217" s="5" t="s">
        <v>7556</v>
      </c>
      <c r="B217" s="5" t="s">
        <v>1067</v>
      </c>
      <c r="C217" s="5" t="s">
        <v>398</v>
      </c>
      <c r="D217" s="5" t="s">
        <v>7816</v>
      </c>
      <c r="E217" s="6">
        <v>27</v>
      </c>
      <c r="F217" s="6">
        <v>18</v>
      </c>
      <c r="G217" s="5">
        <v>515</v>
      </c>
      <c r="H217" s="5">
        <v>324</v>
      </c>
    </row>
    <row r="218" spans="1:8" x14ac:dyDescent="0.25">
      <c r="A218" s="5" t="s">
        <v>7557</v>
      </c>
      <c r="B218" s="5" t="s">
        <v>1067</v>
      </c>
      <c r="C218" s="5" t="s">
        <v>398</v>
      </c>
      <c r="D218" s="5" t="s">
        <v>7816</v>
      </c>
      <c r="E218" s="6">
        <v>29</v>
      </c>
      <c r="F218" s="6">
        <v>18</v>
      </c>
      <c r="G218" s="5">
        <v>552</v>
      </c>
      <c r="H218" s="5">
        <v>318</v>
      </c>
    </row>
    <row r="219" spans="1:8" x14ac:dyDescent="0.25">
      <c r="A219" s="5" t="s">
        <v>7558</v>
      </c>
      <c r="B219" s="5" t="s">
        <v>1067</v>
      </c>
      <c r="C219" s="5" t="s">
        <v>347</v>
      </c>
      <c r="D219" s="5" t="s">
        <v>7816</v>
      </c>
      <c r="E219" s="6">
        <v>18</v>
      </c>
      <c r="F219" s="6">
        <v>30</v>
      </c>
      <c r="G219" s="5">
        <v>335</v>
      </c>
      <c r="H219" s="5">
        <v>568</v>
      </c>
    </row>
    <row r="220" spans="1:8" x14ac:dyDescent="0.25">
      <c r="A220" s="5" t="s">
        <v>7559</v>
      </c>
      <c r="B220" s="5" t="s">
        <v>1067</v>
      </c>
      <c r="C220" s="5" t="s">
        <v>347</v>
      </c>
      <c r="D220" s="5" t="s">
        <v>7816</v>
      </c>
      <c r="E220" s="6">
        <v>17</v>
      </c>
      <c r="F220" s="6">
        <v>33</v>
      </c>
      <c r="G220" s="5">
        <v>317</v>
      </c>
      <c r="H220" s="5">
        <v>614</v>
      </c>
    </row>
    <row r="221" spans="1:8" x14ac:dyDescent="0.25">
      <c r="A221" s="5" t="s">
        <v>7560</v>
      </c>
      <c r="B221" s="5" t="s">
        <v>1067</v>
      </c>
      <c r="C221" s="5" t="s">
        <v>347</v>
      </c>
      <c r="D221" s="5" t="s">
        <v>7816</v>
      </c>
      <c r="E221" s="6">
        <v>14</v>
      </c>
      <c r="F221" s="6">
        <v>34</v>
      </c>
      <c r="G221" s="5">
        <v>246</v>
      </c>
      <c r="H221" s="5">
        <v>638</v>
      </c>
    </row>
    <row r="222" spans="1:8" x14ac:dyDescent="0.25">
      <c r="A222" s="5" t="s">
        <v>7561</v>
      </c>
      <c r="B222" s="5" t="s">
        <v>1067</v>
      </c>
      <c r="C222" s="5" t="s">
        <v>347</v>
      </c>
      <c r="D222" s="5" t="s">
        <v>7816</v>
      </c>
      <c r="E222" s="6">
        <v>15</v>
      </c>
      <c r="F222" s="6">
        <v>38</v>
      </c>
      <c r="G222" s="5">
        <v>269</v>
      </c>
      <c r="H222" s="5">
        <v>727</v>
      </c>
    </row>
    <row r="223" spans="1:8" x14ac:dyDescent="0.25">
      <c r="A223" s="5" t="s">
        <v>7562</v>
      </c>
      <c r="B223" s="5" t="s">
        <v>1067</v>
      </c>
      <c r="C223" s="5" t="s">
        <v>347</v>
      </c>
      <c r="D223" s="5" t="s">
        <v>7816</v>
      </c>
      <c r="E223" s="6">
        <v>17</v>
      </c>
      <c r="F223" s="6">
        <v>36</v>
      </c>
      <c r="G223" s="5">
        <v>313</v>
      </c>
      <c r="H223" s="5">
        <v>682</v>
      </c>
    </row>
    <row r="224" spans="1:8" x14ac:dyDescent="0.25">
      <c r="A224" s="5" t="s">
        <v>7563</v>
      </c>
      <c r="B224" s="5" t="s">
        <v>1067</v>
      </c>
      <c r="C224" s="5" t="s">
        <v>347</v>
      </c>
      <c r="D224" s="5" t="s">
        <v>7816</v>
      </c>
      <c r="E224" s="6">
        <v>19</v>
      </c>
      <c r="F224" s="6">
        <v>38</v>
      </c>
      <c r="G224" s="5">
        <v>354</v>
      </c>
      <c r="H224" s="5">
        <v>721</v>
      </c>
    </row>
    <row r="225" spans="1:8" x14ac:dyDescent="0.25">
      <c r="A225" s="5" t="s">
        <v>7564</v>
      </c>
      <c r="B225" s="5" t="s">
        <v>1067</v>
      </c>
      <c r="C225" s="5" t="s">
        <v>347</v>
      </c>
      <c r="D225" s="5" t="s">
        <v>7816</v>
      </c>
      <c r="E225" s="6">
        <v>23</v>
      </c>
      <c r="F225" s="6">
        <v>38</v>
      </c>
      <c r="G225" s="5">
        <v>423</v>
      </c>
      <c r="H225" s="5">
        <v>723</v>
      </c>
    </row>
    <row r="226" spans="1:8" x14ac:dyDescent="0.25">
      <c r="A226" s="5" t="s">
        <v>7565</v>
      </c>
      <c r="B226" s="5" t="s">
        <v>1067</v>
      </c>
      <c r="C226" s="5" t="s">
        <v>347</v>
      </c>
      <c r="D226" s="5" t="s">
        <v>7816</v>
      </c>
      <c r="E226" s="6">
        <v>25</v>
      </c>
      <c r="F226" s="6">
        <v>40</v>
      </c>
      <c r="G226" s="5">
        <v>462</v>
      </c>
      <c r="H226" s="5">
        <v>761</v>
      </c>
    </row>
    <row r="227" spans="1:8" x14ac:dyDescent="0.25">
      <c r="A227" s="5" t="s">
        <v>7566</v>
      </c>
      <c r="B227" s="5" t="s">
        <v>1067</v>
      </c>
      <c r="C227" s="5" t="s">
        <v>347</v>
      </c>
      <c r="D227" s="5" t="s">
        <v>7816</v>
      </c>
      <c r="E227" s="6">
        <v>25</v>
      </c>
      <c r="F227" s="6">
        <v>36</v>
      </c>
      <c r="G227" s="5">
        <v>460</v>
      </c>
      <c r="H227" s="5">
        <v>687</v>
      </c>
    </row>
    <row r="228" spans="1:8" x14ac:dyDescent="0.25">
      <c r="A228" s="5" t="s">
        <v>7567</v>
      </c>
      <c r="B228" s="5" t="s">
        <v>1067</v>
      </c>
      <c r="C228" s="5" t="s">
        <v>347</v>
      </c>
      <c r="D228" s="5" t="s">
        <v>7816</v>
      </c>
      <c r="E228" s="6">
        <v>23</v>
      </c>
      <c r="F228" s="6">
        <v>33</v>
      </c>
      <c r="G228" s="5">
        <v>432</v>
      </c>
      <c r="H228" s="5">
        <v>621</v>
      </c>
    </row>
    <row r="229" spans="1:8" x14ac:dyDescent="0.25">
      <c r="A229" s="5" t="s">
        <v>7568</v>
      </c>
      <c r="B229" s="5" t="s">
        <v>1067</v>
      </c>
      <c r="C229" s="5" t="s">
        <v>347</v>
      </c>
      <c r="D229" s="5" t="s">
        <v>7816</v>
      </c>
      <c r="E229" s="6">
        <v>21</v>
      </c>
      <c r="F229" s="6">
        <v>34</v>
      </c>
      <c r="G229" s="5">
        <v>398</v>
      </c>
      <c r="H229" s="5">
        <v>641</v>
      </c>
    </row>
    <row r="230" spans="1:8" x14ac:dyDescent="0.25">
      <c r="A230" s="5" t="s">
        <v>7569</v>
      </c>
      <c r="B230" s="5" t="s">
        <v>1067</v>
      </c>
      <c r="C230" s="5" t="s">
        <v>347</v>
      </c>
      <c r="D230" s="5" t="s">
        <v>7816</v>
      </c>
      <c r="E230" s="6">
        <v>21</v>
      </c>
      <c r="F230" s="6">
        <v>32</v>
      </c>
      <c r="G230" s="5">
        <v>392</v>
      </c>
      <c r="H230" s="5">
        <v>604</v>
      </c>
    </row>
    <row r="231" spans="1:8" x14ac:dyDescent="0.25">
      <c r="A231" s="5" t="s">
        <v>7570</v>
      </c>
      <c r="B231" s="5" t="s">
        <v>1067</v>
      </c>
      <c r="C231" s="5" t="s">
        <v>347</v>
      </c>
      <c r="D231" s="5" t="s">
        <v>7816</v>
      </c>
      <c r="E231" s="6">
        <v>29</v>
      </c>
      <c r="F231" s="6">
        <v>35</v>
      </c>
      <c r="G231" s="5">
        <v>535</v>
      </c>
      <c r="H231" s="5">
        <v>653</v>
      </c>
    </row>
    <row r="232" spans="1:8" x14ac:dyDescent="0.25">
      <c r="A232" s="5" t="s">
        <v>7571</v>
      </c>
      <c r="B232" s="5" t="s">
        <v>1067</v>
      </c>
      <c r="C232" s="5" t="s">
        <v>347</v>
      </c>
      <c r="D232" s="5" t="s">
        <v>7816</v>
      </c>
      <c r="E232" s="6">
        <v>24</v>
      </c>
      <c r="F232" s="6">
        <v>30</v>
      </c>
      <c r="G232" s="5">
        <v>445</v>
      </c>
      <c r="H232" s="5">
        <v>569</v>
      </c>
    </row>
    <row r="233" spans="1:8" x14ac:dyDescent="0.25">
      <c r="A233" s="5" t="s">
        <v>7572</v>
      </c>
      <c r="B233" s="5" t="s">
        <v>1067</v>
      </c>
      <c r="C233" s="5" t="s">
        <v>347</v>
      </c>
      <c r="D233" s="5" t="s">
        <v>7816</v>
      </c>
      <c r="E233" s="6">
        <v>21</v>
      </c>
      <c r="F233" s="6">
        <v>29</v>
      </c>
      <c r="G233" s="5">
        <v>399</v>
      </c>
      <c r="H233" s="5">
        <v>548</v>
      </c>
    </row>
    <row r="234" spans="1:8" x14ac:dyDescent="0.25">
      <c r="A234" s="5" t="s">
        <v>7573</v>
      </c>
      <c r="B234" s="5" t="s">
        <v>1067</v>
      </c>
      <c r="C234" s="5" t="s">
        <v>347</v>
      </c>
      <c r="D234" s="5" t="s">
        <v>7816</v>
      </c>
      <c r="E234" s="6">
        <v>20</v>
      </c>
      <c r="F234" s="6">
        <v>28</v>
      </c>
      <c r="G234" s="5">
        <v>371</v>
      </c>
      <c r="H234" s="5">
        <v>526</v>
      </c>
    </row>
    <row r="235" spans="1:8" x14ac:dyDescent="0.25">
      <c r="A235" s="5" t="s">
        <v>7574</v>
      </c>
      <c r="B235" s="5" t="s">
        <v>1067</v>
      </c>
      <c r="C235" s="5" t="s">
        <v>347</v>
      </c>
      <c r="D235" s="5" t="s">
        <v>7816</v>
      </c>
      <c r="E235" s="6">
        <v>21</v>
      </c>
      <c r="F235" s="6">
        <v>26</v>
      </c>
      <c r="G235" s="5">
        <v>392</v>
      </c>
      <c r="H235" s="5">
        <v>491</v>
      </c>
    </row>
    <row r="236" spans="1:8" x14ac:dyDescent="0.25">
      <c r="A236" s="5" t="s">
        <v>7575</v>
      </c>
      <c r="B236" s="5" t="s">
        <v>1067</v>
      </c>
      <c r="C236" s="5" t="s">
        <v>347</v>
      </c>
      <c r="D236" s="5" t="s">
        <v>7816</v>
      </c>
      <c r="E236" s="6">
        <v>19</v>
      </c>
      <c r="F236" s="6">
        <v>25</v>
      </c>
      <c r="G236" s="5">
        <v>363</v>
      </c>
      <c r="H236" s="5">
        <v>458</v>
      </c>
    </row>
    <row r="237" spans="1:8" x14ac:dyDescent="0.25">
      <c r="A237" s="5" t="s">
        <v>7576</v>
      </c>
      <c r="B237" s="5" t="s">
        <v>1067</v>
      </c>
      <c r="C237" s="5" t="s">
        <v>347</v>
      </c>
      <c r="D237" s="5" t="s">
        <v>7816</v>
      </c>
      <c r="E237" s="6">
        <v>17</v>
      </c>
      <c r="F237" s="6">
        <v>26</v>
      </c>
      <c r="G237" s="5">
        <v>316</v>
      </c>
      <c r="H237" s="5">
        <v>476</v>
      </c>
    </row>
    <row r="238" spans="1:8" x14ac:dyDescent="0.25">
      <c r="A238" s="5" t="s">
        <v>7577</v>
      </c>
      <c r="B238" s="5" t="s">
        <v>1067</v>
      </c>
      <c r="C238" s="5" t="s">
        <v>347</v>
      </c>
      <c r="D238" s="5" t="s">
        <v>7816</v>
      </c>
      <c r="E238" s="6">
        <v>16</v>
      </c>
      <c r="F238" s="6">
        <v>24</v>
      </c>
      <c r="G238" s="5">
        <v>289</v>
      </c>
      <c r="H238" s="5">
        <v>458</v>
      </c>
    </row>
    <row r="239" spans="1:8" x14ac:dyDescent="0.25">
      <c r="A239" s="5" t="s">
        <v>7578</v>
      </c>
      <c r="B239" s="5" t="s">
        <v>1067</v>
      </c>
      <c r="C239" s="5" t="s">
        <v>347</v>
      </c>
      <c r="D239" s="5" t="s">
        <v>7816</v>
      </c>
      <c r="E239" s="6">
        <v>17</v>
      </c>
      <c r="F239" s="6">
        <v>23</v>
      </c>
      <c r="G239" s="5">
        <v>307</v>
      </c>
      <c r="H239" s="5">
        <v>429</v>
      </c>
    </row>
    <row r="240" spans="1:8" x14ac:dyDescent="0.25">
      <c r="A240" s="5" t="s">
        <v>7579</v>
      </c>
      <c r="B240" s="5" t="s">
        <v>1067</v>
      </c>
      <c r="C240" s="5" t="s">
        <v>347</v>
      </c>
      <c r="D240" s="5" t="s">
        <v>7816</v>
      </c>
      <c r="E240" s="6">
        <v>18</v>
      </c>
      <c r="F240" s="6">
        <v>21</v>
      </c>
      <c r="G240" s="5">
        <v>336</v>
      </c>
      <c r="H240" s="5">
        <v>391</v>
      </c>
    </row>
    <row r="241" spans="1:8" x14ac:dyDescent="0.25">
      <c r="A241" s="5" t="s">
        <v>8298</v>
      </c>
      <c r="B241" s="5" t="s">
        <v>1067</v>
      </c>
      <c r="C241" s="5" t="s">
        <v>347</v>
      </c>
      <c r="D241" s="5" t="s">
        <v>7816</v>
      </c>
      <c r="E241" s="6">
        <v>21</v>
      </c>
      <c r="F241" s="6">
        <v>23</v>
      </c>
      <c r="G241" s="5">
        <v>389</v>
      </c>
      <c r="H241" s="5">
        <v>426</v>
      </c>
    </row>
    <row r="242" spans="1:8" x14ac:dyDescent="0.25">
      <c r="A242" s="5" t="s">
        <v>7580</v>
      </c>
      <c r="B242" s="5" t="s">
        <v>1067</v>
      </c>
      <c r="C242" s="5" t="s">
        <v>347</v>
      </c>
      <c r="D242" s="5" t="s">
        <v>7816</v>
      </c>
      <c r="E242" s="6">
        <v>24</v>
      </c>
      <c r="F242" s="6">
        <v>25</v>
      </c>
      <c r="G242" s="5">
        <v>454</v>
      </c>
      <c r="H242" s="5">
        <v>469</v>
      </c>
    </row>
    <row r="243" spans="1:8" x14ac:dyDescent="0.25">
      <c r="A243" s="5" t="s">
        <v>7581</v>
      </c>
      <c r="B243" s="5" t="s">
        <v>1067</v>
      </c>
      <c r="C243" s="5" t="s">
        <v>347</v>
      </c>
      <c r="D243" s="5" t="s">
        <v>7816</v>
      </c>
      <c r="E243" s="6">
        <v>21</v>
      </c>
      <c r="F243" s="6">
        <v>21</v>
      </c>
      <c r="G243" s="5">
        <v>397</v>
      </c>
      <c r="H243" s="5">
        <v>382</v>
      </c>
    </row>
    <row r="244" spans="1:8" x14ac:dyDescent="0.25">
      <c r="A244" s="5" t="s">
        <v>7582</v>
      </c>
      <c r="B244" s="5" t="s">
        <v>1067</v>
      </c>
      <c r="C244" s="5" t="s">
        <v>347</v>
      </c>
      <c r="D244" s="5" t="s">
        <v>7816</v>
      </c>
      <c r="E244" s="6">
        <v>19</v>
      </c>
      <c r="F244" s="6">
        <v>19</v>
      </c>
      <c r="G244" s="5">
        <v>356</v>
      </c>
      <c r="H244" s="5">
        <v>359</v>
      </c>
    </row>
    <row r="245" spans="1:8" x14ac:dyDescent="0.25">
      <c r="A245" s="5" t="s">
        <v>7583</v>
      </c>
      <c r="B245" s="5" t="s">
        <v>1067</v>
      </c>
      <c r="C245" s="5" t="s">
        <v>347</v>
      </c>
      <c r="D245" s="5" t="s">
        <v>7816</v>
      </c>
      <c r="E245" s="6">
        <v>16</v>
      </c>
      <c r="F245" s="6">
        <v>20</v>
      </c>
      <c r="G245" s="5">
        <v>295</v>
      </c>
      <c r="H245" s="5">
        <v>370</v>
      </c>
    </row>
    <row r="246" spans="1:8" x14ac:dyDescent="0.25">
      <c r="A246" s="5" t="s">
        <v>7584</v>
      </c>
      <c r="B246" s="5" t="s">
        <v>1067</v>
      </c>
      <c r="C246" s="5" t="s">
        <v>347</v>
      </c>
      <c r="D246" s="5" t="s">
        <v>7816</v>
      </c>
      <c r="E246" s="6">
        <v>24</v>
      </c>
      <c r="F246" s="6">
        <v>21</v>
      </c>
      <c r="G246" s="5">
        <v>450</v>
      </c>
      <c r="H246" s="5">
        <v>392</v>
      </c>
    </row>
    <row r="247" spans="1:8" x14ac:dyDescent="0.25">
      <c r="A247" s="5" t="s">
        <v>7585</v>
      </c>
      <c r="B247" s="5" t="s">
        <v>1067</v>
      </c>
      <c r="C247" s="5" t="s">
        <v>347</v>
      </c>
      <c r="D247" s="5" t="s">
        <v>7816</v>
      </c>
      <c r="E247" s="6">
        <v>28</v>
      </c>
      <c r="F247" s="6">
        <v>21</v>
      </c>
      <c r="G247" s="5">
        <v>536</v>
      </c>
      <c r="H247" s="5">
        <v>381</v>
      </c>
    </row>
    <row r="248" spans="1:8" x14ac:dyDescent="0.25">
      <c r="A248" s="5" t="s">
        <v>7586</v>
      </c>
      <c r="B248" s="5" t="s">
        <v>1067</v>
      </c>
      <c r="C248" s="5" t="s">
        <v>347</v>
      </c>
      <c r="D248" s="5" t="s">
        <v>7816</v>
      </c>
      <c r="E248" s="6">
        <v>31</v>
      </c>
      <c r="F248" s="6">
        <v>18</v>
      </c>
      <c r="G248" s="5">
        <v>591</v>
      </c>
      <c r="H248" s="5">
        <v>338</v>
      </c>
    </row>
    <row r="249" spans="1:8" x14ac:dyDescent="0.25">
      <c r="A249" s="5" t="s">
        <v>7587</v>
      </c>
      <c r="B249" s="5" t="s">
        <v>1067</v>
      </c>
      <c r="C249" s="5" t="s">
        <v>347</v>
      </c>
      <c r="D249" s="5" t="s">
        <v>7816</v>
      </c>
      <c r="E249" s="6">
        <v>33</v>
      </c>
      <c r="F249" s="6">
        <v>20</v>
      </c>
      <c r="G249" s="5">
        <v>615</v>
      </c>
      <c r="H249" s="5">
        <v>366</v>
      </c>
    </row>
    <row r="250" spans="1:8" x14ac:dyDescent="0.25">
      <c r="A250" s="5" t="s">
        <v>7588</v>
      </c>
      <c r="B250" s="5" t="s">
        <v>1067</v>
      </c>
      <c r="C250" s="5" t="s">
        <v>347</v>
      </c>
      <c r="D250" s="5" t="s">
        <v>7817</v>
      </c>
      <c r="E250" s="6">
        <v>19</v>
      </c>
      <c r="F250" s="6">
        <v>17</v>
      </c>
      <c r="G250" s="5">
        <v>361</v>
      </c>
      <c r="H250" s="5">
        <v>312</v>
      </c>
    </row>
    <row r="251" spans="1:8" x14ac:dyDescent="0.25">
      <c r="A251" s="5" t="s">
        <v>7589</v>
      </c>
      <c r="B251" s="5" t="s">
        <v>1067</v>
      </c>
      <c r="C251" s="5" t="s">
        <v>347</v>
      </c>
      <c r="D251" s="5" t="s">
        <v>7817</v>
      </c>
      <c r="E251" s="6">
        <v>17</v>
      </c>
      <c r="F251" s="6">
        <v>17</v>
      </c>
      <c r="G251" s="5">
        <v>322</v>
      </c>
      <c r="H251" s="5">
        <v>299</v>
      </c>
    </row>
    <row r="252" spans="1:8" x14ac:dyDescent="0.25">
      <c r="A252" s="5" t="s">
        <v>7590</v>
      </c>
      <c r="B252" s="5" t="s">
        <v>1067</v>
      </c>
      <c r="C252" s="5" t="s">
        <v>347</v>
      </c>
      <c r="D252" s="5" t="s">
        <v>7817</v>
      </c>
      <c r="E252" s="6">
        <v>17</v>
      </c>
      <c r="F252" s="6">
        <v>12</v>
      </c>
      <c r="G252" s="5">
        <v>314</v>
      </c>
      <c r="H252" s="5">
        <v>209</v>
      </c>
    </row>
    <row r="253" spans="1:8" x14ac:dyDescent="0.25">
      <c r="A253" s="5" t="s">
        <v>7591</v>
      </c>
      <c r="B253" s="5" t="s">
        <v>1067</v>
      </c>
      <c r="C253" s="5" t="s">
        <v>347</v>
      </c>
      <c r="D253" s="5" t="s">
        <v>7817</v>
      </c>
      <c r="E253" s="6">
        <v>18</v>
      </c>
      <c r="F253" s="6">
        <v>11</v>
      </c>
      <c r="G253" s="5">
        <v>335</v>
      </c>
      <c r="H253" s="5">
        <v>194</v>
      </c>
    </row>
    <row r="254" spans="1:8" x14ac:dyDescent="0.25">
      <c r="A254" s="5" t="s">
        <v>7592</v>
      </c>
      <c r="B254" s="5" t="s">
        <v>1067</v>
      </c>
      <c r="C254" s="5" t="s">
        <v>347</v>
      </c>
      <c r="D254" s="5" t="s">
        <v>7817</v>
      </c>
      <c r="E254" s="6">
        <v>18</v>
      </c>
      <c r="F254" s="6">
        <v>10</v>
      </c>
      <c r="G254" s="5">
        <v>330</v>
      </c>
      <c r="H254" s="5">
        <v>176</v>
      </c>
    </row>
    <row r="255" spans="1:8" x14ac:dyDescent="0.25">
      <c r="A255" s="5" t="s">
        <v>7593</v>
      </c>
      <c r="B255" s="5" t="s">
        <v>1067</v>
      </c>
      <c r="C255" s="5" t="s">
        <v>347</v>
      </c>
      <c r="D255" s="5" t="s">
        <v>7817</v>
      </c>
      <c r="E255" s="6">
        <v>21</v>
      </c>
      <c r="F255" s="6">
        <v>11</v>
      </c>
      <c r="G255" s="5">
        <v>396</v>
      </c>
      <c r="H255" s="5">
        <v>193</v>
      </c>
    </row>
    <row r="256" spans="1:8" x14ac:dyDescent="0.25">
      <c r="A256" s="5" t="s">
        <v>7594</v>
      </c>
      <c r="B256" s="5" t="s">
        <v>1067</v>
      </c>
      <c r="C256" s="5" t="s">
        <v>347</v>
      </c>
      <c r="D256" s="5" t="s">
        <v>7817</v>
      </c>
      <c r="E256" s="6">
        <v>24</v>
      </c>
      <c r="F256" s="6">
        <v>12</v>
      </c>
      <c r="G256" s="5">
        <v>446</v>
      </c>
      <c r="H256" s="5">
        <v>216</v>
      </c>
    </row>
    <row r="257" spans="1:8" x14ac:dyDescent="0.25">
      <c r="A257" s="5" t="s">
        <v>7595</v>
      </c>
      <c r="B257" s="5" t="s">
        <v>1067</v>
      </c>
      <c r="C257" s="5" t="s">
        <v>347</v>
      </c>
      <c r="D257" s="5" t="s">
        <v>7817</v>
      </c>
      <c r="E257" s="6">
        <v>25</v>
      </c>
      <c r="F257" s="6">
        <v>11</v>
      </c>
      <c r="G257" s="5">
        <v>463</v>
      </c>
      <c r="H257" s="5">
        <v>206</v>
      </c>
    </row>
    <row r="258" spans="1:8" x14ac:dyDescent="0.25">
      <c r="A258" s="5" t="s">
        <v>7596</v>
      </c>
      <c r="B258" s="5" t="s">
        <v>1067</v>
      </c>
      <c r="C258" s="5" t="s">
        <v>347</v>
      </c>
      <c r="D258" s="5" t="s">
        <v>7817</v>
      </c>
      <c r="E258" s="6">
        <v>25</v>
      </c>
      <c r="F258" s="6">
        <v>9</v>
      </c>
      <c r="G258" s="5">
        <v>462</v>
      </c>
      <c r="H258" s="5">
        <v>155</v>
      </c>
    </row>
    <row r="259" spans="1:8" x14ac:dyDescent="0.25">
      <c r="A259" s="5" t="s">
        <v>7597</v>
      </c>
      <c r="B259" s="5" t="s">
        <v>1067</v>
      </c>
      <c r="C259" s="5" t="s">
        <v>347</v>
      </c>
      <c r="D259" s="5" t="s">
        <v>7817</v>
      </c>
      <c r="E259" s="6">
        <v>23</v>
      </c>
      <c r="F259" s="6">
        <v>8</v>
      </c>
      <c r="G259" s="5">
        <v>431</v>
      </c>
      <c r="H259" s="5">
        <v>136</v>
      </c>
    </row>
    <row r="260" spans="1:8" x14ac:dyDescent="0.25">
      <c r="A260" s="5" t="s">
        <v>7598</v>
      </c>
      <c r="B260" s="5" t="s">
        <v>1067</v>
      </c>
      <c r="C260" s="5" t="s">
        <v>291</v>
      </c>
      <c r="D260" s="5" t="s">
        <v>7816</v>
      </c>
      <c r="E260" s="6">
        <v>21</v>
      </c>
      <c r="F260" s="6">
        <v>28</v>
      </c>
      <c r="G260" s="5">
        <v>383</v>
      </c>
      <c r="H260" s="5">
        <v>522</v>
      </c>
    </row>
    <row r="261" spans="1:8" x14ac:dyDescent="0.25">
      <c r="A261" s="5" t="s">
        <v>7599</v>
      </c>
      <c r="B261" s="5" t="s">
        <v>1067</v>
      </c>
      <c r="C261" s="5" t="s">
        <v>291</v>
      </c>
      <c r="D261" s="5" t="s">
        <v>7816</v>
      </c>
      <c r="E261" s="6">
        <v>22</v>
      </c>
      <c r="F261" s="6">
        <v>27</v>
      </c>
      <c r="G261" s="5">
        <v>410</v>
      </c>
      <c r="H261" s="5">
        <v>504</v>
      </c>
    </row>
    <row r="262" spans="1:8" x14ac:dyDescent="0.25">
      <c r="A262" s="5" t="s">
        <v>7600</v>
      </c>
      <c r="B262" s="5" t="s">
        <v>1067</v>
      </c>
      <c r="C262" s="5" t="s">
        <v>291</v>
      </c>
      <c r="D262" s="5" t="s">
        <v>7816</v>
      </c>
      <c r="E262" s="6">
        <v>23</v>
      </c>
      <c r="F262" s="6">
        <v>26</v>
      </c>
      <c r="G262" s="5">
        <v>434</v>
      </c>
      <c r="H262" s="5">
        <v>496</v>
      </c>
    </row>
    <row r="263" spans="1:8" x14ac:dyDescent="0.25">
      <c r="A263" s="5" t="s">
        <v>7601</v>
      </c>
      <c r="B263" s="5" t="s">
        <v>1067</v>
      </c>
      <c r="C263" s="5" t="s">
        <v>291</v>
      </c>
      <c r="D263" s="5" t="s">
        <v>7816</v>
      </c>
      <c r="E263" s="6">
        <v>24</v>
      </c>
      <c r="F263" s="6">
        <v>25</v>
      </c>
      <c r="G263" s="5">
        <v>441</v>
      </c>
      <c r="H263" s="5">
        <v>475</v>
      </c>
    </row>
    <row r="264" spans="1:8" x14ac:dyDescent="0.25">
      <c r="A264" s="5" t="s">
        <v>7602</v>
      </c>
      <c r="B264" s="5" t="s">
        <v>1067</v>
      </c>
      <c r="C264" s="5" t="s">
        <v>291</v>
      </c>
      <c r="D264" s="5" t="s">
        <v>7816</v>
      </c>
      <c r="E264" s="6">
        <v>22</v>
      </c>
      <c r="F264" s="6">
        <v>25</v>
      </c>
      <c r="G264" s="5">
        <v>402</v>
      </c>
      <c r="H264" s="5">
        <v>463</v>
      </c>
    </row>
    <row r="265" spans="1:8" x14ac:dyDescent="0.25">
      <c r="A265" s="5" t="s">
        <v>7603</v>
      </c>
      <c r="B265" s="5" t="s">
        <v>1067</v>
      </c>
      <c r="C265" s="5" t="s">
        <v>291</v>
      </c>
      <c r="D265" s="5" t="s">
        <v>7816</v>
      </c>
      <c r="E265" s="6">
        <v>24</v>
      </c>
      <c r="F265" s="6">
        <v>24</v>
      </c>
      <c r="G265" s="5">
        <v>447</v>
      </c>
      <c r="H265" s="5">
        <v>447</v>
      </c>
    </row>
    <row r="266" spans="1:8" x14ac:dyDescent="0.25">
      <c r="A266" s="5" t="s">
        <v>7604</v>
      </c>
      <c r="B266" s="5" t="s">
        <v>1067</v>
      </c>
      <c r="C266" s="5" t="s">
        <v>291</v>
      </c>
      <c r="D266" s="5" t="s">
        <v>7816</v>
      </c>
      <c r="E266" s="6">
        <v>24</v>
      </c>
      <c r="F266" s="6">
        <v>23</v>
      </c>
      <c r="G266" s="5">
        <v>455</v>
      </c>
      <c r="H266" s="5">
        <v>429</v>
      </c>
    </row>
    <row r="267" spans="1:8" x14ac:dyDescent="0.25">
      <c r="A267" s="5" t="s">
        <v>7605</v>
      </c>
      <c r="B267" s="5" t="s">
        <v>1067</v>
      </c>
      <c r="C267" s="5" t="s">
        <v>291</v>
      </c>
      <c r="D267" s="5" t="s">
        <v>7816</v>
      </c>
      <c r="E267" s="6">
        <v>23</v>
      </c>
      <c r="F267" s="6">
        <v>23</v>
      </c>
      <c r="G267" s="5">
        <v>442</v>
      </c>
      <c r="H267" s="5">
        <v>421</v>
      </c>
    </row>
    <row r="268" spans="1:8" x14ac:dyDescent="0.25">
      <c r="A268" s="5" t="s">
        <v>7606</v>
      </c>
      <c r="B268" s="5" t="s">
        <v>1067</v>
      </c>
      <c r="C268" s="5" t="s">
        <v>291</v>
      </c>
      <c r="D268" s="5" t="s">
        <v>7816</v>
      </c>
      <c r="E268" s="6">
        <v>16</v>
      </c>
      <c r="F268" s="6">
        <v>19</v>
      </c>
      <c r="G268" s="5">
        <v>298</v>
      </c>
      <c r="H268" s="5">
        <v>352</v>
      </c>
    </row>
    <row r="269" spans="1:8" x14ac:dyDescent="0.25">
      <c r="A269" s="5" t="s">
        <v>7607</v>
      </c>
      <c r="B269" s="5" t="s">
        <v>1067</v>
      </c>
      <c r="C269" s="5" t="s">
        <v>291</v>
      </c>
      <c r="D269" s="5" t="s">
        <v>7816</v>
      </c>
      <c r="E269" s="6">
        <v>15</v>
      </c>
      <c r="F269" s="6">
        <v>19</v>
      </c>
      <c r="G269" s="5">
        <v>280</v>
      </c>
      <c r="H269" s="5">
        <v>337</v>
      </c>
    </row>
    <row r="270" spans="1:8" x14ac:dyDescent="0.25">
      <c r="A270" s="5" t="s">
        <v>7608</v>
      </c>
      <c r="B270" s="5" t="s">
        <v>1067</v>
      </c>
      <c r="C270" s="5" t="s">
        <v>291</v>
      </c>
      <c r="D270" s="5" t="s">
        <v>7816</v>
      </c>
      <c r="E270" s="6">
        <v>19</v>
      </c>
      <c r="F270" s="6">
        <v>18</v>
      </c>
      <c r="G270" s="5">
        <v>350</v>
      </c>
      <c r="H270" s="5">
        <v>328</v>
      </c>
    </row>
    <row r="271" spans="1:8" x14ac:dyDescent="0.25">
      <c r="A271" s="5" t="s">
        <v>7609</v>
      </c>
      <c r="B271" s="5" t="s">
        <v>1067</v>
      </c>
      <c r="C271" s="5" t="s">
        <v>291</v>
      </c>
      <c r="D271" s="5" t="s">
        <v>7816</v>
      </c>
      <c r="E271" s="6">
        <v>18</v>
      </c>
      <c r="F271" s="6">
        <v>17</v>
      </c>
      <c r="G271" s="5">
        <v>339</v>
      </c>
      <c r="H271" s="5">
        <v>311</v>
      </c>
    </row>
    <row r="272" spans="1:8" x14ac:dyDescent="0.25">
      <c r="A272" s="5" t="s">
        <v>7610</v>
      </c>
      <c r="B272" s="5" t="s">
        <v>1067</v>
      </c>
      <c r="C272" s="5" t="s">
        <v>291</v>
      </c>
      <c r="D272" s="5" t="s">
        <v>7816</v>
      </c>
      <c r="E272" s="6">
        <v>19</v>
      </c>
      <c r="F272" s="6">
        <v>17</v>
      </c>
      <c r="G272" s="5">
        <v>360</v>
      </c>
      <c r="H272" s="5">
        <v>303</v>
      </c>
    </row>
    <row r="273" spans="1:8" x14ac:dyDescent="0.25">
      <c r="A273" s="5" t="s">
        <v>8299</v>
      </c>
      <c r="B273" s="5" t="s">
        <v>1067</v>
      </c>
      <c r="C273" s="5" t="s">
        <v>291</v>
      </c>
      <c r="D273" s="5" t="s">
        <v>7816</v>
      </c>
      <c r="E273" s="6">
        <v>17</v>
      </c>
      <c r="F273" s="6">
        <v>17</v>
      </c>
      <c r="G273" s="5">
        <v>309</v>
      </c>
      <c r="H273" s="5">
        <v>302</v>
      </c>
    </row>
    <row r="274" spans="1:8" x14ac:dyDescent="0.25">
      <c r="A274" s="5" t="s">
        <v>7611</v>
      </c>
      <c r="B274" s="5" t="s">
        <v>1067</v>
      </c>
      <c r="C274" s="5" t="s">
        <v>291</v>
      </c>
      <c r="D274" s="5" t="s">
        <v>7816</v>
      </c>
      <c r="E274" s="6">
        <v>17</v>
      </c>
      <c r="F274" s="6">
        <v>15</v>
      </c>
      <c r="G274" s="5">
        <v>323</v>
      </c>
      <c r="H274" s="5">
        <v>280</v>
      </c>
    </row>
    <row r="275" spans="1:8" x14ac:dyDescent="0.25">
      <c r="A275" s="5" t="s">
        <v>7612</v>
      </c>
      <c r="B275" s="5" t="s">
        <v>1067</v>
      </c>
      <c r="C275" s="5" t="s">
        <v>291</v>
      </c>
      <c r="D275" s="5" t="s">
        <v>7816</v>
      </c>
      <c r="E275" s="6">
        <v>16</v>
      </c>
      <c r="F275" s="6">
        <v>16</v>
      </c>
      <c r="G275" s="5">
        <v>297</v>
      </c>
      <c r="H275" s="5">
        <v>284</v>
      </c>
    </row>
    <row r="276" spans="1:8" x14ac:dyDescent="0.25">
      <c r="A276" s="5" t="s">
        <v>7613</v>
      </c>
      <c r="B276" s="5" t="s">
        <v>1067</v>
      </c>
      <c r="C276" s="5" t="s">
        <v>291</v>
      </c>
      <c r="D276" s="5" t="s">
        <v>7816</v>
      </c>
      <c r="E276" s="6">
        <v>16</v>
      </c>
      <c r="F276" s="6">
        <v>14</v>
      </c>
      <c r="G276" s="5">
        <v>293</v>
      </c>
      <c r="H276" s="5">
        <v>263</v>
      </c>
    </row>
    <row r="277" spans="1:8" x14ac:dyDescent="0.25">
      <c r="A277" s="5" t="s">
        <v>7614</v>
      </c>
      <c r="B277" s="5" t="s">
        <v>1067</v>
      </c>
      <c r="C277" s="5" t="s">
        <v>362</v>
      </c>
      <c r="D277" s="5" t="s">
        <v>7816</v>
      </c>
      <c r="E277" s="6">
        <v>22</v>
      </c>
      <c r="F277" s="6">
        <v>30</v>
      </c>
      <c r="G277" s="5">
        <v>400</v>
      </c>
      <c r="H277" s="5">
        <v>564</v>
      </c>
    </row>
    <row r="278" spans="1:8" x14ac:dyDescent="0.25">
      <c r="A278" s="5" t="s">
        <v>7615</v>
      </c>
      <c r="B278" s="5" t="s">
        <v>1067</v>
      </c>
      <c r="C278" s="5" t="s">
        <v>362</v>
      </c>
      <c r="D278" s="5" t="s">
        <v>7816</v>
      </c>
      <c r="E278" s="6">
        <v>23</v>
      </c>
      <c r="F278" s="6">
        <v>27</v>
      </c>
      <c r="G278" s="5">
        <v>440</v>
      </c>
      <c r="H278" s="5">
        <v>511</v>
      </c>
    </row>
    <row r="279" spans="1:8" x14ac:dyDescent="0.25">
      <c r="A279" s="5" t="s">
        <v>7616</v>
      </c>
      <c r="B279" s="5" t="s">
        <v>1067</v>
      </c>
      <c r="C279" s="5" t="s">
        <v>362</v>
      </c>
      <c r="D279" s="5" t="s">
        <v>7816</v>
      </c>
      <c r="E279" s="6">
        <v>22</v>
      </c>
      <c r="F279" s="6">
        <v>24</v>
      </c>
      <c r="G279" s="5">
        <v>411</v>
      </c>
      <c r="H279" s="5">
        <v>454</v>
      </c>
    </row>
    <row r="280" spans="1:8" x14ac:dyDescent="0.25">
      <c r="A280" s="5" t="s">
        <v>7617</v>
      </c>
      <c r="B280" s="5" t="s">
        <v>1067</v>
      </c>
      <c r="C280" s="5" t="s">
        <v>362</v>
      </c>
      <c r="D280" s="5" t="s">
        <v>7816</v>
      </c>
      <c r="E280" s="6">
        <v>27</v>
      </c>
      <c r="F280" s="6">
        <v>23</v>
      </c>
      <c r="G280" s="5">
        <v>505</v>
      </c>
      <c r="H280" s="5">
        <v>422</v>
      </c>
    </row>
    <row r="281" spans="1:8" x14ac:dyDescent="0.25">
      <c r="A281" s="5" t="s">
        <v>7618</v>
      </c>
      <c r="B281" s="5" t="s">
        <v>1067</v>
      </c>
      <c r="C281" s="5" t="s">
        <v>362</v>
      </c>
      <c r="D281" s="5" t="s">
        <v>7816</v>
      </c>
      <c r="E281" s="6">
        <v>28</v>
      </c>
      <c r="F281" s="6">
        <v>22</v>
      </c>
      <c r="G281" s="5">
        <v>533</v>
      </c>
      <c r="H281" s="5">
        <v>406</v>
      </c>
    </row>
    <row r="282" spans="1:8" x14ac:dyDescent="0.25">
      <c r="A282" s="5" t="s">
        <v>7619</v>
      </c>
      <c r="B282" s="5" t="s">
        <v>1067</v>
      </c>
      <c r="C282" s="5" t="s">
        <v>362</v>
      </c>
      <c r="D282" s="5" t="s">
        <v>7816</v>
      </c>
      <c r="E282" s="6">
        <v>30</v>
      </c>
      <c r="F282" s="6">
        <v>23</v>
      </c>
      <c r="G282" s="5">
        <v>557</v>
      </c>
      <c r="H282" s="5">
        <v>433</v>
      </c>
    </row>
    <row r="283" spans="1:8" x14ac:dyDescent="0.25">
      <c r="A283" s="5" t="s">
        <v>7620</v>
      </c>
      <c r="B283" s="5" t="s">
        <v>1067</v>
      </c>
      <c r="C283" s="5" t="s">
        <v>362</v>
      </c>
      <c r="D283" s="5" t="s">
        <v>7816</v>
      </c>
      <c r="E283" s="6">
        <v>27</v>
      </c>
      <c r="F283" s="6">
        <v>21</v>
      </c>
      <c r="G283" s="5">
        <v>507</v>
      </c>
      <c r="H283" s="5">
        <v>383</v>
      </c>
    </row>
    <row r="284" spans="1:8" x14ac:dyDescent="0.25">
      <c r="A284" s="5" t="s">
        <v>7621</v>
      </c>
      <c r="B284" s="5" t="s">
        <v>1067</v>
      </c>
      <c r="C284" s="5" t="s">
        <v>362</v>
      </c>
      <c r="D284" s="5" t="s">
        <v>7816</v>
      </c>
      <c r="E284" s="6">
        <v>29</v>
      </c>
      <c r="F284" s="6">
        <v>20</v>
      </c>
      <c r="G284" s="5">
        <v>549</v>
      </c>
      <c r="H284" s="5">
        <v>359</v>
      </c>
    </row>
    <row r="285" spans="1:8" x14ac:dyDescent="0.25">
      <c r="A285" s="5" t="s">
        <v>7622</v>
      </c>
      <c r="B285" s="5" t="s">
        <v>1067</v>
      </c>
      <c r="C285" s="5" t="s">
        <v>362</v>
      </c>
      <c r="D285" s="5" t="s">
        <v>7816</v>
      </c>
      <c r="E285" s="6">
        <v>31</v>
      </c>
      <c r="F285" s="6">
        <v>19</v>
      </c>
      <c r="G285" s="5">
        <v>584</v>
      </c>
      <c r="H285" s="5">
        <v>352</v>
      </c>
    </row>
    <row r="286" spans="1:8" x14ac:dyDescent="0.25">
      <c r="A286" s="5" t="s">
        <v>7623</v>
      </c>
      <c r="B286" s="5" t="s">
        <v>1067</v>
      </c>
      <c r="C286" s="5" t="s">
        <v>362</v>
      </c>
      <c r="D286" s="5" t="s">
        <v>7816</v>
      </c>
      <c r="E286" s="6">
        <v>29</v>
      </c>
      <c r="F286" s="6">
        <v>14</v>
      </c>
      <c r="G286" s="5">
        <v>538</v>
      </c>
      <c r="H286" s="5">
        <v>262</v>
      </c>
    </row>
    <row r="287" spans="1:8" x14ac:dyDescent="0.25">
      <c r="A287" s="5" t="s">
        <v>7624</v>
      </c>
      <c r="B287" s="5" t="s">
        <v>1067</v>
      </c>
      <c r="C287" s="5" t="s">
        <v>362</v>
      </c>
      <c r="D287" s="5" t="s">
        <v>7816</v>
      </c>
      <c r="E287" s="6">
        <v>21</v>
      </c>
      <c r="F287" s="6">
        <v>16</v>
      </c>
      <c r="G287" s="5">
        <v>400</v>
      </c>
      <c r="H287" s="5">
        <v>298</v>
      </c>
    </row>
    <row r="288" spans="1:8" x14ac:dyDescent="0.25">
      <c r="A288" s="5" t="s">
        <v>7625</v>
      </c>
      <c r="B288" s="5" t="s">
        <v>1067</v>
      </c>
      <c r="C288" s="5" t="s">
        <v>362</v>
      </c>
      <c r="D288" s="5" t="s">
        <v>7816</v>
      </c>
      <c r="E288" s="6">
        <v>19</v>
      </c>
      <c r="F288" s="6">
        <v>18</v>
      </c>
      <c r="G288" s="5">
        <v>353</v>
      </c>
      <c r="H288" s="5">
        <v>331</v>
      </c>
    </row>
    <row r="289" spans="1:8" x14ac:dyDescent="0.25">
      <c r="A289" s="5" t="s">
        <v>7626</v>
      </c>
      <c r="B289" s="5" t="s">
        <v>1067</v>
      </c>
      <c r="C289" s="5" t="s">
        <v>362</v>
      </c>
      <c r="D289" s="5" t="s">
        <v>7816</v>
      </c>
      <c r="E289" s="6">
        <v>17</v>
      </c>
      <c r="F289" s="6">
        <v>18</v>
      </c>
      <c r="G289" s="5">
        <v>307</v>
      </c>
      <c r="H289" s="5">
        <v>329</v>
      </c>
    </row>
    <row r="290" spans="1:8" x14ac:dyDescent="0.25">
      <c r="A290" s="5" t="s">
        <v>7627</v>
      </c>
      <c r="B290" s="5" t="s">
        <v>1067</v>
      </c>
      <c r="C290" s="5" t="s">
        <v>362</v>
      </c>
      <c r="D290" s="5" t="s">
        <v>7816</v>
      </c>
      <c r="E290" s="6">
        <v>16</v>
      </c>
      <c r="F290" s="6">
        <v>20</v>
      </c>
      <c r="G290" s="5">
        <v>289</v>
      </c>
      <c r="H290" s="5">
        <v>367</v>
      </c>
    </row>
    <row r="291" spans="1:8" x14ac:dyDescent="0.25">
      <c r="A291" s="5" t="s">
        <v>7628</v>
      </c>
      <c r="B291" s="5" t="s">
        <v>1067</v>
      </c>
      <c r="C291" s="5" t="s">
        <v>362</v>
      </c>
      <c r="D291" s="5" t="s">
        <v>7816</v>
      </c>
      <c r="E291" s="6">
        <v>16</v>
      </c>
      <c r="F291" s="6">
        <v>21</v>
      </c>
      <c r="G291" s="5">
        <v>295</v>
      </c>
      <c r="H291" s="5">
        <v>397</v>
      </c>
    </row>
    <row r="292" spans="1:8" x14ac:dyDescent="0.25">
      <c r="A292" s="5" t="s">
        <v>7629</v>
      </c>
      <c r="B292" s="5" t="s">
        <v>1067</v>
      </c>
      <c r="C292" s="5" t="s">
        <v>362</v>
      </c>
      <c r="D292" s="5" t="s">
        <v>7816</v>
      </c>
      <c r="E292" s="6">
        <v>16</v>
      </c>
      <c r="F292" s="6">
        <v>24</v>
      </c>
      <c r="G292" s="5">
        <v>290</v>
      </c>
      <c r="H292" s="5">
        <v>450</v>
      </c>
    </row>
    <row r="293" spans="1:8" x14ac:dyDescent="0.25">
      <c r="A293" s="5" t="s">
        <v>7630</v>
      </c>
      <c r="B293" s="5" t="s">
        <v>1067</v>
      </c>
      <c r="C293" s="5" t="s">
        <v>362</v>
      </c>
      <c r="D293" s="5" t="s">
        <v>7816</v>
      </c>
      <c r="E293" s="6">
        <v>14</v>
      </c>
      <c r="F293" s="6">
        <v>20</v>
      </c>
      <c r="G293" s="5">
        <v>256</v>
      </c>
      <c r="H293" s="5">
        <v>359</v>
      </c>
    </row>
    <row r="294" spans="1:8" x14ac:dyDescent="0.25">
      <c r="A294" s="5" t="s">
        <v>7631</v>
      </c>
      <c r="B294" s="5" t="s">
        <v>1067</v>
      </c>
      <c r="C294" s="5" t="s">
        <v>362</v>
      </c>
      <c r="D294" s="5" t="s">
        <v>7816</v>
      </c>
      <c r="E294" s="6">
        <v>13</v>
      </c>
      <c r="F294" s="6">
        <v>21</v>
      </c>
      <c r="G294" s="5">
        <v>233</v>
      </c>
      <c r="H294" s="5">
        <v>383</v>
      </c>
    </row>
    <row r="295" spans="1:8" x14ac:dyDescent="0.25">
      <c r="A295" s="5" t="s">
        <v>7632</v>
      </c>
      <c r="B295" s="5" t="s">
        <v>1067</v>
      </c>
      <c r="C295" s="5" t="s">
        <v>362</v>
      </c>
      <c r="D295" s="5" t="s">
        <v>7816</v>
      </c>
      <c r="E295" s="6">
        <v>12</v>
      </c>
      <c r="F295" s="6">
        <v>19</v>
      </c>
      <c r="G295" s="5">
        <v>217</v>
      </c>
      <c r="H295" s="5">
        <v>355</v>
      </c>
    </row>
    <row r="296" spans="1:8" x14ac:dyDescent="0.25">
      <c r="A296" s="5" t="s">
        <v>7633</v>
      </c>
      <c r="B296" s="5" t="s">
        <v>1067</v>
      </c>
      <c r="C296" s="5" t="s">
        <v>362</v>
      </c>
      <c r="D296" s="5" t="s">
        <v>7816</v>
      </c>
      <c r="E296" s="6">
        <v>10</v>
      </c>
      <c r="F296" s="6">
        <v>19</v>
      </c>
      <c r="G296" s="5">
        <v>175</v>
      </c>
      <c r="H296" s="5">
        <v>346</v>
      </c>
    </row>
    <row r="297" spans="1:8" x14ac:dyDescent="0.25">
      <c r="A297" s="5" t="s">
        <v>7634</v>
      </c>
      <c r="B297" s="5" t="s">
        <v>1067</v>
      </c>
      <c r="C297" s="5" t="s">
        <v>362</v>
      </c>
      <c r="D297" s="5" t="s">
        <v>7816</v>
      </c>
      <c r="E297" s="6">
        <v>10</v>
      </c>
      <c r="F297" s="6">
        <v>17</v>
      </c>
      <c r="G297" s="5">
        <v>170</v>
      </c>
      <c r="H297" s="5">
        <v>303</v>
      </c>
    </row>
    <row r="298" spans="1:8" x14ac:dyDescent="0.25">
      <c r="A298" s="5" t="s">
        <v>7635</v>
      </c>
      <c r="B298" s="5" t="s">
        <v>1067</v>
      </c>
      <c r="C298" s="5" t="s">
        <v>362</v>
      </c>
      <c r="D298" s="5" t="s">
        <v>7816</v>
      </c>
      <c r="E298" s="6">
        <v>10</v>
      </c>
      <c r="F298" s="6">
        <v>22</v>
      </c>
      <c r="G298" s="5">
        <v>183</v>
      </c>
      <c r="H298" s="5">
        <v>410</v>
      </c>
    </row>
    <row r="299" spans="1:8" x14ac:dyDescent="0.25">
      <c r="A299" s="5" t="s">
        <v>7636</v>
      </c>
      <c r="B299" s="5" t="s">
        <v>1067</v>
      </c>
      <c r="C299" s="5" t="s">
        <v>362</v>
      </c>
      <c r="D299" s="5" t="s">
        <v>7816</v>
      </c>
      <c r="E299" s="6">
        <v>12</v>
      </c>
      <c r="F299" s="6">
        <v>23</v>
      </c>
      <c r="G299" s="5">
        <v>210</v>
      </c>
      <c r="H299" s="5">
        <v>437</v>
      </c>
    </row>
    <row r="300" spans="1:8" x14ac:dyDescent="0.25">
      <c r="A300" s="5" t="s">
        <v>7637</v>
      </c>
      <c r="B300" s="5" t="s">
        <v>1067</v>
      </c>
      <c r="C300" s="5" t="s">
        <v>512</v>
      </c>
      <c r="D300" s="5" t="s">
        <v>7816</v>
      </c>
      <c r="E300" s="6">
        <v>17</v>
      </c>
      <c r="F300" s="6">
        <v>32</v>
      </c>
      <c r="G300" s="5">
        <v>315</v>
      </c>
      <c r="H300" s="5">
        <v>610</v>
      </c>
    </row>
    <row r="301" spans="1:8" x14ac:dyDescent="0.25">
      <c r="A301" s="5" t="s">
        <v>7638</v>
      </c>
      <c r="B301" s="5" t="s">
        <v>1067</v>
      </c>
      <c r="C301" s="5" t="s">
        <v>512</v>
      </c>
      <c r="D301" s="5" t="s">
        <v>7816</v>
      </c>
      <c r="E301" s="6">
        <v>16</v>
      </c>
      <c r="F301" s="6">
        <v>32</v>
      </c>
      <c r="G301" s="5">
        <v>295</v>
      </c>
      <c r="H301" s="5">
        <v>604</v>
      </c>
    </row>
    <row r="302" spans="1:8" x14ac:dyDescent="0.25">
      <c r="A302" s="5" t="s">
        <v>7639</v>
      </c>
      <c r="B302" s="5" t="s">
        <v>1067</v>
      </c>
      <c r="C302" s="5" t="s">
        <v>512</v>
      </c>
      <c r="D302" s="5" t="s">
        <v>7816</v>
      </c>
      <c r="E302" s="6">
        <v>18</v>
      </c>
      <c r="F302" s="6">
        <v>31</v>
      </c>
      <c r="G302" s="5">
        <v>334</v>
      </c>
      <c r="H302" s="5">
        <v>586</v>
      </c>
    </row>
    <row r="303" spans="1:8" x14ac:dyDescent="0.25">
      <c r="A303" s="5" t="s">
        <v>7640</v>
      </c>
      <c r="B303" s="5" t="s">
        <v>1067</v>
      </c>
      <c r="C303" s="5" t="s">
        <v>512</v>
      </c>
      <c r="D303" s="5" t="s">
        <v>7816</v>
      </c>
      <c r="E303" s="6">
        <v>17</v>
      </c>
      <c r="F303" s="6">
        <v>31</v>
      </c>
      <c r="G303" s="5">
        <v>312</v>
      </c>
      <c r="H303" s="5">
        <v>573</v>
      </c>
    </row>
    <row r="304" spans="1:8" x14ac:dyDescent="0.25">
      <c r="A304" s="5" t="s">
        <v>7641</v>
      </c>
      <c r="B304" s="5" t="s">
        <v>1067</v>
      </c>
      <c r="C304" s="5" t="s">
        <v>512</v>
      </c>
      <c r="D304" s="5" t="s">
        <v>7816</v>
      </c>
      <c r="E304" s="6">
        <v>16</v>
      </c>
      <c r="F304" s="6">
        <v>28</v>
      </c>
      <c r="G304" s="5">
        <v>288</v>
      </c>
      <c r="H304" s="5">
        <v>532</v>
      </c>
    </row>
    <row r="305" spans="1:8" x14ac:dyDescent="0.25">
      <c r="A305" s="5" t="s">
        <v>7642</v>
      </c>
      <c r="B305" s="5" t="s">
        <v>1067</v>
      </c>
      <c r="C305" s="5" t="s">
        <v>512</v>
      </c>
      <c r="D305" s="5" t="s">
        <v>7816</v>
      </c>
      <c r="E305" s="6">
        <v>16</v>
      </c>
      <c r="F305" s="6">
        <v>27</v>
      </c>
      <c r="G305" s="5">
        <v>294</v>
      </c>
      <c r="H305" s="5">
        <v>512</v>
      </c>
    </row>
    <row r="306" spans="1:8" x14ac:dyDescent="0.25">
      <c r="A306" s="5" t="s">
        <v>7643</v>
      </c>
      <c r="B306" s="5" t="s">
        <v>1067</v>
      </c>
      <c r="C306" s="5" t="s">
        <v>512</v>
      </c>
      <c r="D306" s="5" t="s">
        <v>7816</v>
      </c>
      <c r="E306" s="6">
        <v>19</v>
      </c>
      <c r="F306" s="6">
        <v>28</v>
      </c>
      <c r="G306" s="5">
        <v>353</v>
      </c>
      <c r="H306" s="5">
        <v>530</v>
      </c>
    </row>
    <row r="307" spans="1:8" x14ac:dyDescent="0.25">
      <c r="A307" s="5" t="s">
        <v>7644</v>
      </c>
      <c r="B307" s="5" t="s">
        <v>1067</v>
      </c>
      <c r="C307" s="5" t="s">
        <v>512</v>
      </c>
      <c r="D307" s="5" t="s">
        <v>7816</v>
      </c>
      <c r="E307" s="6">
        <v>19</v>
      </c>
      <c r="F307" s="6">
        <v>27</v>
      </c>
      <c r="G307" s="5">
        <v>361</v>
      </c>
      <c r="H307" s="5">
        <v>508</v>
      </c>
    </row>
    <row r="308" spans="1:8" x14ac:dyDescent="0.25">
      <c r="A308" s="5" t="s">
        <v>7645</v>
      </c>
      <c r="B308" s="5" t="s">
        <v>1067</v>
      </c>
      <c r="C308" s="5" t="s">
        <v>512</v>
      </c>
      <c r="D308" s="5" t="s">
        <v>7816</v>
      </c>
      <c r="E308" s="6">
        <v>21</v>
      </c>
      <c r="F308" s="6">
        <v>28</v>
      </c>
      <c r="G308" s="5">
        <v>396</v>
      </c>
      <c r="H308" s="5">
        <v>524</v>
      </c>
    </row>
    <row r="309" spans="1:8" x14ac:dyDescent="0.25">
      <c r="A309" s="5" t="s">
        <v>7646</v>
      </c>
      <c r="B309" s="5" t="s">
        <v>1067</v>
      </c>
      <c r="C309" s="5" t="s">
        <v>512</v>
      </c>
      <c r="D309" s="5" t="s">
        <v>7816</v>
      </c>
      <c r="E309" s="6">
        <v>22</v>
      </c>
      <c r="F309" s="6">
        <v>26</v>
      </c>
      <c r="G309" s="5">
        <v>418</v>
      </c>
      <c r="H309" s="5">
        <v>479</v>
      </c>
    </row>
    <row r="310" spans="1:8" x14ac:dyDescent="0.25">
      <c r="A310" s="5" t="s">
        <v>7647</v>
      </c>
      <c r="B310" s="5" t="s">
        <v>1067</v>
      </c>
      <c r="C310" s="5" t="s">
        <v>512</v>
      </c>
      <c r="D310" s="5" t="s">
        <v>7816</v>
      </c>
      <c r="E310" s="6">
        <v>23</v>
      </c>
      <c r="F310" s="6">
        <v>24</v>
      </c>
      <c r="G310" s="5">
        <v>427</v>
      </c>
      <c r="H310" s="5">
        <v>449</v>
      </c>
    </row>
    <row r="311" spans="1:8" x14ac:dyDescent="0.25">
      <c r="A311" s="5" t="s">
        <v>7648</v>
      </c>
      <c r="B311" s="5" t="s">
        <v>1067</v>
      </c>
      <c r="C311" s="5" t="s">
        <v>512</v>
      </c>
      <c r="D311" s="5" t="s">
        <v>7816</v>
      </c>
      <c r="E311" s="6">
        <v>29</v>
      </c>
      <c r="F311" s="6">
        <v>24</v>
      </c>
      <c r="G311" s="5">
        <v>549</v>
      </c>
      <c r="H311" s="5">
        <v>455</v>
      </c>
    </row>
    <row r="312" spans="1:8" x14ac:dyDescent="0.25">
      <c r="A312" s="5" t="s">
        <v>7649</v>
      </c>
      <c r="B312" s="5" t="s">
        <v>1067</v>
      </c>
      <c r="C312" s="5" t="s">
        <v>512</v>
      </c>
      <c r="D312" s="5" t="s">
        <v>7816</v>
      </c>
      <c r="E312" s="6">
        <v>31</v>
      </c>
      <c r="F312" s="6">
        <v>25</v>
      </c>
      <c r="G312" s="5">
        <v>579</v>
      </c>
      <c r="H312" s="5">
        <v>473</v>
      </c>
    </row>
    <row r="313" spans="1:8" x14ac:dyDescent="0.25">
      <c r="A313" s="5" t="s">
        <v>7650</v>
      </c>
      <c r="B313" s="5" t="s">
        <v>1067</v>
      </c>
      <c r="C313" s="5" t="s">
        <v>512</v>
      </c>
      <c r="D313" s="5" t="s">
        <v>7816</v>
      </c>
      <c r="E313" s="6">
        <v>32</v>
      </c>
      <c r="F313" s="6">
        <v>24</v>
      </c>
      <c r="G313" s="5">
        <v>602</v>
      </c>
      <c r="H313" s="5">
        <v>444</v>
      </c>
    </row>
    <row r="314" spans="1:8" x14ac:dyDescent="0.25">
      <c r="A314" s="5" t="s">
        <v>8300</v>
      </c>
      <c r="B314" s="5" t="s">
        <v>1067</v>
      </c>
      <c r="C314" s="5" t="s">
        <v>512</v>
      </c>
      <c r="D314" s="5" t="s">
        <v>7816</v>
      </c>
      <c r="E314" s="6">
        <v>33</v>
      </c>
      <c r="F314" s="6">
        <v>24</v>
      </c>
      <c r="G314" s="5">
        <v>616</v>
      </c>
      <c r="H314" s="5">
        <v>450</v>
      </c>
    </row>
    <row r="315" spans="1:8" x14ac:dyDescent="0.25">
      <c r="A315" s="5" t="s">
        <v>7651</v>
      </c>
      <c r="B315" s="5" t="s">
        <v>1067</v>
      </c>
      <c r="C315" s="5" t="s">
        <v>512</v>
      </c>
      <c r="D315" s="5" t="s">
        <v>7816</v>
      </c>
      <c r="E315" s="6">
        <v>22</v>
      </c>
      <c r="F315" s="6">
        <v>21</v>
      </c>
      <c r="G315" s="5">
        <v>409</v>
      </c>
      <c r="H315" s="5">
        <v>395</v>
      </c>
    </row>
    <row r="316" spans="1:8" x14ac:dyDescent="0.25">
      <c r="A316" s="5" t="s">
        <v>7652</v>
      </c>
      <c r="B316" s="5" t="s">
        <v>1067</v>
      </c>
      <c r="C316" s="5" t="s">
        <v>512</v>
      </c>
      <c r="D316" s="5" t="s">
        <v>7816</v>
      </c>
      <c r="E316" s="6">
        <v>23</v>
      </c>
      <c r="F316" s="6">
        <v>22</v>
      </c>
      <c r="G316" s="5">
        <v>422</v>
      </c>
      <c r="H316" s="5">
        <v>415</v>
      </c>
    </row>
    <row r="317" spans="1:8" x14ac:dyDescent="0.25">
      <c r="A317" s="5" t="s">
        <v>7653</v>
      </c>
      <c r="B317" s="5" t="s">
        <v>1067</v>
      </c>
      <c r="C317" s="5" t="s">
        <v>512</v>
      </c>
      <c r="D317" s="5" t="s">
        <v>7816</v>
      </c>
      <c r="E317" s="6">
        <v>22</v>
      </c>
      <c r="F317" s="6">
        <v>19</v>
      </c>
      <c r="G317" s="5">
        <v>409</v>
      </c>
      <c r="H317" s="5">
        <v>358</v>
      </c>
    </row>
    <row r="318" spans="1:8" x14ac:dyDescent="0.25">
      <c r="A318" s="5" t="s">
        <v>7654</v>
      </c>
      <c r="B318" s="5" t="s">
        <v>1067</v>
      </c>
      <c r="C318" s="5" t="s">
        <v>512</v>
      </c>
      <c r="D318" s="5" t="s">
        <v>7816</v>
      </c>
      <c r="E318" s="6">
        <v>24</v>
      </c>
      <c r="F318" s="6">
        <v>18</v>
      </c>
      <c r="G318" s="5">
        <v>453</v>
      </c>
      <c r="H318" s="5">
        <v>337</v>
      </c>
    </row>
    <row r="319" spans="1:8" x14ac:dyDescent="0.25">
      <c r="A319" s="5" t="s">
        <v>7655</v>
      </c>
      <c r="B319" s="5" t="s">
        <v>1067</v>
      </c>
      <c r="C319" s="5" t="s">
        <v>512</v>
      </c>
      <c r="D319" s="5" t="s">
        <v>7816</v>
      </c>
      <c r="E319" s="6">
        <v>27</v>
      </c>
      <c r="F319" s="6">
        <v>20</v>
      </c>
      <c r="G319" s="5">
        <v>504</v>
      </c>
      <c r="H319" s="5">
        <v>367</v>
      </c>
    </row>
    <row r="320" spans="1:8" x14ac:dyDescent="0.25">
      <c r="A320" s="5" t="s">
        <v>7656</v>
      </c>
      <c r="B320" s="5" t="s">
        <v>1067</v>
      </c>
      <c r="C320" s="5" t="s">
        <v>512</v>
      </c>
      <c r="D320" s="5" t="s">
        <v>7816</v>
      </c>
      <c r="E320" s="6">
        <v>27</v>
      </c>
      <c r="F320" s="6">
        <v>18</v>
      </c>
      <c r="G320" s="5">
        <v>518</v>
      </c>
      <c r="H320" s="5">
        <v>329</v>
      </c>
    </row>
    <row r="321" spans="1:8" x14ac:dyDescent="0.25">
      <c r="A321" s="5" t="s">
        <v>7657</v>
      </c>
      <c r="B321" s="5" t="s">
        <v>1067</v>
      </c>
      <c r="C321" s="5" t="s">
        <v>512</v>
      </c>
      <c r="D321" s="5" t="s">
        <v>7816</v>
      </c>
      <c r="E321" s="6">
        <v>27</v>
      </c>
      <c r="F321" s="6">
        <v>23</v>
      </c>
      <c r="G321" s="5">
        <v>499</v>
      </c>
      <c r="H321" s="5">
        <v>419</v>
      </c>
    </row>
    <row r="322" spans="1:8" x14ac:dyDescent="0.25">
      <c r="A322" s="5" t="s">
        <v>7658</v>
      </c>
      <c r="B322" s="5" t="s">
        <v>1067</v>
      </c>
      <c r="C322" s="5" t="s">
        <v>512</v>
      </c>
      <c r="D322" s="5" t="s">
        <v>7816</v>
      </c>
      <c r="E322" s="6">
        <v>19</v>
      </c>
      <c r="F322" s="6">
        <v>18</v>
      </c>
      <c r="G322" s="5">
        <v>345</v>
      </c>
      <c r="H322" s="5">
        <v>343</v>
      </c>
    </row>
    <row r="323" spans="1:8" x14ac:dyDescent="0.25">
      <c r="A323" s="5" t="s">
        <v>7659</v>
      </c>
      <c r="B323" s="5" t="s">
        <v>1067</v>
      </c>
      <c r="C323" s="5" t="s">
        <v>512</v>
      </c>
      <c r="D323" s="5" t="s">
        <v>7816</v>
      </c>
      <c r="E323" s="6">
        <v>17</v>
      </c>
      <c r="F323" s="6">
        <v>18</v>
      </c>
      <c r="G323" s="5">
        <v>315</v>
      </c>
      <c r="H323" s="5">
        <v>339</v>
      </c>
    </row>
    <row r="324" spans="1:8" x14ac:dyDescent="0.25">
      <c r="A324" s="5" t="s">
        <v>7660</v>
      </c>
      <c r="B324" s="5" t="s">
        <v>1067</v>
      </c>
      <c r="C324" s="5" t="s">
        <v>512</v>
      </c>
      <c r="D324" s="5" t="s">
        <v>7816</v>
      </c>
      <c r="E324" s="6">
        <v>16</v>
      </c>
      <c r="F324" s="6">
        <v>19</v>
      </c>
      <c r="G324" s="5">
        <v>287</v>
      </c>
      <c r="H324" s="5">
        <v>359</v>
      </c>
    </row>
    <row r="325" spans="1:8" x14ac:dyDescent="0.25">
      <c r="A325" s="5" t="s">
        <v>7661</v>
      </c>
      <c r="B325" s="5" t="s">
        <v>1067</v>
      </c>
      <c r="C325" s="5" t="s">
        <v>512</v>
      </c>
      <c r="D325" s="5" t="s">
        <v>7816</v>
      </c>
      <c r="E325" s="6">
        <v>17</v>
      </c>
      <c r="F325" s="6">
        <v>22</v>
      </c>
      <c r="G325" s="5">
        <v>313</v>
      </c>
      <c r="H325" s="5">
        <v>397</v>
      </c>
    </row>
    <row r="326" spans="1:8" x14ac:dyDescent="0.25">
      <c r="A326" s="5" t="s">
        <v>7662</v>
      </c>
      <c r="B326" s="5" t="s">
        <v>1067</v>
      </c>
      <c r="C326" s="5" t="s">
        <v>512</v>
      </c>
      <c r="D326" s="5" t="s">
        <v>7816</v>
      </c>
      <c r="E326" s="6">
        <v>19</v>
      </c>
      <c r="F326" s="6">
        <v>22</v>
      </c>
      <c r="G326" s="5">
        <v>341</v>
      </c>
      <c r="H326" s="5">
        <v>408</v>
      </c>
    </row>
    <row r="327" spans="1:8" x14ac:dyDescent="0.25">
      <c r="A327" s="5" t="s">
        <v>7663</v>
      </c>
      <c r="B327" s="5" t="s">
        <v>1067</v>
      </c>
      <c r="C327" s="5" t="s">
        <v>512</v>
      </c>
      <c r="D327" s="5" t="s">
        <v>7816</v>
      </c>
      <c r="E327" s="6">
        <v>17</v>
      </c>
      <c r="F327" s="6">
        <v>24</v>
      </c>
      <c r="G327" s="5">
        <v>314</v>
      </c>
      <c r="H327" s="5">
        <v>440</v>
      </c>
    </row>
    <row r="328" spans="1:8" x14ac:dyDescent="0.25">
      <c r="A328" s="5" t="s">
        <v>7664</v>
      </c>
      <c r="B328" s="5" t="s">
        <v>1067</v>
      </c>
      <c r="C328" s="5" t="s">
        <v>369</v>
      </c>
      <c r="D328" s="5" t="s">
        <v>7816</v>
      </c>
      <c r="E328" s="6">
        <v>25</v>
      </c>
      <c r="F328" s="6">
        <v>17</v>
      </c>
      <c r="G328" s="5">
        <v>460</v>
      </c>
      <c r="H328" s="5">
        <v>316</v>
      </c>
    </row>
    <row r="329" spans="1:8" x14ac:dyDescent="0.25">
      <c r="A329" s="5" t="s">
        <v>7665</v>
      </c>
      <c r="B329" s="5" t="s">
        <v>1067</v>
      </c>
      <c r="C329" s="5" t="s">
        <v>369</v>
      </c>
      <c r="D329" s="5" t="s">
        <v>7816</v>
      </c>
      <c r="E329" s="6">
        <v>24</v>
      </c>
      <c r="F329" s="6">
        <v>17</v>
      </c>
      <c r="G329" s="5">
        <v>446</v>
      </c>
      <c r="H329" s="5">
        <v>307</v>
      </c>
    </row>
    <row r="330" spans="1:8" x14ac:dyDescent="0.25">
      <c r="A330" s="5" t="s">
        <v>7666</v>
      </c>
      <c r="B330" s="5" t="s">
        <v>1067</v>
      </c>
      <c r="C330" s="5" t="s">
        <v>369</v>
      </c>
      <c r="D330" s="5" t="s">
        <v>7816</v>
      </c>
      <c r="E330" s="6">
        <v>24</v>
      </c>
      <c r="F330" s="6">
        <v>15</v>
      </c>
      <c r="G330" s="5">
        <v>452</v>
      </c>
      <c r="H330" s="5">
        <v>277</v>
      </c>
    </row>
    <row r="331" spans="1:8" x14ac:dyDescent="0.25">
      <c r="A331" s="5" t="s">
        <v>7667</v>
      </c>
      <c r="B331" s="5" t="s">
        <v>1067</v>
      </c>
      <c r="C331" s="5" t="s">
        <v>369</v>
      </c>
      <c r="D331" s="5" t="s">
        <v>7816</v>
      </c>
      <c r="E331" s="6">
        <v>26</v>
      </c>
      <c r="F331" s="6">
        <v>11</v>
      </c>
      <c r="G331" s="5">
        <v>494</v>
      </c>
      <c r="H331" s="5">
        <v>196</v>
      </c>
    </row>
    <row r="332" spans="1:8" x14ac:dyDescent="0.25">
      <c r="A332" s="5" t="s">
        <v>7668</v>
      </c>
      <c r="B332" s="5" t="s">
        <v>1067</v>
      </c>
      <c r="C332" s="5" t="s">
        <v>369</v>
      </c>
      <c r="D332" s="5" t="s">
        <v>7816</v>
      </c>
      <c r="E332" s="6">
        <v>25</v>
      </c>
      <c r="F332" s="6">
        <v>10</v>
      </c>
      <c r="G332" s="5">
        <v>472</v>
      </c>
      <c r="H332" s="5">
        <v>177</v>
      </c>
    </row>
    <row r="333" spans="1:8" x14ac:dyDescent="0.25">
      <c r="A333" s="5" t="s">
        <v>7669</v>
      </c>
      <c r="B333" s="5" t="s">
        <v>1067</v>
      </c>
      <c r="C333" s="5" t="s">
        <v>369</v>
      </c>
      <c r="D333" s="5" t="s">
        <v>7816</v>
      </c>
      <c r="E333" s="6">
        <v>25</v>
      </c>
      <c r="F333" s="6">
        <v>12</v>
      </c>
      <c r="G333" s="5">
        <v>461</v>
      </c>
      <c r="H333" s="5">
        <v>209</v>
      </c>
    </row>
    <row r="334" spans="1:8" x14ac:dyDescent="0.25">
      <c r="A334" s="5" t="s">
        <v>7670</v>
      </c>
      <c r="B334" s="5" t="s">
        <v>1067</v>
      </c>
      <c r="C334" s="5" t="s">
        <v>369</v>
      </c>
      <c r="D334" s="5" t="s">
        <v>7816</v>
      </c>
      <c r="E334" s="6">
        <v>26</v>
      </c>
      <c r="F334" s="6">
        <v>13</v>
      </c>
      <c r="G334" s="5">
        <v>488</v>
      </c>
      <c r="H334" s="5">
        <v>235</v>
      </c>
    </row>
    <row r="335" spans="1:8" x14ac:dyDescent="0.25">
      <c r="A335" s="5" t="s">
        <v>7671</v>
      </c>
      <c r="B335" s="5" t="s">
        <v>1067</v>
      </c>
      <c r="C335" s="5" t="s">
        <v>369</v>
      </c>
      <c r="D335" s="5" t="s">
        <v>7816</v>
      </c>
      <c r="E335" s="6">
        <v>27</v>
      </c>
      <c r="F335" s="6">
        <v>13</v>
      </c>
      <c r="G335" s="5">
        <v>510</v>
      </c>
      <c r="H335" s="5">
        <v>292</v>
      </c>
    </row>
    <row r="336" spans="1:8" x14ac:dyDescent="0.25">
      <c r="A336" s="5" t="s">
        <v>7672</v>
      </c>
      <c r="B336" s="5" t="s">
        <v>1067</v>
      </c>
      <c r="C336" s="5" t="s">
        <v>369</v>
      </c>
      <c r="D336" s="5" t="s">
        <v>7816</v>
      </c>
      <c r="E336" s="6">
        <v>29</v>
      </c>
      <c r="F336" s="6">
        <v>11</v>
      </c>
      <c r="G336" s="5">
        <v>547</v>
      </c>
      <c r="H336" s="5">
        <v>197</v>
      </c>
    </row>
    <row r="337" spans="1:8" x14ac:dyDescent="0.25">
      <c r="A337" s="5" t="s">
        <v>7673</v>
      </c>
      <c r="B337" s="5" t="s">
        <v>1067</v>
      </c>
      <c r="C337" s="5" t="s">
        <v>369</v>
      </c>
      <c r="D337" s="5" t="s">
        <v>7816</v>
      </c>
      <c r="E337" s="6">
        <v>28</v>
      </c>
      <c r="F337" s="6">
        <v>13</v>
      </c>
      <c r="G337" s="5">
        <v>530</v>
      </c>
      <c r="H337" s="5">
        <v>227</v>
      </c>
    </row>
    <row r="338" spans="1:8" x14ac:dyDescent="0.25">
      <c r="A338" s="5" t="s">
        <v>7674</v>
      </c>
      <c r="B338" s="5" t="s">
        <v>1067</v>
      </c>
      <c r="C338" s="5" t="s">
        <v>369</v>
      </c>
      <c r="D338" s="5" t="s">
        <v>7816</v>
      </c>
      <c r="E338" s="6">
        <v>30</v>
      </c>
      <c r="F338" s="6">
        <v>13</v>
      </c>
      <c r="G338" s="5">
        <v>564</v>
      </c>
      <c r="H338" s="5">
        <v>239</v>
      </c>
    </row>
    <row r="339" spans="1:8" x14ac:dyDescent="0.25">
      <c r="A339" s="5" t="s">
        <v>7675</v>
      </c>
      <c r="B339" s="5" t="s">
        <v>1067</v>
      </c>
      <c r="C339" s="5" t="s">
        <v>369</v>
      </c>
      <c r="D339" s="5" t="s">
        <v>7816</v>
      </c>
      <c r="E339" s="6">
        <v>32</v>
      </c>
      <c r="F339" s="6">
        <v>15</v>
      </c>
      <c r="G339" s="5">
        <v>609</v>
      </c>
      <c r="H339" s="5">
        <v>274</v>
      </c>
    </row>
    <row r="340" spans="1:8" x14ac:dyDescent="0.25">
      <c r="A340" s="5" t="s">
        <v>7676</v>
      </c>
      <c r="B340" s="5" t="s">
        <v>1067</v>
      </c>
      <c r="C340" s="5" t="s">
        <v>369</v>
      </c>
      <c r="D340" s="5" t="s">
        <v>7816</v>
      </c>
      <c r="E340" s="6">
        <v>30</v>
      </c>
      <c r="F340" s="6">
        <v>18</v>
      </c>
      <c r="G340" s="5">
        <v>568</v>
      </c>
      <c r="H340" s="5">
        <v>319</v>
      </c>
    </row>
    <row r="341" spans="1:8" x14ac:dyDescent="0.25">
      <c r="A341" s="5" t="s">
        <v>7677</v>
      </c>
      <c r="B341" s="5" t="s">
        <v>1067</v>
      </c>
      <c r="C341" s="5" t="s">
        <v>369</v>
      </c>
      <c r="D341" s="5" t="s">
        <v>7816</v>
      </c>
      <c r="E341" s="6">
        <v>27</v>
      </c>
      <c r="F341" s="6">
        <v>18</v>
      </c>
      <c r="G341" s="5">
        <v>504</v>
      </c>
      <c r="H341" s="5">
        <v>328</v>
      </c>
    </row>
    <row r="342" spans="1:8" x14ac:dyDescent="0.25">
      <c r="A342" s="5" t="s">
        <v>7678</v>
      </c>
      <c r="B342" s="5" t="s">
        <v>1067</v>
      </c>
      <c r="C342" s="5" t="s">
        <v>369</v>
      </c>
      <c r="D342" s="5" t="s">
        <v>7816</v>
      </c>
      <c r="E342" s="6">
        <v>27</v>
      </c>
      <c r="F342" s="6">
        <v>19</v>
      </c>
      <c r="G342" s="5">
        <v>516</v>
      </c>
      <c r="H342" s="5">
        <v>341</v>
      </c>
    </row>
    <row r="343" spans="1:8" x14ac:dyDescent="0.25">
      <c r="A343" s="5" t="s">
        <v>7679</v>
      </c>
      <c r="B343" s="5" t="s">
        <v>1067</v>
      </c>
      <c r="C343" s="5" t="s">
        <v>369</v>
      </c>
      <c r="D343" s="5" t="s">
        <v>7816</v>
      </c>
      <c r="E343" s="6">
        <v>32</v>
      </c>
      <c r="F343" s="6">
        <v>21</v>
      </c>
      <c r="G343" s="5">
        <v>605</v>
      </c>
      <c r="H343" s="5">
        <v>389</v>
      </c>
    </row>
    <row r="344" spans="1:8" x14ac:dyDescent="0.25">
      <c r="A344" s="5" t="s">
        <v>7680</v>
      </c>
      <c r="B344" s="5" t="s">
        <v>1067</v>
      </c>
      <c r="C344" s="5" t="s">
        <v>369</v>
      </c>
      <c r="D344" s="5" t="s">
        <v>7816</v>
      </c>
      <c r="E344" s="6">
        <v>29</v>
      </c>
      <c r="F344" s="6">
        <v>21</v>
      </c>
      <c r="G344" s="5">
        <v>544</v>
      </c>
      <c r="H344" s="5">
        <v>378</v>
      </c>
    </row>
    <row r="345" spans="1:8" x14ac:dyDescent="0.25">
      <c r="A345" s="5" t="s">
        <v>7681</v>
      </c>
      <c r="B345" s="5" t="s">
        <v>1067</v>
      </c>
      <c r="C345" s="5" t="s">
        <v>369</v>
      </c>
      <c r="D345" s="5" t="s">
        <v>7816</v>
      </c>
      <c r="E345" s="6">
        <v>26</v>
      </c>
      <c r="F345" s="6">
        <v>21</v>
      </c>
      <c r="G345" s="5">
        <v>483</v>
      </c>
      <c r="H345" s="5">
        <v>380</v>
      </c>
    </row>
    <row r="346" spans="1:8" x14ac:dyDescent="0.25">
      <c r="A346" s="5" t="s">
        <v>7682</v>
      </c>
      <c r="B346" s="5" t="s">
        <v>1067</v>
      </c>
      <c r="C346" s="5" t="s">
        <v>369</v>
      </c>
      <c r="D346" s="5" t="s">
        <v>7816</v>
      </c>
      <c r="E346" s="6">
        <v>28</v>
      </c>
      <c r="F346" s="6">
        <v>23</v>
      </c>
      <c r="G346" s="5">
        <v>517</v>
      </c>
      <c r="H346" s="5">
        <v>414</v>
      </c>
    </row>
    <row r="347" spans="1:8" x14ac:dyDescent="0.25">
      <c r="A347" s="5" t="s">
        <v>7683</v>
      </c>
      <c r="B347" s="5" t="s">
        <v>1067</v>
      </c>
      <c r="C347" s="5" t="s">
        <v>369</v>
      </c>
      <c r="D347" s="5" t="s">
        <v>7816</v>
      </c>
      <c r="E347" s="6">
        <v>27</v>
      </c>
      <c r="F347" s="6">
        <v>25</v>
      </c>
      <c r="G347" s="5">
        <v>513</v>
      </c>
      <c r="H347" s="5">
        <v>455</v>
      </c>
    </row>
    <row r="348" spans="1:8" x14ac:dyDescent="0.25">
      <c r="A348" s="5" t="s">
        <v>7684</v>
      </c>
      <c r="B348" s="5" t="s">
        <v>1067</v>
      </c>
      <c r="C348" s="5" t="s">
        <v>369</v>
      </c>
      <c r="D348" s="5" t="s">
        <v>7816</v>
      </c>
      <c r="E348" s="6">
        <v>25</v>
      </c>
      <c r="F348" s="6">
        <v>24</v>
      </c>
      <c r="G348" s="5">
        <v>475</v>
      </c>
      <c r="H348" s="5">
        <v>438</v>
      </c>
    </row>
    <row r="349" spans="1:8" x14ac:dyDescent="0.25">
      <c r="A349" s="5" t="s">
        <v>7685</v>
      </c>
      <c r="B349" s="5" t="s">
        <v>1067</v>
      </c>
      <c r="C349" s="5" t="s">
        <v>369</v>
      </c>
      <c r="D349" s="5" t="s">
        <v>7816</v>
      </c>
      <c r="E349" s="6">
        <v>26</v>
      </c>
      <c r="F349" s="6">
        <v>25</v>
      </c>
      <c r="G349" s="5">
        <v>482</v>
      </c>
      <c r="H349" s="5">
        <v>465</v>
      </c>
    </row>
    <row r="350" spans="1:8" x14ac:dyDescent="0.25">
      <c r="A350" s="5" t="s">
        <v>7686</v>
      </c>
      <c r="B350" s="5" t="s">
        <v>1067</v>
      </c>
      <c r="C350" s="5" t="s">
        <v>369</v>
      </c>
      <c r="D350" s="5" t="s">
        <v>7816</v>
      </c>
      <c r="E350" s="6">
        <v>19</v>
      </c>
      <c r="F350" s="6">
        <v>25</v>
      </c>
      <c r="G350" s="5">
        <v>347</v>
      </c>
      <c r="H350" s="5">
        <v>472</v>
      </c>
    </row>
    <row r="351" spans="1:8" x14ac:dyDescent="0.25">
      <c r="A351" s="5" t="s">
        <v>7687</v>
      </c>
      <c r="B351" s="5" t="s">
        <v>1067</v>
      </c>
      <c r="C351" s="5" t="s">
        <v>369</v>
      </c>
      <c r="D351" s="5" t="s">
        <v>7816</v>
      </c>
      <c r="E351" s="6">
        <v>23</v>
      </c>
      <c r="F351" s="6">
        <v>22</v>
      </c>
      <c r="G351" s="5">
        <v>433</v>
      </c>
      <c r="H351" s="5">
        <v>401</v>
      </c>
    </row>
    <row r="352" spans="1:8" x14ac:dyDescent="0.25">
      <c r="A352" s="5" t="s">
        <v>7688</v>
      </c>
      <c r="B352" s="5" t="s">
        <v>1067</v>
      </c>
      <c r="C352" s="5" t="s">
        <v>369</v>
      </c>
      <c r="D352" s="5" t="s">
        <v>7816</v>
      </c>
      <c r="E352" s="6">
        <v>21</v>
      </c>
      <c r="F352" s="6">
        <v>22</v>
      </c>
      <c r="G352" s="5">
        <v>397</v>
      </c>
      <c r="H352" s="5">
        <v>399</v>
      </c>
    </row>
    <row r="353" spans="1:8" x14ac:dyDescent="0.25">
      <c r="A353" s="5" t="s">
        <v>7689</v>
      </c>
      <c r="B353" s="5" t="s">
        <v>1067</v>
      </c>
      <c r="C353" s="5" t="s">
        <v>369</v>
      </c>
      <c r="D353" s="5" t="s">
        <v>7816</v>
      </c>
      <c r="E353" s="6">
        <v>17</v>
      </c>
      <c r="F353" s="6">
        <v>22</v>
      </c>
      <c r="G353" s="5">
        <v>317</v>
      </c>
      <c r="H353" s="5">
        <v>403</v>
      </c>
    </row>
    <row r="354" spans="1:8" x14ac:dyDescent="0.25">
      <c r="A354" s="5" t="s">
        <v>7690</v>
      </c>
      <c r="B354" s="5" t="s">
        <v>1067</v>
      </c>
      <c r="C354" s="5" t="s">
        <v>369</v>
      </c>
      <c r="D354" s="5" t="s">
        <v>7816</v>
      </c>
      <c r="E354" s="6">
        <v>17</v>
      </c>
      <c r="F354" s="6">
        <v>23</v>
      </c>
      <c r="G354" s="5">
        <v>323</v>
      </c>
      <c r="H354" s="5">
        <v>427</v>
      </c>
    </row>
    <row r="355" spans="1:8" x14ac:dyDescent="0.25">
      <c r="A355" s="5" t="s">
        <v>7691</v>
      </c>
      <c r="B355" s="5" t="s">
        <v>1067</v>
      </c>
      <c r="C355" s="5" t="s">
        <v>369</v>
      </c>
      <c r="D355" s="5" t="s">
        <v>7816</v>
      </c>
      <c r="E355" s="6">
        <v>16</v>
      </c>
      <c r="F355" s="6">
        <v>24</v>
      </c>
      <c r="G355" s="5">
        <v>291</v>
      </c>
      <c r="H355" s="5">
        <v>446</v>
      </c>
    </row>
    <row r="356" spans="1:8" x14ac:dyDescent="0.25">
      <c r="A356" s="5" t="s">
        <v>7692</v>
      </c>
      <c r="B356" s="5" t="s">
        <v>1067</v>
      </c>
      <c r="C356" s="5" t="s">
        <v>369</v>
      </c>
      <c r="D356" s="5" t="s">
        <v>7816</v>
      </c>
      <c r="E356" s="6">
        <v>13</v>
      </c>
      <c r="F356" s="6">
        <v>24</v>
      </c>
      <c r="G356" s="5">
        <v>236</v>
      </c>
      <c r="H356" s="5">
        <v>439</v>
      </c>
    </row>
    <row r="357" spans="1:8" x14ac:dyDescent="0.25">
      <c r="A357" s="5" t="s">
        <v>7693</v>
      </c>
      <c r="B357" s="5" t="s">
        <v>1067</v>
      </c>
      <c r="C357" s="5" t="s">
        <v>369</v>
      </c>
      <c r="D357" s="5" t="s">
        <v>7816</v>
      </c>
      <c r="E357" s="6">
        <v>14</v>
      </c>
      <c r="F357" s="6">
        <v>26</v>
      </c>
      <c r="G357" s="5">
        <v>259</v>
      </c>
      <c r="H357" s="5">
        <v>474</v>
      </c>
    </row>
    <row r="358" spans="1:8" x14ac:dyDescent="0.25">
      <c r="A358" s="5" t="s">
        <v>7694</v>
      </c>
      <c r="B358" s="5" t="s">
        <v>1067</v>
      </c>
      <c r="C358" s="5" t="s">
        <v>369</v>
      </c>
      <c r="D358" s="5" t="s">
        <v>7816</v>
      </c>
      <c r="E358" s="6">
        <v>14</v>
      </c>
      <c r="F358" s="6">
        <v>27</v>
      </c>
      <c r="G358" s="5">
        <v>259</v>
      </c>
      <c r="H358" s="5">
        <v>512</v>
      </c>
    </row>
    <row r="359" spans="1:8" x14ac:dyDescent="0.25">
      <c r="A359" s="5" t="s">
        <v>7695</v>
      </c>
      <c r="B359" s="5" t="s">
        <v>1067</v>
      </c>
      <c r="C359" s="5" t="s">
        <v>369</v>
      </c>
      <c r="D359" s="5" t="s">
        <v>7816</v>
      </c>
      <c r="E359" s="6">
        <v>20</v>
      </c>
      <c r="F359" s="6">
        <v>29</v>
      </c>
      <c r="G359" s="5">
        <v>370</v>
      </c>
      <c r="H359" s="5">
        <v>540</v>
      </c>
    </row>
    <row r="360" spans="1:8" x14ac:dyDescent="0.25">
      <c r="A360" s="5" t="s">
        <v>7696</v>
      </c>
      <c r="B360" s="5" t="s">
        <v>1067</v>
      </c>
      <c r="C360" s="5" t="s">
        <v>369</v>
      </c>
      <c r="D360" s="5" t="s">
        <v>7816</v>
      </c>
      <c r="E360" s="6">
        <v>24</v>
      </c>
      <c r="F360" s="6">
        <v>31</v>
      </c>
      <c r="G360" s="5">
        <v>445</v>
      </c>
      <c r="H360" s="5">
        <v>577</v>
      </c>
    </row>
    <row r="361" spans="1:8" x14ac:dyDescent="0.25">
      <c r="A361" s="5" t="s">
        <v>7697</v>
      </c>
      <c r="B361" s="5" t="s">
        <v>1067</v>
      </c>
      <c r="C361" s="5" t="s">
        <v>369</v>
      </c>
      <c r="D361" s="5" t="s">
        <v>7816</v>
      </c>
      <c r="E361" s="6">
        <v>22</v>
      </c>
      <c r="F361" s="6">
        <v>28</v>
      </c>
      <c r="G361" s="5">
        <v>408</v>
      </c>
      <c r="H361" s="5">
        <v>525</v>
      </c>
    </row>
    <row r="362" spans="1:8" x14ac:dyDescent="0.25">
      <c r="A362" s="5" t="s">
        <v>7698</v>
      </c>
      <c r="B362" s="5" t="s">
        <v>1067</v>
      </c>
      <c r="C362" s="5" t="s">
        <v>369</v>
      </c>
      <c r="D362" s="5" t="s">
        <v>7816</v>
      </c>
      <c r="E362" s="6">
        <v>22</v>
      </c>
      <c r="F362" s="6">
        <v>29</v>
      </c>
      <c r="G362" s="5">
        <v>407</v>
      </c>
      <c r="H362" s="5">
        <v>554</v>
      </c>
    </row>
    <row r="363" spans="1:8" x14ac:dyDescent="0.25">
      <c r="A363" s="5" t="s">
        <v>7699</v>
      </c>
      <c r="B363" s="5" t="s">
        <v>1067</v>
      </c>
      <c r="C363" s="5" t="s">
        <v>344</v>
      </c>
      <c r="D363" s="5" t="s">
        <v>7816</v>
      </c>
      <c r="E363" s="6">
        <v>21</v>
      </c>
      <c r="F363" s="6">
        <v>30</v>
      </c>
      <c r="G363" s="5">
        <v>395</v>
      </c>
      <c r="H363" s="5">
        <v>567</v>
      </c>
    </row>
    <row r="364" spans="1:8" x14ac:dyDescent="0.25">
      <c r="A364" s="5" t="s">
        <v>7700</v>
      </c>
      <c r="B364" s="5" t="s">
        <v>1067</v>
      </c>
      <c r="C364" s="5" t="s">
        <v>344</v>
      </c>
      <c r="D364" s="5" t="s">
        <v>7816</v>
      </c>
      <c r="E364" s="6">
        <v>19</v>
      </c>
      <c r="F364" s="6">
        <v>29</v>
      </c>
      <c r="G364" s="5">
        <v>360</v>
      </c>
      <c r="H364" s="5">
        <v>538</v>
      </c>
    </row>
    <row r="365" spans="1:8" x14ac:dyDescent="0.25">
      <c r="A365" s="5" t="s">
        <v>7701</v>
      </c>
      <c r="B365" s="5" t="s">
        <v>1067</v>
      </c>
      <c r="C365" s="5" t="s">
        <v>344</v>
      </c>
      <c r="D365" s="5" t="s">
        <v>7816</v>
      </c>
      <c r="E365" s="6">
        <v>18</v>
      </c>
      <c r="F365" s="6">
        <v>29</v>
      </c>
      <c r="G365" s="5">
        <v>330</v>
      </c>
      <c r="H365" s="5">
        <v>540</v>
      </c>
    </row>
    <row r="366" spans="1:8" x14ac:dyDescent="0.25">
      <c r="A366" s="5" t="s">
        <v>7702</v>
      </c>
      <c r="B366" s="5" t="s">
        <v>1067</v>
      </c>
      <c r="C366" s="5" t="s">
        <v>344</v>
      </c>
      <c r="D366" s="5" t="s">
        <v>7816</v>
      </c>
      <c r="E366" s="6">
        <v>16</v>
      </c>
      <c r="F366" s="6">
        <v>29</v>
      </c>
      <c r="G366" s="5">
        <v>290</v>
      </c>
      <c r="H366" s="5">
        <v>535</v>
      </c>
    </row>
    <row r="367" spans="1:8" x14ac:dyDescent="0.25">
      <c r="A367" s="5" t="s">
        <v>7703</v>
      </c>
      <c r="B367" s="5" t="s">
        <v>1067</v>
      </c>
      <c r="C367" s="5" t="s">
        <v>344</v>
      </c>
      <c r="D367" s="5" t="s">
        <v>7816</v>
      </c>
      <c r="E367" s="6">
        <v>18</v>
      </c>
      <c r="F367" s="6">
        <v>27</v>
      </c>
      <c r="G367" s="5">
        <v>335</v>
      </c>
      <c r="H367" s="5">
        <v>504</v>
      </c>
    </row>
    <row r="368" spans="1:8" x14ac:dyDescent="0.25">
      <c r="A368" s="5" t="s">
        <v>7704</v>
      </c>
      <c r="B368" s="5" t="s">
        <v>1067</v>
      </c>
      <c r="C368" s="5" t="s">
        <v>344</v>
      </c>
      <c r="D368" s="5" t="s">
        <v>7816</v>
      </c>
      <c r="E368" s="6">
        <v>17</v>
      </c>
      <c r="F368" s="6">
        <v>26</v>
      </c>
      <c r="G368" s="5">
        <v>305</v>
      </c>
      <c r="H368" s="5">
        <v>477</v>
      </c>
    </row>
    <row r="369" spans="1:8" x14ac:dyDescent="0.25">
      <c r="A369" s="5" t="s">
        <v>7705</v>
      </c>
      <c r="B369" s="5" t="s">
        <v>1067</v>
      </c>
      <c r="C369" s="5" t="s">
        <v>344</v>
      </c>
      <c r="D369" s="5" t="s">
        <v>7816</v>
      </c>
      <c r="E369" s="6">
        <v>23</v>
      </c>
      <c r="F369" s="6">
        <v>28</v>
      </c>
      <c r="G369" s="5">
        <v>424</v>
      </c>
      <c r="H369" s="5">
        <v>526</v>
      </c>
    </row>
    <row r="370" spans="1:8" x14ac:dyDescent="0.25">
      <c r="A370" s="5" t="s">
        <v>7706</v>
      </c>
      <c r="B370" s="5" t="s">
        <v>1067</v>
      </c>
      <c r="C370" s="5" t="s">
        <v>344</v>
      </c>
      <c r="D370" s="5" t="s">
        <v>7816</v>
      </c>
      <c r="E370" s="6">
        <v>25</v>
      </c>
      <c r="F370" s="6">
        <v>29</v>
      </c>
      <c r="G370" s="5">
        <v>465</v>
      </c>
      <c r="H370" s="5">
        <v>537</v>
      </c>
    </row>
    <row r="371" spans="1:8" x14ac:dyDescent="0.25">
      <c r="A371" s="5" t="s">
        <v>7707</v>
      </c>
      <c r="B371" s="5" t="s">
        <v>1067</v>
      </c>
      <c r="C371" s="5" t="s">
        <v>344</v>
      </c>
      <c r="D371" s="5" t="s">
        <v>7816</v>
      </c>
      <c r="E371" s="6">
        <v>25</v>
      </c>
      <c r="F371" s="6">
        <v>26</v>
      </c>
      <c r="G371" s="5">
        <v>464</v>
      </c>
      <c r="H371" s="5">
        <v>484</v>
      </c>
    </row>
    <row r="372" spans="1:8" x14ac:dyDescent="0.25">
      <c r="A372" s="5" t="s">
        <v>7708</v>
      </c>
      <c r="B372" s="5" t="s">
        <v>1067</v>
      </c>
      <c r="C372" s="5" t="s">
        <v>344</v>
      </c>
      <c r="D372" s="5" t="s">
        <v>7816</v>
      </c>
      <c r="E372" s="6">
        <v>26</v>
      </c>
      <c r="F372" s="6">
        <v>26</v>
      </c>
      <c r="G372" s="5">
        <v>494</v>
      </c>
      <c r="H372" s="5">
        <v>491</v>
      </c>
    </row>
    <row r="373" spans="1:8" x14ac:dyDescent="0.25">
      <c r="A373" s="5" t="s">
        <v>7709</v>
      </c>
      <c r="B373" s="5" t="s">
        <v>1067</v>
      </c>
      <c r="C373" s="5" t="s">
        <v>344</v>
      </c>
      <c r="D373" s="5" t="s">
        <v>7816</v>
      </c>
      <c r="E373" s="6">
        <v>28</v>
      </c>
      <c r="F373" s="6">
        <v>27</v>
      </c>
      <c r="G373" s="5">
        <v>520</v>
      </c>
      <c r="H373" s="5">
        <v>511</v>
      </c>
    </row>
    <row r="374" spans="1:8" x14ac:dyDescent="0.25">
      <c r="A374" s="5" t="s">
        <v>7710</v>
      </c>
      <c r="B374" s="5" t="s">
        <v>1067</v>
      </c>
      <c r="C374" s="5" t="s">
        <v>344</v>
      </c>
      <c r="D374" s="5" t="s">
        <v>7816</v>
      </c>
      <c r="E374" s="6">
        <v>28</v>
      </c>
      <c r="F374" s="6">
        <v>24</v>
      </c>
      <c r="G374" s="5">
        <v>522</v>
      </c>
      <c r="H374" s="5">
        <v>453</v>
      </c>
    </row>
    <row r="375" spans="1:8" x14ac:dyDescent="0.25">
      <c r="A375" s="5" t="s">
        <v>7711</v>
      </c>
      <c r="B375" s="5" t="s">
        <v>1067</v>
      </c>
      <c r="C375" s="5" t="s">
        <v>344</v>
      </c>
      <c r="D375" s="5" t="s">
        <v>7816</v>
      </c>
      <c r="E375" s="6">
        <v>22</v>
      </c>
      <c r="F375" s="6">
        <v>24</v>
      </c>
      <c r="G375" s="5">
        <v>416</v>
      </c>
      <c r="H375" s="5">
        <v>445</v>
      </c>
    </row>
    <row r="376" spans="1:8" x14ac:dyDescent="0.25">
      <c r="A376" s="5" t="s">
        <v>7712</v>
      </c>
      <c r="B376" s="5" t="s">
        <v>1067</v>
      </c>
      <c r="C376" s="5" t="s">
        <v>344</v>
      </c>
      <c r="D376" s="5" t="s">
        <v>7816</v>
      </c>
      <c r="E376" s="6">
        <v>26</v>
      </c>
      <c r="F376" s="6">
        <v>23</v>
      </c>
      <c r="G376" s="5">
        <v>491</v>
      </c>
      <c r="H376" s="5">
        <v>419</v>
      </c>
    </row>
    <row r="377" spans="1:8" x14ac:dyDescent="0.25">
      <c r="A377" s="5" t="s">
        <v>7713</v>
      </c>
      <c r="B377" s="5" t="s">
        <v>1067</v>
      </c>
      <c r="C377" s="5" t="s">
        <v>344</v>
      </c>
      <c r="D377" s="5" t="s">
        <v>7816</v>
      </c>
      <c r="E377" s="6">
        <v>28</v>
      </c>
      <c r="F377" s="6">
        <v>22</v>
      </c>
      <c r="G377" s="5">
        <v>521</v>
      </c>
      <c r="H377" s="5">
        <v>410</v>
      </c>
    </row>
    <row r="378" spans="1:8" x14ac:dyDescent="0.25">
      <c r="A378" s="5" t="s">
        <v>7714</v>
      </c>
      <c r="B378" s="5" t="s">
        <v>1067</v>
      </c>
      <c r="C378" s="5" t="s">
        <v>344</v>
      </c>
      <c r="D378" s="5" t="s">
        <v>7816</v>
      </c>
      <c r="E378" s="6">
        <v>29</v>
      </c>
      <c r="F378" s="6">
        <v>22</v>
      </c>
      <c r="G378" s="5">
        <v>541</v>
      </c>
      <c r="H378" s="5">
        <v>402</v>
      </c>
    </row>
    <row r="379" spans="1:8" x14ac:dyDescent="0.25">
      <c r="A379" s="5" t="s">
        <v>7715</v>
      </c>
      <c r="B379" s="5" t="s">
        <v>1067</v>
      </c>
      <c r="C379" s="5" t="s">
        <v>344</v>
      </c>
      <c r="D379" s="5" t="s">
        <v>7816</v>
      </c>
      <c r="E379" s="6">
        <v>24</v>
      </c>
      <c r="F379" s="6">
        <v>20</v>
      </c>
      <c r="G379" s="5">
        <v>454</v>
      </c>
      <c r="H379" s="5">
        <v>375</v>
      </c>
    </row>
    <row r="380" spans="1:8" x14ac:dyDescent="0.25">
      <c r="A380" s="5" t="s">
        <v>7716</v>
      </c>
      <c r="B380" s="5" t="s">
        <v>1067</v>
      </c>
      <c r="C380" s="5" t="s">
        <v>344</v>
      </c>
      <c r="D380" s="5" t="s">
        <v>7816</v>
      </c>
      <c r="E380" s="6">
        <v>23</v>
      </c>
      <c r="F380" s="6">
        <v>20</v>
      </c>
      <c r="G380" s="5">
        <v>435</v>
      </c>
      <c r="H380" s="5">
        <v>366</v>
      </c>
    </row>
    <row r="381" spans="1:8" x14ac:dyDescent="0.25">
      <c r="A381" s="5" t="s">
        <v>7717</v>
      </c>
      <c r="B381" s="5" t="s">
        <v>1067</v>
      </c>
      <c r="C381" s="5" t="s">
        <v>344</v>
      </c>
      <c r="D381" s="5" t="s">
        <v>7816</v>
      </c>
      <c r="E381" s="6">
        <v>22</v>
      </c>
      <c r="F381" s="6">
        <v>21</v>
      </c>
      <c r="G381" s="5">
        <v>418</v>
      </c>
      <c r="H381" s="5">
        <v>386</v>
      </c>
    </row>
    <row r="382" spans="1:8" x14ac:dyDescent="0.25">
      <c r="A382" s="5" t="s">
        <v>7718</v>
      </c>
      <c r="B382" s="5" t="s">
        <v>1067</v>
      </c>
      <c r="C382" s="5" t="s">
        <v>344</v>
      </c>
      <c r="D382" s="5" t="s">
        <v>7816</v>
      </c>
      <c r="E382" s="6">
        <v>19</v>
      </c>
      <c r="F382" s="6">
        <v>20</v>
      </c>
      <c r="G382" s="5">
        <v>344</v>
      </c>
      <c r="H382" s="5">
        <v>377</v>
      </c>
    </row>
    <row r="383" spans="1:8" x14ac:dyDescent="0.25">
      <c r="A383" s="5" t="s">
        <v>7719</v>
      </c>
      <c r="B383" s="5" t="s">
        <v>1067</v>
      </c>
      <c r="C383" s="5" t="s">
        <v>1499</v>
      </c>
      <c r="D383" s="5" t="s">
        <v>7816</v>
      </c>
      <c r="E383" s="6">
        <v>24</v>
      </c>
      <c r="F383" s="6">
        <v>20</v>
      </c>
      <c r="G383" s="5">
        <v>452</v>
      </c>
      <c r="H383" s="5">
        <v>372</v>
      </c>
    </row>
    <row r="384" spans="1:8" x14ac:dyDescent="0.25">
      <c r="A384" s="5" t="s">
        <v>7720</v>
      </c>
      <c r="B384" s="5" t="s">
        <v>1067</v>
      </c>
      <c r="C384" s="5" t="s">
        <v>1499</v>
      </c>
      <c r="D384" s="5" t="s">
        <v>7816</v>
      </c>
      <c r="E384" s="6">
        <v>24</v>
      </c>
      <c r="F384" s="6">
        <v>22</v>
      </c>
      <c r="G384" s="5">
        <v>459</v>
      </c>
      <c r="H384" s="5">
        <v>410</v>
      </c>
    </row>
    <row r="385" spans="1:8" x14ac:dyDescent="0.25">
      <c r="A385" s="5" t="s">
        <v>7721</v>
      </c>
      <c r="B385" s="5" t="s">
        <v>1067</v>
      </c>
      <c r="C385" s="5" t="s">
        <v>1499</v>
      </c>
      <c r="D385" s="5" t="s">
        <v>7816</v>
      </c>
      <c r="E385" s="6">
        <v>25</v>
      </c>
      <c r="F385" s="6">
        <v>24</v>
      </c>
      <c r="G385" s="5">
        <v>463</v>
      </c>
      <c r="H385" s="5">
        <v>455</v>
      </c>
    </row>
    <row r="386" spans="1:8" x14ac:dyDescent="0.25">
      <c r="A386" s="5" t="s">
        <v>7722</v>
      </c>
      <c r="B386" s="5" t="s">
        <v>1067</v>
      </c>
      <c r="C386" s="5" t="s">
        <v>1499</v>
      </c>
      <c r="D386" s="5" t="s">
        <v>7816</v>
      </c>
      <c r="E386" s="6">
        <v>26</v>
      </c>
      <c r="F386" s="6">
        <v>25</v>
      </c>
      <c r="G386" s="5">
        <v>478</v>
      </c>
      <c r="H386" s="5">
        <v>477</v>
      </c>
    </row>
    <row r="387" spans="1:8" x14ac:dyDescent="0.25">
      <c r="A387" s="5" t="s">
        <v>7723</v>
      </c>
      <c r="B387" s="5" t="s">
        <v>1067</v>
      </c>
      <c r="C387" s="5" t="s">
        <v>1499</v>
      </c>
      <c r="D387" s="5" t="s">
        <v>7816</v>
      </c>
      <c r="E387" s="6">
        <v>27</v>
      </c>
      <c r="F387" s="6">
        <v>21</v>
      </c>
      <c r="G387" s="5">
        <v>506</v>
      </c>
      <c r="H387" s="5">
        <v>391</v>
      </c>
    </row>
    <row r="388" spans="1:8" x14ac:dyDescent="0.25">
      <c r="A388" s="5" t="s">
        <v>7724</v>
      </c>
      <c r="B388" s="5" t="s">
        <v>1067</v>
      </c>
      <c r="C388" s="5" t="s">
        <v>1499</v>
      </c>
      <c r="D388" s="5" t="s">
        <v>7816</v>
      </c>
      <c r="E388" s="6">
        <v>28</v>
      </c>
      <c r="F388" s="6">
        <v>22</v>
      </c>
      <c r="G388" s="5">
        <v>519</v>
      </c>
      <c r="H388" s="5">
        <v>416</v>
      </c>
    </row>
    <row r="389" spans="1:8" x14ac:dyDescent="0.25">
      <c r="A389" s="5" t="s">
        <v>7725</v>
      </c>
      <c r="B389" s="5" t="s">
        <v>1067</v>
      </c>
      <c r="C389" s="5" t="s">
        <v>1499</v>
      </c>
      <c r="D389" s="5" t="s">
        <v>7816</v>
      </c>
      <c r="E389" s="6">
        <v>28</v>
      </c>
      <c r="F389" s="6">
        <v>26</v>
      </c>
      <c r="G389" s="5">
        <v>530</v>
      </c>
      <c r="H389" s="5">
        <v>484</v>
      </c>
    </row>
    <row r="390" spans="1:8" x14ac:dyDescent="0.25">
      <c r="A390" s="5" t="s">
        <v>7726</v>
      </c>
      <c r="B390" s="5" t="s">
        <v>1067</v>
      </c>
      <c r="C390" s="5" t="s">
        <v>1499</v>
      </c>
      <c r="D390" s="5" t="s">
        <v>7816</v>
      </c>
      <c r="E390" s="6">
        <v>29</v>
      </c>
      <c r="F390" s="6">
        <v>28</v>
      </c>
      <c r="G390" s="5">
        <v>550</v>
      </c>
      <c r="H390" s="5">
        <v>522</v>
      </c>
    </row>
    <row r="391" spans="1:8" x14ac:dyDescent="0.25">
      <c r="A391" s="5" t="s">
        <v>7727</v>
      </c>
      <c r="B391" s="5" t="s">
        <v>1067</v>
      </c>
      <c r="C391" s="5" t="s">
        <v>1499</v>
      </c>
      <c r="D391" s="5" t="s">
        <v>7816</v>
      </c>
      <c r="E391" s="6">
        <v>30</v>
      </c>
      <c r="F391" s="6">
        <v>30</v>
      </c>
      <c r="G391" s="5">
        <v>568</v>
      </c>
      <c r="H391" s="5">
        <v>565</v>
      </c>
    </row>
    <row r="392" spans="1:8" x14ac:dyDescent="0.25">
      <c r="A392" s="5" t="s">
        <v>7728</v>
      </c>
      <c r="B392" s="5" t="s">
        <v>1067</v>
      </c>
      <c r="C392" s="5" t="s">
        <v>1499</v>
      </c>
      <c r="D392" s="5" t="s">
        <v>7816</v>
      </c>
      <c r="E392" s="6">
        <v>31</v>
      </c>
      <c r="F392" s="6">
        <v>31</v>
      </c>
      <c r="G392" s="5">
        <v>582</v>
      </c>
      <c r="H392" s="5">
        <v>589</v>
      </c>
    </row>
    <row r="393" spans="1:8" x14ac:dyDescent="0.25">
      <c r="A393" s="5" t="s">
        <v>7729</v>
      </c>
      <c r="B393" s="5" t="s">
        <v>1067</v>
      </c>
      <c r="C393" s="5" t="s">
        <v>1499</v>
      </c>
      <c r="D393" s="5" t="s">
        <v>7816</v>
      </c>
      <c r="E393" s="6">
        <v>23</v>
      </c>
      <c r="F393" s="6">
        <v>27</v>
      </c>
      <c r="G393" s="5">
        <v>438</v>
      </c>
      <c r="H393" s="5">
        <v>506</v>
      </c>
    </row>
    <row r="394" spans="1:8" x14ac:dyDescent="0.25">
      <c r="A394" s="5" t="s">
        <v>7730</v>
      </c>
      <c r="B394" s="5" t="s">
        <v>1067</v>
      </c>
      <c r="C394" s="5" t="s">
        <v>1499</v>
      </c>
      <c r="D394" s="5" t="s">
        <v>7816</v>
      </c>
      <c r="E394" s="6">
        <v>21</v>
      </c>
      <c r="F394" s="6">
        <v>28</v>
      </c>
      <c r="G394" s="5">
        <v>397</v>
      </c>
      <c r="H394" s="5">
        <v>530</v>
      </c>
    </row>
    <row r="395" spans="1:8" x14ac:dyDescent="0.25">
      <c r="A395" s="5" t="s">
        <v>7731</v>
      </c>
      <c r="B395" s="5" t="s">
        <v>1067</v>
      </c>
      <c r="C395" s="5" t="s">
        <v>1499</v>
      </c>
      <c r="D395" s="5" t="s">
        <v>7816</v>
      </c>
      <c r="E395" s="6">
        <v>20</v>
      </c>
      <c r="F395" s="6">
        <v>29</v>
      </c>
      <c r="G395" s="5">
        <v>370</v>
      </c>
      <c r="H395" s="5">
        <v>552</v>
      </c>
    </row>
    <row r="396" spans="1:8" x14ac:dyDescent="0.25">
      <c r="A396" s="5" t="s">
        <v>7732</v>
      </c>
      <c r="B396" s="5" t="s">
        <v>1067</v>
      </c>
      <c r="C396" s="5" t="s">
        <v>1499</v>
      </c>
      <c r="D396" s="5" t="s">
        <v>7816</v>
      </c>
      <c r="E396" s="6">
        <v>18</v>
      </c>
      <c r="F396" s="6">
        <v>29</v>
      </c>
      <c r="G396" s="5">
        <v>327</v>
      </c>
      <c r="H396" s="5">
        <v>550</v>
      </c>
    </row>
    <row r="397" spans="1:8" x14ac:dyDescent="0.25">
      <c r="A397" s="5" t="s">
        <v>7733</v>
      </c>
      <c r="B397" s="5" t="s">
        <v>1067</v>
      </c>
      <c r="C397" s="5" t="s">
        <v>1499</v>
      </c>
      <c r="D397" s="5" t="s">
        <v>7816</v>
      </c>
      <c r="E397" s="6">
        <v>16</v>
      </c>
      <c r="F397" s="6">
        <v>29</v>
      </c>
      <c r="G397" s="5">
        <v>291</v>
      </c>
      <c r="H397" s="5">
        <v>541</v>
      </c>
    </row>
    <row r="398" spans="1:8" x14ac:dyDescent="0.25">
      <c r="A398" s="5" t="s">
        <v>7734</v>
      </c>
      <c r="B398" s="5" t="s">
        <v>1067</v>
      </c>
      <c r="C398" s="5" t="s">
        <v>1499</v>
      </c>
      <c r="D398" s="5" t="s">
        <v>7816</v>
      </c>
      <c r="E398" s="6">
        <v>16</v>
      </c>
      <c r="F398" s="6">
        <v>27</v>
      </c>
      <c r="G398" s="5">
        <v>283</v>
      </c>
      <c r="H398" s="5">
        <v>509</v>
      </c>
    </row>
    <row r="399" spans="1:8" x14ac:dyDescent="0.25">
      <c r="A399" s="5" t="s">
        <v>7735</v>
      </c>
      <c r="B399" s="5" t="s">
        <v>1067</v>
      </c>
      <c r="C399" s="5" t="s">
        <v>1499</v>
      </c>
      <c r="D399" s="5" t="s">
        <v>7816</v>
      </c>
      <c r="E399" s="6">
        <v>15</v>
      </c>
      <c r="F399" s="6">
        <v>26</v>
      </c>
      <c r="G399" s="5">
        <v>269</v>
      </c>
      <c r="H399" s="5">
        <v>478</v>
      </c>
    </row>
    <row r="400" spans="1:8" x14ac:dyDescent="0.25">
      <c r="A400" s="5" t="s">
        <v>7736</v>
      </c>
      <c r="B400" s="5" t="s">
        <v>1067</v>
      </c>
      <c r="C400" s="5" t="s">
        <v>1499</v>
      </c>
      <c r="D400" s="5" t="s">
        <v>7816</v>
      </c>
      <c r="E400" s="6">
        <v>13</v>
      </c>
      <c r="F400" s="6">
        <v>25</v>
      </c>
      <c r="G400" s="5">
        <v>240</v>
      </c>
      <c r="H400" s="5">
        <v>475</v>
      </c>
    </row>
    <row r="401" spans="1:8" x14ac:dyDescent="0.25">
      <c r="A401" s="5" t="s">
        <v>7737</v>
      </c>
      <c r="B401" s="5" t="s">
        <v>1067</v>
      </c>
      <c r="C401" s="5" t="s">
        <v>1499</v>
      </c>
      <c r="D401" s="5" t="s">
        <v>7816</v>
      </c>
      <c r="E401" s="6">
        <v>13</v>
      </c>
      <c r="F401" s="6">
        <v>28</v>
      </c>
      <c r="G401" s="5">
        <v>231</v>
      </c>
      <c r="H401" s="5">
        <v>529</v>
      </c>
    </row>
    <row r="402" spans="1:8" x14ac:dyDescent="0.25">
      <c r="A402" s="5" t="s">
        <v>7738</v>
      </c>
      <c r="B402" s="5" t="s">
        <v>1067</v>
      </c>
      <c r="C402" s="5" t="s">
        <v>1499</v>
      </c>
      <c r="D402" s="5" t="s">
        <v>7816</v>
      </c>
      <c r="E402" s="6">
        <v>11</v>
      </c>
      <c r="F402" s="6">
        <v>29</v>
      </c>
      <c r="G402" s="5">
        <v>201</v>
      </c>
      <c r="H402" s="5">
        <v>548</v>
      </c>
    </row>
    <row r="403" spans="1:8" x14ac:dyDescent="0.25">
      <c r="A403" s="5" t="s">
        <v>7739</v>
      </c>
      <c r="B403" s="5" t="s">
        <v>1067</v>
      </c>
      <c r="C403" s="5" t="s">
        <v>1499</v>
      </c>
      <c r="D403" s="5" t="s">
        <v>7816</v>
      </c>
      <c r="E403" s="6">
        <v>11</v>
      </c>
      <c r="F403" s="6">
        <v>27</v>
      </c>
      <c r="G403" s="5">
        <v>195</v>
      </c>
      <c r="H403" s="5">
        <v>512</v>
      </c>
    </row>
    <row r="404" spans="1:8" x14ac:dyDescent="0.25">
      <c r="A404" s="5" t="s">
        <v>7740</v>
      </c>
      <c r="B404" s="5" t="s">
        <v>1067</v>
      </c>
      <c r="C404" s="5" t="s">
        <v>1499</v>
      </c>
      <c r="D404" s="5" t="s">
        <v>7816</v>
      </c>
      <c r="E404" s="6">
        <v>9</v>
      </c>
      <c r="F404" s="6">
        <v>27</v>
      </c>
      <c r="G404" s="5">
        <v>149</v>
      </c>
      <c r="H404" s="5">
        <v>513</v>
      </c>
    </row>
    <row r="405" spans="1:8" x14ac:dyDescent="0.25">
      <c r="A405" s="5" t="s">
        <v>7741</v>
      </c>
      <c r="B405" s="5" t="s">
        <v>1067</v>
      </c>
      <c r="C405" s="5" t="s">
        <v>1499</v>
      </c>
      <c r="D405" s="5" t="s">
        <v>7816</v>
      </c>
      <c r="E405" s="6">
        <v>6</v>
      </c>
      <c r="F405" s="6">
        <v>29</v>
      </c>
      <c r="G405" s="5">
        <v>102</v>
      </c>
      <c r="H405" s="5">
        <v>546</v>
      </c>
    </row>
    <row r="406" spans="1:8" x14ac:dyDescent="0.25">
      <c r="A406" s="5" t="s">
        <v>7742</v>
      </c>
      <c r="B406" s="5" t="s">
        <v>1067</v>
      </c>
      <c r="C406" s="5" t="s">
        <v>1499</v>
      </c>
      <c r="D406" s="5" t="s">
        <v>7816</v>
      </c>
      <c r="E406" s="6">
        <v>22</v>
      </c>
      <c r="F406" s="6">
        <v>19</v>
      </c>
      <c r="G406" s="5">
        <v>403</v>
      </c>
      <c r="H406" s="5">
        <v>343</v>
      </c>
    </row>
    <row r="407" spans="1:8" x14ac:dyDescent="0.25">
      <c r="A407" s="5" t="s">
        <v>7743</v>
      </c>
      <c r="B407" s="5" t="s">
        <v>1067</v>
      </c>
      <c r="C407" s="5" t="s">
        <v>1499</v>
      </c>
      <c r="D407" s="5" t="s">
        <v>7816</v>
      </c>
      <c r="E407" s="6">
        <v>21</v>
      </c>
      <c r="F407" s="6">
        <v>16</v>
      </c>
      <c r="G407" s="5">
        <v>385</v>
      </c>
      <c r="H407" s="5">
        <v>298</v>
      </c>
    </row>
    <row r="408" spans="1:8" x14ac:dyDescent="0.25">
      <c r="A408" s="5" t="s">
        <v>7744</v>
      </c>
      <c r="B408" s="5" t="s">
        <v>1067</v>
      </c>
      <c r="C408" s="5" t="s">
        <v>1499</v>
      </c>
      <c r="D408" s="5" t="s">
        <v>7816</v>
      </c>
      <c r="E408" s="6">
        <v>20</v>
      </c>
      <c r="F408" s="6">
        <v>19</v>
      </c>
      <c r="G408" s="5">
        <v>365</v>
      </c>
      <c r="H408" s="5">
        <v>345</v>
      </c>
    </row>
    <row r="409" spans="1:8" x14ac:dyDescent="0.25">
      <c r="A409" s="5" t="s">
        <v>7745</v>
      </c>
      <c r="B409" s="5" t="s">
        <v>1067</v>
      </c>
      <c r="C409" s="5" t="s">
        <v>1499</v>
      </c>
      <c r="D409" s="5" t="s">
        <v>7816</v>
      </c>
      <c r="E409" s="6">
        <v>18</v>
      </c>
      <c r="F409" s="6">
        <v>19</v>
      </c>
      <c r="G409" s="5">
        <v>327</v>
      </c>
      <c r="H409" s="5">
        <v>352</v>
      </c>
    </row>
    <row r="410" spans="1:8" x14ac:dyDescent="0.25">
      <c r="A410" s="5" t="s">
        <v>7746</v>
      </c>
      <c r="B410" s="5" t="s">
        <v>1067</v>
      </c>
      <c r="C410" s="5" t="s">
        <v>1499</v>
      </c>
      <c r="D410" s="5" t="s">
        <v>7816</v>
      </c>
      <c r="E410" s="6">
        <v>17</v>
      </c>
      <c r="F410" s="6">
        <v>21</v>
      </c>
      <c r="G410" s="5">
        <v>306</v>
      </c>
      <c r="H410" s="5">
        <v>380</v>
      </c>
    </row>
    <row r="411" spans="1:8" x14ac:dyDescent="0.25">
      <c r="A411" s="5" t="s">
        <v>7747</v>
      </c>
      <c r="B411" s="5" t="s">
        <v>1067</v>
      </c>
      <c r="C411" s="5" t="s">
        <v>1499</v>
      </c>
      <c r="D411" s="5" t="s">
        <v>7816</v>
      </c>
      <c r="E411" s="6">
        <v>14</v>
      </c>
      <c r="F411" s="6">
        <v>20</v>
      </c>
      <c r="G411" s="5">
        <v>263</v>
      </c>
      <c r="H411" s="5">
        <v>371</v>
      </c>
    </row>
    <row r="412" spans="1:8" x14ac:dyDescent="0.25">
      <c r="A412" s="5" t="s">
        <v>7748</v>
      </c>
      <c r="B412" s="5" t="s">
        <v>1067</v>
      </c>
      <c r="C412" s="5" t="s">
        <v>1499</v>
      </c>
      <c r="D412" s="5" t="s">
        <v>7816</v>
      </c>
      <c r="E412" s="6">
        <v>16</v>
      </c>
      <c r="F412" s="6">
        <v>18</v>
      </c>
      <c r="G412" s="5">
        <v>286</v>
      </c>
      <c r="H412" s="5">
        <v>337</v>
      </c>
    </row>
    <row r="413" spans="1:8" x14ac:dyDescent="0.25">
      <c r="A413" s="5" t="s">
        <v>7749</v>
      </c>
      <c r="B413" s="5" t="s">
        <v>1067</v>
      </c>
      <c r="C413" s="5" t="s">
        <v>1499</v>
      </c>
      <c r="D413" s="5" t="s">
        <v>7816</v>
      </c>
      <c r="E413" s="6">
        <v>14</v>
      </c>
      <c r="F413" s="6">
        <v>18</v>
      </c>
      <c r="G413" s="5">
        <v>256</v>
      </c>
      <c r="H413" s="5">
        <v>333</v>
      </c>
    </row>
    <row r="414" spans="1:8" x14ac:dyDescent="0.25">
      <c r="A414" s="5" t="s">
        <v>7750</v>
      </c>
      <c r="B414" s="5" t="s">
        <v>1067</v>
      </c>
      <c r="C414" s="5" t="s">
        <v>1499</v>
      </c>
      <c r="D414" s="5" t="s">
        <v>7816</v>
      </c>
      <c r="E414" s="6">
        <v>11</v>
      </c>
      <c r="F414" s="6">
        <v>20</v>
      </c>
      <c r="G414" s="5">
        <v>203</v>
      </c>
      <c r="H414" s="5">
        <v>361</v>
      </c>
    </row>
    <row r="415" spans="1:8" x14ac:dyDescent="0.25">
      <c r="A415" s="5" t="s">
        <v>7751</v>
      </c>
      <c r="B415" s="5" t="s">
        <v>1067</v>
      </c>
      <c r="C415" s="5" t="s">
        <v>1499</v>
      </c>
      <c r="D415" s="5" t="s">
        <v>7816</v>
      </c>
      <c r="E415" s="6">
        <v>11</v>
      </c>
      <c r="F415" s="6">
        <v>19</v>
      </c>
      <c r="G415" s="5">
        <v>190</v>
      </c>
      <c r="H415" s="5">
        <v>341</v>
      </c>
    </row>
    <row r="416" spans="1:8" x14ac:dyDescent="0.25">
      <c r="A416" s="5" t="s">
        <v>7752</v>
      </c>
      <c r="B416" s="5" t="s">
        <v>1067</v>
      </c>
      <c r="C416" s="5" t="s">
        <v>1499</v>
      </c>
      <c r="D416" s="5" t="s">
        <v>7816</v>
      </c>
      <c r="E416" s="6">
        <v>9</v>
      </c>
      <c r="F416" s="6">
        <v>15</v>
      </c>
      <c r="G416" s="5">
        <v>152</v>
      </c>
      <c r="H416" s="5">
        <v>275</v>
      </c>
    </row>
    <row r="417" spans="1:8" x14ac:dyDescent="0.25">
      <c r="A417" s="5" t="s">
        <v>7753</v>
      </c>
      <c r="B417" s="5" t="s">
        <v>1067</v>
      </c>
      <c r="C417" s="5" t="s">
        <v>1499</v>
      </c>
      <c r="D417" s="5" t="s">
        <v>7816</v>
      </c>
      <c r="E417" s="6">
        <v>9</v>
      </c>
      <c r="F417" s="6">
        <v>14</v>
      </c>
      <c r="G417" s="5">
        <v>154</v>
      </c>
      <c r="H417" s="5">
        <v>246</v>
      </c>
    </row>
    <row r="418" spans="1:8" x14ac:dyDescent="0.25">
      <c r="A418" s="5" t="s">
        <v>7754</v>
      </c>
      <c r="B418" s="5" t="s">
        <v>1067</v>
      </c>
      <c r="C418" s="5" t="s">
        <v>1499</v>
      </c>
      <c r="D418" s="5" t="s">
        <v>7816</v>
      </c>
      <c r="E418" s="6">
        <v>9</v>
      </c>
      <c r="F418" s="6">
        <v>12</v>
      </c>
      <c r="G418" s="5">
        <v>161</v>
      </c>
      <c r="H418" s="5">
        <v>210</v>
      </c>
    </row>
    <row r="419" spans="1:8" x14ac:dyDescent="0.25">
      <c r="A419" s="5" t="s">
        <v>7755</v>
      </c>
      <c r="B419" s="5" t="s">
        <v>1067</v>
      </c>
      <c r="C419" s="5" t="s">
        <v>1499</v>
      </c>
      <c r="D419" s="5" t="s">
        <v>7816</v>
      </c>
      <c r="E419" s="6">
        <v>11</v>
      </c>
      <c r="F419" s="6">
        <v>13</v>
      </c>
      <c r="G419" s="5">
        <v>190</v>
      </c>
      <c r="H419" s="5">
        <v>230</v>
      </c>
    </row>
    <row r="420" spans="1:8" x14ac:dyDescent="0.25">
      <c r="A420" s="5" t="s">
        <v>7756</v>
      </c>
      <c r="B420" s="5" t="s">
        <v>1067</v>
      </c>
      <c r="C420" s="5" t="s">
        <v>1499</v>
      </c>
      <c r="D420" s="5" t="s">
        <v>7816</v>
      </c>
      <c r="E420" s="6">
        <v>12</v>
      </c>
      <c r="F420" s="6">
        <v>14</v>
      </c>
      <c r="G420" s="5">
        <v>220</v>
      </c>
      <c r="H420" s="5">
        <v>260</v>
      </c>
    </row>
    <row r="421" spans="1:8" x14ac:dyDescent="0.25">
      <c r="A421" s="5" t="s">
        <v>7757</v>
      </c>
      <c r="B421" s="5" t="s">
        <v>1067</v>
      </c>
      <c r="C421" s="5" t="s">
        <v>1499</v>
      </c>
      <c r="D421" s="5" t="s">
        <v>7816</v>
      </c>
      <c r="E421" s="6">
        <v>9</v>
      </c>
      <c r="F421" s="6">
        <v>21</v>
      </c>
      <c r="G421" s="5">
        <v>149</v>
      </c>
      <c r="H421" s="5">
        <v>388</v>
      </c>
    </row>
    <row r="422" spans="1:8" x14ac:dyDescent="0.25">
      <c r="A422" s="5" t="s">
        <v>7758</v>
      </c>
      <c r="B422" s="5" t="s">
        <v>1067</v>
      </c>
      <c r="C422" s="5" t="s">
        <v>1499</v>
      </c>
      <c r="D422" s="5" t="s">
        <v>7816</v>
      </c>
      <c r="E422" s="6">
        <v>6</v>
      </c>
      <c r="F422" s="6">
        <v>20</v>
      </c>
      <c r="G422" s="5">
        <v>105</v>
      </c>
      <c r="H422" s="5">
        <v>368</v>
      </c>
    </row>
    <row r="423" spans="1:8" x14ac:dyDescent="0.25">
      <c r="A423" s="5" t="s">
        <v>7759</v>
      </c>
      <c r="B423" s="5" t="s">
        <v>1067</v>
      </c>
      <c r="C423" s="5" t="s">
        <v>1499</v>
      </c>
      <c r="D423" s="5" t="s">
        <v>7816</v>
      </c>
      <c r="E423" s="6">
        <v>5</v>
      </c>
      <c r="F423" s="6">
        <v>18</v>
      </c>
      <c r="G423" s="5">
        <v>91</v>
      </c>
      <c r="H423" s="5">
        <v>329</v>
      </c>
    </row>
    <row r="424" spans="1:8" x14ac:dyDescent="0.25">
      <c r="A424" s="5" t="s">
        <v>7760</v>
      </c>
      <c r="B424" s="5" t="s">
        <v>1067</v>
      </c>
      <c r="C424" s="5" t="s">
        <v>1499</v>
      </c>
      <c r="D424" s="5" t="s">
        <v>7816</v>
      </c>
      <c r="E424" s="6">
        <v>4</v>
      </c>
      <c r="F424" s="6">
        <v>17</v>
      </c>
      <c r="G424" s="5">
        <v>63</v>
      </c>
      <c r="H424" s="5">
        <v>306</v>
      </c>
    </row>
    <row r="425" spans="1:8" x14ac:dyDescent="0.25">
      <c r="A425" s="5" t="s">
        <v>7761</v>
      </c>
      <c r="B425" s="5" t="s">
        <v>1067</v>
      </c>
      <c r="C425" s="5" t="s">
        <v>1499</v>
      </c>
      <c r="D425" s="5" t="s">
        <v>7816</v>
      </c>
      <c r="E425" s="6">
        <v>6</v>
      </c>
      <c r="F425" s="6">
        <v>16</v>
      </c>
      <c r="G425" s="5">
        <v>88</v>
      </c>
      <c r="H425" s="5">
        <v>297</v>
      </c>
    </row>
    <row r="426" spans="1:8" x14ac:dyDescent="0.25">
      <c r="A426" s="5" t="s">
        <v>7762</v>
      </c>
      <c r="B426" s="5" t="s">
        <v>1067</v>
      </c>
      <c r="C426" s="5" t="s">
        <v>1499</v>
      </c>
      <c r="D426" s="5" t="s">
        <v>7816</v>
      </c>
      <c r="E426" s="6">
        <v>33</v>
      </c>
      <c r="F426" s="6">
        <v>24</v>
      </c>
      <c r="G426" s="5">
        <v>621</v>
      </c>
      <c r="H426" s="5">
        <v>437</v>
      </c>
    </row>
    <row r="427" spans="1:8" x14ac:dyDescent="0.25">
      <c r="A427" s="5" t="s">
        <v>7763</v>
      </c>
      <c r="B427" s="5" t="s">
        <v>1067</v>
      </c>
      <c r="C427" s="5" t="s">
        <v>1499</v>
      </c>
      <c r="D427" s="5" t="s">
        <v>7816</v>
      </c>
      <c r="E427" s="6">
        <v>35</v>
      </c>
      <c r="F427" s="6">
        <v>23</v>
      </c>
      <c r="G427" s="5">
        <v>658</v>
      </c>
      <c r="H427" s="5">
        <v>420</v>
      </c>
    </row>
    <row r="428" spans="1:8" x14ac:dyDescent="0.25">
      <c r="A428" s="5" t="s">
        <v>7764</v>
      </c>
      <c r="B428" s="5" t="s">
        <v>1067</v>
      </c>
      <c r="C428" s="5" t="s">
        <v>1499</v>
      </c>
      <c r="D428" s="5" t="s">
        <v>7816</v>
      </c>
      <c r="E428" s="6">
        <v>36</v>
      </c>
      <c r="F428" s="6">
        <v>23</v>
      </c>
      <c r="G428" s="5">
        <v>678</v>
      </c>
      <c r="H428" s="5">
        <v>430</v>
      </c>
    </row>
    <row r="429" spans="1:8" x14ac:dyDescent="0.25">
      <c r="A429" s="5" t="s">
        <v>7765</v>
      </c>
      <c r="B429" s="5" t="s">
        <v>1067</v>
      </c>
      <c r="C429" s="5" t="s">
        <v>1499</v>
      </c>
      <c r="D429" s="5" t="s">
        <v>7816</v>
      </c>
      <c r="E429" s="6">
        <v>32</v>
      </c>
      <c r="F429" s="6">
        <v>17</v>
      </c>
      <c r="G429" s="5">
        <v>600</v>
      </c>
      <c r="H429" s="5">
        <v>311</v>
      </c>
    </row>
    <row r="430" spans="1:8" x14ac:dyDescent="0.25">
      <c r="A430" s="5" t="s">
        <v>7766</v>
      </c>
      <c r="B430" s="5" t="s">
        <v>1067</v>
      </c>
      <c r="C430" s="5" t="s">
        <v>1499</v>
      </c>
      <c r="D430" s="5" t="s">
        <v>7816</v>
      </c>
      <c r="E430" s="6">
        <v>35</v>
      </c>
      <c r="F430" s="6">
        <v>15</v>
      </c>
      <c r="G430" s="5">
        <v>664</v>
      </c>
      <c r="H430" s="5">
        <v>274</v>
      </c>
    </row>
    <row r="431" spans="1:8" x14ac:dyDescent="0.25">
      <c r="A431" s="5" t="s">
        <v>7767</v>
      </c>
      <c r="B431" s="5" t="s">
        <v>1067</v>
      </c>
      <c r="C431" s="5" t="s">
        <v>1499</v>
      </c>
      <c r="D431" s="5" t="s">
        <v>7816</v>
      </c>
      <c r="E431" s="6">
        <v>32</v>
      </c>
      <c r="F431" s="6">
        <v>15</v>
      </c>
      <c r="G431" s="5">
        <v>595</v>
      </c>
      <c r="H431" s="5">
        <v>262</v>
      </c>
    </row>
    <row r="432" spans="1:8" x14ac:dyDescent="0.25">
      <c r="A432" s="5" t="s">
        <v>7768</v>
      </c>
      <c r="B432" s="5" t="s">
        <v>1067</v>
      </c>
      <c r="C432" s="5" t="s">
        <v>1499</v>
      </c>
      <c r="D432" s="5" t="s">
        <v>7816</v>
      </c>
      <c r="E432" s="6">
        <v>28</v>
      </c>
      <c r="F432" s="6">
        <v>15</v>
      </c>
      <c r="G432" s="5">
        <v>529</v>
      </c>
      <c r="H432" s="5">
        <v>278</v>
      </c>
    </row>
    <row r="433" spans="1:8" x14ac:dyDescent="0.25">
      <c r="A433" s="5" t="s">
        <v>7769</v>
      </c>
      <c r="B433" s="5" t="s">
        <v>1067</v>
      </c>
      <c r="C433" s="5" t="s">
        <v>1499</v>
      </c>
      <c r="D433" s="5" t="s">
        <v>7816</v>
      </c>
      <c r="E433" s="6">
        <v>27</v>
      </c>
      <c r="F433" s="6">
        <v>13</v>
      </c>
      <c r="G433" s="5">
        <v>502</v>
      </c>
      <c r="H433" s="5">
        <v>243</v>
      </c>
    </row>
    <row r="434" spans="1:8" x14ac:dyDescent="0.25">
      <c r="A434" s="5" t="s">
        <v>7770</v>
      </c>
      <c r="B434" s="5" t="s">
        <v>1067</v>
      </c>
      <c r="C434" s="5" t="s">
        <v>1499</v>
      </c>
      <c r="D434" s="5" t="s">
        <v>7816</v>
      </c>
      <c r="E434" s="6">
        <v>25</v>
      </c>
      <c r="F434" s="6">
        <v>14</v>
      </c>
      <c r="G434" s="5">
        <v>464</v>
      </c>
      <c r="H434" s="5">
        <v>247</v>
      </c>
    </row>
    <row r="435" spans="1:8" x14ac:dyDescent="0.25">
      <c r="A435" s="5" t="s">
        <v>7771</v>
      </c>
      <c r="B435" s="5" t="s">
        <v>1067</v>
      </c>
      <c r="C435" s="5" t="s">
        <v>1499</v>
      </c>
      <c r="D435" s="5" t="s">
        <v>7816</v>
      </c>
      <c r="E435" s="6">
        <v>30</v>
      </c>
      <c r="F435" s="6">
        <v>12</v>
      </c>
      <c r="G435" s="5">
        <v>565</v>
      </c>
      <c r="H435" s="5">
        <v>224</v>
      </c>
    </row>
    <row r="436" spans="1:8" x14ac:dyDescent="0.25">
      <c r="A436" s="5" t="s">
        <v>7772</v>
      </c>
      <c r="B436" s="5" t="s">
        <v>1067</v>
      </c>
      <c r="C436" s="5" t="s">
        <v>1499</v>
      </c>
      <c r="D436" s="5" t="s">
        <v>7816</v>
      </c>
      <c r="E436" s="6">
        <v>28</v>
      </c>
      <c r="F436" s="6">
        <v>11</v>
      </c>
      <c r="G436" s="5">
        <v>533</v>
      </c>
      <c r="H436" s="5">
        <v>199</v>
      </c>
    </row>
    <row r="437" spans="1:8" x14ac:dyDescent="0.25">
      <c r="A437" s="5" t="s">
        <v>7773</v>
      </c>
      <c r="B437" s="5" t="s">
        <v>1067</v>
      </c>
      <c r="C437" s="5" t="s">
        <v>1499</v>
      </c>
      <c r="D437" s="5" t="s">
        <v>7816</v>
      </c>
      <c r="E437" s="6">
        <v>30</v>
      </c>
      <c r="F437" s="6">
        <v>11</v>
      </c>
      <c r="G437" s="5">
        <v>566</v>
      </c>
      <c r="H437" s="5">
        <v>190</v>
      </c>
    </row>
    <row r="438" spans="1:8" x14ac:dyDescent="0.25">
      <c r="A438" s="5" t="s">
        <v>7774</v>
      </c>
      <c r="B438" s="5" t="s">
        <v>1067</v>
      </c>
      <c r="C438" s="5" t="s">
        <v>1499</v>
      </c>
      <c r="D438" s="5" t="s">
        <v>7816</v>
      </c>
      <c r="E438" s="6">
        <v>25</v>
      </c>
      <c r="F438" s="6">
        <v>11</v>
      </c>
      <c r="G438" s="5">
        <v>476</v>
      </c>
      <c r="H438" s="5">
        <v>196</v>
      </c>
    </row>
    <row r="439" spans="1:8" x14ac:dyDescent="0.25">
      <c r="A439" s="5" t="s">
        <v>7775</v>
      </c>
      <c r="B439" s="5" t="s">
        <v>1067</v>
      </c>
      <c r="C439" s="5" t="s">
        <v>1499</v>
      </c>
      <c r="D439" s="5" t="s">
        <v>7816</v>
      </c>
      <c r="E439" s="6">
        <v>25</v>
      </c>
      <c r="F439" s="6">
        <v>9</v>
      </c>
      <c r="G439" s="5">
        <v>464</v>
      </c>
      <c r="H439" s="5">
        <v>156</v>
      </c>
    </row>
    <row r="440" spans="1:8" x14ac:dyDescent="0.25">
      <c r="A440" s="5" t="s">
        <v>7776</v>
      </c>
      <c r="B440" s="5" t="s">
        <v>1067</v>
      </c>
      <c r="C440" s="5" t="s">
        <v>1499</v>
      </c>
      <c r="D440" s="5" t="s">
        <v>7816</v>
      </c>
      <c r="E440" s="6">
        <v>23</v>
      </c>
      <c r="F440" s="6">
        <v>8</v>
      </c>
      <c r="G440" s="5">
        <v>437</v>
      </c>
      <c r="H440" s="5">
        <v>144</v>
      </c>
    </row>
    <row r="441" spans="1:8" x14ac:dyDescent="0.25">
      <c r="A441" s="5" t="s">
        <v>7777</v>
      </c>
      <c r="B441" s="5" t="s">
        <v>1067</v>
      </c>
      <c r="C441" s="5" t="s">
        <v>1499</v>
      </c>
      <c r="D441" s="5" t="s">
        <v>7816</v>
      </c>
      <c r="E441" s="6">
        <v>29</v>
      </c>
      <c r="F441" s="6">
        <v>8</v>
      </c>
      <c r="G441" s="5">
        <v>545</v>
      </c>
      <c r="H441" s="5">
        <v>131</v>
      </c>
    </row>
    <row r="442" spans="1:8" x14ac:dyDescent="0.25">
      <c r="A442" s="5" t="s">
        <v>7778</v>
      </c>
      <c r="B442" s="5" t="s">
        <v>1067</v>
      </c>
      <c r="C442" s="5" t="s">
        <v>1499</v>
      </c>
      <c r="D442" s="5" t="s">
        <v>7816</v>
      </c>
      <c r="E442" s="6">
        <v>32</v>
      </c>
      <c r="F442" s="6">
        <v>7</v>
      </c>
      <c r="G442" s="5">
        <v>606</v>
      </c>
      <c r="H442" s="5">
        <v>116</v>
      </c>
    </row>
    <row r="443" spans="1:8" x14ac:dyDescent="0.25">
      <c r="A443" s="5" t="s">
        <v>7779</v>
      </c>
      <c r="B443" s="5" t="s">
        <v>1067</v>
      </c>
      <c r="C443" s="5" t="s">
        <v>494</v>
      </c>
      <c r="D443" s="5" t="s">
        <v>7816</v>
      </c>
      <c r="E443" s="6">
        <v>19</v>
      </c>
      <c r="F443" s="6">
        <v>8</v>
      </c>
      <c r="G443" s="5">
        <v>349</v>
      </c>
      <c r="H443" s="5">
        <v>138</v>
      </c>
    </row>
    <row r="444" spans="1:8" x14ac:dyDescent="0.25">
      <c r="A444" s="5" t="s">
        <v>7780</v>
      </c>
      <c r="B444" s="5" t="s">
        <v>1067</v>
      </c>
      <c r="C444" s="5" t="s">
        <v>494</v>
      </c>
      <c r="D444" s="5" t="s">
        <v>7816</v>
      </c>
      <c r="E444" s="6">
        <v>15</v>
      </c>
      <c r="F444" s="6">
        <v>10</v>
      </c>
      <c r="G444" s="5">
        <v>276</v>
      </c>
      <c r="H444" s="5">
        <v>180</v>
      </c>
    </row>
    <row r="445" spans="1:8" x14ac:dyDescent="0.25">
      <c r="A445" s="5" t="s">
        <v>7781</v>
      </c>
      <c r="B445" s="5" t="s">
        <v>1067</v>
      </c>
      <c r="C445" s="5" t="s">
        <v>494</v>
      </c>
      <c r="D445" s="5" t="s">
        <v>7816</v>
      </c>
      <c r="E445" s="6">
        <v>14</v>
      </c>
      <c r="F445" s="6">
        <v>10</v>
      </c>
      <c r="G445" s="5">
        <v>256</v>
      </c>
      <c r="H445" s="5">
        <v>178</v>
      </c>
    </row>
    <row r="446" spans="1:8" x14ac:dyDescent="0.25">
      <c r="A446" s="5" t="s">
        <v>7782</v>
      </c>
      <c r="B446" s="5" t="s">
        <v>1067</v>
      </c>
      <c r="C446" s="5" t="s">
        <v>494</v>
      </c>
      <c r="D446" s="5" t="s">
        <v>7816</v>
      </c>
      <c r="E446" s="6">
        <v>16</v>
      </c>
      <c r="F446" s="6">
        <v>12</v>
      </c>
      <c r="G446" s="5">
        <v>291</v>
      </c>
      <c r="H446" s="5">
        <v>213</v>
      </c>
    </row>
    <row r="447" spans="1:8" x14ac:dyDescent="0.25">
      <c r="A447" s="5" t="s">
        <v>7783</v>
      </c>
      <c r="B447" s="5" t="s">
        <v>1067</v>
      </c>
      <c r="C447" s="5" t="s">
        <v>494</v>
      </c>
      <c r="D447" s="5" t="s">
        <v>7816</v>
      </c>
      <c r="E447" s="6">
        <v>14</v>
      </c>
      <c r="F447" s="6">
        <v>12</v>
      </c>
      <c r="G447" s="5">
        <v>243</v>
      </c>
      <c r="H447" s="5">
        <v>217</v>
      </c>
    </row>
    <row r="448" spans="1:8" x14ac:dyDescent="0.25">
      <c r="A448" s="5" t="s">
        <v>7784</v>
      </c>
      <c r="B448" s="5" t="s">
        <v>1067</v>
      </c>
      <c r="C448" s="5" t="s">
        <v>494</v>
      </c>
      <c r="D448" s="5" t="s">
        <v>7816</v>
      </c>
      <c r="E448" s="6">
        <v>14</v>
      </c>
      <c r="F448" s="6">
        <v>14</v>
      </c>
      <c r="G448" s="5">
        <v>260</v>
      </c>
      <c r="H448" s="5">
        <v>251</v>
      </c>
    </row>
    <row r="449" spans="1:8" x14ac:dyDescent="0.25">
      <c r="A449" s="5" t="s">
        <v>7785</v>
      </c>
      <c r="B449" s="5" t="s">
        <v>1067</v>
      </c>
      <c r="C449" s="5" t="s">
        <v>494</v>
      </c>
      <c r="D449" s="5" t="s">
        <v>7816</v>
      </c>
      <c r="E449" s="6">
        <v>12</v>
      </c>
      <c r="F449" s="6">
        <v>12</v>
      </c>
      <c r="G449" s="5">
        <v>212</v>
      </c>
      <c r="H449" s="5">
        <v>207</v>
      </c>
    </row>
    <row r="450" spans="1:8" x14ac:dyDescent="0.25">
      <c r="A450" s="5" t="s">
        <v>7786</v>
      </c>
      <c r="B450" s="5" t="s">
        <v>1067</v>
      </c>
      <c r="C450" s="5" t="s">
        <v>494</v>
      </c>
      <c r="D450" s="5" t="s">
        <v>7816</v>
      </c>
      <c r="E450" s="6">
        <v>13</v>
      </c>
      <c r="F450" s="6">
        <v>14</v>
      </c>
      <c r="G450" s="5">
        <v>228</v>
      </c>
      <c r="H450" s="5">
        <v>244</v>
      </c>
    </row>
    <row r="451" spans="1:8" x14ac:dyDescent="0.25">
      <c r="A451" s="5" t="s">
        <v>7787</v>
      </c>
      <c r="B451" s="5" t="s">
        <v>1067</v>
      </c>
      <c r="C451" s="5" t="s">
        <v>494</v>
      </c>
      <c r="D451" s="5" t="s">
        <v>7817</v>
      </c>
      <c r="E451" s="6">
        <v>23</v>
      </c>
      <c r="F451" s="6">
        <v>11</v>
      </c>
      <c r="G451" s="5">
        <v>436</v>
      </c>
      <c r="H451" s="5">
        <v>192</v>
      </c>
    </row>
    <row r="452" spans="1:8" x14ac:dyDescent="0.25">
      <c r="A452" s="5" t="s">
        <v>7788</v>
      </c>
      <c r="B452" s="5" t="s">
        <v>1067</v>
      </c>
      <c r="C452" s="5" t="s">
        <v>494</v>
      </c>
      <c r="D452" s="5" t="s">
        <v>7817</v>
      </c>
      <c r="E452" s="6">
        <v>24</v>
      </c>
      <c r="F452" s="6">
        <v>12</v>
      </c>
      <c r="G452" s="5">
        <v>443</v>
      </c>
      <c r="H452" s="5">
        <v>215</v>
      </c>
    </row>
    <row r="453" spans="1:8" x14ac:dyDescent="0.25">
      <c r="A453" s="5" t="s">
        <v>7789</v>
      </c>
      <c r="B453" s="5" t="s">
        <v>1067</v>
      </c>
      <c r="C453" s="5" t="s">
        <v>494</v>
      </c>
      <c r="D453" s="5" t="s">
        <v>7817</v>
      </c>
      <c r="E453" s="6">
        <v>26</v>
      </c>
      <c r="F453" s="6">
        <v>13</v>
      </c>
      <c r="G453" s="5">
        <v>479</v>
      </c>
      <c r="H453" s="5">
        <v>225</v>
      </c>
    </row>
    <row r="454" spans="1:8" x14ac:dyDescent="0.25">
      <c r="A454" s="5" t="s">
        <v>7790</v>
      </c>
      <c r="B454" s="5" t="s">
        <v>1067</v>
      </c>
      <c r="C454" s="5" t="s">
        <v>494</v>
      </c>
      <c r="D454" s="5" t="s">
        <v>7817</v>
      </c>
      <c r="E454" s="6">
        <v>25</v>
      </c>
      <c r="F454" s="6">
        <v>10</v>
      </c>
      <c r="G454" s="5">
        <v>463</v>
      </c>
      <c r="H454" s="5">
        <v>181</v>
      </c>
    </row>
    <row r="455" spans="1:8" x14ac:dyDescent="0.25">
      <c r="A455" s="5" t="s">
        <v>7791</v>
      </c>
      <c r="B455" s="5" t="s">
        <v>1067</v>
      </c>
      <c r="C455" s="5" t="s">
        <v>494</v>
      </c>
      <c r="D455" s="5" t="s">
        <v>7817</v>
      </c>
      <c r="E455" s="6">
        <v>27</v>
      </c>
      <c r="F455" s="6">
        <v>10</v>
      </c>
      <c r="G455" s="5">
        <v>514</v>
      </c>
      <c r="H455" s="5">
        <v>183</v>
      </c>
    </row>
    <row r="456" spans="1:8" x14ac:dyDescent="0.25">
      <c r="A456" s="5" t="s">
        <v>7792</v>
      </c>
      <c r="B456" s="5" t="s">
        <v>1067</v>
      </c>
      <c r="C456" s="5" t="s">
        <v>494</v>
      </c>
      <c r="D456" s="5" t="s">
        <v>7817</v>
      </c>
      <c r="E456" s="6">
        <v>27</v>
      </c>
      <c r="F456" s="6">
        <v>9</v>
      </c>
      <c r="G456" s="5">
        <v>508</v>
      </c>
      <c r="H456" s="5">
        <v>147</v>
      </c>
    </row>
    <row r="457" spans="1:8" x14ac:dyDescent="0.25">
      <c r="A457" s="5" t="s">
        <v>7793</v>
      </c>
      <c r="B457" s="5" t="s">
        <v>1067</v>
      </c>
      <c r="C457" s="5" t="s">
        <v>494</v>
      </c>
      <c r="D457" s="5" t="s">
        <v>7817</v>
      </c>
      <c r="E457" s="6">
        <v>29</v>
      </c>
      <c r="F457" s="6">
        <v>8</v>
      </c>
      <c r="G457" s="5">
        <v>546</v>
      </c>
      <c r="H457" s="5">
        <v>127</v>
      </c>
    </row>
    <row r="458" spans="1:8" x14ac:dyDescent="0.25">
      <c r="A458" s="5" t="s">
        <v>7794</v>
      </c>
      <c r="B458" s="5" t="s">
        <v>1067</v>
      </c>
      <c r="C458" s="5" t="s">
        <v>494</v>
      </c>
      <c r="D458" s="5" t="s">
        <v>7817</v>
      </c>
      <c r="E458" s="6">
        <v>28</v>
      </c>
      <c r="F458" s="6">
        <v>6</v>
      </c>
      <c r="G458" s="5">
        <v>529</v>
      </c>
      <c r="H458" s="5">
        <v>104</v>
      </c>
    </row>
    <row r="459" spans="1:8" x14ac:dyDescent="0.25">
      <c r="A459" s="5" t="s">
        <v>7795</v>
      </c>
      <c r="B459" s="5" t="s">
        <v>1067</v>
      </c>
      <c r="C459" s="5" t="s">
        <v>494</v>
      </c>
      <c r="D459" s="5" t="s">
        <v>7817</v>
      </c>
      <c r="E459" s="6">
        <v>27</v>
      </c>
      <c r="F459" s="6">
        <v>13</v>
      </c>
      <c r="G459" s="5">
        <v>500</v>
      </c>
      <c r="H459" s="5">
        <v>227</v>
      </c>
    </row>
    <row r="460" spans="1:8" x14ac:dyDescent="0.25">
      <c r="A460" s="5" t="s">
        <v>7796</v>
      </c>
      <c r="B460" s="5" t="s">
        <v>1067</v>
      </c>
      <c r="C460" s="5" t="s">
        <v>494</v>
      </c>
      <c r="D460" s="5" t="s">
        <v>7817</v>
      </c>
      <c r="E460" s="6">
        <v>30</v>
      </c>
      <c r="F460" s="6">
        <v>6</v>
      </c>
      <c r="G460" s="5">
        <v>574</v>
      </c>
      <c r="H460" s="5">
        <v>102</v>
      </c>
    </row>
    <row r="461" spans="1:8" x14ac:dyDescent="0.25">
      <c r="A461" s="5" t="s">
        <v>7797</v>
      </c>
      <c r="B461" s="5" t="s">
        <v>1067</v>
      </c>
      <c r="C461" s="5" t="s">
        <v>494</v>
      </c>
      <c r="D461" s="5" t="s">
        <v>7817</v>
      </c>
      <c r="E461" s="6">
        <v>32</v>
      </c>
      <c r="F461" s="6">
        <v>7</v>
      </c>
      <c r="G461" s="5">
        <v>614</v>
      </c>
      <c r="H461" s="5">
        <v>114</v>
      </c>
    </row>
    <row r="462" spans="1:8" x14ac:dyDescent="0.25">
      <c r="A462" s="5" t="s">
        <v>7798</v>
      </c>
      <c r="B462" s="5" t="s">
        <v>1067</v>
      </c>
      <c r="C462" s="5" t="s">
        <v>494</v>
      </c>
      <c r="D462" s="5" t="s">
        <v>7817</v>
      </c>
      <c r="E462" s="6">
        <v>33</v>
      </c>
      <c r="F462" s="6">
        <v>9</v>
      </c>
      <c r="G462" s="5">
        <v>618</v>
      </c>
      <c r="H462" s="5">
        <v>152</v>
      </c>
    </row>
    <row r="463" spans="1:8" x14ac:dyDescent="0.25">
      <c r="A463" s="5" t="s">
        <v>7799</v>
      </c>
      <c r="B463" s="5" t="s">
        <v>1067</v>
      </c>
      <c r="C463" s="5" t="s">
        <v>494</v>
      </c>
      <c r="D463" s="5" t="s">
        <v>7817</v>
      </c>
      <c r="E463" s="6">
        <v>32</v>
      </c>
      <c r="F463" s="6">
        <v>10</v>
      </c>
      <c r="G463" s="5">
        <v>610</v>
      </c>
      <c r="H463" s="5">
        <v>185</v>
      </c>
    </row>
    <row r="464" spans="1:8" x14ac:dyDescent="0.25">
      <c r="A464" s="5" t="s">
        <v>7800</v>
      </c>
      <c r="B464" s="5" t="s">
        <v>1067</v>
      </c>
      <c r="C464" s="5" t="s">
        <v>494</v>
      </c>
      <c r="D464" s="5" t="s">
        <v>7817</v>
      </c>
      <c r="E464" s="6">
        <v>32</v>
      </c>
      <c r="F464" s="6">
        <v>11</v>
      </c>
      <c r="G464" s="5">
        <v>599</v>
      </c>
      <c r="H464" s="5">
        <v>202</v>
      </c>
    </row>
    <row r="465" spans="1:8" x14ac:dyDescent="0.25">
      <c r="A465" s="5" t="s">
        <v>7801</v>
      </c>
      <c r="B465" s="5" t="s">
        <v>1067</v>
      </c>
      <c r="C465" s="5" t="s">
        <v>494</v>
      </c>
      <c r="D465" s="5" t="s">
        <v>7817</v>
      </c>
      <c r="E465" s="6">
        <v>34</v>
      </c>
      <c r="F465" s="6">
        <v>12</v>
      </c>
      <c r="G465" s="5">
        <v>638</v>
      </c>
      <c r="H465" s="5">
        <v>213</v>
      </c>
    </row>
    <row r="466" spans="1:8" x14ac:dyDescent="0.25">
      <c r="A466" s="5" t="s">
        <v>7802</v>
      </c>
      <c r="B466" s="5" t="s">
        <v>1067</v>
      </c>
      <c r="C466" s="5" t="s">
        <v>494</v>
      </c>
      <c r="D466" s="5" t="s">
        <v>7817</v>
      </c>
      <c r="E466" s="6">
        <v>32</v>
      </c>
      <c r="F466" s="6">
        <v>14</v>
      </c>
      <c r="G466" s="5">
        <v>604</v>
      </c>
      <c r="H466" s="5">
        <v>259</v>
      </c>
    </row>
    <row r="467" spans="1:8" x14ac:dyDescent="0.25">
      <c r="A467" s="5" t="s">
        <v>7803</v>
      </c>
      <c r="B467" s="5" t="s">
        <v>1067</v>
      </c>
      <c r="C467" s="5" t="s">
        <v>494</v>
      </c>
      <c r="D467" s="5" t="s">
        <v>7817</v>
      </c>
      <c r="E467" s="6">
        <v>29</v>
      </c>
      <c r="F467" s="6">
        <v>15</v>
      </c>
      <c r="G467" s="5">
        <v>549</v>
      </c>
      <c r="H467" s="5">
        <v>262</v>
      </c>
    </row>
    <row r="468" spans="1:8" x14ac:dyDescent="0.25">
      <c r="A468" s="5" t="s">
        <v>7804</v>
      </c>
      <c r="B468" s="5" t="s">
        <v>1067</v>
      </c>
      <c r="C468" s="5" t="s">
        <v>494</v>
      </c>
      <c r="D468" s="5" t="s">
        <v>7817</v>
      </c>
      <c r="E468" s="6">
        <v>28</v>
      </c>
      <c r="F468" s="6">
        <v>14</v>
      </c>
      <c r="G468" s="5">
        <v>534</v>
      </c>
      <c r="H468" s="5">
        <v>244</v>
      </c>
    </row>
    <row r="469" spans="1:8" x14ac:dyDescent="0.25">
      <c r="A469" s="5" t="s">
        <v>7805</v>
      </c>
      <c r="B469" s="5" t="s">
        <v>1067</v>
      </c>
      <c r="C469" s="5" t="s">
        <v>494</v>
      </c>
      <c r="D469" s="5" t="s">
        <v>7813</v>
      </c>
      <c r="E469" s="6">
        <v>9</v>
      </c>
      <c r="F469" s="6">
        <v>14</v>
      </c>
      <c r="G469" s="5">
        <v>171</v>
      </c>
      <c r="H469" s="5">
        <v>249</v>
      </c>
    </row>
    <row r="470" spans="1:8" x14ac:dyDescent="0.25">
      <c r="A470" s="5" t="s">
        <v>7806</v>
      </c>
      <c r="B470" s="5" t="s">
        <v>1067</v>
      </c>
      <c r="C470" s="5" t="s">
        <v>494</v>
      </c>
      <c r="D470" s="5" t="s">
        <v>7813</v>
      </c>
      <c r="E470" s="6">
        <v>11</v>
      </c>
      <c r="F470" s="6">
        <v>15</v>
      </c>
      <c r="G470" s="5">
        <v>192</v>
      </c>
      <c r="H470" s="5">
        <v>279</v>
      </c>
    </row>
    <row r="471" spans="1:8" x14ac:dyDescent="0.25">
      <c r="A471" s="5" t="s">
        <v>7807</v>
      </c>
      <c r="B471" s="5" t="s">
        <v>1067</v>
      </c>
      <c r="C471" s="5" t="s">
        <v>494</v>
      </c>
      <c r="D471" s="5" t="s">
        <v>7813</v>
      </c>
      <c r="E471" s="6">
        <v>12</v>
      </c>
      <c r="F471" s="6">
        <v>17</v>
      </c>
      <c r="G471" s="5">
        <v>217</v>
      </c>
      <c r="H471" s="5">
        <v>311</v>
      </c>
    </row>
    <row r="472" spans="1:8" x14ac:dyDescent="0.25">
      <c r="A472" s="5" t="s">
        <v>7808</v>
      </c>
      <c r="B472" s="5" t="s">
        <v>1067</v>
      </c>
      <c r="C472" s="5" t="s">
        <v>494</v>
      </c>
      <c r="D472" s="5" t="s">
        <v>7813</v>
      </c>
      <c r="E472" s="6">
        <v>12</v>
      </c>
      <c r="F472" s="6">
        <v>16</v>
      </c>
      <c r="G472" s="5">
        <v>221</v>
      </c>
      <c r="H472" s="5">
        <v>293</v>
      </c>
    </row>
    <row r="473" spans="1:8" x14ac:dyDescent="0.25">
      <c r="A473" s="5" t="s">
        <v>7809</v>
      </c>
      <c r="B473" s="5" t="s">
        <v>1067</v>
      </c>
      <c r="C473" s="5" t="s">
        <v>494</v>
      </c>
      <c r="D473" s="5" t="s">
        <v>7813</v>
      </c>
      <c r="E473" s="6">
        <v>17</v>
      </c>
      <c r="F473" s="6">
        <v>16</v>
      </c>
      <c r="G473" s="5">
        <v>306</v>
      </c>
      <c r="H473" s="5">
        <v>287</v>
      </c>
    </row>
    <row r="474" spans="1:8" x14ac:dyDescent="0.25">
      <c r="A474" s="5" t="s">
        <v>7810</v>
      </c>
      <c r="B474" s="5" t="s">
        <v>1067</v>
      </c>
      <c r="C474" s="5" t="s">
        <v>494</v>
      </c>
      <c r="D474" s="5" t="s">
        <v>7813</v>
      </c>
      <c r="E474" s="6">
        <v>17</v>
      </c>
      <c r="F474" s="6">
        <v>17</v>
      </c>
      <c r="G474" s="5">
        <v>311</v>
      </c>
      <c r="H474" s="5">
        <v>313</v>
      </c>
    </row>
    <row r="475" spans="1:8" x14ac:dyDescent="0.25">
      <c r="A475" s="5" t="s">
        <v>10619</v>
      </c>
      <c r="B475" s="5" t="s">
        <v>11</v>
      </c>
      <c r="C475" s="5" t="s">
        <v>686</v>
      </c>
      <c r="D475" s="5" t="s">
        <v>7820</v>
      </c>
      <c r="E475" s="6">
        <v>17</v>
      </c>
      <c r="F475" s="6">
        <v>29</v>
      </c>
      <c r="G475" s="5">
        <v>288</v>
      </c>
      <c r="H475" s="5">
        <v>521</v>
      </c>
    </row>
    <row r="476" spans="1:8" x14ac:dyDescent="0.25">
      <c r="A476" s="5" t="s">
        <v>10620</v>
      </c>
      <c r="B476" s="5" t="s">
        <v>11</v>
      </c>
      <c r="C476" s="5" t="s">
        <v>686</v>
      </c>
      <c r="D476" s="5" t="s">
        <v>7820</v>
      </c>
      <c r="E476" s="6">
        <v>17</v>
      </c>
      <c r="F476" s="6">
        <v>25</v>
      </c>
      <c r="G476" s="5">
        <v>309</v>
      </c>
      <c r="H476" s="5">
        <v>457</v>
      </c>
    </row>
    <row r="477" spans="1:8" x14ac:dyDescent="0.25">
      <c r="A477" s="5" t="s">
        <v>10621</v>
      </c>
      <c r="B477" s="5" t="s">
        <v>11</v>
      </c>
      <c r="C477" s="5" t="s">
        <v>686</v>
      </c>
      <c r="D477" s="5" t="s">
        <v>7820</v>
      </c>
      <c r="E477" s="6">
        <v>22</v>
      </c>
      <c r="F477" s="6">
        <v>21</v>
      </c>
      <c r="G477" s="5">
        <v>387</v>
      </c>
      <c r="H477" s="5">
        <v>371</v>
      </c>
    </row>
    <row r="478" spans="1:8" x14ac:dyDescent="0.25">
      <c r="A478" s="5" t="s">
        <v>10622</v>
      </c>
      <c r="B478" s="5" t="s">
        <v>11</v>
      </c>
      <c r="C478" s="5" t="s">
        <v>686</v>
      </c>
      <c r="D478" s="5" t="s">
        <v>7820</v>
      </c>
      <c r="E478" s="6">
        <v>22</v>
      </c>
      <c r="F478" s="6">
        <v>18</v>
      </c>
      <c r="G478" s="5">
        <v>391</v>
      </c>
      <c r="H478" s="5">
        <v>301</v>
      </c>
    </row>
    <row r="479" spans="1:8" x14ac:dyDescent="0.25">
      <c r="A479" s="5" t="s">
        <v>10623</v>
      </c>
      <c r="B479" s="5" t="s">
        <v>11</v>
      </c>
      <c r="C479" s="5" t="s">
        <v>686</v>
      </c>
      <c r="D479" s="5" t="s">
        <v>7820</v>
      </c>
      <c r="E479" s="6">
        <v>18</v>
      </c>
      <c r="F479" s="6">
        <v>19</v>
      </c>
      <c r="G479" s="5">
        <v>320</v>
      </c>
      <c r="H479" s="5">
        <v>326</v>
      </c>
    </row>
    <row r="480" spans="1:8" x14ac:dyDescent="0.25">
      <c r="A480" s="5" t="s">
        <v>7823</v>
      </c>
      <c r="B480" s="5" t="s">
        <v>11</v>
      </c>
      <c r="C480" s="5" t="s">
        <v>686</v>
      </c>
      <c r="D480" s="5" t="s">
        <v>7820</v>
      </c>
      <c r="E480" s="6">
        <v>11</v>
      </c>
      <c r="F480" s="6">
        <v>17</v>
      </c>
      <c r="G480" s="5">
        <v>191</v>
      </c>
      <c r="H480" s="5">
        <v>303</v>
      </c>
    </row>
    <row r="481" spans="1:8" x14ac:dyDescent="0.25">
      <c r="A481" s="5" t="s">
        <v>7824</v>
      </c>
      <c r="B481" s="5" t="s">
        <v>11</v>
      </c>
      <c r="C481" s="5" t="s">
        <v>686</v>
      </c>
      <c r="D481" s="5" t="s">
        <v>7820</v>
      </c>
      <c r="E481" s="6">
        <v>7</v>
      </c>
      <c r="F481" s="6">
        <v>13</v>
      </c>
      <c r="G481" s="5">
        <v>103</v>
      </c>
      <c r="H481" s="5">
        <v>212</v>
      </c>
    </row>
    <row r="482" spans="1:8" x14ac:dyDescent="0.25">
      <c r="A482" s="5" t="s">
        <v>7825</v>
      </c>
      <c r="B482" s="5" t="s">
        <v>11</v>
      </c>
      <c r="C482" s="5" t="s">
        <v>686</v>
      </c>
      <c r="D482" s="5" t="s">
        <v>7820</v>
      </c>
      <c r="E482" s="6">
        <v>9</v>
      </c>
      <c r="F482" s="6">
        <v>14</v>
      </c>
      <c r="G482" s="5">
        <v>153</v>
      </c>
      <c r="H482" s="5">
        <v>223</v>
      </c>
    </row>
    <row r="483" spans="1:8" x14ac:dyDescent="0.25">
      <c r="A483" s="5" t="s">
        <v>7826</v>
      </c>
      <c r="B483" s="5" t="s">
        <v>11</v>
      </c>
      <c r="C483" s="5" t="s">
        <v>686</v>
      </c>
      <c r="D483" s="5" t="s">
        <v>7820</v>
      </c>
      <c r="E483" s="6">
        <v>15</v>
      </c>
      <c r="F483" s="6">
        <v>12</v>
      </c>
      <c r="G483" s="5">
        <v>258</v>
      </c>
      <c r="H483" s="5">
        <v>208</v>
      </c>
    </row>
    <row r="484" spans="1:8" x14ac:dyDescent="0.25">
      <c r="A484" s="5" t="s">
        <v>7827</v>
      </c>
      <c r="B484" s="5" t="s">
        <v>11</v>
      </c>
      <c r="C484" s="5" t="s">
        <v>686</v>
      </c>
      <c r="D484" s="5" t="s">
        <v>7820</v>
      </c>
      <c r="E484" s="6">
        <v>18</v>
      </c>
      <c r="F484" s="6">
        <v>13</v>
      </c>
      <c r="G484" s="5">
        <v>303</v>
      </c>
      <c r="H484" s="5">
        <v>232</v>
      </c>
    </row>
    <row r="485" spans="1:8" x14ac:dyDescent="0.25">
      <c r="A485" s="5" t="s">
        <v>7828</v>
      </c>
      <c r="B485" s="5" t="s">
        <v>11</v>
      </c>
      <c r="C485" s="5" t="s">
        <v>686</v>
      </c>
      <c r="D485" s="5" t="s">
        <v>7877</v>
      </c>
      <c r="E485" s="6">
        <v>26</v>
      </c>
      <c r="F485" s="6">
        <v>12</v>
      </c>
      <c r="G485" s="5">
        <v>325</v>
      </c>
      <c r="H485" s="5">
        <v>553</v>
      </c>
    </row>
    <row r="486" spans="1:8" x14ac:dyDescent="0.25">
      <c r="A486" s="5" t="s">
        <v>7829</v>
      </c>
      <c r="B486" s="5" t="s">
        <v>11</v>
      </c>
      <c r="C486" s="5" t="s">
        <v>686</v>
      </c>
      <c r="D486" s="5" t="s">
        <v>7877</v>
      </c>
      <c r="E486" s="6">
        <v>28</v>
      </c>
      <c r="F486" s="6">
        <v>8</v>
      </c>
      <c r="G486" s="5">
        <v>408</v>
      </c>
      <c r="H486" s="5">
        <v>500</v>
      </c>
    </row>
    <row r="487" spans="1:8" x14ac:dyDescent="0.25">
      <c r="A487" s="5" t="s">
        <v>7830</v>
      </c>
      <c r="B487" s="5" t="s">
        <v>11</v>
      </c>
      <c r="C487" s="5" t="s">
        <v>686</v>
      </c>
      <c r="D487" s="5" t="s">
        <v>7821</v>
      </c>
      <c r="E487" s="6">
        <v>29</v>
      </c>
      <c r="F487" s="6">
        <v>13</v>
      </c>
      <c r="G487" s="5">
        <v>464</v>
      </c>
      <c r="H487" s="5">
        <v>201</v>
      </c>
    </row>
    <row r="488" spans="1:8" x14ac:dyDescent="0.25">
      <c r="A488" s="5" t="s">
        <v>7831</v>
      </c>
      <c r="B488" s="5" t="s">
        <v>11</v>
      </c>
      <c r="C488" s="5" t="s">
        <v>686</v>
      </c>
      <c r="D488" s="5" t="s">
        <v>7821</v>
      </c>
      <c r="E488" s="6">
        <v>36</v>
      </c>
      <c r="F488" s="6">
        <v>10</v>
      </c>
      <c r="G488" s="5">
        <v>503</v>
      </c>
      <c r="H488" s="5">
        <v>130</v>
      </c>
    </row>
    <row r="489" spans="1:8" x14ac:dyDescent="0.25">
      <c r="A489" s="5" t="s">
        <v>7832</v>
      </c>
      <c r="B489" s="5" t="s">
        <v>11</v>
      </c>
      <c r="C489" s="5" t="s">
        <v>686</v>
      </c>
      <c r="D489" s="5" t="s">
        <v>7821</v>
      </c>
      <c r="E489" s="6">
        <v>36</v>
      </c>
      <c r="F489" s="6">
        <v>13</v>
      </c>
      <c r="G489" s="5">
        <v>641</v>
      </c>
      <c r="H489" s="5">
        <v>157</v>
      </c>
    </row>
    <row r="490" spans="1:8" x14ac:dyDescent="0.25">
      <c r="A490" s="5" t="s">
        <v>7833</v>
      </c>
      <c r="B490" s="5" t="s">
        <v>11</v>
      </c>
      <c r="C490" s="5" t="s">
        <v>686</v>
      </c>
      <c r="D490" s="5" t="s">
        <v>7821</v>
      </c>
      <c r="E490" s="6">
        <v>29</v>
      </c>
      <c r="F490" s="6">
        <v>13</v>
      </c>
      <c r="G490" s="5">
        <v>656</v>
      </c>
      <c r="H490" s="5">
        <v>218</v>
      </c>
    </row>
    <row r="491" spans="1:8" x14ac:dyDescent="0.25">
      <c r="A491" s="5" t="s">
        <v>7834</v>
      </c>
      <c r="B491" s="5" t="s">
        <v>11</v>
      </c>
      <c r="C491" s="5" t="s">
        <v>686</v>
      </c>
      <c r="D491" s="5" t="s">
        <v>7821</v>
      </c>
      <c r="E491" s="6">
        <v>28</v>
      </c>
      <c r="F491" s="6">
        <v>16</v>
      </c>
      <c r="G491" s="5">
        <v>518</v>
      </c>
      <c r="H491" s="5">
        <v>218</v>
      </c>
    </row>
    <row r="492" spans="1:8" x14ac:dyDescent="0.25">
      <c r="A492" s="5" t="s">
        <v>7835</v>
      </c>
      <c r="B492" s="5" t="s">
        <v>11</v>
      </c>
      <c r="C492" s="5" t="s">
        <v>686</v>
      </c>
      <c r="D492" s="5" t="s">
        <v>7821</v>
      </c>
      <c r="E492" s="6">
        <v>32</v>
      </c>
      <c r="F492" s="6">
        <v>18</v>
      </c>
      <c r="G492" s="5">
        <v>490</v>
      </c>
      <c r="H492" s="5">
        <v>276</v>
      </c>
    </row>
    <row r="493" spans="1:8" x14ac:dyDescent="0.25">
      <c r="A493" s="5" t="s">
        <v>7836</v>
      </c>
      <c r="B493" s="5" t="s">
        <v>11</v>
      </c>
      <c r="C493" s="5" t="s">
        <v>686</v>
      </c>
      <c r="D493" s="5" t="s">
        <v>7821</v>
      </c>
      <c r="E493" s="6">
        <v>34</v>
      </c>
      <c r="F493" s="6">
        <v>21</v>
      </c>
      <c r="G493" s="5">
        <v>574</v>
      </c>
      <c r="H493" s="5">
        <v>308</v>
      </c>
    </row>
    <row r="494" spans="1:8" x14ac:dyDescent="0.25">
      <c r="A494" s="5" t="s">
        <v>7837</v>
      </c>
      <c r="B494" s="5" t="s">
        <v>11</v>
      </c>
      <c r="C494" s="5" t="s">
        <v>686</v>
      </c>
      <c r="D494" s="5" t="s">
        <v>7821</v>
      </c>
      <c r="E494" s="6">
        <v>28</v>
      </c>
      <c r="F494" s="6">
        <v>22</v>
      </c>
      <c r="G494" s="5">
        <v>613</v>
      </c>
      <c r="H494" s="5">
        <v>368</v>
      </c>
    </row>
    <row r="495" spans="1:8" x14ac:dyDescent="0.25">
      <c r="A495" s="5" t="s">
        <v>7838</v>
      </c>
      <c r="B495" s="5" t="s">
        <v>11</v>
      </c>
      <c r="C495" s="5" t="s">
        <v>686</v>
      </c>
      <c r="D495" s="5" t="s">
        <v>8000</v>
      </c>
      <c r="E495" s="6">
        <v>31</v>
      </c>
      <c r="F495" s="6">
        <v>27</v>
      </c>
      <c r="G495" s="5">
        <v>495</v>
      </c>
      <c r="H495" s="5">
        <v>385</v>
      </c>
    </row>
    <row r="496" spans="1:8" x14ac:dyDescent="0.25">
      <c r="A496" s="5" t="s">
        <v>7839</v>
      </c>
      <c r="B496" s="5" t="s">
        <v>11</v>
      </c>
      <c r="C496" s="5" t="s">
        <v>686</v>
      </c>
      <c r="D496" s="5" t="s">
        <v>8000</v>
      </c>
      <c r="E496" s="6">
        <v>19</v>
      </c>
      <c r="F496" s="6">
        <v>31</v>
      </c>
      <c r="G496" s="5">
        <v>531</v>
      </c>
      <c r="H496" s="5">
        <v>481</v>
      </c>
    </row>
    <row r="497" spans="1:8" x14ac:dyDescent="0.25">
      <c r="A497" s="5" t="s">
        <v>7840</v>
      </c>
      <c r="B497" s="5" t="s">
        <v>11</v>
      </c>
      <c r="C497" s="5" t="s">
        <v>686</v>
      </c>
      <c r="D497" s="5" t="s">
        <v>8000</v>
      </c>
      <c r="E497" s="6">
        <v>23</v>
      </c>
      <c r="F497" s="6">
        <v>28</v>
      </c>
      <c r="G497" s="5">
        <v>433</v>
      </c>
      <c r="H497" s="5">
        <v>575</v>
      </c>
    </row>
    <row r="498" spans="1:8" x14ac:dyDescent="0.25">
      <c r="A498" s="5" t="s">
        <v>7841</v>
      </c>
      <c r="B498" s="5" t="s">
        <v>11</v>
      </c>
      <c r="C498" s="5" t="s">
        <v>956</v>
      </c>
      <c r="D498" s="5" t="s">
        <v>7820</v>
      </c>
      <c r="E498" s="6">
        <v>25</v>
      </c>
      <c r="F498" s="6">
        <v>32</v>
      </c>
      <c r="G498" s="5">
        <v>444</v>
      </c>
      <c r="H498" s="5">
        <v>580</v>
      </c>
    </row>
    <row r="499" spans="1:8" x14ac:dyDescent="0.25">
      <c r="A499" s="5" t="s">
        <v>7842</v>
      </c>
      <c r="B499" s="5" t="s">
        <v>11</v>
      </c>
      <c r="C499" s="5" t="s">
        <v>956</v>
      </c>
      <c r="D499" s="5" t="s">
        <v>7820</v>
      </c>
      <c r="E499" s="6">
        <v>28</v>
      </c>
      <c r="F499" s="6">
        <v>31</v>
      </c>
      <c r="G499" s="5">
        <v>495</v>
      </c>
      <c r="H499" s="5">
        <v>553</v>
      </c>
    </row>
    <row r="500" spans="1:8" x14ac:dyDescent="0.25">
      <c r="A500" s="5" t="s">
        <v>7843</v>
      </c>
      <c r="B500" s="5" t="s">
        <v>11</v>
      </c>
      <c r="C500" s="5" t="s">
        <v>956</v>
      </c>
      <c r="D500" s="5" t="s">
        <v>7811</v>
      </c>
      <c r="E500" s="6">
        <v>27</v>
      </c>
      <c r="F500" s="6">
        <v>37</v>
      </c>
      <c r="G500" s="5">
        <v>478</v>
      </c>
      <c r="H500" s="5">
        <v>663</v>
      </c>
    </row>
    <row r="501" spans="1:8" x14ac:dyDescent="0.25">
      <c r="A501" s="5" t="s">
        <v>7844</v>
      </c>
      <c r="B501" s="5" t="s">
        <v>11</v>
      </c>
      <c r="C501" s="5" t="s">
        <v>956</v>
      </c>
      <c r="D501" s="7" t="s">
        <v>7820</v>
      </c>
      <c r="E501" s="6">
        <v>18</v>
      </c>
      <c r="F501" s="6">
        <v>38</v>
      </c>
      <c r="G501" s="5">
        <v>318</v>
      </c>
      <c r="H501" s="5">
        <v>698</v>
      </c>
    </row>
    <row r="502" spans="1:8" x14ac:dyDescent="0.25">
      <c r="A502" s="5" t="s">
        <v>7845</v>
      </c>
      <c r="B502" s="5" t="s">
        <v>11</v>
      </c>
      <c r="C502" s="5" t="s">
        <v>956</v>
      </c>
      <c r="D502" s="7" t="s">
        <v>7820</v>
      </c>
      <c r="E502" s="6">
        <v>10</v>
      </c>
      <c r="F502" s="6">
        <v>35</v>
      </c>
      <c r="G502" s="5">
        <v>174</v>
      </c>
      <c r="H502" s="5">
        <v>627</v>
      </c>
    </row>
    <row r="503" spans="1:8" x14ac:dyDescent="0.25">
      <c r="A503" s="5" t="s">
        <v>7846</v>
      </c>
      <c r="B503" s="5" t="s">
        <v>11</v>
      </c>
      <c r="C503" s="5" t="s">
        <v>956</v>
      </c>
      <c r="D503" s="7" t="s">
        <v>7820</v>
      </c>
      <c r="E503" s="6">
        <v>17</v>
      </c>
      <c r="F503" s="6">
        <v>35</v>
      </c>
      <c r="G503" s="5">
        <v>296</v>
      </c>
      <c r="H503" s="5">
        <v>646</v>
      </c>
    </row>
    <row r="504" spans="1:8" x14ac:dyDescent="0.25">
      <c r="A504" s="5" t="s">
        <v>7849</v>
      </c>
      <c r="B504" s="5" t="s">
        <v>11</v>
      </c>
      <c r="C504" s="5" t="s">
        <v>956</v>
      </c>
      <c r="D504" s="7" t="s">
        <v>7820</v>
      </c>
      <c r="E504" s="6">
        <v>21</v>
      </c>
      <c r="F504" s="6">
        <v>34</v>
      </c>
      <c r="G504" s="5">
        <v>374</v>
      </c>
      <c r="H504" s="5">
        <v>609</v>
      </c>
    </row>
    <row r="505" spans="1:8" x14ac:dyDescent="0.25">
      <c r="A505" s="5" t="s">
        <v>7850</v>
      </c>
      <c r="B505" s="5" t="s">
        <v>11</v>
      </c>
      <c r="C505" s="5" t="s">
        <v>956</v>
      </c>
      <c r="D505" s="7" t="s">
        <v>7820</v>
      </c>
      <c r="E505" s="6">
        <v>12</v>
      </c>
      <c r="F505" s="6">
        <v>27</v>
      </c>
      <c r="G505" s="5">
        <v>207</v>
      </c>
      <c r="H505" s="5">
        <v>500</v>
      </c>
    </row>
    <row r="506" spans="1:8" x14ac:dyDescent="0.25">
      <c r="A506" s="5" t="s">
        <v>7851</v>
      </c>
      <c r="B506" s="5" t="s">
        <v>11</v>
      </c>
      <c r="C506" s="5" t="s">
        <v>956</v>
      </c>
      <c r="D506" s="7" t="s">
        <v>7820</v>
      </c>
      <c r="E506" s="6">
        <v>14</v>
      </c>
      <c r="F506" s="6">
        <v>31</v>
      </c>
      <c r="G506" s="5">
        <v>248</v>
      </c>
      <c r="H506" s="5">
        <v>563</v>
      </c>
    </row>
    <row r="507" spans="1:8" x14ac:dyDescent="0.25">
      <c r="A507" s="5" t="s">
        <v>7852</v>
      </c>
      <c r="B507" s="5" t="s">
        <v>11</v>
      </c>
      <c r="C507" s="5" t="s">
        <v>956</v>
      </c>
      <c r="D507" s="7" t="s">
        <v>7820</v>
      </c>
      <c r="E507" s="6">
        <v>20</v>
      </c>
      <c r="F507" s="6">
        <v>30</v>
      </c>
      <c r="G507" s="5">
        <v>357</v>
      </c>
      <c r="H507" s="5">
        <v>545</v>
      </c>
    </row>
    <row r="508" spans="1:8" x14ac:dyDescent="0.25">
      <c r="A508" s="5" t="s">
        <v>7853</v>
      </c>
      <c r="B508" s="5" t="s">
        <v>11</v>
      </c>
      <c r="C508" s="5" t="s">
        <v>956</v>
      </c>
      <c r="D508" s="5" t="s">
        <v>7847</v>
      </c>
      <c r="E508" s="6">
        <v>35</v>
      </c>
      <c r="F508" s="6">
        <v>28</v>
      </c>
      <c r="G508" s="5">
        <v>620</v>
      </c>
      <c r="H508" s="5">
        <v>511</v>
      </c>
    </row>
    <row r="509" spans="1:8" x14ac:dyDescent="0.25">
      <c r="A509" s="5" t="s">
        <v>7854</v>
      </c>
      <c r="B509" s="5" t="s">
        <v>11</v>
      </c>
      <c r="C509" s="5" t="s">
        <v>956</v>
      </c>
      <c r="D509" s="5" t="s">
        <v>7847</v>
      </c>
      <c r="E509" s="6">
        <v>39</v>
      </c>
      <c r="F509" s="6">
        <v>25</v>
      </c>
      <c r="G509" s="5">
        <v>695</v>
      </c>
      <c r="H509" s="5">
        <v>453</v>
      </c>
    </row>
    <row r="510" spans="1:8" x14ac:dyDescent="0.25">
      <c r="A510" s="5" t="s">
        <v>7855</v>
      </c>
      <c r="B510" s="5" t="s">
        <v>11</v>
      </c>
      <c r="C510" s="5" t="s">
        <v>956</v>
      </c>
      <c r="D510" s="5" t="s">
        <v>7821</v>
      </c>
      <c r="E510" s="6">
        <v>26</v>
      </c>
      <c r="F510" s="6">
        <v>25</v>
      </c>
      <c r="G510" s="5">
        <v>460</v>
      </c>
      <c r="H510" s="5">
        <v>444</v>
      </c>
    </row>
    <row r="511" spans="1:8" x14ac:dyDescent="0.25">
      <c r="A511" s="5" t="s">
        <v>7856</v>
      </c>
      <c r="B511" s="5" t="s">
        <v>11</v>
      </c>
      <c r="C511" s="5" t="s">
        <v>956</v>
      </c>
      <c r="D511" s="5" t="s">
        <v>7821</v>
      </c>
      <c r="E511" s="6">
        <v>29</v>
      </c>
      <c r="F511" s="6">
        <v>21</v>
      </c>
      <c r="G511" s="5">
        <v>519</v>
      </c>
      <c r="H511" s="5">
        <v>389</v>
      </c>
    </row>
    <row r="512" spans="1:8" x14ac:dyDescent="0.25">
      <c r="A512" s="5" t="s">
        <v>7857</v>
      </c>
      <c r="B512" s="5" t="s">
        <v>11</v>
      </c>
      <c r="C512" s="5" t="s">
        <v>956</v>
      </c>
      <c r="D512" s="5" t="s">
        <v>7821</v>
      </c>
      <c r="E512" s="6">
        <v>21</v>
      </c>
      <c r="F512" s="6">
        <v>20</v>
      </c>
      <c r="G512" s="5">
        <v>383</v>
      </c>
      <c r="H512" s="5">
        <v>349</v>
      </c>
    </row>
    <row r="513" spans="1:8" x14ac:dyDescent="0.25">
      <c r="A513" s="5" t="s">
        <v>7858</v>
      </c>
      <c r="B513" s="5" t="s">
        <v>11</v>
      </c>
      <c r="C513" s="5" t="s">
        <v>956</v>
      </c>
      <c r="D513" s="5" t="s">
        <v>7847</v>
      </c>
      <c r="E513" s="6">
        <v>32</v>
      </c>
      <c r="F513" s="6">
        <v>18</v>
      </c>
      <c r="G513" s="5">
        <v>574</v>
      </c>
      <c r="H513" s="5">
        <v>326</v>
      </c>
    </row>
    <row r="514" spans="1:8" x14ac:dyDescent="0.25">
      <c r="A514" s="5" t="s">
        <v>7859</v>
      </c>
      <c r="B514" s="5" t="s">
        <v>11</v>
      </c>
      <c r="C514" s="5" t="s">
        <v>956</v>
      </c>
      <c r="D514" s="5" t="s">
        <v>7847</v>
      </c>
      <c r="E514" s="6">
        <v>35</v>
      </c>
      <c r="F514" s="6">
        <v>14</v>
      </c>
      <c r="G514" s="5">
        <v>630</v>
      </c>
      <c r="H514" s="5">
        <v>245</v>
      </c>
    </row>
    <row r="515" spans="1:8" x14ac:dyDescent="0.25">
      <c r="A515" s="5" t="s">
        <v>7860</v>
      </c>
      <c r="B515" s="5" t="s">
        <v>11</v>
      </c>
      <c r="C515" s="5" t="s">
        <v>956</v>
      </c>
      <c r="D515" s="5" t="s">
        <v>7821</v>
      </c>
      <c r="E515" s="6">
        <v>34</v>
      </c>
      <c r="F515" s="6">
        <v>8</v>
      </c>
      <c r="G515" s="5">
        <v>608</v>
      </c>
      <c r="H515" s="5">
        <v>131</v>
      </c>
    </row>
    <row r="516" spans="1:8" x14ac:dyDescent="0.25">
      <c r="A516" s="5" t="s">
        <v>7861</v>
      </c>
      <c r="B516" s="5" t="s">
        <v>11</v>
      </c>
      <c r="C516" s="5" t="s">
        <v>956</v>
      </c>
      <c r="D516" s="5" t="s">
        <v>7821</v>
      </c>
      <c r="E516" s="6">
        <v>27</v>
      </c>
      <c r="F516" s="6">
        <v>7</v>
      </c>
      <c r="G516" s="5">
        <v>472</v>
      </c>
      <c r="H516" s="5">
        <v>122</v>
      </c>
    </row>
    <row r="517" spans="1:8" x14ac:dyDescent="0.25">
      <c r="A517" s="5" t="s">
        <v>7862</v>
      </c>
      <c r="B517" s="5" t="s">
        <v>11</v>
      </c>
      <c r="C517" s="5" t="s">
        <v>956</v>
      </c>
      <c r="D517" s="5" t="s">
        <v>7822</v>
      </c>
      <c r="E517" s="6">
        <v>14</v>
      </c>
      <c r="F517" s="6">
        <v>14</v>
      </c>
      <c r="G517" s="5">
        <v>229</v>
      </c>
      <c r="H517" s="5">
        <v>250</v>
      </c>
    </row>
    <row r="518" spans="1:8" x14ac:dyDescent="0.25">
      <c r="A518" s="5" t="s">
        <v>7863</v>
      </c>
      <c r="B518" s="5" t="s">
        <v>11</v>
      </c>
      <c r="C518" s="5" t="s">
        <v>956</v>
      </c>
      <c r="D518" s="5" t="s">
        <v>7822</v>
      </c>
      <c r="E518" s="6">
        <v>17</v>
      </c>
      <c r="F518" s="6">
        <v>11</v>
      </c>
      <c r="G518" s="5">
        <v>290</v>
      </c>
      <c r="H518" s="5">
        <v>185</v>
      </c>
    </row>
    <row r="519" spans="1:8" x14ac:dyDescent="0.25">
      <c r="A519" s="5" t="s">
        <v>7864</v>
      </c>
      <c r="B519" s="5" t="s">
        <v>11</v>
      </c>
      <c r="C519" s="5" t="s">
        <v>831</v>
      </c>
      <c r="D519" s="5" t="s">
        <v>7820</v>
      </c>
      <c r="E519" s="6">
        <v>32</v>
      </c>
      <c r="F519" s="6">
        <v>33</v>
      </c>
      <c r="G519" s="5">
        <v>576</v>
      </c>
      <c r="H519" s="5">
        <v>586</v>
      </c>
    </row>
    <row r="520" spans="1:8" x14ac:dyDescent="0.25">
      <c r="A520" s="5" t="s">
        <v>7865</v>
      </c>
      <c r="B520" s="5" t="s">
        <v>11</v>
      </c>
      <c r="C520" s="5" t="s">
        <v>831</v>
      </c>
      <c r="D520" s="5" t="s">
        <v>7820</v>
      </c>
      <c r="E520" s="6">
        <v>36</v>
      </c>
      <c r="F520" s="6">
        <v>29</v>
      </c>
      <c r="G520" s="5">
        <v>648</v>
      </c>
      <c r="H520" s="5">
        <v>521</v>
      </c>
    </row>
    <row r="521" spans="1:8" x14ac:dyDescent="0.25">
      <c r="A521" s="5" t="s">
        <v>7866</v>
      </c>
      <c r="B521" s="5" t="s">
        <v>11</v>
      </c>
      <c r="C521" s="5" t="s">
        <v>831</v>
      </c>
      <c r="D521" s="5" t="s">
        <v>7820</v>
      </c>
      <c r="E521" s="6">
        <v>37</v>
      </c>
      <c r="F521" s="6">
        <v>26</v>
      </c>
      <c r="G521" s="5">
        <v>669</v>
      </c>
      <c r="H521" s="5">
        <v>465</v>
      </c>
    </row>
    <row r="522" spans="1:8" x14ac:dyDescent="0.25">
      <c r="A522" s="5" t="s">
        <v>7867</v>
      </c>
      <c r="B522" s="5" t="s">
        <v>11</v>
      </c>
      <c r="C522" s="5" t="s">
        <v>831</v>
      </c>
      <c r="D522" s="5" t="s">
        <v>7874</v>
      </c>
      <c r="E522" s="6">
        <v>34</v>
      </c>
      <c r="F522" s="6">
        <v>20</v>
      </c>
      <c r="G522" s="5">
        <v>604</v>
      </c>
      <c r="H522" s="5">
        <v>362</v>
      </c>
    </row>
    <row r="523" spans="1:8" x14ac:dyDescent="0.25">
      <c r="A523" s="5" t="s">
        <v>7868</v>
      </c>
      <c r="B523" s="5" t="s">
        <v>11</v>
      </c>
      <c r="C523" s="5" t="s">
        <v>831</v>
      </c>
      <c r="D523" s="5" t="s">
        <v>7820</v>
      </c>
      <c r="E523" s="6">
        <v>23</v>
      </c>
      <c r="F523" s="6">
        <v>31</v>
      </c>
      <c r="G523" s="5">
        <v>407</v>
      </c>
      <c r="H523" s="5">
        <v>561</v>
      </c>
    </row>
    <row r="524" spans="1:8" x14ac:dyDescent="0.25">
      <c r="A524" s="5" t="s">
        <v>7869</v>
      </c>
      <c r="B524" s="5" t="s">
        <v>11</v>
      </c>
      <c r="C524" s="5" t="s">
        <v>831</v>
      </c>
      <c r="D524" s="5" t="s">
        <v>7816</v>
      </c>
      <c r="E524" s="6">
        <v>27</v>
      </c>
      <c r="F524" s="6">
        <v>27</v>
      </c>
      <c r="G524" s="5">
        <v>466</v>
      </c>
      <c r="H524" s="5">
        <v>495</v>
      </c>
    </row>
    <row r="525" spans="1:8" x14ac:dyDescent="0.25">
      <c r="A525" s="5" t="s">
        <v>7870</v>
      </c>
      <c r="B525" s="5" t="s">
        <v>11</v>
      </c>
      <c r="C525" s="5" t="s">
        <v>831</v>
      </c>
      <c r="D525" s="5" t="s">
        <v>7816</v>
      </c>
      <c r="E525" s="6">
        <v>25</v>
      </c>
      <c r="F525" s="6">
        <v>20</v>
      </c>
      <c r="G525" s="5">
        <v>441</v>
      </c>
      <c r="H525" s="5">
        <v>363</v>
      </c>
    </row>
    <row r="526" spans="1:8" x14ac:dyDescent="0.25">
      <c r="A526" s="5" t="s">
        <v>7871</v>
      </c>
      <c r="B526" s="5" t="s">
        <v>11</v>
      </c>
      <c r="C526" s="5" t="s">
        <v>831</v>
      </c>
      <c r="D526" s="5" t="s">
        <v>7874</v>
      </c>
      <c r="E526" s="6">
        <v>28</v>
      </c>
      <c r="F526" s="6">
        <v>20</v>
      </c>
      <c r="G526" s="5">
        <v>507</v>
      </c>
      <c r="H526" s="5">
        <v>356</v>
      </c>
    </row>
    <row r="527" spans="1:8" x14ac:dyDescent="0.25">
      <c r="A527" s="5" t="s">
        <v>7872</v>
      </c>
      <c r="B527" s="5" t="s">
        <v>11</v>
      </c>
      <c r="C527" s="5" t="s">
        <v>831</v>
      </c>
      <c r="D527" s="5" t="s">
        <v>7874</v>
      </c>
      <c r="E527" s="6">
        <v>26</v>
      </c>
      <c r="F527" s="6">
        <v>8</v>
      </c>
      <c r="G527" s="5">
        <v>452</v>
      </c>
      <c r="H527" s="5">
        <v>140</v>
      </c>
    </row>
    <row r="528" spans="1:8" x14ac:dyDescent="0.25">
      <c r="A528" s="5" t="s">
        <v>7873</v>
      </c>
      <c r="B528" s="5" t="s">
        <v>11</v>
      </c>
      <c r="C528" s="5" t="s">
        <v>831</v>
      </c>
      <c r="D528" s="5" t="s">
        <v>7874</v>
      </c>
      <c r="E528" s="6">
        <v>29</v>
      </c>
      <c r="F528" s="6">
        <v>11</v>
      </c>
      <c r="G528" s="5">
        <v>500</v>
      </c>
      <c r="H528" s="5">
        <v>173</v>
      </c>
    </row>
    <row r="529" spans="1:8" x14ac:dyDescent="0.25">
      <c r="A529" s="5" t="s">
        <v>7878</v>
      </c>
      <c r="B529" s="5" t="s">
        <v>11</v>
      </c>
      <c r="C529" s="5" t="s">
        <v>831</v>
      </c>
      <c r="D529" s="5" t="s">
        <v>7875</v>
      </c>
      <c r="E529" s="6">
        <v>7</v>
      </c>
      <c r="F529" s="6">
        <v>35</v>
      </c>
      <c r="G529" s="5">
        <v>105</v>
      </c>
      <c r="H529" s="5">
        <v>643</v>
      </c>
    </row>
    <row r="530" spans="1:8" x14ac:dyDescent="0.25">
      <c r="A530" s="5" t="s">
        <v>7879</v>
      </c>
      <c r="B530" s="5" t="s">
        <v>11</v>
      </c>
      <c r="C530" s="5" t="s">
        <v>831</v>
      </c>
      <c r="D530" s="5" t="s">
        <v>7875</v>
      </c>
      <c r="E530" s="6">
        <v>10</v>
      </c>
      <c r="F530" s="6">
        <v>38</v>
      </c>
      <c r="G530" s="5">
        <v>178</v>
      </c>
      <c r="H530" s="5">
        <v>693</v>
      </c>
    </row>
    <row r="531" spans="1:8" x14ac:dyDescent="0.25">
      <c r="A531" s="5" t="s">
        <v>7880</v>
      </c>
      <c r="B531" s="5" t="s">
        <v>11</v>
      </c>
      <c r="C531" s="5" t="s">
        <v>831</v>
      </c>
      <c r="D531" s="5" t="s">
        <v>7821</v>
      </c>
      <c r="E531" s="6">
        <v>17</v>
      </c>
      <c r="F531" s="6">
        <v>27</v>
      </c>
      <c r="G531" s="5">
        <v>293</v>
      </c>
      <c r="H531" s="5">
        <v>493</v>
      </c>
    </row>
    <row r="532" spans="1:8" x14ac:dyDescent="0.25">
      <c r="A532" s="5" t="s">
        <v>7881</v>
      </c>
      <c r="B532" s="5" t="s">
        <v>11</v>
      </c>
      <c r="C532" s="5" t="s">
        <v>831</v>
      </c>
      <c r="D532" s="5" t="s">
        <v>7819</v>
      </c>
      <c r="E532" s="6">
        <v>16</v>
      </c>
      <c r="F532" s="6">
        <v>30</v>
      </c>
      <c r="G532" s="5">
        <v>274</v>
      </c>
      <c r="H532" s="5">
        <v>545</v>
      </c>
    </row>
    <row r="533" spans="1:8" x14ac:dyDescent="0.25">
      <c r="A533" s="5" t="s">
        <v>7882</v>
      </c>
      <c r="B533" s="5" t="s">
        <v>11</v>
      </c>
      <c r="C533" s="5" t="s">
        <v>831</v>
      </c>
      <c r="D533" s="5" t="s">
        <v>7819</v>
      </c>
      <c r="E533" s="6">
        <v>14</v>
      </c>
      <c r="F533" s="6">
        <v>23</v>
      </c>
      <c r="G533" s="5">
        <v>239</v>
      </c>
      <c r="H533" s="5">
        <v>410</v>
      </c>
    </row>
    <row r="534" spans="1:8" x14ac:dyDescent="0.25">
      <c r="A534" s="5" t="s">
        <v>7883</v>
      </c>
      <c r="B534" s="5" t="s">
        <v>11</v>
      </c>
      <c r="C534" s="5" t="s">
        <v>831</v>
      </c>
      <c r="D534" s="5" t="s">
        <v>7819</v>
      </c>
      <c r="E534" s="6">
        <v>17</v>
      </c>
      <c r="F534" s="6">
        <v>24</v>
      </c>
      <c r="G534" s="5">
        <v>322</v>
      </c>
      <c r="H534" s="5">
        <v>432</v>
      </c>
    </row>
    <row r="535" spans="1:8" x14ac:dyDescent="0.25">
      <c r="A535" s="5" t="s">
        <v>7884</v>
      </c>
      <c r="B535" s="5" t="s">
        <v>11</v>
      </c>
      <c r="C535" s="5" t="s">
        <v>831</v>
      </c>
      <c r="D535" s="5" t="s">
        <v>7819</v>
      </c>
      <c r="E535" s="6">
        <v>12</v>
      </c>
      <c r="F535" s="6">
        <v>20</v>
      </c>
      <c r="G535" s="5">
        <v>202</v>
      </c>
      <c r="H535" s="5">
        <v>356</v>
      </c>
    </row>
    <row r="536" spans="1:8" x14ac:dyDescent="0.25">
      <c r="A536" s="5" t="s">
        <v>7885</v>
      </c>
      <c r="B536" s="5" t="s">
        <v>11</v>
      </c>
      <c r="C536" s="5" t="s">
        <v>831</v>
      </c>
      <c r="D536" s="5" t="s">
        <v>7875</v>
      </c>
      <c r="E536" s="6">
        <v>7</v>
      </c>
      <c r="F536" s="6">
        <v>20</v>
      </c>
      <c r="G536" s="5">
        <v>107</v>
      </c>
      <c r="H536" s="5">
        <v>357</v>
      </c>
    </row>
    <row r="537" spans="1:8" x14ac:dyDescent="0.25">
      <c r="A537" s="5" t="s">
        <v>7886</v>
      </c>
      <c r="B537" s="5" t="s">
        <v>11</v>
      </c>
      <c r="C537" s="5" t="s">
        <v>831</v>
      </c>
      <c r="D537" s="5" t="s">
        <v>7821</v>
      </c>
      <c r="E537" s="6">
        <v>8</v>
      </c>
      <c r="F537" s="6">
        <v>15</v>
      </c>
      <c r="G537" s="5">
        <v>119</v>
      </c>
      <c r="H537" s="5">
        <v>266</v>
      </c>
    </row>
    <row r="538" spans="1:8" x14ac:dyDescent="0.25">
      <c r="A538" s="5" t="s">
        <v>7887</v>
      </c>
      <c r="B538" s="5" t="s">
        <v>11</v>
      </c>
      <c r="C538" s="5" t="s">
        <v>831</v>
      </c>
      <c r="D538" s="5" t="s">
        <v>7821</v>
      </c>
      <c r="E538" s="6">
        <v>8</v>
      </c>
      <c r="F538" s="6">
        <v>11</v>
      </c>
      <c r="G538" s="5">
        <v>112</v>
      </c>
      <c r="H538" s="5">
        <v>200</v>
      </c>
    </row>
    <row r="539" spans="1:8" x14ac:dyDescent="0.25">
      <c r="A539" s="5" t="s">
        <v>7888</v>
      </c>
      <c r="B539" s="5" t="s">
        <v>11</v>
      </c>
      <c r="C539" s="5" t="s">
        <v>831</v>
      </c>
      <c r="D539" s="5" t="s">
        <v>7875</v>
      </c>
      <c r="E539" s="6">
        <v>10</v>
      </c>
      <c r="F539" s="6">
        <v>9</v>
      </c>
      <c r="G539" s="5">
        <v>155</v>
      </c>
      <c r="H539" s="5">
        <v>145</v>
      </c>
    </row>
    <row r="540" spans="1:8" x14ac:dyDescent="0.25">
      <c r="A540" s="5" t="s">
        <v>7889</v>
      </c>
      <c r="B540" s="5" t="s">
        <v>11</v>
      </c>
      <c r="C540" s="5" t="s">
        <v>831</v>
      </c>
      <c r="D540" s="5" t="s">
        <v>7819</v>
      </c>
      <c r="E540" s="6">
        <v>15</v>
      </c>
      <c r="F540" s="6">
        <v>14</v>
      </c>
      <c r="G540" s="5">
        <v>267</v>
      </c>
      <c r="H540" s="5">
        <v>249</v>
      </c>
    </row>
    <row r="541" spans="1:8" x14ac:dyDescent="0.25">
      <c r="A541" s="5" t="s">
        <v>7890</v>
      </c>
      <c r="B541" s="5" t="s">
        <v>11</v>
      </c>
      <c r="C541" s="5" t="s">
        <v>666</v>
      </c>
      <c r="D541" s="5" t="s">
        <v>7820</v>
      </c>
      <c r="E541" s="6">
        <v>15</v>
      </c>
      <c r="F541" s="6">
        <v>24</v>
      </c>
      <c r="G541" s="5">
        <v>253</v>
      </c>
      <c r="H541" s="5">
        <v>418</v>
      </c>
    </row>
    <row r="542" spans="1:8" x14ac:dyDescent="0.25">
      <c r="A542" s="5" t="s">
        <v>7891</v>
      </c>
      <c r="B542" s="5" t="s">
        <v>11</v>
      </c>
      <c r="C542" s="5" t="s">
        <v>666</v>
      </c>
      <c r="D542" s="5" t="s">
        <v>7820</v>
      </c>
      <c r="E542" s="6">
        <v>21</v>
      </c>
      <c r="F542" s="6">
        <v>21</v>
      </c>
      <c r="G542" s="5">
        <v>366</v>
      </c>
      <c r="H542" s="5">
        <v>375</v>
      </c>
    </row>
    <row r="543" spans="1:8" x14ac:dyDescent="0.25">
      <c r="A543" s="5" t="s">
        <v>7892</v>
      </c>
      <c r="B543" s="5" t="s">
        <v>11</v>
      </c>
      <c r="C543" s="5" t="s">
        <v>666</v>
      </c>
      <c r="D543" s="5" t="s">
        <v>7820</v>
      </c>
      <c r="E543" s="6">
        <v>25</v>
      </c>
      <c r="F543" s="6">
        <v>25</v>
      </c>
      <c r="G543" s="5">
        <v>446</v>
      </c>
      <c r="H543" s="5">
        <v>445</v>
      </c>
    </row>
    <row r="544" spans="1:8" x14ac:dyDescent="0.25">
      <c r="A544" s="5" t="s">
        <v>7893</v>
      </c>
      <c r="B544" s="5" t="s">
        <v>11</v>
      </c>
      <c r="C544" s="5" t="s">
        <v>666</v>
      </c>
      <c r="D544" s="5" t="s">
        <v>7816</v>
      </c>
      <c r="E544" s="6">
        <v>32</v>
      </c>
      <c r="F544" s="6">
        <v>19</v>
      </c>
      <c r="G544" s="5">
        <v>568</v>
      </c>
      <c r="H544" s="5">
        <v>333</v>
      </c>
    </row>
    <row r="545" spans="1:8" x14ac:dyDescent="0.25">
      <c r="A545" s="5" t="s">
        <v>7894</v>
      </c>
      <c r="B545" s="5" t="s">
        <v>11</v>
      </c>
      <c r="C545" s="5" t="s">
        <v>666</v>
      </c>
      <c r="D545" s="5" t="s">
        <v>7874</v>
      </c>
      <c r="E545" s="6">
        <v>36</v>
      </c>
      <c r="F545" s="6">
        <v>39</v>
      </c>
      <c r="G545" s="5">
        <v>646</v>
      </c>
      <c r="H545" s="5">
        <v>697</v>
      </c>
    </row>
    <row r="546" spans="1:8" x14ac:dyDescent="0.25">
      <c r="A546" s="5" t="s">
        <v>7895</v>
      </c>
      <c r="B546" s="5" t="s">
        <v>11</v>
      </c>
      <c r="C546" s="5" t="s">
        <v>666</v>
      </c>
      <c r="D546" s="5" t="s">
        <v>7820</v>
      </c>
      <c r="E546" s="6">
        <v>34</v>
      </c>
      <c r="F546" s="6">
        <v>31</v>
      </c>
      <c r="G546" s="5">
        <v>610</v>
      </c>
      <c r="H546" s="5">
        <v>557</v>
      </c>
    </row>
    <row r="547" spans="1:8" x14ac:dyDescent="0.25">
      <c r="A547" s="5" t="s">
        <v>7896</v>
      </c>
      <c r="B547" s="5" t="s">
        <v>11</v>
      </c>
      <c r="C547" s="5" t="s">
        <v>666</v>
      </c>
      <c r="D547" s="5" t="s">
        <v>7820</v>
      </c>
      <c r="E547" s="6">
        <v>37</v>
      </c>
      <c r="F547" s="6">
        <v>21</v>
      </c>
      <c r="G547" s="5">
        <v>662</v>
      </c>
      <c r="H547" s="5">
        <v>370</v>
      </c>
    </row>
    <row r="548" spans="1:8" x14ac:dyDescent="0.25">
      <c r="A548" s="5" t="s">
        <v>7897</v>
      </c>
      <c r="B548" s="5" t="s">
        <v>11</v>
      </c>
      <c r="C548" s="5" t="s">
        <v>666</v>
      </c>
      <c r="D548" s="5" t="s">
        <v>10624</v>
      </c>
      <c r="E548" s="6">
        <v>14</v>
      </c>
      <c r="F548" s="6">
        <v>29</v>
      </c>
      <c r="G548" s="5">
        <v>238</v>
      </c>
      <c r="H548" s="5">
        <v>518</v>
      </c>
    </row>
    <row r="549" spans="1:8" x14ac:dyDescent="0.25">
      <c r="A549" s="5" t="s">
        <v>7898</v>
      </c>
      <c r="B549" s="5" t="s">
        <v>11</v>
      </c>
      <c r="C549" s="5" t="s">
        <v>666</v>
      </c>
      <c r="D549" s="5" t="s">
        <v>7816</v>
      </c>
      <c r="E549" s="6">
        <v>18</v>
      </c>
      <c r="F549" s="6">
        <v>30</v>
      </c>
      <c r="G549" s="5">
        <v>303</v>
      </c>
      <c r="H549" s="5">
        <v>540</v>
      </c>
    </row>
    <row r="550" spans="1:8" x14ac:dyDescent="0.25">
      <c r="A550" s="5" t="s">
        <v>7899</v>
      </c>
      <c r="B550" s="5" t="s">
        <v>11</v>
      </c>
      <c r="C550" s="5" t="s">
        <v>666</v>
      </c>
      <c r="D550" s="5" t="s">
        <v>7816</v>
      </c>
      <c r="E550" s="6">
        <v>32</v>
      </c>
      <c r="F550" s="6">
        <v>36</v>
      </c>
      <c r="G550" s="5">
        <v>570</v>
      </c>
      <c r="H550" s="5">
        <v>653</v>
      </c>
    </row>
    <row r="551" spans="1:8" x14ac:dyDescent="0.25">
      <c r="A551" s="5" t="s">
        <v>7900</v>
      </c>
      <c r="B551" s="5" t="s">
        <v>11</v>
      </c>
      <c r="C551" s="5" t="s">
        <v>666</v>
      </c>
      <c r="D551" s="5" t="s">
        <v>7816</v>
      </c>
      <c r="E551" s="6">
        <v>27</v>
      </c>
      <c r="F551" s="6">
        <v>34</v>
      </c>
      <c r="G551" s="5">
        <v>474</v>
      </c>
      <c r="H551" s="5">
        <v>606</v>
      </c>
    </row>
    <row r="552" spans="1:8" x14ac:dyDescent="0.25">
      <c r="A552" s="5" t="s">
        <v>7901</v>
      </c>
      <c r="B552" s="5" t="s">
        <v>11</v>
      </c>
      <c r="C552" s="5" t="s">
        <v>666</v>
      </c>
      <c r="D552" s="5" t="s">
        <v>7816</v>
      </c>
      <c r="E552" s="6">
        <v>27</v>
      </c>
      <c r="F552" s="6">
        <v>29</v>
      </c>
      <c r="G552" s="5">
        <v>466</v>
      </c>
      <c r="H552" s="5">
        <v>519</v>
      </c>
    </row>
    <row r="553" spans="1:8" x14ac:dyDescent="0.25">
      <c r="A553" s="5" t="s">
        <v>7902</v>
      </c>
      <c r="B553" s="5" t="s">
        <v>11</v>
      </c>
      <c r="C553" s="5" t="s">
        <v>666</v>
      </c>
      <c r="D553" s="5" t="s">
        <v>7816</v>
      </c>
      <c r="E553" s="6">
        <v>17.899999999999999</v>
      </c>
      <c r="F553" s="6">
        <v>31.9</v>
      </c>
      <c r="G553" s="5">
        <v>318</v>
      </c>
      <c r="H553" s="5">
        <v>576</v>
      </c>
    </row>
    <row r="554" spans="1:8" x14ac:dyDescent="0.25">
      <c r="A554" s="5" t="s">
        <v>7903</v>
      </c>
      <c r="B554" s="5" t="s">
        <v>11</v>
      </c>
      <c r="C554" s="5" t="s">
        <v>666</v>
      </c>
      <c r="D554" s="5" t="s">
        <v>7821</v>
      </c>
      <c r="E554" s="6">
        <v>7</v>
      </c>
      <c r="F554" s="6">
        <v>20</v>
      </c>
      <c r="G554" s="5">
        <v>101</v>
      </c>
      <c r="H554" s="5">
        <v>339</v>
      </c>
    </row>
    <row r="555" spans="1:8" x14ac:dyDescent="0.25">
      <c r="A555" s="5" t="s">
        <v>7904</v>
      </c>
      <c r="B555" s="5" t="s">
        <v>11</v>
      </c>
      <c r="C555" s="5" t="s">
        <v>666</v>
      </c>
      <c r="D555" s="5" t="s">
        <v>7821</v>
      </c>
      <c r="E555" s="6">
        <v>9</v>
      </c>
      <c r="F555" s="6">
        <v>16</v>
      </c>
      <c r="G555" s="5">
        <v>152</v>
      </c>
      <c r="H555" s="5">
        <v>290</v>
      </c>
    </row>
    <row r="556" spans="1:8" x14ac:dyDescent="0.25">
      <c r="A556" s="5" t="s">
        <v>7905</v>
      </c>
      <c r="B556" s="5" t="s">
        <v>11</v>
      </c>
      <c r="C556" s="5" t="s">
        <v>666</v>
      </c>
      <c r="D556" s="5" t="s">
        <v>7875</v>
      </c>
      <c r="E556" s="6">
        <v>7</v>
      </c>
      <c r="F556" s="6">
        <v>8</v>
      </c>
      <c r="G556" s="5">
        <v>122</v>
      </c>
      <c r="H556" s="5">
        <v>137</v>
      </c>
    </row>
    <row r="557" spans="1:8" x14ac:dyDescent="0.25">
      <c r="A557" s="5" t="s">
        <v>7906</v>
      </c>
      <c r="B557" s="5" t="s">
        <v>11</v>
      </c>
      <c r="C557" s="5" t="s">
        <v>666</v>
      </c>
      <c r="D557" s="5" t="s">
        <v>7875</v>
      </c>
      <c r="E557" s="6">
        <v>15</v>
      </c>
      <c r="F557" s="6">
        <v>8</v>
      </c>
      <c r="G557" s="5">
        <v>262</v>
      </c>
      <c r="H557" s="5">
        <v>116</v>
      </c>
    </row>
    <row r="558" spans="1:8" x14ac:dyDescent="0.25">
      <c r="A558" s="5" t="s">
        <v>7907</v>
      </c>
      <c r="B558" s="5" t="s">
        <v>11</v>
      </c>
      <c r="C558" s="5" t="s">
        <v>666</v>
      </c>
      <c r="D558" s="5" t="s">
        <v>7821</v>
      </c>
      <c r="E558" s="6">
        <v>19</v>
      </c>
      <c r="F558" s="6">
        <v>10</v>
      </c>
      <c r="G558" s="5">
        <v>337</v>
      </c>
      <c r="H558" s="5">
        <v>161</v>
      </c>
    </row>
    <row r="559" spans="1:8" x14ac:dyDescent="0.25">
      <c r="A559" s="5" t="s">
        <v>7908</v>
      </c>
      <c r="B559" s="5" t="s">
        <v>11</v>
      </c>
      <c r="C559" s="5" t="s">
        <v>666</v>
      </c>
      <c r="D559" s="5" t="s">
        <v>7821</v>
      </c>
      <c r="E559" s="6">
        <v>23</v>
      </c>
      <c r="F559" s="6">
        <v>11</v>
      </c>
      <c r="G559" s="5">
        <v>411</v>
      </c>
      <c r="H559" s="5">
        <v>172</v>
      </c>
    </row>
    <row r="560" spans="1:8" x14ac:dyDescent="0.25">
      <c r="A560" s="5" t="s">
        <v>7909</v>
      </c>
      <c r="B560" s="5" t="s">
        <v>11</v>
      </c>
      <c r="C560" s="5" t="s">
        <v>666</v>
      </c>
      <c r="D560" s="5" t="s">
        <v>7821</v>
      </c>
      <c r="E560" s="6">
        <v>25</v>
      </c>
      <c r="F560" s="6">
        <v>13</v>
      </c>
      <c r="G560" s="5">
        <v>448</v>
      </c>
      <c r="H560" s="5">
        <v>227</v>
      </c>
    </row>
    <row r="561" spans="1:8" x14ac:dyDescent="0.25">
      <c r="A561" s="5" t="s">
        <v>7910</v>
      </c>
      <c r="B561" s="5" t="s">
        <v>11</v>
      </c>
      <c r="C561" s="5" t="s">
        <v>666</v>
      </c>
      <c r="D561" s="5" t="s">
        <v>7821</v>
      </c>
      <c r="E561" s="6">
        <v>16</v>
      </c>
      <c r="F561" s="6">
        <v>14</v>
      </c>
      <c r="G561" s="5">
        <v>269</v>
      </c>
      <c r="H561" s="5">
        <v>251</v>
      </c>
    </row>
    <row r="562" spans="1:8" x14ac:dyDescent="0.25">
      <c r="A562" s="5" t="s">
        <v>7911</v>
      </c>
      <c r="B562" s="5" t="s">
        <v>11</v>
      </c>
      <c r="C562" s="5" t="s">
        <v>666</v>
      </c>
      <c r="D562" s="5" t="s">
        <v>7821</v>
      </c>
      <c r="E562" s="6">
        <v>22</v>
      </c>
      <c r="F562" s="6">
        <v>16</v>
      </c>
      <c r="G562" s="5">
        <v>379</v>
      </c>
      <c r="H562" s="5">
        <v>282</v>
      </c>
    </row>
    <row r="563" spans="1:8" x14ac:dyDescent="0.25">
      <c r="A563" s="5" t="s">
        <v>7912</v>
      </c>
      <c r="B563" s="5" t="s">
        <v>11</v>
      </c>
      <c r="C563" s="5" t="s">
        <v>666</v>
      </c>
      <c r="D563" s="5" t="s">
        <v>7875</v>
      </c>
      <c r="E563" s="6">
        <v>21</v>
      </c>
      <c r="F563" s="6">
        <v>7</v>
      </c>
      <c r="G563" s="5">
        <v>388</v>
      </c>
      <c r="H563" s="5">
        <v>119</v>
      </c>
    </row>
    <row r="564" spans="1:8" x14ac:dyDescent="0.25">
      <c r="A564" s="5" t="s">
        <v>7913</v>
      </c>
      <c r="B564" s="5" t="s">
        <v>11</v>
      </c>
      <c r="C564" s="5" t="s">
        <v>666</v>
      </c>
      <c r="D564" s="5" t="s">
        <v>7875</v>
      </c>
      <c r="E564" s="6">
        <v>29</v>
      </c>
      <c r="F564" s="6">
        <v>7</v>
      </c>
      <c r="G564" s="5">
        <v>518</v>
      </c>
      <c r="H564" s="5">
        <v>108</v>
      </c>
    </row>
    <row r="565" spans="1:8" x14ac:dyDescent="0.25">
      <c r="A565" s="5" t="s">
        <v>7914</v>
      </c>
      <c r="B565" s="5" t="s">
        <v>11</v>
      </c>
      <c r="C565" s="5" t="s">
        <v>666</v>
      </c>
      <c r="D565" s="5" t="s">
        <v>7875</v>
      </c>
      <c r="E565" s="6">
        <v>36</v>
      </c>
      <c r="F565" s="6">
        <v>9</v>
      </c>
      <c r="G565" s="5">
        <v>663</v>
      </c>
      <c r="H565" s="5">
        <v>147</v>
      </c>
    </row>
    <row r="566" spans="1:8" x14ac:dyDescent="0.25">
      <c r="A566" s="5" t="s">
        <v>7915</v>
      </c>
      <c r="B566" s="5" t="s">
        <v>11</v>
      </c>
      <c r="C566" s="5" t="s">
        <v>666</v>
      </c>
      <c r="D566" s="5" t="s">
        <v>7875</v>
      </c>
      <c r="E566" s="6">
        <v>37</v>
      </c>
      <c r="F566" s="6">
        <v>15</v>
      </c>
      <c r="G566" s="5">
        <v>676</v>
      </c>
      <c r="H566" s="5">
        <v>259</v>
      </c>
    </row>
    <row r="567" spans="1:8" x14ac:dyDescent="0.25">
      <c r="A567" s="5" t="s">
        <v>7916</v>
      </c>
      <c r="B567" s="5" t="s">
        <v>11</v>
      </c>
      <c r="C567" s="5" t="s">
        <v>666</v>
      </c>
      <c r="D567" s="5" t="s">
        <v>8051</v>
      </c>
      <c r="E567" s="6">
        <v>32</v>
      </c>
      <c r="F567" s="6">
        <v>19</v>
      </c>
      <c r="G567" s="5">
        <v>563</v>
      </c>
      <c r="H567" s="5">
        <v>335</v>
      </c>
    </row>
    <row r="568" spans="1:8" x14ac:dyDescent="0.25">
      <c r="A568" s="5" t="s">
        <v>7917</v>
      </c>
      <c r="B568" s="5" t="s">
        <v>11</v>
      </c>
      <c r="C568" s="5" t="s">
        <v>434</v>
      </c>
      <c r="D568" s="5" t="s">
        <v>7816</v>
      </c>
      <c r="E568" s="6">
        <v>13</v>
      </c>
      <c r="F568" s="6">
        <v>16</v>
      </c>
      <c r="G568" s="5">
        <v>216</v>
      </c>
      <c r="H568" s="5">
        <v>279</v>
      </c>
    </row>
    <row r="569" spans="1:8" x14ac:dyDescent="0.25">
      <c r="A569" s="5" t="s">
        <v>7918</v>
      </c>
      <c r="B569" s="5" t="s">
        <v>11</v>
      </c>
      <c r="C569" s="5" t="s">
        <v>434</v>
      </c>
      <c r="D569" s="5" t="s">
        <v>7816</v>
      </c>
      <c r="E569" s="6">
        <v>5</v>
      </c>
      <c r="F569" s="6">
        <v>22</v>
      </c>
      <c r="G569" s="5">
        <v>74</v>
      </c>
      <c r="H569" s="5">
        <v>391</v>
      </c>
    </row>
    <row r="570" spans="1:8" x14ac:dyDescent="0.25">
      <c r="A570" s="5" t="s">
        <v>7919</v>
      </c>
      <c r="B570" s="5" t="s">
        <v>11</v>
      </c>
      <c r="C570" s="5" t="s">
        <v>434</v>
      </c>
      <c r="D570" s="5" t="s">
        <v>7816</v>
      </c>
      <c r="E570" s="6">
        <v>10</v>
      </c>
      <c r="F570" s="6">
        <v>20</v>
      </c>
      <c r="G570" s="5">
        <v>162</v>
      </c>
      <c r="H570" s="5">
        <v>378</v>
      </c>
    </row>
    <row r="571" spans="1:8" x14ac:dyDescent="0.25">
      <c r="A571" s="5" t="s">
        <v>7920</v>
      </c>
      <c r="B571" s="5" t="s">
        <v>11</v>
      </c>
      <c r="C571" s="5" t="s">
        <v>434</v>
      </c>
      <c r="D571" s="5" t="s">
        <v>7816</v>
      </c>
      <c r="E571" s="6">
        <v>15</v>
      </c>
      <c r="F571" s="6">
        <v>21</v>
      </c>
      <c r="G571" s="5">
        <v>259</v>
      </c>
      <c r="H571" s="5">
        <v>380</v>
      </c>
    </row>
    <row r="572" spans="1:8" x14ac:dyDescent="0.25">
      <c r="A572" s="5" t="s">
        <v>7921</v>
      </c>
      <c r="B572" s="5" t="s">
        <v>11</v>
      </c>
      <c r="C572" s="5" t="s">
        <v>434</v>
      </c>
      <c r="D572" s="5" t="s">
        <v>7820</v>
      </c>
      <c r="E572" s="6">
        <v>15</v>
      </c>
      <c r="F572" s="6">
        <v>25</v>
      </c>
      <c r="G572" s="5">
        <v>260</v>
      </c>
      <c r="H572" s="5">
        <v>451</v>
      </c>
    </row>
    <row r="573" spans="1:8" x14ac:dyDescent="0.25">
      <c r="A573" s="5" t="s">
        <v>7922</v>
      </c>
      <c r="B573" s="5" t="s">
        <v>11</v>
      </c>
      <c r="C573" s="5" t="s">
        <v>434</v>
      </c>
      <c r="D573" s="5" t="s">
        <v>7874</v>
      </c>
      <c r="E573" s="6">
        <v>9</v>
      </c>
      <c r="F573" s="6">
        <v>28</v>
      </c>
      <c r="G573" s="5">
        <v>141</v>
      </c>
      <c r="H573" s="5">
        <v>505</v>
      </c>
    </row>
    <row r="574" spans="1:8" x14ac:dyDescent="0.25">
      <c r="A574" s="5" t="s">
        <v>7923</v>
      </c>
      <c r="B574" s="5" t="s">
        <v>11</v>
      </c>
      <c r="C574" s="5" t="s">
        <v>434</v>
      </c>
      <c r="D574" s="5" t="s">
        <v>7874</v>
      </c>
      <c r="E574" s="6">
        <v>13</v>
      </c>
      <c r="F574" s="6">
        <v>29</v>
      </c>
      <c r="G574" s="5">
        <v>215</v>
      </c>
      <c r="H574" s="5">
        <v>522</v>
      </c>
    </row>
    <row r="575" spans="1:8" x14ac:dyDescent="0.25">
      <c r="A575" s="5" t="s">
        <v>7924</v>
      </c>
      <c r="B575" s="5" t="s">
        <v>11</v>
      </c>
      <c r="C575" s="5" t="s">
        <v>434</v>
      </c>
      <c r="D575" s="5" t="s">
        <v>7874</v>
      </c>
      <c r="E575" s="6">
        <v>8</v>
      </c>
      <c r="F575" s="6">
        <v>34</v>
      </c>
      <c r="G575" s="5">
        <v>136</v>
      </c>
      <c r="H575" s="5">
        <v>611</v>
      </c>
    </row>
    <row r="576" spans="1:8" x14ac:dyDescent="0.25">
      <c r="A576" s="5" t="s">
        <v>7925</v>
      </c>
      <c r="B576" s="5" t="s">
        <v>11</v>
      </c>
      <c r="C576" s="5" t="s">
        <v>434</v>
      </c>
      <c r="D576" s="5" t="s">
        <v>7874</v>
      </c>
      <c r="E576" s="6">
        <v>15</v>
      </c>
      <c r="F576" s="6">
        <v>36</v>
      </c>
      <c r="G576" s="5">
        <v>252</v>
      </c>
      <c r="H576" s="5">
        <v>644</v>
      </c>
    </row>
    <row r="577" spans="1:8" x14ac:dyDescent="0.25">
      <c r="A577" s="5" t="s">
        <v>7926</v>
      </c>
      <c r="B577" s="5" t="s">
        <v>11</v>
      </c>
      <c r="C577" s="5" t="s">
        <v>434</v>
      </c>
      <c r="D577" s="5" t="s">
        <v>7874</v>
      </c>
      <c r="E577" s="6">
        <v>16</v>
      </c>
      <c r="F577" s="6">
        <v>32</v>
      </c>
      <c r="G577" s="5">
        <v>264</v>
      </c>
      <c r="H577" s="5">
        <v>584</v>
      </c>
    </row>
    <row r="578" spans="1:8" x14ac:dyDescent="0.25">
      <c r="A578" s="5" t="s">
        <v>7927</v>
      </c>
      <c r="B578" s="5" t="s">
        <v>11</v>
      </c>
      <c r="C578" s="5" t="s">
        <v>434</v>
      </c>
      <c r="D578" s="5" t="s">
        <v>7874</v>
      </c>
      <c r="E578" s="6">
        <v>17</v>
      </c>
      <c r="F578" s="6">
        <v>38</v>
      </c>
      <c r="G578" s="5">
        <v>281</v>
      </c>
      <c r="H578" s="5">
        <v>682</v>
      </c>
    </row>
    <row r="579" spans="1:8" x14ac:dyDescent="0.25">
      <c r="A579" s="5" t="s">
        <v>7928</v>
      </c>
      <c r="B579" s="5" t="s">
        <v>11</v>
      </c>
      <c r="C579" s="5" t="s">
        <v>434</v>
      </c>
      <c r="D579" s="5" t="s">
        <v>7819</v>
      </c>
      <c r="E579" s="6">
        <v>27</v>
      </c>
      <c r="F579" s="6">
        <v>17</v>
      </c>
      <c r="G579" s="5">
        <v>473</v>
      </c>
      <c r="H579" s="5">
        <v>297</v>
      </c>
    </row>
    <row r="580" spans="1:8" x14ac:dyDescent="0.25">
      <c r="A580" s="5" t="s">
        <v>7929</v>
      </c>
      <c r="B580" s="5" t="s">
        <v>11</v>
      </c>
      <c r="C580" s="5" t="s">
        <v>434</v>
      </c>
      <c r="D580" s="5" t="s">
        <v>7821</v>
      </c>
      <c r="E580" s="6">
        <v>27</v>
      </c>
      <c r="F580" s="6">
        <v>20</v>
      </c>
      <c r="G580" s="5">
        <v>473</v>
      </c>
      <c r="H580" s="5">
        <v>358</v>
      </c>
    </row>
    <row r="581" spans="1:8" x14ac:dyDescent="0.25">
      <c r="A581" s="5" t="s">
        <v>7930</v>
      </c>
      <c r="B581" s="5" t="s">
        <v>11</v>
      </c>
      <c r="C581" s="5" t="s">
        <v>434</v>
      </c>
      <c r="D581" s="5" t="s">
        <v>7821</v>
      </c>
      <c r="E581" s="6">
        <v>24</v>
      </c>
      <c r="F581" s="6">
        <v>23</v>
      </c>
      <c r="G581" s="5">
        <v>425</v>
      </c>
      <c r="H581" s="5">
        <v>425</v>
      </c>
    </row>
    <row r="582" spans="1:8" x14ac:dyDescent="0.25">
      <c r="A582" s="5" t="s">
        <v>7931</v>
      </c>
      <c r="B582" s="5" t="s">
        <v>11</v>
      </c>
      <c r="C582" s="5" t="s">
        <v>434</v>
      </c>
      <c r="D582" s="5" t="s">
        <v>7821</v>
      </c>
      <c r="E582" s="6">
        <v>27</v>
      </c>
      <c r="F582" s="6">
        <v>25</v>
      </c>
      <c r="G582" s="5">
        <v>481</v>
      </c>
      <c r="H582" s="5">
        <v>454</v>
      </c>
    </row>
    <row r="583" spans="1:8" x14ac:dyDescent="0.25">
      <c r="A583" s="5" t="s">
        <v>7932</v>
      </c>
      <c r="B583" s="5" t="s">
        <v>11</v>
      </c>
      <c r="C583" s="5" t="s">
        <v>434</v>
      </c>
      <c r="D583" s="5" t="s">
        <v>7821</v>
      </c>
      <c r="E583" s="6">
        <v>27</v>
      </c>
      <c r="F583" s="6">
        <v>29</v>
      </c>
      <c r="G583" s="5">
        <v>472</v>
      </c>
      <c r="H583" s="5">
        <v>525</v>
      </c>
    </row>
    <row r="584" spans="1:8" x14ac:dyDescent="0.25">
      <c r="A584" s="5" t="s">
        <v>7933</v>
      </c>
      <c r="B584" s="5" t="s">
        <v>11</v>
      </c>
      <c r="C584" s="5" t="s">
        <v>434</v>
      </c>
      <c r="D584" s="5" t="s">
        <v>7821</v>
      </c>
      <c r="E584" s="6">
        <v>26</v>
      </c>
      <c r="F584" s="6">
        <v>37</v>
      </c>
      <c r="G584" s="5">
        <v>472</v>
      </c>
      <c r="H584" s="5">
        <v>675</v>
      </c>
    </row>
    <row r="585" spans="1:8" x14ac:dyDescent="0.25">
      <c r="A585" s="5" t="s">
        <v>7934</v>
      </c>
      <c r="B585" s="5" t="s">
        <v>11</v>
      </c>
      <c r="C585" s="5" t="s">
        <v>434</v>
      </c>
      <c r="D585" s="5" t="s">
        <v>7821</v>
      </c>
      <c r="E585" s="6">
        <v>35</v>
      </c>
      <c r="F585" s="6">
        <v>27</v>
      </c>
      <c r="G585" s="5">
        <v>619</v>
      </c>
      <c r="H585" s="5">
        <v>487</v>
      </c>
    </row>
    <row r="586" spans="1:8" x14ac:dyDescent="0.25">
      <c r="A586" s="5" t="s">
        <v>7935</v>
      </c>
      <c r="B586" s="5" t="s">
        <v>11</v>
      </c>
      <c r="C586" s="5" t="s">
        <v>434</v>
      </c>
      <c r="D586" s="5" t="s">
        <v>7821</v>
      </c>
      <c r="E586" s="6">
        <v>38</v>
      </c>
      <c r="F586" s="6">
        <v>29</v>
      </c>
      <c r="G586" s="5">
        <v>687</v>
      </c>
      <c r="H586" s="5">
        <v>512</v>
      </c>
    </row>
    <row r="587" spans="1:8" x14ac:dyDescent="0.25">
      <c r="A587" s="5" t="s">
        <v>7936</v>
      </c>
      <c r="B587" s="5" t="s">
        <v>11</v>
      </c>
      <c r="C587" s="5" t="s">
        <v>434</v>
      </c>
      <c r="D587" s="5" t="s">
        <v>7821</v>
      </c>
      <c r="E587" s="6">
        <v>34</v>
      </c>
      <c r="F587" s="6">
        <v>24</v>
      </c>
      <c r="G587" s="5">
        <v>612</v>
      </c>
      <c r="H587" s="5">
        <v>429</v>
      </c>
    </row>
    <row r="588" spans="1:8" x14ac:dyDescent="0.25">
      <c r="A588" s="5" t="s">
        <v>7937</v>
      </c>
      <c r="B588" s="5" t="s">
        <v>11</v>
      </c>
      <c r="C588" s="5" t="s">
        <v>434</v>
      </c>
      <c r="D588" s="5" t="s">
        <v>7821</v>
      </c>
      <c r="E588" s="6">
        <v>36</v>
      </c>
      <c r="F588" s="6">
        <v>21</v>
      </c>
      <c r="G588" s="5">
        <v>655</v>
      </c>
      <c r="H588" s="5">
        <v>384</v>
      </c>
    </row>
    <row r="589" spans="1:8" x14ac:dyDescent="0.25">
      <c r="A589" s="5" t="s">
        <v>7938</v>
      </c>
      <c r="B589" s="5" t="s">
        <v>11</v>
      </c>
      <c r="C589" s="5" t="s">
        <v>434</v>
      </c>
      <c r="D589" s="5" t="s">
        <v>7821</v>
      </c>
      <c r="E589" s="6">
        <v>32</v>
      </c>
      <c r="F589" s="6">
        <v>20</v>
      </c>
      <c r="G589" s="5">
        <v>572</v>
      </c>
      <c r="H589" s="5">
        <v>354</v>
      </c>
    </row>
    <row r="590" spans="1:8" x14ac:dyDescent="0.25">
      <c r="A590" s="5" t="s">
        <v>7939</v>
      </c>
      <c r="B590" s="5" t="s">
        <v>11</v>
      </c>
      <c r="C590" s="5" t="s">
        <v>733</v>
      </c>
      <c r="D590" s="5" t="s">
        <v>7820</v>
      </c>
      <c r="E590" s="6">
        <v>14</v>
      </c>
      <c r="F590" s="6">
        <v>17</v>
      </c>
      <c r="G590" s="5">
        <v>239</v>
      </c>
      <c r="H590" s="5">
        <v>297</v>
      </c>
    </row>
    <row r="591" spans="1:8" x14ac:dyDescent="0.25">
      <c r="A591" s="5" t="s">
        <v>7940</v>
      </c>
      <c r="B591" s="5" t="s">
        <v>11</v>
      </c>
      <c r="C591" s="5" t="s">
        <v>733</v>
      </c>
      <c r="D591" s="5" t="s">
        <v>7820</v>
      </c>
      <c r="E591" s="6">
        <v>18</v>
      </c>
      <c r="F591" s="6">
        <v>13</v>
      </c>
      <c r="G591" s="5">
        <v>324</v>
      </c>
      <c r="H591" s="5">
        <v>218</v>
      </c>
    </row>
    <row r="592" spans="1:8" x14ac:dyDescent="0.25">
      <c r="A592" s="5" t="s">
        <v>7941</v>
      </c>
      <c r="B592" s="5" t="s">
        <v>11</v>
      </c>
      <c r="C592" s="5" t="s">
        <v>733</v>
      </c>
      <c r="D592" s="5" t="s">
        <v>7820</v>
      </c>
      <c r="E592" s="6">
        <v>17</v>
      </c>
      <c r="F592" s="6">
        <v>9</v>
      </c>
      <c r="G592" s="5">
        <v>301</v>
      </c>
      <c r="H592" s="5">
        <v>140</v>
      </c>
    </row>
    <row r="593" spans="1:8" x14ac:dyDescent="0.25">
      <c r="A593" s="5" t="s">
        <v>7942</v>
      </c>
      <c r="B593" s="5" t="s">
        <v>11</v>
      </c>
      <c r="C593" s="5" t="s">
        <v>733</v>
      </c>
      <c r="D593" s="5" t="s">
        <v>7820</v>
      </c>
      <c r="E593" s="6">
        <v>34</v>
      </c>
      <c r="F593" s="6">
        <v>26</v>
      </c>
      <c r="G593" s="5">
        <v>618</v>
      </c>
      <c r="H593" s="5">
        <v>474</v>
      </c>
    </row>
    <row r="594" spans="1:8" x14ac:dyDescent="0.25">
      <c r="A594" s="5" t="s">
        <v>7943</v>
      </c>
      <c r="B594" s="5" t="s">
        <v>11</v>
      </c>
      <c r="C594" s="5" t="s">
        <v>733</v>
      </c>
      <c r="D594" s="5" t="s">
        <v>7820</v>
      </c>
      <c r="E594" s="6">
        <v>38</v>
      </c>
      <c r="F594" s="6">
        <v>27</v>
      </c>
      <c r="G594" s="5">
        <v>702</v>
      </c>
      <c r="H594" s="5">
        <v>490</v>
      </c>
    </row>
    <row r="595" spans="1:8" x14ac:dyDescent="0.25">
      <c r="A595" s="5" t="s">
        <v>7944</v>
      </c>
      <c r="B595" s="5" t="s">
        <v>11</v>
      </c>
      <c r="C595" s="5" t="s">
        <v>733</v>
      </c>
      <c r="D595" s="5" t="s">
        <v>7820</v>
      </c>
      <c r="E595" s="6">
        <v>36</v>
      </c>
      <c r="F595" s="6">
        <v>31</v>
      </c>
      <c r="G595" s="5">
        <v>648</v>
      </c>
      <c r="H595" s="5">
        <v>554</v>
      </c>
    </row>
    <row r="596" spans="1:8" x14ac:dyDescent="0.25">
      <c r="A596" s="5" t="s">
        <v>7945</v>
      </c>
      <c r="B596" s="5" t="s">
        <v>11</v>
      </c>
      <c r="C596" s="5" t="s">
        <v>733</v>
      </c>
      <c r="D596" s="5" t="s">
        <v>7820</v>
      </c>
      <c r="E596" s="6">
        <v>36</v>
      </c>
      <c r="F596" s="6">
        <v>34</v>
      </c>
      <c r="G596" s="5">
        <v>655</v>
      </c>
      <c r="H596" s="5">
        <v>616</v>
      </c>
    </row>
    <row r="597" spans="1:8" x14ac:dyDescent="0.25">
      <c r="A597" s="5" t="s">
        <v>7946</v>
      </c>
      <c r="B597" s="5" t="s">
        <v>11</v>
      </c>
      <c r="C597" s="5" t="s">
        <v>733</v>
      </c>
      <c r="D597" s="5" t="s">
        <v>7820</v>
      </c>
      <c r="E597" s="6">
        <v>37</v>
      </c>
      <c r="F597" s="6">
        <v>37</v>
      </c>
      <c r="G597" s="5">
        <v>656</v>
      </c>
      <c r="H597" s="5">
        <v>670</v>
      </c>
    </row>
    <row r="598" spans="1:8" x14ac:dyDescent="0.25">
      <c r="A598" s="5" t="s">
        <v>7947</v>
      </c>
      <c r="B598" s="5" t="s">
        <v>11</v>
      </c>
      <c r="C598" s="5" t="s">
        <v>733</v>
      </c>
      <c r="D598" s="5" t="s">
        <v>7820</v>
      </c>
      <c r="E598" s="6">
        <v>30</v>
      </c>
      <c r="F598" s="6">
        <v>35</v>
      </c>
      <c r="G598" s="5">
        <v>532</v>
      </c>
      <c r="H598" s="5">
        <v>631</v>
      </c>
    </row>
    <row r="599" spans="1:8" x14ac:dyDescent="0.25">
      <c r="A599" s="5" t="s">
        <v>7948</v>
      </c>
      <c r="B599" s="5" t="s">
        <v>11</v>
      </c>
      <c r="C599" s="5" t="s">
        <v>733</v>
      </c>
      <c r="D599" s="5" t="s">
        <v>7820</v>
      </c>
      <c r="E599" s="6">
        <v>30</v>
      </c>
      <c r="F599" s="6">
        <v>28</v>
      </c>
      <c r="G599" s="5">
        <v>534</v>
      </c>
      <c r="H599" s="5">
        <v>515</v>
      </c>
    </row>
    <row r="600" spans="1:8" x14ac:dyDescent="0.25">
      <c r="A600" s="5" t="s">
        <v>7949</v>
      </c>
      <c r="B600" s="5" t="s">
        <v>11</v>
      </c>
      <c r="C600" s="5" t="s">
        <v>733</v>
      </c>
      <c r="D600" s="5" t="s">
        <v>7821</v>
      </c>
      <c r="E600" s="6">
        <v>28</v>
      </c>
      <c r="F600" s="6">
        <v>16</v>
      </c>
      <c r="G600" s="5">
        <v>492</v>
      </c>
      <c r="H600" s="5">
        <v>270</v>
      </c>
    </row>
    <row r="601" spans="1:8" x14ac:dyDescent="0.25">
      <c r="A601" s="5" t="s">
        <v>7950</v>
      </c>
      <c r="B601" s="5" t="s">
        <v>11</v>
      </c>
      <c r="C601" s="5" t="s">
        <v>733</v>
      </c>
      <c r="D601" s="5" t="s">
        <v>7821</v>
      </c>
      <c r="E601" s="6">
        <v>34</v>
      </c>
      <c r="F601" s="6">
        <v>13</v>
      </c>
      <c r="G601" s="5">
        <v>612</v>
      </c>
      <c r="H601" s="5">
        <v>218</v>
      </c>
    </row>
    <row r="602" spans="1:8" x14ac:dyDescent="0.25">
      <c r="A602" s="5" t="s">
        <v>7951</v>
      </c>
      <c r="B602" s="5" t="s">
        <v>11</v>
      </c>
      <c r="C602" s="5" t="s">
        <v>733</v>
      </c>
      <c r="D602" s="5" t="s">
        <v>7821</v>
      </c>
      <c r="E602" s="6">
        <v>27</v>
      </c>
      <c r="F602" s="6">
        <v>11</v>
      </c>
      <c r="G602" s="5">
        <v>497</v>
      </c>
      <c r="H602" s="5">
        <v>186</v>
      </c>
    </row>
    <row r="603" spans="1:8" x14ac:dyDescent="0.25">
      <c r="A603" s="5" t="s">
        <v>7952</v>
      </c>
      <c r="B603" s="5" t="s">
        <v>11</v>
      </c>
      <c r="C603" s="5" t="s">
        <v>733</v>
      </c>
      <c r="D603" s="5" t="s">
        <v>7821</v>
      </c>
      <c r="E603" s="6">
        <v>33</v>
      </c>
      <c r="F603" s="6">
        <v>6</v>
      </c>
      <c r="G603" s="5">
        <v>590</v>
      </c>
      <c r="H603" s="5">
        <v>89</v>
      </c>
    </row>
    <row r="604" spans="1:8" x14ac:dyDescent="0.25">
      <c r="A604" s="5" t="s">
        <v>7953</v>
      </c>
      <c r="B604" s="5" t="s">
        <v>11</v>
      </c>
      <c r="C604" s="5" t="s">
        <v>733</v>
      </c>
      <c r="D604" s="5" t="s">
        <v>7821</v>
      </c>
      <c r="E604" s="6">
        <v>38</v>
      </c>
      <c r="F604" s="6">
        <v>7</v>
      </c>
      <c r="G604" s="5">
        <v>682</v>
      </c>
      <c r="H604" s="5">
        <v>112</v>
      </c>
    </row>
    <row r="605" spans="1:8" x14ac:dyDescent="0.25">
      <c r="A605" s="5" t="s">
        <v>7954</v>
      </c>
      <c r="B605" s="5" t="s">
        <v>11</v>
      </c>
      <c r="C605" s="5" t="s">
        <v>733</v>
      </c>
      <c r="D605" s="5" t="s">
        <v>7821</v>
      </c>
      <c r="E605" s="6">
        <v>13</v>
      </c>
      <c r="F605" s="6">
        <v>38</v>
      </c>
      <c r="G605" s="5">
        <v>217</v>
      </c>
      <c r="H605" s="5">
        <v>689</v>
      </c>
    </row>
    <row r="606" spans="1:8" x14ac:dyDescent="0.25">
      <c r="A606" s="5" t="s">
        <v>7955</v>
      </c>
      <c r="B606" s="5" t="s">
        <v>11</v>
      </c>
      <c r="C606" s="5" t="s">
        <v>733</v>
      </c>
      <c r="D606" s="5" t="s">
        <v>7821</v>
      </c>
      <c r="E606" s="6">
        <v>8</v>
      </c>
      <c r="F606" s="6">
        <v>34</v>
      </c>
      <c r="G606" s="5">
        <v>137</v>
      </c>
      <c r="H606" s="5">
        <v>610</v>
      </c>
    </row>
    <row r="607" spans="1:8" x14ac:dyDescent="0.25">
      <c r="A607" s="5" t="s">
        <v>7956</v>
      </c>
      <c r="B607" s="5" t="s">
        <v>11</v>
      </c>
      <c r="C607" s="5" t="s">
        <v>733</v>
      </c>
      <c r="D607" s="5" t="s">
        <v>7821</v>
      </c>
      <c r="E607" s="6">
        <v>11</v>
      </c>
      <c r="F607" s="6">
        <v>30</v>
      </c>
      <c r="G607" s="5">
        <v>188</v>
      </c>
      <c r="H607" s="5">
        <v>543</v>
      </c>
    </row>
    <row r="608" spans="1:8" x14ac:dyDescent="0.25">
      <c r="A608" s="5" t="s">
        <v>7957</v>
      </c>
      <c r="B608" s="5" t="s">
        <v>11</v>
      </c>
      <c r="C608" s="5" t="s">
        <v>733</v>
      </c>
      <c r="D608" s="5" t="s">
        <v>7821</v>
      </c>
      <c r="E608" s="6">
        <v>10</v>
      </c>
      <c r="F608" s="6">
        <v>27</v>
      </c>
      <c r="G608" s="5">
        <v>163</v>
      </c>
      <c r="H608" s="5">
        <v>467</v>
      </c>
    </row>
    <row r="609" spans="1:8" x14ac:dyDescent="0.25">
      <c r="A609" s="5" t="s">
        <v>7958</v>
      </c>
      <c r="B609" s="5" t="s">
        <v>11</v>
      </c>
      <c r="C609" s="5" t="s">
        <v>733</v>
      </c>
      <c r="D609" s="5" t="s">
        <v>7821</v>
      </c>
      <c r="E609" s="6">
        <v>15</v>
      </c>
      <c r="F609" s="6">
        <v>29</v>
      </c>
      <c r="G609" s="5">
        <v>280</v>
      </c>
      <c r="H609" s="5">
        <v>520</v>
      </c>
    </row>
    <row r="610" spans="1:8" x14ac:dyDescent="0.25">
      <c r="A610" s="5" t="s">
        <v>10629</v>
      </c>
      <c r="B610" s="5" t="s">
        <v>73</v>
      </c>
      <c r="C610" s="5" t="s">
        <v>1734</v>
      </c>
      <c r="D610" s="5" t="s">
        <v>7817</v>
      </c>
      <c r="E610" s="6">
        <v>33</v>
      </c>
      <c r="F610" s="6">
        <v>33</v>
      </c>
      <c r="G610" s="5">
        <v>630</v>
      </c>
      <c r="H610" s="5">
        <v>631</v>
      </c>
    </row>
    <row r="611" spans="1:8" x14ac:dyDescent="0.25">
      <c r="A611" s="5" t="s">
        <v>10630</v>
      </c>
      <c r="B611" s="5" t="s">
        <v>73</v>
      </c>
      <c r="C611" s="5" t="s">
        <v>1734</v>
      </c>
      <c r="D611" s="5" t="s">
        <v>7818</v>
      </c>
      <c r="E611" s="6">
        <v>29</v>
      </c>
      <c r="F611" s="6">
        <v>30</v>
      </c>
      <c r="G611" s="5">
        <v>554</v>
      </c>
      <c r="H611" s="5">
        <v>586</v>
      </c>
    </row>
    <row r="612" spans="1:8" x14ac:dyDescent="0.25">
      <c r="A612" s="5" t="s">
        <v>10631</v>
      </c>
      <c r="B612" s="5" t="s">
        <v>73</v>
      </c>
      <c r="C612" s="5" t="s">
        <v>1734</v>
      </c>
      <c r="D612" s="5" t="s">
        <v>7817</v>
      </c>
      <c r="E612" s="6">
        <v>25</v>
      </c>
      <c r="F612" s="6">
        <v>32</v>
      </c>
      <c r="G612" s="5">
        <v>482</v>
      </c>
      <c r="H612" s="5">
        <v>603</v>
      </c>
    </row>
    <row r="613" spans="1:8" x14ac:dyDescent="0.25">
      <c r="A613" s="5" t="s">
        <v>10632</v>
      </c>
      <c r="B613" s="5" t="s">
        <v>73</v>
      </c>
      <c r="C613" s="5" t="s">
        <v>1734</v>
      </c>
      <c r="D613" s="5" t="s">
        <v>7816</v>
      </c>
      <c r="E613" s="6">
        <v>25</v>
      </c>
      <c r="F613" s="6">
        <v>28</v>
      </c>
      <c r="G613" s="5">
        <v>466</v>
      </c>
      <c r="H613" s="5">
        <v>537</v>
      </c>
    </row>
    <row r="614" spans="1:8" x14ac:dyDescent="0.25">
      <c r="A614" s="5" t="s">
        <v>10633</v>
      </c>
      <c r="B614" s="5" t="s">
        <v>73</v>
      </c>
      <c r="C614" s="5" t="s">
        <v>1734</v>
      </c>
      <c r="D614" s="5" t="s">
        <v>7816</v>
      </c>
      <c r="E614" s="6">
        <v>28</v>
      </c>
      <c r="F614" s="6">
        <v>23</v>
      </c>
      <c r="G614" s="5">
        <v>520</v>
      </c>
      <c r="H614" s="5">
        <v>436</v>
      </c>
    </row>
    <row r="615" spans="1:8" x14ac:dyDescent="0.25">
      <c r="A615" s="5" t="s">
        <v>10634</v>
      </c>
      <c r="B615" s="5" t="s">
        <v>73</v>
      </c>
      <c r="C615" s="5" t="s">
        <v>1734</v>
      </c>
      <c r="D615" s="5" t="s">
        <v>7811</v>
      </c>
      <c r="E615" s="6">
        <v>33</v>
      </c>
      <c r="F615" s="6">
        <v>20</v>
      </c>
      <c r="G615" s="5">
        <v>643</v>
      </c>
      <c r="H615" s="5">
        <v>387</v>
      </c>
    </row>
    <row r="616" spans="1:8" x14ac:dyDescent="0.25">
      <c r="A616" s="5" t="s">
        <v>10635</v>
      </c>
      <c r="B616" s="5" t="s">
        <v>73</v>
      </c>
      <c r="C616" s="5" t="s">
        <v>1734</v>
      </c>
      <c r="D616" s="5" t="s">
        <v>7817</v>
      </c>
      <c r="E616" s="6">
        <v>34</v>
      </c>
      <c r="F616" s="6">
        <v>17</v>
      </c>
      <c r="G616" s="5">
        <v>654</v>
      </c>
      <c r="H616" s="5">
        <v>322</v>
      </c>
    </row>
    <row r="617" spans="1:8" x14ac:dyDescent="0.25">
      <c r="A617" s="5" t="s">
        <v>10636</v>
      </c>
      <c r="B617" s="5" t="s">
        <v>73</v>
      </c>
      <c r="C617" s="5" t="s">
        <v>1734</v>
      </c>
      <c r="D617" s="5" t="s">
        <v>7876</v>
      </c>
      <c r="E617" s="6">
        <v>10</v>
      </c>
      <c r="F617" s="6">
        <v>14</v>
      </c>
      <c r="G617" s="5">
        <v>177</v>
      </c>
      <c r="H617" s="5">
        <v>261</v>
      </c>
    </row>
    <row r="618" spans="1:8" x14ac:dyDescent="0.25">
      <c r="A618" s="5" t="s">
        <v>10637</v>
      </c>
      <c r="B618" s="5" t="s">
        <v>73</v>
      </c>
      <c r="C618" s="5" t="s">
        <v>1734</v>
      </c>
      <c r="D618" s="5" t="s">
        <v>7876</v>
      </c>
      <c r="E618" s="6">
        <v>14</v>
      </c>
      <c r="F618" s="6">
        <v>12</v>
      </c>
      <c r="G618" s="5">
        <v>253</v>
      </c>
      <c r="H618" s="5">
        <v>224</v>
      </c>
    </row>
    <row r="619" spans="1:8" x14ac:dyDescent="0.25">
      <c r="A619" s="5" t="s">
        <v>10638</v>
      </c>
      <c r="B619" s="5" t="s">
        <v>73</v>
      </c>
      <c r="C619" s="5" t="s">
        <v>1734</v>
      </c>
      <c r="D619" s="5" t="s">
        <v>7875</v>
      </c>
      <c r="E619" s="6">
        <v>17</v>
      </c>
      <c r="F619" s="6">
        <v>12</v>
      </c>
      <c r="G619" s="5">
        <v>335</v>
      </c>
      <c r="H619" s="5">
        <v>225</v>
      </c>
    </row>
    <row r="620" spans="1:8" x14ac:dyDescent="0.25">
      <c r="A620" s="5" t="s">
        <v>7959</v>
      </c>
      <c r="B620" s="5" t="s">
        <v>73</v>
      </c>
      <c r="C620" s="5" t="s">
        <v>1734</v>
      </c>
      <c r="D620" s="5" t="s">
        <v>7875</v>
      </c>
      <c r="E620" s="6">
        <v>18</v>
      </c>
      <c r="F620" s="6">
        <v>8</v>
      </c>
      <c r="G620" s="5">
        <v>336</v>
      </c>
      <c r="H620" s="5">
        <v>138</v>
      </c>
    </row>
    <row r="621" spans="1:8" x14ac:dyDescent="0.25">
      <c r="A621" s="5" t="s">
        <v>7960</v>
      </c>
      <c r="B621" s="5" t="s">
        <v>73</v>
      </c>
      <c r="C621" s="5" t="s">
        <v>1734</v>
      </c>
      <c r="D621" s="5" t="s">
        <v>7814</v>
      </c>
      <c r="E621" s="6">
        <v>21</v>
      </c>
      <c r="F621" s="6">
        <v>10</v>
      </c>
      <c r="G621" s="5">
        <v>390</v>
      </c>
      <c r="H621" s="5">
        <v>184</v>
      </c>
    </row>
    <row r="622" spans="1:8" x14ac:dyDescent="0.25">
      <c r="A622" s="5" t="s">
        <v>7961</v>
      </c>
      <c r="B622" s="5" t="s">
        <v>73</v>
      </c>
      <c r="C622" s="5" t="s">
        <v>1734</v>
      </c>
      <c r="D622" s="5" t="s">
        <v>7847</v>
      </c>
      <c r="E622" s="6">
        <v>25</v>
      </c>
      <c r="F622" s="6">
        <v>11</v>
      </c>
      <c r="G622" s="5">
        <v>472</v>
      </c>
      <c r="H622" s="5">
        <v>209</v>
      </c>
    </row>
    <row r="623" spans="1:8" x14ac:dyDescent="0.25">
      <c r="A623" s="5" t="s">
        <v>7962</v>
      </c>
      <c r="B623" s="5" t="s">
        <v>73</v>
      </c>
      <c r="C623" s="5" t="s">
        <v>1734</v>
      </c>
      <c r="D623" s="5" t="s">
        <v>7814</v>
      </c>
      <c r="E623" s="6">
        <v>24</v>
      </c>
      <c r="F623" s="6">
        <v>18</v>
      </c>
      <c r="G623" s="5">
        <v>449</v>
      </c>
      <c r="H623" s="5">
        <v>343</v>
      </c>
    </row>
    <row r="624" spans="1:8" x14ac:dyDescent="0.25">
      <c r="A624" s="5" t="s">
        <v>7963</v>
      </c>
      <c r="B624" s="5" t="s">
        <v>73</v>
      </c>
      <c r="C624" s="5" t="s">
        <v>1734</v>
      </c>
      <c r="D624" s="5" t="s">
        <v>7964</v>
      </c>
      <c r="E624" s="6">
        <v>17</v>
      </c>
      <c r="F624" s="6">
        <v>21</v>
      </c>
      <c r="G624" s="5">
        <v>323</v>
      </c>
      <c r="H624" s="5">
        <v>400</v>
      </c>
    </row>
    <row r="625" spans="1:8" x14ac:dyDescent="0.25">
      <c r="A625" s="5" t="s">
        <v>7965</v>
      </c>
      <c r="B625" s="5" t="s">
        <v>73</v>
      </c>
      <c r="C625" s="5" t="s">
        <v>1734</v>
      </c>
      <c r="D625" s="5" t="s">
        <v>7819</v>
      </c>
      <c r="E625" s="6">
        <v>16</v>
      </c>
      <c r="F625" s="6">
        <v>23</v>
      </c>
      <c r="G625" s="5">
        <v>305</v>
      </c>
      <c r="H625" s="5">
        <v>446</v>
      </c>
    </row>
    <row r="626" spans="1:8" x14ac:dyDescent="0.25">
      <c r="A626" s="5" t="s">
        <v>7966</v>
      </c>
      <c r="B626" s="5" t="s">
        <v>73</v>
      </c>
      <c r="C626" s="5" t="s">
        <v>1734</v>
      </c>
      <c r="D626" s="5" t="s">
        <v>7964</v>
      </c>
      <c r="E626" s="6">
        <v>15</v>
      </c>
      <c r="F626" s="6">
        <v>26</v>
      </c>
      <c r="G626" s="5">
        <v>279</v>
      </c>
      <c r="H626" s="5">
        <v>489</v>
      </c>
    </row>
    <row r="627" spans="1:8" x14ac:dyDescent="0.25">
      <c r="A627" s="5" t="s">
        <v>7967</v>
      </c>
      <c r="B627" s="5" t="s">
        <v>73</v>
      </c>
      <c r="C627" s="5" t="s">
        <v>1734</v>
      </c>
      <c r="D627" s="5" t="s">
        <v>7875</v>
      </c>
      <c r="E627" s="6">
        <v>8</v>
      </c>
      <c r="F627" s="6">
        <v>30</v>
      </c>
      <c r="G627" s="5">
        <v>146</v>
      </c>
      <c r="H627" s="5">
        <v>579</v>
      </c>
    </row>
    <row r="628" spans="1:8" x14ac:dyDescent="0.25">
      <c r="A628" s="5" t="s">
        <v>7968</v>
      </c>
      <c r="B628" s="5" t="s">
        <v>73</v>
      </c>
      <c r="C628" s="5" t="s">
        <v>1734</v>
      </c>
      <c r="D628" s="5" t="s">
        <v>7876</v>
      </c>
      <c r="E628" s="6">
        <v>8</v>
      </c>
      <c r="F628" s="6">
        <v>24</v>
      </c>
      <c r="G628" s="5">
        <v>155</v>
      </c>
      <c r="H628" s="5">
        <v>468</v>
      </c>
    </row>
    <row r="629" spans="1:8" x14ac:dyDescent="0.25">
      <c r="A629" s="5" t="s">
        <v>7969</v>
      </c>
      <c r="B629" s="5" t="s">
        <v>73</v>
      </c>
      <c r="C629" s="5" t="s">
        <v>1734</v>
      </c>
      <c r="D629" s="5" t="s">
        <v>7876</v>
      </c>
      <c r="E629" s="6">
        <v>12</v>
      </c>
      <c r="F629" s="6">
        <v>18</v>
      </c>
      <c r="G629" s="5">
        <v>223</v>
      </c>
      <c r="H629" s="5">
        <v>335</v>
      </c>
    </row>
    <row r="630" spans="1:8" x14ac:dyDescent="0.25">
      <c r="A630" s="5" t="s">
        <v>7970</v>
      </c>
      <c r="B630" s="5" t="s">
        <v>73</v>
      </c>
      <c r="C630" s="5" t="s">
        <v>799</v>
      </c>
      <c r="D630" s="5" t="s">
        <v>7811</v>
      </c>
      <c r="E630" s="6">
        <v>32</v>
      </c>
      <c r="F630" s="6">
        <v>18</v>
      </c>
      <c r="G630" s="5">
        <v>606</v>
      </c>
      <c r="H630" s="5">
        <v>343</v>
      </c>
    </row>
    <row r="631" spans="1:8" x14ac:dyDescent="0.25">
      <c r="A631" s="5" t="s">
        <v>7971</v>
      </c>
      <c r="B631" s="5" t="s">
        <v>73</v>
      </c>
      <c r="C631" s="5" t="s">
        <v>799</v>
      </c>
      <c r="D631" s="5" t="s">
        <v>7811</v>
      </c>
      <c r="E631" s="6">
        <v>24</v>
      </c>
      <c r="F631" s="6">
        <v>22</v>
      </c>
      <c r="G631" s="5">
        <v>460</v>
      </c>
      <c r="H631" s="5">
        <v>405</v>
      </c>
    </row>
    <row r="632" spans="1:8" x14ac:dyDescent="0.25">
      <c r="A632" s="5" t="s">
        <v>7972</v>
      </c>
      <c r="B632" s="5" t="s">
        <v>73</v>
      </c>
      <c r="C632" s="5" t="s">
        <v>799</v>
      </c>
      <c r="D632" s="5" t="s">
        <v>7811</v>
      </c>
      <c r="E632" s="6">
        <v>23</v>
      </c>
      <c r="F632" s="6">
        <v>27</v>
      </c>
      <c r="G632" s="5">
        <v>450</v>
      </c>
      <c r="H632" s="5">
        <v>514</v>
      </c>
    </row>
    <row r="633" spans="1:8" x14ac:dyDescent="0.25">
      <c r="A633" s="5" t="s">
        <v>7973</v>
      </c>
      <c r="B633" s="5" t="s">
        <v>73</v>
      </c>
      <c r="C633" s="5" t="s">
        <v>799</v>
      </c>
      <c r="D633" s="5" t="s">
        <v>7811</v>
      </c>
      <c r="E633" s="6">
        <v>34</v>
      </c>
      <c r="F633" s="6">
        <v>26</v>
      </c>
      <c r="G633" s="5">
        <v>639</v>
      </c>
      <c r="H633" s="5">
        <v>503</v>
      </c>
    </row>
    <row r="634" spans="1:8" x14ac:dyDescent="0.25">
      <c r="A634" s="5" t="s">
        <v>7974</v>
      </c>
      <c r="B634" s="5" t="s">
        <v>73</v>
      </c>
      <c r="C634" s="5" t="s">
        <v>799</v>
      </c>
      <c r="D634" s="5" t="s">
        <v>7811</v>
      </c>
      <c r="E634" s="6">
        <v>30</v>
      </c>
      <c r="F634" s="6">
        <v>34</v>
      </c>
      <c r="G634" s="5">
        <v>565</v>
      </c>
      <c r="H634" s="5">
        <v>672</v>
      </c>
    </row>
    <row r="635" spans="1:8" x14ac:dyDescent="0.25">
      <c r="A635" s="5" t="s">
        <v>7975</v>
      </c>
      <c r="B635" s="5" t="s">
        <v>73</v>
      </c>
      <c r="C635" s="5" t="s">
        <v>799</v>
      </c>
      <c r="D635" s="5" t="s">
        <v>7820</v>
      </c>
      <c r="E635" s="6">
        <v>17</v>
      </c>
      <c r="F635" s="6">
        <v>34</v>
      </c>
      <c r="G635" s="5">
        <v>315</v>
      </c>
      <c r="H635" s="5">
        <v>651</v>
      </c>
    </row>
    <row r="636" spans="1:8" x14ac:dyDescent="0.25">
      <c r="A636" s="5" t="s">
        <v>7976</v>
      </c>
      <c r="B636" s="5" t="s">
        <v>73</v>
      </c>
      <c r="C636" s="5" t="s">
        <v>799</v>
      </c>
      <c r="D636" s="5" t="s">
        <v>7820</v>
      </c>
      <c r="E636" s="6">
        <v>12</v>
      </c>
      <c r="F636" s="6">
        <v>30</v>
      </c>
      <c r="G636" s="5">
        <v>215</v>
      </c>
      <c r="H636" s="5">
        <v>578</v>
      </c>
    </row>
    <row r="637" spans="1:8" x14ac:dyDescent="0.25">
      <c r="A637" s="5" t="s">
        <v>7977</v>
      </c>
      <c r="B637" s="5" t="s">
        <v>73</v>
      </c>
      <c r="C637" s="5" t="s">
        <v>799</v>
      </c>
      <c r="D637" s="5" t="s">
        <v>7821</v>
      </c>
      <c r="E637" s="6">
        <v>28</v>
      </c>
      <c r="F637" s="6">
        <v>11</v>
      </c>
      <c r="G637" s="5">
        <v>343</v>
      </c>
      <c r="H637" s="5">
        <v>303</v>
      </c>
    </row>
    <row r="638" spans="1:8" x14ac:dyDescent="0.25">
      <c r="A638" s="5" t="s">
        <v>7978</v>
      </c>
      <c r="B638" s="5" t="s">
        <v>73</v>
      </c>
      <c r="C638" s="5" t="s">
        <v>799</v>
      </c>
      <c r="D638" s="5" t="s">
        <v>7821</v>
      </c>
      <c r="E638" s="6">
        <v>27</v>
      </c>
      <c r="F638" s="6">
        <v>10</v>
      </c>
      <c r="G638" s="5">
        <v>532</v>
      </c>
      <c r="H638" s="5">
        <v>206</v>
      </c>
    </row>
    <row r="639" spans="1:8" x14ac:dyDescent="0.25">
      <c r="A639" s="5" t="s">
        <v>7979</v>
      </c>
      <c r="B639" s="5" t="s">
        <v>73</v>
      </c>
      <c r="C639" s="5" t="s">
        <v>799</v>
      </c>
      <c r="D639" s="5" t="s">
        <v>7821</v>
      </c>
      <c r="E639" s="6">
        <v>23</v>
      </c>
      <c r="F639" s="6">
        <v>11</v>
      </c>
      <c r="G639" s="5">
        <v>510</v>
      </c>
      <c r="H639" s="5">
        <v>184</v>
      </c>
    </row>
    <row r="640" spans="1:8" x14ac:dyDescent="0.25">
      <c r="A640" s="5" t="s">
        <v>7980</v>
      </c>
      <c r="B640" s="5" t="s">
        <v>73</v>
      </c>
      <c r="C640" s="5" t="s">
        <v>799</v>
      </c>
      <c r="D640" s="5" t="s">
        <v>7821</v>
      </c>
      <c r="E640" s="6">
        <v>21</v>
      </c>
      <c r="F640" s="6">
        <v>9</v>
      </c>
      <c r="G640" s="5">
        <v>443</v>
      </c>
      <c r="H640" s="5">
        <v>206</v>
      </c>
    </row>
    <row r="641" spans="1:8" x14ac:dyDescent="0.25">
      <c r="A641" s="5" t="s">
        <v>7981</v>
      </c>
      <c r="B641" s="5" t="s">
        <v>73</v>
      </c>
      <c r="C641" s="5" t="s">
        <v>799</v>
      </c>
      <c r="D641" s="5" t="s">
        <v>7821</v>
      </c>
      <c r="E641" s="6">
        <v>18</v>
      </c>
      <c r="F641" s="6">
        <v>10</v>
      </c>
      <c r="G641" s="5">
        <v>407</v>
      </c>
      <c r="H641" s="5">
        <v>165</v>
      </c>
    </row>
    <row r="642" spans="1:8" x14ac:dyDescent="0.25">
      <c r="A642" s="5" t="s">
        <v>7982</v>
      </c>
      <c r="B642" s="5" t="s">
        <v>73</v>
      </c>
      <c r="C642" s="5" t="s">
        <v>799</v>
      </c>
      <c r="D642" s="5" t="s">
        <v>7814</v>
      </c>
      <c r="E642" s="6">
        <v>17</v>
      </c>
      <c r="F642" s="6">
        <v>14</v>
      </c>
      <c r="G642" s="5">
        <v>343</v>
      </c>
      <c r="H642" s="5">
        <v>196</v>
      </c>
    </row>
    <row r="643" spans="1:8" x14ac:dyDescent="0.25">
      <c r="A643" s="5" t="s">
        <v>7983</v>
      </c>
      <c r="B643" s="5" t="s">
        <v>73</v>
      </c>
      <c r="C643" s="5" t="s">
        <v>799</v>
      </c>
      <c r="D643" s="5" t="s">
        <v>7821</v>
      </c>
      <c r="E643" s="6">
        <v>18</v>
      </c>
      <c r="F643" s="6">
        <v>16</v>
      </c>
      <c r="G643" s="5">
        <v>310</v>
      </c>
      <c r="H643" s="5">
        <v>262</v>
      </c>
    </row>
    <row r="644" spans="1:8" x14ac:dyDescent="0.25">
      <c r="A644" s="5" t="s">
        <v>7984</v>
      </c>
      <c r="B644" s="5" t="s">
        <v>73</v>
      </c>
      <c r="C644" s="5" t="s">
        <v>1889</v>
      </c>
      <c r="D644" s="5" t="s">
        <v>7811</v>
      </c>
      <c r="E644" s="6">
        <v>7</v>
      </c>
      <c r="F644" s="6">
        <v>5</v>
      </c>
      <c r="G644" s="5">
        <v>125</v>
      </c>
      <c r="H644" s="5">
        <v>83</v>
      </c>
    </row>
    <row r="645" spans="1:8" x14ac:dyDescent="0.25">
      <c r="A645" s="5" t="s">
        <v>7985</v>
      </c>
      <c r="B645" s="5" t="s">
        <v>73</v>
      </c>
      <c r="C645" s="5" t="s">
        <v>1889</v>
      </c>
      <c r="D645" s="5" t="s">
        <v>7818</v>
      </c>
      <c r="E645" s="6">
        <v>17</v>
      </c>
      <c r="F645" s="6">
        <v>11</v>
      </c>
      <c r="G645" s="5">
        <v>301</v>
      </c>
      <c r="H645" s="5">
        <v>186</v>
      </c>
    </row>
    <row r="646" spans="1:8" x14ac:dyDescent="0.25">
      <c r="A646" s="5" t="s">
        <v>7986</v>
      </c>
      <c r="B646" s="5" t="s">
        <v>73</v>
      </c>
      <c r="C646" s="5" t="s">
        <v>1889</v>
      </c>
      <c r="D646" s="5" t="s">
        <v>7820</v>
      </c>
      <c r="E646" s="6">
        <v>18</v>
      </c>
      <c r="F646" s="6">
        <v>8</v>
      </c>
      <c r="G646" s="5">
        <v>342</v>
      </c>
      <c r="H646" s="5">
        <v>149</v>
      </c>
    </row>
    <row r="647" spans="1:8" x14ac:dyDescent="0.25">
      <c r="A647" s="5" t="s">
        <v>7987</v>
      </c>
      <c r="B647" s="5" t="s">
        <v>73</v>
      </c>
      <c r="C647" s="5" t="s">
        <v>1889</v>
      </c>
      <c r="D647" s="5" t="s">
        <v>7820</v>
      </c>
      <c r="E647" s="6">
        <v>26</v>
      </c>
      <c r="F647" s="6">
        <v>6</v>
      </c>
      <c r="G647" s="5">
        <v>480</v>
      </c>
      <c r="H647" s="5">
        <v>116</v>
      </c>
    </row>
    <row r="648" spans="1:8" x14ac:dyDescent="0.25">
      <c r="A648" s="5" t="s">
        <v>7988</v>
      </c>
      <c r="B648" s="5" t="s">
        <v>73</v>
      </c>
      <c r="C648" s="5" t="s">
        <v>1889</v>
      </c>
      <c r="D648" s="5" t="s">
        <v>7811</v>
      </c>
      <c r="E648" s="6">
        <v>36</v>
      </c>
      <c r="F648" s="6">
        <v>18</v>
      </c>
      <c r="G648" s="5">
        <v>693</v>
      </c>
      <c r="H648" s="5">
        <v>335</v>
      </c>
    </row>
    <row r="649" spans="1:8" x14ac:dyDescent="0.25">
      <c r="A649" s="5" t="s">
        <v>7989</v>
      </c>
      <c r="B649" s="5" t="s">
        <v>73</v>
      </c>
      <c r="C649" s="5" t="s">
        <v>1889</v>
      </c>
      <c r="D649" s="5" t="s">
        <v>7818</v>
      </c>
      <c r="E649" s="6">
        <v>34</v>
      </c>
      <c r="F649" s="6">
        <v>21</v>
      </c>
      <c r="G649" s="5">
        <v>656</v>
      </c>
      <c r="H649" s="5">
        <v>391</v>
      </c>
    </row>
    <row r="650" spans="1:8" x14ac:dyDescent="0.25">
      <c r="A650" s="5" t="s">
        <v>7990</v>
      </c>
      <c r="B650" s="5" t="s">
        <v>73</v>
      </c>
      <c r="C650" s="5" t="s">
        <v>1889</v>
      </c>
      <c r="D650" s="5" t="s">
        <v>7820</v>
      </c>
      <c r="E650" s="6">
        <v>32</v>
      </c>
      <c r="F650" s="6">
        <v>24</v>
      </c>
      <c r="G650" s="5">
        <v>603</v>
      </c>
      <c r="H650" s="5">
        <v>454</v>
      </c>
    </row>
    <row r="651" spans="1:8" x14ac:dyDescent="0.25">
      <c r="A651" s="5" t="s">
        <v>7991</v>
      </c>
      <c r="B651" s="5" t="s">
        <v>73</v>
      </c>
      <c r="C651" s="5" t="s">
        <v>1889</v>
      </c>
      <c r="D651" s="5" t="s">
        <v>8000</v>
      </c>
      <c r="E651" s="6">
        <v>32</v>
      </c>
      <c r="F651" s="6">
        <v>37</v>
      </c>
      <c r="G651" s="5">
        <v>585</v>
      </c>
      <c r="H651" s="5">
        <v>733</v>
      </c>
    </row>
    <row r="652" spans="1:8" x14ac:dyDescent="0.25">
      <c r="A652" s="5" t="s">
        <v>7992</v>
      </c>
      <c r="B652" s="5" t="s">
        <v>73</v>
      </c>
      <c r="C652" s="5" t="s">
        <v>1889</v>
      </c>
      <c r="D652" s="5" t="s">
        <v>7821</v>
      </c>
      <c r="E652" s="6">
        <v>24</v>
      </c>
      <c r="F652" s="6">
        <v>32</v>
      </c>
      <c r="G652" s="5">
        <v>445</v>
      </c>
      <c r="H652" s="5">
        <v>628</v>
      </c>
    </row>
    <row r="653" spans="1:8" x14ac:dyDescent="0.25">
      <c r="A653" s="5" t="s">
        <v>7993</v>
      </c>
      <c r="B653" s="5" t="s">
        <v>73</v>
      </c>
      <c r="C653" s="5" t="s">
        <v>1889</v>
      </c>
      <c r="D653" s="5" t="s">
        <v>7821</v>
      </c>
      <c r="E653" s="6">
        <v>27</v>
      </c>
      <c r="F653" s="6">
        <v>30</v>
      </c>
      <c r="G653" s="5">
        <v>516</v>
      </c>
      <c r="H653" s="5">
        <v>598</v>
      </c>
    </row>
    <row r="654" spans="1:8" x14ac:dyDescent="0.25">
      <c r="A654" s="5" t="s">
        <v>7994</v>
      </c>
      <c r="B654" s="5" t="s">
        <v>73</v>
      </c>
      <c r="C654" s="5" t="s">
        <v>1889</v>
      </c>
      <c r="D654" s="5" t="s">
        <v>7814</v>
      </c>
      <c r="E654" s="6">
        <v>24</v>
      </c>
      <c r="F654" s="6">
        <v>26</v>
      </c>
      <c r="G654" s="5">
        <v>468</v>
      </c>
      <c r="H654" s="5">
        <v>486</v>
      </c>
    </row>
    <row r="655" spans="1:8" x14ac:dyDescent="0.25">
      <c r="A655" s="5" t="s">
        <v>7995</v>
      </c>
      <c r="B655" s="5" t="s">
        <v>73</v>
      </c>
      <c r="C655" s="5" t="s">
        <v>1889</v>
      </c>
      <c r="D655" s="5" t="s">
        <v>8000</v>
      </c>
      <c r="E655" s="6">
        <v>14</v>
      </c>
      <c r="F655" s="6">
        <v>14</v>
      </c>
      <c r="G655" s="5">
        <v>265</v>
      </c>
      <c r="H655" s="5">
        <v>244</v>
      </c>
    </row>
    <row r="656" spans="1:8" x14ac:dyDescent="0.25">
      <c r="A656" s="5" t="s">
        <v>7996</v>
      </c>
      <c r="B656" s="5" t="s">
        <v>73</v>
      </c>
      <c r="C656" s="5" t="s">
        <v>1889</v>
      </c>
      <c r="D656" s="5" t="s">
        <v>8000</v>
      </c>
      <c r="E656" s="6">
        <v>4</v>
      </c>
      <c r="F656" s="6">
        <v>22</v>
      </c>
      <c r="G656" s="5">
        <v>77</v>
      </c>
      <c r="H656" s="5">
        <v>420</v>
      </c>
    </row>
    <row r="657" spans="1:8" x14ac:dyDescent="0.25">
      <c r="A657" s="5" t="s">
        <v>7997</v>
      </c>
      <c r="B657" s="5" t="s">
        <v>73</v>
      </c>
      <c r="C657" s="5" t="s">
        <v>1889</v>
      </c>
      <c r="D657" s="5" t="s">
        <v>7821</v>
      </c>
      <c r="E657" s="6">
        <v>6</v>
      </c>
      <c r="F657" s="6">
        <v>29</v>
      </c>
      <c r="G657" s="5">
        <v>119</v>
      </c>
      <c r="H657" s="5">
        <v>563</v>
      </c>
    </row>
    <row r="658" spans="1:8" x14ac:dyDescent="0.25">
      <c r="A658" s="5" t="s">
        <v>7998</v>
      </c>
      <c r="B658" s="5" t="s">
        <v>73</v>
      </c>
      <c r="C658" s="5" t="s">
        <v>603</v>
      </c>
      <c r="D658" s="5" t="s">
        <v>7877</v>
      </c>
      <c r="E658" s="6">
        <v>5</v>
      </c>
      <c r="F658" s="6">
        <v>35</v>
      </c>
      <c r="G658" s="5">
        <v>92</v>
      </c>
      <c r="H658" s="5">
        <v>656</v>
      </c>
    </row>
    <row r="659" spans="1:8" x14ac:dyDescent="0.25">
      <c r="A659" s="5" t="s">
        <v>7999</v>
      </c>
      <c r="B659" s="5" t="s">
        <v>73</v>
      </c>
      <c r="C659" s="5" t="s">
        <v>603</v>
      </c>
      <c r="D659" s="5" t="s">
        <v>7820</v>
      </c>
      <c r="E659" s="6">
        <v>11</v>
      </c>
      <c r="F659" s="6">
        <v>32</v>
      </c>
      <c r="G659" s="5">
        <v>217</v>
      </c>
      <c r="H659" s="5">
        <v>621</v>
      </c>
    </row>
    <row r="660" spans="1:8" x14ac:dyDescent="0.25">
      <c r="A660" s="5" t="s">
        <v>8001</v>
      </c>
      <c r="B660" s="5" t="s">
        <v>73</v>
      </c>
      <c r="C660" s="5" t="s">
        <v>603</v>
      </c>
      <c r="D660" s="5" t="s">
        <v>7877</v>
      </c>
      <c r="E660" s="6">
        <v>7</v>
      </c>
      <c r="F660" s="6">
        <v>25</v>
      </c>
      <c r="G660" s="5">
        <v>134</v>
      </c>
      <c r="H660" s="5">
        <v>478</v>
      </c>
    </row>
    <row r="661" spans="1:8" x14ac:dyDescent="0.25">
      <c r="A661" s="5" t="s">
        <v>8002</v>
      </c>
      <c r="B661" s="5" t="s">
        <v>73</v>
      </c>
      <c r="C661" s="5" t="s">
        <v>603</v>
      </c>
      <c r="D661" s="5" t="s">
        <v>7820</v>
      </c>
      <c r="E661" s="6">
        <v>12</v>
      </c>
      <c r="F661" s="6">
        <v>28</v>
      </c>
      <c r="G661" s="5">
        <v>216</v>
      </c>
      <c r="H661" s="5">
        <v>530</v>
      </c>
    </row>
    <row r="662" spans="1:8" x14ac:dyDescent="0.25">
      <c r="A662" s="5" t="s">
        <v>8003</v>
      </c>
      <c r="B662" s="5" t="s">
        <v>73</v>
      </c>
      <c r="C662" s="5" t="s">
        <v>603</v>
      </c>
      <c r="D662" s="5" t="s">
        <v>7820</v>
      </c>
      <c r="E662" s="6">
        <v>17</v>
      </c>
      <c r="F662" s="6">
        <v>27</v>
      </c>
      <c r="G662" s="5">
        <v>328</v>
      </c>
      <c r="H662" s="5">
        <v>508</v>
      </c>
    </row>
    <row r="663" spans="1:8" x14ac:dyDescent="0.25">
      <c r="A663" s="5" t="s">
        <v>8004</v>
      </c>
      <c r="B663" s="5" t="s">
        <v>73</v>
      </c>
      <c r="C663" s="5" t="s">
        <v>603</v>
      </c>
      <c r="D663" s="5" t="s">
        <v>7877</v>
      </c>
      <c r="E663" s="6">
        <v>16</v>
      </c>
      <c r="F663" s="6">
        <v>22</v>
      </c>
      <c r="G663" s="5">
        <v>308</v>
      </c>
      <c r="H663" s="5">
        <v>429</v>
      </c>
    </row>
    <row r="664" spans="1:8" x14ac:dyDescent="0.25">
      <c r="A664" s="5" t="s">
        <v>8005</v>
      </c>
      <c r="B664" s="5" t="s">
        <v>73</v>
      </c>
      <c r="C664" s="5" t="s">
        <v>603</v>
      </c>
      <c r="D664" s="5" t="s">
        <v>7820</v>
      </c>
      <c r="E664" s="6">
        <v>23</v>
      </c>
      <c r="F664" s="6">
        <v>24</v>
      </c>
      <c r="G664" s="5">
        <v>438</v>
      </c>
      <c r="H664" s="5">
        <v>454</v>
      </c>
    </row>
    <row r="665" spans="1:8" x14ac:dyDescent="0.25">
      <c r="A665" s="5" t="s">
        <v>8006</v>
      </c>
      <c r="B665" s="5" t="s">
        <v>73</v>
      </c>
      <c r="C665" s="5" t="s">
        <v>603</v>
      </c>
      <c r="D665" s="5" t="s">
        <v>7811</v>
      </c>
      <c r="E665" s="6">
        <v>27</v>
      </c>
      <c r="F665" s="6">
        <v>29</v>
      </c>
      <c r="G665" s="5">
        <v>503</v>
      </c>
      <c r="H665" s="5">
        <v>551</v>
      </c>
    </row>
    <row r="666" spans="1:8" x14ac:dyDescent="0.25">
      <c r="A666" s="5" t="s">
        <v>8007</v>
      </c>
      <c r="B666" s="5" t="s">
        <v>73</v>
      </c>
      <c r="C666" s="5" t="s">
        <v>603</v>
      </c>
      <c r="D666" s="5" t="s">
        <v>7820</v>
      </c>
      <c r="E666" s="6">
        <v>23</v>
      </c>
      <c r="F666" s="6">
        <v>36</v>
      </c>
      <c r="G666" s="5">
        <v>441</v>
      </c>
      <c r="H666" s="5">
        <v>683</v>
      </c>
    </row>
    <row r="667" spans="1:8" x14ac:dyDescent="0.25">
      <c r="A667" s="5" t="s">
        <v>8008</v>
      </c>
      <c r="B667" s="5" t="s">
        <v>73</v>
      </c>
      <c r="C667" s="5" t="s">
        <v>603</v>
      </c>
      <c r="D667" s="5" t="s">
        <v>7821</v>
      </c>
      <c r="E667" s="6">
        <v>11</v>
      </c>
      <c r="F667" s="6">
        <v>7</v>
      </c>
      <c r="G667" s="5">
        <v>205</v>
      </c>
      <c r="H667" s="5">
        <v>144</v>
      </c>
    </row>
    <row r="668" spans="1:8" x14ac:dyDescent="0.25">
      <c r="A668" s="5" t="s">
        <v>8009</v>
      </c>
      <c r="B668" s="5" t="s">
        <v>73</v>
      </c>
      <c r="C668" s="5" t="s">
        <v>603</v>
      </c>
      <c r="D668" s="5" t="s">
        <v>7821</v>
      </c>
      <c r="E668" s="6">
        <v>9</v>
      </c>
      <c r="F668" s="6">
        <v>11</v>
      </c>
      <c r="G668" s="5">
        <v>147</v>
      </c>
      <c r="H668" s="5">
        <v>226</v>
      </c>
    </row>
    <row r="669" spans="1:8" x14ac:dyDescent="0.25">
      <c r="A669" s="5" t="s">
        <v>8010</v>
      </c>
      <c r="B669" s="5" t="s">
        <v>73</v>
      </c>
      <c r="C669" s="5" t="s">
        <v>603</v>
      </c>
      <c r="D669" s="5" t="s">
        <v>7819</v>
      </c>
      <c r="E669" s="6">
        <v>6</v>
      </c>
      <c r="F669" s="6">
        <v>14</v>
      </c>
      <c r="G669" s="5">
        <v>89</v>
      </c>
      <c r="H669" s="5">
        <v>264</v>
      </c>
    </row>
    <row r="670" spans="1:8" x14ac:dyDescent="0.25">
      <c r="A670" s="5" t="s">
        <v>8011</v>
      </c>
      <c r="B670" s="5" t="s">
        <v>73</v>
      </c>
      <c r="C670" s="5" t="s">
        <v>603</v>
      </c>
      <c r="D670" s="5" t="s">
        <v>7964</v>
      </c>
      <c r="E670" s="6">
        <v>25</v>
      </c>
      <c r="F670" s="6">
        <v>8</v>
      </c>
      <c r="G670" s="5">
        <v>527</v>
      </c>
      <c r="H670" s="5">
        <v>131</v>
      </c>
    </row>
    <row r="671" spans="1:8" x14ac:dyDescent="0.25">
      <c r="A671" s="5" t="s">
        <v>8012</v>
      </c>
      <c r="B671" s="5" t="s">
        <v>73</v>
      </c>
      <c r="C671" s="5" t="s">
        <v>603</v>
      </c>
      <c r="D671" s="5" t="s">
        <v>7819</v>
      </c>
      <c r="E671" s="6">
        <v>32</v>
      </c>
      <c r="F671" s="6">
        <v>7</v>
      </c>
      <c r="G671" s="5">
        <v>597</v>
      </c>
      <c r="H671" s="5">
        <v>134</v>
      </c>
    </row>
    <row r="672" spans="1:8" x14ac:dyDescent="0.25">
      <c r="A672" s="5" t="s">
        <v>8013</v>
      </c>
      <c r="B672" s="5" t="s">
        <v>73</v>
      </c>
      <c r="C672" s="5" t="s">
        <v>603</v>
      </c>
      <c r="D672" s="5" t="s">
        <v>7821</v>
      </c>
      <c r="E672" s="6">
        <v>36</v>
      </c>
      <c r="F672" s="6">
        <v>12</v>
      </c>
      <c r="G672" s="5">
        <v>685</v>
      </c>
      <c r="H672" s="5">
        <v>225</v>
      </c>
    </row>
    <row r="673" spans="1:8" x14ac:dyDescent="0.25">
      <c r="A673" s="5" t="s">
        <v>8014</v>
      </c>
      <c r="B673" s="5" t="s">
        <v>73</v>
      </c>
      <c r="C673" s="5" t="s">
        <v>603</v>
      </c>
      <c r="D673" s="5" t="s">
        <v>7964</v>
      </c>
      <c r="E673" s="6">
        <v>26</v>
      </c>
      <c r="F673" s="6">
        <v>11</v>
      </c>
      <c r="G673" s="5">
        <v>497</v>
      </c>
      <c r="H673" s="5">
        <v>215</v>
      </c>
    </row>
    <row r="674" spans="1:8" x14ac:dyDescent="0.25">
      <c r="A674" s="5" t="s">
        <v>8015</v>
      </c>
      <c r="B674" s="5" t="s">
        <v>73</v>
      </c>
      <c r="C674" s="5" t="s">
        <v>603</v>
      </c>
      <c r="D674" s="5" t="s">
        <v>7821</v>
      </c>
      <c r="E674" s="6">
        <v>23</v>
      </c>
      <c r="F674" s="6">
        <v>14</v>
      </c>
      <c r="G674" s="5">
        <v>434</v>
      </c>
      <c r="H674" s="5">
        <v>267</v>
      </c>
    </row>
    <row r="675" spans="1:8" x14ac:dyDescent="0.25">
      <c r="A675" s="5" t="s">
        <v>8016</v>
      </c>
      <c r="B675" s="5" t="s">
        <v>73</v>
      </c>
      <c r="C675" s="5" t="s">
        <v>603</v>
      </c>
      <c r="D675" s="5" t="s">
        <v>8000</v>
      </c>
      <c r="E675" s="6">
        <v>25</v>
      </c>
      <c r="F675" s="6">
        <v>20</v>
      </c>
      <c r="G675" s="5">
        <v>486</v>
      </c>
      <c r="H675" s="5">
        <v>381</v>
      </c>
    </row>
    <row r="676" spans="1:8" x14ac:dyDescent="0.25">
      <c r="A676" s="5" t="s">
        <v>8017</v>
      </c>
      <c r="B676" s="5" t="s">
        <v>73</v>
      </c>
      <c r="C676" s="5" t="s">
        <v>1972</v>
      </c>
      <c r="D676" s="5" t="s">
        <v>7820</v>
      </c>
      <c r="E676" s="6">
        <v>28</v>
      </c>
      <c r="F676" s="6">
        <v>26</v>
      </c>
      <c r="G676" s="5">
        <v>533</v>
      </c>
      <c r="H676" s="5">
        <v>494</v>
      </c>
    </row>
    <row r="677" spans="1:8" x14ac:dyDescent="0.25">
      <c r="A677" s="5" t="s">
        <v>8018</v>
      </c>
      <c r="B677" s="5" t="s">
        <v>73</v>
      </c>
      <c r="C677" s="5" t="s">
        <v>1972</v>
      </c>
      <c r="D677" s="5" t="s">
        <v>7820</v>
      </c>
      <c r="E677" s="6">
        <v>28</v>
      </c>
      <c r="F677" s="6">
        <v>18</v>
      </c>
      <c r="G677" s="5">
        <v>521</v>
      </c>
      <c r="H677" s="5">
        <v>355</v>
      </c>
    </row>
    <row r="678" spans="1:8" x14ac:dyDescent="0.25">
      <c r="A678" s="5" t="s">
        <v>8019</v>
      </c>
      <c r="B678" s="5" t="s">
        <v>73</v>
      </c>
      <c r="C678" s="5" t="s">
        <v>1972</v>
      </c>
      <c r="D678" s="5" t="s">
        <v>7820</v>
      </c>
      <c r="E678" s="6">
        <v>22</v>
      </c>
      <c r="F678" s="6">
        <v>16</v>
      </c>
      <c r="G678" s="5">
        <v>410</v>
      </c>
      <c r="H678" s="5">
        <v>299</v>
      </c>
    </row>
    <row r="679" spans="1:8" x14ac:dyDescent="0.25">
      <c r="A679" s="5" t="s">
        <v>8020</v>
      </c>
      <c r="B679" s="5" t="s">
        <v>73</v>
      </c>
      <c r="C679" s="5" t="s">
        <v>1972</v>
      </c>
      <c r="D679" s="5" t="s">
        <v>7820</v>
      </c>
      <c r="E679" s="6">
        <v>17</v>
      </c>
      <c r="F679" s="6">
        <v>18</v>
      </c>
      <c r="G679" s="5">
        <v>319</v>
      </c>
      <c r="H679" s="5">
        <v>351</v>
      </c>
    </row>
    <row r="680" spans="1:8" x14ac:dyDescent="0.25">
      <c r="A680" s="5" t="s">
        <v>8021</v>
      </c>
      <c r="B680" s="5" t="s">
        <v>73</v>
      </c>
      <c r="C680" s="5" t="s">
        <v>1972</v>
      </c>
      <c r="D680" s="5" t="s">
        <v>7820</v>
      </c>
      <c r="E680" s="6">
        <v>12</v>
      </c>
      <c r="F680" s="6">
        <v>17</v>
      </c>
      <c r="G680" s="5">
        <v>222</v>
      </c>
      <c r="H680" s="5">
        <v>315</v>
      </c>
    </row>
    <row r="681" spans="1:8" x14ac:dyDescent="0.25">
      <c r="A681" s="5" t="s">
        <v>8022</v>
      </c>
      <c r="B681" s="5" t="s">
        <v>73</v>
      </c>
      <c r="C681" s="5" t="s">
        <v>1972</v>
      </c>
      <c r="D681" s="5" t="s">
        <v>7820</v>
      </c>
      <c r="E681" s="6">
        <v>13</v>
      </c>
      <c r="F681" s="6">
        <v>9</v>
      </c>
      <c r="G681" s="5">
        <v>243</v>
      </c>
      <c r="H681" s="5">
        <v>182</v>
      </c>
    </row>
    <row r="682" spans="1:8" x14ac:dyDescent="0.25">
      <c r="A682" s="5" t="s">
        <v>8023</v>
      </c>
      <c r="B682" s="5" t="s">
        <v>73</v>
      </c>
      <c r="C682" s="5" t="s">
        <v>1972</v>
      </c>
      <c r="D682" s="5" t="s">
        <v>7820</v>
      </c>
      <c r="E682" s="6">
        <v>19</v>
      </c>
      <c r="F682" s="6">
        <v>10</v>
      </c>
      <c r="G682" s="5">
        <v>365</v>
      </c>
      <c r="H682" s="5">
        <v>182</v>
      </c>
    </row>
    <row r="683" spans="1:8" x14ac:dyDescent="0.25">
      <c r="A683" s="5" t="s">
        <v>8024</v>
      </c>
      <c r="B683" s="5" t="s">
        <v>73</v>
      </c>
      <c r="C683" s="5" t="s">
        <v>1972</v>
      </c>
      <c r="D683" s="5" t="s">
        <v>7820</v>
      </c>
      <c r="E683" s="6">
        <v>27</v>
      </c>
      <c r="F683" s="6">
        <v>8</v>
      </c>
      <c r="G683" s="5">
        <v>515</v>
      </c>
      <c r="H683" s="5">
        <v>153</v>
      </c>
    </row>
    <row r="684" spans="1:8" x14ac:dyDescent="0.25">
      <c r="A684" s="5" t="s">
        <v>8025</v>
      </c>
      <c r="B684" s="5" t="s">
        <v>73</v>
      </c>
      <c r="C684" s="5" t="s">
        <v>1972</v>
      </c>
      <c r="D684" s="5" t="s">
        <v>7820</v>
      </c>
      <c r="E684" s="6">
        <v>35</v>
      </c>
      <c r="F684" s="6">
        <v>15</v>
      </c>
      <c r="G684" s="5">
        <v>671</v>
      </c>
      <c r="H684" s="5">
        <v>272</v>
      </c>
    </row>
    <row r="685" spans="1:8" x14ac:dyDescent="0.25">
      <c r="A685" s="5" t="s">
        <v>8026</v>
      </c>
      <c r="B685" s="5" t="s">
        <v>73</v>
      </c>
      <c r="C685" s="5" t="s">
        <v>1972</v>
      </c>
      <c r="D685" s="5" t="s">
        <v>7821</v>
      </c>
      <c r="E685" s="6">
        <v>24</v>
      </c>
      <c r="F685" s="6">
        <v>30</v>
      </c>
      <c r="G685" s="5">
        <v>451</v>
      </c>
      <c r="H685" s="5">
        <v>581</v>
      </c>
    </row>
    <row r="686" spans="1:8" x14ac:dyDescent="0.25">
      <c r="A686" s="5" t="s">
        <v>8027</v>
      </c>
      <c r="B686" s="5" t="s">
        <v>73</v>
      </c>
      <c r="C686" s="5" t="s">
        <v>1972</v>
      </c>
      <c r="D686" s="5" t="s">
        <v>7821</v>
      </c>
      <c r="E686" s="6">
        <v>26</v>
      </c>
      <c r="F686" s="6">
        <v>34</v>
      </c>
      <c r="G686" s="5">
        <v>501</v>
      </c>
      <c r="H686" s="5">
        <v>650</v>
      </c>
    </row>
    <row r="687" spans="1:8" x14ac:dyDescent="0.25">
      <c r="A687" s="5" t="s">
        <v>8028</v>
      </c>
      <c r="B687" s="5" t="s">
        <v>73</v>
      </c>
      <c r="C687" s="5" t="s">
        <v>1972</v>
      </c>
      <c r="D687" s="5" t="s">
        <v>7821</v>
      </c>
      <c r="E687" s="6">
        <v>21</v>
      </c>
      <c r="F687" s="6">
        <v>34</v>
      </c>
      <c r="G687" s="5">
        <v>409</v>
      </c>
      <c r="H687" s="5">
        <v>648</v>
      </c>
    </row>
    <row r="688" spans="1:8" x14ac:dyDescent="0.25">
      <c r="A688" s="5" t="s">
        <v>8029</v>
      </c>
      <c r="B688" s="5" t="s">
        <v>73</v>
      </c>
      <c r="C688" s="5" t="s">
        <v>1972</v>
      </c>
      <c r="D688" s="5" t="s">
        <v>7821</v>
      </c>
      <c r="E688" s="6">
        <v>17</v>
      </c>
      <c r="F688" s="6">
        <v>33</v>
      </c>
      <c r="G688" s="5">
        <v>311</v>
      </c>
      <c r="H688" s="5">
        <v>646</v>
      </c>
    </row>
    <row r="689" spans="1:8" x14ac:dyDescent="0.25">
      <c r="A689" s="5" t="s">
        <v>8030</v>
      </c>
      <c r="B689" s="5" t="s">
        <v>73</v>
      </c>
      <c r="C689" s="5" t="s">
        <v>1972</v>
      </c>
      <c r="D689" s="5" t="s">
        <v>7821</v>
      </c>
      <c r="E689" s="6">
        <v>14</v>
      </c>
      <c r="F689" s="6">
        <v>30</v>
      </c>
      <c r="G689" s="5">
        <v>299</v>
      </c>
      <c r="H689" s="5">
        <v>580</v>
      </c>
    </row>
    <row r="690" spans="1:8" x14ac:dyDescent="0.25">
      <c r="A690" s="5" t="s">
        <v>8031</v>
      </c>
      <c r="B690" s="5" t="s">
        <v>73</v>
      </c>
      <c r="C690" s="5" t="s">
        <v>1972</v>
      </c>
      <c r="D690" s="5" t="s">
        <v>7821</v>
      </c>
      <c r="E690" s="6">
        <v>15</v>
      </c>
      <c r="F690" s="6">
        <v>26</v>
      </c>
      <c r="G690" s="5">
        <v>273</v>
      </c>
      <c r="H690" s="5">
        <v>473</v>
      </c>
    </row>
    <row r="691" spans="1:8" x14ac:dyDescent="0.25">
      <c r="A691" s="5" t="s">
        <v>8032</v>
      </c>
      <c r="B691" s="5" t="s">
        <v>73</v>
      </c>
      <c r="C691" s="5" t="s">
        <v>1972</v>
      </c>
      <c r="D691" s="5" t="s">
        <v>7821</v>
      </c>
      <c r="E691" s="6">
        <v>11</v>
      </c>
      <c r="F691" s="6">
        <v>28</v>
      </c>
      <c r="G691" s="5">
        <v>206</v>
      </c>
      <c r="H691" s="5">
        <v>529</v>
      </c>
    </row>
    <row r="692" spans="1:8" x14ac:dyDescent="0.25">
      <c r="A692" s="5" t="s">
        <v>8033</v>
      </c>
      <c r="B692" s="5" t="s">
        <v>73</v>
      </c>
      <c r="C692" s="5" t="s">
        <v>1972</v>
      </c>
      <c r="D692" s="5" t="s">
        <v>7821</v>
      </c>
      <c r="E692" s="6">
        <v>9</v>
      </c>
      <c r="F692" s="6">
        <v>25</v>
      </c>
      <c r="G692" s="5">
        <v>171</v>
      </c>
      <c r="H692" s="5">
        <v>481</v>
      </c>
    </row>
    <row r="693" spans="1:8" x14ac:dyDescent="0.25">
      <c r="A693" s="5" t="s">
        <v>8034</v>
      </c>
      <c r="B693" s="5" t="s">
        <v>73</v>
      </c>
      <c r="C693" s="5" t="s">
        <v>1972</v>
      </c>
      <c r="D693" s="5" t="s">
        <v>7821</v>
      </c>
      <c r="E693" s="6">
        <v>9</v>
      </c>
      <c r="F693" s="6">
        <v>22</v>
      </c>
      <c r="G693" s="5">
        <v>166</v>
      </c>
      <c r="H693" s="5">
        <v>412</v>
      </c>
    </row>
    <row r="694" spans="1:8" x14ac:dyDescent="0.25">
      <c r="A694" s="5" t="s">
        <v>8035</v>
      </c>
      <c r="B694" s="5" t="s">
        <v>73</v>
      </c>
      <c r="C694" s="5" t="s">
        <v>637</v>
      </c>
      <c r="D694" s="5" t="s">
        <v>7820</v>
      </c>
      <c r="E694" s="6">
        <v>14</v>
      </c>
      <c r="F694" s="6">
        <v>20</v>
      </c>
      <c r="G694" s="5">
        <v>255</v>
      </c>
      <c r="H694" s="5">
        <v>393</v>
      </c>
    </row>
    <row r="695" spans="1:8" x14ac:dyDescent="0.25">
      <c r="A695" s="5" t="s">
        <v>8036</v>
      </c>
      <c r="B695" s="5" t="s">
        <v>73</v>
      </c>
      <c r="C695" s="5" t="s">
        <v>637</v>
      </c>
      <c r="D695" s="5" t="s">
        <v>7811</v>
      </c>
      <c r="E695" s="6">
        <v>25</v>
      </c>
      <c r="F695" s="6">
        <v>17</v>
      </c>
      <c r="G695" s="5">
        <v>469</v>
      </c>
      <c r="H695" s="5">
        <v>296</v>
      </c>
    </row>
    <row r="696" spans="1:8" x14ac:dyDescent="0.25">
      <c r="A696" s="5" t="s">
        <v>8037</v>
      </c>
      <c r="B696" s="5" t="s">
        <v>73</v>
      </c>
      <c r="C696" s="5" t="s">
        <v>637</v>
      </c>
      <c r="D696" s="5" t="s">
        <v>7820</v>
      </c>
      <c r="E696" s="6">
        <v>18</v>
      </c>
      <c r="F696" s="6">
        <v>26</v>
      </c>
      <c r="G696" s="5">
        <v>336</v>
      </c>
      <c r="H696" s="5">
        <v>474</v>
      </c>
    </row>
    <row r="697" spans="1:8" x14ac:dyDescent="0.25">
      <c r="A697" s="5" t="s">
        <v>8038</v>
      </c>
      <c r="B697" s="5" t="s">
        <v>73</v>
      </c>
      <c r="C697" s="5" t="s">
        <v>637</v>
      </c>
      <c r="D697" s="5" t="s">
        <v>7811</v>
      </c>
      <c r="E697" s="6">
        <v>24</v>
      </c>
      <c r="F697" s="6">
        <v>26</v>
      </c>
      <c r="G697" s="5">
        <v>436</v>
      </c>
      <c r="H697" s="5">
        <v>479</v>
      </c>
    </row>
    <row r="698" spans="1:8" x14ac:dyDescent="0.25">
      <c r="A698" s="5" t="s">
        <v>8039</v>
      </c>
      <c r="B698" s="5" t="s">
        <v>73</v>
      </c>
      <c r="C698" s="5" t="s">
        <v>637</v>
      </c>
      <c r="D698" s="5" t="s">
        <v>8186</v>
      </c>
      <c r="E698" s="6">
        <v>19</v>
      </c>
      <c r="F698" s="6">
        <v>32</v>
      </c>
      <c r="G698" s="5">
        <v>360</v>
      </c>
      <c r="H698" s="5">
        <v>593</v>
      </c>
    </row>
    <row r="699" spans="1:8" x14ac:dyDescent="0.25">
      <c r="A699" s="5" t="s">
        <v>8040</v>
      </c>
      <c r="B699" s="5" t="s">
        <v>73</v>
      </c>
      <c r="C699" s="5" t="s">
        <v>637</v>
      </c>
      <c r="D699" s="5" t="s">
        <v>7820</v>
      </c>
      <c r="E699" s="6">
        <v>25</v>
      </c>
      <c r="F699" s="6">
        <v>33</v>
      </c>
      <c r="G699" s="5">
        <v>454</v>
      </c>
      <c r="H699" s="5">
        <v>623</v>
      </c>
    </row>
    <row r="700" spans="1:8" x14ac:dyDescent="0.25">
      <c r="A700" s="5" t="s">
        <v>8041</v>
      </c>
      <c r="B700" s="5" t="s">
        <v>73</v>
      </c>
      <c r="C700" s="5" t="s">
        <v>637</v>
      </c>
      <c r="D700" s="5" t="s">
        <v>7821</v>
      </c>
      <c r="E700" s="6">
        <v>30</v>
      </c>
      <c r="F700" s="6">
        <v>36</v>
      </c>
      <c r="G700" s="5">
        <v>569</v>
      </c>
      <c r="H700" s="5">
        <v>683</v>
      </c>
    </row>
    <row r="701" spans="1:8" x14ac:dyDescent="0.25">
      <c r="A701" s="5" t="s">
        <v>8042</v>
      </c>
      <c r="B701" s="5" t="s">
        <v>73</v>
      </c>
      <c r="C701" s="5" t="s">
        <v>637</v>
      </c>
      <c r="D701" s="5" t="s">
        <v>7964</v>
      </c>
      <c r="E701" s="6">
        <v>6</v>
      </c>
      <c r="F701" s="6">
        <v>31</v>
      </c>
      <c r="G701" s="5">
        <v>118</v>
      </c>
      <c r="H701" s="5">
        <v>584</v>
      </c>
    </row>
    <row r="702" spans="1:8" x14ac:dyDescent="0.25">
      <c r="A702" s="5" t="s">
        <v>8043</v>
      </c>
      <c r="B702" s="5" t="s">
        <v>73</v>
      </c>
      <c r="C702" s="5" t="s">
        <v>637</v>
      </c>
      <c r="D702" s="5" t="s">
        <v>7876</v>
      </c>
      <c r="E702" s="6">
        <v>4</v>
      </c>
      <c r="F702" s="6">
        <v>28</v>
      </c>
      <c r="G702" s="5">
        <v>70</v>
      </c>
      <c r="H702" s="5">
        <v>542</v>
      </c>
    </row>
    <row r="703" spans="1:8" x14ac:dyDescent="0.25">
      <c r="A703" s="5" t="s">
        <v>8044</v>
      </c>
      <c r="B703" s="5" t="s">
        <v>73</v>
      </c>
      <c r="C703" s="5" t="s">
        <v>637</v>
      </c>
      <c r="D703" s="5" t="s">
        <v>7821</v>
      </c>
      <c r="E703" s="6">
        <v>7</v>
      </c>
      <c r="F703" s="6">
        <v>26</v>
      </c>
      <c r="G703" s="5">
        <v>123</v>
      </c>
      <c r="H703" s="5">
        <v>489</v>
      </c>
    </row>
    <row r="704" spans="1:8" x14ac:dyDescent="0.25">
      <c r="A704" s="5" t="s">
        <v>8045</v>
      </c>
      <c r="B704" s="5" t="s">
        <v>73</v>
      </c>
      <c r="C704" s="5" t="s">
        <v>637</v>
      </c>
      <c r="D704" s="5" t="s">
        <v>8000</v>
      </c>
      <c r="E704" s="6">
        <v>7</v>
      </c>
      <c r="F704" s="6">
        <v>13</v>
      </c>
      <c r="G704" s="5">
        <v>131</v>
      </c>
      <c r="H704" s="5">
        <v>251</v>
      </c>
    </row>
    <row r="705" spans="1:8" x14ac:dyDescent="0.25">
      <c r="A705" s="5" t="s">
        <v>8046</v>
      </c>
      <c r="B705" s="5" t="s">
        <v>73</v>
      </c>
      <c r="C705" s="5" t="s">
        <v>637</v>
      </c>
      <c r="D705" s="5" t="s">
        <v>7819</v>
      </c>
      <c r="E705" s="6">
        <v>6</v>
      </c>
      <c r="F705" s="6">
        <v>8</v>
      </c>
      <c r="G705" s="5">
        <v>109</v>
      </c>
      <c r="H705" s="5">
        <v>140</v>
      </c>
    </row>
    <row r="706" spans="1:8" x14ac:dyDescent="0.25">
      <c r="A706" s="5" t="s">
        <v>8047</v>
      </c>
      <c r="B706" s="5" t="s">
        <v>73</v>
      </c>
      <c r="C706" s="5" t="s">
        <v>637</v>
      </c>
      <c r="D706" s="5" t="s">
        <v>7814</v>
      </c>
      <c r="E706" s="6">
        <v>18</v>
      </c>
      <c r="F706" s="6">
        <v>7</v>
      </c>
      <c r="G706" s="5">
        <v>33</v>
      </c>
      <c r="H706" s="5">
        <v>123</v>
      </c>
    </row>
    <row r="707" spans="1:8" x14ac:dyDescent="0.25">
      <c r="A707" s="5" t="s">
        <v>8048</v>
      </c>
      <c r="B707" s="5" t="s">
        <v>73</v>
      </c>
      <c r="C707" s="5" t="s">
        <v>637</v>
      </c>
      <c r="D707" s="5" t="s">
        <v>7821</v>
      </c>
      <c r="E707" s="6">
        <v>28</v>
      </c>
      <c r="F707" s="6">
        <v>7</v>
      </c>
      <c r="G707" s="5">
        <v>546</v>
      </c>
      <c r="H707" s="5">
        <v>133</v>
      </c>
    </row>
    <row r="708" spans="1:8" x14ac:dyDescent="0.25">
      <c r="A708" s="5" t="s">
        <v>8049</v>
      </c>
      <c r="B708" s="5" t="s">
        <v>73</v>
      </c>
      <c r="C708" s="5" t="s">
        <v>637</v>
      </c>
      <c r="D708" s="5" t="s">
        <v>7876</v>
      </c>
      <c r="E708" s="6">
        <v>35</v>
      </c>
      <c r="F708" s="6">
        <v>11</v>
      </c>
      <c r="G708" s="5">
        <v>674</v>
      </c>
      <c r="H708" s="5">
        <v>193</v>
      </c>
    </row>
    <row r="709" spans="1:8" x14ac:dyDescent="0.25">
      <c r="A709" s="5" t="s">
        <v>8050</v>
      </c>
      <c r="B709" s="5" t="s">
        <v>73</v>
      </c>
      <c r="C709" s="5" t="s">
        <v>637</v>
      </c>
      <c r="D709" s="5" t="s">
        <v>7814</v>
      </c>
      <c r="E709" s="6">
        <v>23</v>
      </c>
      <c r="F709" s="6">
        <v>11</v>
      </c>
      <c r="G709" s="5">
        <v>427</v>
      </c>
      <c r="H709" s="5">
        <v>179</v>
      </c>
    </row>
    <row r="710" spans="1:8" x14ac:dyDescent="0.25">
      <c r="A710" s="5" t="s">
        <v>8052</v>
      </c>
      <c r="B710" s="5" t="s">
        <v>73</v>
      </c>
      <c r="C710" s="5" t="s">
        <v>637</v>
      </c>
      <c r="D710" s="5" t="s">
        <v>7847</v>
      </c>
      <c r="E710" s="6">
        <v>3</v>
      </c>
      <c r="F710" s="6">
        <v>34</v>
      </c>
      <c r="G710" s="5">
        <v>183</v>
      </c>
      <c r="H710" s="5">
        <v>636</v>
      </c>
    </row>
    <row r="711" spans="1:8" x14ac:dyDescent="0.25">
      <c r="A711" s="5" t="s">
        <v>8053</v>
      </c>
      <c r="B711" s="5" t="s">
        <v>73</v>
      </c>
      <c r="C711" s="5" t="s">
        <v>637</v>
      </c>
      <c r="D711" s="5" t="s">
        <v>8051</v>
      </c>
      <c r="E711" s="6">
        <v>11</v>
      </c>
      <c r="F711" s="6">
        <v>34</v>
      </c>
      <c r="G711" s="5">
        <v>39</v>
      </c>
      <c r="H711" s="5">
        <v>666</v>
      </c>
    </row>
    <row r="712" spans="1:8" x14ac:dyDescent="0.25">
      <c r="A712" s="5" t="s">
        <v>8054</v>
      </c>
      <c r="B712" s="5" t="s">
        <v>73</v>
      </c>
      <c r="C712" s="5" t="s">
        <v>637</v>
      </c>
      <c r="D712" s="5" t="s">
        <v>7814</v>
      </c>
      <c r="E712" s="6">
        <v>17.600000000000001</v>
      </c>
      <c r="F712" s="6">
        <v>7.4</v>
      </c>
      <c r="G712" s="5">
        <v>330</v>
      </c>
      <c r="H712" s="5">
        <v>122</v>
      </c>
    </row>
    <row r="713" spans="1:8" x14ac:dyDescent="0.25">
      <c r="A713" s="5" t="s">
        <v>8055</v>
      </c>
      <c r="B713" s="5" t="s">
        <v>73</v>
      </c>
      <c r="C713" s="5" t="s">
        <v>637</v>
      </c>
      <c r="D713" s="5" t="s">
        <v>7814</v>
      </c>
      <c r="E713" s="6">
        <v>26.9</v>
      </c>
      <c r="F713" s="6">
        <v>34.1</v>
      </c>
      <c r="G713" s="5">
        <v>505</v>
      </c>
      <c r="H713" s="5">
        <v>649</v>
      </c>
    </row>
    <row r="714" spans="1:8" x14ac:dyDescent="0.25">
      <c r="A714" s="5" t="s">
        <v>8056</v>
      </c>
      <c r="B714" s="5" t="s">
        <v>102</v>
      </c>
      <c r="C714" s="5" t="s">
        <v>562</v>
      </c>
      <c r="D714" s="5" t="s">
        <v>7818</v>
      </c>
      <c r="E714" s="6">
        <v>23</v>
      </c>
      <c r="F714" s="6">
        <v>12</v>
      </c>
      <c r="G714" s="5">
        <v>431</v>
      </c>
      <c r="H714" s="5">
        <v>214</v>
      </c>
    </row>
    <row r="715" spans="1:8" x14ac:dyDescent="0.25">
      <c r="A715" s="5" t="s">
        <v>8057</v>
      </c>
      <c r="B715" s="5" t="s">
        <v>102</v>
      </c>
      <c r="C715" s="5" t="s">
        <v>562</v>
      </c>
      <c r="D715" s="5" t="s">
        <v>7818</v>
      </c>
      <c r="E715" s="6">
        <v>27</v>
      </c>
      <c r="F715" s="6">
        <v>15</v>
      </c>
      <c r="G715" s="5">
        <v>513</v>
      </c>
      <c r="H715" s="5">
        <v>275</v>
      </c>
    </row>
    <row r="716" spans="1:8" x14ac:dyDescent="0.25">
      <c r="A716" s="5" t="s">
        <v>8058</v>
      </c>
      <c r="B716" s="5" t="s">
        <v>102</v>
      </c>
      <c r="C716" s="5" t="s">
        <v>562</v>
      </c>
      <c r="D716" s="5" t="s">
        <v>7816</v>
      </c>
      <c r="E716" s="6">
        <v>29</v>
      </c>
      <c r="F716" s="6">
        <v>19</v>
      </c>
      <c r="G716" s="5">
        <v>559</v>
      </c>
      <c r="H716" s="5">
        <v>349</v>
      </c>
    </row>
    <row r="717" spans="1:8" x14ac:dyDescent="0.25">
      <c r="A717" s="5" t="s">
        <v>8059</v>
      </c>
      <c r="B717" s="5" t="s">
        <v>102</v>
      </c>
      <c r="C717" s="5" t="s">
        <v>562</v>
      </c>
      <c r="D717" s="5" t="s">
        <v>7811</v>
      </c>
      <c r="E717" s="6">
        <v>8</v>
      </c>
      <c r="F717" s="6">
        <v>23</v>
      </c>
      <c r="G717" s="5">
        <v>142</v>
      </c>
      <c r="H717" s="5">
        <v>418</v>
      </c>
    </row>
    <row r="718" spans="1:8" x14ac:dyDescent="0.25">
      <c r="A718" s="5" t="s">
        <v>8060</v>
      </c>
      <c r="B718" s="5" t="s">
        <v>102</v>
      </c>
      <c r="C718" s="5" t="s">
        <v>562</v>
      </c>
      <c r="D718" s="5" t="s">
        <v>7816</v>
      </c>
      <c r="E718" s="6">
        <v>12</v>
      </c>
      <c r="F718" s="6">
        <v>17</v>
      </c>
      <c r="G718" s="5">
        <v>219</v>
      </c>
      <c r="H718" s="5">
        <v>309</v>
      </c>
    </row>
    <row r="719" spans="1:8" x14ac:dyDescent="0.25">
      <c r="A719" s="5" t="s">
        <v>8061</v>
      </c>
      <c r="B719" s="5" t="s">
        <v>102</v>
      </c>
      <c r="C719" s="5" t="s">
        <v>562</v>
      </c>
      <c r="D719" s="5" t="s">
        <v>7816</v>
      </c>
      <c r="E719" s="6">
        <v>11</v>
      </c>
      <c r="F719" s="6">
        <v>12</v>
      </c>
      <c r="G719" s="5">
        <v>196</v>
      </c>
      <c r="H719" s="5">
        <v>211</v>
      </c>
    </row>
    <row r="720" spans="1:8" x14ac:dyDescent="0.25">
      <c r="A720" s="5" t="s">
        <v>8062</v>
      </c>
      <c r="B720" s="5" t="s">
        <v>102</v>
      </c>
      <c r="C720" s="5" t="s">
        <v>562</v>
      </c>
      <c r="D720" s="5" t="s">
        <v>7874</v>
      </c>
      <c r="E720" s="6">
        <v>14</v>
      </c>
      <c r="F720" s="6">
        <v>25</v>
      </c>
      <c r="G720" s="5">
        <v>252</v>
      </c>
      <c r="H720" s="5">
        <v>465</v>
      </c>
    </row>
    <row r="721" spans="1:8" x14ac:dyDescent="0.25">
      <c r="A721" s="5" t="s">
        <v>8063</v>
      </c>
      <c r="B721" s="5" t="s">
        <v>102</v>
      </c>
      <c r="C721" s="5" t="s">
        <v>562</v>
      </c>
      <c r="D721" s="5" t="s">
        <v>7820</v>
      </c>
      <c r="E721" s="6">
        <v>18</v>
      </c>
      <c r="F721" s="6">
        <v>23</v>
      </c>
      <c r="G721" s="5">
        <v>337</v>
      </c>
      <c r="H721" s="5">
        <v>435</v>
      </c>
    </row>
    <row r="722" spans="1:8" x14ac:dyDescent="0.25">
      <c r="A722" s="5" t="s">
        <v>8064</v>
      </c>
      <c r="B722" s="5" t="s">
        <v>102</v>
      </c>
      <c r="C722" s="5" t="s">
        <v>562</v>
      </c>
      <c r="D722" s="5" t="s">
        <v>7819</v>
      </c>
      <c r="E722" s="6">
        <v>25</v>
      </c>
      <c r="F722" s="6">
        <v>24</v>
      </c>
      <c r="G722" s="5">
        <v>474</v>
      </c>
      <c r="H722" s="5">
        <v>448</v>
      </c>
    </row>
    <row r="723" spans="1:8" x14ac:dyDescent="0.25">
      <c r="A723" s="5" t="s">
        <v>8065</v>
      </c>
      <c r="B723" s="5" t="s">
        <v>102</v>
      </c>
      <c r="C723" s="5" t="s">
        <v>562</v>
      </c>
      <c r="D723" s="5" t="s">
        <v>7819</v>
      </c>
      <c r="E723" s="6">
        <v>30</v>
      </c>
      <c r="F723" s="6">
        <v>22</v>
      </c>
      <c r="G723" s="5">
        <v>571</v>
      </c>
      <c r="H723" s="5">
        <v>406</v>
      </c>
    </row>
    <row r="724" spans="1:8" x14ac:dyDescent="0.25">
      <c r="A724" s="5" t="s">
        <v>8066</v>
      </c>
      <c r="B724" s="5" t="s">
        <v>102</v>
      </c>
      <c r="C724" s="5" t="s">
        <v>562</v>
      </c>
      <c r="D724" s="5" t="s">
        <v>7814</v>
      </c>
      <c r="E724" s="6">
        <v>26</v>
      </c>
      <c r="F724" s="6">
        <v>36</v>
      </c>
      <c r="G724" s="5">
        <v>479</v>
      </c>
      <c r="H724" s="5">
        <v>684</v>
      </c>
    </row>
    <row r="725" spans="1:8" x14ac:dyDescent="0.25">
      <c r="A725" s="5" t="s">
        <v>8067</v>
      </c>
      <c r="B725" s="5" t="s">
        <v>102</v>
      </c>
      <c r="C725" s="5" t="s">
        <v>562</v>
      </c>
      <c r="D725" s="5" t="s">
        <v>7875</v>
      </c>
      <c r="E725" s="6">
        <v>27</v>
      </c>
      <c r="F725" s="6">
        <v>30</v>
      </c>
      <c r="G725" s="5">
        <v>509</v>
      </c>
      <c r="H725" s="5">
        <v>565</v>
      </c>
    </row>
    <row r="726" spans="1:8" x14ac:dyDescent="0.25">
      <c r="A726" s="5" t="s">
        <v>8068</v>
      </c>
      <c r="B726" s="5" t="s">
        <v>102</v>
      </c>
      <c r="C726" s="5" t="s">
        <v>562</v>
      </c>
      <c r="D726" s="5" t="s">
        <v>7964</v>
      </c>
      <c r="E726" s="6">
        <v>36</v>
      </c>
      <c r="F726" s="6">
        <v>27</v>
      </c>
      <c r="G726" s="5">
        <v>685</v>
      </c>
      <c r="H726" s="5">
        <v>507</v>
      </c>
    </row>
    <row r="727" spans="1:8" x14ac:dyDescent="0.25">
      <c r="A727" s="5" t="s">
        <v>8069</v>
      </c>
      <c r="B727" s="5" t="s">
        <v>102</v>
      </c>
      <c r="C727" s="5" t="s">
        <v>562</v>
      </c>
      <c r="D727" s="5" t="s">
        <v>7847</v>
      </c>
      <c r="E727" s="6">
        <v>36</v>
      </c>
      <c r="F727" s="6">
        <v>12</v>
      </c>
      <c r="G727" s="5">
        <v>681</v>
      </c>
      <c r="H727" s="5">
        <v>212</v>
      </c>
    </row>
    <row r="728" spans="1:8" x14ac:dyDescent="0.25">
      <c r="A728" s="5" t="s">
        <v>8070</v>
      </c>
      <c r="B728" s="5" t="s">
        <v>102</v>
      </c>
      <c r="C728" s="5" t="s">
        <v>562</v>
      </c>
      <c r="D728" s="5" t="s">
        <v>7819</v>
      </c>
      <c r="E728" s="6">
        <v>23</v>
      </c>
      <c r="F728" s="6">
        <v>30</v>
      </c>
      <c r="G728" s="5">
        <v>422</v>
      </c>
      <c r="H728" s="5">
        <v>560</v>
      </c>
    </row>
    <row r="729" spans="1:8" x14ac:dyDescent="0.25">
      <c r="A729" s="5" t="s">
        <v>8071</v>
      </c>
      <c r="B729" s="5" t="s">
        <v>102</v>
      </c>
      <c r="C729" s="5" t="s">
        <v>562</v>
      </c>
      <c r="D729" s="5" t="s">
        <v>7814</v>
      </c>
      <c r="E729" s="6">
        <v>35</v>
      </c>
      <c r="F729" s="6">
        <v>32</v>
      </c>
      <c r="G729" s="5">
        <v>667</v>
      </c>
      <c r="H729" s="5">
        <v>598</v>
      </c>
    </row>
    <row r="730" spans="1:8" x14ac:dyDescent="0.25">
      <c r="A730" s="5" t="s">
        <v>8072</v>
      </c>
      <c r="B730" s="5" t="s">
        <v>102</v>
      </c>
      <c r="C730" s="5" t="s">
        <v>562</v>
      </c>
      <c r="D730" s="5" t="s">
        <v>7847</v>
      </c>
      <c r="E730" s="6">
        <v>35</v>
      </c>
      <c r="F730" s="6">
        <v>16</v>
      </c>
      <c r="G730" s="5">
        <v>660</v>
      </c>
      <c r="H730" s="5">
        <v>289</v>
      </c>
    </row>
    <row r="731" spans="1:8" x14ac:dyDescent="0.25">
      <c r="A731" s="5" t="s">
        <v>8073</v>
      </c>
      <c r="B731" s="5" t="s">
        <v>102</v>
      </c>
      <c r="C731" s="5" t="s">
        <v>562</v>
      </c>
      <c r="D731" s="5" t="s">
        <v>8051</v>
      </c>
      <c r="E731" s="6">
        <v>27.1</v>
      </c>
      <c r="F731" s="6">
        <v>37.700000000000003</v>
      </c>
      <c r="G731" s="5">
        <v>511</v>
      </c>
      <c r="H731" s="5">
        <v>714</v>
      </c>
    </row>
    <row r="732" spans="1:8" x14ac:dyDescent="0.25">
      <c r="A732" s="5" t="s">
        <v>8074</v>
      </c>
      <c r="B732" s="5" t="s">
        <v>102</v>
      </c>
      <c r="C732" s="5" t="s">
        <v>562</v>
      </c>
      <c r="D732" s="5" t="s">
        <v>7191</v>
      </c>
      <c r="E732" s="6">
        <v>23</v>
      </c>
      <c r="F732" s="6">
        <v>22</v>
      </c>
      <c r="G732" s="5">
        <v>439</v>
      </c>
      <c r="H732" s="5">
        <v>412</v>
      </c>
    </row>
    <row r="733" spans="1:8" x14ac:dyDescent="0.25">
      <c r="A733" s="5" t="s">
        <v>8075</v>
      </c>
      <c r="B733" s="5" t="s">
        <v>102</v>
      </c>
      <c r="C733" s="5" t="s">
        <v>329</v>
      </c>
      <c r="D733" s="5" t="s">
        <v>7820</v>
      </c>
      <c r="E733" s="6">
        <v>8</v>
      </c>
      <c r="F733" s="6">
        <v>23</v>
      </c>
      <c r="G733" s="5">
        <v>129</v>
      </c>
      <c r="H733" s="5">
        <v>435</v>
      </c>
    </row>
    <row r="734" spans="1:8" x14ac:dyDescent="0.25">
      <c r="A734" s="5" t="s">
        <v>8076</v>
      </c>
      <c r="B734" s="5" t="s">
        <v>102</v>
      </c>
      <c r="C734" s="5" t="s">
        <v>329</v>
      </c>
      <c r="D734" s="5" t="s">
        <v>7820</v>
      </c>
      <c r="E734" s="6">
        <v>10</v>
      </c>
      <c r="F734" s="6">
        <v>21</v>
      </c>
      <c r="G734" s="5">
        <v>179</v>
      </c>
      <c r="H734" s="5">
        <v>394</v>
      </c>
    </row>
    <row r="735" spans="1:8" x14ac:dyDescent="0.25">
      <c r="A735" s="5" t="s">
        <v>8077</v>
      </c>
      <c r="B735" s="5" t="s">
        <v>102</v>
      </c>
      <c r="C735" s="5" t="s">
        <v>329</v>
      </c>
      <c r="D735" s="5" t="s">
        <v>7820</v>
      </c>
      <c r="E735" s="6">
        <v>11</v>
      </c>
      <c r="F735" s="6">
        <v>16</v>
      </c>
      <c r="G735" s="5">
        <v>197</v>
      </c>
      <c r="H735" s="5">
        <v>298</v>
      </c>
    </row>
    <row r="736" spans="1:8" x14ac:dyDescent="0.25">
      <c r="A736" s="5" t="s">
        <v>8078</v>
      </c>
      <c r="B736" s="5" t="s">
        <v>102</v>
      </c>
      <c r="C736" s="5" t="s">
        <v>329</v>
      </c>
      <c r="D736" s="5" t="s">
        <v>7820</v>
      </c>
      <c r="E736" s="6">
        <v>19</v>
      </c>
      <c r="F736" s="6">
        <v>27</v>
      </c>
      <c r="G736" s="5">
        <v>353</v>
      </c>
      <c r="H736" s="5">
        <v>520</v>
      </c>
    </row>
    <row r="737" spans="1:8" x14ac:dyDescent="0.25">
      <c r="A737" s="5" t="s">
        <v>8079</v>
      </c>
      <c r="B737" s="5" t="s">
        <v>102</v>
      </c>
      <c r="C737" s="5" t="s">
        <v>329</v>
      </c>
      <c r="D737" s="5" t="s">
        <v>7820</v>
      </c>
      <c r="E737" s="6">
        <v>23</v>
      </c>
      <c r="F737" s="6">
        <v>33</v>
      </c>
      <c r="G737" s="5">
        <v>428</v>
      </c>
      <c r="H737" s="5">
        <v>631</v>
      </c>
    </row>
    <row r="738" spans="1:8" x14ac:dyDescent="0.25">
      <c r="A738" s="5" t="s">
        <v>8080</v>
      </c>
      <c r="B738" s="5" t="s">
        <v>102</v>
      </c>
      <c r="C738" s="5" t="s">
        <v>329</v>
      </c>
      <c r="D738" s="5" t="s">
        <v>7820</v>
      </c>
      <c r="E738" s="6">
        <v>25</v>
      </c>
      <c r="F738" s="6">
        <v>37</v>
      </c>
      <c r="G738" s="5">
        <v>466</v>
      </c>
      <c r="H738" s="5">
        <v>707</v>
      </c>
    </row>
    <row r="739" spans="1:8" x14ac:dyDescent="0.25">
      <c r="A739" s="5" t="s">
        <v>8081</v>
      </c>
      <c r="B739" s="5" t="s">
        <v>102</v>
      </c>
      <c r="C739" s="5" t="s">
        <v>329</v>
      </c>
      <c r="D739" s="5" t="s">
        <v>7820</v>
      </c>
      <c r="E739" s="6">
        <v>13</v>
      </c>
      <c r="F739" s="6">
        <v>34</v>
      </c>
      <c r="G739" s="5">
        <v>239</v>
      </c>
      <c r="H739" s="5">
        <v>650</v>
      </c>
    </row>
    <row r="740" spans="1:8" x14ac:dyDescent="0.25">
      <c r="A740" s="5" t="s">
        <v>8082</v>
      </c>
      <c r="B740" s="5" t="s">
        <v>102</v>
      </c>
      <c r="C740" s="5" t="s">
        <v>329</v>
      </c>
      <c r="D740" s="5" t="s">
        <v>7820</v>
      </c>
      <c r="E740" s="6">
        <v>8</v>
      </c>
      <c r="F740" s="6">
        <v>27</v>
      </c>
      <c r="G740" s="5">
        <v>133</v>
      </c>
      <c r="H740" s="5">
        <v>515</v>
      </c>
    </row>
    <row r="741" spans="1:8" x14ac:dyDescent="0.25">
      <c r="A741" s="5" t="s">
        <v>8083</v>
      </c>
      <c r="B741" s="5" t="s">
        <v>102</v>
      </c>
      <c r="C741" s="5" t="s">
        <v>329</v>
      </c>
      <c r="D741" s="5" t="s">
        <v>7811</v>
      </c>
      <c r="E741" s="6">
        <v>20</v>
      </c>
      <c r="F741" s="6">
        <v>35</v>
      </c>
      <c r="G741" s="5">
        <v>432</v>
      </c>
      <c r="H741" s="5">
        <v>539</v>
      </c>
    </row>
    <row r="742" spans="1:8" x14ac:dyDescent="0.25">
      <c r="A742" s="5" t="s">
        <v>8084</v>
      </c>
      <c r="B742" s="5" t="s">
        <v>102</v>
      </c>
      <c r="C742" s="5" t="s">
        <v>329</v>
      </c>
      <c r="D742" s="5" t="s">
        <v>7814</v>
      </c>
      <c r="E742" s="6">
        <v>22</v>
      </c>
      <c r="F742" s="6">
        <v>29</v>
      </c>
      <c r="G742" s="5">
        <v>369</v>
      </c>
      <c r="H742" s="5">
        <v>160</v>
      </c>
    </row>
    <row r="743" spans="1:8" x14ac:dyDescent="0.25">
      <c r="A743" s="5" t="s">
        <v>8085</v>
      </c>
      <c r="B743" s="5" t="s">
        <v>102</v>
      </c>
      <c r="C743" s="5" t="s">
        <v>329</v>
      </c>
      <c r="D743" s="5" t="s">
        <v>7821</v>
      </c>
      <c r="E743" s="6">
        <v>10</v>
      </c>
      <c r="F743" s="6">
        <v>31</v>
      </c>
      <c r="G743" s="5">
        <v>471</v>
      </c>
      <c r="H743" s="5">
        <v>133</v>
      </c>
    </row>
    <row r="744" spans="1:8" x14ac:dyDescent="0.25">
      <c r="A744" s="5" t="s">
        <v>8086</v>
      </c>
      <c r="B744" s="5" t="s">
        <v>102</v>
      </c>
      <c r="C744" s="5" t="s">
        <v>329</v>
      </c>
      <c r="D744" s="5" t="s">
        <v>7821</v>
      </c>
      <c r="E744" s="6">
        <v>20</v>
      </c>
      <c r="F744" s="6">
        <v>9</v>
      </c>
      <c r="G744" s="5">
        <v>512</v>
      </c>
      <c r="H744" s="5">
        <v>355</v>
      </c>
    </row>
    <row r="745" spans="1:8" x14ac:dyDescent="0.25">
      <c r="A745" s="5" t="s">
        <v>8087</v>
      </c>
      <c r="B745" s="5" t="s">
        <v>102</v>
      </c>
      <c r="C745" s="5" t="s">
        <v>329</v>
      </c>
      <c r="D745" s="5" t="s">
        <v>7814</v>
      </c>
      <c r="E745" s="6">
        <v>25</v>
      </c>
      <c r="F745" s="6">
        <v>7</v>
      </c>
      <c r="G745" s="5">
        <v>549</v>
      </c>
      <c r="H745" s="5">
        <v>83</v>
      </c>
    </row>
    <row r="746" spans="1:8" x14ac:dyDescent="0.25">
      <c r="A746" s="5" t="s">
        <v>8088</v>
      </c>
      <c r="B746" s="5" t="s">
        <v>102</v>
      </c>
      <c r="C746" s="5" t="s">
        <v>329</v>
      </c>
      <c r="D746" s="5" t="s">
        <v>7821</v>
      </c>
      <c r="E746" s="6">
        <v>27</v>
      </c>
      <c r="F746" s="6">
        <v>19</v>
      </c>
      <c r="G746" s="5">
        <v>600</v>
      </c>
      <c r="H746" s="5">
        <v>256</v>
      </c>
    </row>
    <row r="747" spans="1:8" x14ac:dyDescent="0.25">
      <c r="A747" s="5" t="s">
        <v>8089</v>
      </c>
      <c r="B747" s="5" t="s">
        <v>102</v>
      </c>
      <c r="C747" s="5" t="s">
        <v>329</v>
      </c>
      <c r="D747" s="5" t="s">
        <v>7821</v>
      </c>
      <c r="E747" s="6">
        <v>29</v>
      </c>
      <c r="F747" s="6">
        <v>641</v>
      </c>
      <c r="G747" s="5">
        <v>633</v>
      </c>
      <c r="H747" s="5">
        <v>141</v>
      </c>
    </row>
    <row r="748" spans="1:8" x14ac:dyDescent="0.25">
      <c r="A748" s="5" t="s">
        <v>8090</v>
      </c>
      <c r="B748" s="5" t="s">
        <v>102</v>
      </c>
      <c r="C748" s="5" t="s">
        <v>329</v>
      </c>
      <c r="D748" s="5" t="s">
        <v>7822</v>
      </c>
      <c r="E748" s="6">
        <v>32</v>
      </c>
      <c r="F748" s="6">
        <v>14</v>
      </c>
      <c r="G748" s="5">
        <v>367</v>
      </c>
      <c r="H748" s="5">
        <v>668</v>
      </c>
    </row>
    <row r="749" spans="1:8" x14ac:dyDescent="0.25">
      <c r="A749" s="5" t="s">
        <v>8091</v>
      </c>
      <c r="B749" s="5" t="s">
        <v>102</v>
      </c>
      <c r="C749" s="5" t="s">
        <v>329</v>
      </c>
      <c r="D749" s="5" t="s">
        <v>7822</v>
      </c>
      <c r="E749" s="6">
        <v>34</v>
      </c>
      <c r="F749" s="6">
        <v>6</v>
      </c>
      <c r="G749" s="5">
        <v>173</v>
      </c>
      <c r="H749" s="5">
        <v>591</v>
      </c>
    </row>
    <row r="750" spans="1:8" x14ac:dyDescent="0.25">
      <c r="A750" s="5" t="s">
        <v>8092</v>
      </c>
      <c r="B750" s="5" t="s">
        <v>102</v>
      </c>
      <c r="C750" s="5" t="s">
        <v>329</v>
      </c>
      <c r="D750" s="5" t="s">
        <v>7822</v>
      </c>
      <c r="E750" s="6">
        <v>30</v>
      </c>
      <c r="F750" s="6">
        <v>29</v>
      </c>
      <c r="G750" s="5">
        <v>570</v>
      </c>
      <c r="H750" s="5">
        <v>559</v>
      </c>
    </row>
    <row r="751" spans="1:8" x14ac:dyDescent="0.25">
      <c r="A751" s="5" t="s">
        <v>8093</v>
      </c>
      <c r="B751" s="5" t="s">
        <v>102</v>
      </c>
      <c r="C751" s="5" t="s">
        <v>329</v>
      </c>
      <c r="D751" s="5" t="s">
        <v>7822</v>
      </c>
      <c r="E751" s="6">
        <v>19.3</v>
      </c>
      <c r="F751" s="6">
        <v>4.7</v>
      </c>
      <c r="G751" s="5">
        <v>359</v>
      </c>
      <c r="H751" s="5">
        <v>72</v>
      </c>
    </row>
    <row r="752" spans="1:8" x14ac:dyDescent="0.25">
      <c r="A752" s="5" t="s">
        <v>8094</v>
      </c>
      <c r="B752" s="5" t="s">
        <v>102</v>
      </c>
      <c r="C752" s="5" t="s">
        <v>329</v>
      </c>
      <c r="D752" s="5" t="s">
        <v>7191</v>
      </c>
      <c r="E752" s="6">
        <v>13</v>
      </c>
      <c r="F752" s="6">
        <v>23</v>
      </c>
      <c r="G752" s="5">
        <v>235</v>
      </c>
      <c r="H752" s="5">
        <v>433</v>
      </c>
    </row>
    <row r="753" spans="1:8" x14ac:dyDescent="0.25">
      <c r="A753" s="5" t="s">
        <v>8095</v>
      </c>
      <c r="B753" s="5" t="s">
        <v>102</v>
      </c>
      <c r="C753" s="5" t="s">
        <v>976</v>
      </c>
      <c r="D753" s="5" t="s">
        <v>7874</v>
      </c>
      <c r="E753" s="6">
        <v>17</v>
      </c>
      <c r="F753" s="6">
        <v>7</v>
      </c>
      <c r="G753" s="5">
        <v>312</v>
      </c>
      <c r="H753" s="5">
        <v>130</v>
      </c>
    </row>
    <row r="754" spans="1:8" x14ac:dyDescent="0.25">
      <c r="A754" s="5" t="s">
        <v>8096</v>
      </c>
      <c r="B754" s="5" t="s">
        <v>102</v>
      </c>
      <c r="C754" s="5" t="s">
        <v>976</v>
      </c>
      <c r="D754" s="5" t="s">
        <v>7818</v>
      </c>
      <c r="E754" s="6">
        <v>20</v>
      </c>
      <c r="F754" s="6">
        <v>11</v>
      </c>
      <c r="G754" s="5">
        <v>374</v>
      </c>
      <c r="H754" s="5">
        <v>191</v>
      </c>
    </row>
    <row r="755" spans="1:8" x14ac:dyDescent="0.25">
      <c r="A755" s="5" t="s">
        <v>8097</v>
      </c>
      <c r="B755" s="5" t="s">
        <v>102</v>
      </c>
      <c r="C755" s="5" t="s">
        <v>976</v>
      </c>
      <c r="D755" s="5" t="s">
        <v>7874</v>
      </c>
      <c r="E755" s="6">
        <v>21</v>
      </c>
      <c r="F755" s="6">
        <v>22</v>
      </c>
      <c r="G755" s="5">
        <v>398</v>
      </c>
      <c r="H755" s="5">
        <v>424</v>
      </c>
    </row>
    <row r="756" spans="1:8" x14ac:dyDescent="0.25">
      <c r="A756" s="5" t="s">
        <v>8098</v>
      </c>
      <c r="B756" s="5" t="s">
        <v>102</v>
      </c>
      <c r="C756" s="5" t="s">
        <v>976</v>
      </c>
      <c r="D756" s="5" t="s">
        <v>7818</v>
      </c>
      <c r="E756" s="6">
        <v>22</v>
      </c>
      <c r="F756" s="6">
        <v>14</v>
      </c>
      <c r="G756" s="5">
        <v>405</v>
      </c>
      <c r="H756" s="5">
        <v>261</v>
      </c>
    </row>
    <row r="757" spans="1:8" x14ac:dyDescent="0.25">
      <c r="A757" s="5" t="s">
        <v>8099</v>
      </c>
      <c r="B757" s="5" t="s">
        <v>102</v>
      </c>
      <c r="C757" s="5" t="s">
        <v>976</v>
      </c>
      <c r="D757" s="5" t="s">
        <v>7874</v>
      </c>
      <c r="E757" s="6">
        <v>22</v>
      </c>
      <c r="F757" s="6">
        <v>18</v>
      </c>
      <c r="G757" s="5">
        <v>414</v>
      </c>
      <c r="H757" s="5">
        <v>336</v>
      </c>
    </row>
    <row r="758" spans="1:8" x14ac:dyDescent="0.25">
      <c r="A758" s="5" t="s">
        <v>8100</v>
      </c>
      <c r="B758" s="5" t="s">
        <v>102</v>
      </c>
      <c r="C758" s="5" t="s">
        <v>976</v>
      </c>
      <c r="D758" s="5" t="s">
        <v>7816</v>
      </c>
      <c r="E758" s="6">
        <v>11</v>
      </c>
      <c r="F758" s="6">
        <v>18</v>
      </c>
      <c r="G758" s="5">
        <v>197</v>
      </c>
      <c r="H758" s="5">
        <v>350</v>
      </c>
    </row>
    <row r="759" spans="1:8" x14ac:dyDescent="0.25">
      <c r="A759" s="5" t="s">
        <v>8101</v>
      </c>
      <c r="B759" s="5" t="s">
        <v>102</v>
      </c>
      <c r="C759" s="5" t="s">
        <v>976</v>
      </c>
      <c r="D759" s="5" t="s">
        <v>7818</v>
      </c>
      <c r="E759" s="6">
        <v>27</v>
      </c>
      <c r="F759" s="6">
        <v>20</v>
      </c>
      <c r="G759" s="5">
        <v>508</v>
      </c>
      <c r="H759" s="5">
        <v>361</v>
      </c>
    </row>
    <row r="760" spans="1:8" x14ac:dyDescent="0.25">
      <c r="A760" s="5" t="s">
        <v>8102</v>
      </c>
      <c r="B760" s="5" t="s">
        <v>102</v>
      </c>
      <c r="C760" s="5" t="s">
        <v>976</v>
      </c>
      <c r="D760" s="5" t="s">
        <v>7816</v>
      </c>
      <c r="E760" s="6">
        <v>32</v>
      </c>
      <c r="F760" s="6">
        <v>20</v>
      </c>
      <c r="G760" s="5">
        <v>597</v>
      </c>
      <c r="H760" s="5">
        <v>390</v>
      </c>
    </row>
    <row r="761" spans="1:8" x14ac:dyDescent="0.25">
      <c r="A761" s="5" t="s">
        <v>8103</v>
      </c>
      <c r="B761" s="5" t="s">
        <v>102</v>
      </c>
      <c r="C761" s="5" t="s">
        <v>976</v>
      </c>
      <c r="D761" s="5" t="s">
        <v>7820</v>
      </c>
      <c r="E761" s="6">
        <v>25</v>
      </c>
      <c r="F761" s="6">
        <v>11</v>
      </c>
      <c r="G761" s="5">
        <v>470</v>
      </c>
      <c r="H761" s="5">
        <v>200</v>
      </c>
    </row>
    <row r="762" spans="1:8" x14ac:dyDescent="0.25">
      <c r="A762" s="5" t="s">
        <v>8104</v>
      </c>
      <c r="B762" s="5" t="s">
        <v>102</v>
      </c>
      <c r="C762" s="5" t="s">
        <v>976</v>
      </c>
      <c r="D762" s="5" t="s">
        <v>7818</v>
      </c>
      <c r="E762" s="6">
        <v>15</v>
      </c>
      <c r="F762" s="6">
        <v>16</v>
      </c>
      <c r="G762" s="5">
        <v>273</v>
      </c>
      <c r="H762" s="5">
        <v>292</v>
      </c>
    </row>
    <row r="763" spans="1:8" x14ac:dyDescent="0.25">
      <c r="A763" s="5" t="s">
        <v>8105</v>
      </c>
      <c r="B763" s="5" t="s">
        <v>102</v>
      </c>
      <c r="C763" s="5" t="s">
        <v>976</v>
      </c>
      <c r="D763" s="5" t="s">
        <v>7847</v>
      </c>
      <c r="E763" s="6">
        <v>15</v>
      </c>
      <c r="F763" s="6">
        <v>24</v>
      </c>
      <c r="G763" s="5">
        <v>273</v>
      </c>
      <c r="H763" s="5">
        <v>450</v>
      </c>
    </row>
    <row r="764" spans="1:8" x14ac:dyDescent="0.25">
      <c r="A764" s="5" t="s">
        <v>8106</v>
      </c>
      <c r="B764" s="5" t="s">
        <v>102</v>
      </c>
      <c r="C764" s="5" t="s">
        <v>976</v>
      </c>
      <c r="D764" s="5" t="s">
        <v>7819</v>
      </c>
      <c r="E764" s="6">
        <v>21</v>
      </c>
      <c r="F764" s="6">
        <v>31</v>
      </c>
      <c r="G764" s="5">
        <v>387</v>
      </c>
      <c r="H764" s="5">
        <v>587</v>
      </c>
    </row>
    <row r="765" spans="1:8" x14ac:dyDescent="0.25">
      <c r="A765" s="5" t="s">
        <v>8107</v>
      </c>
      <c r="B765" s="5" t="s">
        <v>102</v>
      </c>
      <c r="C765" s="5" t="s">
        <v>976</v>
      </c>
      <c r="D765" s="5" t="s">
        <v>7847</v>
      </c>
      <c r="E765" s="6">
        <v>30</v>
      </c>
      <c r="F765" s="6">
        <v>30</v>
      </c>
      <c r="G765" s="5">
        <v>563</v>
      </c>
      <c r="H765" s="5">
        <v>570</v>
      </c>
    </row>
    <row r="766" spans="1:8" x14ac:dyDescent="0.25">
      <c r="A766" s="5" t="s">
        <v>8108</v>
      </c>
      <c r="B766" s="5" t="s">
        <v>102</v>
      </c>
      <c r="C766" s="5" t="s">
        <v>976</v>
      </c>
      <c r="D766" s="5" t="s">
        <v>7819</v>
      </c>
      <c r="E766" s="6">
        <v>25</v>
      </c>
      <c r="F766" s="6">
        <v>30</v>
      </c>
      <c r="G766" s="5">
        <v>463</v>
      </c>
      <c r="H766" s="5">
        <v>564</v>
      </c>
    </row>
    <row r="767" spans="1:8" x14ac:dyDescent="0.25">
      <c r="A767" s="5" t="s">
        <v>8109</v>
      </c>
      <c r="B767" s="5" t="s">
        <v>102</v>
      </c>
      <c r="C767" s="5" t="s">
        <v>976</v>
      </c>
      <c r="D767" s="5" t="s">
        <v>7819</v>
      </c>
      <c r="E767" s="6">
        <v>26</v>
      </c>
      <c r="F767" s="6">
        <v>24</v>
      </c>
      <c r="G767" s="5">
        <v>495</v>
      </c>
      <c r="H767" s="5">
        <v>453</v>
      </c>
    </row>
    <row r="768" spans="1:8" x14ac:dyDescent="0.25">
      <c r="A768" s="5" t="s">
        <v>8110</v>
      </c>
      <c r="B768" s="5" t="s">
        <v>102</v>
      </c>
      <c r="C768" s="5" t="s">
        <v>976</v>
      </c>
      <c r="D768" s="5" t="s">
        <v>7847</v>
      </c>
      <c r="E768" s="6">
        <v>34</v>
      </c>
      <c r="F768" s="6">
        <v>24</v>
      </c>
      <c r="G768" s="5">
        <v>651</v>
      </c>
      <c r="H768" s="5">
        <v>443</v>
      </c>
    </row>
    <row r="769" spans="1:8" x14ac:dyDescent="0.25">
      <c r="A769" s="5" t="s">
        <v>8111</v>
      </c>
      <c r="B769" s="5" t="s">
        <v>102</v>
      </c>
      <c r="C769" s="5" t="s">
        <v>976</v>
      </c>
      <c r="D769" s="5" t="s">
        <v>7847</v>
      </c>
      <c r="E769" s="6">
        <v>10</v>
      </c>
      <c r="F769" s="6">
        <v>25</v>
      </c>
      <c r="G769" s="5">
        <v>167</v>
      </c>
      <c r="H769" s="5">
        <v>471</v>
      </c>
    </row>
    <row r="770" spans="1:8" x14ac:dyDescent="0.25">
      <c r="A770" s="5" t="s">
        <v>8112</v>
      </c>
      <c r="B770" s="5" t="s">
        <v>102</v>
      </c>
      <c r="C770" s="5" t="s">
        <v>976</v>
      </c>
      <c r="D770" s="5" t="s">
        <v>7191</v>
      </c>
      <c r="E770" s="6">
        <v>35</v>
      </c>
      <c r="F770" s="6">
        <v>10</v>
      </c>
      <c r="G770" s="5">
        <v>660</v>
      </c>
      <c r="H770" s="5">
        <v>183</v>
      </c>
    </row>
    <row r="771" spans="1:8" x14ac:dyDescent="0.25">
      <c r="A771" s="5" t="s">
        <v>8113</v>
      </c>
      <c r="B771" s="5" t="s">
        <v>102</v>
      </c>
      <c r="C771" s="5" t="s">
        <v>988</v>
      </c>
      <c r="D771" s="5" t="s">
        <v>7874</v>
      </c>
      <c r="E771" s="6">
        <v>12</v>
      </c>
      <c r="F771" s="6">
        <v>18</v>
      </c>
      <c r="G771" s="5">
        <v>216</v>
      </c>
      <c r="H771" s="5">
        <v>343</v>
      </c>
    </row>
    <row r="772" spans="1:8" x14ac:dyDescent="0.25">
      <c r="A772" s="5" t="s">
        <v>8114</v>
      </c>
      <c r="B772" s="5" t="s">
        <v>102</v>
      </c>
      <c r="C772" s="5" t="s">
        <v>988</v>
      </c>
      <c r="D772" s="5" t="s">
        <v>7874</v>
      </c>
      <c r="E772" s="6">
        <v>19</v>
      </c>
      <c r="F772" s="6">
        <v>16</v>
      </c>
      <c r="G772" s="5">
        <v>355</v>
      </c>
      <c r="H772" s="5">
        <v>301</v>
      </c>
    </row>
    <row r="773" spans="1:8" x14ac:dyDescent="0.25">
      <c r="A773" s="5" t="s">
        <v>8115</v>
      </c>
      <c r="B773" s="5" t="s">
        <v>102</v>
      </c>
      <c r="C773" s="5" t="s">
        <v>988</v>
      </c>
      <c r="D773" s="5" t="s">
        <v>7811</v>
      </c>
      <c r="E773" s="6">
        <v>23</v>
      </c>
      <c r="F773" s="6">
        <v>10</v>
      </c>
      <c r="G773" s="5">
        <v>419</v>
      </c>
      <c r="H773" s="5">
        <v>182</v>
      </c>
    </row>
    <row r="774" spans="1:8" x14ac:dyDescent="0.25">
      <c r="A774" s="5" t="s">
        <v>8116</v>
      </c>
      <c r="B774" s="5" t="s">
        <v>102</v>
      </c>
      <c r="C774" s="5" t="s">
        <v>988</v>
      </c>
      <c r="D774" s="5" t="s">
        <v>7818</v>
      </c>
      <c r="E774" s="6">
        <v>10</v>
      </c>
      <c r="F774" s="6">
        <v>12</v>
      </c>
      <c r="G774" s="5">
        <v>182</v>
      </c>
      <c r="H774" s="5">
        <v>229</v>
      </c>
    </row>
    <row r="775" spans="1:8" x14ac:dyDescent="0.25">
      <c r="A775" s="5" t="s">
        <v>8117</v>
      </c>
      <c r="B775" s="5" t="s">
        <v>102</v>
      </c>
      <c r="C775" s="5" t="s">
        <v>988</v>
      </c>
      <c r="D775" s="5" t="s">
        <v>7874</v>
      </c>
      <c r="E775" s="6">
        <v>17</v>
      </c>
      <c r="F775" s="6">
        <v>10</v>
      </c>
      <c r="G775" s="5">
        <v>308</v>
      </c>
      <c r="H775" s="5">
        <v>188</v>
      </c>
    </row>
    <row r="776" spans="1:8" x14ac:dyDescent="0.25">
      <c r="A776" s="5" t="s">
        <v>8118</v>
      </c>
      <c r="B776" s="5" t="s">
        <v>102</v>
      </c>
      <c r="C776" s="5" t="s">
        <v>988</v>
      </c>
      <c r="D776" s="5" t="s">
        <v>7818</v>
      </c>
      <c r="E776" s="6">
        <v>20</v>
      </c>
      <c r="F776" s="6">
        <v>25</v>
      </c>
      <c r="G776" s="5">
        <v>357</v>
      </c>
      <c r="H776" s="5">
        <v>480</v>
      </c>
    </row>
    <row r="777" spans="1:8" x14ac:dyDescent="0.25">
      <c r="A777" s="5" t="s">
        <v>8119</v>
      </c>
      <c r="B777" s="5" t="s">
        <v>102</v>
      </c>
      <c r="C777" s="5" t="s">
        <v>988</v>
      </c>
      <c r="D777" s="5" t="s">
        <v>7818</v>
      </c>
      <c r="E777" s="6">
        <v>16</v>
      </c>
      <c r="F777" s="6">
        <v>24</v>
      </c>
      <c r="G777" s="5">
        <v>287</v>
      </c>
      <c r="H777" s="5">
        <v>457</v>
      </c>
    </row>
    <row r="778" spans="1:8" x14ac:dyDescent="0.25">
      <c r="A778" s="5" t="s">
        <v>8120</v>
      </c>
      <c r="B778" s="5" t="s">
        <v>102</v>
      </c>
      <c r="C778" s="5" t="s">
        <v>988</v>
      </c>
      <c r="D778" s="5" t="s">
        <v>10639</v>
      </c>
      <c r="E778" s="6">
        <v>20</v>
      </c>
      <c r="F778" s="6">
        <v>29</v>
      </c>
      <c r="G778" s="5">
        <v>366</v>
      </c>
      <c r="H778" s="5">
        <v>543</v>
      </c>
    </row>
    <row r="779" spans="1:8" x14ac:dyDescent="0.25">
      <c r="A779" s="5" t="s">
        <v>8121</v>
      </c>
      <c r="B779" s="5" t="s">
        <v>102</v>
      </c>
      <c r="C779" s="5" t="s">
        <v>988</v>
      </c>
      <c r="D779" s="5" t="s">
        <v>7874</v>
      </c>
      <c r="E779" s="6">
        <v>17.399999999999999</v>
      </c>
      <c r="F779" s="6">
        <v>31.9</v>
      </c>
      <c r="G779" s="5">
        <v>315</v>
      </c>
      <c r="H779" s="5">
        <v>606</v>
      </c>
    </row>
    <row r="780" spans="1:8" x14ac:dyDescent="0.25">
      <c r="A780" s="5" t="s">
        <v>8122</v>
      </c>
      <c r="B780" s="5" t="s">
        <v>102</v>
      </c>
      <c r="C780" s="5" t="s">
        <v>988</v>
      </c>
      <c r="D780" s="5" t="s">
        <v>7847</v>
      </c>
      <c r="E780" s="6">
        <v>29</v>
      </c>
      <c r="F780" s="6">
        <v>12</v>
      </c>
      <c r="G780" s="5">
        <v>542</v>
      </c>
      <c r="H780" s="5">
        <v>238</v>
      </c>
    </row>
    <row r="781" spans="1:8" x14ac:dyDescent="0.25">
      <c r="A781" s="5" t="s">
        <v>8123</v>
      </c>
      <c r="B781" s="5" t="s">
        <v>102</v>
      </c>
      <c r="C781" s="5" t="s">
        <v>988</v>
      </c>
      <c r="D781" s="5" t="s">
        <v>7875</v>
      </c>
      <c r="E781" s="6">
        <v>30</v>
      </c>
      <c r="F781" s="6">
        <v>35</v>
      </c>
      <c r="G781" s="5">
        <v>576</v>
      </c>
      <c r="H781" s="5">
        <v>666</v>
      </c>
    </row>
    <row r="782" spans="1:8" x14ac:dyDescent="0.25">
      <c r="A782" s="5" t="s">
        <v>8124</v>
      </c>
      <c r="B782" s="5" t="s">
        <v>102</v>
      </c>
      <c r="C782" s="5" t="s">
        <v>988</v>
      </c>
      <c r="D782" s="5" t="s">
        <v>7847</v>
      </c>
      <c r="E782" s="6">
        <v>33</v>
      </c>
      <c r="F782" s="6">
        <v>34</v>
      </c>
      <c r="G782" s="5">
        <v>621</v>
      </c>
      <c r="H782" s="5">
        <v>646</v>
      </c>
    </row>
    <row r="783" spans="1:8" x14ac:dyDescent="0.25">
      <c r="A783" s="5" t="s">
        <v>8125</v>
      </c>
      <c r="B783" s="5" t="s">
        <v>102</v>
      </c>
      <c r="C783" s="5" t="s">
        <v>988</v>
      </c>
      <c r="D783" s="5" t="s">
        <v>7821</v>
      </c>
      <c r="E783" s="6">
        <v>33</v>
      </c>
      <c r="F783" s="6">
        <v>22</v>
      </c>
      <c r="G783" s="5">
        <v>630</v>
      </c>
      <c r="H783" s="5">
        <v>417</v>
      </c>
    </row>
    <row r="784" spans="1:8" x14ac:dyDescent="0.25">
      <c r="A784" s="5" t="s">
        <v>8126</v>
      </c>
      <c r="B784" s="5" t="s">
        <v>102</v>
      </c>
      <c r="C784" s="5" t="s">
        <v>988</v>
      </c>
      <c r="D784" s="5" t="s">
        <v>7964</v>
      </c>
      <c r="E784" s="6">
        <v>23</v>
      </c>
      <c r="F784" s="6">
        <v>30</v>
      </c>
      <c r="G784" s="5">
        <v>433</v>
      </c>
      <c r="H784" s="5">
        <v>565</v>
      </c>
    </row>
    <row r="785" spans="1:8" x14ac:dyDescent="0.25">
      <c r="A785" s="5" t="s">
        <v>8127</v>
      </c>
      <c r="B785" s="5" t="s">
        <v>102</v>
      </c>
      <c r="C785" s="5" t="s">
        <v>988</v>
      </c>
      <c r="D785" s="5" t="s">
        <v>7821</v>
      </c>
      <c r="E785" s="6">
        <v>30</v>
      </c>
      <c r="F785" s="6">
        <v>14</v>
      </c>
      <c r="G785" s="5">
        <v>567</v>
      </c>
      <c r="H785" s="5">
        <v>264</v>
      </c>
    </row>
    <row r="786" spans="1:8" x14ac:dyDescent="0.25">
      <c r="A786" s="5" t="s">
        <v>8128</v>
      </c>
      <c r="B786" s="5" t="s">
        <v>102</v>
      </c>
      <c r="C786" s="5" t="s">
        <v>988</v>
      </c>
      <c r="D786" s="5" t="s">
        <v>8051</v>
      </c>
      <c r="E786" s="6">
        <v>28</v>
      </c>
      <c r="F786" s="6">
        <v>26</v>
      </c>
      <c r="G786" s="5">
        <v>534</v>
      </c>
      <c r="H786" s="5">
        <v>496</v>
      </c>
    </row>
    <row r="787" spans="1:8" x14ac:dyDescent="0.25">
      <c r="A787" s="5" t="s">
        <v>8129</v>
      </c>
      <c r="B787" s="5" t="s">
        <v>102</v>
      </c>
      <c r="C787" s="5" t="s">
        <v>988</v>
      </c>
      <c r="D787" s="5" t="s">
        <v>7875</v>
      </c>
      <c r="E787" s="6">
        <v>20</v>
      </c>
      <c r="F787" s="6">
        <v>37</v>
      </c>
      <c r="G787" s="5">
        <v>374</v>
      </c>
      <c r="H787" s="5">
        <v>698</v>
      </c>
    </row>
    <row r="788" spans="1:8" x14ac:dyDescent="0.25">
      <c r="A788" s="5" t="s">
        <v>8130</v>
      </c>
      <c r="B788" s="5" t="s">
        <v>102</v>
      </c>
      <c r="C788" s="5" t="s">
        <v>988</v>
      </c>
      <c r="D788" s="5" t="s">
        <v>7819</v>
      </c>
      <c r="E788" s="6">
        <v>29</v>
      </c>
      <c r="F788" s="6">
        <v>20</v>
      </c>
      <c r="G788" s="5">
        <v>541</v>
      </c>
      <c r="H788" s="5">
        <v>386</v>
      </c>
    </row>
    <row r="789" spans="1:8" x14ac:dyDescent="0.25">
      <c r="A789" s="5" t="s">
        <v>8131</v>
      </c>
      <c r="B789" s="5" t="s">
        <v>102</v>
      </c>
      <c r="C789" s="5" t="s">
        <v>988</v>
      </c>
      <c r="D789" s="5" t="s">
        <v>7191</v>
      </c>
      <c r="E789" s="6">
        <v>27</v>
      </c>
      <c r="F789" s="6">
        <v>36</v>
      </c>
      <c r="G789" s="5">
        <v>516</v>
      </c>
      <c r="H789" s="5">
        <v>669</v>
      </c>
    </row>
    <row r="790" spans="1:8" x14ac:dyDescent="0.25">
      <c r="A790" s="5" t="s">
        <v>8132</v>
      </c>
      <c r="B790" s="5" t="s">
        <v>102</v>
      </c>
      <c r="C790" s="5" t="s">
        <v>2221</v>
      </c>
      <c r="D790" s="5" t="s">
        <v>7816</v>
      </c>
      <c r="E790" s="6">
        <v>15</v>
      </c>
      <c r="F790" s="6">
        <v>30</v>
      </c>
      <c r="G790" s="5">
        <v>273</v>
      </c>
      <c r="H790" s="5">
        <v>576</v>
      </c>
    </row>
    <row r="791" spans="1:8" x14ac:dyDescent="0.25">
      <c r="A791" s="5" t="s">
        <v>8133</v>
      </c>
      <c r="B791" s="5" t="s">
        <v>102</v>
      </c>
      <c r="C791" s="5" t="s">
        <v>2221</v>
      </c>
      <c r="D791" s="5" t="s">
        <v>7816</v>
      </c>
      <c r="E791" s="6">
        <v>18</v>
      </c>
      <c r="F791" s="6">
        <v>35</v>
      </c>
      <c r="G791" s="5">
        <v>308</v>
      </c>
      <c r="H791" s="5">
        <v>668</v>
      </c>
    </row>
    <row r="792" spans="1:8" x14ac:dyDescent="0.25">
      <c r="A792" s="5" t="s">
        <v>8134</v>
      </c>
      <c r="B792" s="5" t="s">
        <v>102</v>
      </c>
      <c r="C792" s="5" t="s">
        <v>2221</v>
      </c>
      <c r="D792" s="5" t="s">
        <v>7820</v>
      </c>
      <c r="E792" s="6">
        <v>17</v>
      </c>
      <c r="F792" s="6">
        <v>24</v>
      </c>
      <c r="G792" s="5">
        <v>297</v>
      </c>
      <c r="H792" s="5">
        <v>468</v>
      </c>
    </row>
    <row r="793" spans="1:8" x14ac:dyDescent="0.25">
      <c r="A793" s="5" t="s">
        <v>8135</v>
      </c>
      <c r="B793" s="5" t="s">
        <v>102</v>
      </c>
      <c r="C793" s="5" t="s">
        <v>2221</v>
      </c>
      <c r="D793" s="5" t="s">
        <v>7820</v>
      </c>
      <c r="E793" s="6">
        <v>9</v>
      </c>
      <c r="F793" s="6">
        <v>35</v>
      </c>
      <c r="G793" s="5">
        <v>134</v>
      </c>
      <c r="H793" s="5">
        <v>672</v>
      </c>
    </row>
    <row r="794" spans="1:8" x14ac:dyDescent="0.25">
      <c r="A794" s="5" t="s">
        <v>8136</v>
      </c>
      <c r="B794" s="5" t="s">
        <v>102</v>
      </c>
      <c r="C794" s="5" t="s">
        <v>2221</v>
      </c>
      <c r="D794" s="5" t="s">
        <v>7874</v>
      </c>
      <c r="E794" s="6">
        <v>15</v>
      </c>
      <c r="F794" s="6">
        <v>22</v>
      </c>
      <c r="G794" s="5">
        <v>270</v>
      </c>
      <c r="H794" s="5">
        <v>440</v>
      </c>
    </row>
    <row r="795" spans="1:8" x14ac:dyDescent="0.25">
      <c r="A795" s="5" t="s">
        <v>8137</v>
      </c>
      <c r="B795" s="5" t="s">
        <v>102</v>
      </c>
      <c r="C795" s="5" t="s">
        <v>2221</v>
      </c>
      <c r="D795" s="5" t="s">
        <v>7874</v>
      </c>
      <c r="E795" s="6">
        <v>10</v>
      </c>
      <c r="F795" s="6">
        <v>24</v>
      </c>
      <c r="G795" s="5">
        <v>177</v>
      </c>
      <c r="H795" s="5">
        <v>460</v>
      </c>
    </row>
    <row r="796" spans="1:8" x14ac:dyDescent="0.25">
      <c r="A796" s="5" t="s">
        <v>8138</v>
      </c>
      <c r="B796" s="5" t="s">
        <v>102</v>
      </c>
      <c r="C796" s="5" t="s">
        <v>2221</v>
      </c>
      <c r="D796" s="5" t="s">
        <v>7816</v>
      </c>
      <c r="E796" s="6">
        <v>10</v>
      </c>
      <c r="F796" s="6">
        <v>19</v>
      </c>
      <c r="G796" s="5">
        <v>152</v>
      </c>
      <c r="H796" s="5">
        <v>367</v>
      </c>
    </row>
    <row r="797" spans="1:8" x14ac:dyDescent="0.25">
      <c r="A797" s="5" t="s">
        <v>8139</v>
      </c>
      <c r="B797" s="5" t="s">
        <v>102</v>
      </c>
      <c r="C797" s="5" t="s">
        <v>2221</v>
      </c>
      <c r="D797" s="5" t="s">
        <v>8051</v>
      </c>
      <c r="E797" s="6">
        <v>13</v>
      </c>
      <c r="F797" s="6">
        <v>36</v>
      </c>
      <c r="G797" s="5">
        <v>214</v>
      </c>
      <c r="H797" s="5">
        <v>692</v>
      </c>
    </row>
    <row r="798" spans="1:8" x14ac:dyDescent="0.25">
      <c r="A798" s="5" t="s">
        <v>8140</v>
      </c>
      <c r="B798" s="5" t="s">
        <v>102</v>
      </c>
      <c r="C798" s="5" t="s">
        <v>2221</v>
      </c>
      <c r="D798" s="5" t="s">
        <v>7821</v>
      </c>
      <c r="E798" s="6">
        <v>26</v>
      </c>
      <c r="F798" s="6">
        <v>24</v>
      </c>
      <c r="G798" s="5">
        <v>496</v>
      </c>
      <c r="H798" s="5">
        <v>463</v>
      </c>
    </row>
    <row r="799" spans="1:8" x14ac:dyDescent="0.25">
      <c r="A799" s="5" t="s">
        <v>8141</v>
      </c>
      <c r="B799" s="5" t="s">
        <v>102</v>
      </c>
      <c r="C799" s="5" t="s">
        <v>2221</v>
      </c>
      <c r="D799" s="5" t="s">
        <v>7819</v>
      </c>
      <c r="E799" s="6">
        <v>25</v>
      </c>
      <c r="F799" s="6">
        <v>30</v>
      </c>
      <c r="G799" s="5">
        <v>471</v>
      </c>
      <c r="H799" s="5">
        <v>573</v>
      </c>
    </row>
    <row r="800" spans="1:8" x14ac:dyDescent="0.25">
      <c r="A800" s="5" t="s">
        <v>8142</v>
      </c>
      <c r="B800" s="5" t="s">
        <v>102</v>
      </c>
      <c r="C800" s="5" t="s">
        <v>2221</v>
      </c>
      <c r="D800" s="5" t="s">
        <v>8051</v>
      </c>
      <c r="E800" s="6">
        <v>29</v>
      </c>
      <c r="F800" s="6">
        <v>26</v>
      </c>
      <c r="G800" s="5">
        <v>550</v>
      </c>
      <c r="H800" s="5">
        <v>499</v>
      </c>
    </row>
    <row r="801" spans="1:8" x14ac:dyDescent="0.25">
      <c r="A801" s="5" t="s">
        <v>8143</v>
      </c>
      <c r="B801" s="5" t="s">
        <v>102</v>
      </c>
      <c r="C801" s="5" t="s">
        <v>2221</v>
      </c>
      <c r="D801" s="5" t="s">
        <v>7821</v>
      </c>
      <c r="E801" s="6">
        <v>33</v>
      </c>
      <c r="F801" s="6">
        <v>23</v>
      </c>
      <c r="G801" s="5">
        <v>626</v>
      </c>
      <c r="H801" s="5">
        <v>441</v>
      </c>
    </row>
    <row r="802" spans="1:8" x14ac:dyDescent="0.25">
      <c r="A802" s="5" t="s">
        <v>8144</v>
      </c>
      <c r="B802" s="5" t="s">
        <v>102</v>
      </c>
      <c r="C802" s="5" t="s">
        <v>2221</v>
      </c>
      <c r="D802" s="5" t="s">
        <v>7875</v>
      </c>
      <c r="E802" s="6">
        <v>26</v>
      </c>
      <c r="F802" s="6">
        <v>15</v>
      </c>
      <c r="G802" s="5">
        <v>492</v>
      </c>
      <c r="H802" s="5">
        <v>278</v>
      </c>
    </row>
    <row r="803" spans="1:8" x14ac:dyDescent="0.25">
      <c r="A803" s="5" t="s">
        <v>8145</v>
      </c>
      <c r="B803" s="5" t="s">
        <v>102</v>
      </c>
      <c r="C803" s="5" t="s">
        <v>2221</v>
      </c>
      <c r="D803" s="5" t="s">
        <v>7847</v>
      </c>
      <c r="E803" s="6">
        <v>22</v>
      </c>
      <c r="F803" s="6">
        <v>10</v>
      </c>
      <c r="G803" s="5">
        <v>420</v>
      </c>
      <c r="H803" s="5">
        <v>214</v>
      </c>
    </row>
    <row r="804" spans="1:8" x14ac:dyDescent="0.25">
      <c r="A804" s="5" t="s">
        <v>8146</v>
      </c>
      <c r="B804" s="5" t="s">
        <v>102</v>
      </c>
      <c r="C804" s="5" t="s">
        <v>2221</v>
      </c>
      <c r="D804" s="5" t="s">
        <v>7813</v>
      </c>
      <c r="E804" s="6">
        <v>22</v>
      </c>
      <c r="F804" s="6">
        <v>13</v>
      </c>
      <c r="G804" s="5">
        <v>408</v>
      </c>
      <c r="H804" s="5">
        <v>262</v>
      </c>
    </row>
    <row r="805" spans="1:8" x14ac:dyDescent="0.25">
      <c r="A805" s="5" t="s">
        <v>8147</v>
      </c>
      <c r="B805" s="5" t="s">
        <v>102</v>
      </c>
      <c r="C805" s="5" t="s">
        <v>2221</v>
      </c>
      <c r="D805" s="5" t="s">
        <v>7191</v>
      </c>
      <c r="E805" s="6">
        <v>24</v>
      </c>
      <c r="F805" s="6">
        <v>37</v>
      </c>
      <c r="G805" s="5">
        <v>457</v>
      </c>
      <c r="H805" s="5">
        <v>691</v>
      </c>
    </row>
    <row r="806" spans="1:8" x14ac:dyDescent="0.25">
      <c r="A806" s="5" t="s">
        <v>8148</v>
      </c>
      <c r="B806" s="5" t="s">
        <v>102</v>
      </c>
      <c r="C806" s="5" t="s">
        <v>944</v>
      </c>
      <c r="D806" s="5" t="s">
        <v>7874</v>
      </c>
      <c r="E806" s="6">
        <v>25</v>
      </c>
      <c r="F806" s="6">
        <v>25</v>
      </c>
      <c r="G806" s="5">
        <v>465</v>
      </c>
      <c r="H806" s="5">
        <v>471</v>
      </c>
    </row>
    <row r="807" spans="1:8" x14ac:dyDescent="0.25">
      <c r="A807" s="5" t="s">
        <v>8149</v>
      </c>
      <c r="B807" s="5" t="s">
        <v>102</v>
      </c>
      <c r="C807" s="5" t="s">
        <v>944</v>
      </c>
      <c r="D807" s="5" t="s">
        <v>7818</v>
      </c>
      <c r="E807" s="6">
        <v>29</v>
      </c>
      <c r="F807" s="6">
        <v>23</v>
      </c>
      <c r="G807" s="5">
        <v>549</v>
      </c>
      <c r="H807" s="5">
        <v>436</v>
      </c>
    </row>
    <row r="808" spans="1:8" x14ac:dyDescent="0.25">
      <c r="A808" s="5" t="s">
        <v>8150</v>
      </c>
      <c r="B808" s="5" t="s">
        <v>102</v>
      </c>
      <c r="C808" s="5" t="s">
        <v>944</v>
      </c>
      <c r="D808" s="5" t="s">
        <v>7874</v>
      </c>
      <c r="E808" s="6">
        <v>29</v>
      </c>
      <c r="F808" s="6">
        <v>8</v>
      </c>
      <c r="G808" s="5">
        <v>551</v>
      </c>
      <c r="H808" s="5">
        <v>146</v>
      </c>
    </row>
    <row r="809" spans="1:8" x14ac:dyDescent="0.25">
      <c r="A809" s="5" t="s">
        <v>8151</v>
      </c>
      <c r="B809" s="5" t="s">
        <v>102</v>
      </c>
      <c r="C809" s="5" t="s">
        <v>944</v>
      </c>
      <c r="D809" s="5" t="s">
        <v>7818</v>
      </c>
      <c r="E809" s="6">
        <v>38</v>
      </c>
      <c r="F809" s="6">
        <v>16</v>
      </c>
      <c r="G809" s="5">
        <v>705</v>
      </c>
      <c r="H809" s="5">
        <v>318</v>
      </c>
    </row>
    <row r="810" spans="1:8" x14ac:dyDescent="0.25">
      <c r="A810" s="5" t="s">
        <v>8152</v>
      </c>
      <c r="B810" s="5" t="s">
        <v>102</v>
      </c>
      <c r="C810" s="5" t="s">
        <v>944</v>
      </c>
      <c r="D810" s="5" t="s">
        <v>7818</v>
      </c>
      <c r="E810" s="6">
        <v>31</v>
      </c>
      <c r="F810" s="6">
        <v>4</v>
      </c>
      <c r="G810" s="5">
        <v>585</v>
      </c>
      <c r="H810" s="5">
        <v>85</v>
      </c>
    </row>
    <row r="811" spans="1:8" x14ac:dyDescent="0.25">
      <c r="A811" s="5" t="s">
        <v>8153</v>
      </c>
      <c r="B811" s="5" t="s">
        <v>102</v>
      </c>
      <c r="C811" s="5" t="s">
        <v>944</v>
      </c>
      <c r="D811" s="5" t="s">
        <v>7816</v>
      </c>
      <c r="E811" s="6">
        <v>34</v>
      </c>
      <c r="F811" s="6">
        <v>21</v>
      </c>
      <c r="G811" s="5">
        <v>641</v>
      </c>
      <c r="H811" s="5">
        <v>420</v>
      </c>
    </row>
    <row r="812" spans="1:8" x14ac:dyDescent="0.25">
      <c r="A812" s="5" t="s">
        <v>8154</v>
      </c>
      <c r="B812" s="5" t="s">
        <v>102</v>
      </c>
      <c r="C812" s="5" t="s">
        <v>944</v>
      </c>
      <c r="D812" s="5" t="s">
        <v>7820</v>
      </c>
      <c r="E812" s="6">
        <v>36</v>
      </c>
      <c r="F812" s="6">
        <v>20</v>
      </c>
      <c r="G812" s="5">
        <v>685</v>
      </c>
      <c r="H812" s="5">
        <v>382</v>
      </c>
    </row>
    <row r="813" spans="1:8" x14ac:dyDescent="0.25">
      <c r="A813" s="5" t="s">
        <v>8155</v>
      </c>
      <c r="B813" s="5" t="s">
        <v>102</v>
      </c>
      <c r="C813" s="5" t="s">
        <v>944</v>
      </c>
      <c r="D813" s="5" t="s">
        <v>7874</v>
      </c>
      <c r="E813" s="6">
        <v>37</v>
      </c>
      <c r="F813" s="6">
        <v>11</v>
      </c>
      <c r="G813" s="5">
        <v>680</v>
      </c>
      <c r="H813" s="5">
        <v>228</v>
      </c>
    </row>
    <row r="814" spans="1:8" x14ac:dyDescent="0.25">
      <c r="A814" s="5" t="s">
        <v>8156</v>
      </c>
      <c r="B814" s="5" t="s">
        <v>102</v>
      </c>
      <c r="C814" s="5" t="s">
        <v>944</v>
      </c>
      <c r="D814" s="5" t="s">
        <v>7876</v>
      </c>
      <c r="E814" s="6">
        <v>8</v>
      </c>
      <c r="F814" s="6">
        <v>9</v>
      </c>
      <c r="G814" s="5">
        <v>149</v>
      </c>
      <c r="H814" s="5">
        <v>154</v>
      </c>
    </row>
    <row r="815" spans="1:8" x14ac:dyDescent="0.25">
      <c r="A815" s="5" t="s">
        <v>8157</v>
      </c>
      <c r="B815" s="5" t="s">
        <v>102</v>
      </c>
      <c r="C815" s="5" t="s">
        <v>944</v>
      </c>
      <c r="D815" s="5" t="s">
        <v>7814</v>
      </c>
      <c r="E815" s="6">
        <v>11</v>
      </c>
      <c r="F815" s="6">
        <v>5</v>
      </c>
      <c r="G815" s="5">
        <v>195</v>
      </c>
      <c r="H815" s="5">
        <v>84</v>
      </c>
    </row>
    <row r="816" spans="1:8" x14ac:dyDescent="0.25">
      <c r="A816" s="5" t="s">
        <v>8158</v>
      </c>
      <c r="B816" s="5" t="s">
        <v>102</v>
      </c>
      <c r="C816" s="5" t="s">
        <v>944</v>
      </c>
      <c r="D816" s="5" t="s">
        <v>7847</v>
      </c>
      <c r="E816" s="6">
        <v>14</v>
      </c>
      <c r="F816" s="6">
        <v>17</v>
      </c>
      <c r="G816" s="5">
        <v>244</v>
      </c>
      <c r="H816" s="5">
        <v>332</v>
      </c>
    </row>
    <row r="817" spans="1:8" x14ac:dyDescent="0.25">
      <c r="A817" s="5" t="s">
        <v>8159</v>
      </c>
      <c r="B817" s="5" t="s">
        <v>102</v>
      </c>
      <c r="C817" s="5" t="s">
        <v>944</v>
      </c>
      <c r="D817" s="5" t="s">
        <v>7847</v>
      </c>
      <c r="E817" s="6">
        <v>16</v>
      </c>
      <c r="F817" s="6">
        <v>20</v>
      </c>
      <c r="G817" s="5">
        <v>285</v>
      </c>
      <c r="H817" s="5">
        <v>382</v>
      </c>
    </row>
    <row r="818" spans="1:8" x14ac:dyDescent="0.25">
      <c r="A818" s="5" t="s">
        <v>8160</v>
      </c>
      <c r="B818" s="5" t="s">
        <v>102</v>
      </c>
      <c r="C818" s="5" t="s">
        <v>944</v>
      </c>
      <c r="D818" s="5" t="s">
        <v>7847</v>
      </c>
      <c r="E818" s="6">
        <v>21</v>
      </c>
      <c r="F818" s="6">
        <v>8</v>
      </c>
      <c r="G818" s="5">
        <v>396</v>
      </c>
      <c r="H818" s="5">
        <v>136</v>
      </c>
    </row>
    <row r="819" spans="1:8" x14ac:dyDescent="0.25">
      <c r="A819" s="5" t="s">
        <v>8161</v>
      </c>
      <c r="B819" s="5" t="s">
        <v>102</v>
      </c>
      <c r="C819" s="5" t="s">
        <v>944</v>
      </c>
      <c r="D819" s="5" t="s">
        <v>7819</v>
      </c>
      <c r="E819" s="6">
        <v>25</v>
      </c>
      <c r="F819" s="6">
        <v>13</v>
      </c>
      <c r="G819" s="5">
        <v>475</v>
      </c>
      <c r="H819" s="5">
        <v>237</v>
      </c>
    </row>
    <row r="820" spans="1:8" x14ac:dyDescent="0.25">
      <c r="A820" s="5" t="s">
        <v>8162</v>
      </c>
      <c r="B820" s="5" t="s">
        <v>102</v>
      </c>
      <c r="C820" s="5" t="s">
        <v>944</v>
      </c>
      <c r="D820" s="5" t="s">
        <v>7847</v>
      </c>
      <c r="E820" s="6">
        <v>18</v>
      </c>
      <c r="F820" s="6">
        <v>13</v>
      </c>
      <c r="G820" s="5">
        <v>322</v>
      </c>
      <c r="H820" s="5">
        <v>241</v>
      </c>
    </row>
    <row r="821" spans="1:8" x14ac:dyDescent="0.25">
      <c r="A821" s="5" t="s">
        <v>8163</v>
      </c>
      <c r="B821" s="5" t="s">
        <v>102</v>
      </c>
      <c r="C821" s="5" t="s">
        <v>944</v>
      </c>
      <c r="D821" s="5" t="s">
        <v>7876</v>
      </c>
      <c r="E821" s="6">
        <v>16</v>
      </c>
      <c r="F821" s="6">
        <v>11</v>
      </c>
      <c r="G821" s="5">
        <v>290</v>
      </c>
      <c r="H821" s="5">
        <v>196</v>
      </c>
    </row>
    <row r="822" spans="1:8" x14ac:dyDescent="0.25">
      <c r="A822" s="5" t="s">
        <v>8164</v>
      </c>
      <c r="B822" s="5" t="s">
        <v>102</v>
      </c>
      <c r="C822" s="5" t="s">
        <v>944</v>
      </c>
      <c r="D822" s="5" t="s">
        <v>8051</v>
      </c>
      <c r="E822" s="6">
        <v>30</v>
      </c>
      <c r="F822" s="6">
        <v>11</v>
      </c>
      <c r="G822" s="5">
        <v>593</v>
      </c>
      <c r="H822" s="5">
        <v>197</v>
      </c>
    </row>
    <row r="823" spans="1:8" x14ac:dyDescent="0.25">
      <c r="A823" s="5" t="s">
        <v>8165</v>
      </c>
      <c r="B823" s="5" t="s">
        <v>102</v>
      </c>
      <c r="C823" s="5" t="s">
        <v>944</v>
      </c>
      <c r="D823" s="5" t="s">
        <v>7191</v>
      </c>
      <c r="E823" s="6">
        <v>13</v>
      </c>
      <c r="F823" s="6">
        <v>22</v>
      </c>
      <c r="G823" s="5">
        <v>231</v>
      </c>
      <c r="H823" s="5">
        <v>405</v>
      </c>
    </row>
    <row r="824" spans="1:8" x14ac:dyDescent="0.25">
      <c r="A824" s="5" t="s">
        <v>8166</v>
      </c>
      <c r="B824" s="5" t="s">
        <v>133</v>
      </c>
      <c r="C824" s="5" t="s">
        <v>2320</v>
      </c>
      <c r="D824" s="5" t="s">
        <v>7820</v>
      </c>
      <c r="E824" s="6">
        <v>6</v>
      </c>
      <c r="F824" s="6">
        <v>33</v>
      </c>
      <c r="G824" s="5">
        <v>95</v>
      </c>
      <c r="H824" s="5">
        <v>618</v>
      </c>
    </row>
    <row r="825" spans="1:8" x14ac:dyDescent="0.25">
      <c r="A825" s="5" t="s">
        <v>8167</v>
      </c>
      <c r="B825" s="5" t="s">
        <v>133</v>
      </c>
      <c r="C825" s="5" t="s">
        <v>2320</v>
      </c>
      <c r="D825" s="5" t="s">
        <v>7820</v>
      </c>
      <c r="E825" s="6">
        <v>12</v>
      </c>
      <c r="F825" s="6">
        <v>35</v>
      </c>
      <c r="G825" s="5">
        <v>218</v>
      </c>
      <c r="H825" s="5">
        <v>662</v>
      </c>
    </row>
    <row r="826" spans="1:8" x14ac:dyDescent="0.25">
      <c r="A826" s="5" t="s">
        <v>8168</v>
      </c>
      <c r="B826" s="5" t="s">
        <v>133</v>
      </c>
      <c r="C826" s="5" t="s">
        <v>2320</v>
      </c>
      <c r="D826" s="5" t="s">
        <v>7820</v>
      </c>
      <c r="E826" s="6">
        <v>11</v>
      </c>
      <c r="F826" s="6">
        <v>19</v>
      </c>
      <c r="G826" s="5">
        <v>194</v>
      </c>
      <c r="H826" s="5">
        <v>348</v>
      </c>
    </row>
    <row r="827" spans="1:8" x14ac:dyDescent="0.25">
      <c r="A827" s="5" t="s">
        <v>8169</v>
      </c>
      <c r="B827" s="5" t="s">
        <v>133</v>
      </c>
      <c r="C827" s="5" t="s">
        <v>2320</v>
      </c>
      <c r="D827" s="5" t="s">
        <v>7820</v>
      </c>
      <c r="E827" s="6">
        <v>16</v>
      </c>
      <c r="F827" s="6">
        <v>17</v>
      </c>
      <c r="G827" s="5">
        <v>302</v>
      </c>
      <c r="H827" s="5">
        <v>309</v>
      </c>
    </row>
    <row r="828" spans="1:8" x14ac:dyDescent="0.25">
      <c r="A828" s="5" t="s">
        <v>8170</v>
      </c>
      <c r="B828" s="5" t="s">
        <v>133</v>
      </c>
      <c r="C828" s="5" t="s">
        <v>2320</v>
      </c>
      <c r="D828" s="5" t="s">
        <v>7820</v>
      </c>
      <c r="E828" s="6">
        <v>20</v>
      </c>
      <c r="F828" s="6">
        <v>38</v>
      </c>
      <c r="G828" s="5">
        <v>367</v>
      </c>
      <c r="H828" s="5">
        <v>718</v>
      </c>
    </row>
    <row r="829" spans="1:8" x14ac:dyDescent="0.25">
      <c r="A829" s="5" t="s">
        <v>8171</v>
      </c>
      <c r="B829" s="5" t="s">
        <v>133</v>
      </c>
      <c r="C829" s="5" t="s">
        <v>2320</v>
      </c>
      <c r="D829" s="5" t="s">
        <v>7820</v>
      </c>
      <c r="E829" s="6">
        <v>25</v>
      </c>
      <c r="F829" s="6">
        <v>25</v>
      </c>
      <c r="G829" s="5">
        <v>465</v>
      </c>
      <c r="H829" s="5">
        <v>472</v>
      </c>
    </row>
    <row r="830" spans="1:8" x14ac:dyDescent="0.25">
      <c r="A830" s="5" t="s">
        <v>8172</v>
      </c>
      <c r="B830" s="5" t="s">
        <v>133</v>
      </c>
      <c r="C830" s="5" t="s">
        <v>2320</v>
      </c>
      <c r="D830" s="5" t="s">
        <v>7821</v>
      </c>
      <c r="E830" s="6">
        <v>17</v>
      </c>
      <c r="F830" s="6">
        <v>9</v>
      </c>
      <c r="G830" s="5">
        <v>316</v>
      </c>
      <c r="H830" s="5">
        <v>162</v>
      </c>
    </row>
    <row r="831" spans="1:8" x14ac:dyDescent="0.25">
      <c r="A831" s="5" t="s">
        <v>8173</v>
      </c>
      <c r="B831" s="5" t="s">
        <v>133</v>
      </c>
      <c r="C831" s="5" t="s">
        <v>2320</v>
      </c>
      <c r="D831" s="5" t="s">
        <v>7821</v>
      </c>
      <c r="E831" s="6">
        <v>30</v>
      </c>
      <c r="F831" s="6">
        <v>8</v>
      </c>
      <c r="G831" s="5">
        <v>563</v>
      </c>
      <c r="H831" s="5">
        <v>143</v>
      </c>
    </row>
    <row r="832" spans="1:8" x14ac:dyDescent="0.25">
      <c r="A832" s="5" t="s">
        <v>8174</v>
      </c>
      <c r="B832" s="5" t="s">
        <v>133</v>
      </c>
      <c r="C832" s="5" t="s">
        <v>2320</v>
      </c>
      <c r="D832" s="5" t="s">
        <v>7821</v>
      </c>
      <c r="E832" s="6">
        <v>34</v>
      </c>
      <c r="F832" s="6">
        <v>14</v>
      </c>
      <c r="G832" s="5">
        <v>642</v>
      </c>
      <c r="H832" s="5">
        <v>244</v>
      </c>
    </row>
    <row r="833" spans="1:8" x14ac:dyDescent="0.25">
      <c r="A833" s="5" t="s">
        <v>8175</v>
      </c>
      <c r="B833" s="5" t="s">
        <v>133</v>
      </c>
      <c r="C833" s="5" t="s">
        <v>2320</v>
      </c>
      <c r="D833" s="5" t="s">
        <v>7821</v>
      </c>
      <c r="E833" s="6">
        <v>33</v>
      </c>
      <c r="F833" s="6">
        <v>26</v>
      </c>
      <c r="G833" s="5">
        <v>621</v>
      </c>
      <c r="H833" s="5">
        <v>482</v>
      </c>
    </row>
    <row r="834" spans="1:8" x14ac:dyDescent="0.25">
      <c r="A834" s="5" t="s">
        <v>8176</v>
      </c>
      <c r="B834" s="5" t="s">
        <v>133</v>
      </c>
      <c r="C834" s="5" t="s">
        <v>2320</v>
      </c>
      <c r="D834" s="5" t="s">
        <v>7191</v>
      </c>
      <c r="E834" s="6">
        <v>25</v>
      </c>
      <c r="F834" s="6">
        <v>16</v>
      </c>
      <c r="G834" s="5">
        <v>467</v>
      </c>
      <c r="H834" s="5">
        <v>281</v>
      </c>
    </row>
    <row r="835" spans="1:8" x14ac:dyDescent="0.25">
      <c r="A835" s="5" t="s">
        <v>8177</v>
      </c>
      <c r="B835" s="5" t="s">
        <v>133</v>
      </c>
      <c r="C835" s="5" t="s">
        <v>837</v>
      </c>
      <c r="D835" s="5" t="s">
        <v>7820</v>
      </c>
      <c r="E835" s="6">
        <v>18</v>
      </c>
      <c r="F835" s="6">
        <v>24</v>
      </c>
      <c r="G835" s="5">
        <v>336</v>
      </c>
      <c r="H835" s="5">
        <v>437</v>
      </c>
    </row>
    <row r="836" spans="1:8" x14ac:dyDescent="0.25">
      <c r="A836" s="5" t="s">
        <v>8178</v>
      </c>
      <c r="B836" s="5" t="s">
        <v>133</v>
      </c>
      <c r="C836" s="5" t="s">
        <v>837</v>
      </c>
      <c r="D836" s="5" t="s">
        <v>7820</v>
      </c>
      <c r="E836" s="6">
        <v>20</v>
      </c>
      <c r="F836" s="6">
        <v>31</v>
      </c>
      <c r="G836" s="5">
        <v>371</v>
      </c>
      <c r="H836" s="5">
        <v>575</v>
      </c>
    </row>
    <row r="837" spans="1:8" x14ac:dyDescent="0.25">
      <c r="A837" s="5" t="s">
        <v>8179</v>
      </c>
      <c r="B837" s="5" t="s">
        <v>133</v>
      </c>
      <c r="C837" s="5" t="s">
        <v>837</v>
      </c>
      <c r="D837" s="5" t="s">
        <v>7820</v>
      </c>
      <c r="E837" s="6">
        <v>26</v>
      </c>
      <c r="F837" s="6">
        <v>21</v>
      </c>
      <c r="G837" s="5">
        <v>490</v>
      </c>
      <c r="H837" s="5">
        <v>379</v>
      </c>
    </row>
    <row r="838" spans="1:8" x14ac:dyDescent="0.25">
      <c r="A838" s="5" t="s">
        <v>8180</v>
      </c>
      <c r="B838" s="5" t="s">
        <v>133</v>
      </c>
      <c r="C838" s="5" t="s">
        <v>837</v>
      </c>
      <c r="D838" s="5" t="s">
        <v>7820</v>
      </c>
      <c r="E838" s="6">
        <v>28</v>
      </c>
      <c r="F838" s="6">
        <v>25</v>
      </c>
      <c r="G838" s="5">
        <v>518</v>
      </c>
      <c r="H838" s="5">
        <v>467</v>
      </c>
    </row>
    <row r="839" spans="1:8" x14ac:dyDescent="0.25">
      <c r="A839" s="5" t="s">
        <v>8181</v>
      </c>
      <c r="B839" s="5" t="s">
        <v>133</v>
      </c>
      <c r="C839" s="5" t="s">
        <v>837</v>
      </c>
      <c r="D839" s="5" t="s">
        <v>7820</v>
      </c>
      <c r="E839" s="6">
        <v>33</v>
      </c>
      <c r="F839" s="6">
        <v>21</v>
      </c>
      <c r="G839" s="5">
        <v>617</v>
      </c>
      <c r="H839" s="5">
        <v>373</v>
      </c>
    </row>
    <row r="840" spans="1:8" x14ac:dyDescent="0.25">
      <c r="A840" s="5" t="s">
        <v>8182</v>
      </c>
      <c r="B840" s="5" t="s">
        <v>133</v>
      </c>
      <c r="C840" s="5" t="s">
        <v>837</v>
      </c>
      <c r="D840" s="5" t="s">
        <v>7814</v>
      </c>
      <c r="E840" s="6">
        <v>7</v>
      </c>
      <c r="F840" s="6">
        <v>13</v>
      </c>
      <c r="G840" s="5">
        <v>115</v>
      </c>
      <c r="H840" s="5">
        <v>237</v>
      </c>
    </row>
    <row r="841" spans="1:8" x14ac:dyDescent="0.25">
      <c r="A841" s="5" t="s">
        <v>8183</v>
      </c>
      <c r="B841" s="5" t="s">
        <v>133</v>
      </c>
      <c r="C841" s="5" t="s">
        <v>837</v>
      </c>
      <c r="D841" s="5" t="s">
        <v>7821</v>
      </c>
      <c r="E841" s="6">
        <v>15</v>
      </c>
      <c r="F841" s="6">
        <v>18</v>
      </c>
      <c r="G841" s="5">
        <v>264</v>
      </c>
      <c r="H841" s="5">
        <v>210</v>
      </c>
    </row>
    <row r="842" spans="1:8" x14ac:dyDescent="0.25">
      <c r="A842" s="5" t="s">
        <v>8184</v>
      </c>
      <c r="B842" s="5" t="s">
        <v>133</v>
      </c>
      <c r="C842" s="5" t="s">
        <v>837</v>
      </c>
      <c r="D842" s="5" t="s">
        <v>7821</v>
      </c>
      <c r="E842" s="6">
        <v>17</v>
      </c>
      <c r="F842" s="6">
        <v>16</v>
      </c>
      <c r="G842" s="5">
        <v>322</v>
      </c>
      <c r="H842" s="5">
        <v>300</v>
      </c>
    </row>
    <row r="843" spans="1:8" x14ac:dyDescent="0.25">
      <c r="A843" s="5" t="s">
        <v>8185</v>
      </c>
      <c r="B843" s="5" t="s">
        <v>133</v>
      </c>
      <c r="C843" s="5" t="s">
        <v>837</v>
      </c>
      <c r="D843" s="5" t="s">
        <v>7821</v>
      </c>
      <c r="E843" s="6">
        <v>18</v>
      </c>
      <c r="F843" s="6">
        <v>18</v>
      </c>
      <c r="G843" s="5">
        <v>336</v>
      </c>
      <c r="H843" s="5">
        <v>214</v>
      </c>
    </row>
    <row r="844" spans="1:8" x14ac:dyDescent="0.25">
      <c r="A844" s="5" t="s">
        <v>8187</v>
      </c>
      <c r="B844" s="5" t="s">
        <v>133</v>
      </c>
      <c r="C844" s="5" t="s">
        <v>837</v>
      </c>
      <c r="D844" s="5" t="s">
        <v>7821</v>
      </c>
      <c r="E844" s="6">
        <v>30</v>
      </c>
      <c r="F844" s="6">
        <v>13</v>
      </c>
      <c r="G844" s="5">
        <v>556</v>
      </c>
      <c r="H844" s="5">
        <v>239</v>
      </c>
    </row>
    <row r="845" spans="1:8" x14ac:dyDescent="0.25">
      <c r="A845" s="5" t="s">
        <v>8188</v>
      </c>
      <c r="B845" s="5" t="s">
        <v>133</v>
      </c>
      <c r="C845" s="5" t="s">
        <v>837</v>
      </c>
      <c r="D845" s="5" t="s">
        <v>7191</v>
      </c>
      <c r="E845" s="6">
        <v>24</v>
      </c>
      <c r="F845" s="6">
        <v>19</v>
      </c>
      <c r="G845" s="5">
        <v>445</v>
      </c>
      <c r="H845" s="5">
        <v>305</v>
      </c>
    </row>
    <row r="846" spans="1:8" x14ac:dyDescent="0.25">
      <c r="A846" s="5" t="s">
        <v>10640</v>
      </c>
      <c r="B846" s="5" t="s">
        <v>133</v>
      </c>
      <c r="C846" s="5" t="s">
        <v>2407</v>
      </c>
      <c r="D846" s="5" t="s">
        <v>7820</v>
      </c>
      <c r="E846" s="6">
        <v>23</v>
      </c>
      <c r="F846" s="6">
        <v>25.7</v>
      </c>
      <c r="G846" s="5">
        <v>423</v>
      </c>
      <c r="H846" s="5">
        <v>483</v>
      </c>
    </row>
    <row r="847" spans="1:8" x14ac:dyDescent="0.25">
      <c r="A847" s="5" t="s">
        <v>10641</v>
      </c>
      <c r="B847" s="5" t="s">
        <v>133</v>
      </c>
      <c r="C847" s="5" t="s">
        <v>2407</v>
      </c>
      <c r="D847" s="5" t="s">
        <v>7820</v>
      </c>
      <c r="E847" s="6">
        <v>27.5</v>
      </c>
      <c r="F847" s="6">
        <v>33.799999999999997</v>
      </c>
      <c r="G847" s="5">
        <v>524</v>
      </c>
      <c r="H847" s="5">
        <v>611</v>
      </c>
    </row>
    <row r="848" spans="1:8" x14ac:dyDescent="0.25">
      <c r="A848" s="5" t="s">
        <v>10642</v>
      </c>
      <c r="B848" s="5" t="s">
        <v>133</v>
      </c>
      <c r="C848" s="5" t="s">
        <v>2407</v>
      </c>
      <c r="D848" s="5" t="s">
        <v>7820</v>
      </c>
      <c r="E848" s="6">
        <v>29</v>
      </c>
      <c r="F848" s="6">
        <v>20.8</v>
      </c>
      <c r="G848" s="5">
        <v>540</v>
      </c>
      <c r="H848" s="5">
        <v>380</v>
      </c>
    </row>
    <row r="849" spans="1:8" x14ac:dyDescent="0.25">
      <c r="A849" s="5" t="s">
        <v>10643</v>
      </c>
      <c r="B849" s="5" t="s">
        <v>133</v>
      </c>
      <c r="C849" s="5" t="s">
        <v>2407</v>
      </c>
      <c r="D849" s="5" t="s">
        <v>7820</v>
      </c>
      <c r="E849" s="6">
        <v>31.8</v>
      </c>
      <c r="F849" s="6">
        <v>32.799999999999997</v>
      </c>
      <c r="G849" s="5">
        <v>591</v>
      </c>
      <c r="H849" s="5">
        <v>594</v>
      </c>
    </row>
    <row r="850" spans="1:8" x14ac:dyDescent="0.25">
      <c r="A850" s="5" t="s">
        <v>10644</v>
      </c>
      <c r="B850" s="5" t="s">
        <v>133</v>
      </c>
      <c r="C850" s="5" t="s">
        <v>2407</v>
      </c>
      <c r="D850" s="5" t="s">
        <v>7820</v>
      </c>
      <c r="E850" s="6">
        <v>33.1</v>
      </c>
      <c r="F850" s="6">
        <v>22.2</v>
      </c>
      <c r="G850" s="5">
        <v>622</v>
      </c>
      <c r="H850" s="5">
        <v>401</v>
      </c>
    </row>
    <row r="851" spans="1:8" x14ac:dyDescent="0.25">
      <c r="A851" s="5" t="s">
        <v>10645</v>
      </c>
      <c r="B851" s="5" t="s">
        <v>133</v>
      </c>
      <c r="C851" s="5" t="s">
        <v>2407</v>
      </c>
      <c r="D851" s="5" t="s">
        <v>7875</v>
      </c>
      <c r="E851" s="6">
        <v>9.5</v>
      </c>
      <c r="F851" s="6">
        <v>11.5</v>
      </c>
      <c r="G851" s="5">
        <v>171</v>
      </c>
      <c r="H851" s="5">
        <v>208</v>
      </c>
    </row>
    <row r="852" spans="1:8" x14ac:dyDescent="0.25">
      <c r="A852" s="5" t="s">
        <v>10646</v>
      </c>
      <c r="B852" s="5" t="s">
        <v>133</v>
      </c>
      <c r="C852" s="5" t="s">
        <v>2407</v>
      </c>
      <c r="D852" s="5" t="s">
        <v>7821</v>
      </c>
      <c r="E852" s="6">
        <v>11.6</v>
      </c>
      <c r="F852" s="6">
        <v>12.9</v>
      </c>
      <c r="G852" s="5">
        <v>212</v>
      </c>
      <c r="H852" s="5">
        <v>231</v>
      </c>
    </row>
    <row r="853" spans="1:8" x14ac:dyDescent="0.25">
      <c r="A853" s="5" t="s">
        <v>10647</v>
      </c>
      <c r="B853" s="5" t="s">
        <v>133</v>
      </c>
      <c r="C853" s="5" t="s">
        <v>2407</v>
      </c>
      <c r="D853" s="5" t="s">
        <v>7821</v>
      </c>
      <c r="E853" s="6">
        <v>12</v>
      </c>
      <c r="F853" s="6">
        <v>16.600000000000001</v>
      </c>
      <c r="G853" s="5">
        <v>222</v>
      </c>
      <c r="H853" s="5">
        <v>305</v>
      </c>
    </row>
    <row r="854" spans="1:8" x14ac:dyDescent="0.25">
      <c r="A854" s="5" t="s">
        <v>10648</v>
      </c>
      <c r="B854" s="5" t="s">
        <v>133</v>
      </c>
      <c r="C854" s="5" t="s">
        <v>2407</v>
      </c>
      <c r="D854" s="5" t="s">
        <v>7821</v>
      </c>
      <c r="E854" s="6">
        <v>15.6</v>
      </c>
      <c r="F854" s="6">
        <v>19.8</v>
      </c>
      <c r="G854" s="5">
        <v>286</v>
      </c>
      <c r="H854" s="5">
        <v>365</v>
      </c>
    </row>
    <row r="855" spans="1:8" x14ac:dyDescent="0.25">
      <c r="A855" s="5" t="s">
        <v>10649</v>
      </c>
      <c r="B855" s="5" t="s">
        <v>133</v>
      </c>
      <c r="C855" s="5" t="s">
        <v>2407</v>
      </c>
      <c r="D855" s="5" t="s">
        <v>7814</v>
      </c>
      <c r="E855" s="6">
        <v>26.9</v>
      </c>
      <c r="F855" s="6">
        <v>8</v>
      </c>
      <c r="G855" s="5">
        <v>503</v>
      </c>
      <c r="H855" s="5">
        <v>135</v>
      </c>
    </row>
    <row r="856" spans="1:8" x14ac:dyDescent="0.25">
      <c r="A856" s="5" t="s">
        <v>10650</v>
      </c>
      <c r="B856" s="5" t="s">
        <v>133</v>
      </c>
      <c r="C856" s="5" t="s">
        <v>2407</v>
      </c>
      <c r="D856" s="5" t="s">
        <v>7848</v>
      </c>
      <c r="E856" s="6">
        <v>28</v>
      </c>
      <c r="F856" s="6">
        <v>24</v>
      </c>
      <c r="G856" s="5">
        <v>519</v>
      </c>
      <c r="H856" s="5">
        <v>445</v>
      </c>
    </row>
    <row r="857" spans="1:8" x14ac:dyDescent="0.25">
      <c r="A857" s="5" t="s">
        <v>10651</v>
      </c>
      <c r="B857" s="5" t="s">
        <v>133</v>
      </c>
      <c r="C857" s="5" t="s">
        <v>2407</v>
      </c>
      <c r="D857" s="5" t="s">
        <v>7191</v>
      </c>
      <c r="E857" s="6">
        <v>20</v>
      </c>
      <c r="F857" s="6">
        <v>24</v>
      </c>
      <c r="G857" s="5">
        <v>359</v>
      </c>
      <c r="H857" s="5">
        <v>444</v>
      </c>
    </row>
    <row r="858" spans="1:8" x14ac:dyDescent="0.25">
      <c r="A858" s="5" t="s">
        <v>10652</v>
      </c>
      <c r="B858" s="5" t="s">
        <v>133</v>
      </c>
      <c r="C858" s="5" t="s">
        <v>2443</v>
      </c>
      <c r="D858" s="5" t="s">
        <v>7820</v>
      </c>
      <c r="E858" s="6">
        <v>16</v>
      </c>
      <c r="F858" s="6">
        <v>29</v>
      </c>
      <c r="G858" s="5">
        <v>308</v>
      </c>
      <c r="H858" s="5">
        <v>545</v>
      </c>
    </row>
    <row r="859" spans="1:8" x14ac:dyDescent="0.25">
      <c r="A859" s="5" t="s">
        <v>10653</v>
      </c>
      <c r="B859" s="5" t="s">
        <v>133</v>
      </c>
      <c r="C859" s="5" t="s">
        <v>2443</v>
      </c>
      <c r="D859" s="5" t="s">
        <v>7820</v>
      </c>
      <c r="E859" s="6">
        <v>21</v>
      </c>
      <c r="F859" s="6">
        <v>35</v>
      </c>
      <c r="G859" s="5">
        <v>393</v>
      </c>
      <c r="H859" s="5">
        <v>654</v>
      </c>
    </row>
    <row r="860" spans="1:8" x14ac:dyDescent="0.25">
      <c r="A860" s="5" t="s">
        <v>10654</v>
      </c>
      <c r="B860" s="5" t="s">
        <v>133</v>
      </c>
      <c r="C860" s="5" t="s">
        <v>2443</v>
      </c>
      <c r="D860" s="5" t="s">
        <v>7820</v>
      </c>
      <c r="E860" s="6">
        <v>24</v>
      </c>
      <c r="F860" s="6">
        <v>33</v>
      </c>
      <c r="G860" s="5">
        <v>449</v>
      </c>
      <c r="H860" s="5">
        <v>627</v>
      </c>
    </row>
    <row r="861" spans="1:8" x14ac:dyDescent="0.25">
      <c r="A861" s="5" t="s">
        <v>10655</v>
      </c>
      <c r="B861" s="5" t="s">
        <v>133</v>
      </c>
      <c r="C861" s="5" t="s">
        <v>2443</v>
      </c>
      <c r="D861" s="5" t="s">
        <v>7820</v>
      </c>
      <c r="E861" s="6">
        <v>30</v>
      </c>
      <c r="F861" s="6">
        <v>30</v>
      </c>
      <c r="G861" s="5">
        <v>566</v>
      </c>
      <c r="H861" s="5">
        <v>559</v>
      </c>
    </row>
    <row r="862" spans="1:8" x14ac:dyDescent="0.25">
      <c r="A862" s="5" t="s">
        <v>10656</v>
      </c>
      <c r="B862" s="5" t="s">
        <v>133</v>
      </c>
      <c r="C862" s="5" t="s">
        <v>2443</v>
      </c>
      <c r="D862" s="5" t="s">
        <v>7820</v>
      </c>
      <c r="E862" s="6">
        <v>37</v>
      </c>
      <c r="F862" s="6">
        <v>27</v>
      </c>
      <c r="G862" s="5">
        <v>690</v>
      </c>
      <c r="H862" s="5">
        <v>511</v>
      </c>
    </row>
    <row r="863" spans="1:8" x14ac:dyDescent="0.25">
      <c r="A863" s="5" t="s">
        <v>10657</v>
      </c>
      <c r="B863" s="5" t="s">
        <v>133</v>
      </c>
      <c r="C863" s="5" t="s">
        <v>2443</v>
      </c>
      <c r="D863" s="5" t="s">
        <v>7821</v>
      </c>
      <c r="E863" s="6">
        <v>10</v>
      </c>
      <c r="F863" s="6">
        <v>24</v>
      </c>
      <c r="G863" s="5">
        <v>183</v>
      </c>
      <c r="H863" s="5">
        <v>444</v>
      </c>
    </row>
    <row r="864" spans="1:8" x14ac:dyDescent="0.25">
      <c r="A864" s="5" t="s">
        <v>8189</v>
      </c>
      <c r="B864" s="5" t="s">
        <v>133</v>
      </c>
      <c r="C864" s="5" t="s">
        <v>2443</v>
      </c>
      <c r="D864" s="5" t="s">
        <v>7821</v>
      </c>
      <c r="E864" s="6">
        <v>17</v>
      </c>
      <c r="F864" s="6">
        <v>25</v>
      </c>
      <c r="G864" s="5">
        <v>313</v>
      </c>
      <c r="H864" s="5">
        <v>464</v>
      </c>
    </row>
    <row r="865" spans="1:8" x14ac:dyDescent="0.25">
      <c r="A865" s="5" t="s">
        <v>8190</v>
      </c>
      <c r="B865" s="5" t="s">
        <v>133</v>
      </c>
      <c r="C865" s="5" t="s">
        <v>2443</v>
      </c>
      <c r="D865" s="5" t="s">
        <v>7821</v>
      </c>
      <c r="E865" s="6">
        <v>18</v>
      </c>
      <c r="F865" s="6">
        <v>21</v>
      </c>
      <c r="G865" s="5">
        <v>341</v>
      </c>
      <c r="H865" s="5">
        <v>400</v>
      </c>
    </row>
    <row r="866" spans="1:8" x14ac:dyDescent="0.25">
      <c r="A866" s="5" t="s">
        <v>8191</v>
      </c>
      <c r="B866" s="5" t="s">
        <v>133</v>
      </c>
      <c r="C866" s="5" t="s">
        <v>2443</v>
      </c>
      <c r="D866" s="5" t="s">
        <v>7821</v>
      </c>
      <c r="E866" s="6">
        <v>24</v>
      </c>
      <c r="F866" s="6">
        <v>24</v>
      </c>
      <c r="G866" s="5">
        <v>458</v>
      </c>
      <c r="H866" s="5">
        <v>427</v>
      </c>
    </row>
    <row r="867" spans="1:8" x14ac:dyDescent="0.25">
      <c r="A867" s="5" t="s">
        <v>8192</v>
      </c>
      <c r="B867" s="5" t="s">
        <v>133</v>
      </c>
      <c r="C867" s="5" t="s">
        <v>2443</v>
      </c>
      <c r="D867" s="5" t="s">
        <v>7821</v>
      </c>
      <c r="E867" s="6">
        <v>28</v>
      </c>
      <c r="F867" s="6">
        <v>27</v>
      </c>
      <c r="G867" s="5">
        <v>527</v>
      </c>
      <c r="H867" s="5">
        <v>501</v>
      </c>
    </row>
    <row r="868" spans="1:8" x14ac:dyDescent="0.25">
      <c r="A868" s="5" t="s">
        <v>8193</v>
      </c>
      <c r="B868" s="5" t="s">
        <v>133</v>
      </c>
      <c r="C868" s="5" t="s">
        <v>2443</v>
      </c>
      <c r="D868" s="5" t="s">
        <v>7191</v>
      </c>
      <c r="E868" s="6">
        <v>19</v>
      </c>
      <c r="F868" s="6">
        <v>30</v>
      </c>
      <c r="G868" s="5">
        <v>345</v>
      </c>
      <c r="H868" s="5">
        <v>572</v>
      </c>
    </row>
    <row r="869" spans="1:8" x14ac:dyDescent="0.25">
      <c r="A869" s="5" t="s">
        <v>8194</v>
      </c>
      <c r="B869" s="5" t="s">
        <v>133</v>
      </c>
      <c r="C869" s="5" t="s">
        <v>2518</v>
      </c>
      <c r="D869" s="5" t="s">
        <v>7820</v>
      </c>
      <c r="E869" s="6">
        <v>7</v>
      </c>
      <c r="F869" s="6">
        <v>29</v>
      </c>
      <c r="G869" s="5">
        <v>118</v>
      </c>
      <c r="H869" s="5">
        <v>547</v>
      </c>
    </row>
    <row r="870" spans="1:8" x14ac:dyDescent="0.25">
      <c r="A870" s="5" t="s">
        <v>8195</v>
      </c>
      <c r="B870" s="5" t="s">
        <v>133</v>
      </c>
      <c r="C870" s="5" t="s">
        <v>2518</v>
      </c>
      <c r="D870" s="5" t="s">
        <v>7820</v>
      </c>
      <c r="E870" s="6">
        <v>13</v>
      </c>
      <c r="F870" s="6">
        <v>32</v>
      </c>
      <c r="G870" s="5">
        <v>234</v>
      </c>
      <c r="H870" s="5">
        <v>601</v>
      </c>
    </row>
    <row r="871" spans="1:8" x14ac:dyDescent="0.25">
      <c r="A871" s="5" t="s">
        <v>8196</v>
      </c>
      <c r="B871" s="5" t="s">
        <v>133</v>
      </c>
      <c r="C871" s="5" t="s">
        <v>2518</v>
      </c>
      <c r="D871" s="5" t="s">
        <v>7820</v>
      </c>
      <c r="E871" s="6">
        <v>18</v>
      </c>
      <c r="F871" s="6">
        <v>30</v>
      </c>
      <c r="G871" s="5">
        <v>327</v>
      </c>
      <c r="H871" s="5">
        <v>565</v>
      </c>
    </row>
    <row r="872" spans="1:8" x14ac:dyDescent="0.25">
      <c r="A872" s="5" t="s">
        <v>8197</v>
      </c>
      <c r="B872" s="5" t="s">
        <v>133</v>
      </c>
      <c r="C872" s="5" t="s">
        <v>2518</v>
      </c>
      <c r="D872" s="5" t="s">
        <v>7820</v>
      </c>
      <c r="E872" s="6">
        <v>19</v>
      </c>
      <c r="F872" s="6">
        <v>25</v>
      </c>
      <c r="G872" s="5">
        <v>345</v>
      </c>
      <c r="H872" s="5">
        <v>455</v>
      </c>
    </row>
    <row r="873" spans="1:8" x14ac:dyDescent="0.25">
      <c r="A873" s="5" t="s">
        <v>8198</v>
      </c>
      <c r="B873" s="5" t="s">
        <v>133</v>
      </c>
      <c r="C873" s="5" t="s">
        <v>2518</v>
      </c>
      <c r="D873" s="5" t="s">
        <v>7820</v>
      </c>
      <c r="E873" s="6">
        <v>30</v>
      </c>
      <c r="F873" s="6">
        <v>28</v>
      </c>
      <c r="G873" s="5">
        <v>556</v>
      </c>
      <c r="H873" s="5">
        <v>517</v>
      </c>
    </row>
    <row r="874" spans="1:8" x14ac:dyDescent="0.25">
      <c r="A874" s="5" t="s">
        <v>8199</v>
      </c>
      <c r="B874" s="5" t="s">
        <v>133</v>
      </c>
      <c r="C874" s="5" t="s">
        <v>2518</v>
      </c>
      <c r="D874" s="5" t="s">
        <v>7821</v>
      </c>
      <c r="E874" s="6">
        <v>13</v>
      </c>
      <c r="F874" s="6">
        <v>9</v>
      </c>
      <c r="G874" s="5">
        <v>229</v>
      </c>
      <c r="H874" s="5">
        <v>171</v>
      </c>
    </row>
    <row r="875" spans="1:8" x14ac:dyDescent="0.25">
      <c r="A875" s="5" t="s">
        <v>8200</v>
      </c>
      <c r="B875" s="5" t="s">
        <v>133</v>
      </c>
      <c r="C875" s="5" t="s">
        <v>2518</v>
      </c>
      <c r="D875" s="5" t="s">
        <v>7821</v>
      </c>
      <c r="E875" s="6">
        <v>22</v>
      </c>
      <c r="F875" s="6">
        <v>6</v>
      </c>
      <c r="G875" s="5">
        <v>402</v>
      </c>
      <c r="H875" s="5">
        <v>95</v>
      </c>
    </row>
    <row r="876" spans="1:8" x14ac:dyDescent="0.25">
      <c r="A876" s="5" t="s">
        <v>8201</v>
      </c>
      <c r="B876" s="5" t="s">
        <v>133</v>
      </c>
      <c r="C876" s="5" t="s">
        <v>2518</v>
      </c>
      <c r="D876" s="5" t="s">
        <v>7821</v>
      </c>
      <c r="E876" s="6">
        <v>21</v>
      </c>
      <c r="F876" s="6">
        <v>13</v>
      </c>
      <c r="G876" s="5">
        <v>398</v>
      </c>
      <c r="H876" s="5">
        <v>243</v>
      </c>
    </row>
    <row r="877" spans="1:8" x14ac:dyDescent="0.25">
      <c r="A877" s="5" t="s">
        <v>8202</v>
      </c>
      <c r="B877" s="5" t="s">
        <v>133</v>
      </c>
      <c r="C877" s="5" t="s">
        <v>2518</v>
      </c>
      <c r="D877" s="5" t="s">
        <v>7821</v>
      </c>
      <c r="E877" s="6">
        <v>33</v>
      </c>
      <c r="F877" s="6">
        <v>18</v>
      </c>
      <c r="G877" s="5">
        <v>613</v>
      </c>
      <c r="H877" s="5">
        <v>339</v>
      </c>
    </row>
    <row r="878" spans="1:8" x14ac:dyDescent="0.25">
      <c r="A878" s="5" t="s">
        <v>8203</v>
      </c>
      <c r="B878" s="5" t="s">
        <v>133</v>
      </c>
      <c r="C878" s="5" t="s">
        <v>2518</v>
      </c>
      <c r="D878" s="5" t="s">
        <v>7821</v>
      </c>
      <c r="E878" s="6">
        <v>35</v>
      </c>
      <c r="F878" s="6">
        <v>14</v>
      </c>
      <c r="G878" s="5">
        <v>651</v>
      </c>
      <c r="H878" s="5">
        <v>256</v>
      </c>
    </row>
    <row r="879" spans="1:8" x14ac:dyDescent="0.25">
      <c r="A879" s="5" t="s">
        <v>8204</v>
      </c>
      <c r="B879" s="5" t="s">
        <v>133</v>
      </c>
      <c r="C879" s="5" t="s">
        <v>2518</v>
      </c>
      <c r="D879" s="5" t="s">
        <v>7821</v>
      </c>
      <c r="E879" s="6">
        <v>34</v>
      </c>
      <c r="F879" s="6">
        <v>11</v>
      </c>
      <c r="G879" s="5">
        <v>641</v>
      </c>
      <c r="H879" s="5">
        <v>194</v>
      </c>
    </row>
    <row r="880" spans="1:8" x14ac:dyDescent="0.25">
      <c r="A880" s="5" t="s">
        <v>8205</v>
      </c>
      <c r="B880" s="5" t="s">
        <v>133</v>
      </c>
      <c r="C880" s="5" t="s">
        <v>2518</v>
      </c>
      <c r="D880" s="5" t="s">
        <v>7191</v>
      </c>
      <c r="E880" s="6">
        <v>23</v>
      </c>
      <c r="F880" s="6">
        <v>20</v>
      </c>
      <c r="G880" s="5">
        <v>415</v>
      </c>
      <c r="H880" s="5">
        <v>367</v>
      </c>
    </row>
    <row r="881" spans="1:8" x14ac:dyDescent="0.25">
      <c r="A881" s="5" t="s">
        <v>8206</v>
      </c>
      <c r="B881" s="5" t="s">
        <v>133</v>
      </c>
      <c r="C881" s="5" t="s">
        <v>2481</v>
      </c>
      <c r="D881" s="5" t="s">
        <v>7820</v>
      </c>
      <c r="E881" s="6">
        <v>15</v>
      </c>
      <c r="F881" s="6">
        <v>36</v>
      </c>
      <c r="G881" s="5">
        <v>268</v>
      </c>
      <c r="H881" s="5">
        <v>673</v>
      </c>
    </row>
    <row r="882" spans="1:8" x14ac:dyDescent="0.25">
      <c r="A882" s="5" t="s">
        <v>8207</v>
      </c>
      <c r="B882" s="5" t="s">
        <v>133</v>
      </c>
      <c r="C882" s="5" t="s">
        <v>2481</v>
      </c>
      <c r="D882" s="5" t="s">
        <v>7820</v>
      </c>
      <c r="E882" s="6">
        <v>16</v>
      </c>
      <c r="F882" s="6">
        <v>26</v>
      </c>
      <c r="G882" s="5">
        <v>299</v>
      </c>
      <c r="H882" s="5">
        <v>496</v>
      </c>
    </row>
    <row r="883" spans="1:8" x14ac:dyDescent="0.25">
      <c r="A883" s="5" t="s">
        <v>8208</v>
      </c>
      <c r="B883" s="5" t="s">
        <v>133</v>
      </c>
      <c r="C883" s="5" t="s">
        <v>2481</v>
      </c>
      <c r="D883" s="5" t="s">
        <v>7820</v>
      </c>
      <c r="E883" s="6">
        <v>17</v>
      </c>
      <c r="F883" s="6">
        <v>30</v>
      </c>
      <c r="G883" s="5">
        <v>318</v>
      </c>
      <c r="H883" s="5">
        <v>560</v>
      </c>
    </row>
    <row r="884" spans="1:8" x14ac:dyDescent="0.25">
      <c r="A884" s="5" t="s">
        <v>8209</v>
      </c>
      <c r="B884" s="5" t="s">
        <v>133</v>
      </c>
      <c r="C884" s="5" t="s">
        <v>2481</v>
      </c>
      <c r="D884" s="5" t="s">
        <v>7820</v>
      </c>
      <c r="E884" s="6">
        <v>22</v>
      </c>
      <c r="F884" s="6">
        <v>34</v>
      </c>
      <c r="G884" s="5">
        <v>376</v>
      </c>
      <c r="H884" s="5">
        <v>626</v>
      </c>
    </row>
    <row r="885" spans="1:8" x14ac:dyDescent="0.25">
      <c r="A885" s="5" t="s">
        <v>8210</v>
      </c>
      <c r="B885" s="5" t="s">
        <v>133</v>
      </c>
      <c r="C885" s="5" t="s">
        <v>2481</v>
      </c>
      <c r="D885" s="5" t="s">
        <v>7821</v>
      </c>
      <c r="E885" s="6">
        <v>8</v>
      </c>
      <c r="F885" s="6">
        <v>20</v>
      </c>
      <c r="G885" s="5">
        <v>145</v>
      </c>
      <c r="H885" s="5">
        <v>372</v>
      </c>
    </row>
    <row r="886" spans="1:8" x14ac:dyDescent="0.25">
      <c r="A886" s="5" t="s">
        <v>8211</v>
      </c>
      <c r="B886" s="5" t="s">
        <v>133</v>
      </c>
      <c r="C886" s="5" t="s">
        <v>2481</v>
      </c>
      <c r="D886" s="5" t="s">
        <v>7821</v>
      </c>
      <c r="E886" s="6">
        <v>12</v>
      </c>
      <c r="F886" s="6">
        <v>22</v>
      </c>
      <c r="G886" s="5">
        <v>212</v>
      </c>
      <c r="H886" s="5">
        <v>407</v>
      </c>
    </row>
    <row r="887" spans="1:8" x14ac:dyDescent="0.25">
      <c r="A887" s="5" t="s">
        <v>8212</v>
      </c>
      <c r="B887" s="5" t="s">
        <v>133</v>
      </c>
      <c r="C887" s="5" t="s">
        <v>2481</v>
      </c>
      <c r="D887" s="5" t="s">
        <v>7821</v>
      </c>
      <c r="E887" s="6">
        <v>13</v>
      </c>
      <c r="F887" s="6">
        <v>10</v>
      </c>
      <c r="G887" s="5">
        <v>244</v>
      </c>
      <c r="H887" s="5">
        <v>182</v>
      </c>
    </row>
    <row r="888" spans="1:8" x14ac:dyDescent="0.25">
      <c r="A888" s="5" t="s">
        <v>8213</v>
      </c>
      <c r="B888" s="5" t="s">
        <v>133</v>
      </c>
      <c r="C888" s="5" t="s">
        <v>2481</v>
      </c>
      <c r="D888" s="5" t="s">
        <v>7821</v>
      </c>
      <c r="E888" s="6">
        <v>19</v>
      </c>
      <c r="F888" s="6">
        <v>10</v>
      </c>
      <c r="G888" s="5">
        <v>353</v>
      </c>
      <c r="H888" s="5">
        <v>176</v>
      </c>
    </row>
    <row r="889" spans="1:8" x14ac:dyDescent="0.25">
      <c r="A889" s="5" t="s">
        <v>8214</v>
      </c>
      <c r="B889" s="5" t="s">
        <v>133</v>
      </c>
      <c r="C889" s="5" t="s">
        <v>2481</v>
      </c>
      <c r="D889" s="5" t="s">
        <v>7821</v>
      </c>
      <c r="E889" s="6">
        <v>28</v>
      </c>
      <c r="F889" s="6">
        <v>12</v>
      </c>
      <c r="G889" s="5">
        <v>520</v>
      </c>
      <c r="H889" s="5">
        <v>227</v>
      </c>
    </row>
    <row r="890" spans="1:8" x14ac:dyDescent="0.25">
      <c r="A890" s="5" t="s">
        <v>8215</v>
      </c>
      <c r="B890" s="5" t="s">
        <v>133</v>
      </c>
      <c r="C890" s="5" t="s">
        <v>2481</v>
      </c>
      <c r="D890" s="5" t="s">
        <v>7191</v>
      </c>
      <c r="E890" s="6">
        <v>15</v>
      </c>
      <c r="F890" s="6">
        <v>29</v>
      </c>
      <c r="G890" s="5">
        <v>274</v>
      </c>
      <c r="H890" s="5">
        <v>544</v>
      </c>
    </row>
    <row r="891" spans="1:8" x14ac:dyDescent="0.25">
      <c r="A891" s="5" t="s">
        <v>8216</v>
      </c>
      <c r="B891" s="5" t="s">
        <v>215</v>
      </c>
      <c r="C891" s="5" t="s">
        <v>2597</v>
      </c>
      <c r="D891" s="5" t="s">
        <v>7811</v>
      </c>
      <c r="E891" s="6">
        <v>37</v>
      </c>
      <c r="F891" s="6">
        <v>36</v>
      </c>
      <c r="G891" s="5">
        <v>640</v>
      </c>
      <c r="H891" s="5">
        <v>681</v>
      </c>
    </row>
    <row r="892" spans="1:8" x14ac:dyDescent="0.25">
      <c r="A892" s="5" t="s">
        <v>8217</v>
      </c>
      <c r="B892" s="5" t="s">
        <v>215</v>
      </c>
      <c r="C892" s="5" t="s">
        <v>2597</v>
      </c>
      <c r="D892" s="5" t="s">
        <v>7820</v>
      </c>
      <c r="E892" s="6">
        <v>24</v>
      </c>
      <c r="F892" s="6">
        <v>37</v>
      </c>
      <c r="G892" s="5">
        <v>451</v>
      </c>
      <c r="H892" s="5">
        <v>681</v>
      </c>
    </row>
    <row r="893" spans="1:8" x14ac:dyDescent="0.25">
      <c r="A893" s="5" t="s">
        <v>8218</v>
      </c>
      <c r="B893" s="5" t="s">
        <v>215</v>
      </c>
      <c r="C893" s="5" t="s">
        <v>2597</v>
      </c>
      <c r="D893" s="5" t="s">
        <v>7820</v>
      </c>
      <c r="E893" s="6">
        <v>21</v>
      </c>
      <c r="F893" s="6">
        <v>28</v>
      </c>
      <c r="G893" s="5">
        <v>373</v>
      </c>
      <c r="H893" s="5">
        <v>525</v>
      </c>
    </row>
    <row r="894" spans="1:8" x14ac:dyDescent="0.25">
      <c r="A894" s="5" t="s">
        <v>8219</v>
      </c>
      <c r="B894" s="5" t="s">
        <v>215</v>
      </c>
      <c r="C894" s="5" t="s">
        <v>2597</v>
      </c>
      <c r="D894" s="5" t="s">
        <v>7820</v>
      </c>
      <c r="E894" s="6">
        <v>15</v>
      </c>
      <c r="F894" s="6">
        <v>23</v>
      </c>
      <c r="G894" s="5">
        <v>298</v>
      </c>
      <c r="H894" s="5">
        <v>437</v>
      </c>
    </row>
    <row r="895" spans="1:8" x14ac:dyDescent="0.25">
      <c r="A895" s="5" t="s">
        <v>8220</v>
      </c>
      <c r="B895" s="5" t="s">
        <v>215</v>
      </c>
      <c r="C895" s="5" t="s">
        <v>2597</v>
      </c>
      <c r="D895" s="5" t="s">
        <v>7820</v>
      </c>
      <c r="E895" s="6">
        <v>5</v>
      </c>
      <c r="F895" s="6">
        <v>29</v>
      </c>
      <c r="G895" s="5">
        <v>90</v>
      </c>
      <c r="H895" s="5">
        <v>533</v>
      </c>
    </row>
    <row r="896" spans="1:8" x14ac:dyDescent="0.25">
      <c r="A896" s="5" t="s">
        <v>8221</v>
      </c>
      <c r="B896" s="5" t="s">
        <v>215</v>
      </c>
      <c r="C896" s="5" t="s">
        <v>2597</v>
      </c>
      <c r="D896" s="5" t="s">
        <v>7821</v>
      </c>
      <c r="E896" s="6">
        <v>16</v>
      </c>
      <c r="F896" s="6">
        <v>17</v>
      </c>
      <c r="G896" s="5">
        <v>305</v>
      </c>
      <c r="H896" s="5">
        <v>320</v>
      </c>
    </row>
    <row r="897" spans="1:8" x14ac:dyDescent="0.25">
      <c r="A897" s="5" t="s">
        <v>8222</v>
      </c>
      <c r="B897" s="5" t="s">
        <v>215</v>
      </c>
      <c r="C897" s="5" t="s">
        <v>2597</v>
      </c>
      <c r="D897" s="5" t="s">
        <v>7821</v>
      </c>
      <c r="E897" s="6">
        <v>9</v>
      </c>
      <c r="F897" s="6">
        <v>8</v>
      </c>
      <c r="G897" s="5">
        <v>170</v>
      </c>
      <c r="H897" s="5">
        <v>146</v>
      </c>
    </row>
    <row r="898" spans="1:8" x14ac:dyDescent="0.25">
      <c r="A898" s="5" t="s">
        <v>8223</v>
      </c>
      <c r="B898" s="5" t="s">
        <v>215</v>
      </c>
      <c r="C898" s="5" t="s">
        <v>2597</v>
      </c>
      <c r="D898" s="5" t="s">
        <v>7821</v>
      </c>
      <c r="E898" s="6">
        <v>37</v>
      </c>
      <c r="F898" s="6">
        <v>20</v>
      </c>
      <c r="G898" s="5">
        <v>698</v>
      </c>
      <c r="H898" s="5">
        <v>378</v>
      </c>
    </row>
    <row r="899" spans="1:8" x14ac:dyDescent="0.25">
      <c r="A899" s="5" t="s">
        <v>8224</v>
      </c>
      <c r="B899" s="5" t="s">
        <v>215</v>
      </c>
      <c r="C899" s="5" t="s">
        <v>2597</v>
      </c>
      <c r="D899" s="5" t="s">
        <v>7814</v>
      </c>
      <c r="E899" s="6">
        <v>30</v>
      </c>
      <c r="F899" s="6">
        <v>16</v>
      </c>
      <c r="G899" s="5">
        <v>559</v>
      </c>
      <c r="H899" s="5">
        <v>290</v>
      </c>
    </row>
    <row r="900" spans="1:8" x14ac:dyDescent="0.25">
      <c r="A900" s="5" t="s">
        <v>8225</v>
      </c>
      <c r="B900" s="5" t="s">
        <v>215</v>
      </c>
      <c r="C900" s="5" t="s">
        <v>2597</v>
      </c>
      <c r="D900" s="5" t="s">
        <v>7821</v>
      </c>
      <c r="E900" s="6">
        <v>7</v>
      </c>
      <c r="F900" s="6">
        <v>12</v>
      </c>
      <c r="G900" s="5">
        <v>114</v>
      </c>
      <c r="H900" s="5">
        <v>218</v>
      </c>
    </row>
    <row r="901" spans="1:8" x14ac:dyDescent="0.25">
      <c r="A901" s="5" t="s">
        <v>8226</v>
      </c>
      <c r="B901" s="5" t="s">
        <v>215</v>
      </c>
      <c r="C901" s="5" t="s">
        <v>2597</v>
      </c>
      <c r="D901" s="5" t="s">
        <v>7191</v>
      </c>
      <c r="E901" s="6">
        <v>14</v>
      </c>
      <c r="F901" s="6">
        <v>15</v>
      </c>
      <c r="G901" s="5">
        <v>246</v>
      </c>
      <c r="H901" s="5">
        <v>269</v>
      </c>
    </row>
    <row r="902" spans="1:8" x14ac:dyDescent="0.25">
      <c r="A902" s="5" t="s">
        <v>8227</v>
      </c>
      <c r="B902" s="5" t="s">
        <v>215</v>
      </c>
      <c r="C902" s="5" t="s">
        <v>2545</v>
      </c>
      <c r="D902" s="5" t="s">
        <v>7820</v>
      </c>
      <c r="E902" s="6">
        <v>8</v>
      </c>
      <c r="F902" s="6">
        <v>25</v>
      </c>
      <c r="G902" s="5">
        <v>132</v>
      </c>
      <c r="H902" s="5">
        <v>471</v>
      </c>
    </row>
    <row r="903" spans="1:8" x14ac:dyDescent="0.25">
      <c r="A903" s="5" t="s">
        <v>8228</v>
      </c>
      <c r="B903" s="5" t="s">
        <v>215</v>
      </c>
      <c r="C903" s="5" t="s">
        <v>2545</v>
      </c>
      <c r="D903" s="5" t="s">
        <v>7820</v>
      </c>
      <c r="E903" s="6">
        <v>28</v>
      </c>
      <c r="F903" s="6">
        <v>23</v>
      </c>
      <c r="G903" s="5">
        <v>534</v>
      </c>
      <c r="H903" s="5">
        <v>417</v>
      </c>
    </row>
    <row r="904" spans="1:8" x14ac:dyDescent="0.25">
      <c r="A904" s="5" t="s">
        <v>8229</v>
      </c>
      <c r="B904" s="5" t="s">
        <v>215</v>
      </c>
      <c r="C904" s="5" t="s">
        <v>2545</v>
      </c>
      <c r="D904" s="5" t="s">
        <v>7820</v>
      </c>
      <c r="E904" s="6">
        <v>21</v>
      </c>
      <c r="F904" s="6">
        <v>20</v>
      </c>
      <c r="G904" s="5">
        <v>409</v>
      </c>
      <c r="H904" s="5">
        <v>381</v>
      </c>
    </row>
    <row r="905" spans="1:8" x14ac:dyDescent="0.25">
      <c r="A905" s="5" t="s">
        <v>8230</v>
      </c>
      <c r="B905" s="5" t="s">
        <v>215</v>
      </c>
      <c r="C905" s="5" t="s">
        <v>2545</v>
      </c>
      <c r="D905" s="5" t="s">
        <v>7811</v>
      </c>
      <c r="E905" s="6">
        <v>20</v>
      </c>
      <c r="F905" s="6">
        <v>24</v>
      </c>
      <c r="G905" s="5">
        <v>377</v>
      </c>
      <c r="H905" s="5">
        <v>436</v>
      </c>
    </row>
    <row r="906" spans="1:8" x14ac:dyDescent="0.25">
      <c r="A906" s="5" t="s">
        <v>8231</v>
      </c>
      <c r="B906" s="5" t="s">
        <v>215</v>
      </c>
      <c r="C906" s="5" t="s">
        <v>2545</v>
      </c>
      <c r="D906" s="5" t="s">
        <v>7821</v>
      </c>
      <c r="E906" s="6">
        <v>29</v>
      </c>
      <c r="F906" s="6">
        <v>9</v>
      </c>
      <c r="G906" s="5">
        <v>538</v>
      </c>
      <c r="H906" s="5">
        <v>162</v>
      </c>
    </row>
    <row r="907" spans="1:8" x14ac:dyDescent="0.25">
      <c r="A907" s="5" t="s">
        <v>8232</v>
      </c>
      <c r="B907" s="5" t="s">
        <v>215</v>
      </c>
      <c r="C907" s="5" t="s">
        <v>2545</v>
      </c>
      <c r="D907" s="5" t="s">
        <v>7821</v>
      </c>
      <c r="E907" s="6">
        <v>12</v>
      </c>
      <c r="F907" s="6">
        <v>9</v>
      </c>
      <c r="G907" s="5">
        <v>206</v>
      </c>
      <c r="H907" s="5">
        <v>154</v>
      </c>
    </row>
    <row r="908" spans="1:8" x14ac:dyDescent="0.25">
      <c r="A908" s="5" t="s">
        <v>8233</v>
      </c>
      <c r="B908" s="5" t="s">
        <v>215</v>
      </c>
      <c r="C908" s="5" t="s">
        <v>2545</v>
      </c>
      <c r="D908" s="5" t="s">
        <v>7821</v>
      </c>
      <c r="E908" s="6">
        <v>19</v>
      </c>
      <c r="F908" s="6">
        <v>14</v>
      </c>
      <c r="G908" s="5">
        <v>350</v>
      </c>
      <c r="H908" s="5">
        <v>256</v>
      </c>
    </row>
    <row r="909" spans="1:8" x14ac:dyDescent="0.25">
      <c r="A909" s="5" t="s">
        <v>8234</v>
      </c>
      <c r="B909" s="5" t="s">
        <v>215</v>
      </c>
      <c r="C909" s="5" t="s">
        <v>2545</v>
      </c>
      <c r="D909" s="5" t="s">
        <v>7814</v>
      </c>
      <c r="E909" s="6">
        <v>21</v>
      </c>
      <c r="F909" s="6">
        <v>17</v>
      </c>
      <c r="G909" s="5">
        <v>402</v>
      </c>
      <c r="H909" s="5">
        <v>306</v>
      </c>
    </row>
    <row r="910" spans="1:8" x14ac:dyDescent="0.25">
      <c r="A910" s="5" t="s">
        <v>8235</v>
      </c>
      <c r="B910" s="5" t="s">
        <v>215</v>
      </c>
      <c r="C910" s="5" t="s">
        <v>2545</v>
      </c>
      <c r="D910" s="5" t="s">
        <v>7814</v>
      </c>
      <c r="E910" s="6">
        <v>34</v>
      </c>
      <c r="F910" s="6">
        <v>20</v>
      </c>
      <c r="G910" s="5">
        <v>640</v>
      </c>
      <c r="H910" s="5">
        <v>354</v>
      </c>
    </row>
    <row r="911" spans="1:8" x14ac:dyDescent="0.25">
      <c r="A911" s="5" t="s">
        <v>8236</v>
      </c>
      <c r="B911" s="5" t="s">
        <v>215</v>
      </c>
      <c r="C911" s="5" t="s">
        <v>2545</v>
      </c>
      <c r="D911" s="5" t="s">
        <v>7820</v>
      </c>
      <c r="E911" s="6">
        <v>16</v>
      </c>
      <c r="F911" s="6">
        <v>24</v>
      </c>
      <c r="G911" s="5">
        <v>295</v>
      </c>
      <c r="H911" s="5">
        <v>454</v>
      </c>
    </row>
    <row r="912" spans="1:8" x14ac:dyDescent="0.25">
      <c r="A912" s="5" t="s">
        <v>8237</v>
      </c>
      <c r="B912" s="5" t="s">
        <v>215</v>
      </c>
      <c r="C912" s="5" t="s">
        <v>2545</v>
      </c>
      <c r="D912" s="5" t="s">
        <v>7191</v>
      </c>
      <c r="E912" s="6">
        <v>26</v>
      </c>
      <c r="F912" s="6">
        <v>28</v>
      </c>
      <c r="G912" s="5">
        <v>489</v>
      </c>
      <c r="H912" s="5">
        <v>521</v>
      </c>
    </row>
    <row r="913" spans="1:8" x14ac:dyDescent="0.25">
      <c r="A913" s="5" t="s">
        <v>8238</v>
      </c>
      <c r="B913" s="5" t="s">
        <v>215</v>
      </c>
      <c r="C913" s="5" t="s">
        <v>2649</v>
      </c>
      <c r="D913" s="5" t="s">
        <v>7811</v>
      </c>
      <c r="E913" s="6">
        <v>14</v>
      </c>
      <c r="F913" s="6">
        <v>26</v>
      </c>
      <c r="G913" s="5">
        <v>252</v>
      </c>
      <c r="H913" s="5">
        <v>478</v>
      </c>
    </row>
    <row r="914" spans="1:8" x14ac:dyDescent="0.25">
      <c r="A914" s="5" t="s">
        <v>8239</v>
      </c>
      <c r="B914" s="5" t="s">
        <v>215</v>
      </c>
      <c r="C914" s="5" t="s">
        <v>2649</v>
      </c>
      <c r="D914" s="5" t="s">
        <v>7811</v>
      </c>
      <c r="E914" s="6">
        <v>6.4</v>
      </c>
      <c r="F914" s="6">
        <v>25.8</v>
      </c>
      <c r="G914" s="5">
        <v>106</v>
      </c>
      <c r="H914" s="5">
        <v>486</v>
      </c>
    </row>
    <row r="915" spans="1:8" x14ac:dyDescent="0.25">
      <c r="A915" s="5" t="s">
        <v>8240</v>
      </c>
      <c r="B915" s="5" t="s">
        <v>215</v>
      </c>
      <c r="C915" s="5" t="s">
        <v>2649</v>
      </c>
      <c r="D915" s="5" t="s">
        <v>7820</v>
      </c>
      <c r="E915" s="6">
        <v>22</v>
      </c>
      <c r="F915" s="6">
        <v>29</v>
      </c>
      <c r="G915" s="5">
        <v>405</v>
      </c>
      <c r="H915" s="5">
        <v>531</v>
      </c>
    </row>
    <row r="916" spans="1:8" x14ac:dyDescent="0.25">
      <c r="A916" s="5" t="s">
        <v>8241</v>
      </c>
      <c r="B916" s="5" t="s">
        <v>215</v>
      </c>
      <c r="C916" s="5" t="s">
        <v>2649</v>
      </c>
      <c r="D916" s="5" t="s">
        <v>7820</v>
      </c>
      <c r="E916" s="6">
        <v>21</v>
      </c>
      <c r="F916" s="6">
        <v>37</v>
      </c>
      <c r="G916" s="5">
        <v>396</v>
      </c>
      <c r="H916" s="5">
        <v>679</v>
      </c>
    </row>
    <row r="917" spans="1:8" x14ac:dyDescent="0.25">
      <c r="A917" s="5" t="s">
        <v>8242</v>
      </c>
      <c r="B917" s="5" t="s">
        <v>215</v>
      </c>
      <c r="C917" s="5" t="s">
        <v>2649</v>
      </c>
      <c r="D917" s="5" t="s">
        <v>7820</v>
      </c>
      <c r="E917" s="6">
        <v>25</v>
      </c>
      <c r="F917" s="6">
        <v>34</v>
      </c>
      <c r="G917" s="5">
        <v>456</v>
      </c>
      <c r="H917" s="5">
        <v>612</v>
      </c>
    </row>
    <row r="918" spans="1:8" x14ac:dyDescent="0.25">
      <c r="A918" s="5" t="s">
        <v>8243</v>
      </c>
      <c r="B918" s="5" t="s">
        <v>215</v>
      </c>
      <c r="C918" s="5" t="s">
        <v>2649</v>
      </c>
      <c r="D918" s="5" t="s">
        <v>7821</v>
      </c>
      <c r="E918" s="6">
        <v>23</v>
      </c>
      <c r="F918" s="6">
        <v>15</v>
      </c>
      <c r="G918" s="5">
        <v>440</v>
      </c>
      <c r="H918" s="5">
        <v>257</v>
      </c>
    </row>
    <row r="919" spans="1:8" x14ac:dyDescent="0.25">
      <c r="A919" s="5" t="s">
        <v>8244</v>
      </c>
      <c r="B919" s="5" t="s">
        <v>215</v>
      </c>
      <c r="C919" s="5" t="s">
        <v>2649</v>
      </c>
      <c r="D919" s="5" t="s">
        <v>7821</v>
      </c>
      <c r="E919" s="6">
        <v>33</v>
      </c>
      <c r="F919" s="6">
        <v>16</v>
      </c>
      <c r="G919" s="5">
        <v>616</v>
      </c>
      <c r="H919" s="5">
        <v>296</v>
      </c>
    </row>
    <row r="920" spans="1:8" x14ac:dyDescent="0.25">
      <c r="A920" s="5" t="s">
        <v>8245</v>
      </c>
      <c r="B920" s="5" t="s">
        <v>215</v>
      </c>
      <c r="C920" s="5" t="s">
        <v>2649</v>
      </c>
      <c r="D920" s="5" t="s">
        <v>8000</v>
      </c>
      <c r="E920" s="6">
        <v>26</v>
      </c>
      <c r="F920" s="6">
        <v>9</v>
      </c>
      <c r="G920" s="5">
        <v>496</v>
      </c>
      <c r="H920" s="5">
        <v>164</v>
      </c>
    </row>
    <row r="921" spans="1:8" x14ac:dyDescent="0.25">
      <c r="A921" s="5" t="s">
        <v>8246</v>
      </c>
      <c r="B921" s="5" t="s">
        <v>215</v>
      </c>
      <c r="C921" s="5" t="s">
        <v>2649</v>
      </c>
      <c r="D921" s="5" t="s">
        <v>7814</v>
      </c>
      <c r="E921" s="6">
        <v>14</v>
      </c>
      <c r="F921" s="6">
        <v>5</v>
      </c>
      <c r="G921" s="5">
        <v>242</v>
      </c>
      <c r="H921" s="5">
        <v>95</v>
      </c>
    </row>
    <row r="922" spans="1:8" x14ac:dyDescent="0.25">
      <c r="A922" s="5" t="s">
        <v>8247</v>
      </c>
      <c r="B922" s="5" t="s">
        <v>215</v>
      </c>
      <c r="C922" s="5" t="s">
        <v>2649</v>
      </c>
      <c r="D922" s="5" t="s">
        <v>8000</v>
      </c>
      <c r="E922" s="6">
        <v>9</v>
      </c>
      <c r="F922" s="6">
        <v>20</v>
      </c>
      <c r="G922" s="5">
        <v>156</v>
      </c>
      <c r="H922" s="5">
        <v>355</v>
      </c>
    </row>
    <row r="923" spans="1:8" x14ac:dyDescent="0.25">
      <c r="A923" s="5" t="s">
        <v>8248</v>
      </c>
      <c r="B923" s="5" t="s">
        <v>215</v>
      </c>
      <c r="C923" s="5" t="s">
        <v>2649</v>
      </c>
      <c r="D923" s="5" t="s">
        <v>7191</v>
      </c>
      <c r="E923" s="6">
        <v>29.7</v>
      </c>
      <c r="F923" s="6">
        <v>19</v>
      </c>
      <c r="G923" s="5">
        <v>561</v>
      </c>
      <c r="H923" s="5">
        <v>353</v>
      </c>
    </row>
    <row r="924" spans="1:8" x14ac:dyDescent="0.25">
      <c r="A924" s="5" t="s">
        <v>8249</v>
      </c>
      <c r="B924" s="5" t="s">
        <v>215</v>
      </c>
      <c r="C924" s="5" t="s">
        <v>2713</v>
      </c>
      <c r="D924" s="5" t="s">
        <v>7820</v>
      </c>
      <c r="E924" s="6">
        <v>25</v>
      </c>
      <c r="F924" s="6">
        <v>23</v>
      </c>
      <c r="G924" s="5">
        <v>470</v>
      </c>
      <c r="H924" s="5">
        <v>439</v>
      </c>
    </row>
    <row r="925" spans="1:8" x14ac:dyDescent="0.25">
      <c r="A925" s="5" t="s">
        <v>8250</v>
      </c>
      <c r="B925" s="5" t="s">
        <v>215</v>
      </c>
      <c r="C925" s="5" t="s">
        <v>2713</v>
      </c>
      <c r="D925" s="5" t="s">
        <v>7811</v>
      </c>
      <c r="E925" s="6">
        <v>12.9</v>
      </c>
      <c r="F925" s="6">
        <v>26.3</v>
      </c>
      <c r="G925" s="5">
        <v>239</v>
      </c>
      <c r="H925" s="5">
        <v>507</v>
      </c>
    </row>
    <row r="926" spans="1:8" x14ac:dyDescent="0.25">
      <c r="A926" s="5" t="s">
        <v>8251</v>
      </c>
      <c r="B926" s="5" t="s">
        <v>215</v>
      </c>
      <c r="C926" s="5" t="s">
        <v>2713</v>
      </c>
      <c r="D926" s="5" t="s">
        <v>7821</v>
      </c>
      <c r="E926" s="6">
        <v>23</v>
      </c>
      <c r="F926" s="6">
        <v>18</v>
      </c>
      <c r="G926" s="5">
        <v>438</v>
      </c>
      <c r="H926" s="5">
        <v>346</v>
      </c>
    </row>
    <row r="927" spans="1:8" x14ac:dyDescent="0.25">
      <c r="A927" s="5" t="s">
        <v>8252</v>
      </c>
      <c r="B927" s="5" t="s">
        <v>215</v>
      </c>
      <c r="C927" s="5" t="s">
        <v>2713</v>
      </c>
      <c r="D927" s="5" t="s">
        <v>7821</v>
      </c>
      <c r="E927" s="6">
        <v>16</v>
      </c>
      <c r="F927" s="6">
        <v>8</v>
      </c>
      <c r="G927" s="5">
        <v>294</v>
      </c>
      <c r="H927" s="5">
        <v>151</v>
      </c>
    </row>
    <row r="928" spans="1:8" x14ac:dyDescent="0.25">
      <c r="A928" s="5" t="s">
        <v>8253</v>
      </c>
      <c r="B928" s="5" t="s">
        <v>215</v>
      </c>
      <c r="C928" s="5" t="s">
        <v>2713</v>
      </c>
      <c r="D928" s="5" t="s">
        <v>7821</v>
      </c>
      <c r="E928" s="6">
        <v>34</v>
      </c>
      <c r="F928" s="6">
        <v>7</v>
      </c>
      <c r="G928" s="5">
        <v>646</v>
      </c>
      <c r="H928" s="5">
        <v>119</v>
      </c>
    </row>
    <row r="929" spans="1:8" x14ac:dyDescent="0.25">
      <c r="A929" s="5" t="s">
        <v>8254</v>
      </c>
      <c r="B929" s="5" t="s">
        <v>215</v>
      </c>
      <c r="C929" s="5" t="s">
        <v>2713</v>
      </c>
      <c r="D929" s="5" t="s">
        <v>7814</v>
      </c>
      <c r="E929" s="6">
        <v>36</v>
      </c>
      <c r="F929" s="6">
        <v>18</v>
      </c>
      <c r="G929" s="5">
        <v>675</v>
      </c>
      <c r="H929" s="5">
        <v>350</v>
      </c>
    </row>
    <row r="930" spans="1:8" x14ac:dyDescent="0.25">
      <c r="A930" s="5" t="s">
        <v>8255</v>
      </c>
      <c r="B930" s="5" t="s">
        <v>215</v>
      </c>
      <c r="C930" s="5" t="s">
        <v>2713</v>
      </c>
      <c r="D930" s="5" t="s">
        <v>7821</v>
      </c>
      <c r="E930" s="6">
        <v>31</v>
      </c>
      <c r="F930" s="6">
        <v>22</v>
      </c>
      <c r="G930" s="5">
        <v>589</v>
      </c>
      <c r="H930" s="5">
        <v>429</v>
      </c>
    </row>
    <row r="931" spans="1:8" x14ac:dyDescent="0.25">
      <c r="A931" s="5" t="s">
        <v>8256</v>
      </c>
      <c r="B931" s="5" t="s">
        <v>215</v>
      </c>
      <c r="C931" s="5" t="s">
        <v>2713</v>
      </c>
      <c r="D931" s="5" t="s">
        <v>7820</v>
      </c>
      <c r="E931" s="6">
        <v>22</v>
      </c>
      <c r="F931" s="6">
        <v>28</v>
      </c>
      <c r="G931" s="5">
        <v>410</v>
      </c>
      <c r="H931" s="5">
        <v>515</v>
      </c>
    </row>
    <row r="932" spans="1:8" x14ac:dyDescent="0.25">
      <c r="A932" s="5" t="s">
        <v>8257</v>
      </c>
      <c r="B932" s="5" t="s">
        <v>215</v>
      </c>
      <c r="C932" s="5" t="s">
        <v>2713</v>
      </c>
      <c r="D932" s="5" t="s">
        <v>7820</v>
      </c>
      <c r="E932" s="6">
        <v>9</v>
      </c>
      <c r="F932" s="6">
        <v>16</v>
      </c>
      <c r="G932" s="5">
        <v>158</v>
      </c>
      <c r="H932" s="5">
        <v>297</v>
      </c>
    </row>
    <row r="933" spans="1:8" x14ac:dyDescent="0.25">
      <c r="A933" s="5" t="s">
        <v>8258</v>
      </c>
      <c r="B933" s="5" t="s">
        <v>215</v>
      </c>
      <c r="C933" s="5" t="s">
        <v>2713</v>
      </c>
      <c r="D933" s="5" t="s">
        <v>7820</v>
      </c>
      <c r="E933" s="6">
        <v>21</v>
      </c>
      <c r="F933" s="6">
        <v>33</v>
      </c>
      <c r="G933" s="5">
        <v>399</v>
      </c>
      <c r="H933" s="5">
        <v>630</v>
      </c>
    </row>
    <row r="934" spans="1:8" x14ac:dyDescent="0.25">
      <c r="A934" s="5" t="s">
        <v>8259</v>
      </c>
      <c r="B934" s="5" t="s">
        <v>215</v>
      </c>
      <c r="C934" s="5" t="s">
        <v>2713</v>
      </c>
      <c r="D934" s="5" t="s">
        <v>7191</v>
      </c>
      <c r="E934" s="6">
        <v>13</v>
      </c>
      <c r="F934" s="6">
        <v>13</v>
      </c>
      <c r="G934" s="5">
        <v>243</v>
      </c>
      <c r="H934" s="5">
        <v>243</v>
      </c>
    </row>
    <row r="935" spans="1:8" x14ac:dyDescent="0.25">
      <c r="A935" s="5" t="s">
        <v>8260</v>
      </c>
      <c r="B935" s="5" t="s">
        <v>215</v>
      </c>
      <c r="C935" s="5" t="s">
        <v>340</v>
      </c>
      <c r="D935" s="5" t="s">
        <v>7820</v>
      </c>
      <c r="E935" s="6">
        <v>29</v>
      </c>
      <c r="F935" s="6">
        <v>30</v>
      </c>
      <c r="G935" s="5">
        <v>554</v>
      </c>
      <c r="H935" s="5">
        <v>556</v>
      </c>
    </row>
    <row r="936" spans="1:8" x14ac:dyDescent="0.25">
      <c r="A936" s="5" t="s">
        <v>8261</v>
      </c>
      <c r="B936" s="5" t="s">
        <v>215</v>
      </c>
      <c r="C936" s="5" t="s">
        <v>340</v>
      </c>
      <c r="D936" s="5" t="s">
        <v>7820</v>
      </c>
      <c r="E936" s="6">
        <v>24</v>
      </c>
      <c r="F936" s="6">
        <v>20</v>
      </c>
      <c r="G936" s="5">
        <v>457</v>
      </c>
      <c r="H936" s="5">
        <v>361</v>
      </c>
    </row>
    <row r="937" spans="1:8" x14ac:dyDescent="0.25">
      <c r="A937" s="5" t="s">
        <v>8262</v>
      </c>
      <c r="B937" s="5" t="s">
        <v>215</v>
      </c>
      <c r="C937" s="5" t="s">
        <v>340</v>
      </c>
      <c r="D937" s="5" t="s">
        <v>7811</v>
      </c>
      <c r="E937" s="6">
        <v>36</v>
      </c>
      <c r="F937" s="6">
        <v>13</v>
      </c>
      <c r="G937" s="5">
        <v>695</v>
      </c>
      <c r="H937" s="5">
        <v>235</v>
      </c>
    </row>
    <row r="938" spans="1:8" x14ac:dyDescent="0.25">
      <c r="A938" s="5" t="s">
        <v>8263</v>
      </c>
      <c r="B938" s="5" t="s">
        <v>215</v>
      </c>
      <c r="C938" s="5" t="s">
        <v>340</v>
      </c>
      <c r="D938" s="5" t="s">
        <v>7814</v>
      </c>
      <c r="E938" s="6">
        <v>13</v>
      </c>
      <c r="F938" s="6">
        <v>21</v>
      </c>
      <c r="G938" s="5">
        <v>232</v>
      </c>
      <c r="H938" s="5">
        <v>387</v>
      </c>
    </row>
    <row r="939" spans="1:8" x14ac:dyDescent="0.25">
      <c r="A939" s="5" t="s">
        <v>8264</v>
      </c>
      <c r="B939" s="5" t="s">
        <v>215</v>
      </c>
      <c r="C939" s="5" t="s">
        <v>340</v>
      </c>
      <c r="D939" s="5" t="s">
        <v>7821</v>
      </c>
      <c r="E939" s="6">
        <v>15</v>
      </c>
      <c r="F939" s="6">
        <v>26</v>
      </c>
      <c r="G939" s="5">
        <v>265</v>
      </c>
      <c r="H939" s="5">
        <v>484</v>
      </c>
    </row>
    <row r="940" spans="1:8" x14ac:dyDescent="0.25">
      <c r="A940" s="5" t="s">
        <v>8265</v>
      </c>
      <c r="B940" s="5" t="s">
        <v>215</v>
      </c>
      <c r="C940" s="5" t="s">
        <v>340</v>
      </c>
      <c r="D940" s="5" t="s">
        <v>7821</v>
      </c>
      <c r="E940" s="6">
        <v>27</v>
      </c>
      <c r="F940" s="6">
        <v>34</v>
      </c>
      <c r="G940" s="5">
        <v>520</v>
      </c>
      <c r="H940" s="5">
        <v>638</v>
      </c>
    </row>
    <row r="941" spans="1:8" x14ac:dyDescent="0.25">
      <c r="A941" s="5" t="s">
        <v>8266</v>
      </c>
      <c r="B941" s="5" t="s">
        <v>215</v>
      </c>
      <c r="C941" s="5" t="s">
        <v>340</v>
      </c>
      <c r="D941" s="5" t="s">
        <v>7821</v>
      </c>
      <c r="E941" s="6">
        <v>8</v>
      </c>
      <c r="F941" s="6">
        <v>34</v>
      </c>
      <c r="G941" s="5">
        <v>141</v>
      </c>
      <c r="H941" s="5">
        <v>633</v>
      </c>
    </row>
    <row r="942" spans="1:8" x14ac:dyDescent="0.25">
      <c r="A942" s="5" t="s">
        <v>8267</v>
      </c>
      <c r="B942" s="5" t="s">
        <v>215</v>
      </c>
      <c r="C942" s="5" t="s">
        <v>340</v>
      </c>
      <c r="D942" s="5" t="s">
        <v>7814</v>
      </c>
      <c r="E942" s="6">
        <v>14</v>
      </c>
      <c r="F942" s="6">
        <v>38</v>
      </c>
      <c r="G942" s="5">
        <v>249</v>
      </c>
      <c r="H942" s="5">
        <v>715</v>
      </c>
    </row>
    <row r="943" spans="1:8" x14ac:dyDescent="0.25">
      <c r="A943" s="5" t="s">
        <v>8268</v>
      </c>
      <c r="B943" s="5" t="s">
        <v>215</v>
      </c>
      <c r="C943" s="5" t="s">
        <v>340</v>
      </c>
      <c r="D943" s="5" t="s">
        <v>7820</v>
      </c>
      <c r="E943" s="6">
        <v>28</v>
      </c>
      <c r="F943" s="6">
        <v>13</v>
      </c>
      <c r="G943" s="5">
        <v>505</v>
      </c>
      <c r="H943" s="5">
        <v>249</v>
      </c>
    </row>
    <row r="944" spans="1:8" x14ac:dyDescent="0.25">
      <c r="A944" s="5" t="s">
        <v>8269</v>
      </c>
      <c r="B944" s="5" t="s">
        <v>215</v>
      </c>
      <c r="C944" s="5" t="s">
        <v>340</v>
      </c>
      <c r="D944" s="5" t="s">
        <v>7820</v>
      </c>
      <c r="E944" s="6">
        <v>29</v>
      </c>
      <c r="F944" s="6">
        <v>20</v>
      </c>
      <c r="G944" s="5">
        <v>553</v>
      </c>
      <c r="H944" s="5">
        <v>361</v>
      </c>
    </row>
    <row r="945" spans="1:8" x14ac:dyDescent="0.25">
      <c r="A945" s="5" t="s">
        <v>8270</v>
      </c>
      <c r="B945" s="5" t="s">
        <v>215</v>
      </c>
      <c r="C945" s="5" t="s">
        <v>340</v>
      </c>
      <c r="D945" s="5" t="s">
        <v>7191</v>
      </c>
      <c r="E945" s="6">
        <v>18</v>
      </c>
      <c r="F945" s="6">
        <v>20</v>
      </c>
      <c r="G945" s="5">
        <v>326</v>
      </c>
      <c r="H945" s="5">
        <v>380</v>
      </c>
    </row>
    <row r="946" spans="1:8" x14ac:dyDescent="0.25">
      <c r="A946" s="5" t="s">
        <v>8271</v>
      </c>
      <c r="B946" s="5" t="s">
        <v>215</v>
      </c>
      <c r="C946" s="5" t="s">
        <v>2749</v>
      </c>
      <c r="D946" s="5" t="s">
        <v>7820</v>
      </c>
      <c r="E946" s="6">
        <v>19</v>
      </c>
      <c r="F946" s="6">
        <v>20</v>
      </c>
      <c r="G946" s="5">
        <v>350</v>
      </c>
      <c r="H946" s="5">
        <v>369</v>
      </c>
    </row>
    <row r="947" spans="1:8" x14ac:dyDescent="0.25">
      <c r="A947" s="5" t="s">
        <v>8272</v>
      </c>
      <c r="B947" s="5" t="s">
        <v>215</v>
      </c>
      <c r="C947" s="5" t="s">
        <v>2749</v>
      </c>
      <c r="D947" s="5" t="s">
        <v>7820</v>
      </c>
      <c r="E947" s="6">
        <v>5</v>
      </c>
      <c r="F947" s="6">
        <v>13</v>
      </c>
      <c r="G947" s="5">
        <v>87</v>
      </c>
      <c r="H947" s="5">
        <v>229</v>
      </c>
    </row>
    <row r="948" spans="1:8" x14ac:dyDescent="0.25">
      <c r="A948" s="5" t="s">
        <v>8273</v>
      </c>
      <c r="B948" s="5" t="s">
        <v>215</v>
      </c>
      <c r="C948" s="5" t="s">
        <v>2749</v>
      </c>
      <c r="D948" s="5" t="s">
        <v>10658</v>
      </c>
      <c r="E948" s="6">
        <v>13</v>
      </c>
      <c r="F948" s="6">
        <v>28</v>
      </c>
      <c r="G948" s="5">
        <v>235</v>
      </c>
      <c r="H948" s="5">
        <v>515</v>
      </c>
    </row>
    <row r="949" spans="1:8" x14ac:dyDescent="0.25">
      <c r="A949" s="5" t="s">
        <v>8274</v>
      </c>
      <c r="B949" s="5" t="s">
        <v>215</v>
      </c>
      <c r="C949" s="5" t="s">
        <v>2749</v>
      </c>
      <c r="D949" s="5" t="s">
        <v>7811</v>
      </c>
      <c r="E949" s="6">
        <v>37</v>
      </c>
      <c r="F949" s="6">
        <v>19</v>
      </c>
      <c r="G949" s="5">
        <v>696</v>
      </c>
      <c r="H949" s="5">
        <v>341</v>
      </c>
    </row>
    <row r="950" spans="1:8" x14ac:dyDescent="0.25">
      <c r="A950" s="5" t="s">
        <v>8275</v>
      </c>
      <c r="B950" s="5" t="s">
        <v>215</v>
      </c>
      <c r="C950" s="5" t="s">
        <v>2749</v>
      </c>
      <c r="D950" s="5" t="s">
        <v>7811</v>
      </c>
      <c r="E950" s="6">
        <v>33</v>
      </c>
      <c r="F950" s="6">
        <v>21</v>
      </c>
      <c r="G950" s="5">
        <v>619</v>
      </c>
      <c r="H950" s="5">
        <v>389</v>
      </c>
    </row>
    <row r="951" spans="1:8" x14ac:dyDescent="0.25">
      <c r="A951" s="5" t="s">
        <v>8276</v>
      </c>
      <c r="B951" s="5" t="s">
        <v>215</v>
      </c>
      <c r="C951" s="5" t="s">
        <v>2749</v>
      </c>
      <c r="D951" s="5" t="s">
        <v>7814</v>
      </c>
      <c r="E951" s="6">
        <v>4.4000000000000004</v>
      </c>
      <c r="F951" s="6">
        <v>32.4</v>
      </c>
      <c r="G951" s="5">
        <v>69</v>
      </c>
      <c r="H951" s="5">
        <v>621</v>
      </c>
    </row>
    <row r="952" spans="1:8" x14ac:dyDescent="0.25">
      <c r="A952" s="5" t="s">
        <v>8277</v>
      </c>
      <c r="B952" s="5" t="s">
        <v>215</v>
      </c>
      <c r="C952" s="5" t="s">
        <v>2749</v>
      </c>
      <c r="D952" s="5" t="s">
        <v>7814</v>
      </c>
      <c r="E952" s="6">
        <v>39</v>
      </c>
      <c r="F952" s="6">
        <v>30.2</v>
      </c>
      <c r="G952" s="5">
        <v>742</v>
      </c>
      <c r="H952" s="5">
        <v>569</v>
      </c>
    </row>
    <row r="953" spans="1:8" x14ac:dyDescent="0.25">
      <c r="A953" s="5" t="s">
        <v>8278</v>
      </c>
      <c r="B953" s="5" t="s">
        <v>215</v>
      </c>
      <c r="C953" s="5" t="s">
        <v>2749</v>
      </c>
      <c r="D953" s="5" t="s">
        <v>8000</v>
      </c>
      <c r="E953" s="6">
        <v>12</v>
      </c>
      <c r="F953" s="6">
        <v>38</v>
      </c>
      <c r="G953" s="5">
        <v>223</v>
      </c>
      <c r="H953" s="5">
        <v>717</v>
      </c>
    </row>
    <row r="954" spans="1:8" x14ac:dyDescent="0.25">
      <c r="A954" s="5" t="s">
        <v>8279</v>
      </c>
      <c r="B954" s="5" t="s">
        <v>215</v>
      </c>
      <c r="C954" s="5" t="s">
        <v>2749</v>
      </c>
      <c r="D954" s="5" t="s">
        <v>7821</v>
      </c>
      <c r="E954" s="6">
        <v>28</v>
      </c>
      <c r="F954" s="6">
        <v>30.9</v>
      </c>
      <c r="G954" s="5">
        <v>504</v>
      </c>
      <c r="H954" s="5">
        <v>581</v>
      </c>
    </row>
    <row r="955" spans="1:8" x14ac:dyDescent="0.25">
      <c r="A955" s="5" t="s">
        <v>8280</v>
      </c>
      <c r="B955" s="5" t="s">
        <v>215</v>
      </c>
      <c r="C955" s="5" t="s">
        <v>2749</v>
      </c>
      <c r="D955" s="5" t="s">
        <v>7821</v>
      </c>
      <c r="E955" s="6">
        <v>4.5</v>
      </c>
      <c r="F955" s="6">
        <v>29.4</v>
      </c>
      <c r="G955" s="5">
        <v>63</v>
      </c>
      <c r="H955" s="5">
        <v>545</v>
      </c>
    </row>
    <row r="956" spans="1:8" x14ac:dyDescent="0.25">
      <c r="A956" s="5" t="s">
        <v>8281</v>
      </c>
      <c r="B956" s="5" t="s">
        <v>215</v>
      </c>
      <c r="C956" s="5" t="s">
        <v>2749</v>
      </c>
      <c r="D956" s="5" t="s">
        <v>7191</v>
      </c>
      <c r="E956" s="6">
        <v>34.4</v>
      </c>
      <c r="F956" s="6">
        <v>26.3</v>
      </c>
      <c r="G956" s="5">
        <v>649</v>
      </c>
      <c r="H956" s="5">
        <v>487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69AF-6559-405D-A833-F10A39DF4B91}">
  <sheetPr>
    <tabColor theme="9" tint="-0.499984740745262"/>
  </sheetPr>
  <dimension ref="A1:R303"/>
  <sheetViews>
    <sheetView topLeftCell="C1" workbookViewId="0">
      <pane ySplit="1" topLeftCell="A9" activePane="bottomLeft" state="frozen"/>
      <selection activeCell="K1" sqref="K1"/>
      <selection pane="bottomLeft" activeCell="D50" sqref="D50"/>
    </sheetView>
  </sheetViews>
  <sheetFormatPr defaultRowHeight="15" x14ac:dyDescent="0.25"/>
  <cols>
    <col min="2" max="2" width="15.42578125" customWidth="1"/>
    <col min="3" max="4" width="29.85546875" customWidth="1"/>
    <col min="5" max="5" width="8.85546875" customWidth="1"/>
    <col min="11" max="11" width="23.28515625" customWidth="1"/>
    <col min="12" max="12" width="36" customWidth="1"/>
    <col min="13" max="13" width="12.7109375" customWidth="1"/>
    <col min="14" max="14" width="13.28515625" customWidth="1"/>
    <col min="15" max="15" width="18.28515625" customWidth="1"/>
    <col min="16" max="16" width="29.140625" customWidth="1"/>
    <col min="17" max="17" width="11.42578125" customWidth="1"/>
    <col min="18" max="18" width="12.7109375" customWidth="1"/>
  </cols>
  <sheetData>
    <row r="1" spans="1:18" x14ac:dyDescent="0.25">
      <c r="A1" t="s">
        <v>0</v>
      </c>
      <c r="B1" t="s">
        <v>2</v>
      </c>
      <c r="C1" t="s">
        <v>1061</v>
      </c>
      <c r="D1" t="s">
        <v>11080</v>
      </c>
      <c r="E1" t="s">
        <v>237</v>
      </c>
      <c r="F1" t="s">
        <v>1</v>
      </c>
      <c r="G1" t="s">
        <v>243</v>
      </c>
      <c r="H1" t="s">
        <v>244</v>
      </c>
      <c r="I1" t="s">
        <v>2840</v>
      </c>
      <c r="J1" t="s">
        <v>2841</v>
      </c>
      <c r="K1" t="s">
        <v>2842</v>
      </c>
      <c r="L1" t="s">
        <v>3</v>
      </c>
      <c r="M1" t="s">
        <v>10618</v>
      </c>
      <c r="N1" t="s">
        <v>5878</v>
      </c>
      <c r="O1" t="s">
        <v>5880</v>
      </c>
      <c r="P1" t="s">
        <v>2843</v>
      </c>
      <c r="Q1" t="s">
        <v>5879</v>
      </c>
      <c r="R1" t="s">
        <v>5883</v>
      </c>
    </row>
    <row r="2" spans="1:18" x14ac:dyDescent="0.25">
      <c r="A2" t="s">
        <v>2844</v>
      </c>
      <c r="B2" t="s">
        <v>11</v>
      </c>
      <c r="C2" t="s">
        <v>686</v>
      </c>
      <c r="E2">
        <v>1</v>
      </c>
      <c r="F2">
        <v>1</v>
      </c>
      <c r="G2">
        <v>30.6</v>
      </c>
      <c r="H2">
        <v>33.700000000000003</v>
      </c>
      <c r="I2">
        <v>550</v>
      </c>
      <c r="J2">
        <v>607</v>
      </c>
      <c r="K2" t="str">
        <f>LEFT(A2,4)&amp;SUBSTITUTE(G2,".","")&amp;SUBSTITUTE(H2,".","")</f>
        <v>aeth306337</v>
      </c>
    </row>
    <row r="3" spans="1:18" x14ac:dyDescent="0.25">
      <c r="A3" t="s">
        <v>2845</v>
      </c>
      <c r="B3" t="s">
        <v>11</v>
      </c>
      <c r="C3" t="s">
        <v>686</v>
      </c>
      <c r="E3">
        <v>2</v>
      </c>
      <c r="F3">
        <v>2</v>
      </c>
      <c r="G3">
        <v>31.5</v>
      </c>
      <c r="H3">
        <v>11.8</v>
      </c>
      <c r="I3">
        <v>563</v>
      </c>
      <c r="J3">
        <v>196</v>
      </c>
      <c r="K3" t="str">
        <f t="shared" ref="K3:K66" si="0">LEFT(A3,4)&amp;SUBSTITUTE(G3,".","")&amp;SUBSTITUTE(H3,".","")</f>
        <v>aeth315118</v>
      </c>
    </row>
    <row r="4" spans="1:18" x14ac:dyDescent="0.25">
      <c r="A4" t="s">
        <v>2846</v>
      </c>
      <c r="B4" t="s">
        <v>11</v>
      </c>
      <c r="C4" t="s">
        <v>686</v>
      </c>
      <c r="E4">
        <v>3</v>
      </c>
      <c r="F4">
        <v>3</v>
      </c>
      <c r="G4">
        <v>15.8</v>
      </c>
      <c r="H4">
        <v>22.3</v>
      </c>
      <c r="I4">
        <v>272</v>
      </c>
      <c r="J4">
        <v>384</v>
      </c>
      <c r="K4" t="str">
        <f t="shared" si="0"/>
        <v>aeth158223</v>
      </c>
    </row>
    <row r="5" spans="1:18" x14ac:dyDescent="0.25">
      <c r="A5" t="s">
        <v>2847</v>
      </c>
      <c r="B5" t="s">
        <v>11</v>
      </c>
      <c r="C5" t="s">
        <v>686</v>
      </c>
      <c r="E5">
        <v>4</v>
      </c>
      <c r="F5">
        <v>4</v>
      </c>
      <c r="G5">
        <v>9.3000000000000007</v>
      </c>
      <c r="H5">
        <v>15</v>
      </c>
      <c r="I5">
        <v>155</v>
      </c>
      <c r="J5">
        <v>262</v>
      </c>
      <c r="K5" t="str">
        <f t="shared" si="0"/>
        <v>aeth9315</v>
      </c>
    </row>
    <row r="6" spans="1:18" x14ac:dyDescent="0.25">
      <c r="A6" t="s">
        <v>2848</v>
      </c>
      <c r="B6" t="s">
        <v>11</v>
      </c>
      <c r="C6" t="s">
        <v>686</v>
      </c>
      <c r="E6">
        <v>5</v>
      </c>
      <c r="F6">
        <v>1</v>
      </c>
      <c r="G6">
        <v>32.4</v>
      </c>
      <c r="H6">
        <v>35.799999999999997</v>
      </c>
      <c r="I6">
        <v>582</v>
      </c>
      <c r="J6">
        <v>645</v>
      </c>
      <c r="K6" t="str">
        <f t="shared" si="0"/>
        <v>aeth324358</v>
      </c>
      <c r="L6" t="s">
        <v>2849</v>
      </c>
      <c r="N6">
        <v>50</v>
      </c>
      <c r="O6" t="s">
        <v>5881</v>
      </c>
      <c r="P6" t="s">
        <v>2850</v>
      </c>
      <c r="Q6">
        <v>50</v>
      </c>
      <c r="R6" t="s">
        <v>5882</v>
      </c>
    </row>
    <row r="7" spans="1:18" x14ac:dyDescent="0.25">
      <c r="A7" t="s">
        <v>2851</v>
      </c>
      <c r="B7" t="s">
        <v>11</v>
      </c>
      <c r="C7" t="s">
        <v>686</v>
      </c>
      <c r="E7">
        <v>6</v>
      </c>
      <c r="F7">
        <v>2</v>
      </c>
      <c r="G7">
        <v>16.899999999999999</v>
      </c>
      <c r="H7">
        <v>22.8</v>
      </c>
      <c r="I7">
        <v>298</v>
      </c>
      <c r="J7">
        <v>406</v>
      </c>
      <c r="K7" t="str">
        <f t="shared" si="0"/>
        <v>aeth169228</v>
      </c>
      <c r="L7" t="s">
        <v>2852</v>
      </c>
      <c r="N7">
        <v>51</v>
      </c>
      <c r="O7" t="s">
        <v>5881</v>
      </c>
      <c r="P7" t="s">
        <v>2853</v>
      </c>
      <c r="Q7">
        <v>51</v>
      </c>
      <c r="R7" t="s">
        <v>5882</v>
      </c>
    </row>
    <row r="8" spans="1:18" x14ac:dyDescent="0.25">
      <c r="A8" t="s">
        <v>2854</v>
      </c>
      <c r="B8" t="s">
        <v>11</v>
      </c>
      <c r="C8" t="s">
        <v>686</v>
      </c>
      <c r="E8">
        <v>7</v>
      </c>
      <c r="F8">
        <v>3</v>
      </c>
      <c r="G8">
        <v>16.7</v>
      </c>
      <c r="H8">
        <v>22.8</v>
      </c>
      <c r="I8">
        <v>292</v>
      </c>
      <c r="J8">
        <v>406</v>
      </c>
      <c r="K8" t="str">
        <f t="shared" si="0"/>
        <v>aeth167228</v>
      </c>
      <c r="L8" t="s">
        <v>2855</v>
      </c>
      <c r="N8">
        <v>51</v>
      </c>
      <c r="O8" t="s">
        <v>5881</v>
      </c>
      <c r="P8" t="s">
        <v>2853</v>
      </c>
      <c r="Q8">
        <v>51</v>
      </c>
      <c r="R8" t="s">
        <v>5882</v>
      </c>
    </row>
    <row r="9" spans="1:18" x14ac:dyDescent="0.25">
      <c r="A9" t="s">
        <v>2856</v>
      </c>
      <c r="B9" t="s">
        <v>11</v>
      </c>
      <c r="C9" t="s">
        <v>686</v>
      </c>
      <c r="E9">
        <v>8</v>
      </c>
      <c r="F9">
        <v>0</v>
      </c>
      <c r="G9">
        <v>16.5</v>
      </c>
      <c r="H9">
        <v>22.5</v>
      </c>
      <c r="I9">
        <v>299</v>
      </c>
      <c r="J9">
        <v>408</v>
      </c>
      <c r="K9" t="str">
        <f t="shared" si="0"/>
        <v>aeth165225</v>
      </c>
      <c r="L9" t="s">
        <v>2857</v>
      </c>
      <c r="N9">
        <v>51</v>
      </c>
      <c r="O9" t="s">
        <v>5881</v>
      </c>
      <c r="P9" t="s">
        <v>2858</v>
      </c>
      <c r="Q9">
        <v>51</v>
      </c>
      <c r="R9" t="s">
        <v>5882</v>
      </c>
    </row>
    <row r="10" spans="1:18" x14ac:dyDescent="0.25">
      <c r="A10" t="s">
        <v>2859</v>
      </c>
      <c r="B10" t="s">
        <v>11</v>
      </c>
      <c r="C10" t="s">
        <v>686</v>
      </c>
      <c r="D10" t="s">
        <v>11081</v>
      </c>
      <c r="E10">
        <v>100</v>
      </c>
      <c r="F10">
        <v>5</v>
      </c>
      <c r="G10">
        <v>16.399999999999999</v>
      </c>
      <c r="H10">
        <v>22.4</v>
      </c>
      <c r="I10">
        <v>297</v>
      </c>
      <c r="J10">
        <v>406</v>
      </c>
      <c r="K10" t="str">
        <f t="shared" si="0"/>
        <v>aeth164224</v>
      </c>
      <c r="L10" t="s">
        <v>2860</v>
      </c>
      <c r="N10">
        <v>51</v>
      </c>
      <c r="O10" t="s">
        <v>5882</v>
      </c>
    </row>
    <row r="11" spans="1:18" x14ac:dyDescent="0.25">
      <c r="A11" t="s">
        <v>2861</v>
      </c>
      <c r="B11" t="s">
        <v>11</v>
      </c>
      <c r="C11" t="s">
        <v>956</v>
      </c>
      <c r="E11">
        <v>1</v>
      </c>
      <c r="F11">
        <v>1</v>
      </c>
      <c r="G11">
        <v>37.799999999999997</v>
      </c>
      <c r="H11">
        <v>28.3</v>
      </c>
      <c r="I11">
        <v>679</v>
      </c>
      <c r="J11">
        <v>504</v>
      </c>
      <c r="K11" t="str">
        <f t="shared" si="0"/>
        <v>aeth378283</v>
      </c>
    </row>
    <row r="12" spans="1:18" x14ac:dyDescent="0.25">
      <c r="A12" t="s">
        <v>2862</v>
      </c>
      <c r="B12" t="s">
        <v>11</v>
      </c>
      <c r="C12" t="s">
        <v>956</v>
      </c>
      <c r="E12">
        <v>2</v>
      </c>
      <c r="F12">
        <v>2</v>
      </c>
      <c r="G12">
        <v>31.2</v>
      </c>
      <c r="H12">
        <v>16.8</v>
      </c>
      <c r="I12">
        <v>561</v>
      </c>
      <c r="J12">
        <v>291</v>
      </c>
      <c r="K12" t="str">
        <f t="shared" si="0"/>
        <v>aeth312168</v>
      </c>
    </row>
    <row r="13" spans="1:18" x14ac:dyDescent="0.25">
      <c r="A13" t="s">
        <v>2863</v>
      </c>
      <c r="B13" t="s">
        <v>11</v>
      </c>
      <c r="C13" t="s">
        <v>956</v>
      </c>
      <c r="E13">
        <v>3</v>
      </c>
      <c r="F13">
        <v>3</v>
      </c>
      <c r="G13">
        <v>12.9</v>
      </c>
      <c r="H13">
        <v>14</v>
      </c>
      <c r="I13">
        <v>219</v>
      </c>
      <c r="J13">
        <v>244</v>
      </c>
      <c r="K13" t="str">
        <f t="shared" si="0"/>
        <v>aeth12914</v>
      </c>
    </row>
    <row r="14" spans="1:18" x14ac:dyDescent="0.25">
      <c r="A14" t="s">
        <v>2864</v>
      </c>
      <c r="B14" t="s">
        <v>11</v>
      </c>
      <c r="C14" t="s">
        <v>956</v>
      </c>
      <c r="E14">
        <v>4</v>
      </c>
      <c r="F14">
        <v>4</v>
      </c>
      <c r="G14">
        <v>30.6</v>
      </c>
      <c r="H14">
        <v>36.200000000000003</v>
      </c>
      <c r="I14">
        <v>551</v>
      </c>
      <c r="J14">
        <v>654</v>
      </c>
      <c r="K14" t="str">
        <f t="shared" si="0"/>
        <v>aeth306362</v>
      </c>
    </row>
    <row r="15" spans="1:18" x14ac:dyDescent="0.25">
      <c r="A15" t="s">
        <v>2865</v>
      </c>
      <c r="B15" t="s">
        <v>11</v>
      </c>
      <c r="C15" t="s">
        <v>956</v>
      </c>
      <c r="E15">
        <v>5</v>
      </c>
      <c r="F15">
        <v>1</v>
      </c>
      <c r="G15">
        <v>31.9</v>
      </c>
      <c r="H15">
        <v>23.9</v>
      </c>
      <c r="I15">
        <v>573</v>
      </c>
      <c r="J15">
        <v>413</v>
      </c>
      <c r="K15" t="str">
        <f t="shared" si="0"/>
        <v>aeth319239</v>
      </c>
      <c r="L15" t="s">
        <v>2866</v>
      </c>
      <c r="N15">
        <v>52</v>
      </c>
      <c r="O15" t="s">
        <v>5881</v>
      </c>
      <c r="P15" t="s">
        <v>2867</v>
      </c>
      <c r="Q15">
        <v>52</v>
      </c>
      <c r="R15" t="s">
        <v>5882</v>
      </c>
    </row>
    <row r="16" spans="1:18" x14ac:dyDescent="0.25">
      <c r="A16" t="s">
        <v>2868</v>
      </c>
      <c r="B16" t="s">
        <v>11</v>
      </c>
      <c r="C16" t="s">
        <v>956</v>
      </c>
      <c r="E16">
        <v>6</v>
      </c>
      <c r="F16">
        <v>2</v>
      </c>
      <c r="G16">
        <v>24.9</v>
      </c>
      <c r="H16">
        <v>19.7</v>
      </c>
      <c r="I16">
        <v>439</v>
      </c>
      <c r="J16">
        <v>344</v>
      </c>
      <c r="K16" t="str">
        <f t="shared" si="0"/>
        <v>aeth249197</v>
      </c>
      <c r="L16" t="s">
        <v>2869</v>
      </c>
      <c r="N16">
        <v>52</v>
      </c>
      <c r="O16" t="s">
        <v>5881</v>
      </c>
      <c r="P16" t="s">
        <v>2870</v>
      </c>
      <c r="Q16">
        <v>52</v>
      </c>
      <c r="R16" t="s">
        <v>5882</v>
      </c>
    </row>
    <row r="17" spans="1:18" x14ac:dyDescent="0.25">
      <c r="A17" t="s">
        <v>2871</v>
      </c>
      <c r="B17" t="s">
        <v>11</v>
      </c>
      <c r="C17" t="s">
        <v>956</v>
      </c>
      <c r="E17">
        <v>7</v>
      </c>
      <c r="F17">
        <v>3</v>
      </c>
      <c r="G17">
        <v>16.399999999999999</v>
      </c>
      <c r="H17">
        <v>23</v>
      </c>
      <c r="I17">
        <v>284</v>
      </c>
      <c r="J17">
        <v>410</v>
      </c>
      <c r="K17" t="str">
        <f t="shared" si="0"/>
        <v>aeth16423</v>
      </c>
      <c r="L17" t="s">
        <v>2872</v>
      </c>
      <c r="N17">
        <v>53</v>
      </c>
      <c r="O17" t="s">
        <v>5881</v>
      </c>
      <c r="P17" t="s">
        <v>2873</v>
      </c>
      <c r="Q17">
        <v>53</v>
      </c>
      <c r="R17" t="s">
        <v>5882</v>
      </c>
    </row>
    <row r="18" spans="1:18" x14ac:dyDescent="0.25">
      <c r="A18" t="s">
        <v>2874</v>
      </c>
      <c r="B18" t="s">
        <v>11</v>
      </c>
      <c r="C18" t="s">
        <v>956</v>
      </c>
      <c r="E18">
        <v>8</v>
      </c>
      <c r="F18">
        <v>4</v>
      </c>
      <c r="G18">
        <v>31.9</v>
      </c>
      <c r="H18">
        <v>23.9</v>
      </c>
      <c r="I18">
        <v>573</v>
      </c>
      <c r="J18">
        <v>413</v>
      </c>
      <c r="K18" t="str">
        <f t="shared" si="0"/>
        <v>aeth319239</v>
      </c>
      <c r="L18" t="s">
        <v>2875</v>
      </c>
      <c r="N18">
        <v>53</v>
      </c>
      <c r="O18" t="s">
        <v>5881</v>
      </c>
      <c r="P18" t="s">
        <v>2873</v>
      </c>
      <c r="Q18">
        <v>53</v>
      </c>
      <c r="R18" t="s">
        <v>5882</v>
      </c>
    </row>
    <row r="19" spans="1:18" x14ac:dyDescent="0.25">
      <c r="A19" t="s">
        <v>2876</v>
      </c>
      <c r="B19" t="s">
        <v>11</v>
      </c>
      <c r="C19" t="s">
        <v>956</v>
      </c>
      <c r="D19" t="s">
        <v>11081</v>
      </c>
      <c r="E19">
        <v>100</v>
      </c>
      <c r="F19">
        <v>5</v>
      </c>
      <c r="G19">
        <v>23</v>
      </c>
      <c r="H19">
        <v>19</v>
      </c>
      <c r="I19">
        <v>417</v>
      </c>
      <c r="J19">
        <v>344</v>
      </c>
      <c r="K19" t="str">
        <f t="shared" si="0"/>
        <v>aeth2319</v>
      </c>
      <c r="L19" t="s">
        <v>2877</v>
      </c>
      <c r="N19">
        <v>53</v>
      </c>
      <c r="O19" t="s">
        <v>5882</v>
      </c>
    </row>
    <row r="20" spans="1:18" x14ac:dyDescent="0.25">
      <c r="A20" t="s">
        <v>2878</v>
      </c>
      <c r="B20" t="s">
        <v>11</v>
      </c>
      <c r="C20" t="s">
        <v>666</v>
      </c>
      <c r="E20">
        <v>1</v>
      </c>
      <c r="F20">
        <v>1</v>
      </c>
      <c r="G20">
        <v>7.6</v>
      </c>
      <c r="H20">
        <v>25.8</v>
      </c>
      <c r="I20">
        <v>124</v>
      </c>
      <c r="J20">
        <v>457</v>
      </c>
      <c r="K20" t="str">
        <f t="shared" si="0"/>
        <v>aeth76258</v>
      </c>
    </row>
    <row r="21" spans="1:18" x14ac:dyDescent="0.25">
      <c r="A21" t="s">
        <v>2879</v>
      </c>
      <c r="B21" t="s">
        <v>11</v>
      </c>
      <c r="C21" t="s">
        <v>666</v>
      </c>
      <c r="E21">
        <v>2</v>
      </c>
      <c r="F21">
        <v>2</v>
      </c>
      <c r="G21">
        <v>7.3</v>
      </c>
      <c r="H21">
        <v>20.3</v>
      </c>
      <c r="I21">
        <v>118</v>
      </c>
      <c r="J21">
        <v>363</v>
      </c>
      <c r="K21" t="str">
        <f t="shared" si="0"/>
        <v>aeth73203</v>
      </c>
    </row>
    <row r="22" spans="1:18" x14ac:dyDescent="0.25">
      <c r="A22" t="s">
        <v>2880</v>
      </c>
      <c r="B22" t="s">
        <v>11</v>
      </c>
      <c r="C22" t="s">
        <v>666</v>
      </c>
      <c r="E22">
        <v>3</v>
      </c>
      <c r="F22">
        <v>3</v>
      </c>
      <c r="G22">
        <v>18.899999999999999</v>
      </c>
      <c r="H22">
        <v>11.6</v>
      </c>
      <c r="I22">
        <v>337</v>
      </c>
      <c r="J22">
        <v>194</v>
      </c>
      <c r="K22" t="str">
        <f t="shared" si="0"/>
        <v>aeth189116</v>
      </c>
    </row>
    <row r="23" spans="1:18" x14ac:dyDescent="0.25">
      <c r="A23" t="s">
        <v>2881</v>
      </c>
      <c r="B23" t="s">
        <v>11</v>
      </c>
      <c r="C23" t="s">
        <v>666</v>
      </c>
      <c r="E23">
        <v>4</v>
      </c>
      <c r="F23">
        <v>4</v>
      </c>
      <c r="G23">
        <v>11.2</v>
      </c>
      <c r="H23">
        <v>15.2</v>
      </c>
      <c r="I23">
        <v>196</v>
      </c>
      <c r="J23">
        <v>264</v>
      </c>
      <c r="K23" t="str">
        <f t="shared" si="0"/>
        <v>aeth112152</v>
      </c>
    </row>
    <row r="24" spans="1:18" x14ac:dyDescent="0.25">
      <c r="A24" t="s">
        <v>2882</v>
      </c>
      <c r="B24" t="s">
        <v>11</v>
      </c>
      <c r="C24" t="s">
        <v>666</v>
      </c>
      <c r="E24">
        <v>5</v>
      </c>
      <c r="F24">
        <v>1</v>
      </c>
      <c r="G24">
        <v>17</v>
      </c>
      <c r="H24">
        <v>37</v>
      </c>
      <c r="I24">
        <v>298</v>
      </c>
      <c r="J24">
        <v>663</v>
      </c>
      <c r="K24" t="str">
        <f t="shared" si="0"/>
        <v>aeth1737</v>
      </c>
      <c r="L24" t="s">
        <v>2883</v>
      </c>
      <c r="N24">
        <v>50</v>
      </c>
      <c r="O24" t="s">
        <v>5881</v>
      </c>
      <c r="P24" t="s">
        <v>2850</v>
      </c>
      <c r="Q24">
        <v>50</v>
      </c>
      <c r="R24" t="s">
        <v>5882</v>
      </c>
    </row>
    <row r="25" spans="1:18" x14ac:dyDescent="0.25">
      <c r="A25" t="s">
        <v>2884</v>
      </c>
      <c r="B25" t="s">
        <v>11</v>
      </c>
      <c r="C25" t="s">
        <v>666</v>
      </c>
      <c r="E25">
        <v>6</v>
      </c>
      <c r="F25">
        <v>2</v>
      </c>
      <c r="G25">
        <v>11.5</v>
      </c>
      <c r="H25">
        <v>10.9</v>
      </c>
      <c r="K25" t="str">
        <f t="shared" si="0"/>
        <v>aeth115109</v>
      </c>
      <c r="L25" t="s">
        <v>2885</v>
      </c>
      <c r="M25" t="s">
        <v>1493</v>
      </c>
      <c r="N25">
        <v>56</v>
      </c>
      <c r="O25" t="s">
        <v>5881</v>
      </c>
      <c r="P25" t="s">
        <v>2886</v>
      </c>
      <c r="Q25">
        <v>56</v>
      </c>
      <c r="R25" t="s">
        <v>5882</v>
      </c>
    </row>
    <row r="26" spans="1:18" x14ac:dyDescent="0.25">
      <c r="A26" t="s">
        <v>2887</v>
      </c>
      <c r="B26" t="s">
        <v>11</v>
      </c>
      <c r="C26" t="s">
        <v>666</v>
      </c>
      <c r="E26">
        <v>7</v>
      </c>
      <c r="F26">
        <v>3</v>
      </c>
      <c r="G26">
        <v>9.6</v>
      </c>
      <c r="H26">
        <v>14.2</v>
      </c>
      <c r="I26">
        <v>153</v>
      </c>
      <c r="J26">
        <v>242</v>
      </c>
      <c r="K26" t="str">
        <f t="shared" si="0"/>
        <v>aeth96142</v>
      </c>
      <c r="L26" t="s">
        <v>2888</v>
      </c>
      <c r="N26">
        <v>57</v>
      </c>
      <c r="O26" t="s">
        <v>5881</v>
      </c>
      <c r="P26" t="s">
        <v>2889</v>
      </c>
      <c r="Q26">
        <v>57</v>
      </c>
      <c r="R26" t="s">
        <v>5882</v>
      </c>
    </row>
    <row r="27" spans="1:18" x14ac:dyDescent="0.25">
      <c r="A27" t="s">
        <v>2890</v>
      </c>
      <c r="B27" t="s">
        <v>11</v>
      </c>
      <c r="C27" t="s">
        <v>666</v>
      </c>
      <c r="E27">
        <v>8</v>
      </c>
      <c r="F27">
        <v>4</v>
      </c>
      <c r="G27">
        <v>10.6</v>
      </c>
      <c r="H27">
        <v>14.8</v>
      </c>
      <c r="I27">
        <v>178</v>
      </c>
      <c r="J27">
        <v>260</v>
      </c>
      <c r="K27" t="str">
        <f t="shared" si="0"/>
        <v>aeth106148</v>
      </c>
      <c r="L27" t="s">
        <v>2891</v>
      </c>
      <c r="N27">
        <v>57</v>
      </c>
      <c r="O27" t="s">
        <v>5881</v>
      </c>
      <c r="P27" t="s">
        <v>2889</v>
      </c>
      <c r="Q27">
        <v>57</v>
      </c>
      <c r="R27" t="s">
        <v>5882</v>
      </c>
    </row>
    <row r="28" spans="1:18" x14ac:dyDescent="0.25">
      <c r="A28" t="s">
        <v>2892</v>
      </c>
      <c r="B28" t="s">
        <v>11</v>
      </c>
      <c r="C28" t="s">
        <v>666</v>
      </c>
      <c r="D28" t="s">
        <v>11081</v>
      </c>
      <c r="E28">
        <v>100</v>
      </c>
      <c r="F28">
        <v>5</v>
      </c>
      <c r="G28">
        <v>11</v>
      </c>
      <c r="H28">
        <v>14</v>
      </c>
      <c r="I28">
        <v>187</v>
      </c>
      <c r="J28">
        <v>243</v>
      </c>
      <c r="K28" t="str">
        <f t="shared" si="0"/>
        <v>aeth1114</v>
      </c>
      <c r="L28" t="s">
        <v>2893</v>
      </c>
      <c r="N28">
        <v>57</v>
      </c>
      <c r="O28" t="s">
        <v>5882</v>
      </c>
    </row>
    <row r="29" spans="1:18" x14ac:dyDescent="0.25">
      <c r="A29" t="s">
        <v>2894</v>
      </c>
      <c r="B29" t="s">
        <v>11</v>
      </c>
      <c r="C29" t="s">
        <v>831</v>
      </c>
      <c r="E29">
        <v>1</v>
      </c>
      <c r="F29">
        <v>1</v>
      </c>
      <c r="G29">
        <v>30.9</v>
      </c>
      <c r="H29">
        <v>35.700000000000003</v>
      </c>
      <c r="I29">
        <v>555</v>
      </c>
      <c r="J29">
        <v>645</v>
      </c>
      <c r="K29" t="str">
        <f t="shared" si="0"/>
        <v>aeth309357</v>
      </c>
    </row>
    <row r="30" spans="1:18" x14ac:dyDescent="0.25">
      <c r="A30" t="s">
        <v>2895</v>
      </c>
      <c r="B30" t="s">
        <v>11</v>
      </c>
      <c r="C30" t="s">
        <v>831</v>
      </c>
      <c r="E30">
        <v>2</v>
      </c>
      <c r="F30">
        <v>2</v>
      </c>
      <c r="G30">
        <v>20.6</v>
      </c>
      <c r="H30">
        <v>27</v>
      </c>
      <c r="I30">
        <v>359</v>
      </c>
      <c r="J30">
        <v>487</v>
      </c>
      <c r="K30" t="str">
        <f t="shared" si="0"/>
        <v>aeth20627</v>
      </c>
    </row>
    <row r="31" spans="1:18" x14ac:dyDescent="0.25">
      <c r="A31" t="s">
        <v>2896</v>
      </c>
      <c r="B31" t="s">
        <v>11</v>
      </c>
      <c r="C31" t="s">
        <v>831</v>
      </c>
      <c r="E31">
        <v>3</v>
      </c>
      <c r="F31">
        <v>3</v>
      </c>
      <c r="G31">
        <v>7</v>
      </c>
      <c r="H31">
        <v>27.4</v>
      </c>
      <c r="I31">
        <v>115</v>
      </c>
      <c r="J31">
        <v>489</v>
      </c>
      <c r="K31" t="str">
        <f t="shared" si="0"/>
        <v>aeth7274</v>
      </c>
    </row>
    <row r="32" spans="1:18" x14ac:dyDescent="0.25">
      <c r="A32" t="s">
        <v>2897</v>
      </c>
      <c r="B32" t="s">
        <v>11</v>
      </c>
      <c r="C32" t="s">
        <v>831</v>
      </c>
      <c r="E32">
        <v>4</v>
      </c>
      <c r="F32">
        <v>4</v>
      </c>
      <c r="G32">
        <v>29.3</v>
      </c>
      <c r="H32">
        <v>19.899999999999999</v>
      </c>
      <c r="I32">
        <v>525</v>
      </c>
      <c r="J32">
        <v>353</v>
      </c>
      <c r="K32" t="str">
        <f t="shared" si="0"/>
        <v>aeth293199</v>
      </c>
    </row>
    <row r="33" spans="1:18" x14ac:dyDescent="0.25">
      <c r="A33" t="s">
        <v>2898</v>
      </c>
      <c r="B33" t="s">
        <v>11</v>
      </c>
      <c r="C33" t="s">
        <v>831</v>
      </c>
      <c r="E33">
        <v>5</v>
      </c>
      <c r="F33">
        <v>1</v>
      </c>
      <c r="G33">
        <v>29</v>
      </c>
      <c r="H33">
        <v>36</v>
      </c>
      <c r="I33">
        <v>518</v>
      </c>
      <c r="J33">
        <v>650</v>
      </c>
      <c r="K33" t="str">
        <f t="shared" si="0"/>
        <v>aeth2936</v>
      </c>
      <c r="L33" t="s">
        <v>2899</v>
      </c>
      <c r="N33">
        <v>54</v>
      </c>
      <c r="O33" t="s">
        <v>5881</v>
      </c>
      <c r="P33" t="s">
        <v>2900</v>
      </c>
      <c r="Q33">
        <v>54</v>
      </c>
      <c r="R33" t="s">
        <v>5882</v>
      </c>
    </row>
    <row r="34" spans="1:18" x14ac:dyDescent="0.25">
      <c r="A34" t="s">
        <v>2901</v>
      </c>
      <c r="B34" t="s">
        <v>11</v>
      </c>
      <c r="C34" t="s">
        <v>831</v>
      </c>
      <c r="E34">
        <v>6</v>
      </c>
      <c r="F34">
        <v>2</v>
      </c>
      <c r="G34">
        <v>32.299999999999997</v>
      </c>
      <c r="H34">
        <v>14.9</v>
      </c>
      <c r="I34">
        <v>583</v>
      </c>
      <c r="J34">
        <v>259</v>
      </c>
      <c r="K34" t="str">
        <f t="shared" si="0"/>
        <v>aeth323149</v>
      </c>
      <c r="L34" t="s">
        <v>2902</v>
      </c>
      <c r="N34">
        <v>54</v>
      </c>
      <c r="O34" t="s">
        <v>5881</v>
      </c>
      <c r="P34" t="s">
        <v>2903</v>
      </c>
      <c r="Q34">
        <v>54</v>
      </c>
      <c r="R34" t="s">
        <v>5882</v>
      </c>
    </row>
    <row r="35" spans="1:18" x14ac:dyDescent="0.25">
      <c r="A35" t="s">
        <v>2904</v>
      </c>
      <c r="B35" t="s">
        <v>11</v>
      </c>
      <c r="C35" t="s">
        <v>831</v>
      </c>
      <c r="E35">
        <v>7</v>
      </c>
      <c r="F35">
        <v>3</v>
      </c>
      <c r="G35">
        <v>27</v>
      </c>
      <c r="H35">
        <v>33</v>
      </c>
      <c r="I35">
        <v>481</v>
      </c>
      <c r="J35">
        <v>590</v>
      </c>
      <c r="K35" t="str">
        <f t="shared" si="0"/>
        <v>aeth2733</v>
      </c>
      <c r="L35" t="s">
        <v>2905</v>
      </c>
      <c r="N35">
        <v>54</v>
      </c>
      <c r="O35" t="s">
        <v>5881</v>
      </c>
      <c r="P35" t="s">
        <v>2906</v>
      </c>
      <c r="Q35">
        <v>54</v>
      </c>
      <c r="R35" t="s">
        <v>5882</v>
      </c>
    </row>
    <row r="36" spans="1:18" x14ac:dyDescent="0.25">
      <c r="A36" t="s">
        <v>2907</v>
      </c>
      <c r="B36" t="s">
        <v>11</v>
      </c>
      <c r="C36" t="s">
        <v>831</v>
      </c>
      <c r="E36">
        <v>8</v>
      </c>
      <c r="F36">
        <v>4</v>
      </c>
      <c r="G36">
        <v>12</v>
      </c>
      <c r="H36">
        <v>29</v>
      </c>
      <c r="I36">
        <v>206</v>
      </c>
      <c r="J36">
        <v>517</v>
      </c>
      <c r="K36" t="str">
        <f t="shared" si="0"/>
        <v>aeth1229</v>
      </c>
      <c r="L36" t="s">
        <v>2908</v>
      </c>
      <c r="N36">
        <v>54</v>
      </c>
      <c r="O36" t="s">
        <v>5881</v>
      </c>
      <c r="P36" t="s">
        <v>2909</v>
      </c>
      <c r="Q36">
        <v>54</v>
      </c>
      <c r="R36" t="s">
        <v>5882</v>
      </c>
    </row>
    <row r="37" spans="1:18" x14ac:dyDescent="0.25">
      <c r="A37" t="s">
        <v>2910</v>
      </c>
      <c r="B37" t="s">
        <v>11</v>
      </c>
      <c r="C37" t="s">
        <v>831</v>
      </c>
      <c r="D37" t="s">
        <v>11081</v>
      </c>
      <c r="E37">
        <v>100</v>
      </c>
      <c r="F37">
        <v>5</v>
      </c>
      <c r="G37">
        <v>13</v>
      </c>
      <c r="H37">
        <v>11</v>
      </c>
      <c r="K37" t="str">
        <f t="shared" si="0"/>
        <v>aeth1311</v>
      </c>
      <c r="L37" t="s">
        <v>2911</v>
      </c>
      <c r="M37" t="s">
        <v>710</v>
      </c>
      <c r="N37">
        <v>55</v>
      </c>
      <c r="O37" t="s">
        <v>5882</v>
      </c>
    </row>
    <row r="38" spans="1:18" x14ac:dyDescent="0.25">
      <c r="A38" t="s">
        <v>2912</v>
      </c>
      <c r="B38" t="s">
        <v>11</v>
      </c>
      <c r="C38" t="s">
        <v>434</v>
      </c>
      <c r="E38">
        <v>1</v>
      </c>
      <c r="F38">
        <v>1</v>
      </c>
      <c r="G38">
        <v>37.1</v>
      </c>
      <c r="H38">
        <v>25.5</v>
      </c>
      <c r="I38">
        <v>675</v>
      </c>
      <c r="J38">
        <v>456</v>
      </c>
      <c r="K38" t="str">
        <f t="shared" si="0"/>
        <v>aeth371255</v>
      </c>
    </row>
    <row r="39" spans="1:18" x14ac:dyDescent="0.25">
      <c r="A39" t="s">
        <v>2913</v>
      </c>
      <c r="B39" t="s">
        <v>11</v>
      </c>
      <c r="C39" t="s">
        <v>434</v>
      </c>
      <c r="E39">
        <v>2</v>
      </c>
      <c r="F39">
        <v>2</v>
      </c>
      <c r="G39">
        <v>24.5</v>
      </c>
      <c r="H39">
        <v>19</v>
      </c>
      <c r="I39">
        <v>438</v>
      </c>
      <c r="J39">
        <v>332</v>
      </c>
      <c r="K39" t="str">
        <f t="shared" si="0"/>
        <v>aeth24519</v>
      </c>
    </row>
    <row r="40" spans="1:18" x14ac:dyDescent="0.25">
      <c r="A40" t="s">
        <v>2914</v>
      </c>
      <c r="B40" t="s">
        <v>11</v>
      </c>
      <c r="C40" t="s">
        <v>434</v>
      </c>
      <c r="E40">
        <v>3</v>
      </c>
      <c r="F40">
        <v>3</v>
      </c>
      <c r="G40">
        <v>12.8</v>
      </c>
      <c r="H40">
        <v>16.8</v>
      </c>
      <c r="I40">
        <v>216</v>
      </c>
      <c r="J40">
        <v>299</v>
      </c>
      <c r="K40" t="str">
        <f t="shared" si="0"/>
        <v>aeth128168</v>
      </c>
    </row>
    <row r="41" spans="1:18" x14ac:dyDescent="0.25">
      <c r="A41" t="s">
        <v>2915</v>
      </c>
      <c r="B41" t="s">
        <v>11</v>
      </c>
      <c r="C41" t="s">
        <v>434</v>
      </c>
      <c r="E41">
        <v>4</v>
      </c>
      <c r="F41">
        <v>4</v>
      </c>
      <c r="G41">
        <v>13.5</v>
      </c>
      <c r="H41">
        <v>36.1</v>
      </c>
      <c r="I41">
        <v>232</v>
      </c>
      <c r="J41">
        <v>649</v>
      </c>
      <c r="K41" t="str">
        <f t="shared" si="0"/>
        <v>aeth135361</v>
      </c>
    </row>
    <row r="42" spans="1:18" x14ac:dyDescent="0.25">
      <c r="A42" t="s">
        <v>2916</v>
      </c>
      <c r="B42" t="s">
        <v>11</v>
      </c>
      <c r="C42" t="s">
        <v>434</v>
      </c>
      <c r="E42">
        <v>5</v>
      </c>
      <c r="F42">
        <v>1</v>
      </c>
      <c r="G42">
        <v>21</v>
      </c>
      <c r="H42">
        <v>18</v>
      </c>
      <c r="K42" t="str">
        <f t="shared" si="0"/>
        <v>aeth2118</v>
      </c>
      <c r="L42" t="s">
        <v>2917</v>
      </c>
      <c r="M42" t="s">
        <v>1496</v>
      </c>
      <c r="N42">
        <v>58</v>
      </c>
      <c r="O42" t="s">
        <v>5881</v>
      </c>
      <c r="P42" t="s">
        <v>2918</v>
      </c>
      <c r="Q42">
        <v>58</v>
      </c>
      <c r="R42" t="s">
        <v>5882</v>
      </c>
    </row>
    <row r="43" spans="1:18" x14ac:dyDescent="0.25">
      <c r="A43" t="s">
        <v>2919</v>
      </c>
      <c r="B43" t="s">
        <v>11</v>
      </c>
      <c r="C43" t="s">
        <v>434</v>
      </c>
      <c r="E43">
        <v>6</v>
      </c>
      <c r="F43">
        <v>2</v>
      </c>
      <c r="G43">
        <v>7</v>
      </c>
      <c r="H43">
        <v>6</v>
      </c>
      <c r="K43" t="str">
        <f t="shared" si="0"/>
        <v>aeth76</v>
      </c>
      <c r="L43" t="s">
        <v>2921</v>
      </c>
      <c r="M43" t="s">
        <v>1496</v>
      </c>
      <c r="N43">
        <v>58</v>
      </c>
      <c r="O43" t="s">
        <v>5881</v>
      </c>
      <c r="P43" t="s">
        <v>2922</v>
      </c>
      <c r="Q43">
        <v>58</v>
      </c>
      <c r="R43" t="s">
        <v>5882</v>
      </c>
    </row>
    <row r="44" spans="1:18" x14ac:dyDescent="0.25">
      <c r="A44" t="s">
        <v>2923</v>
      </c>
      <c r="B44" t="s">
        <v>11</v>
      </c>
      <c r="C44" t="s">
        <v>434</v>
      </c>
      <c r="E44">
        <v>7</v>
      </c>
      <c r="F44">
        <v>3</v>
      </c>
      <c r="G44">
        <v>12.7</v>
      </c>
      <c r="H44">
        <v>37.299999999999997</v>
      </c>
      <c r="I44">
        <v>216</v>
      </c>
      <c r="J44">
        <v>671</v>
      </c>
      <c r="K44" t="str">
        <f t="shared" si="0"/>
        <v>aeth127373</v>
      </c>
      <c r="L44" t="s">
        <v>10625</v>
      </c>
      <c r="N44">
        <v>58</v>
      </c>
      <c r="O44" t="s">
        <v>5881</v>
      </c>
      <c r="P44" t="s">
        <v>2925</v>
      </c>
      <c r="Q44">
        <v>58</v>
      </c>
      <c r="R44" t="s">
        <v>5882</v>
      </c>
    </row>
    <row r="45" spans="1:18" x14ac:dyDescent="0.25">
      <c r="A45" t="s">
        <v>2926</v>
      </c>
      <c r="B45" t="s">
        <v>11</v>
      </c>
      <c r="C45" t="s">
        <v>434</v>
      </c>
      <c r="E45">
        <v>8</v>
      </c>
      <c r="F45">
        <v>4</v>
      </c>
      <c r="G45">
        <v>12.7</v>
      </c>
      <c r="H45">
        <v>37.299999999999997</v>
      </c>
      <c r="I45">
        <v>216</v>
      </c>
      <c r="J45">
        <v>671</v>
      </c>
      <c r="K45" t="str">
        <f t="shared" si="0"/>
        <v>aeth127373</v>
      </c>
      <c r="L45" t="s">
        <v>10626</v>
      </c>
      <c r="N45">
        <v>59</v>
      </c>
      <c r="O45" t="s">
        <v>5881</v>
      </c>
      <c r="P45" t="s">
        <v>1698</v>
      </c>
      <c r="Q45">
        <v>59</v>
      </c>
      <c r="R45" t="s">
        <v>5882</v>
      </c>
    </row>
    <row r="46" spans="1:18" x14ac:dyDescent="0.25">
      <c r="A46" t="s">
        <v>2928</v>
      </c>
      <c r="B46" t="s">
        <v>11</v>
      </c>
      <c r="C46" t="s">
        <v>434</v>
      </c>
      <c r="D46" t="s">
        <v>11081</v>
      </c>
      <c r="E46">
        <v>100</v>
      </c>
      <c r="F46">
        <v>5</v>
      </c>
      <c r="G46">
        <v>12.7</v>
      </c>
      <c r="H46">
        <v>37.299999999999997</v>
      </c>
      <c r="I46">
        <v>216</v>
      </c>
      <c r="J46">
        <v>671</v>
      </c>
      <c r="K46" t="str">
        <f t="shared" si="0"/>
        <v>aeth127373</v>
      </c>
      <c r="L46" t="s">
        <v>10627</v>
      </c>
      <c r="N46">
        <v>59</v>
      </c>
      <c r="O46" t="s">
        <v>5882</v>
      </c>
    </row>
    <row r="47" spans="1:18" x14ac:dyDescent="0.25">
      <c r="A47" t="s">
        <v>2929</v>
      </c>
      <c r="B47" t="s">
        <v>11</v>
      </c>
      <c r="C47" t="s">
        <v>733</v>
      </c>
      <c r="E47">
        <v>1</v>
      </c>
      <c r="F47">
        <v>1</v>
      </c>
      <c r="G47">
        <v>9</v>
      </c>
      <c r="H47">
        <v>11</v>
      </c>
      <c r="I47">
        <v>149</v>
      </c>
      <c r="J47">
        <v>185</v>
      </c>
      <c r="K47" t="str">
        <f t="shared" si="0"/>
        <v>aeth911</v>
      </c>
      <c r="L47" t="s">
        <v>2930</v>
      </c>
      <c r="N47">
        <v>59</v>
      </c>
      <c r="O47" t="s">
        <v>5882</v>
      </c>
    </row>
    <row r="48" spans="1:18" x14ac:dyDescent="0.25">
      <c r="A48" t="s">
        <v>2931</v>
      </c>
      <c r="B48" t="s">
        <v>11</v>
      </c>
      <c r="C48" t="s">
        <v>733</v>
      </c>
      <c r="E48">
        <v>2</v>
      </c>
      <c r="F48">
        <v>2</v>
      </c>
      <c r="G48">
        <v>9</v>
      </c>
      <c r="H48">
        <v>11</v>
      </c>
      <c r="I48">
        <v>149</v>
      </c>
      <c r="J48">
        <v>185</v>
      </c>
      <c r="K48" t="str">
        <f t="shared" si="0"/>
        <v>aeth911</v>
      </c>
      <c r="L48" t="s">
        <v>2932</v>
      </c>
      <c r="N48">
        <v>59</v>
      </c>
      <c r="O48" t="s">
        <v>5882</v>
      </c>
    </row>
    <row r="49" spans="1:18" x14ac:dyDescent="0.25">
      <c r="A49" t="s">
        <v>2933</v>
      </c>
      <c r="B49" t="s">
        <v>11</v>
      </c>
      <c r="C49" t="s">
        <v>733</v>
      </c>
      <c r="E49">
        <v>3</v>
      </c>
      <c r="F49">
        <v>3</v>
      </c>
      <c r="G49">
        <v>27</v>
      </c>
      <c r="H49">
        <v>10</v>
      </c>
      <c r="I49">
        <v>480</v>
      </c>
      <c r="J49">
        <v>170</v>
      </c>
      <c r="K49" t="str">
        <f t="shared" si="0"/>
        <v>aeth2710</v>
      </c>
      <c r="L49" t="s">
        <v>2934</v>
      </c>
      <c r="N49">
        <v>59</v>
      </c>
      <c r="O49" t="s">
        <v>5882</v>
      </c>
    </row>
    <row r="50" spans="1:18" x14ac:dyDescent="0.25">
      <c r="A50" t="s">
        <v>2935</v>
      </c>
      <c r="B50" t="s">
        <v>11</v>
      </c>
      <c r="C50" t="s">
        <v>733</v>
      </c>
      <c r="E50">
        <v>4</v>
      </c>
      <c r="F50">
        <v>4</v>
      </c>
      <c r="G50">
        <v>35</v>
      </c>
      <c r="H50">
        <v>24</v>
      </c>
      <c r="I50">
        <v>634</v>
      </c>
      <c r="J50">
        <v>427</v>
      </c>
      <c r="K50" t="str">
        <f t="shared" si="0"/>
        <v>aeth3524</v>
      </c>
      <c r="L50" t="s">
        <v>2936</v>
      </c>
      <c r="N50">
        <v>59</v>
      </c>
      <c r="O50" t="s">
        <v>5882</v>
      </c>
    </row>
    <row r="51" spans="1:18" x14ac:dyDescent="0.25">
      <c r="A51" t="s">
        <v>2937</v>
      </c>
      <c r="B51" t="s">
        <v>11</v>
      </c>
      <c r="C51" t="s">
        <v>733</v>
      </c>
      <c r="D51" t="s">
        <v>11081</v>
      </c>
      <c r="E51">
        <v>100</v>
      </c>
      <c r="F51">
        <v>5</v>
      </c>
      <c r="G51">
        <v>18</v>
      </c>
      <c r="H51">
        <v>31</v>
      </c>
      <c r="I51">
        <v>315</v>
      </c>
      <c r="J51">
        <v>557</v>
      </c>
      <c r="K51" t="str">
        <f t="shared" si="0"/>
        <v>aeth1831</v>
      </c>
      <c r="L51" t="s">
        <v>2938</v>
      </c>
      <c r="N51">
        <v>59</v>
      </c>
      <c r="O51" t="s">
        <v>5882</v>
      </c>
    </row>
    <row r="52" spans="1:18" x14ac:dyDescent="0.25">
      <c r="A52" t="s">
        <v>2939</v>
      </c>
      <c r="B52" t="s">
        <v>73</v>
      </c>
      <c r="C52" t="s">
        <v>603</v>
      </c>
      <c r="E52">
        <v>1</v>
      </c>
      <c r="F52">
        <v>1</v>
      </c>
      <c r="G52">
        <v>24.4</v>
      </c>
      <c r="H52">
        <v>30.6</v>
      </c>
      <c r="I52">
        <v>457</v>
      </c>
      <c r="J52">
        <v>580</v>
      </c>
      <c r="K52" t="str">
        <f t="shared" si="0"/>
        <v>aeth244306</v>
      </c>
    </row>
    <row r="53" spans="1:18" x14ac:dyDescent="0.25">
      <c r="A53" t="s">
        <v>2940</v>
      </c>
      <c r="B53" t="s">
        <v>73</v>
      </c>
      <c r="C53" t="s">
        <v>603</v>
      </c>
      <c r="E53">
        <v>2</v>
      </c>
      <c r="F53">
        <v>2</v>
      </c>
      <c r="G53">
        <v>11.7</v>
      </c>
      <c r="H53">
        <v>26.4</v>
      </c>
      <c r="I53">
        <v>210</v>
      </c>
      <c r="J53">
        <v>498</v>
      </c>
      <c r="K53" t="str">
        <f t="shared" si="0"/>
        <v>aeth117264</v>
      </c>
    </row>
    <row r="54" spans="1:18" x14ac:dyDescent="0.25">
      <c r="A54" t="s">
        <v>2941</v>
      </c>
      <c r="B54" t="s">
        <v>73</v>
      </c>
      <c r="C54" t="s">
        <v>603</v>
      </c>
      <c r="E54">
        <v>3</v>
      </c>
      <c r="F54">
        <v>3</v>
      </c>
      <c r="G54">
        <v>16</v>
      </c>
      <c r="H54">
        <v>15.8</v>
      </c>
      <c r="I54">
        <v>293</v>
      </c>
      <c r="J54">
        <v>290</v>
      </c>
      <c r="K54" t="str">
        <f t="shared" si="0"/>
        <v>aeth16158</v>
      </c>
    </row>
    <row r="55" spans="1:18" x14ac:dyDescent="0.25">
      <c r="A55" t="s">
        <v>2942</v>
      </c>
      <c r="B55" t="s">
        <v>73</v>
      </c>
      <c r="C55" t="s">
        <v>603</v>
      </c>
      <c r="E55">
        <v>4</v>
      </c>
      <c r="F55">
        <v>4</v>
      </c>
      <c r="G55">
        <v>25.5</v>
      </c>
      <c r="H55">
        <v>6.4</v>
      </c>
      <c r="I55">
        <v>484</v>
      </c>
      <c r="J55">
        <v>104</v>
      </c>
      <c r="K55" t="str">
        <f t="shared" si="0"/>
        <v>aeth25564</v>
      </c>
    </row>
    <row r="56" spans="1:18" x14ac:dyDescent="0.25">
      <c r="A56" t="s">
        <v>2943</v>
      </c>
      <c r="B56" t="s">
        <v>73</v>
      </c>
      <c r="C56" t="s">
        <v>603</v>
      </c>
      <c r="E56">
        <v>5</v>
      </c>
      <c r="F56">
        <v>1</v>
      </c>
      <c r="G56">
        <v>24.3</v>
      </c>
      <c r="H56">
        <v>6.8</v>
      </c>
      <c r="I56">
        <v>451</v>
      </c>
      <c r="J56">
        <v>114</v>
      </c>
      <c r="K56" t="str">
        <f t="shared" si="0"/>
        <v>aeth24368</v>
      </c>
      <c r="L56" t="s">
        <v>2944</v>
      </c>
      <c r="N56">
        <v>61</v>
      </c>
      <c r="O56" t="s">
        <v>5881</v>
      </c>
      <c r="P56" t="s">
        <v>2945</v>
      </c>
      <c r="Q56">
        <v>61</v>
      </c>
      <c r="R56" t="s">
        <v>5882</v>
      </c>
    </row>
    <row r="57" spans="1:18" x14ac:dyDescent="0.25">
      <c r="A57" t="s">
        <v>2946</v>
      </c>
      <c r="B57" t="s">
        <v>73</v>
      </c>
      <c r="C57" t="s">
        <v>603</v>
      </c>
      <c r="E57">
        <v>6</v>
      </c>
      <c r="F57">
        <v>2</v>
      </c>
      <c r="G57">
        <v>27.7</v>
      </c>
      <c r="H57">
        <v>28.7</v>
      </c>
      <c r="I57">
        <v>523</v>
      </c>
      <c r="J57">
        <v>541</v>
      </c>
      <c r="K57" t="str">
        <f t="shared" si="0"/>
        <v>aeth277287</v>
      </c>
      <c r="L57" t="s">
        <v>2947</v>
      </c>
      <c r="N57">
        <v>68</v>
      </c>
      <c r="O57" t="s">
        <v>5881</v>
      </c>
      <c r="P57" t="s">
        <v>2948</v>
      </c>
      <c r="Q57">
        <v>68</v>
      </c>
      <c r="R57" t="s">
        <v>5882</v>
      </c>
    </row>
    <row r="58" spans="1:18" x14ac:dyDescent="0.25">
      <c r="A58" t="s">
        <v>2924</v>
      </c>
      <c r="B58" t="s">
        <v>73</v>
      </c>
      <c r="C58" t="s">
        <v>603</v>
      </c>
      <c r="E58">
        <v>7</v>
      </c>
      <c r="F58">
        <v>3</v>
      </c>
      <c r="G58">
        <v>14.9</v>
      </c>
      <c r="H58">
        <v>36.6</v>
      </c>
      <c r="I58">
        <v>275</v>
      </c>
      <c r="J58">
        <v>698</v>
      </c>
      <c r="K58" t="str">
        <f t="shared" si="0"/>
        <v>aeth149366</v>
      </c>
      <c r="L58" t="s">
        <v>2949</v>
      </c>
      <c r="N58">
        <v>68</v>
      </c>
      <c r="O58" t="s">
        <v>5881</v>
      </c>
      <c r="P58" t="s">
        <v>2950</v>
      </c>
      <c r="Q58">
        <v>68</v>
      </c>
      <c r="R58" t="s">
        <v>5882</v>
      </c>
    </row>
    <row r="59" spans="1:18" x14ac:dyDescent="0.25">
      <c r="A59" t="s">
        <v>2951</v>
      </c>
      <c r="B59" t="s">
        <v>73</v>
      </c>
      <c r="C59" t="s">
        <v>603</v>
      </c>
      <c r="E59">
        <v>8</v>
      </c>
      <c r="F59">
        <v>4</v>
      </c>
      <c r="G59">
        <v>27.1</v>
      </c>
      <c r="H59">
        <v>36.5</v>
      </c>
      <c r="I59">
        <v>509</v>
      </c>
      <c r="J59">
        <v>693</v>
      </c>
      <c r="K59" t="str">
        <f t="shared" si="0"/>
        <v>aeth271365</v>
      </c>
      <c r="L59" t="s">
        <v>2952</v>
      </c>
      <c r="N59">
        <v>69</v>
      </c>
      <c r="O59" t="s">
        <v>5881</v>
      </c>
      <c r="P59" t="s">
        <v>2953</v>
      </c>
      <c r="Q59">
        <v>69</v>
      </c>
      <c r="R59" t="s">
        <v>5882</v>
      </c>
    </row>
    <row r="60" spans="1:18" x14ac:dyDescent="0.25">
      <c r="A60" t="s">
        <v>2954</v>
      </c>
      <c r="B60" t="s">
        <v>73</v>
      </c>
      <c r="C60" t="s">
        <v>603</v>
      </c>
      <c r="D60" t="s">
        <v>11081</v>
      </c>
      <c r="E60">
        <v>100</v>
      </c>
      <c r="F60">
        <v>5</v>
      </c>
      <c r="G60">
        <v>26.7</v>
      </c>
      <c r="H60">
        <v>36.200000000000003</v>
      </c>
      <c r="I60">
        <v>499</v>
      </c>
      <c r="J60">
        <v>689</v>
      </c>
      <c r="K60" t="str">
        <f t="shared" si="0"/>
        <v>aeth267362</v>
      </c>
      <c r="L60" t="s">
        <v>2955</v>
      </c>
      <c r="N60">
        <v>69</v>
      </c>
      <c r="O60" t="s">
        <v>5882</v>
      </c>
    </row>
    <row r="61" spans="1:18" x14ac:dyDescent="0.25">
      <c r="A61" t="s">
        <v>2956</v>
      </c>
      <c r="B61" t="s">
        <v>73</v>
      </c>
      <c r="C61" t="s">
        <v>1734</v>
      </c>
      <c r="E61">
        <v>1</v>
      </c>
      <c r="F61">
        <v>1</v>
      </c>
      <c r="G61">
        <v>36.299999999999997</v>
      </c>
      <c r="H61">
        <v>17.2</v>
      </c>
      <c r="I61">
        <v>685</v>
      </c>
      <c r="J61">
        <v>309</v>
      </c>
      <c r="K61" t="str">
        <f t="shared" si="0"/>
        <v>aeth363172</v>
      </c>
    </row>
    <row r="62" spans="1:18" x14ac:dyDescent="0.25">
      <c r="A62" t="s">
        <v>2957</v>
      </c>
      <c r="B62" t="s">
        <v>73</v>
      </c>
      <c r="C62" t="s">
        <v>1734</v>
      </c>
      <c r="E62">
        <v>2</v>
      </c>
      <c r="F62">
        <v>2</v>
      </c>
      <c r="G62">
        <v>27.9</v>
      </c>
      <c r="H62">
        <v>21.6</v>
      </c>
      <c r="I62">
        <v>516</v>
      </c>
      <c r="J62">
        <v>390</v>
      </c>
      <c r="K62" t="str">
        <f t="shared" si="0"/>
        <v>aeth279216</v>
      </c>
    </row>
    <row r="63" spans="1:18" x14ac:dyDescent="0.25">
      <c r="A63" t="s">
        <v>2958</v>
      </c>
      <c r="B63" t="s">
        <v>73</v>
      </c>
      <c r="C63" t="s">
        <v>1734</v>
      </c>
      <c r="E63">
        <v>3</v>
      </c>
      <c r="F63">
        <v>3</v>
      </c>
      <c r="G63">
        <v>24.5</v>
      </c>
      <c r="H63">
        <v>11.4</v>
      </c>
      <c r="I63">
        <v>458</v>
      </c>
      <c r="J63">
        <v>195</v>
      </c>
      <c r="K63" t="str">
        <f t="shared" si="0"/>
        <v>aeth245114</v>
      </c>
    </row>
    <row r="64" spans="1:18" x14ac:dyDescent="0.25">
      <c r="A64" t="s">
        <v>2959</v>
      </c>
      <c r="B64" t="s">
        <v>73</v>
      </c>
      <c r="C64" t="s">
        <v>1734</v>
      </c>
      <c r="E64">
        <v>4</v>
      </c>
      <c r="F64">
        <v>4</v>
      </c>
      <c r="G64">
        <v>11.7</v>
      </c>
      <c r="H64">
        <v>16.399999999999999</v>
      </c>
      <c r="I64">
        <v>209</v>
      </c>
      <c r="J64">
        <v>305</v>
      </c>
      <c r="K64" t="str">
        <f t="shared" si="0"/>
        <v>aeth117164</v>
      </c>
    </row>
    <row r="65" spans="1:18" x14ac:dyDescent="0.25">
      <c r="A65" t="s">
        <v>2960</v>
      </c>
      <c r="B65" t="s">
        <v>73</v>
      </c>
      <c r="C65" t="s">
        <v>1734</v>
      </c>
      <c r="E65">
        <v>5</v>
      </c>
      <c r="F65">
        <v>1</v>
      </c>
      <c r="G65">
        <v>8.4</v>
      </c>
      <c r="H65">
        <v>11.2</v>
      </c>
      <c r="I65">
        <v>144</v>
      </c>
      <c r="J65">
        <v>201</v>
      </c>
      <c r="K65" t="str">
        <f t="shared" si="0"/>
        <v>aeth84112</v>
      </c>
      <c r="L65" t="s">
        <v>2961</v>
      </c>
      <c r="N65">
        <v>60</v>
      </c>
      <c r="O65" t="s">
        <v>5881</v>
      </c>
      <c r="P65" t="s">
        <v>2962</v>
      </c>
      <c r="Q65">
        <v>60</v>
      </c>
      <c r="R65" t="s">
        <v>5882</v>
      </c>
    </row>
    <row r="66" spans="1:18" x14ac:dyDescent="0.25">
      <c r="A66" t="s">
        <v>2963</v>
      </c>
      <c r="B66" t="s">
        <v>73</v>
      </c>
      <c r="C66" t="s">
        <v>1734</v>
      </c>
      <c r="E66">
        <v>6</v>
      </c>
      <c r="F66">
        <v>2</v>
      </c>
      <c r="G66">
        <v>9.1999999999999993</v>
      </c>
      <c r="H66">
        <v>10.9</v>
      </c>
      <c r="I66">
        <v>161</v>
      </c>
      <c r="J66">
        <v>195</v>
      </c>
      <c r="K66" t="str">
        <f t="shared" si="0"/>
        <v>aeth92109</v>
      </c>
      <c r="L66" t="s">
        <v>2964</v>
      </c>
      <c r="N66">
        <v>61</v>
      </c>
      <c r="O66" t="s">
        <v>5881</v>
      </c>
      <c r="P66" t="s">
        <v>2965</v>
      </c>
      <c r="Q66">
        <v>61</v>
      </c>
      <c r="R66" t="s">
        <v>5882</v>
      </c>
    </row>
    <row r="67" spans="1:18" x14ac:dyDescent="0.25">
      <c r="A67" t="s">
        <v>2966</v>
      </c>
      <c r="B67" t="s">
        <v>73</v>
      </c>
      <c r="C67" t="s">
        <v>1734</v>
      </c>
      <c r="E67">
        <v>7</v>
      </c>
      <c r="F67">
        <v>3</v>
      </c>
      <c r="G67">
        <v>30.1</v>
      </c>
      <c r="H67">
        <v>26.1</v>
      </c>
      <c r="I67">
        <v>568</v>
      </c>
      <c r="J67">
        <v>491</v>
      </c>
      <c r="K67" t="str">
        <f t="shared" ref="K67:K130" si="1">LEFT(A67,4)&amp;SUBSTITUTE(G67,".","")&amp;SUBSTITUTE(H67,".","")</f>
        <v>aeth301261</v>
      </c>
      <c r="L67" t="s">
        <v>2967</v>
      </c>
      <c r="N67">
        <v>67</v>
      </c>
      <c r="O67" t="s">
        <v>5881</v>
      </c>
      <c r="P67" t="s">
        <v>2968</v>
      </c>
      <c r="Q67">
        <v>67</v>
      </c>
      <c r="R67" t="s">
        <v>5882</v>
      </c>
    </row>
    <row r="68" spans="1:18" x14ac:dyDescent="0.25">
      <c r="A68" t="s">
        <v>2927</v>
      </c>
      <c r="B68" t="s">
        <v>73</v>
      </c>
      <c r="C68" t="s">
        <v>1734</v>
      </c>
      <c r="E68">
        <v>8</v>
      </c>
      <c r="F68">
        <v>4</v>
      </c>
      <c r="G68">
        <v>27</v>
      </c>
      <c r="H68">
        <v>21</v>
      </c>
      <c r="I68">
        <v>508</v>
      </c>
      <c r="J68">
        <v>390</v>
      </c>
      <c r="K68" t="str">
        <f t="shared" si="1"/>
        <v>aeth2721</v>
      </c>
      <c r="L68" t="s">
        <v>2969</v>
      </c>
      <c r="N68">
        <v>67</v>
      </c>
      <c r="O68" t="s">
        <v>5881</v>
      </c>
      <c r="P68" t="s">
        <v>2970</v>
      </c>
      <c r="Q68">
        <v>67</v>
      </c>
      <c r="R68" t="s">
        <v>5882</v>
      </c>
    </row>
    <row r="69" spans="1:18" x14ac:dyDescent="0.25">
      <c r="A69" t="s">
        <v>2971</v>
      </c>
      <c r="B69" t="s">
        <v>73</v>
      </c>
      <c r="C69" t="s">
        <v>1734</v>
      </c>
      <c r="D69" t="s">
        <v>11081</v>
      </c>
      <c r="E69">
        <v>100</v>
      </c>
      <c r="F69">
        <v>5</v>
      </c>
      <c r="G69">
        <v>31.6</v>
      </c>
      <c r="H69">
        <v>16.600000000000001</v>
      </c>
      <c r="I69">
        <v>599</v>
      </c>
      <c r="J69">
        <v>304</v>
      </c>
      <c r="K69" t="str">
        <f t="shared" si="1"/>
        <v>aeth316166</v>
      </c>
      <c r="L69" t="s">
        <v>2972</v>
      </c>
      <c r="N69">
        <v>67</v>
      </c>
      <c r="O69" t="s">
        <v>5882</v>
      </c>
    </row>
    <row r="70" spans="1:18" x14ac:dyDescent="0.25">
      <c r="A70" t="s">
        <v>2973</v>
      </c>
      <c r="B70" t="s">
        <v>73</v>
      </c>
      <c r="C70" t="s">
        <v>637</v>
      </c>
      <c r="E70">
        <v>1</v>
      </c>
      <c r="F70">
        <v>1</v>
      </c>
      <c r="G70">
        <v>13.8</v>
      </c>
      <c r="H70">
        <v>21.8</v>
      </c>
      <c r="I70">
        <v>249</v>
      </c>
      <c r="J70">
        <v>405</v>
      </c>
      <c r="K70" t="str">
        <f t="shared" si="1"/>
        <v>aeth138218</v>
      </c>
    </row>
    <row r="71" spans="1:18" x14ac:dyDescent="0.25">
      <c r="A71" t="s">
        <v>2974</v>
      </c>
      <c r="B71" t="s">
        <v>73</v>
      </c>
      <c r="C71" t="s">
        <v>637</v>
      </c>
      <c r="E71">
        <v>2</v>
      </c>
      <c r="F71">
        <v>2</v>
      </c>
      <c r="G71">
        <v>23.6</v>
      </c>
      <c r="H71">
        <v>37.200000000000003</v>
      </c>
      <c r="I71">
        <v>442</v>
      </c>
      <c r="J71">
        <v>704</v>
      </c>
      <c r="K71" t="str">
        <f t="shared" si="1"/>
        <v>aeth236372</v>
      </c>
    </row>
    <row r="72" spans="1:18" x14ac:dyDescent="0.25">
      <c r="A72" t="s">
        <v>2975</v>
      </c>
      <c r="B72" t="s">
        <v>73</v>
      </c>
      <c r="C72" t="s">
        <v>637</v>
      </c>
      <c r="E72">
        <v>3</v>
      </c>
      <c r="F72">
        <v>3</v>
      </c>
      <c r="G72">
        <v>35.1</v>
      </c>
      <c r="H72">
        <v>31.9</v>
      </c>
      <c r="I72">
        <v>661</v>
      </c>
      <c r="J72">
        <v>605</v>
      </c>
      <c r="K72" t="str">
        <f t="shared" si="1"/>
        <v>aeth351319</v>
      </c>
    </row>
    <row r="73" spans="1:18" x14ac:dyDescent="0.25">
      <c r="A73" t="s">
        <v>2976</v>
      </c>
      <c r="B73" t="s">
        <v>73</v>
      </c>
      <c r="C73" t="s">
        <v>637</v>
      </c>
      <c r="E73">
        <v>4</v>
      </c>
      <c r="F73">
        <v>4</v>
      </c>
      <c r="G73">
        <v>26.7</v>
      </c>
      <c r="H73">
        <v>22.8</v>
      </c>
      <c r="I73">
        <v>507</v>
      </c>
      <c r="J73">
        <v>427</v>
      </c>
      <c r="K73" t="str">
        <f t="shared" si="1"/>
        <v>aeth267228</v>
      </c>
    </row>
    <row r="74" spans="1:18" x14ac:dyDescent="0.25">
      <c r="A74" t="s">
        <v>2977</v>
      </c>
      <c r="B74" t="s">
        <v>73</v>
      </c>
      <c r="C74" t="s">
        <v>637</v>
      </c>
      <c r="E74">
        <v>5</v>
      </c>
      <c r="F74">
        <v>1</v>
      </c>
      <c r="G74">
        <v>10.6</v>
      </c>
      <c r="H74">
        <v>22.5</v>
      </c>
      <c r="I74">
        <v>191</v>
      </c>
      <c r="J74">
        <v>422</v>
      </c>
      <c r="K74" t="str">
        <f t="shared" si="1"/>
        <v>aeth106225</v>
      </c>
      <c r="L74" t="s">
        <v>2978</v>
      </c>
      <c r="N74">
        <v>69</v>
      </c>
      <c r="O74" t="s">
        <v>5881</v>
      </c>
      <c r="P74" t="s">
        <v>2979</v>
      </c>
      <c r="Q74">
        <v>69</v>
      </c>
      <c r="R74" t="s">
        <v>5882</v>
      </c>
    </row>
    <row r="75" spans="1:18" x14ac:dyDescent="0.25">
      <c r="A75" t="s">
        <v>2980</v>
      </c>
      <c r="B75" t="s">
        <v>73</v>
      </c>
      <c r="C75" t="s">
        <v>637</v>
      </c>
      <c r="E75">
        <v>6</v>
      </c>
      <c r="F75">
        <v>2</v>
      </c>
      <c r="G75">
        <v>8.1999999999999993</v>
      </c>
      <c r="H75">
        <v>20.5</v>
      </c>
      <c r="I75">
        <v>142</v>
      </c>
      <c r="J75">
        <v>382</v>
      </c>
      <c r="K75" t="str">
        <f t="shared" si="1"/>
        <v>aeth82205</v>
      </c>
      <c r="L75" t="s">
        <v>2981</v>
      </c>
      <c r="N75">
        <v>69</v>
      </c>
      <c r="O75" t="s">
        <v>5881</v>
      </c>
      <c r="P75" t="s">
        <v>2979</v>
      </c>
      <c r="Q75">
        <v>69</v>
      </c>
      <c r="R75" t="s">
        <v>5882</v>
      </c>
    </row>
    <row r="76" spans="1:18" x14ac:dyDescent="0.25">
      <c r="A76" t="s">
        <v>2982</v>
      </c>
      <c r="B76" t="s">
        <v>73</v>
      </c>
      <c r="C76" t="s">
        <v>637</v>
      </c>
      <c r="E76">
        <v>7</v>
      </c>
      <c r="F76">
        <v>3</v>
      </c>
      <c r="G76">
        <v>10.9</v>
      </c>
      <c r="H76">
        <v>21</v>
      </c>
      <c r="I76">
        <v>202</v>
      </c>
      <c r="J76">
        <v>393</v>
      </c>
      <c r="K76" t="str">
        <f t="shared" si="1"/>
        <v>aeth10921</v>
      </c>
      <c r="L76" t="s">
        <v>2983</v>
      </c>
      <c r="N76">
        <v>69</v>
      </c>
      <c r="O76" t="s">
        <v>5881</v>
      </c>
      <c r="P76" t="s">
        <v>2984</v>
      </c>
      <c r="Q76">
        <v>69</v>
      </c>
      <c r="R76" t="s">
        <v>5882</v>
      </c>
    </row>
    <row r="77" spans="1:18" x14ac:dyDescent="0.25">
      <c r="A77" t="s">
        <v>2985</v>
      </c>
      <c r="B77" t="s">
        <v>73</v>
      </c>
      <c r="C77" t="s">
        <v>637</v>
      </c>
      <c r="E77">
        <v>8</v>
      </c>
      <c r="F77">
        <v>4</v>
      </c>
      <c r="G77">
        <v>11.3</v>
      </c>
      <c r="H77">
        <v>20.6</v>
      </c>
      <c r="I77">
        <v>202</v>
      </c>
      <c r="J77">
        <v>385</v>
      </c>
      <c r="K77" t="str">
        <f t="shared" si="1"/>
        <v>aeth113206</v>
      </c>
      <c r="L77" t="s">
        <v>2986</v>
      </c>
      <c r="N77">
        <v>69</v>
      </c>
      <c r="O77" t="s">
        <v>5881</v>
      </c>
      <c r="P77" t="s">
        <v>2984</v>
      </c>
      <c r="Q77">
        <v>69</v>
      </c>
      <c r="R77" t="s">
        <v>5882</v>
      </c>
    </row>
    <row r="78" spans="1:18" x14ac:dyDescent="0.25">
      <c r="A78" t="s">
        <v>2920</v>
      </c>
      <c r="B78" t="s">
        <v>73</v>
      </c>
      <c r="C78" t="s">
        <v>637</v>
      </c>
      <c r="D78" t="s">
        <v>11081</v>
      </c>
      <c r="E78">
        <v>100</v>
      </c>
      <c r="F78">
        <v>5</v>
      </c>
      <c r="G78">
        <v>32.6</v>
      </c>
      <c r="H78">
        <v>22.9</v>
      </c>
      <c r="I78">
        <v>617</v>
      </c>
      <c r="J78">
        <v>427</v>
      </c>
      <c r="K78" t="str">
        <f t="shared" si="1"/>
        <v>aeth326229</v>
      </c>
      <c r="L78" t="s">
        <v>73</v>
      </c>
      <c r="N78">
        <v>70</v>
      </c>
      <c r="O78" t="s">
        <v>5882</v>
      </c>
    </row>
    <row r="79" spans="1:18" x14ac:dyDescent="0.25">
      <c r="A79" t="s">
        <v>2987</v>
      </c>
      <c r="B79" t="s">
        <v>73</v>
      </c>
      <c r="C79" t="s">
        <v>1889</v>
      </c>
      <c r="E79">
        <v>1</v>
      </c>
      <c r="F79">
        <v>1</v>
      </c>
      <c r="G79">
        <v>5.3</v>
      </c>
      <c r="H79">
        <v>26.1</v>
      </c>
      <c r="I79">
        <v>86</v>
      </c>
      <c r="J79">
        <v>490</v>
      </c>
      <c r="K79" t="str">
        <f t="shared" si="1"/>
        <v>aeth53261</v>
      </c>
    </row>
    <row r="80" spans="1:18" x14ac:dyDescent="0.25">
      <c r="A80" t="s">
        <v>2988</v>
      </c>
      <c r="B80" t="s">
        <v>73</v>
      </c>
      <c r="C80" t="s">
        <v>1889</v>
      </c>
      <c r="E80">
        <v>2</v>
      </c>
      <c r="F80">
        <v>2</v>
      </c>
      <c r="G80">
        <v>35.299999999999997</v>
      </c>
      <c r="H80">
        <v>20.399999999999999</v>
      </c>
      <c r="I80">
        <v>668</v>
      </c>
      <c r="J80">
        <v>381</v>
      </c>
      <c r="K80" t="str">
        <f t="shared" si="1"/>
        <v>aeth353204</v>
      </c>
    </row>
    <row r="81" spans="1:18" x14ac:dyDescent="0.25">
      <c r="A81" t="s">
        <v>2989</v>
      </c>
      <c r="B81" t="s">
        <v>73</v>
      </c>
      <c r="C81" t="s">
        <v>1889</v>
      </c>
      <c r="E81">
        <v>3</v>
      </c>
      <c r="F81">
        <v>3</v>
      </c>
      <c r="G81">
        <v>21.9</v>
      </c>
      <c r="H81">
        <v>9</v>
      </c>
      <c r="I81">
        <v>410</v>
      </c>
      <c r="J81">
        <v>156</v>
      </c>
      <c r="K81" t="str">
        <f t="shared" si="1"/>
        <v>aeth2199</v>
      </c>
    </row>
    <row r="82" spans="1:18" x14ac:dyDescent="0.25">
      <c r="A82" t="s">
        <v>2990</v>
      </c>
      <c r="B82" t="s">
        <v>73</v>
      </c>
      <c r="C82" t="s">
        <v>1889</v>
      </c>
      <c r="E82">
        <v>4</v>
      </c>
      <c r="F82">
        <v>4</v>
      </c>
      <c r="G82">
        <v>29.9</v>
      </c>
      <c r="H82">
        <v>37.5</v>
      </c>
      <c r="I82">
        <v>553</v>
      </c>
      <c r="J82">
        <v>734</v>
      </c>
      <c r="K82" t="str">
        <f t="shared" si="1"/>
        <v>aeth299375</v>
      </c>
    </row>
    <row r="83" spans="1:18" x14ac:dyDescent="0.25">
      <c r="A83" t="s">
        <v>2991</v>
      </c>
      <c r="B83" t="s">
        <v>73</v>
      </c>
      <c r="C83" t="s">
        <v>1889</v>
      </c>
      <c r="E83">
        <v>5</v>
      </c>
      <c r="F83">
        <v>1</v>
      </c>
      <c r="G83">
        <v>31.4</v>
      </c>
      <c r="H83">
        <v>37.1</v>
      </c>
      <c r="I83">
        <v>594</v>
      </c>
      <c r="J83">
        <v>701</v>
      </c>
      <c r="K83" t="str">
        <f t="shared" si="1"/>
        <v>aeth314371</v>
      </c>
      <c r="L83" t="s">
        <v>2992</v>
      </c>
      <c r="N83">
        <v>62</v>
      </c>
      <c r="O83" t="s">
        <v>5881</v>
      </c>
      <c r="P83" t="s">
        <v>2993</v>
      </c>
      <c r="Q83">
        <v>62</v>
      </c>
      <c r="R83" t="s">
        <v>5882</v>
      </c>
    </row>
    <row r="84" spans="1:18" x14ac:dyDescent="0.25">
      <c r="A84" t="s">
        <v>2994</v>
      </c>
      <c r="B84" t="s">
        <v>73</v>
      </c>
      <c r="C84" t="s">
        <v>1889</v>
      </c>
      <c r="E84">
        <v>6</v>
      </c>
      <c r="F84">
        <v>2</v>
      </c>
      <c r="G84">
        <v>23.4</v>
      </c>
      <c r="H84">
        <v>9.1</v>
      </c>
      <c r="I84">
        <v>438</v>
      </c>
      <c r="J84">
        <v>161</v>
      </c>
      <c r="K84" t="str">
        <f t="shared" si="1"/>
        <v>aeth23491</v>
      </c>
      <c r="L84" t="s">
        <v>2995</v>
      </c>
      <c r="N84">
        <v>62</v>
      </c>
      <c r="O84" t="s">
        <v>5881</v>
      </c>
      <c r="P84" t="s">
        <v>2996</v>
      </c>
      <c r="Q84">
        <v>62</v>
      </c>
      <c r="R84" t="s">
        <v>5882</v>
      </c>
    </row>
    <row r="85" spans="1:18" x14ac:dyDescent="0.25">
      <c r="A85" t="s">
        <v>2997</v>
      </c>
      <c r="B85" t="s">
        <v>73</v>
      </c>
      <c r="C85" t="s">
        <v>1889</v>
      </c>
      <c r="E85">
        <v>7</v>
      </c>
      <c r="F85">
        <v>3</v>
      </c>
      <c r="G85">
        <v>32.700000000000003</v>
      </c>
      <c r="H85">
        <v>18.5</v>
      </c>
      <c r="I85">
        <v>620</v>
      </c>
      <c r="J85">
        <v>339</v>
      </c>
      <c r="K85" t="str">
        <f t="shared" si="1"/>
        <v>aeth327185</v>
      </c>
      <c r="L85" t="s">
        <v>2998</v>
      </c>
      <c r="N85">
        <v>62</v>
      </c>
      <c r="O85" t="s">
        <v>5881</v>
      </c>
      <c r="P85" t="s">
        <v>2999</v>
      </c>
      <c r="Q85">
        <v>62</v>
      </c>
      <c r="R85" t="s">
        <v>5882</v>
      </c>
    </row>
    <row r="86" spans="1:18" x14ac:dyDescent="0.25">
      <c r="A86" t="s">
        <v>3000</v>
      </c>
      <c r="B86" t="s">
        <v>73</v>
      </c>
      <c r="C86" t="s">
        <v>1889</v>
      </c>
      <c r="E86">
        <v>8</v>
      </c>
      <c r="F86">
        <v>4</v>
      </c>
      <c r="G86">
        <v>20.2</v>
      </c>
      <c r="H86">
        <v>20.100000000000001</v>
      </c>
      <c r="I86">
        <v>376</v>
      </c>
      <c r="J86">
        <v>372</v>
      </c>
      <c r="K86" t="str">
        <f t="shared" si="1"/>
        <v>aeth202201</v>
      </c>
      <c r="L86" t="s">
        <v>3001</v>
      </c>
      <c r="N86">
        <v>63</v>
      </c>
      <c r="O86" t="s">
        <v>5881</v>
      </c>
      <c r="P86" t="s">
        <v>3002</v>
      </c>
      <c r="Q86">
        <v>63</v>
      </c>
      <c r="R86" t="s">
        <v>5882</v>
      </c>
    </row>
    <row r="87" spans="1:18" x14ac:dyDescent="0.25">
      <c r="A87" t="s">
        <v>3003</v>
      </c>
      <c r="B87" t="s">
        <v>73</v>
      </c>
      <c r="C87" t="s">
        <v>1889</v>
      </c>
      <c r="D87" t="s">
        <v>11081</v>
      </c>
      <c r="E87">
        <v>100</v>
      </c>
      <c r="F87">
        <v>5</v>
      </c>
      <c r="G87">
        <v>6.2</v>
      </c>
      <c r="H87">
        <v>12.3</v>
      </c>
      <c r="I87">
        <v>101</v>
      </c>
      <c r="J87">
        <v>222</v>
      </c>
      <c r="K87" t="str">
        <f t="shared" si="1"/>
        <v>aeth62123</v>
      </c>
      <c r="L87" t="s">
        <v>3004</v>
      </c>
      <c r="N87">
        <v>63</v>
      </c>
      <c r="O87" t="s">
        <v>5882</v>
      </c>
    </row>
    <row r="88" spans="1:18" x14ac:dyDescent="0.25">
      <c r="A88" t="s">
        <v>3005</v>
      </c>
      <c r="B88" t="s">
        <v>73</v>
      </c>
      <c r="C88" t="s">
        <v>1972</v>
      </c>
      <c r="E88">
        <v>1</v>
      </c>
      <c r="F88">
        <v>1</v>
      </c>
      <c r="G88">
        <v>32.799999999999997</v>
      </c>
      <c r="H88">
        <v>30.2</v>
      </c>
      <c r="I88">
        <v>621</v>
      </c>
      <c r="J88">
        <v>565</v>
      </c>
      <c r="K88" t="str">
        <f t="shared" si="1"/>
        <v>aeth328302</v>
      </c>
    </row>
    <row r="89" spans="1:18" x14ac:dyDescent="0.25">
      <c r="A89" t="s">
        <v>3006</v>
      </c>
      <c r="B89" t="s">
        <v>73</v>
      </c>
      <c r="C89" t="s">
        <v>1972</v>
      </c>
      <c r="E89">
        <v>2</v>
      </c>
      <c r="F89">
        <v>2</v>
      </c>
      <c r="G89">
        <v>26.1</v>
      </c>
      <c r="H89">
        <v>11.2</v>
      </c>
      <c r="I89">
        <v>489</v>
      </c>
      <c r="J89">
        <v>200</v>
      </c>
      <c r="K89" t="str">
        <f t="shared" si="1"/>
        <v>aeth261112</v>
      </c>
    </row>
    <row r="90" spans="1:18" x14ac:dyDescent="0.25">
      <c r="A90" t="s">
        <v>3007</v>
      </c>
      <c r="B90" t="s">
        <v>73</v>
      </c>
      <c r="C90" t="s">
        <v>1972</v>
      </c>
      <c r="E90">
        <v>3</v>
      </c>
      <c r="F90">
        <v>3</v>
      </c>
      <c r="G90">
        <v>23.5</v>
      </c>
      <c r="H90">
        <v>20.399999999999999</v>
      </c>
      <c r="I90">
        <v>438</v>
      </c>
      <c r="J90">
        <v>386</v>
      </c>
      <c r="K90" t="str">
        <f t="shared" si="1"/>
        <v>aeth235204</v>
      </c>
    </row>
    <row r="91" spans="1:18" x14ac:dyDescent="0.25">
      <c r="A91" t="s">
        <v>3008</v>
      </c>
      <c r="B91" t="s">
        <v>73</v>
      </c>
      <c r="C91" t="s">
        <v>1972</v>
      </c>
      <c r="E91">
        <v>4</v>
      </c>
      <c r="F91">
        <v>4</v>
      </c>
      <c r="G91">
        <v>7.5</v>
      </c>
      <c r="H91">
        <v>34.6</v>
      </c>
      <c r="I91">
        <v>128</v>
      </c>
      <c r="J91">
        <v>656</v>
      </c>
      <c r="K91" t="str">
        <f t="shared" si="1"/>
        <v>aeth75346</v>
      </c>
    </row>
    <row r="92" spans="1:18" x14ac:dyDescent="0.25">
      <c r="A92" t="s">
        <v>3009</v>
      </c>
      <c r="B92" t="s">
        <v>73</v>
      </c>
      <c r="C92" t="s">
        <v>1972</v>
      </c>
      <c r="E92">
        <v>5</v>
      </c>
      <c r="F92">
        <v>1</v>
      </c>
      <c r="G92">
        <v>12.7</v>
      </c>
      <c r="H92">
        <v>34.4</v>
      </c>
      <c r="I92">
        <v>233</v>
      </c>
      <c r="J92">
        <v>655</v>
      </c>
      <c r="K92" t="str">
        <f t="shared" si="1"/>
        <v>aeth127344</v>
      </c>
      <c r="L92" t="s">
        <v>3010</v>
      </c>
      <c r="N92">
        <v>66</v>
      </c>
      <c r="O92" t="s">
        <v>5881</v>
      </c>
      <c r="P92" t="s">
        <v>3011</v>
      </c>
      <c r="Q92">
        <v>66</v>
      </c>
      <c r="R92" t="s">
        <v>5882</v>
      </c>
    </row>
    <row r="93" spans="1:18" x14ac:dyDescent="0.25">
      <c r="A93" t="s">
        <v>3012</v>
      </c>
      <c r="B93" t="s">
        <v>73</v>
      </c>
      <c r="C93" t="s">
        <v>1972</v>
      </c>
      <c r="E93">
        <v>6</v>
      </c>
      <c r="F93">
        <v>2</v>
      </c>
      <c r="G93">
        <v>23</v>
      </c>
      <c r="H93">
        <v>23.3</v>
      </c>
      <c r="I93">
        <v>432</v>
      </c>
      <c r="J93">
        <v>434</v>
      </c>
      <c r="K93" t="str">
        <f t="shared" si="1"/>
        <v>aeth23233</v>
      </c>
      <c r="L93" t="s">
        <v>3013</v>
      </c>
      <c r="N93">
        <v>66</v>
      </c>
      <c r="O93" t="s">
        <v>5881</v>
      </c>
      <c r="P93" t="s">
        <v>3014</v>
      </c>
      <c r="Q93">
        <v>66</v>
      </c>
      <c r="R93" t="s">
        <v>5882</v>
      </c>
    </row>
    <row r="94" spans="1:18" x14ac:dyDescent="0.25">
      <c r="A94" t="s">
        <v>3015</v>
      </c>
      <c r="B94" t="s">
        <v>73</v>
      </c>
      <c r="C94" t="s">
        <v>1972</v>
      </c>
      <c r="E94">
        <v>7</v>
      </c>
      <c r="F94">
        <v>3</v>
      </c>
      <c r="G94">
        <v>28.2</v>
      </c>
      <c r="H94">
        <v>14.8</v>
      </c>
      <c r="I94">
        <v>534</v>
      </c>
      <c r="J94">
        <v>272</v>
      </c>
      <c r="K94" t="str">
        <f t="shared" si="1"/>
        <v>aeth282148</v>
      </c>
      <c r="L94" t="s">
        <v>3016</v>
      </c>
      <c r="N94">
        <v>65</v>
      </c>
      <c r="O94" t="s">
        <v>5881</v>
      </c>
      <c r="P94" t="s">
        <v>3017</v>
      </c>
      <c r="Q94">
        <v>65</v>
      </c>
      <c r="R94" t="s">
        <v>5882</v>
      </c>
    </row>
    <row r="95" spans="1:18" x14ac:dyDescent="0.25">
      <c r="A95" t="s">
        <v>3018</v>
      </c>
      <c r="B95" t="s">
        <v>73</v>
      </c>
      <c r="C95" t="s">
        <v>1972</v>
      </c>
      <c r="E95">
        <v>8</v>
      </c>
      <c r="F95">
        <v>4</v>
      </c>
      <c r="G95">
        <v>32.9</v>
      </c>
      <c r="H95">
        <v>28.3</v>
      </c>
      <c r="I95">
        <v>625</v>
      </c>
      <c r="J95">
        <v>532</v>
      </c>
      <c r="K95" t="str">
        <f t="shared" si="1"/>
        <v>aeth329283</v>
      </c>
      <c r="L95" t="s">
        <v>3019</v>
      </c>
      <c r="N95">
        <v>65</v>
      </c>
      <c r="O95" t="s">
        <v>5881</v>
      </c>
      <c r="P95" t="s">
        <v>3020</v>
      </c>
      <c r="Q95">
        <v>65</v>
      </c>
      <c r="R95" t="s">
        <v>5882</v>
      </c>
    </row>
    <row r="96" spans="1:18" x14ac:dyDescent="0.25">
      <c r="A96" t="s">
        <v>3021</v>
      </c>
      <c r="B96" t="s">
        <v>73</v>
      </c>
      <c r="C96" t="s">
        <v>1972</v>
      </c>
      <c r="D96" t="s">
        <v>11081</v>
      </c>
      <c r="E96">
        <v>100</v>
      </c>
      <c r="F96">
        <v>5</v>
      </c>
      <c r="G96">
        <v>31.2</v>
      </c>
      <c r="H96">
        <v>12.1</v>
      </c>
      <c r="I96">
        <v>591</v>
      </c>
      <c r="J96">
        <v>218</v>
      </c>
      <c r="K96" t="str">
        <f t="shared" si="1"/>
        <v>aeth312121</v>
      </c>
      <c r="L96" t="s">
        <v>3022</v>
      </c>
      <c r="N96">
        <v>66</v>
      </c>
      <c r="O96" t="s">
        <v>5882</v>
      </c>
    </row>
    <row r="97" spans="1:18" x14ac:dyDescent="0.25">
      <c r="A97" t="s">
        <v>3023</v>
      </c>
      <c r="B97" t="s">
        <v>73</v>
      </c>
      <c r="C97" t="s">
        <v>799</v>
      </c>
      <c r="E97">
        <v>1</v>
      </c>
      <c r="F97">
        <v>1</v>
      </c>
      <c r="G97">
        <v>31.4</v>
      </c>
      <c r="H97">
        <v>29.5</v>
      </c>
      <c r="I97">
        <v>597</v>
      </c>
      <c r="J97">
        <v>559</v>
      </c>
      <c r="K97" t="str">
        <f t="shared" si="1"/>
        <v>aeth314295</v>
      </c>
    </row>
    <row r="98" spans="1:18" x14ac:dyDescent="0.25">
      <c r="A98" t="s">
        <v>3024</v>
      </c>
      <c r="B98" t="s">
        <v>73</v>
      </c>
      <c r="C98" t="s">
        <v>799</v>
      </c>
      <c r="E98">
        <v>2</v>
      </c>
      <c r="F98">
        <v>2</v>
      </c>
      <c r="G98">
        <v>24.7</v>
      </c>
      <c r="H98">
        <v>21.2</v>
      </c>
      <c r="I98">
        <v>465</v>
      </c>
      <c r="J98">
        <v>396</v>
      </c>
      <c r="K98" t="str">
        <f t="shared" si="1"/>
        <v>aeth247212</v>
      </c>
    </row>
    <row r="99" spans="1:18" x14ac:dyDescent="0.25">
      <c r="A99" t="s">
        <v>3025</v>
      </c>
      <c r="B99" t="s">
        <v>73</v>
      </c>
      <c r="C99" t="s">
        <v>799</v>
      </c>
      <c r="E99">
        <v>3</v>
      </c>
      <c r="F99">
        <v>3</v>
      </c>
      <c r="G99">
        <v>30.6</v>
      </c>
      <c r="H99">
        <v>37.9</v>
      </c>
      <c r="I99">
        <v>573</v>
      </c>
      <c r="J99">
        <v>718</v>
      </c>
      <c r="K99" t="str">
        <f t="shared" si="1"/>
        <v>aeth306379</v>
      </c>
    </row>
    <row r="100" spans="1:18" x14ac:dyDescent="0.25">
      <c r="A100" t="s">
        <v>3026</v>
      </c>
      <c r="B100" t="s">
        <v>73</v>
      </c>
      <c r="C100" t="s">
        <v>799</v>
      </c>
      <c r="E100">
        <v>4</v>
      </c>
      <c r="F100">
        <v>4</v>
      </c>
      <c r="G100">
        <v>19.7</v>
      </c>
      <c r="H100">
        <v>32.700000000000003</v>
      </c>
      <c r="I100">
        <v>365</v>
      </c>
      <c r="J100">
        <v>620</v>
      </c>
      <c r="K100" t="str">
        <f t="shared" si="1"/>
        <v>aeth197327</v>
      </c>
    </row>
    <row r="101" spans="1:18" x14ac:dyDescent="0.25">
      <c r="A101" t="s">
        <v>3027</v>
      </c>
      <c r="B101" t="s">
        <v>73</v>
      </c>
      <c r="C101" t="s">
        <v>799</v>
      </c>
      <c r="E101">
        <v>5</v>
      </c>
      <c r="F101">
        <v>1</v>
      </c>
      <c r="G101">
        <v>30.1</v>
      </c>
      <c r="H101">
        <v>18.899999999999999</v>
      </c>
      <c r="I101">
        <v>568</v>
      </c>
      <c r="J101">
        <v>352</v>
      </c>
      <c r="K101" t="str">
        <f t="shared" si="1"/>
        <v>aeth301189</v>
      </c>
      <c r="L101" t="s">
        <v>3028</v>
      </c>
      <c r="N101">
        <v>64</v>
      </c>
      <c r="O101" t="s">
        <v>5881</v>
      </c>
      <c r="P101" t="s">
        <v>3029</v>
      </c>
      <c r="Q101">
        <v>64</v>
      </c>
      <c r="R101" t="s">
        <v>5882</v>
      </c>
    </row>
    <row r="102" spans="1:18" x14ac:dyDescent="0.25">
      <c r="A102" t="s">
        <v>3030</v>
      </c>
      <c r="B102" t="s">
        <v>73</v>
      </c>
      <c r="C102" t="s">
        <v>799</v>
      </c>
      <c r="E102">
        <v>6</v>
      </c>
      <c r="F102">
        <v>2</v>
      </c>
      <c r="G102">
        <v>30.7</v>
      </c>
      <c r="H102">
        <v>18</v>
      </c>
      <c r="I102">
        <v>580</v>
      </c>
      <c r="J102">
        <v>333</v>
      </c>
      <c r="K102" t="str">
        <f t="shared" si="1"/>
        <v>aeth30718</v>
      </c>
      <c r="L102" t="s">
        <v>3031</v>
      </c>
      <c r="N102">
        <v>64</v>
      </c>
      <c r="O102" t="s">
        <v>5881</v>
      </c>
      <c r="P102" t="s">
        <v>3029</v>
      </c>
      <c r="Q102">
        <v>64</v>
      </c>
      <c r="R102" t="s">
        <v>5882</v>
      </c>
    </row>
    <row r="103" spans="1:18" x14ac:dyDescent="0.25">
      <c r="A103" t="s">
        <v>3032</v>
      </c>
      <c r="B103" t="s">
        <v>73</v>
      </c>
      <c r="C103" t="s">
        <v>799</v>
      </c>
      <c r="E103">
        <v>7</v>
      </c>
      <c r="F103">
        <v>3</v>
      </c>
      <c r="G103">
        <v>30.5</v>
      </c>
      <c r="H103">
        <v>17.7</v>
      </c>
      <c r="I103">
        <v>575</v>
      </c>
      <c r="J103">
        <v>329</v>
      </c>
      <c r="K103" t="str">
        <f t="shared" si="1"/>
        <v>aeth305177</v>
      </c>
      <c r="L103" t="s">
        <v>3033</v>
      </c>
      <c r="N103">
        <v>64</v>
      </c>
      <c r="O103" t="s">
        <v>5881</v>
      </c>
      <c r="P103" t="s">
        <v>3034</v>
      </c>
      <c r="Q103">
        <v>64</v>
      </c>
      <c r="R103" t="s">
        <v>5882</v>
      </c>
    </row>
    <row r="104" spans="1:18" x14ac:dyDescent="0.25">
      <c r="A104" t="s">
        <v>3035</v>
      </c>
      <c r="B104" t="s">
        <v>73</v>
      </c>
      <c r="C104" t="s">
        <v>799</v>
      </c>
      <c r="E104">
        <v>8</v>
      </c>
      <c r="F104">
        <v>4</v>
      </c>
      <c r="G104">
        <v>29.9</v>
      </c>
      <c r="H104">
        <v>15.6</v>
      </c>
      <c r="I104">
        <v>565</v>
      </c>
      <c r="J104">
        <v>285</v>
      </c>
      <c r="K104" t="str">
        <f t="shared" si="1"/>
        <v>aeth299156</v>
      </c>
      <c r="L104" t="s">
        <v>3036</v>
      </c>
      <c r="N104">
        <v>64</v>
      </c>
      <c r="O104" t="s">
        <v>5881</v>
      </c>
      <c r="P104" t="s">
        <v>3034</v>
      </c>
      <c r="Q104">
        <v>64</v>
      </c>
      <c r="R104" t="s">
        <v>5882</v>
      </c>
    </row>
    <row r="105" spans="1:18" x14ac:dyDescent="0.25">
      <c r="A105" t="s">
        <v>3037</v>
      </c>
      <c r="B105" t="s">
        <v>73</v>
      </c>
      <c r="C105" t="s">
        <v>799</v>
      </c>
      <c r="D105" t="s">
        <v>11081</v>
      </c>
      <c r="E105">
        <v>100</v>
      </c>
      <c r="F105">
        <v>5</v>
      </c>
      <c r="G105">
        <v>31.2</v>
      </c>
      <c r="H105">
        <v>28.9</v>
      </c>
      <c r="I105">
        <v>589</v>
      </c>
      <c r="J105">
        <v>546</v>
      </c>
      <c r="K105" t="str">
        <f t="shared" si="1"/>
        <v>aeth312289</v>
      </c>
      <c r="L105" t="s">
        <v>3038</v>
      </c>
      <c r="N105">
        <v>64</v>
      </c>
      <c r="O105" t="s">
        <v>5882</v>
      </c>
    </row>
    <row r="106" spans="1:18" x14ac:dyDescent="0.25">
      <c r="A106" t="s">
        <v>3039</v>
      </c>
      <c r="B106" t="s">
        <v>102</v>
      </c>
      <c r="C106" t="s">
        <v>562</v>
      </c>
      <c r="E106">
        <v>1</v>
      </c>
      <c r="F106">
        <v>1</v>
      </c>
      <c r="G106">
        <v>9</v>
      </c>
      <c r="H106">
        <v>17.5</v>
      </c>
      <c r="I106">
        <v>167</v>
      </c>
      <c r="J106">
        <v>332</v>
      </c>
      <c r="K106" t="str">
        <f t="shared" si="1"/>
        <v>aeth9175</v>
      </c>
    </row>
    <row r="107" spans="1:18" x14ac:dyDescent="0.25">
      <c r="A107" t="s">
        <v>3040</v>
      </c>
      <c r="B107" t="s">
        <v>102</v>
      </c>
      <c r="C107" t="s">
        <v>562</v>
      </c>
      <c r="E107">
        <v>2</v>
      </c>
      <c r="F107">
        <v>2</v>
      </c>
      <c r="G107">
        <v>18.399999999999999</v>
      </c>
      <c r="H107">
        <v>19.399999999999999</v>
      </c>
      <c r="I107">
        <v>343</v>
      </c>
      <c r="J107">
        <v>343</v>
      </c>
      <c r="K107" t="str">
        <f t="shared" si="1"/>
        <v>aeth184194</v>
      </c>
    </row>
    <row r="108" spans="1:18" x14ac:dyDescent="0.25">
      <c r="A108" t="s">
        <v>3041</v>
      </c>
      <c r="B108" t="s">
        <v>102</v>
      </c>
      <c r="C108" t="s">
        <v>562</v>
      </c>
      <c r="E108">
        <v>3</v>
      </c>
      <c r="F108">
        <v>3</v>
      </c>
      <c r="G108">
        <v>33.700000000000003</v>
      </c>
      <c r="H108">
        <v>16.8</v>
      </c>
      <c r="I108">
        <v>658</v>
      </c>
      <c r="J108">
        <v>313</v>
      </c>
      <c r="K108" t="str">
        <f t="shared" si="1"/>
        <v>aeth337168</v>
      </c>
    </row>
    <row r="109" spans="1:18" x14ac:dyDescent="0.25">
      <c r="A109" t="s">
        <v>3042</v>
      </c>
      <c r="B109" t="s">
        <v>102</v>
      </c>
      <c r="C109" t="s">
        <v>562</v>
      </c>
      <c r="E109">
        <v>4</v>
      </c>
      <c r="F109">
        <v>4</v>
      </c>
      <c r="G109">
        <v>32.5</v>
      </c>
      <c r="H109">
        <v>28.5</v>
      </c>
      <c r="I109">
        <v>616</v>
      </c>
      <c r="J109">
        <v>533</v>
      </c>
      <c r="K109" t="str">
        <f t="shared" si="1"/>
        <v>aeth325285</v>
      </c>
    </row>
    <row r="110" spans="1:18" x14ac:dyDescent="0.25">
      <c r="A110" t="s">
        <v>3043</v>
      </c>
      <c r="B110" t="s">
        <v>102</v>
      </c>
      <c r="C110" t="s">
        <v>562</v>
      </c>
      <c r="E110">
        <v>5</v>
      </c>
      <c r="F110">
        <v>1</v>
      </c>
      <c r="G110">
        <v>7.4</v>
      </c>
      <c r="H110">
        <v>14.4</v>
      </c>
      <c r="I110">
        <v>125</v>
      </c>
      <c r="J110">
        <v>261</v>
      </c>
      <c r="K110" t="str">
        <f t="shared" si="1"/>
        <v>aeth74144</v>
      </c>
      <c r="L110" t="s">
        <v>3044</v>
      </c>
      <c r="N110">
        <v>70</v>
      </c>
      <c r="O110" t="s">
        <v>5881</v>
      </c>
      <c r="P110" t="s">
        <v>3045</v>
      </c>
      <c r="Q110">
        <v>72</v>
      </c>
      <c r="R110" t="s">
        <v>5882</v>
      </c>
    </row>
    <row r="111" spans="1:18" x14ac:dyDescent="0.25">
      <c r="A111" t="s">
        <v>3046</v>
      </c>
      <c r="B111" t="s">
        <v>102</v>
      </c>
      <c r="C111" t="s">
        <v>562</v>
      </c>
      <c r="E111">
        <v>6</v>
      </c>
      <c r="F111">
        <v>2</v>
      </c>
      <c r="G111">
        <v>8</v>
      </c>
      <c r="H111">
        <v>17</v>
      </c>
      <c r="I111">
        <v>138</v>
      </c>
      <c r="J111">
        <v>312</v>
      </c>
      <c r="K111" t="str">
        <f t="shared" si="1"/>
        <v>aeth817</v>
      </c>
      <c r="L111" t="s">
        <v>3047</v>
      </c>
      <c r="N111">
        <v>70</v>
      </c>
      <c r="O111" t="s">
        <v>5881</v>
      </c>
      <c r="P111" t="s">
        <v>3045</v>
      </c>
      <c r="Q111">
        <v>72</v>
      </c>
      <c r="R111" t="s">
        <v>5882</v>
      </c>
    </row>
    <row r="112" spans="1:18" x14ac:dyDescent="0.25">
      <c r="A112" t="s">
        <v>3048</v>
      </c>
      <c r="B112" t="s">
        <v>102</v>
      </c>
      <c r="C112" t="s">
        <v>562</v>
      </c>
      <c r="E112">
        <v>7</v>
      </c>
      <c r="F112">
        <v>3</v>
      </c>
      <c r="G112">
        <v>6.1</v>
      </c>
      <c r="H112">
        <v>15.4</v>
      </c>
      <c r="I112">
        <v>101</v>
      </c>
      <c r="J112">
        <v>286</v>
      </c>
      <c r="K112" t="str">
        <f t="shared" si="1"/>
        <v>aeth61154</v>
      </c>
      <c r="L112" t="s">
        <v>3049</v>
      </c>
      <c r="N112">
        <v>70</v>
      </c>
      <c r="O112" t="s">
        <v>5881</v>
      </c>
      <c r="P112" t="s">
        <v>3045</v>
      </c>
      <c r="Q112">
        <v>72</v>
      </c>
      <c r="R112" t="s">
        <v>5882</v>
      </c>
    </row>
    <row r="113" spans="1:18" x14ac:dyDescent="0.25">
      <c r="A113" t="s">
        <v>3050</v>
      </c>
      <c r="B113" t="s">
        <v>102</v>
      </c>
      <c r="C113" t="s">
        <v>562</v>
      </c>
      <c r="E113">
        <v>8</v>
      </c>
      <c r="F113">
        <v>4</v>
      </c>
      <c r="G113">
        <v>12</v>
      </c>
      <c r="H113">
        <v>16.399999999999999</v>
      </c>
      <c r="K113" t="str">
        <f t="shared" si="1"/>
        <v>aeth12164</v>
      </c>
      <c r="L113" t="s">
        <v>3051</v>
      </c>
      <c r="M113" t="s">
        <v>3463</v>
      </c>
      <c r="N113">
        <v>70</v>
      </c>
      <c r="O113" t="s">
        <v>5881</v>
      </c>
      <c r="P113" t="s">
        <v>3052</v>
      </c>
      <c r="Q113">
        <v>71</v>
      </c>
      <c r="R113" t="s">
        <v>5882</v>
      </c>
    </row>
    <row r="114" spans="1:18" x14ac:dyDescent="0.25">
      <c r="A114" t="s">
        <v>3053</v>
      </c>
      <c r="B114" t="s">
        <v>102</v>
      </c>
      <c r="C114" t="s">
        <v>562</v>
      </c>
      <c r="D114" t="s">
        <v>11081</v>
      </c>
      <c r="E114">
        <v>100</v>
      </c>
      <c r="F114">
        <v>5</v>
      </c>
      <c r="G114">
        <v>8.5</v>
      </c>
      <c r="H114">
        <v>9.6999999999999993</v>
      </c>
      <c r="K114" t="str">
        <f t="shared" si="1"/>
        <v>aeth8597</v>
      </c>
      <c r="L114" t="s">
        <v>3045</v>
      </c>
      <c r="M114" t="s">
        <v>3463</v>
      </c>
      <c r="N114">
        <v>72</v>
      </c>
      <c r="O114" t="s">
        <v>5882</v>
      </c>
    </row>
    <row r="115" spans="1:18" x14ac:dyDescent="0.25">
      <c r="A115" t="s">
        <v>3054</v>
      </c>
      <c r="B115" t="s">
        <v>102</v>
      </c>
      <c r="C115" t="s">
        <v>988</v>
      </c>
      <c r="E115">
        <v>1</v>
      </c>
      <c r="F115">
        <v>1</v>
      </c>
      <c r="G115">
        <v>24.6</v>
      </c>
      <c r="H115">
        <v>34.9</v>
      </c>
      <c r="I115">
        <v>459</v>
      </c>
      <c r="J115">
        <v>666</v>
      </c>
      <c r="K115" t="str">
        <f t="shared" si="1"/>
        <v>aeth246349</v>
      </c>
    </row>
    <row r="116" spans="1:18" x14ac:dyDescent="0.25">
      <c r="A116" t="s">
        <v>3055</v>
      </c>
      <c r="B116" t="s">
        <v>102</v>
      </c>
      <c r="C116" t="s">
        <v>988</v>
      </c>
      <c r="E116">
        <v>2</v>
      </c>
      <c r="F116">
        <v>2</v>
      </c>
      <c r="G116">
        <v>14.6</v>
      </c>
      <c r="H116">
        <v>16.7</v>
      </c>
      <c r="I116">
        <v>267</v>
      </c>
      <c r="J116">
        <v>306</v>
      </c>
      <c r="K116" t="str">
        <f t="shared" si="1"/>
        <v>aeth146167</v>
      </c>
    </row>
    <row r="117" spans="1:18" x14ac:dyDescent="0.25">
      <c r="A117" t="s">
        <v>3056</v>
      </c>
      <c r="B117" t="s">
        <v>102</v>
      </c>
      <c r="C117" t="s">
        <v>988</v>
      </c>
      <c r="E117">
        <v>3</v>
      </c>
      <c r="F117">
        <v>3</v>
      </c>
      <c r="G117">
        <v>28.3</v>
      </c>
      <c r="H117">
        <v>32.200000000000003</v>
      </c>
      <c r="I117">
        <v>536</v>
      </c>
      <c r="J117">
        <v>607</v>
      </c>
      <c r="K117" t="str">
        <f t="shared" si="1"/>
        <v>aeth283322</v>
      </c>
    </row>
    <row r="118" spans="1:18" x14ac:dyDescent="0.25">
      <c r="A118" t="s">
        <v>3057</v>
      </c>
      <c r="B118" t="s">
        <v>102</v>
      </c>
      <c r="C118" t="s">
        <v>988</v>
      </c>
      <c r="E118">
        <v>4</v>
      </c>
      <c r="F118">
        <v>4</v>
      </c>
      <c r="G118">
        <v>30.3</v>
      </c>
      <c r="H118">
        <v>10.4</v>
      </c>
      <c r="I118">
        <v>575</v>
      </c>
      <c r="J118">
        <v>190</v>
      </c>
      <c r="K118" t="str">
        <f t="shared" si="1"/>
        <v>aeth303104</v>
      </c>
    </row>
    <row r="119" spans="1:18" x14ac:dyDescent="0.25">
      <c r="A119" t="s">
        <v>3058</v>
      </c>
      <c r="B119" t="s">
        <v>102</v>
      </c>
      <c r="C119" t="s">
        <v>988</v>
      </c>
      <c r="E119">
        <v>5</v>
      </c>
      <c r="F119">
        <v>1</v>
      </c>
      <c r="G119">
        <v>11.3</v>
      </c>
      <c r="H119">
        <v>17.5</v>
      </c>
      <c r="I119">
        <v>201</v>
      </c>
      <c r="J119">
        <v>325</v>
      </c>
      <c r="K119" t="str">
        <f t="shared" si="1"/>
        <v>aeth113175</v>
      </c>
      <c r="L119" t="s">
        <v>3059</v>
      </c>
      <c r="N119">
        <v>70</v>
      </c>
      <c r="O119" t="s">
        <v>5881</v>
      </c>
      <c r="P119" t="s">
        <v>3060</v>
      </c>
      <c r="Q119">
        <v>77</v>
      </c>
      <c r="R119" t="s">
        <v>5882</v>
      </c>
    </row>
    <row r="120" spans="1:18" x14ac:dyDescent="0.25">
      <c r="A120" t="s">
        <v>3061</v>
      </c>
      <c r="B120" t="s">
        <v>102</v>
      </c>
      <c r="C120" t="s">
        <v>988</v>
      </c>
      <c r="E120">
        <v>6</v>
      </c>
      <c r="F120">
        <v>2</v>
      </c>
      <c r="G120">
        <v>11.8</v>
      </c>
      <c r="H120">
        <v>17.399999999999999</v>
      </c>
      <c r="I120">
        <v>211</v>
      </c>
      <c r="J120">
        <v>320</v>
      </c>
      <c r="K120" t="str">
        <f t="shared" si="1"/>
        <v>aeth118174</v>
      </c>
      <c r="L120" t="s">
        <v>3065</v>
      </c>
      <c r="N120">
        <v>70</v>
      </c>
      <c r="O120" t="s">
        <v>5881</v>
      </c>
      <c r="P120" t="s">
        <v>3066</v>
      </c>
      <c r="Q120">
        <v>76</v>
      </c>
      <c r="R120" t="s">
        <v>5882</v>
      </c>
    </row>
    <row r="121" spans="1:18" x14ac:dyDescent="0.25">
      <c r="A121" t="s">
        <v>3064</v>
      </c>
      <c r="B121" t="s">
        <v>102</v>
      </c>
      <c r="C121" t="s">
        <v>988</v>
      </c>
      <c r="E121">
        <v>7</v>
      </c>
      <c r="F121">
        <v>3</v>
      </c>
      <c r="G121">
        <v>12.9</v>
      </c>
      <c r="H121">
        <v>16.899999999999999</v>
      </c>
      <c r="I121">
        <v>233</v>
      </c>
      <c r="J121">
        <v>312</v>
      </c>
      <c r="K121" t="str">
        <f t="shared" si="1"/>
        <v>aeth129169</v>
      </c>
      <c r="L121" t="s">
        <v>3062</v>
      </c>
      <c r="N121">
        <v>70</v>
      </c>
      <c r="O121" t="s">
        <v>5881</v>
      </c>
      <c r="P121" t="s">
        <v>3063</v>
      </c>
      <c r="Q121">
        <v>76</v>
      </c>
      <c r="R121" t="s">
        <v>5882</v>
      </c>
    </row>
    <row r="122" spans="1:18" x14ac:dyDescent="0.25">
      <c r="A122" t="s">
        <v>3067</v>
      </c>
      <c r="B122" t="s">
        <v>102</v>
      </c>
      <c r="C122" t="s">
        <v>988</v>
      </c>
      <c r="E122">
        <v>8</v>
      </c>
      <c r="F122">
        <v>4</v>
      </c>
      <c r="G122">
        <v>26.8</v>
      </c>
      <c r="H122">
        <v>18.5</v>
      </c>
      <c r="I122">
        <v>505</v>
      </c>
      <c r="J122">
        <v>344</v>
      </c>
      <c r="K122" t="str">
        <f t="shared" si="1"/>
        <v>aeth268185</v>
      </c>
      <c r="L122" t="s">
        <v>3068</v>
      </c>
      <c r="N122">
        <v>70</v>
      </c>
      <c r="O122" t="s">
        <v>5881</v>
      </c>
      <c r="P122" t="s">
        <v>3069</v>
      </c>
      <c r="Q122">
        <v>70</v>
      </c>
      <c r="R122" t="s">
        <v>5882</v>
      </c>
    </row>
    <row r="123" spans="1:18" x14ac:dyDescent="0.25">
      <c r="A123" t="s">
        <v>3070</v>
      </c>
      <c r="B123" t="s">
        <v>102</v>
      </c>
      <c r="C123" t="s">
        <v>988</v>
      </c>
      <c r="D123" t="s">
        <v>11081</v>
      </c>
      <c r="E123">
        <v>100</v>
      </c>
      <c r="F123">
        <v>5</v>
      </c>
      <c r="G123">
        <v>15.8</v>
      </c>
      <c r="H123">
        <v>29.1</v>
      </c>
      <c r="I123">
        <v>290</v>
      </c>
      <c r="J123">
        <v>550</v>
      </c>
      <c r="K123" t="str">
        <f t="shared" si="1"/>
        <v>aeth158291</v>
      </c>
      <c r="L123" t="s">
        <v>3071</v>
      </c>
      <c r="N123">
        <v>77</v>
      </c>
      <c r="O123" t="s">
        <v>5882</v>
      </c>
    </row>
    <row r="124" spans="1:18" x14ac:dyDescent="0.25">
      <c r="A124" t="s">
        <v>3072</v>
      </c>
      <c r="B124" t="s">
        <v>102</v>
      </c>
      <c r="C124" t="s">
        <v>329</v>
      </c>
      <c r="E124">
        <v>1</v>
      </c>
      <c r="F124">
        <v>1</v>
      </c>
      <c r="G124">
        <v>21.2</v>
      </c>
      <c r="H124">
        <v>16.5</v>
      </c>
      <c r="I124">
        <v>396</v>
      </c>
      <c r="J124">
        <v>308</v>
      </c>
      <c r="K124" t="str">
        <f t="shared" si="1"/>
        <v>aeth212165</v>
      </c>
    </row>
    <row r="125" spans="1:18" x14ac:dyDescent="0.25">
      <c r="A125" t="s">
        <v>3073</v>
      </c>
      <c r="B125" t="s">
        <v>102</v>
      </c>
      <c r="C125" t="s">
        <v>329</v>
      </c>
      <c r="E125">
        <v>2</v>
      </c>
      <c r="F125">
        <v>2</v>
      </c>
      <c r="G125">
        <v>30.1</v>
      </c>
      <c r="H125">
        <v>6</v>
      </c>
      <c r="I125">
        <v>572</v>
      </c>
      <c r="J125">
        <v>103</v>
      </c>
      <c r="K125" t="str">
        <f t="shared" si="1"/>
        <v>aeth3016</v>
      </c>
    </row>
    <row r="126" spans="1:18" x14ac:dyDescent="0.25">
      <c r="A126" t="s">
        <v>3074</v>
      </c>
      <c r="B126" t="s">
        <v>102</v>
      </c>
      <c r="C126" t="s">
        <v>329</v>
      </c>
      <c r="E126">
        <v>3</v>
      </c>
      <c r="F126">
        <v>3</v>
      </c>
      <c r="G126">
        <v>21.8</v>
      </c>
      <c r="H126">
        <v>4.4000000000000004</v>
      </c>
      <c r="I126">
        <v>401</v>
      </c>
      <c r="J126">
        <v>69</v>
      </c>
      <c r="K126" t="str">
        <f t="shared" si="1"/>
        <v>aeth21844</v>
      </c>
    </row>
    <row r="127" spans="1:18" x14ac:dyDescent="0.25">
      <c r="A127" t="s">
        <v>3075</v>
      </c>
      <c r="B127" t="s">
        <v>102</v>
      </c>
      <c r="C127" t="s">
        <v>329</v>
      </c>
      <c r="E127">
        <v>4</v>
      </c>
      <c r="F127">
        <v>4</v>
      </c>
      <c r="G127">
        <v>16.8</v>
      </c>
      <c r="H127">
        <v>24.6</v>
      </c>
      <c r="I127">
        <v>312</v>
      </c>
      <c r="J127">
        <v>464</v>
      </c>
      <c r="K127" t="str">
        <f t="shared" si="1"/>
        <v>aeth168246</v>
      </c>
    </row>
    <row r="128" spans="1:18" x14ac:dyDescent="0.25">
      <c r="A128" t="s">
        <v>3076</v>
      </c>
      <c r="B128" t="s">
        <v>102</v>
      </c>
      <c r="C128" t="s">
        <v>329</v>
      </c>
      <c r="E128">
        <v>5</v>
      </c>
      <c r="F128">
        <v>1</v>
      </c>
      <c r="G128">
        <v>30.3</v>
      </c>
      <c r="H128">
        <v>8.3000000000000007</v>
      </c>
      <c r="I128">
        <v>573</v>
      </c>
      <c r="J128">
        <v>140</v>
      </c>
      <c r="K128" t="str">
        <f t="shared" si="1"/>
        <v>aeth30383</v>
      </c>
      <c r="L128" t="s">
        <v>3086</v>
      </c>
      <c r="N128">
        <v>70</v>
      </c>
      <c r="O128" t="s">
        <v>5881</v>
      </c>
      <c r="P128" t="s">
        <v>3087</v>
      </c>
      <c r="Q128">
        <v>73</v>
      </c>
      <c r="R128" t="s">
        <v>5882</v>
      </c>
    </row>
    <row r="129" spans="1:18" x14ac:dyDescent="0.25">
      <c r="A129" t="s">
        <v>3079</v>
      </c>
      <c r="B129" t="s">
        <v>102</v>
      </c>
      <c r="C129" t="s">
        <v>329</v>
      </c>
      <c r="E129">
        <v>6</v>
      </c>
      <c r="F129">
        <v>2</v>
      </c>
      <c r="G129">
        <v>15.7</v>
      </c>
      <c r="H129">
        <v>30.4</v>
      </c>
      <c r="I129">
        <v>288</v>
      </c>
      <c r="J129">
        <v>580</v>
      </c>
      <c r="K129" t="str">
        <f t="shared" si="1"/>
        <v>aeth157304</v>
      </c>
      <c r="L129" t="s">
        <v>3083</v>
      </c>
      <c r="N129">
        <v>70</v>
      </c>
      <c r="O129" t="s">
        <v>5881</v>
      </c>
      <c r="P129" t="s">
        <v>3084</v>
      </c>
      <c r="Q129">
        <v>72</v>
      </c>
      <c r="R129" t="s">
        <v>5882</v>
      </c>
    </row>
    <row r="130" spans="1:18" x14ac:dyDescent="0.25">
      <c r="A130" t="s">
        <v>3082</v>
      </c>
      <c r="B130" t="s">
        <v>102</v>
      </c>
      <c r="C130" t="s">
        <v>329</v>
      </c>
      <c r="E130">
        <v>7</v>
      </c>
      <c r="F130">
        <v>3</v>
      </c>
      <c r="G130">
        <v>9.1999999999999993</v>
      </c>
      <c r="H130">
        <v>17.100000000000001</v>
      </c>
      <c r="I130">
        <v>159</v>
      </c>
      <c r="J130">
        <v>314</v>
      </c>
      <c r="K130" t="str">
        <f t="shared" si="1"/>
        <v>aeth92171</v>
      </c>
      <c r="L130" t="s">
        <v>3080</v>
      </c>
      <c r="N130">
        <v>70</v>
      </c>
      <c r="O130" t="s">
        <v>5881</v>
      </c>
      <c r="P130" t="s">
        <v>3081</v>
      </c>
      <c r="Q130">
        <v>72</v>
      </c>
      <c r="R130" t="s">
        <v>5882</v>
      </c>
    </row>
    <row r="131" spans="1:18" x14ac:dyDescent="0.25">
      <c r="A131" t="s">
        <v>3085</v>
      </c>
      <c r="B131" t="s">
        <v>102</v>
      </c>
      <c r="C131" t="s">
        <v>329</v>
      </c>
      <c r="E131">
        <v>8</v>
      </c>
      <c r="F131">
        <v>4</v>
      </c>
      <c r="G131">
        <v>14.1</v>
      </c>
      <c r="H131">
        <v>32.6</v>
      </c>
      <c r="I131">
        <v>258</v>
      </c>
      <c r="J131">
        <v>615</v>
      </c>
      <c r="K131" t="str">
        <f t="shared" ref="K131:K181" si="2">LEFT(A131,4)&amp;SUBSTITUTE(G131,".","")&amp;SUBSTITUTE(H131,".","")</f>
        <v>aeth141326</v>
      </c>
      <c r="L131" t="s">
        <v>3077</v>
      </c>
      <c r="N131">
        <v>70</v>
      </c>
      <c r="O131" t="s">
        <v>5881</v>
      </c>
      <c r="P131" t="s">
        <v>3078</v>
      </c>
      <c r="Q131">
        <v>72</v>
      </c>
      <c r="R131" t="s">
        <v>5882</v>
      </c>
    </row>
    <row r="132" spans="1:18" x14ac:dyDescent="0.25">
      <c r="A132" t="s">
        <v>3088</v>
      </c>
      <c r="B132" t="s">
        <v>102</v>
      </c>
      <c r="C132" t="s">
        <v>329</v>
      </c>
      <c r="D132" t="s">
        <v>11081</v>
      </c>
      <c r="E132">
        <v>100</v>
      </c>
      <c r="F132">
        <v>5</v>
      </c>
      <c r="G132">
        <v>30.5</v>
      </c>
      <c r="H132">
        <v>7.6</v>
      </c>
      <c r="I132">
        <v>576</v>
      </c>
      <c r="J132">
        <v>128</v>
      </c>
      <c r="K132" t="str">
        <f t="shared" si="2"/>
        <v>aeth30576</v>
      </c>
      <c r="L132" t="s">
        <v>3089</v>
      </c>
      <c r="N132">
        <v>73</v>
      </c>
      <c r="O132" t="s">
        <v>5882</v>
      </c>
    </row>
    <row r="133" spans="1:18" x14ac:dyDescent="0.25">
      <c r="A133" t="s">
        <v>3090</v>
      </c>
      <c r="B133" t="s">
        <v>102</v>
      </c>
      <c r="C133" t="s">
        <v>976</v>
      </c>
      <c r="E133">
        <v>1</v>
      </c>
      <c r="F133">
        <v>1</v>
      </c>
      <c r="G133">
        <v>20.2</v>
      </c>
      <c r="H133">
        <v>21.1</v>
      </c>
      <c r="I133">
        <v>376</v>
      </c>
      <c r="J133">
        <v>394</v>
      </c>
      <c r="K133" t="str">
        <f t="shared" si="2"/>
        <v>aeth202211</v>
      </c>
    </row>
    <row r="134" spans="1:18" x14ac:dyDescent="0.25">
      <c r="A134" t="s">
        <v>3091</v>
      </c>
      <c r="B134" t="s">
        <v>102</v>
      </c>
      <c r="C134" t="s">
        <v>976</v>
      </c>
      <c r="E134">
        <v>2</v>
      </c>
      <c r="F134">
        <v>2</v>
      </c>
      <c r="G134">
        <v>33.9</v>
      </c>
      <c r="H134">
        <v>10.3</v>
      </c>
      <c r="I134">
        <v>643</v>
      </c>
      <c r="J134">
        <v>181</v>
      </c>
      <c r="K134" t="str">
        <f t="shared" si="2"/>
        <v>aeth339103</v>
      </c>
    </row>
    <row r="135" spans="1:18" x14ac:dyDescent="0.25">
      <c r="A135" t="s">
        <v>3092</v>
      </c>
      <c r="B135" t="s">
        <v>102</v>
      </c>
      <c r="C135" t="s">
        <v>976</v>
      </c>
      <c r="E135">
        <v>3</v>
      </c>
      <c r="F135">
        <v>3</v>
      </c>
      <c r="G135">
        <v>8.4</v>
      </c>
      <c r="H135">
        <v>33.200000000000003</v>
      </c>
      <c r="I135">
        <v>146</v>
      </c>
      <c r="J135">
        <v>631</v>
      </c>
      <c r="K135" t="str">
        <f t="shared" si="2"/>
        <v>aeth84332</v>
      </c>
    </row>
    <row r="136" spans="1:18" x14ac:dyDescent="0.25">
      <c r="A136" t="s">
        <v>3093</v>
      </c>
      <c r="B136" t="s">
        <v>102</v>
      </c>
      <c r="C136" t="s">
        <v>976</v>
      </c>
      <c r="E136">
        <v>4</v>
      </c>
      <c r="F136">
        <v>4</v>
      </c>
      <c r="G136">
        <v>34.4</v>
      </c>
      <c r="H136">
        <v>32.5</v>
      </c>
      <c r="I136">
        <v>654</v>
      </c>
      <c r="J136">
        <v>616</v>
      </c>
      <c r="K136" t="str">
        <f t="shared" si="2"/>
        <v>aeth344325</v>
      </c>
    </row>
    <row r="137" spans="1:18" x14ac:dyDescent="0.25">
      <c r="A137" t="s">
        <v>3094</v>
      </c>
      <c r="B137" t="s">
        <v>102</v>
      </c>
      <c r="C137" t="s">
        <v>976</v>
      </c>
      <c r="E137">
        <v>5</v>
      </c>
      <c r="F137">
        <v>1</v>
      </c>
      <c r="G137">
        <v>15.3</v>
      </c>
      <c r="H137">
        <v>29.5</v>
      </c>
      <c r="I137">
        <v>279</v>
      </c>
      <c r="J137">
        <v>562</v>
      </c>
      <c r="K137" t="str">
        <f t="shared" si="2"/>
        <v>aeth153295</v>
      </c>
      <c r="L137" t="s">
        <v>3095</v>
      </c>
      <c r="N137">
        <v>70</v>
      </c>
      <c r="O137" t="s">
        <v>5881</v>
      </c>
      <c r="P137" t="s">
        <v>3096</v>
      </c>
      <c r="Q137">
        <v>70</v>
      </c>
      <c r="R137" t="s">
        <v>5882</v>
      </c>
    </row>
    <row r="138" spans="1:18" x14ac:dyDescent="0.25">
      <c r="A138" t="s">
        <v>3099</v>
      </c>
      <c r="B138" t="s">
        <v>102</v>
      </c>
      <c r="C138" t="s">
        <v>976</v>
      </c>
      <c r="E138">
        <v>7</v>
      </c>
      <c r="F138">
        <v>3</v>
      </c>
      <c r="G138">
        <v>15.3</v>
      </c>
      <c r="H138">
        <v>28.6</v>
      </c>
      <c r="I138">
        <v>279</v>
      </c>
      <c r="J138">
        <v>539</v>
      </c>
      <c r="K138" t="str">
        <f t="shared" si="2"/>
        <v>aeth153286</v>
      </c>
      <c r="L138" t="s">
        <v>3098</v>
      </c>
      <c r="N138">
        <v>70</v>
      </c>
      <c r="O138" t="s">
        <v>5881</v>
      </c>
      <c r="P138" t="s">
        <v>3096</v>
      </c>
      <c r="Q138">
        <v>70</v>
      </c>
      <c r="R138" t="s">
        <v>5882</v>
      </c>
    </row>
    <row r="139" spans="1:18" x14ac:dyDescent="0.25">
      <c r="A139" t="s">
        <v>3102</v>
      </c>
      <c r="B139" t="s">
        <v>102</v>
      </c>
      <c r="C139" t="s">
        <v>976</v>
      </c>
      <c r="E139">
        <v>8</v>
      </c>
      <c r="F139">
        <v>4</v>
      </c>
      <c r="G139">
        <v>12.4</v>
      </c>
      <c r="H139">
        <v>9.1999999999999993</v>
      </c>
      <c r="I139">
        <v>219</v>
      </c>
      <c r="J139">
        <v>160</v>
      </c>
      <c r="K139" t="str">
        <f>LEFT(A139,4)&amp;SUBSTITUTE(G139,".","")&amp;SUBSTITUTE(H139,".","")</f>
        <v>aeth12492</v>
      </c>
      <c r="L139" t="s">
        <v>3100</v>
      </c>
      <c r="N139">
        <v>70</v>
      </c>
      <c r="O139" t="s">
        <v>5881</v>
      </c>
      <c r="P139" t="s">
        <v>3101</v>
      </c>
      <c r="Q139">
        <v>78</v>
      </c>
      <c r="R139" t="s">
        <v>5882</v>
      </c>
    </row>
    <row r="140" spans="1:18" x14ac:dyDescent="0.25">
      <c r="A140" t="s">
        <v>3097</v>
      </c>
      <c r="B140" t="s">
        <v>102</v>
      </c>
      <c r="C140" t="s">
        <v>976</v>
      </c>
      <c r="E140">
        <v>6</v>
      </c>
      <c r="F140">
        <v>2</v>
      </c>
      <c r="G140">
        <v>18.8</v>
      </c>
      <c r="H140">
        <v>17.899999999999999</v>
      </c>
      <c r="I140">
        <v>347</v>
      </c>
      <c r="J140">
        <v>331</v>
      </c>
      <c r="K140" t="str">
        <f>LEFT(A140,4)&amp;SUBSTITUTE(G140,".","")&amp;SUBSTITUTE(H140,".","")</f>
        <v>aeth188179</v>
      </c>
      <c r="L140" t="s">
        <v>3103</v>
      </c>
      <c r="N140">
        <v>70</v>
      </c>
      <c r="O140" t="s">
        <v>5881</v>
      </c>
      <c r="P140" t="s">
        <v>3104</v>
      </c>
      <c r="Q140">
        <v>78</v>
      </c>
      <c r="R140" t="s">
        <v>5882</v>
      </c>
    </row>
    <row r="141" spans="1:18" x14ac:dyDescent="0.25">
      <c r="A141" t="s">
        <v>3105</v>
      </c>
      <c r="B141" t="s">
        <v>102</v>
      </c>
      <c r="C141" t="s">
        <v>976</v>
      </c>
      <c r="D141" t="s">
        <v>11081</v>
      </c>
      <c r="E141">
        <v>100</v>
      </c>
      <c r="F141">
        <v>5</v>
      </c>
      <c r="G141">
        <v>18.7</v>
      </c>
      <c r="H141">
        <v>17.600000000000001</v>
      </c>
      <c r="I141">
        <v>345</v>
      </c>
      <c r="J141">
        <v>324</v>
      </c>
      <c r="K141" t="str">
        <f t="shared" si="2"/>
        <v>aeth187176</v>
      </c>
      <c r="L141" t="s">
        <v>3106</v>
      </c>
      <c r="N141">
        <v>79</v>
      </c>
      <c r="O141" t="s">
        <v>5882</v>
      </c>
    </row>
    <row r="142" spans="1:18" x14ac:dyDescent="0.25">
      <c r="A142" t="s">
        <v>3107</v>
      </c>
      <c r="B142" t="s">
        <v>102</v>
      </c>
      <c r="C142" t="s">
        <v>2221</v>
      </c>
      <c r="E142">
        <v>1</v>
      </c>
      <c r="F142">
        <v>1</v>
      </c>
      <c r="G142">
        <v>35.1</v>
      </c>
      <c r="H142">
        <v>16.2</v>
      </c>
      <c r="I142">
        <v>664</v>
      </c>
      <c r="J142">
        <v>300</v>
      </c>
      <c r="K142" t="str">
        <f t="shared" si="2"/>
        <v>aeth351162</v>
      </c>
    </row>
    <row r="143" spans="1:18" x14ac:dyDescent="0.25">
      <c r="A143" t="s">
        <v>3108</v>
      </c>
      <c r="B143" t="s">
        <v>102</v>
      </c>
      <c r="C143" t="s">
        <v>2221</v>
      </c>
      <c r="E143">
        <v>2</v>
      </c>
      <c r="F143">
        <v>2</v>
      </c>
      <c r="G143">
        <v>28.2</v>
      </c>
      <c r="H143">
        <v>25.5</v>
      </c>
      <c r="I143">
        <v>531</v>
      </c>
      <c r="J143">
        <v>483</v>
      </c>
      <c r="K143" t="str">
        <f t="shared" si="2"/>
        <v>aeth282255</v>
      </c>
    </row>
    <row r="144" spans="1:18" x14ac:dyDescent="0.25">
      <c r="A144" t="s">
        <v>3109</v>
      </c>
      <c r="B144" t="s">
        <v>102</v>
      </c>
      <c r="C144" t="s">
        <v>2221</v>
      </c>
      <c r="E144">
        <v>3</v>
      </c>
      <c r="F144">
        <v>3</v>
      </c>
      <c r="G144">
        <v>16.600000000000001</v>
      </c>
      <c r="H144">
        <v>22.4</v>
      </c>
      <c r="I144">
        <v>344</v>
      </c>
      <c r="J144">
        <v>421</v>
      </c>
      <c r="K144" t="str">
        <f t="shared" si="2"/>
        <v>aeth166224</v>
      </c>
    </row>
    <row r="145" spans="1:18" x14ac:dyDescent="0.25">
      <c r="A145" t="s">
        <v>3110</v>
      </c>
      <c r="B145" t="s">
        <v>102</v>
      </c>
      <c r="C145" t="s">
        <v>2221</v>
      </c>
      <c r="E145">
        <v>4</v>
      </c>
      <c r="F145">
        <v>4</v>
      </c>
      <c r="G145">
        <v>13.3</v>
      </c>
      <c r="H145">
        <v>31.6</v>
      </c>
      <c r="I145">
        <v>239</v>
      </c>
      <c r="J145">
        <v>600</v>
      </c>
      <c r="K145" t="str">
        <f t="shared" si="2"/>
        <v>aeth133316</v>
      </c>
    </row>
    <row r="146" spans="1:18" x14ac:dyDescent="0.25">
      <c r="A146" t="s">
        <v>3111</v>
      </c>
      <c r="B146" t="s">
        <v>102</v>
      </c>
      <c r="C146" t="s">
        <v>2221</v>
      </c>
      <c r="E146">
        <v>5</v>
      </c>
      <c r="F146">
        <v>1</v>
      </c>
      <c r="G146">
        <v>18.8</v>
      </c>
      <c r="H146">
        <v>27.8</v>
      </c>
      <c r="I146">
        <v>350</v>
      </c>
      <c r="J146">
        <v>523</v>
      </c>
      <c r="K146" t="str">
        <f t="shared" si="2"/>
        <v>aeth188278</v>
      </c>
      <c r="L146" t="s">
        <v>3121</v>
      </c>
      <c r="N146">
        <v>70</v>
      </c>
      <c r="O146" t="s">
        <v>5881</v>
      </c>
      <c r="P146" t="s">
        <v>3122</v>
      </c>
      <c r="Q146">
        <v>75</v>
      </c>
      <c r="R146" t="s">
        <v>5882</v>
      </c>
    </row>
    <row r="147" spans="1:18" x14ac:dyDescent="0.25">
      <c r="A147" t="s">
        <v>3114</v>
      </c>
      <c r="B147" t="s">
        <v>102</v>
      </c>
      <c r="C147" t="s">
        <v>2221</v>
      </c>
      <c r="E147">
        <v>6</v>
      </c>
      <c r="F147">
        <v>2</v>
      </c>
      <c r="G147">
        <v>19.8</v>
      </c>
      <c r="H147">
        <v>27.6</v>
      </c>
      <c r="I147">
        <v>366</v>
      </c>
      <c r="J147">
        <v>520</v>
      </c>
      <c r="K147" t="str">
        <f t="shared" si="2"/>
        <v>aeth198276</v>
      </c>
      <c r="L147" t="s">
        <v>3118</v>
      </c>
      <c r="N147">
        <v>70</v>
      </c>
      <c r="O147" t="s">
        <v>5881</v>
      </c>
      <c r="P147" t="s">
        <v>3119</v>
      </c>
      <c r="Q147">
        <v>75</v>
      </c>
      <c r="R147" t="s">
        <v>5882</v>
      </c>
    </row>
    <row r="148" spans="1:18" x14ac:dyDescent="0.25">
      <c r="A148" t="s">
        <v>3117</v>
      </c>
      <c r="B148" t="s">
        <v>102</v>
      </c>
      <c r="C148" t="s">
        <v>2221</v>
      </c>
      <c r="E148">
        <v>7</v>
      </c>
      <c r="F148">
        <v>3</v>
      </c>
      <c r="G148">
        <v>29.4</v>
      </c>
      <c r="H148">
        <v>17.8</v>
      </c>
      <c r="I148">
        <v>553</v>
      </c>
      <c r="J148">
        <v>327</v>
      </c>
      <c r="K148" t="str">
        <f t="shared" si="2"/>
        <v>aeth294178</v>
      </c>
      <c r="L148" t="s">
        <v>3115</v>
      </c>
      <c r="N148">
        <v>70</v>
      </c>
      <c r="O148" t="s">
        <v>5881</v>
      </c>
      <c r="P148" t="s">
        <v>3116</v>
      </c>
      <c r="Q148">
        <v>74</v>
      </c>
      <c r="R148" t="s">
        <v>5882</v>
      </c>
    </row>
    <row r="149" spans="1:18" x14ac:dyDescent="0.25">
      <c r="A149" t="s">
        <v>3120</v>
      </c>
      <c r="B149" t="s">
        <v>102</v>
      </c>
      <c r="C149" t="s">
        <v>2221</v>
      </c>
      <c r="E149">
        <v>8</v>
      </c>
      <c r="F149">
        <v>4</v>
      </c>
      <c r="G149">
        <v>31.3</v>
      </c>
      <c r="H149">
        <v>16.899999999999999</v>
      </c>
      <c r="I149">
        <v>594</v>
      </c>
      <c r="J149">
        <v>307</v>
      </c>
      <c r="K149" t="str">
        <f t="shared" si="2"/>
        <v>aeth313169</v>
      </c>
      <c r="L149" t="s">
        <v>3112</v>
      </c>
      <c r="N149">
        <v>70</v>
      </c>
      <c r="O149" t="s">
        <v>5881</v>
      </c>
      <c r="P149" t="s">
        <v>3113</v>
      </c>
      <c r="Q149">
        <v>74</v>
      </c>
      <c r="R149" t="s">
        <v>5882</v>
      </c>
    </row>
    <row r="150" spans="1:18" x14ac:dyDescent="0.25">
      <c r="A150" t="s">
        <v>3123</v>
      </c>
      <c r="B150" t="s">
        <v>102</v>
      </c>
      <c r="C150" t="s">
        <v>2221</v>
      </c>
      <c r="D150" t="s">
        <v>11081</v>
      </c>
      <c r="E150">
        <v>100</v>
      </c>
      <c r="F150">
        <v>5</v>
      </c>
      <c r="G150">
        <v>30.5</v>
      </c>
      <c r="H150">
        <v>17.399999999999999</v>
      </c>
      <c r="I150">
        <v>575</v>
      </c>
      <c r="J150">
        <v>321</v>
      </c>
      <c r="K150" t="str">
        <f t="shared" si="2"/>
        <v>aeth305174</v>
      </c>
      <c r="L150" t="s">
        <v>3124</v>
      </c>
      <c r="N150">
        <v>75</v>
      </c>
      <c r="O150" t="s">
        <v>5882</v>
      </c>
    </row>
    <row r="151" spans="1:18" x14ac:dyDescent="0.25">
      <c r="A151" t="s">
        <v>3125</v>
      </c>
      <c r="B151" t="s">
        <v>102</v>
      </c>
      <c r="C151" t="s">
        <v>944</v>
      </c>
      <c r="E151">
        <v>1</v>
      </c>
      <c r="F151">
        <v>1</v>
      </c>
      <c r="G151">
        <v>5.3</v>
      </c>
      <c r="H151">
        <v>19.399999999999999</v>
      </c>
      <c r="I151">
        <v>95</v>
      </c>
      <c r="J151">
        <v>361</v>
      </c>
      <c r="K151" t="str">
        <f t="shared" si="2"/>
        <v>aeth53194</v>
      </c>
    </row>
    <row r="152" spans="1:18" x14ac:dyDescent="0.25">
      <c r="A152" t="s">
        <v>3126</v>
      </c>
      <c r="B152" t="s">
        <v>102</v>
      </c>
      <c r="C152" t="s">
        <v>944</v>
      </c>
      <c r="E152">
        <v>2</v>
      </c>
      <c r="F152">
        <v>2</v>
      </c>
      <c r="G152">
        <v>28.2</v>
      </c>
      <c r="H152">
        <v>15.9</v>
      </c>
      <c r="I152">
        <v>533</v>
      </c>
      <c r="J152">
        <v>293</v>
      </c>
      <c r="K152" t="str">
        <f t="shared" si="2"/>
        <v>aeth282159</v>
      </c>
    </row>
    <row r="153" spans="1:18" x14ac:dyDescent="0.25">
      <c r="A153" t="s">
        <v>3127</v>
      </c>
      <c r="B153" t="s">
        <v>102</v>
      </c>
      <c r="C153" t="s">
        <v>944</v>
      </c>
      <c r="E153">
        <v>3</v>
      </c>
      <c r="F153">
        <v>3</v>
      </c>
      <c r="G153">
        <v>22.4</v>
      </c>
      <c r="H153">
        <v>11.2</v>
      </c>
      <c r="I153">
        <v>422</v>
      </c>
      <c r="J153">
        <v>201</v>
      </c>
      <c r="K153" t="str">
        <f t="shared" si="2"/>
        <v>aeth224112</v>
      </c>
    </row>
    <row r="154" spans="1:18" x14ac:dyDescent="0.25">
      <c r="A154" t="s">
        <v>3128</v>
      </c>
      <c r="B154" t="s">
        <v>102</v>
      </c>
      <c r="C154" t="s">
        <v>944</v>
      </c>
      <c r="E154">
        <v>4</v>
      </c>
      <c r="F154">
        <v>4</v>
      </c>
      <c r="G154">
        <v>29.1</v>
      </c>
      <c r="H154">
        <v>7.2</v>
      </c>
      <c r="I154">
        <v>559</v>
      </c>
      <c r="J154">
        <v>120</v>
      </c>
      <c r="K154" t="str">
        <f t="shared" si="2"/>
        <v>aeth29172</v>
      </c>
    </row>
    <row r="155" spans="1:18" x14ac:dyDescent="0.25">
      <c r="A155" t="s">
        <v>3129</v>
      </c>
      <c r="B155" t="s">
        <v>102</v>
      </c>
      <c r="C155" t="s">
        <v>944</v>
      </c>
      <c r="E155">
        <v>5</v>
      </c>
      <c r="F155">
        <v>1</v>
      </c>
      <c r="G155">
        <v>9.5</v>
      </c>
      <c r="H155">
        <v>28.2</v>
      </c>
      <c r="I155">
        <v>162</v>
      </c>
      <c r="J155">
        <v>527</v>
      </c>
      <c r="K155" t="str">
        <f t="shared" si="2"/>
        <v>aeth95282</v>
      </c>
      <c r="L155" t="s">
        <v>3133</v>
      </c>
      <c r="N155">
        <v>70</v>
      </c>
      <c r="O155" t="s">
        <v>5881</v>
      </c>
      <c r="P155" t="s">
        <v>3134</v>
      </c>
      <c r="Q155">
        <v>80</v>
      </c>
      <c r="R155" t="s">
        <v>5882</v>
      </c>
    </row>
    <row r="156" spans="1:18" x14ac:dyDescent="0.25">
      <c r="A156" t="s">
        <v>3132</v>
      </c>
      <c r="B156" t="s">
        <v>102</v>
      </c>
      <c r="C156" t="s">
        <v>944</v>
      </c>
      <c r="E156">
        <v>6</v>
      </c>
      <c r="F156">
        <v>2</v>
      </c>
      <c r="G156">
        <v>7.2</v>
      </c>
      <c r="H156">
        <v>31.4</v>
      </c>
      <c r="I156">
        <v>120</v>
      </c>
      <c r="J156">
        <v>584</v>
      </c>
      <c r="K156" t="str">
        <f t="shared" si="2"/>
        <v>aeth72314</v>
      </c>
      <c r="L156" t="s">
        <v>3136</v>
      </c>
      <c r="N156">
        <v>70</v>
      </c>
      <c r="O156" t="s">
        <v>5881</v>
      </c>
      <c r="P156" t="s">
        <v>3134</v>
      </c>
      <c r="Q156">
        <v>80</v>
      </c>
      <c r="R156" t="s">
        <v>5882</v>
      </c>
    </row>
    <row r="157" spans="1:18" x14ac:dyDescent="0.25">
      <c r="A157" t="s">
        <v>3135</v>
      </c>
      <c r="B157" t="s">
        <v>102</v>
      </c>
      <c r="C157" t="s">
        <v>944</v>
      </c>
      <c r="E157">
        <v>7</v>
      </c>
      <c r="F157">
        <v>3</v>
      </c>
      <c r="G157">
        <v>13.7</v>
      </c>
      <c r="H157">
        <v>27.6</v>
      </c>
      <c r="I157">
        <v>249</v>
      </c>
      <c r="J157">
        <v>509</v>
      </c>
      <c r="K157" t="str">
        <f t="shared" si="2"/>
        <v>aeth137276</v>
      </c>
      <c r="L157" t="s">
        <v>3138</v>
      </c>
      <c r="N157">
        <v>70</v>
      </c>
      <c r="O157" t="s">
        <v>5881</v>
      </c>
      <c r="P157" t="s">
        <v>3134</v>
      </c>
      <c r="Q157">
        <v>80</v>
      </c>
      <c r="R157" t="s">
        <v>5882</v>
      </c>
    </row>
    <row r="158" spans="1:18" x14ac:dyDescent="0.25">
      <c r="A158" t="s">
        <v>3137</v>
      </c>
      <c r="B158" t="s">
        <v>102</v>
      </c>
      <c r="C158" t="s">
        <v>944</v>
      </c>
      <c r="E158">
        <v>8</v>
      </c>
      <c r="F158">
        <v>4</v>
      </c>
      <c r="G158">
        <v>32.1</v>
      </c>
      <c r="H158">
        <v>16.600000000000001</v>
      </c>
      <c r="I158">
        <v>613</v>
      </c>
      <c r="J158">
        <v>299</v>
      </c>
      <c r="K158" t="str">
        <f t="shared" si="2"/>
        <v>aeth321166</v>
      </c>
      <c r="L158" t="s">
        <v>3130</v>
      </c>
      <c r="N158">
        <v>70</v>
      </c>
      <c r="O158" t="s">
        <v>5881</v>
      </c>
      <c r="P158" t="s">
        <v>3131</v>
      </c>
      <c r="Q158">
        <v>79</v>
      </c>
      <c r="R158" t="s">
        <v>5882</v>
      </c>
    </row>
    <row r="159" spans="1:18" x14ac:dyDescent="0.25">
      <c r="A159" t="s">
        <v>3139</v>
      </c>
      <c r="B159" t="s">
        <v>102</v>
      </c>
      <c r="C159" t="s">
        <v>944</v>
      </c>
      <c r="D159" t="s">
        <v>11081</v>
      </c>
      <c r="E159">
        <v>100</v>
      </c>
      <c r="F159">
        <v>5</v>
      </c>
      <c r="G159">
        <v>8.8000000000000007</v>
      </c>
      <c r="H159">
        <v>26.5</v>
      </c>
      <c r="I159">
        <v>151</v>
      </c>
      <c r="J159">
        <v>496</v>
      </c>
      <c r="K159" t="str">
        <f t="shared" si="2"/>
        <v>aeth88265</v>
      </c>
      <c r="L159" t="s">
        <v>3140</v>
      </c>
      <c r="N159">
        <v>80</v>
      </c>
      <c r="O159" t="s">
        <v>5882</v>
      </c>
    </row>
    <row r="160" spans="1:18" x14ac:dyDescent="0.25">
      <c r="A160" t="s">
        <v>3141</v>
      </c>
      <c r="B160" t="s">
        <v>133</v>
      </c>
      <c r="C160" t="s">
        <v>2320</v>
      </c>
      <c r="E160">
        <v>1</v>
      </c>
      <c r="F160">
        <v>1</v>
      </c>
      <c r="G160">
        <v>18.899999999999999</v>
      </c>
      <c r="H160">
        <v>35</v>
      </c>
      <c r="I160">
        <v>348</v>
      </c>
      <c r="J160">
        <v>666</v>
      </c>
      <c r="K160" t="str">
        <f t="shared" si="2"/>
        <v>aeth18935</v>
      </c>
    </row>
    <row r="161" spans="1:18" x14ac:dyDescent="0.25">
      <c r="A161" t="s">
        <v>3142</v>
      </c>
      <c r="B161" t="s">
        <v>133</v>
      </c>
      <c r="C161" t="s">
        <v>2320</v>
      </c>
      <c r="E161">
        <v>2</v>
      </c>
      <c r="F161">
        <v>2</v>
      </c>
      <c r="G161">
        <v>10.5</v>
      </c>
      <c r="H161">
        <v>34.700000000000003</v>
      </c>
      <c r="I161">
        <v>188</v>
      </c>
      <c r="J161">
        <v>658</v>
      </c>
      <c r="K161" t="str">
        <f t="shared" si="2"/>
        <v>aeth105347</v>
      </c>
    </row>
    <row r="162" spans="1:18" x14ac:dyDescent="0.25">
      <c r="A162" t="s">
        <v>3143</v>
      </c>
      <c r="B162" t="s">
        <v>133</v>
      </c>
      <c r="C162" t="s">
        <v>2320</v>
      </c>
      <c r="E162">
        <v>3</v>
      </c>
      <c r="F162">
        <v>3</v>
      </c>
      <c r="G162">
        <v>36.4</v>
      </c>
      <c r="H162">
        <v>22.8</v>
      </c>
      <c r="I162">
        <v>692</v>
      </c>
      <c r="J162">
        <v>424</v>
      </c>
      <c r="K162" t="str">
        <f t="shared" si="2"/>
        <v>aeth364228</v>
      </c>
    </row>
    <row r="163" spans="1:18" x14ac:dyDescent="0.25">
      <c r="A163" t="s">
        <v>3144</v>
      </c>
      <c r="B163" t="s">
        <v>133</v>
      </c>
      <c r="C163" t="s">
        <v>2320</v>
      </c>
      <c r="E163">
        <v>4</v>
      </c>
      <c r="F163">
        <v>4</v>
      </c>
      <c r="G163">
        <v>28.4</v>
      </c>
      <c r="H163">
        <v>6.1</v>
      </c>
      <c r="I163">
        <v>535</v>
      </c>
      <c r="J163">
        <v>99</v>
      </c>
      <c r="K163" t="str">
        <f t="shared" si="2"/>
        <v>aeth28461</v>
      </c>
    </row>
    <row r="164" spans="1:18" x14ac:dyDescent="0.25">
      <c r="A164" t="s">
        <v>3145</v>
      </c>
      <c r="B164" t="s">
        <v>133</v>
      </c>
      <c r="C164" t="s">
        <v>2320</v>
      </c>
      <c r="E164">
        <v>5</v>
      </c>
      <c r="F164">
        <v>1</v>
      </c>
      <c r="G164">
        <v>30.3</v>
      </c>
      <c r="H164">
        <v>19.3</v>
      </c>
      <c r="I164">
        <v>574</v>
      </c>
      <c r="J164">
        <v>355</v>
      </c>
      <c r="K164" t="str">
        <f t="shared" si="2"/>
        <v>aeth303193</v>
      </c>
      <c r="L164" t="s">
        <v>3146</v>
      </c>
      <c r="N164">
        <v>80</v>
      </c>
      <c r="O164" t="s">
        <v>5881</v>
      </c>
      <c r="P164" t="s">
        <v>3147</v>
      </c>
      <c r="Q164">
        <v>80</v>
      </c>
      <c r="R164" t="s">
        <v>5882</v>
      </c>
    </row>
    <row r="165" spans="1:18" x14ac:dyDescent="0.25">
      <c r="A165" t="s">
        <v>3148</v>
      </c>
      <c r="B165" t="s">
        <v>133</v>
      </c>
      <c r="C165" t="s">
        <v>2320</v>
      </c>
      <c r="E165">
        <v>6</v>
      </c>
      <c r="F165">
        <v>2</v>
      </c>
      <c r="G165">
        <v>21</v>
      </c>
      <c r="H165">
        <v>21.5</v>
      </c>
      <c r="I165">
        <v>389</v>
      </c>
      <c r="J165">
        <v>403</v>
      </c>
      <c r="K165" t="str">
        <f t="shared" si="2"/>
        <v>aeth21215</v>
      </c>
      <c r="L165" t="s">
        <v>3149</v>
      </c>
      <c r="N165">
        <v>80</v>
      </c>
      <c r="O165" t="s">
        <v>5881</v>
      </c>
      <c r="P165" t="s">
        <v>3150</v>
      </c>
      <c r="Q165">
        <v>88</v>
      </c>
      <c r="R165" t="s">
        <v>5882</v>
      </c>
    </row>
    <row r="166" spans="1:18" x14ac:dyDescent="0.25">
      <c r="A166" t="s">
        <v>3151</v>
      </c>
      <c r="B166" t="s">
        <v>133</v>
      </c>
      <c r="C166" t="s">
        <v>2320</v>
      </c>
      <c r="E166">
        <v>7</v>
      </c>
      <c r="F166">
        <v>3</v>
      </c>
      <c r="G166">
        <v>20.8</v>
      </c>
      <c r="H166">
        <v>21</v>
      </c>
      <c r="I166">
        <v>391</v>
      </c>
      <c r="J166">
        <v>397</v>
      </c>
      <c r="K166" t="str">
        <f t="shared" si="2"/>
        <v>aeth20821</v>
      </c>
      <c r="L166" t="s">
        <v>3152</v>
      </c>
      <c r="N166">
        <v>80</v>
      </c>
      <c r="O166" t="s">
        <v>5881</v>
      </c>
      <c r="P166" t="s">
        <v>3153</v>
      </c>
      <c r="Q166">
        <v>88</v>
      </c>
      <c r="R166" t="s">
        <v>5882</v>
      </c>
    </row>
    <row r="167" spans="1:18" x14ac:dyDescent="0.25">
      <c r="A167" t="s">
        <v>3154</v>
      </c>
      <c r="B167" t="s">
        <v>133</v>
      </c>
      <c r="C167" t="s">
        <v>2320</v>
      </c>
      <c r="E167">
        <v>8</v>
      </c>
      <c r="F167">
        <v>4</v>
      </c>
      <c r="G167">
        <v>23.2</v>
      </c>
      <c r="H167">
        <v>19.899999999999999</v>
      </c>
      <c r="I167">
        <v>433</v>
      </c>
      <c r="J167">
        <v>369</v>
      </c>
      <c r="K167" t="str">
        <f t="shared" si="2"/>
        <v>aeth232199</v>
      </c>
      <c r="L167" t="s">
        <v>3155</v>
      </c>
      <c r="N167">
        <v>80</v>
      </c>
      <c r="O167" t="s">
        <v>5881</v>
      </c>
      <c r="P167" t="s">
        <v>3153</v>
      </c>
      <c r="Q167">
        <v>88</v>
      </c>
      <c r="R167" t="s">
        <v>5882</v>
      </c>
    </row>
    <row r="168" spans="1:18" x14ac:dyDescent="0.25">
      <c r="A168" t="s">
        <v>3156</v>
      </c>
      <c r="B168" t="s">
        <v>133</v>
      </c>
      <c r="C168" t="s">
        <v>2320</v>
      </c>
      <c r="D168" t="s">
        <v>11081</v>
      </c>
      <c r="E168">
        <v>100</v>
      </c>
      <c r="F168">
        <v>5</v>
      </c>
      <c r="G168">
        <v>21.6</v>
      </c>
      <c r="H168">
        <v>33.799999999999997</v>
      </c>
      <c r="I168">
        <v>400</v>
      </c>
      <c r="J168">
        <v>638</v>
      </c>
      <c r="K168" t="str">
        <f t="shared" si="2"/>
        <v>aeth216338</v>
      </c>
      <c r="L168" t="s">
        <v>3157</v>
      </c>
      <c r="N168">
        <v>88</v>
      </c>
      <c r="O168" t="s">
        <v>5882</v>
      </c>
    </row>
    <row r="169" spans="1:18" x14ac:dyDescent="0.25">
      <c r="A169" t="s">
        <v>3158</v>
      </c>
      <c r="B169" t="s">
        <v>133</v>
      </c>
      <c r="C169" t="s">
        <v>837</v>
      </c>
      <c r="E169">
        <v>1</v>
      </c>
      <c r="F169">
        <v>1</v>
      </c>
      <c r="G169">
        <v>17.899999999999999</v>
      </c>
      <c r="H169">
        <v>32.200000000000003</v>
      </c>
      <c r="I169">
        <v>332</v>
      </c>
      <c r="J169">
        <v>609</v>
      </c>
      <c r="K169" t="str">
        <f t="shared" si="2"/>
        <v>aeth179322</v>
      </c>
    </row>
    <row r="170" spans="1:18" x14ac:dyDescent="0.25">
      <c r="A170" t="s">
        <v>3159</v>
      </c>
      <c r="B170" t="s">
        <v>133</v>
      </c>
      <c r="C170" t="s">
        <v>837</v>
      </c>
      <c r="E170">
        <v>2</v>
      </c>
      <c r="F170">
        <v>2</v>
      </c>
      <c r="G170">
        <v>20.399999999999999</v>
      </c>
      <c r="H170">
        <v>7.2</v>
      </c>
      <c r="I170">
        <v>380</v>
      </c>
      <c r="J170">
        <v>122</v>
      </c>
      <c r="K170" t="str">
        <f t="shared" si="2"/>
        <v>aeth20472</v>
      </c>
    </row>
    <row r="171" spans="1:18" x14ac:dyDescent="0.25">
      <c r="A171" t="s">
        <v>3160</v>
      </c>
      <c r="B171" t="s">
        <v>133</v>
      </c>
      <c r="C171" t="s">
        <v>837</v>
      </c>
      <c r="E171">
        <v>3</v>
      </c>
      <c r="F171">
        <v>3</v>
      </c>
      <c r="G171">
        <v>23.8</v>
      </c>
      <c r="H171">
        <v>14.6</v>
      </c>
      <c r="I171">
        <v>442</v>
      </c>
      <c r="J171">
        <v>268</v>
      </c>
      <c r="K171" t="str">
        <f t="shared" si="2"/>
        <v>aeth238146</v>
      </c>
    </row>
    <row r="172" spans="1:18" x14ac:dyDescent="0.25">
      <c r="A172" t="s">
        <v>3161</v>
      </c>
      <c r="B172" t="s">
        <v>133</v>
      </c>
      <c r="C172" t="s">
        <v>837</v>
      </c>
      <c r="E172">
        <v>4</v>
      </c>
      <c r="F172">
        <v>4</v>
      </c>
      <c r="G172">
        <v>32.4</v>
      </c>
      <c r="H172">
        <v>18.2</v>
      </c>
      <c r="I172">
        <v>607</v>
      </c>
      <c r="J172">
        <v>330</v>
      </c>
      <c r="K172" t="str">
        <f t="shared" si="2"/>
        <v>aeth324182</v>
      </c>
    </row>
    <row r="173" spans="1:18" x14ac:dyDescent="0.25">
      <c r="A173" t="s">
        <v>3162</v>
      </c>
      <c r="B173" t="s">
        <v>133</v>
      </c>
      <c r="C173" t="s">
        <v>837</v>
      </c>
      <c r="E173">
        <v>5</v>
      </c>
      <c r="F173">
        <v>1</v>
      </c>
      <c r="G173">
        <v>25.5</v>
      </c>
      <c r="H173">
        <v>35.6</v>
      </c>
      <c r="I173">
        <v>480</v>
      </c>
      <c r="J173">
        <v>675</v>
      </c>
      <c r="K173" t="str">
        <f t="shared" si="2"/>
        <v>aeth255356</v>
      </c>
      <c r="L173" t="s">
        <v>3163</v>
      </c>
      <c r="N173">
        <v>80</v>
      </c>
      <c r="O173" t="s">
        <v>5881</v>
      </c>
      <c r="P173" t="s">
        <v>3164</v>
      </c>
      <c r="Q173">
        <v>80</v>
      </c>
      <c r="R173" t="s">
        <v>5882</v>
      </c>
    </row>
    <row r="174" spans="1:18" x14ac:dyDescent="0.25">
      <c r="A174" t="s">
        <v>3165</v>
      </c>
      <c r="B174" t="s">
        <v>133</v>
      </c>
      <c r="C174" t="s">
        <v>837</v>
      </c>
      <c r="E174">
        <v>6</v>
      </c>
      <c r="F174">
        <v>2</v>
      </c>
      <c r="G174">
        <v>11</v>
      </c>
      <c r="H174">
        <v>21</v>
      </c>
      <c r="I174">
        <v>196</v>
      </c>
      <c r="J174">
        <v>388</v>
      </c>
      <c r="K174" t="str">
        <f t="shared" si="2"/>
        <v>aeth1121</v>
      </c>
      <c r="L174" t="s">
        <v>3166</v>
      </c>
      <c r="N174">
        <v>80</v>
      </c>
      <c r="O174" t="s">
        <v>5881</v>
      </c>
      <c r="P174" t="s">
        <v>3167</v>
      </c>
      <c r="Q174">
        <v>80</v>
      </c>
      <c r="R174" t="s">
        <v>5882</v>
      </c>
    </row>
    <row r="175" spans="1:18" x14ac:dyDescent="0.25">
      <c r="A175" t="s">
        <v>3168</v>
      </c>
      <c r="B175" t="s">
        <v>133</v>
      </c>
      <c r="C175" t="s">
        <v>837</v>
      </c>
      <c r="E175">
        <v>7</v>
      </c>
      <c r="F175">
        <v>3</v>
      </c>
      <c r="G175">
        <v>29.1</v>
      </c>
      <c r="H175">
        <v>17.3</v>
      </c>
      <c r="I175">
        <v>550</v>
      </c>
      <c r="J175">
        <v>317</v>
      </c>
      <c r="K175" t="str">
        <f t="shared" si="2"/>
        <v>aeth291173</v>
      </c>
      <c r="L175" t="s">
        <v>3169</v>
      </c>
      <c r="N175">
        <v>80</v>
      </c>
      <c r="O175" t="s">
        <v>5881</v>
      </c>
      <c r="P175" t="s">
        <v>3170</v>
      </c>
      <c r="Q175">
        <v>85</v>
      </c>
      <c r="R175" t="s">
        <v>5882</v>
      </c>
    </row>
    <row r="176" spans="1:18" x14ac:dyDescent="0.25">
      <c r="A176" t="s">
        <v>3171</v>
      </c>
      <c r="B176" t="s">
        <v>133</v>
      </c>
      <c r="C176" t="s">
        <v>837</v>
      </c>
      <c r="E176">
        <v>8</v>
      </c>
      <c r="F176">
        <v>4</v>
      </c>
      <c r="G176">
        <v>30.7</v>
      </c>
      <c r="H176">
        <v>17</v>
      </c>
      <c r="I176">
        <v>583</v>
      </c>
      <c r="J176">
        <v>312</v>
      </c>
      <c r="K176" t="str">
        <f t="shared" si="2"/>
        <v>aeth30717</v>
      </c>
      <c r="L176" t="s">
        <v>3172</v>
      </c>
      <c r="N176">
        <v>80</v>
      </c>
      <c r="O176" t="s">
        <v>5881</v>
      </c>
      <c r="P176" t="s">
        <v>3170</v>
      </c>
      <c r="Q176">
        <v>85</v>
      </c>
      <c r="R176" t="s">
        <v>5882</v>
      </c>
    </row>
    <row r="177" spans="1:18" x14ac:dyDescent="0.25">
      <c r="A177" t="s">
        <v>3173</v>
      </c>
      <c r="B177" t="s">
        <v>133</v>
      </c>
      <c r="C177" t="s">
        <v>837</v>
      </c>
      <c r="D177" t="s">
        <v>11081</v>
      </c>
      <c r="E177">
        <v>100</v>
      </c>
      <c r="F177">
        <v>5</v>
      </c>
      <c r="G177">
        <v>20.6</v>
      </c>
      <c r="H177">
        <v>15</v>
      </c>
      <c r="I177">
        <v>380</v>
      </c>
      <c r="J177">
        <v>271</v>
      </c>
      <c r="K177" t="str">
        <f t="shared" si="2"/>
        <v>aeth20615</v>
      </c>
      <c r="L177" t="s">
        <v>3170</v>
      </c>
      <c r="N177">
        <v>85</v>
      </c>
      <c r="O177" t="s">
        <v>5882</v>
      </c>
    </row>
    <row r="178" spans="1:18" x14ac:dyDescent="0.25">
      <c r="A178" t="s">
        <v>3174</v>
      </c>
      <c r="B178" t="s">
        <v>133</v>
      </c>
      <c r="C178" t="s">
        <v>2407</v>
      </c>
      <c r="E178">
        <v>1</v>
      </c>
      <c r="F178">
        <v>1</v>
      </c>
      <c r="G178">
        <v>17.7</v>
      </c>
      <c r="H178">
        <v>29.9</v>
      </c>
      <c r="I178">
        <v>328</v>
      </c>
      <c r="J178">
        <v>559</v>
      </c>
      <c r="K178" t="str">
        <f t="shared" si="2"/>
        <v>aeth177299</v>
      </c>
    </row>
    <row r="179" spans="1:18" x14ac:dyDescent="0.25">
      <c r="A179" t="s">
        <v>3175</v>
      </c>
      <c r="B179" t="s">
        <v>133</v>
      </c>
      <c r="C179" t="s">
        <v>2407</v>
      </c>
      <c r="E179">
        <v>2</v>
      </c>
      <c r="F179">
        <v>2</v>
      </c>
      <c r="G179">
        <v>25.3</v>
      </c>
      <c r="H179">
        <v>34.299999999999997</v>
      </c>
      <c r="I179">
        <v>474</v>
      </c>
      <c r="J179">
        <v>654</v>
      </c>
      <c r="K179" t="str">
        <f t="shared" si="2"/>
        <v>aeth253343</v>
      </c>
    </row>
    <row r="180" spans="1:18" x14ac:dyDescent="0.25">
      <c r="A180" t="s">
        <v>3176</v>
      </c>
      <c r="B180" t="s">
        <v>133</v>
      </c>
      <c r="C180" t="s">
        <v>2407</v>
      </c>
      <c r="E180">
        <v>3</v>
      </c>
      <c r="F180">
        <v>3</v>
      </c>
      <c r="G180">
        <v>9.4</v>
      </c>
      <c r="H180">
        <v>14.9</v>
      </c>
      <c r="I180">
        <v>163</v>
      </c>
      <c r="J180">
        <v>276</v>
      </c>
      <c r="K180" t="str">
        <f t="shared" si="2"/>
        <v>aeth94149</v>
      </c>
    </row>
    <row r="181" spans="1:18" x14ac:dyDescent="0.25">
      <c r="A181" t="s">
        <v>3177</v>
      </c>
      <c r="B181" t="s">
        <v>133</v>
      </c>
      <c r="C181" t="s">
        <v>2407</v>
      </c>
      <c r="E181">
        <v>4</v>
      </c>
      <c r="F181">
        <v>4</v>
      </c>
      <c r="G181">
        <v>29.1</v>
      </c>
      <c r="H181">
        <v>11.8</v>
      </c>
      <c r="I181">
        <v>550</v>
      </c>
      <c r="J181">
        <v>203</v>
      </c>
      <c r="K181" t="str">
        <f t="shared" si="2"/>
        <v>aeth291118</v>
      </c>
    </row>
    <row r="182" spans="1:18" x14ac:dyDescent="0.25">
      <c r="A182" t="s">
        <v>3178</v>
      </c>
      <c r="B182" t="s">
        <v>133</v>
      </c>
      <c r="C182" t="s">
        <v>2407</v>
      </c>
      <c r="E182">
        <v>5</v>
      </c>
      <c r="F182">
        <v>1</v>
      </c>
      <c r="G182">
        <v>14.9</v>
      </c>
      <c r="H182">
        <v>29.9</v>
      </c>
      <c r="I182">
        <v>270</v>
      </c>
      <c r="J182">
        <v>554</v>
      </c>
      <c r="K182" t="str">
        <f t="shared" ref="K182:K222" si="3">LEFT(A182,4)&amp;SUBSTITUTE(G182,".","")&amp;SUBSTITUTE(H182,".","")</f>
        <v>aeth149299</v>
      </c>
      <c r="L182" t="s">
        <v>3179</v>
      </c>
      <c r="N182">
        <v>80</v>
      </c>
      <c r="O182" t="s">
        <v>5881</v>
      </c>
      <c r="P182" t="s">
        <v>3180</v>
      </c>
      <c r="Q182">
        <v>83</v>
      </c>
      <c r="R182" t="s">
        <v>5882</v>
      </c>
    </row>
    <row r="183" spans="1:18" x14ac:dyDescent="0.25">
      <c r="A183" t="s">
        <v>3181</v>
      </c>
      <c r="B183" t="s">
        <v>133</v>
      </c>
      <c r="C183" t="s">
        <v>2407</v>
      </c>
      <c r="E183">
        <v>6</v>
      </c>
      <c r="F183">
        <v>2</v>
      </c>
      <c r="G183">
        <v>31.4</v>
      </c>
      <c r="H183">
        <v>13.1</v>
      </c>
      <c r="I183">
        <v>593</v>
      </c>
      <c r="J183">
        <v>239</v>
      </c>
      <c r="K183" t="str">
        <f t="shared" si="3"/>
        <v>aeth314131</v>
      </c>
      <c r="L183" t="s">
        <v>3182</v>
      </c>
      <c r="N183">
        <v>80</v>
      </c>
      <c r="O183" t="s">
        <v>5881</v>
      </c>
      <c r="P183" t="s">
        <v>3180</v>
      </c>
      <c r="Q183">
        <v>83</v>
      </c>
      <c r="R183" t="s">
        <v>5882</v>
      </c>
    </row>
    <row r="184" spans="1:18" x14ac:dyDescent="0.25">
      <c r="A184" t="s">
        <v>3183</v>
      </c>
      <c r="B184" t="s">
        <v>133</v>
      </c>
      <c r="C184" t="s">
        <v>2407</v>
      </c>
      <c r="E184">
        <v>7</v>
      </c>
      <c r="F184">
        <v>3</v>
      </c>
      <c r="G184">
        <v>12.8</v>
      </c>
      <c r="H184">
        <v>30.6</v>
      </c>
      <c r="I184">
        <v>233</v>
      </c>
      <c r="J184">
        <v>579</v>
      </c>
      <c r="K184" t="str">
        <f t="shared" si="3"/>
        <v>aeth128306</v>
      </c>
      <c r="L184" t="s">
        <v>3184</v>
      </c>
      <c r="N184">
        <v>80</v>
      </c>
      <c r="O184" t="s">
        <v>5881</v>
      </c>
      <c r="P184" t="s">
        <v>3185</v>
      </c>
      <c r="Q184">
        <v>83</v>
      </c>
      <c r="R184" t="s">
        <v>5882</v>
      </c>
    </row>
    <row r="185" spans="1:18" x14ac:dyDescent="0.25">
      <c r="A185" t="s">
        <v>3186</v>
      </c>
      <c r="B185" t="s">
        <v>133</v>
      </c>
      <c r="C185" t="s">
        <v>2407</v>
      </c>
      <c r="E185">
        <v>8</v>
      </c>
      <c r="F185">
        <v>4</v>
      </c>
      <c r="G185">
        <v>15</v>
      </c>
      <c r="H185">
        <v>31.2</v>
      </c>
      <c r="I185">
        <v>273</v>
      </c>
      <c r="J185">
        <v>590</v>
      </c>
      <c r="K185" t="str">
        <f t="shared" si="3"/>
        <v>aeth15312</v>
      </c>
      <c r="L185" t="s">
        <v>3187</v>
      </c>
      <c r="N185">
        <v>80</v>
      </c>
      <c r="O185" t="s">
        <v>5881</v>
      </c>
      <c r="P185" t="s">
        <v>3185</v>
      </c>
      <c r="Q185">
        <v>83</v>
      </c>
      <c r="R185" t="s">
        <v>5882</v>
      </c>
    </row>
    <row r="186" spans="1:18" x14ac:dyDescent="0.25">
      <c r="A186" t="s">
        <v>3188</v>
      </c>
      <c r="B186" t="s">
        <v>133</v>
      </c>
      <c r="C186" t="s">
        <v>2407</v>
      </c>
      <c r="D186" t="s">
        <v>11081</v>
      </c>
      <c r="E186">
        <v>100</v>
      </c>
      <c r="F186">
        <v>5</v>
      </c>
      <c r="G186">
        <v>14</v>
      </c>
      <c r="H186">
        <v>29.4</v>
      </c>
      <c r="I186">
        <v>253</v>
      </c>
      <c r="J186">
        <v>555</v>
      </c>
      <c r="K186" t="str">
        <f t="shared" si="3"/>
        <v>aeth14294</v>
      </c>
      <c r="L186" t="s">
        <v>3189</v>
      </c>
      <c r="N186">
        <v>83</v>
      </c>
      <c r="O186" t="s">
        <v>5882</v>
      </c>
    </row>
    <row r="187" spans="1:18" x14ac:dyDescent="0.25">
      <c r="A187" t="s">
        <v>3190</v>
      </c>
      <c r="B187" t="s">
        <v>133</v>
      </c>
      <c r="C187" t="s">
        <v>2443</v>
      </c>
      <c r="E187">
        <v>1</v>
      </c>
      <c r="F187">
        <v>1</v>
      </c>
      <c r="G187">
        <v>22.3</v>
      </c>
      <c r="H187">
        <v>18.100000000000001</v>
      </c>
      <c r="I187">
        <v>416</v>
      </c>
      <c r="J187">
        <v>338</v>
      </c>
      <c r="K187" t="str">
        <f t="shared" si="3"/>
        <v>aeth223181</v>
      </c>
    </row>
    <row r="188" spans="1:18" x14ac:dyDescent="0.25">
      <c r="A188" t="s">
        <v>3191</v>
      </c>
      <c r="B188" t="s">
        <v>133</v>
      </c>
      <c r="C188" t="s">
        <v>2443</v>
      </c>
      <c r="E188">
        <v>2</v>
      </c>
      <c r="F188">
        <v>2</v>
      </c>
      <c r="G188">
        <v>11.8</v>
      </c>
      <c r="H188">
        <v>9.5</v>
      </c>
      <c r="I188">
        <v>212</v>
      </c>
      <c r="J188">
        <v>160</v>
      </c>
      <c r="K188" t="str">
        <f t="shared" si="3"/>
        <v>aeth11895</v>
      </c>
    </row>
    <row r="189" spans="1:18" x14ac:dyDescent="0.25">
      <c r="A189" t="s">
        <v>3192</v>
      </c>
      <c r="B189" t="s">
        <v>133</v>
      </c>
      <c r="C189" t="s">
        <v>2443</v>
      </c>
      <c r="E189">
        <v>3</v>
      </c>
      <c r="F189">
        <v>3</v>
      </c>
      <c r="G189">
        <v>27.8</v>
      </c>
      <c r="H189">
        <v>9.5</v>
      </c>
      <c r="I189">
        <v>524</v>
      </c>
      <c r="J189">
        <v>165</v>
      </c>
      <c r="K189" t="str">
        <f t="shared" si="3"/>
        <v>aeth27895</v>
      </c>
    </row>
    <row r="190" spans="1:18" x14ac:dyDescent="0.25">
      <c r="A190" t="s">
        <v>3193</v>
      </c>
      <c r="B190" t="s">
        <v>133</v>
      </c>
      <c r="C190" t="s">
        <v>2443</v>
      </c>
      <c r="E190">
        <v>4</v>
      </c>
      <c r="F190">
        <v>4</v>
      </c>
      <c r="G190">
        <v>22</v>
      </c>
      <c r="H190">
        <v>10.4</v>
      </c>
      <c r="I190">
        <v>413</v>
      </c>
      <c r="J190">
        <v>185</v>
      </c>
      <c r="K190" t="str">
        <f t="shared" si="3"/>
        <v>aeth22104</v>
      </c>
    </row>
    <row r="191" spans="1:18" x14ac:dyDescent="0.25">
      <c r="A191" t="s">
        <v>3194</v>
      </c>
      <c r="B191" t="s">
        <v>133</v>
      </c>
      <c r="C191" t="s">
        <v>2443</v>
      </c>
      <c r="E191">
        <v>5</v>
      </c>
      <c r="F191">
        <v>1</v>
      </c>
      <c r="G191">
        <v>15.4</v>
      </c>
      <c r="H191">
        <v>11.6</v>
      </c>
      <c r="I191">
        <v>281</v>
      </c>
      <c r="J191">
        <v>208</v>
      </c>
      <c r="K191" t="str">
        <f t="shared" si="3"/>
        <v>aeth154116</v>
      </c>
      <c r="L191" t="s">
        <v>3195</v>
      </c>
      <c r="N191">
        <v>80</v>
      </c>
      <c r="O191" t="s">
        <v>5881</v>
      </c>
      <c r="P191" t="s">
        <v>3196</v>
      </c>
      <c r="Q191">
        <v>84</v>
      </c>
      <c r="R191" t="s">
        <v>5882</v>
      </c>
    </row>
    <row r="192" spans="1:18" x14ac:dyDescent="0.25">
      <c r="A192" t="s">
        <v>3197</v>
      </c>
      <c r="B192" t="s">
        <v>133</v>
      </c>
      <c r="C192" t="s">
        <v>2443</v>
      </c>
      <c r="E192">
        <v>6</v>
      </c>
      <c r="F192">
        <v>2</v>
      </c>
      <c r="G192">
        <v>15.7</v>
      </c>
      <c r="H192">
        <v>11</v>
      </c>
      <c r="I192">
        <v>287</v>
      </c>
      <c r="J192">
        <v>197</v>
      </c>
      <c r="K192" t="str">
        <f t="shared" si="3"/>
        <v>aeth15711</v>
      </c>
      <c r="L192" t="s">
        <v>3198</v>
      </c>
      <c r="N192">
        <v>80</v>
      </c>
      <c r="O192" t="s">
        <v>5881</v>
      </c>
      <c r="P192" t="s">
        <v>3196</v>
      </c>
      <c r="Q192">
        <v>84</v>
      </c>
      <c r="R192" t="s">
        <v>5882</v>
      </c>
    </row>
    <row r="193" spans="1:18" x14ac:dyDescent="0.25">
      <c r="A193" t="s">
        <v>3199</v>
      </c>
      <c r="B193" t="s">
        <v>133</v>
      </c>
      <c r="C193" t="s">
        <v>2443</v>
      </c>
      <c r="E193">
        <v>7</v>
      </c>
      <c r="F193">
        <v>3</v>
      </c>
      <c r="G193">
        <v>19.8</v>
      </c>
      <c r="H193">
        <v>11</v>
      </c>
      <c r="I193">
        <v>366</v>
      </c>
      <c r="J193">
        <v>195</v>
      </c>
      <c r="K193" t="str">
        <f t="shared" si="3"/>
        <v>aeth19811</v>
      </c>
      <c r="L193" t="s">
        <v>3200</v>
      </c>
      <c r="N193">
        <v>80</v>
      </c>
      <c r="O193" t="s">
        <v>5881</v>
      </c>
      <c r="P193" t="s">
        <v>3201</v>
      </c>
      <c r="Q193">
        <v>84</v>
      </c>
      <c r="R193" t="s">
        <v>5882</v>
      </c>
    </row>
    <row r="194" spans="1:18" x14ac:dyDescent="0.25">
      <c r="A194" t="s">
        <v>3202</v>
      </c>
      <c r="B194" t="s">
        <v>133</v>
      </c>
      <c r="C194" t="s">
        <v>2443</v>
      </c>
      <c r="E194">
        <v>8</v>
      </c>
      <c r="F194">
        <v>4</v>
      </c>
      <c r="G194">
        <v>22</v>
      </c>
      <c r="H194">
        <v>10.7</v>
      </c>
      <c r="I194">
        <v>409</v>
      </c>
      <c r="J194">
        <v>189</v>
      </c>
      <c r="K194" t="str">
        <f t="shared" si="3"/>
        <v>aeth22107</v>
      </c>
      <c r="L194" t="s">
        <v>3203</v>
      </c>
      <c r="N194">
        <v>80</v>
      </c>
      <c r="O194" t="s">
        <v>5881</v>
      </c>
      <c r="P194" t="s">
        <v>3201</v>
      </c>
      <c r="Q194">
        <v>84</v>
      </c>
      <c r="R194" t="s">
        <v>5882</v>
      </c>
    </row>
    <row r="195" spans="1:18" x14ac:dyDescent="0.25">
      <c r="A195" t="s">
        <v>3204</v>
      </c>
      <c r="B195" t="s">
        <v>133</v>
      </c>
      <c r="C195" t="s">
        <v>2443</v>
      </c>
      <c r="D195" t="s">
        <v>11081</v>
      </c>
      <c r="E195">
        <v>100</v>
      </c>
      <c r="F195">
        <v>5</v>
      </c>
      <c r="G195">
        <v>28.7</v>
      </c>
      <c r="H195">
        <v>8.9</v>
      </c>
      <c r="I195">
        <v>541</v>
      </c>
      <c r="J195">
        <v>156</v>
      </c>
      <c r="K195" t="str">
        <f t="shared" si="3"/>
        <v>aeth28789</v>
      </c>
      <c r="L195" t="s">
        <v>3205</v>
      </c>
      <c r="N195">
        <v>84</v>
      </c>
      <c r="O195" t="s">
        <v>5882</v>
      </c>
    </row>
    <row r="196" spans="1:18" x14ac:dyDescent="0.25">
      <c r="A196" t="s">
        <v>3206</v>
      </c>
      <c r="B196" t="s">
        <v>133</v>
      </c>
      <c r="C196" t="s">
        <v>2518</v>
      </c>
      <c r="E196">
        <v>1</v>
      </c>
      <c r="F196">
        <v>1</v>
      </c>
      <c r="G196">
        <v>34</v>
      </c>
      <c r="H196">
        <v>23.6</v>
      </c>
      <c r="I196">
        <v>644</v>
      </c>
      <c r="J196">
        <v>434</v>
      </c>
      <c r="K196" t="str">
        <f t="shared" si="3"/>
        <v>aeth34236</v>
      </c>
    </row>
    <row r="197" spans="1:18" x14ac:dyDescent="0.25">
      <c r="A197" t="s">
        <v>3207</v>
      </c>
      <c r="B197" t="s">
        <v>133</v>
      </c>
      <c r="C197" t="s">
        <v>2518</v>
      </c>
      <c r="E197">
        <v>2</v>
      </c>
      <c r="F197">
        <v>2</v>
      </c>
      <c r="G197">
        <v>6.3</v>
      </c>
      <c r="H197">
        <v>29.7</v>
      </c>
      <c r="I197">
        <v>108</v>
      </c>
      <c r="J197">
        <v>559</v>
      </c>
      <c r="K197" t="str">
        <f t="shared" si="3"/>
        <v>aeth63297</v>
      </c>
    </row>
    <row r="198" spans="1:18" x14ac:dyDescent="0.25">
      <c r="A198" t="s">
        <v>3208</v>
      </c>
      <c r="B198" t="s">
        <v>133</v>
      </c>
      <c r="C198" t="s">
        <v>2518</v>
      </c>
      <c r="E198">
        <v>3</v>
      </c>
      <c r="F198">
        <v>3</v>
      </c>
      <c r="G198">
        <v>13.4</v>
      </c>
      <c r="H198">
        <v>7.6</v>
      </c>
      <c r="I198">
        <v>242</v>
      </c>
      <c r="J198">
        <v>128</v>
      </c>
      <c r="K198" t="str">
        <f t="shared" si="3"/>
        <v>aeth13476</v>
      </c>
    </row>
    <row r="199" spans="1:18" x14ac:dyDescent="0.25">
      <c r="A199" t="s">
        <v>3209</v>
      </c>
      <c r="B199" t="s">
        <v>133</v>
      </c>
      <c r="C199" t="s">
        <v>2518</v>
      </c>
      <c r="E199">
        <v>4</v>
      </c>
      <c r="F199">
        <v>4</v>
      </c>
      <c r="G199">
        <v>10.3</v>
      </c>
      <c r="H199">
        <v>24.9</v>
      </c>
      <c r="I199">
        <v>184</v>
      </c>
      <c r="J199">
        <v>466</v>
      </c>
      <c r="K199" t="str">
        <f t="shared" si="3"/>
        <v>aeth103249</v>
      </c>
    </row>
    <row r="200" spans="1:18" x14ac:dyDescent="0.25">
      <c r="A200" t="s">
        <v>3210</v>
      </c>
      <c r="B200" t="s">
        <v>133</v>
      </c>
      <c r="C200" t="s">
        <v>2518</v>
      </c>
      <c r="E200">
        <v>5</v>
      </c>
      <c r="F200">
        <v>1</v>
      </c>
      <c r="G200">
        <v>24.8</v>
      </c>
      <c r="H200">
        <v>26.2</v>
      </c>
      <c r="I200">
        <v>463</v>
      </c>
      <c r="J200">
        <v>495</v>
      </c>
      <c r="K200" t="str">
        <f t="shared" si="3"/>
        <v>aeth248262</v>
      </c>
      <c r="L200" t="s">
        <v>3211</v>
      </c>
      <c r="N200">
        <v>80</v>
      </c>
      <c r="O200" t="s">
        <v>5881</v>
      </c>
      <c r="P200" t="s">
        <v>3212</v>
      </c>
      <c r="Q200">
        <v>86</v>
      </c>
      <c r="R200" t="s">
        <v>5882</v>
      </c>
    </row>
    <row r="201" spans="1:18" x14ac:dyDescent="0.25">
      <c r="A201" t="s">
        <v>3213</v>
      </c>
      <c r="B201" t="s">
        <v>133</v>
      </c>
      <c r="C201" t="s">
        <v>2518</v>
      </c>
      <c r="E201">
        <v>6</v>
      </c>
      <c r="F201">
        <v>2</v>
      </c>
      <c r="G201">
        <v>9.1999999999999993</v>
      </c>
      <c r="H201">
        <v>31.6</v>
      </c>
      <c r="I201">
        <v>161</v>
      </c>
      <c r="J201">
        <v>598</v>
      </c>
      <c r="K201" t="str">
        <f t="shared" si="3"/>
        <v>aeth92316</v>
      </c>
      <c r="L201" t="s">
        <v>3214</v>
      </c>
      <c r="N201">
        <v>80</v>
      </c>
      <c r="O201" t="s">
        <v>5881</v>
      </c>
      <c r="P201" t="s">
        <v>3215</v>
      </c>
      <c r="Q201">
        <v>86</v>
      </c>
      <c r="R201" t="s">
        <v>5882</v>
      </c>
    </row>
    <row r="202" spans="1:18" x14ac:dyDescent="0.25">
      <c r="A202" t="s">
        <v>3216</v>
      </c>
      <c r="B202" t="s">
        <v>133</v>
      </c>
      <c r="C202" t="s">
        <v>2518</v>
      </c>
      <c r="E202">
        <v>7</v>
      </c>
      <c r="F202">
        <v>3</v>
      </c>
      <c r="G202">
        <v>11.7</v>
      </c>
      <c r="H202">
        <v>19.5</v>
      </c>
      <c r="I202">
        <v>207</v>
      </c>
      <c r="J202">
        <v>362</v>
      </c>
      <c r="K202" t="str">
        <f t="shared" si="3"/>
        <v>aeth117195</v>
      </c>
      <c r="L202" t="s">
        <v>3217</v>
      </c>
      <c r="N202">
        <v>80</v>
      </c>
      <c r="O202" t="s">
        <v>5881</v>
      </c>
      <c r="P202" t="s">
        <v>3218</v>
      </c>
      <c r="Q202">
        <v>87</v>
      </c>
      <c r="R202" t="s">
        <v>5882</v>
      </c>
    </row>
    <row r="203" spans="1:18" x14ac:dyDescent="0.25">
      <c r="A203" t="s">
        <v>3219</v>
      </c>
      <c r="B203" t="s">
        <v>133</v>
      </c>
      <c r="C203" t="s">
        <v>2518</v>
      </c>
      <c r="E203">
        <v>8</v>
      </c>
      <c r="F203">
        <v>4</v>
      </c>
      <c r="G203">
        <v>8.6</v>
      </c>
      <c r="H203">
        <v>17.600000000000001</v>
      </c>
      <c r="I203">
        <v>147</v>
      </c>
      <c r="J203">
        <v>326</v>
      </c>
      <c r="K203" t="str">
        <f t="shared" si="3"/>
        <v>aeth86176</v>
      </c>
      <c r="L203" t="s">
        <v>3220</v>
      </c>
      <c r="N203">
        <v>80</v>
      </c>
      <c r="O203" t="s">
        <v>5881</v>
      </c>
      <c r="P203" t="s">
        <v>3218</v>
      </c>
      <c r="Q203">
        <v>87</v>
      </c>
      <c r="R203" t="s">
        <v>5882</v>
      </c>
    </row>
    <row r="204" spans="1:18" x14ac:dyDescent="0.25">
      <c r="A204" t="s">
        <v>3221</v>
      </c>
      <c r="B204" t="s">
        <v>133</v>
      </c>
      <c r="C204" t="s">
        <v>2518</v>
      </c>
      <c r="D204" t="s">
        <v>11081</v>
      </c>
      <c r="E204">
        <v>100</v>
      </c>
      <c r="F204">
        <v>5</v>
      </c>
      <c r="G204">
        <v>31.6</v>
      </c>
      <c r="H204">
        <v>15.4</v>
      </c>
      <c r="I204">
        <v>598</v>
      </c>
      <c r="J204">
        <v>284</v>
      </c>
      <c r="K204" t="str">
        <f t="shared" si="3"/>
        <v>aeth316154</v>
      </c>
      <c r="L204" t="s">
        <v>3222</v>
      </c>
      <c r="N204">
        <v>87</v>
      </c>
      <c r="O204" t="s">
        <v>5882</v>
      </c>
    </row>
    <row r="205" spans="1:18" x14ac:dyDescent="0.25">
      <c r="A205" t="s">
        <v>3223</v>
      </c>
      <c r="B205" t="s">
        <v>133</v>
      </c>
      <c r="C205" t="s">
        <v>2481</v>
      </c>
      <c r="E205">
        <v>1</v>
      </c>
      <c r="F205">
        <v>1</v>
      </c>
      <c r="G205">
        <v>32.200000000000003</v>
      </c>
      <c r="H205">
        <v>26.2</v>
      </c>
      <c r="I205">
        <v>604</v>
      </c>
      <c r="J205">
        <v>494</v>
      </c>
      <c r="K205" t="str">
        <f t="shared" si="3"/>
        <v>aeth322262</v>
      </c>
    </row>
    <row r="206" spans="1:18" x14ac:dyDescent="0.25">
      <c r="A206" t="s">
        <v>3224</v>
      </c>
      <c r="B206" t="s">
        <v>133</v>
      </c>
      <c r="C206" t="s">
        <v>2481</v>
      </c>
      <c r="E206">
        <v>2</v>
      </c>
      <c r="F206">
        <v>2</v>
      </c>
      <c r="G206">
        <v>34.700000000000003</v>
      </c>
      <c r="H206">
        <v>29.7</v>
      </c>
      <c r="I206">
        <v>644</v>
      </c>
      <c r="J206">
        <v>570</v>
      </c>
      <c r="K206" t="str">
        <f t="shared" si="3"/>
        <v>aeth347297</v>
      </c>
    </row>
    <row r="207" spans="1:18" x14ac:dyDescent="0.25">
      <c r="A207" t="s">
        <v>3225</v>
      </c>
      <c r="B207" t="s">
        <v>133</v>
      </c>
      <c r="C207" t="s">
        <v>2481</v>
      </c>
      <c r="E207">
        <v>3</v>
      </c>
      <c r="F207">
        <v>3</v>
      </c>
      <c r="G207">
        <v>21.7</v>
      </c>
      <c r="H207">
        <v>6.3</v>
      </c>
      <c r="I207">
        <v>387</v>
      </c>
      <c r="J207">
        <v>101</v>
      </c>
      <c r="K207" t="str">
        <f t="shared" si="3"/>
        <v>aeth21763</v>
      </c>
    </row>
    <row r="208" spans="1:18" x14ac:dyDescent="0.25">
      <c r="A208" t="s">
        <v>3226</v>
      </c>
      <c r="B208" t="s">
        <v>133</v>
      </c>
      <c r="C208" t="s">
        <v>2481</v>
      </c>
      <c r="E208">
        <v>4</v>
      </c>
      <c r="F208">
        <v>4</v>
      </c>
      <c r="G208">
        <v>14.8</v>
      </c>
      <c r="H208">
        <v>14.2</v>
      </c>
      <c r="I208">
        <v>268</v>
      </c>
      <c r="J208">
        <v>250</v>
      </c>
      <c r="K208" t="str">
        <f t="shared" si="3"/>
        <v>aeth148142</v>
      </c>
    </row>
    <row r="209" spans="1:18" x14ac:dyDescent="0.25">
      <c r="A209" t="s">
        <v>3227</v>
      </c>
      <c r="B209" t="s">
        <v>133</v>
      </c>
      <c r="C209" t="s">
        <v>2481</v>
      </c>
      <c r="E209">
        <v>5</v>
      </c>
      <c r="F209">
        <v>1</v>
      </c>
      <c r="G209">
        <v>23.5</v>
      </c>
      <c r="H209">
        <v>12.3</v>
      </c>
      <c r="I209">
        <v>440</v>
      </c>
      <c r="J209">
        <v>219</v>
      </c>
      <c r="K209" t="str">
        <f t="shared" si="3"/>
        <v>aeth235123</v>
      </c>
      <c r="L209" t="s">
        <v>3228</v>
      </c>
      <c r="N209">
        <v>80</v>
      </c>
      <c r="O209" t="s">
        <v>5881</v>
      </c>
      <c r="P209" t="s">
        <v>3229</v>
      </c>
      <c r="Q209">
        <v>89</v>
      </c>
      <c r="R209" t="s">
        <v>5882</v>
      </c>
    </row>
    <row r="210" spans="1:18" x14ac:dyDescent="0.25">
      <c r="A210" t="s">
        <v>3230</v>
      </c>
      <c r="B210" t="s">
        <v>133</v>
      </c>
      <c r="C210" t="s">
        <v>2481</v>
      </c>
      <c r="E210">
        <v>6</v>
      </c>
      <c r="F210">
        <v>2</v>
      </c>
      <c r="G210">
        <v>22.4</v>
      </c>
      <c r="H210">
        <v>11</v>
      </c>
      <c r="I210">
        <v>420</v>
      </c>
      <c r="J210">
        <v>197</v>
      </c>
      <c r="K210" t="str">
        <f t="shared" si="3"/>
        <v>aeth22411</v>
      </c>
      <c r="L210" t="s">
        <v>3231</v>
      </c>
      <c r="N210">
        <v>80</v>
      </c>
      <c r="O210" t="s">
        <v>5881</v>
      </c>
      <c r="P210" t="s">
        <v>3229</v>
      </c>
      <c r="Q210">
        <v>89</v>
      </c>
      <c r="R210" t="s">
        <v>5882</v>
      </c>
    </row>
    <row r="211" spans="1:18" x14ac:dyDescent="0.25">
      <c r="A211" t="s">
        <v>3232</v>
      </c>
      <c r="B211" t="s">
        <v>133</v>
      </c>
      <c r="C211" t="s">
        <v>2481</v>
      </c>
      <c r="E211">
        <v>7</v>
      </c>
      <c r="F211">
        <v>3</v>
      </c>
      <c r="G211">
        <v>30.8</v>
      </c>
      <c r="H211">
        <v>27.7</v>
      </c>
      <c r="I211">
        <v>583</v>
      </c>
      <c r="J211">
        <v>522</v>
      </c>
      <c r="K211" t="str">
        <f t="shared" si="3"/>
        <v>aeth308277</v>
      </c>
      <c r="L211" t="s">
        <v>3233</v>
      </c>
      <c r="N211">
        <v>80</v>
      </c>
      <c r="O211" t="s">
        <v>5881</v>
      </c>
      <c r="P211" t="s">
        <v>3234</v>
      </c>
      <c r="Q211">
        <v>90</v>
      </c>
      <c r="R211" t="s">
        <v>5882</v>
      </c>
    </row>
    <row r="212" spans="1:18" x14ac:dyDescent="0.25">
      <c r="A212" t="s">
        <v>3235</v>
      </c>
      <c r="B212" t="s">
        <v>133</v>
      </c>
      <c r="C212" t="s">
        <v>2481</v>
      </c>
      <c r="E212">
        <v>8</v>
      </c>
      <c r="F212">
        <v>4</v>
      </c>
      <c r="G212">
        <v>31.6</v>
      </c>
      <c r="H212">
        <v>27.6</v>
      </c>
      <c r="I212">
        <v>601</v>
      </c>
      <c r="J212">
        <v>518</v>
      </c>
      <c r="K212" t="str">
        <f t="shared" si="3"/>
        <v>aeth316276</v>
      </c>
      <c r="L212" t="s">
        <v>3236</v>
      </c>
      <c r="N212">
        <v>80</v>
      </c>
      <c r="O212" t="s">
        <v>5881</v>
      </c>
      <c r="P212" t="s">
        <v>3234</v>
      </c>
      <c r="Q212">
        <v>90</v>
      </c>
      <c r="R212" t="s">
        <v>5882</v>
      </c>
    </row>
    <row r="213" spans="1:18" x14ac:dyDescent="0.25">
      <c r="A213" t="s">
        <v>3237</v>
      </c>
      <c r="B213" t="s">
        <v>133</v>
      </c>
      <c r="C213" t="s">
        <v>2481</v>
      </c>
      <c r="D213" t="s">
        <v>11081</v>
      </c>
      <c r="E213">
        <v>100</v>
      </c>
      <c r="F213">
        <v>5</v>
      </c>
      <c r="G213">
        <v>25.9</v>
      </c>
      <c r="H213">
        <v>27.7</v>
      </c>
      <c r="I213">
        <v>484</v>
      </c>
      <c r="J213">
        <v>524</v>
      </c>
      <c r="K213" t="str">
        <f t="shared" si="3"/>
        <v>aeth259277</v>
      </c>
      <c r="L213" t="s">
        <v>3238</v>
      </c>
      <c r="N213">
        <v>89</v>
      </c>
      <c r="O213" t="s">
        <v>5882</v>
      </c>
    </row>
    <row r="214" spans="1:18" x14ac:dyDescent="0.25">
      <c r="A214" t="s">
        <v>3239</v>
      </c>
      <c r="B214" t="s">
        <v>215</v>
      </c>
      <c r="C214" t="s">
        <v>2545</v>
      </c>
      <c r="E214">
        <v>1</v>
      </c>
      <c r="F214">
        <v>1</v>
      </c>
      <c r="G214">
        <v>28.5</v>
      </c>
      <c r="H214">
        <v>16.7</v>
      </c>
      <c r="I214">
        <v>534</v>
      </c>
      <c r="J214">
        <v>303</v>
      </c>
      <c r="K214" t="str">
        <f t="shared" si="3"/>
        <v>aeth285167</v>
      </c>
    </row>
    <row r="215" spans="1:18" x14ac:dyDescent="0.25">
      <c r="A215" t="s">
        <v>3240</v>
      </c>
      <c r="B215" t="s">
        <v>215</v>
      </c>
      <c r="C215" t="s">
        <v>2545</v>
      </c>
      <c r="E215">
        <v>2</v>
      </c>
      <c r="F215">
        <v>2</v>
      </c>
      <c r="G215">
        <v>12.3</v>
      </c>
      <c r="H215">
        <v>11.6</v>
      </c>
      <c r="I215">
        <v>221</v>
      </c>
      <c r="J215">
        <v>211</v>
      </c>
      <c r="K215" t="str">
        <f t="shared" si="3"/>
        <v>aeth123116</v>
      </c>
    </row>
    <row r="216" spans="1:18" x14ac:dyDescent="0.25">
      <c r="A216" t="s">
        <v>3241</v>
      </c>
      <c r="B216" t="s">
        <v>215</v>
      </c>
      <c r="C216" t="s">
        <v>2545</v>
      </c>
      <c r="E216">
        <v>3</v>
      </c>
      <c r="F216">
        <v>3</v>
      </c>
      <c r="G216">
        <v>17.399999999999999</v>
      </c>
      <c r="H216">
        <v>17.399999999999999</v>
      </c>
      <c r="I216">
        <v>320</v>
      </c>
      <c r="J216">
        <v>324</v>
      </c>
      <c r="K216" t="str">
        <f t="shared" si="3"/>
        <v>aeth174174</v>
      </c>
    </row>
    <row r="217" spans="1:18" x14ac:dyDescent="0.25">
      <c r="A217" t="s">
        <v>3242</v>
      </c>
      <c r="B217" t="s">
        <v>215</v>
      </c>
      <c r="C217" t="s">
        <v>2545</v>
      </c>
      <c r="E217">
        <v>4</v>
      </c>
      <c r="F217">
        <v>4</v>
      </c>
      <c r="G217">
        <v>29.7</v>
      </c>
      <c r="H217">
        <v>7.8</v>
      </c>
      <c r="I217">
        <v>564</v>
      </c>
      <c r="J217">
        <v>137</v>
      </c>
      <c r="K217" t="str">
        <f t="shared" si="3"/>
        <v>aeth29778</v>
      </c>
    </row>
    <row r="218" spans="1:18" x14ac:dyDescent="0.25">
      <c r="A218" t="s">
        <v>3243</v>
      </c>
      <c r="B218" t="s">
        <v>215</v>
      </c>
      <c r="C218" t="s">
        <v>2545</v>
      </c>
      <c r="E218">
        <v>5</v>
      </c>
      <c r="F218">
        <v>5</v>
      </c>
      <c r="G218">
        <v>18.7</v>
      </c>
      <c r="H218">
        <v>9.8000000000000007</v>
      </c>
      <c r="I218">
        <v>348</v>
      </c>
      <c r="J218">
        <v>172</v>
      </c>
      <c r="K218" t="str">
        <f t="shared" si="3"/>
        <v>aeth18798</v>
      </c>
    </row>
    <row r="219" spans="1:18" x14ac:dyDescent="0.25">
      <c r="A219" t="s">
        <v>3244</v>
      </c>
      <c r="B219" t="s">
        <v>215</v>
      </c>
      <c r="C219" t="s">
        <v>2545</v>
      </c>
      <c r="E219">
        <v>6</v>
      </c>
      <c r="F219">
        <v>6</v>
      </c>
      <c r="G219">
        <v>17.5</v>
      </c>
      <c r="H219">
        <v>20.3</v>
      </c>
      <c r="I219">
        <v>331</v>
      </c>
      <c r="J219">
        <v>382</v>
      </c>
      <c r="K219" t="str">
        <f t="shared" si="3"/>
        <v>aeth175203</v>
      </c>
    </row>
    <row r="220" spans="1:18" x14ac:dyDescent="0.25">
      <c r="A220" t="s">
        <v>3245</v>
      </c>
      <c r="B220" t="s">
        <v>215</v>
      </c>
      <c r="C220" t="s">
        <v>2545</v>
      </c>
      <c r="E220">
        <v>7</v>
      </c>
      <c r="F220">
        <v>7</v>
      </c>
      <c r="G220">
        <v>5.2</v>
      </c>
      <c r="H220">
        <v>23.5</v>
      </c>
      <c r="I220">
        <v>82</v>
      </c>
      <c r="J220">
        <v>441</v>
      </c>
      <c r="K220" t="str">
        <f t="shared" si="3"/>
        <v>aeth52235</v>
      </c>
    </row>
    <row r="221" spans="1:18" x14ac:dyDescent="0.25">
      <c r="A221" t="s">
        <v>3246</v>
      </c>
      <c r="B221" t="s">
        <v>215</v>
      </c>
      <c r="C221" t="s">
        <v>2545</v>
      </c>
      <c r="E221">
        <v>8</v>
      </c>
      <c r="F221">
        <v>8</v>
      </c>
      <c r="G221">
        <v>22.8</v>
      </c>
      <c r="H221">
        <v>36.4</v>
      </c>
      <c r="I221">
        <v>430</v>
      </c>
      <c r="J221">
        <v>687</v>
      </c>
      <c r="K221" t="str">
        <f t="shared" si="3"/>
        <v>aeth228364</v>
      </c>
    </row>
    <row r="222" spans="1:18" x14ac:dyDescent="0.25">
      <c r="A222" t="s">
        <v>3247</v>
      </c>
      <c r="B222" t="s">
        <v>215</v>
      </c>
      <c r="C222" t="s">
        <v>2545</v>
      </c>
      <c r="E222">
        <v>9</v>
      </c>
      <c r="F222">
        <v>9</v>
      </c>
      <c r="G222">
        <v>28.8</v>
      </c>
      <c r="H222">
        <v>21.2</v>
      </c>
      <c r="I222">
        <v>543</v>
      </c>
      <c r="J222">
        <v>401</v>
      </c>
      <c r="K222" t="str">
        <f t="shared" si="3"/>
        <v>aeth288212</v>
      </c>
    </row>
    <row r="223" spans="1:18" x14ac:dyDescent="0.25">
      <c r="A223" t="s">
        <v>3248</v>
      </c>
      <c r="B223" t="s">
        <v>215</v>
      </c>
      <c r="C223" t="s">
        <v>2545</v>
      </c>
      <c r="E223">
        <v>10</v>
      </c>
      <c r="F223">
        <v>10</v>
      </c>
      <c r="G223">
        <v>29.4</v>
      </c>
      <c r="H223">
        <v>26.7</v>
      </c>
      <c r="I223">
        <v>558</v>
      </c>
      <c r="J223">
        <v>502</v>
      </c>
      <c r="K223" t="str">
        <f t="shared" ref="K223:K286" si="4">LEFT(A223,4)&amp;SUBSTITUTE(G223,".","")&amp;SUBSTITUTE(H223,".","")</f>
        <v>aeth294267</v>
      </c>
    </row>
    <row r="224" spans="1:18" x14ac:dyDescent="0.25">
      <c r="A224" t="s">
        <v>3249</v>
      </c>
      <c r="B224" t="s">
        <v>215</v>
      </c>
      <c r="C224" t="s">
        <v>2545</v>
      </c>
      <c r="E224">
        <v>11</v>
      </c>
      <c r="F224">
        <v>1</v>
      </c>
      <c r="G224">
        <v>29.1</v>
      </c>
      <c r="H224">
        <v>13</v>
      </c>
      <c r="I224">
        <v>545</v>
      </c>
      <c r="J224">
        <v>234</v>
      </c>
      <c r="K224" t="str">
        <f t="shared" si="4"/>
        <v>aeth29113</v>
      </c>
      <c r="L224" t="s">
        <v>3250</v>
      </c>
      <c r="N224">
        <v>90</v>
      </c>
      <c r="O224" t="s">
        <v>5881</v>
      </c>
      <c r="P224" t="s">
        <v>3251</v>
      </c>
      <c r="Q224">
        <v>90</v>
      </c>
      <c r="R224" t="s">
        <v>5882</v>
      </c>
    </row>
    <row r="225" spans="1:18" x14ac:dyDescent="0.25">
      <c r="A225" t="s">
        <v>3252</v>
      </c>
      <c r="B225" t="s">
        <v>215</v>
      </c>
      <c r="C225" t="s">
        <v>2545</v>
      </c>
      <c r="E225">
        <v>12</v>
      </c>
      <c r="F225">
        <v>2</v>
      </c>
      <c r="G225">
        <v>29.3</v>
      </c>
      <c r="H225">
        <v>13.7</v>
      </c>
      <c r="I225">
        <v>549</v>
      </c>
      <c r="J225">
        <v>249</v>
      </c>
      <c r="K225" t="str">
        <f t="shared" si="4"/>
        <v>aeth293137</v>
      </c>
      <c r="L225" t="s">
        <v>3253</v>
      </c>
      <c r="N225">
        <v>90</v>
      </c>
      <c r="O225" t="s">
        <v>5881</v>
      </c>
      <c r="P225" t="s">
        <v>3251</v>
      </c>
      <c r="Q225">
        <v>90</v>
      </c>
      <c r="R225" t="s">
        <v>5882</v>
      </c>
    </row>
    <row r="226" spans="1:18" x14ac:dyDescent="0.25">
      <c r="A226" t="s">
        <v>3254</v>
      </c>
      <c r="B226" t="s">
        <v>215</v>
      </c>
      <c r="C226" t="s">
        <v>2545</v>
      </c>
      <c r="E226">
        <v>13</v>
      </c>
      <c r="F226">
        <v>3</v>
      </c>
      <c r="G226">
        <v>5.4</v>
      </c>
      <c r="H226">
        <v>24.2</v>
      </c>
      <c r="I226">
        <v>89</v>
      </c>
      <c r="J226">
        <v>452</v>
      </c>
      <c r="K226" t="str">
        <f t="shared" si="4"/>
        <v>aeth54242</v>
      </c>
      <c r="L226" t="s">
        <v>3255</v>
      </c>
      <c r="N226">
        <v>93</v>
      </c>
      <c r="O226" t="s">
        <v>5882</v>
      </c>
    </row>
    <row r="227" spans="1:18" x14ac:dyDescent="0.25">
      <c r="A227" t="s">
        <v>3256</v>
      </c>
      <c r="B227" t="s">
        <v>215</v>
      </c>
      <c r="C227" t="s">
        <v>2545</v>
      </c>
      <c r="E227">
        <v>14</v>
      </c>
      <c r="F227">
        <v>4</v>
      </c>
      <c r="G227">
        <v>29.9</v>
      </c>
      <c r="H227">
        <v>33.5</v>
      </c>
      <c r="I227">
        <v>566</v>
      </c>
      <c r="J227">
        <v>630</v>
      </c>
      <c r="K227" t="str">
        <f t="shared" si="4"/>
        <v>aeth299335</v>
      </c>
      <c r="L227" t="s">
        <v>3257</v>
      </c>
      <c r="N227">
        <v>90</v>
      </c>
      <c r="O227" t="s">
        <v>5881</v>
      </c>
      <c r="P227" t="s">
        <v>3255</v>
      </c>
      <c r="Q227">
        <v>93</v>
      </c>
      <c r="R227" t="s">
        <v>5882</v>
      </c>
    </row>
    <row r="228" spans="1:18" x14ac:dyDescent="0.25">
      <c r="A228" t="s">
        <v>3258</v>
      </c>
      <c r="B228" t="s">
        <v>215</v>
      </c>
      <c r="C228" t="s">
        <v>2545</v>
      </c>
      <c r="D228" t="s">
        <v>11081</v>
      </c>
      <c r="E228">
        <v>100</v>
      </c>
      <c r="F228">
        <v>5</v>
      </c>
      <c r="G228">
        <v>29.4</v>
      </c>
      <c r="H228">
        <v>32.299999999999997</v>
      </c>
      <c r="I228">
        <v>554</v>
      </c>
      <c r="J228">
        <v>616</v>
      </c>
      <c r="K228" t="str">
        <f t="shared" si="4"/>
        <v>aeth294323</v>
      </c>
      <c r="L228" t="s">
        <v>3259</v>
      </c>
      <c r="N228">
        <v>90</v>
      </c>
      <c r="O228" t="s">
        <v>5881</v>
      </c>
      <c r="P228" t="s">
        <v>3255</v>
      </c>
      <c r="Q228">
        <v>93</v>
      </c>
      <c r="R228" t="s">
        <v>5882</v>
      </c>
    </row>
    <row r="229" spans="1:18" x14ac:dyDescent="0.25">
      <c r="A229" t="s">
        <v>3260</v>
      </c>
      <c r="B229" t="s">
        <v>215</v>
      </c>
      <c r="C229" t="s">
        <v>2597</v>
      </c>
      <c r="E229">
        <v>1</v>
      </c>
      <c r="F229">
        <v>1</v>
      </c>
      <c r="G229">
        <v>27.4</v>
      </c>
      <c r="H229">
        <v>7.7</v>
      </c>
      <c r="I229">
        <v>519</v>
      </c>
      <c r="J229">
        <v>133</v>
      </c>
      <c r="K229" t="str">
        <f t="shared" si="4"/>
        <v>aeth27477</v>
      </c>
    </row>
    <row r="230" spans="1:18" x14ac:dyDescent="0.25">
      <c r="A230" t="s">
        <v>3261</v>
      </c>
      <c r="B230" t="s">
        <v>215</v>
      </c>
      <c r="C230" t="s">
        <v>2597</v>
      </c>
      <c r="E230">
        <v>2</v>
      </c>
      <c r="F230">
        <v>2</v>
      </c>
      <c r="G230">
        <v>9.4</v>
      </c>
      <c r="H230">
        <v>17.8</v>
      </c>
      <c r="I230">
        <v>164</v>
      </c>
      <c r="J230">
        <v>332</v>
      </c>
      <c r="K230" t="str">
        <f t="shared" si="4"/>
        <v>aeth94178</v>
      </c>
    </row>
    <row r="231" spans="1:18" x14ac:dyDescent="0.25">
      <c r="A231" t="s">
        <v>3262</v>
      </c>
      <c r="B231" t="s">
        <v>215</v>
      </c>
      <c r="C231" t="s">
        <v>2597</v>
      </c>
      <c r="E231">
        <v>3</v>
      </c>
      <c r="F231">
        <v>3</v>
      </c>
      <c r="G231">
        <v>8.6999999999999993</v>
      </c>
      <c r="H231">
        <v>11.7</v>
      </c>
      <c r="I231">
        <v>152</v>
      </c>
      <c r="J231">
        <v>210</v>
      </c>
      <c r="K231" t="str">
        <f t="shared" si="4"/>
        <v>aeth87117</v>
      </c>
    </row>
    <row r="232" spans="1:18" x14ac:dyDescent="0.25">
      <c r="A232" t="s">
        <v>3263</v>
      </c>
      <c r="B232" t="s">
        <v>215</v>
      </c>
      <c r="C232" t="s">
        <v>2597</v>
      </c>
      <c r="E232">
        <v>4</v>
      </c>
      <c r="F232">
        <v>4</v>
      </c>
      <c r="G232">
        <v>39.799999999999997</v>
      </c>
      <c r="H232">
        <v>13.4</v>
      </c>
      <c r="I232">
        <v>757</v>
      </c>
      <c r="J232">
        <v>246</v>
      </c>
      <c r="K232" t="str">
        <f t="shared" si="4"/>
        <v>aeth398134</v>
      </c>
    </row>
    <row r="233" spans="1:18" x14ac:dyDescent="0.25">
      <c r="A233" t="s">
        <v>3264</v>
      </c>
      <c r="B233" t="s">
        <v>215</v>
      </c>
      <c r="C233" t="s">
        <v>2597</v>
      </c>
      <c r="E233">
        <v>5</v>
      </c>
      <c r="F233">
        <v>5</v>
      </c>
      <c r="G233">
        <v>31.8</v>
      </c>
      <c r="H233">
        <v>14.5</v>
      </c>
      <c r="I233">
        <v>600</v>
      </c>
      <c r="J233">
        <v>267</v>
      </c>
      <c r="K233" t="str">
        <f t="shared" si="4"/>
        <v>aeth318145</v>
      </c>
    </row>
    <row r="234" spans="1:18" x14ac:dyDescent="0.25">
      <c r="A234" t="s">
        <v>3265</v>
      </c>
      <c r="B234" t="s">
        <v>215</v>
      </c>
      <c r="C234" t="s">
        <v>2597</v>
      </c>
      <c r="E234">
        <v>6</v>
      </c>
      <c r="F234">
        <v>6</v>
      </c>
      <c r="G234">
        <v>15.6</v>
      </c>
      <c r="H234">
        <v>34.299999999999997</v>
      </c>
      <c r="I234">
        <v>286</v>
      </c>
      <c r="J234">
        <v>648</v>
      </c>
      <c r="K234" t="str">
        <f t="shared" si="4"/>
        <v>aeth156343</v>
      </c>
    </row>
    <row r="235" spans="1:18" x14ac:dyDescent="0.25">
      <c r="A235" t="s">
        <v>3266</v>
      </c>
      <c r="B235" t="s">
        <v>215</v>
      </c>
      <c r="C235" t="s">
        <v>2597</v>
      </c>
      <c r="E235">
        <v>7</v>
      </c>
      <c r="F235">
        <v>7</v>
      </c>
      <c r="G235">
        <v>22.4</v>
      </c>
      <c r="H235">
        <v>27.2</v>
      </c>
      <c r="I235">
        <v>417</v>
      </c>
      <c r="J235">
        <v>510</v>
      </c>
      <c r="K235" t="str">
        <f t="shared" si="4"/>
        <v>aeth224272</v>
      </c>
    </row>
    <row r="236" spans="1:18" x14ac:dyDescent="0.25">
      <c r="A236" t="s">
        <v>3267</v>
      </c>
      <c r="B236" t="s">
        <v>215</v>
      </c>
      <c r="C236" t="s">
        <v>2597</v>
      </c>
      <c r="E236">
        <v>8</v>
      </c>
      <c r="F236">
        <v>8</v>
      </c>
      <c r="G236">
        <v>6.4</v>
      </c>
      <c r="H236">
        <v>23.9</v>
      </c>
      <c r="I236">
        <v>104</v>
      </c>
      <c r="J236">
        <v>448</v>
      </c>
      <c r="K236" t="str">
        <f t="shared" si="4"/>
        <v>aeth64239</v>
      </c>
    </row>
    <row r="237" spans="1:18" x14ac:dyDescent="0.25">
      <c r="A237" t="s">
        <v>3268</v>
      </c>
      <c r="B237" t="s">
        <v>215</v>
      </c>
      <c r="C237" t="s">
        <v>2597</v>
      </c>
      <c r="E237">
        <v>9</v>
      </c>
      <c r="F237">
        <v>9</v>
      </c>
      <c r="G237">
        <v>24</v>
      </c>
      <c r="H237">
        <v>31.9</v>
      </c>
      <c r="I237">
        <v>452</v>
      </c>
      <c r="J237">
        <v>605</v>
      </c>
      <c r="K237" t="str">
        <f t="shared" si="4"/>
        <v>aeth24319</v>
      </c>
    </row>
    <row r="238" spans="1:18" x14ac:dyDescent="0.25">
      <c r="A238" t="s">
        <v>3269</v>
      </c>
      <c r="B238" t="s">
        <v>215</v>
      </c>
      <c r="C238" t="s">
        <v>2597</v>
      </c>
      <c r="E238">
        <v>10</v>
      </c>
      <c r="F238">
        <v>10</v>
      </c>
      <c r="G238">
        <v>31.1</v>
      </c>
      <c r="H238">
        <v>38.1</v>
      </c>
      <c r="I238">
        <v>588</v>
      </c>
      <c r="J238">
        <v>724</v>
      </c>
      <c r="K238" t="str">
        <f t="shared" si="4"/>
        <v>aeth311381</v>
      </c>
    </row>
    <row r="239" spans="1:18" x14ac:dyDescent="0.25">
      <c r="A239" t="s">
        <v>3270</v>
      </c>
      <c r="B239" t="s">
        <v>215</v>
      </c>
      <c r="C239" t="s">
        <v>2597</v>
      </c>
      <c r="E239">
        <v>11</v>
      </c>
      <c r="F239">
        <v>1</v>
      </c>
      <c r="G239">
        <v>18.8</v>
      </c>
      <c r="H239">
        <v>13</v>
      </c>
      <c r="I239">
        <v>346</v>
      </c>
      <c r="J239">
        <v>236</v>
      </c>
      <c r="K239" t="str">
        <f t="shared" si="4"/>
        <v>aeth18813</v>
      </c>
      <c r="L239" t="s">
        <v>3271</v>
      </c>
      <c r="N239">
        <v>90</v>
      </c>
      <c r="O239" t="s">
        <v>5881</v>
      </c>
      <c r="P239" t="s">
        <v>3272</v>
      </c>
      <c r="Q239">
        <v>90</v>
      </c>
      <c r="R239" t="s">
        <v>5882</v>
      </c>
    </row>
    <row r="240" spans="1:18" x14ac:dyDescent="0.25">
      <c r="A240" t="s">
        <v>3273</v>
      </c>
      <c r="B240" t="s">
        <v>215</v>
      </c>
      <c r="C240" t="s">
        <v>2597</v>
      </c>
      <c r="E240">
        <v>12</v>
      </c>
      <c r="F240">
        <v>2</v>
      </c>
      <c r="G240">
        <v>20</v>
      </c>
      <c r="H240">
        <v>11.7</v>
      </c>
      <c r="I240">
        <v>373</v>
      </c>
      <c r="J240">
        <v>210</v>
      </c>
      <c r="K240" t="str">
        <f t="shared" si="4"/>
        <v>aeth20117</v>
      </c>
      <c r="L240" t="s">
        <v>3274</v>
      </c>
      <c r="N240">
        <v>90</v>
      </c>
      <c r="O240" t="s">
        <v>5881</v>
      </c>
      <c r="P240" t="s">
        <v>3272</v>
      </c>
      <c r="Q240">
        <v>90</v>
      </c>
      <c r="R240" t="s">
        <v>5882</v>
      </c>
    </row>
    <row r="241" spans="1:18" x14ac:dyDescent="0.25">
      <c r="A241" t="s">
        <v>3275</v>
      </c>
      <c r="B241" t="s">
        <v>215</v>
      </c>
      <c r="C241" t="s">
        <v>2597</v>
      </c>
      <c r="E241">
        <v>13</v>
      </c>
      <c r="F241">
        <v>3</v>
      </c>
      <c r="G241">
        <v>11</v>
      </c>
      <c r="H241">
        <v>27.8</v>
      </c>
      <c r="I241">
        <v>196</v>
      </c>
      <c r="J241">
        <v>522</v>
      </c>
      <c r="K241" t="str">
        <f t="shared" si="4"/>
        <v>aeth11278</v>
      </c>
      <c r="L241" t="s">
        <v>3276</v>
      </c>
      <c r="N241">
        <v>90</v>
      </c>
      <c r="O241" t="s">
        <v>5881</v>
      </c>
      <c r="P241" t="s">
        <v>3277</v>
      </c>
      <c r="Q241">
        <v>92</v>
      </c>
      <c r="R241" t="s">
        <v>5882</v>
      </c>
    </row>
    <row r="242" spans="1:18" x14ac:dyDescent="0.25">
      <c r="A242" t="s">
        <v>3278</v>
      </c>
      <c r="B242" t="s">
        <v>215</v>
      </c>
      <c r="C242" t="s">
        <v>2597</v>
      </c>
      <c r="E242">
        <v>14</v>
      </c>
      <c r="F242">
        <v>4</v>
      </c>
      <c r="G242">
        <v>11.6</v>
      </c>
      <c r="H242">
        <v>26.9</v>
      </c>
      <c r="I242">
        <v>207</v>
      </c>
      <c r="J242">
        <v>508</v>
      </c>
      <c r="K242" t="str">
        <f t="shared" si="4"/>
        <v>aeth116269</v>
      </c>
      <c r="L242" t="s">
        <v>3279</v>
      </c>
      <c r="N242">
        <v>90</v>
      </c>
      <c r="O242" t="s">
        <v>5881</v>
      </c>
      <c r="P242" t="s">
        <v>3277</v>
      </c>
      <c r="Q242">
        <v>92</v>
      </c>
      <c r="R242" t="s">
        <v>5882</v>
      </c>
    </row>
    <row r="243" spans="1:18" x14ac:dyDescent="0.25">
      <c r="A243" t="s">
        <v>3280</v>
      </c>
      <c r="B243" t="s">
        <v>215</v>
      </c>
      <c r="C243" t="s">
        <v>2597</v>
      </c>
      <c r="D243" t="s">
        <v>11081</v>
      </c>
      <c r="E243">
        <v>100</v>
      </c>
      <c r="F243">
        <v>5</v>
      </c>
      <c r="G243">
        <v>31.8</v>
      </c>
      <c r="H243">
        <v>25.5</v>
      </c>
      <c r="I243">
        <v>602</v>
      </c>
      <c r="J243">
        <v>476</v>
      </c>
      <c r="K243" t="str">
        <f t="shared" si="4"/>
        <v>aeth318255</v>
      </c>
      <c r="L243" t="s">
        <v>3281</v>
      </c>
      <c r="N243">
        <v>92</v>
      </c>
      <c r="O243" t="s">
        <v>5882</v>
      </c>
    </row>
    <row r="244" spans="1:18" x14ac:dyDescent="0.25">
      <c r="A244" t="s">
        <v>3282</v>
      </c>
      <c r="B244" t="s">
        <v>215</v>
      </c>
      <c r="C244" t="s">
        <v>2649</v>
      </c>
      <c r="E244">
        <v>1</v>
      </c>
      <c r="F244">
        <v>1</v>
      </c>
      <c r="G244">
        <v>19.100000000000001</v>
      </c>
      <c r="H244">
        <v>10.9</v>
      </c>
      <c r="I244">
        <v>357</v>
      </c>
      <c r="J244">
        <v>194</v>
      </c>
      <c r="K244" t="str">
        <f t="shared" si="4"/>
        <v>aeth191109</v>
      </c>
    </row>
    <row r="245" spans="1:18" x14ac:dyDescent="0.25">
      <c r="A245" t="s">
        <v>3283</v>
      </c>
      <c r="B245" t="s">
        <v>215</v>
      </c>
      <c r="C245" t="s">
        <v>2649</v>
      </c>
      <c r="E245">
        <v>2</v>
      </c>
      <c r="F245">
        <v>2</v>
      </c>
      <c r="G245">
        <v>29.7</v>
      </c>
      <c r="H245">
        <v>10.5</v>
      </c>
      <c r="I245">
        <v>553</v>
      </c>
      <c r="J245">
        <v>187</v>
      </c>
      <c r="K245" t="str">
        <f t="shared" si="4"/>
        <v>aeth297105</v>
      </c>
    </row>
    <row r="246" spans="1:18" x14ac:dyDescent="0.25">
      <c r="A246" t="s">
        <v>3284</v>
      </c>
      <c r="B246" t="s">
        <v>215</v>
      </c>
      <c r="C246" t="s">
        <v>2649</v>
      </c>
      <c r="E246">
        <v>3</v>
      </c>
      <c r="F246">
        <v>3</v>
      </c>
      <c r="G246">
        <v>10.4</v>
      </c>
      <c r="H246">
        <v>18.7</v>
      </c>
      <c r="I246">
        <v>185</v>
      </c>
      <c r="J246">
        <v>347</v>
      </c>
      <c r="K246" t="str">
        <f t="shared" si="4"/>
        <v>aeth104187</v>
      </c>
    </row>
    <row r="247" spans="1:18" x14ac:dyDescent="0.25">
      <c r="A247" t="s">
        <v>3285</v>
      </c>
      <c r="B247" t="s">
        <v>215</v>
      </c>
      <c r="C247" t="s">
        <v>2649</v>
      </c>
      <c r="E247">
        <v>4</v>
      </c>
      <c r="F247">
        <v>4</v>
      </c>
      <c r="G247">
        <v>17.5</v>
      </c>
      <c r="H247">
        <v>6.7</v>
      </c>
      <c r="I247">
        <v>331</v>
      </c>
      <c r="J247">
        <v>109</v>
      </c>
      <c r="K247" t="str">
        <f t="shared" si="4"/>
        <v>aeth17567</v>
      </c>
    </row>
    <row r="248" spans="1:18" x14ac:dyDescent="0.25">
      <c r="A248" t="s">
        <v>3286</v>
      </c>
      <c r="B248" t="s">
        <v>215</v>
      </c>
      <c r="C248" t="s">
        <v>2649</v>
      </c>
      <c r="E248">
        <v>5</v>
      </c>
      <c r="F248">
        <v>5</v>
      </c>
      <c r="G248">
        <v>33.6</v>
      </c>
      <c r="H248">
        <v>26.1</v>
      </c>
      <c r="I248">
        <v>636</v>
      </c>
      <c r="J248">
        <v>487</v>
      </c>
      <c r="K248" t="str">
        <f t="shared" si="4"/>
        <v>aeth336261</v>
      </c>
    </row>
    <row r="249" spans="1:18" x14ac:dyDescent="0.25">
      <c r="A249" t="s">
        <v>3287</v>
      </c>
      <c r="B249" t="s">
        <v>215</v>
      </c>
      <c r="C249" t="s">
        <v>2649</v>
      </c>
      <c r="E249">
        <v>6</v>
      </c>
      <c r="F249">
        <v>6</v>
      </c>
      <c r="G249">
        <v>19.100000000000001</v>
      </c>
      <c r="H249">
        <v>33.9</v>
      </c>
      <c r="I249">
        <v>358</v>
      </c>
      <c r="J249">
        <v>640</v>
      </c>
      <c r="K249" t="str">
        <f t="shared" si="4"/>
        <v>aeth191339</v>
      </c>
    </row>
    <row r="250" spans="1:18" x14ac:dyDescent="0.25">
      <c r="A250" t="s">
        <v>3288</v>
      </c>
      <c r="B250" t="s">
        <v>215</v>
      </c>
      <c r="C250" t="s">
        <v>2649</v>
      </c>
      <c r="E250">
        <v>7</v>
      </c>
      <c r="F250">
        <v>7</v>
      </c>
      <c r="G250">
        <v>22.2</v>
      </c>
      <c r="H250">
        <v>21.4</v>
      </c>
      <c r="I250">
        <v>417</v>
      </c>
      <c r="J250">
        <v>397</v>
      </c>
      <c r="K250" t="str">
        <f t="shared" si="4"/>
        <v>aeth222214</v>
      </c>
    </row>
    <row r="251" spans="1:18" x14ac:dyDescent="0.25">
      <c r="A251" t="s">
        <v>3289</v>
      </c>
      <c r="B251" t="s">
        <v>215</v>
      </c>
      <c r="C251" t="s">
        <v>2649</v>
      </c>
      <c r="E251">
        <v>8</v>
      </c>
      <c r="F251">
        <v>8</v>
      </c>
      <c r="G251">
        <v>7.9</v>
      </c>
      <c r="H251">
        <v>26.2</v>
      </c>
      <c r="I251">
        <v>138</v>
      </c>
      <c r="J251">
        <v>494</v>
      </c>
      <c r="K251" t="str">
        <f t="shared" si="4"/>
        <v>aeth79262</v>
      </c>
    </row>
    <row r="252" spans="1:18" x14ac:dyDescent="0.25">
      <c r="A252" t="s">
        <v>3290</v>
      </c>
      <c r="B252" t="s">
        <v>215</v>
      </c>
      <c r="C252" t="s">
        <v>2649</v>
      </c>
      <c r="E252">
        <v>9</v>
      </c>
      <c r="F252">
        <v>9</v>
      </c>
      <c r="G252">
        <v>25.5</v>
      </c>
      <c r="H252">
        <v>24.6</v>
      </c>
      <c r="I252">
        <v>481</v>
      </c>
      <c r="J252">
        <v>462</v>
      </c>
      <c r="K252" t="str">
        <f t="shared" si="4"/>
        <v>aeth255246</v>
      </c>
    </row>
    <row r="253" spans="1:18" x14ac:dyDescent="0.25">
      <c r="A253" t="s">
        <v>3291</v>
      </c>
      <c r="B253" t="s">
        <v>215</v>
      </c>
      <c r="C253" t="s">
        <v>2649</v>
      </c>
      <c r="E253">
        <v>10</v>
      </c>
      <c r="F253">
        <v>10</v>
      </c>
      <c r="G253">
        <v>36.4</v>
      </c>
      <c r="H253">
        <v>35.700000000000003</v>
      </c>
      <c r="I253">
        <v>694</v>
      </c>
      <c r="J253">
        <v>677</v>
      </c>
      <c r="K253" t="str">
        <f t="shared" si="4"/>
        <v>aeth364357</v>
      </c>
    </row>
    <row r="254" spans="1:18" x14ac:dyDescent="0.25">
      <c r="A254" t="s">
        <v>3292</v>
      </c>
      <c r="B254" t="s">
        <v>215</v>
      </c>
      <c r="C254" t="s">
        <v>2649</v>
      </c>
      <c r="E254">
        <v>11</v>
      </c>
      <c r="F254">
        <v>1</v>
      </c>
      <c r="G254">
        <v>13.3</v>
      </c>
      <c r="H254">
        <v>13.5</v>
      </c>
      <c r="I254">
        <v>239</v>
      </c>
      <c r="J254">
        <v>240</v>
      </c>
      <c r="K254" t="str">
        <f t="shared" si="4"/>
        <v>aeth133135</v>
      </c>
      <c r="L254" t="s">
        <v>3293</v>
      </c>
      <c r="N254">
        <v>90</v>
      </c>
      <c r="O254" t="s">
        <v>5881</v>
      </c>
      <c r="P254" t="s">
        <v>3294</v>
      </c>
      <c r="Q254">
        <v>94</v>
      </c>
      <c r="R254" t="s">
        <v>5882</v>
      </c>
    </row>
    <row r="255" spans="1:18" x14ac:dyDescent="0.25">
      <c r="A255" t="s">
        <v>3295</v>
      </c>
      <c r="B255" t="s">
        <v>215</v>
      </c>
      <c r="C255" t="s">
        <v>2649</v>
      </c>
      <c r="E255">
        <v>12</v>
      </c>
      <c r="F255">
        <v>2</v>
      </c>
      <c r="G255">
        <v>22.2</v>
      </c>
      <c r="H255">
        <v>8.8000000000000007</v>
      </c>
      <c r="I255">
        <v>412</v>
      </c>
      <c r="J255">
        <v>155</v>
      </c>
      <c r="K255" t="str">
        <f t="shared" si="4"/>
        <v>aeth22288</v>
      </c>
      <c r="L255" t="s">
        <v>3296</v>
      </c>
      <c r="N255">
        <v>90</v>
      </c>
      <c r="O255" t="s">
        <v>5881</v>
      </c>
      <c r="P255" t="s">
        <v>3294</v>
      </c>
      <c r="Q255">
        <v>94</v>
      </c>
      <c r="R255" t="s">
        <v>5882</v>
      </c>
    </row>
    <row r="256" spans="1:18" x14ac:dyDescent="0.25">
      <c r="A256" t="s">
        <v>3297</v>
      </c>
      <c r="B256" t="s">
        <v>215</v>
      </c>
      <c r="C256" t="s">
        <v>2649</v>
      </c>
      <c r="E256">
        <v>13</v>
      </c>
      <c r="F256">
        <v>3</v>
      </c>
      <c r="G256">
        <v>31.4</v>
      </c>
      <c r="H256">
        <v>32.700000000000003</v>
      </c>
      <c r="I256">
        <v>593</v>
      </c>
      <c r="J256">
        <v>617</v>
      </c>
      <c r="K256" t="str">
        <f t="shared" si="4"/>
        <v>aeth314327</v>
      </c>
      <c r="L256" t="s">
        <v>3298</v>
      </c>
      <c r="N256">
        <v>95</v>
      </c>
      <c r="O256" t="s">
        <v>5882</v>
      </c>
    </row>
    <row r="257" spans="1:18" x14ac:dyDescent="0.25">
      <c r="A257" t="s">
        <v>3299</v>
      </c>
      <c r="B257" t="s">
        <v>215</v>
      </c>
      <c r="C257" t="s">
        <v>2649</v>
      </c>
      <c r="E257">
        <v>14</v>
      </c>
      <c r="F257">
        <v>4</v>
      </c>
      <c r="G257">
        <v>33.1</v>
      </c>
      <c r="H257">
        <v>31.6</v>
      </c>
      <c r="I257">
        <v>628</v>
      </c>
      <c r="J257">
        <v>594</v>
      </c>
      <c r="K257" t="str">
        <f t="shared" si="4"/>
        <v>aeth331316</v>
      </c>
      <c r="L257" t="s">
        <v>3300</v>
      </c>
      <c r="N257">
        <v>90</v>
      </c>
      <c r="O257" t="s">
        <v>5881</v>
      </c>
      <c r="P257" t="s">
        <v>3301</v>
      </c>
      <c r="Q257">
        <v>95</v>
      </c>
      <c r="R257" t="s">
        <v>5882</v>
      </c>
    </row>
    <row r="258" spans="1:18" x14ac:dyDescent="0.25">
      <c r="A258" t="s">
        <v>3302</v>
      </c>
      <c r="B258" t="s">
        <v>215</v>
      </c>
      <c r="C258" t="s">
        <v>2649</v>
      </c>
      <c r="D258" t="s">
        <v>11081</v>
      </c>
      <c r="E258">
        <v>100</v>
      </c>
      <c r="F258">
        <v>5</v>
      </c>
      <c r="G258">
        <v>32.1</v>
      </c>
      <c r="H258">
        <v>31.3</v>
      </c>
      <c r="I258">
        <v>607</v>
      </c>
      <c r="J258">
        <v>594</v>
      </c>
      <c r="K258" t="str">
        <f t="shared" si="4"/>
        <v>aeth321313</v>
      </c>
      <c r="L258" t="s">
        <v>3303</v>
      </c>
      <c r="N258">
        <v>90</v>
      </c>
      <c r="O258" t="s">
        <v>5881</v>
      </c>
      <c r="P258" t="s">
        <v>3301</v>
      </c>
      <c r="Q258">
        <v>95</v>
      </c>
      <c r="R258" t="s">
        <v>5882</v>
      </c>
    </row>
    <row r="259" spans="1:18" x14ac:dyDescent="0.25">
      <c r="A259" t="s">
        <v>3304</v>
      </c>
      <c r="B259" t="s">
        <v>215</v>
      </c>
      <c r="C259" t="s">
        <v>2713</v>
      </c>
      <c r="E259">
        <v>1</v>
      </c>
      <c r="F259">
        <v>1</v>
      </c>
      <c r="G259">
        <v>27.3</v>
      </c>
      <c r="H259">
        <v>31.5</v>
      </c>
      <c r="I259">
        <v>517</v>
      </c>
      <c r="J259">
        <v>593</v>
      </c>
      <c r="K259" t="str">
        <f t="shared" si="4"/>
        <v>aeth273315</v>
      </c>
    </row>
    <row r="260" spans="1:18" x14ac:dyDescent="0.25">
      <c r="A260" t="s">
        <v>3305</v>
      </c>
      <c r="B260" t="s">
        <v>215</v>
      </c>
      <c r="C260" t="s">
        <v>2713</v>
      </c>
      <c r="E260">
        <v>2</v>
      </c>
      <c r="F260">
        <v>2</v>
      </c>
      <c r="G260">
        <v>17.600000000000001</v>
      </c>
      <c r="H260">
        <v>20.399999999999999</v>
      </c>
      <c r="I260">
        <v>328</v>
      </c>
      <c r="J260">
        <v>377</v>
      </c>
      <c r="K260" t="str">
        <f t="shared" si="4"/>
        <v>aeth176204</v>
      </c>
    </row>
    <row r="261" spans="1:18" x14ac:dyDescent="0.25">
      <c r="A261" t="s">
        <v>3306</v>
      </c>
      <c r="B261" t="s">
        <v>215</v>
      </c>
      <c r="C261" t="s">
        <v>2713</v>
      </c>
      <c r="E261">
        <v>3</v>
      </c>
      <c r="F261">
        <v>3</v>
      </c>
      <c r="G261">
        <v>9.4</v>
      </c>
      <c r="H261">
        <v>14.4</v>
      </c>
      <c r="I261">
        <v>165</v>
      </c>
      <c r="J261">
        <v>262</v>
      </c>
      <c r="K261" t="str">
        <f t="shared" si="4"/>
        <v>aeth94144</v>
      </c>
    </row>
    <row r="262" spans="1:18" x14ac:dyDescent="0.25">
      <c r="A262" t="s">
        <v>3307</v>
      </c>
      <c r="B262" t="s">
        <v>215</v>
      </c>
      <c r="C262" t="s">
        <v>2713</v>
      </c>
      <c r="E262">
        <v>4</v>
      </c>
      <c r="F262">
        <v>4</v>
      </c>
      <c r="G262">
        <v>7.2</v>
      </c>
      <c r="H262">
        <v>19.8</v>
      </c>
      <c r="I262">
        <v>123</v>
      </c>
      <c r="J262">
        <v>368</v>
      </c>
      <c r="K262" t="str">
        <f t="shared" si="4"/>
        <v>aeth72198</v>
      </c>
    </row>
    <row r="263" spans="1:18" x14ac:dyDescent="0.25">
      <c r="A263" t="s">
        <v>3308</v>
      </c>
      <c r="B263" t="s">
        <v>215</v>
      </c>
      <c r="C263" t="s">
        <v>2713</v>
      </c>
      <c r="E263">
        <v>5</v>
      </c>
      <c r="F263">
        <v>5</v>
      </c>
      <c r="G263">
        <v>9</v>
      </c>
      <c r="H263">
        <v>27.9</v>
      </c>
      <c r="I263">
        <v>154</v>
      </c>
      <c r="J263">
        <v>529</v>
      </c>
      <c r="K263" t="str">
        <f t="shared" si="4"/>
        <v>aeth9279</v>
      </c>
    </row>
    <row r="264" spans="1:18" x14ac:dyDescent="0.25">
      <c r="A264" t="s">
        <v>3309</v>
      </c>
      <c r="B264" t="s">
        <v>215</v>
      </c>
      <c r="C264" t="s">
        <v>2713</v>
      </c>
      <c r="E264">
        <v>6</v>
      </c>
      <c r="F264">
        <v>6</v>
      </c>
      <c r="G264">
        <v>20.2</v>
      </c>
      <c r="H264">
        <v>17.899999999999999</v>
      </c>
      <c r="I264">
        <v>379</v>
      </c>
      <c r="J264">
        <v>329</v>
      </c>
      <c r="K264" t="str">
        <f t="shared" si="4"/>
        <v>aeth202179</v>
      </c>
    </row>
    <row r="265" spans="1:18" x14ac:dyDescent="0.25">
      <c r="A265" t="s">
        <v>3310</v>
      </c>
      <c r="B265" t="s">
        <v>215</v>
      </c>
      <c r="C265" t="s">
        <v>2713</v>
      </c>
      <c r="E265">
        <v>7</v>
      </c>
      <c r="F265">
        <v>7</v>
      </c>
      <c r="G265">
        <v>29</v>
      </c>
      <c r="H265">
        <v>11.3</v>
      </c>
      <c r="I265">
        <v>548</v>
      </c>
      <c r="J265">
        <v>203</v>
      </c>
      <c r="K265" t="str">
        <f t="shared" si="4"/>
        <v>aeth29113</v>
      </c>
    </row>
    <row r="266" spans="1:18" x14ac:dyDescent="0.25">
      <c r="A266" t="s">
        <v>3311</v>
      </c>
      <c r="B266" t="s">
        <v>215</v>
      </c>
      <c r="C266" t="s">
        <v>2713</v>
      </c>
      <c r="E266">
        <v>8</v>
      </c>
      <c r="F266">
        <v>8</v>
      </c>
      <c r="G266">
        <v>25.1</v>
      </c>
      <c r="H266">
        <v>20.2</v>
      </c>
      <c r="I266">
        <v>472</v>
      </c>
      <c r="J266">
        <v>378</v>
      </c>
      <c r="K266" t="str">
        <f t="shared" si="4"/>
        <v>aeth251202</v>
      </c>
    </row>
    <row r="267" spans="1:18" x14ac:dyDescent="0.25">
      <c r="A267" t="s">
        <v>3312</v>
      </c>
      <c r="B267" t="s">
        <v>215</v>
      </c>
      <c r="C267" t="s">
        <v>2713</v>
      </c>
      <c r="E267">
        <v>9</v>
      </c>
      <c r="F267">
        <v>9</v>
      </c>
      <c r="G267">
        <v>34.4</v>
      </c>
      <c r="H267">
        <v>13.1</v>
      </c>
      <c r="I267">
        <v>651</v>
      </c>
      <c r="J267">
        <v>237</v>
      </c>
      <c r="K267" t="str">
        <f t="shared" si="4"/>
        <v>aeth344131</v>
      </c>
    </row>
    <row r="268" spans="1:18" x14ac:dyDescent="0.25">
      <c r="A268" t="s">
        <v>3313</v>
      </c>
      <c r="B268" t="s">
        <v>215</v>
      </c>
      <c r="C268" t="s">
        <v>2713</v>
      </c>
      <c r="E268">
        <v>10</v>
      </c>
      <c r="F268">
        <v>10</v>
      </c>
      <c r="G268">
        <v>34.6</v>
      </c>
      <c r="H268">
        <v>23.1</v>
      </c>
      <c r="I268">
        <v>655</v>
      </c>
      <c r="J268">
        <v>433</v>
      </c>
      <c r="K268" t="str">
        <f t="shared" si="4"/>
        <v>aeth346231</v>
      </c>
    </row>
    <row r="269" spans="1:18" x14ac:dyDescent="0.25">
      <c r="A269" t="s">
        <v>3314</v>
      </c>
      <c r="B269" t="s">
        <v>215</v>
      </c>
      <c r="C269" t="s">
        <v>2713</v>
      </c>
      <c r="E269">
        <v>11</v>
      </c>
      <c r="F269">
        <v>1</v>
      </c>
      <c r="G269">
        <v>28.9</v>
      </c>
      <c r="H269">
        <v>30.2</v>
      </c>
      <c r="I269">
        <v>545</v>
      </c>
      <c r="J269">
        <v>568</v>
      </c>
      <c r="K269" t="str">
        <f t="shared" si="4"/>
        <v>aeth289302</v>
      </c>
      <c r="L269" t="s">
        <v>3315</v>
      </c>
      <c r="N269">
        <v>90</v>
      </c>
      <c r="O269" t="s">
        <v>5881</v>
      </c>
      <c r="P269" t="s">
        <v>3316</v>
      </c>
      <c r="Q269">
        <v>95</v>
      </c>
      <c r="R269" t="s">
        <v>5882</v>
      </c>
    </row>
    <row r="270" spans="1:18" x14ac:dyDescent="0.25">
      <c r="A270" t="s">
        <v>3317</v>
      </c>
      <c r="B270" t="s">
        <v>215</v>
      </c>
      <c r="C270" t="s">
        <v>2713</v>
      </c>
      <c r="E270">
        <v>12</v>
      </c>
      <c r="F270">
        <v>2</v>
      </c>
      <c r="G270">
        <v>19.2</v>
      </c>
      <c r="H270">
        <v>27.8</v>
      </c>
      <c r="I270">
        <v>355</v>
      </c>
      <c r="J270">
        <v>522</v>
      </c>
      <c r="K270" t="str">
        <f t="shared" si="4"/>
        <v>aeth192278</v>
      </c>
      <c r="L270" t="s">
        <v>3318</v>
      </c>
      <c r="N270">
        <v>90</v>
      </c>
      <c r="O270" t="s">
        <v>5881</v>
      </c>
      <c r="P270" t="s">
        <v>3316</v>
      </c>
      <c r="Q270">
        <v>95</v>
      </c>
      <c r="R270" t="s">
        <v>5882</v>
      </c>
    </row>
    <row r="271" spans="1:18" x14ac:dyDescent="0.25">
      <c r="A271" t="s">
        <v>3319</v>
      </c>
      <c r="B271" t="s">
        <v>215</v>
      </c>
      <c r="C271" t="s">
        <v>2713</v>
      </c>
      <c r="E271">
        <v>13</v>
      </c>
      <c r="F271">
        <v>3</v>
      </c>
      <c r="G271">
        <v>27.2</v>
      </c>
      <c r="H271">
        <v>11.8</v>
      </c>
      <c r="I271">
        <v>513</v>
      </c>
      <c r="J271">
        <v>210</v>
      </c>
      <c r="K271" t="str">
        <f t="shared" si="4"/>
        <v>aeth272118</v>
      </c>
      <c r="L271" t="s">
        <v>3320</v>
      </c>
      <c r="N271">
        <v>90</v>
      </c>
      <c r="O271" t="s">
        <v>5881</v>
      </c>
      <c r="P271" t="s">
        <v>3321</v>
      </c>
      <c r="Q271">
        <v>96</v>
      </c>
      <c r="R271" t="s">
        <v>5882</v>
      </c>
    </row>
    <row r="272" spans="1:18" x14ac:dyDescent="0.25">
      <c r="A272" t="s">
        <v>3322</v>
      </c>
      <c r="B272" t="s">
        <v>215</v>
      </c>
      <c r="C272" t="s">
        <v>2713</v>
      </c>
      <c r="E272">
        <v>14</v>
      </c>
      <c r="F272">
        <v>4</v>
      </c>
      <c r="G272">
        <v>13.9</v>
      </c>
      <c r="H272">
        <v>19.100000000000001</v>
      </c>
      <c r="I272">
        <v>250</v>
      </c>
      <c r="J272">
        <v>357</v>
      </c>
      <c r="K272" t="str">
        <f t="shared" si="4"/>
        <v>aeth139191</v>
      </c>
      <c r="L272" t="s">
        <v>3323</v>
      </c>
      <c r="N272">
        <v>90</v>
      </c>
      <c r="O272" t="s">
        <v>5881</v>
      </c>
      <c r="P272" t="s">
        <v>3324</v>
      </c>
      <c r="Q272">
        <v>96</v>
      </c>
      <c r="R272" t="s">
        <v>5882</v>
      </c>
    </row>
    <row r="273" spans="1:18" x14ac:dyDescent="0.25">
      <c r="A273" t="s">
        <v>3325</v>
      </c>
      <c r="B273" t="s">
        <v>215</v>
      </c>
      <c r="C273" t="s">
        <v>2713</v>
      </c>
      <c r="D273" t="s">
        <v>11081</v>
      </c>
      <c r="E273">
        <v>100</v>
      </c>
      <c r="F273">
        <v>5</v>
      </c>
      <c r="G273">
        <v>15.1</v>
      </c>
      <c r="H273">
        <v>17.899999999999999</v>
      </c>
      <c r="I273">
        <v>276</v>
      </c>
      <c r="J273">
        <v>330</v>
      </c>
      <c r="K273" t="str">
        <f t="shared" si="4"/>
        <v>aeth151179</v>
      </c>
      <c r="L273" t="s">
        <v>3326</v>
      </c>
      <c r="N273">
        <v>96</v>
      </c>
      <c r="O273" t="s">
        <v>5882</v>
      </c>
    </row>
    <row r="274" spans="1:18" x14ac:dyDescent="0.25">
      <c r="A274" t="s">
        <v>3327</v>
      </c>
      <c r="B274" t="s">
        <v>215</v>
      </c>
      <c r="C274" t="s">
        <v>340</v>
      </c>
      <c r="E274">
        <v>1</v>
      </c>
      <c r="F274">
        <v>1</v>
      </c>
      <c r="G274">
        <v>29.4</v>
      </c>
      <c r="H274">
        <v>25.9</v>
      </c>
      <c r="I274">
        <v>555</v>
      </c>
      <c r="J274">
        <v>487</v>
      </c>
      <c r="K274" t="str">
        <f t="shared" si="4"/>
        <v>aeth294259</v>
      </c>
    </row>
    <row r="275" spans="1:18" x14ac:dyDescent="0.25">
      <c r="A275" t="s">
        <v>3328</v>
      </c>
      <c r="B275" t="s">
        <v>215</v>
      </c>
      <c r="C275" t="s">
        <v>340</v>
      </c>
      <c r="E275">
        <v>2</v>
      </c>
      <c r="F275">
        <v>2</v>
      </c>
      <c r="G275">
        <v>23</v>
      </c>
      <c r="H275">
        <v>18.5</v>
      </c>
      <c r="I275">
        <v>430</v>
      </c>
      <c r="J275">
        <v>343</v>
      </c>
      <c r="K275" t="str">
        <f t="shared" si="4"/>
        <v>aeth23185</v>
      </c>
    </row>
    <row r="276" spans="1:18" x14ac:dyDescent="0.25">
      <c r="A276" t="s">
        <v>3329</v>
      </c>
      <c r="B276" t="s">
        <v>215</v>
      </c>
      <c r="C276" t="s">
        <v>340</v>
      </c>
      <c r="E276">
        <v>3</v>
      </c>
      <c r="F276">
        <v>3</v>
      </c>
      <c r="G276">
        <v>25.5</v>
      </c>
      <c r="H276">
        <v>7.8</v>
      </c>
      <c r="I276">
        <v>483</v>
      </c>
      <c r="J276">
        <v>135</v>
      </c>
      <c r="K276" t="str">
        <f t="shared" si="4"/>
        <v>aeth25578</v>
      </c>
    </row>
    <row r="277" spans="1:18" x14ac:dyDescent="0.25">
      <c r="A277" t="s">
        <v>3330</v>
      </c>
      <c r="B277" t="s">
        <v>215</v>
      </c>
      <c r="C277" t="s">
        <v>340</v>
      </c>
      <c r="E277">
        <v>4</v>
      </c>
      <c r="F277">
        <v>4</v>
      </c>
      <c r="G277">
        <v>35.1</v>
      </c>
      <c r="H277">
        <v>11.1</v>
      </c>
      <c r="I277">
        <v>669</v>
      </c>
      <c r="J277">
        <v>197</v>
      </c>
      <c r="K277" t="str">
        <f t="shared" si="4"/>
        <v>aeth351111</v>
      </c>
    </row>
    <row r="278" spans="1:18" x14ac:dyDescent="0.25">
      <c r="A278" t="s">
        <v>3331</v>
      </c>
      <c r="B278" t="s">
        <v>215</v>
      </c>
      <c r="C278" t="s">
        <v>340</v>
      </c>
      <c r="E278">
        <v>5</v>
      </c>
      <c r="F278">
        <v>5</v>
      </c>
      <c r="G278">
        <v>33.6</v>
      </c>
      <c r="H278">
        <v>17.600000000000001</v>
      </c>
      <c r="I278">
        <v>638</v>
      </c>
      <c r="J278">
        <v>324</v>
      </c>
      <c r="K278" t="str">
        <f t="shared" si="4"/>
        <v>aeth336176</v>
      </c>
    </row>
    <row r="279" spans="1:18" x14ac:dyDescent="0.25">
      <c r="A279" t="s">
        <v>3332</v>
      </c>
      <c r="B279" t="s">
        <v>215</v>
      </c>
      <c r="C279" t="s">
        <v>340</v>
      </c>
      <c r="E279">
        <v>6</v>
      </c>
      <c r="F279">
        <v>6</v>
      </c>
      <c r="G279">
        <v>9.6999999999999993</v>
      </c>
      <c r="H279">
        <v>12.1</v>
      </c>
      <c r="I279">
        <v>175</v>
      </c>
      <c r="J279">
        <v>217</v>
      </c>
      <c r="K279" t="str">
        <f t="shared" si="4"/>
        <v>aeth97121</v>
      </c>
    </row>
    <row r="280" spans="1:18" x14ac:dyDescent="0.25">
      <c r="A280" t="s">
        <v>3333</v>
      </c>
      <c r="B280" t="s">
        <v>215</v>
      </c>
      <c r="C280" t="s">
        <v>340</v>
      </c>
      <c r="E280">
        <v>7</v>
      </c>
      <c r="F280">
        <v>7</v>
      </c>
      <c r="G280">
        <v>15.7</v>
      </c>
      <c r="H280">
        <v>16.100000000000001</v>
      </c>
      <c r="I280">
        <v>287</v>
      </c>
      <c r="J280">
        <v>297</v>
      </c>
      <c r="K280" t="str">
        <f t="shared" si="4"/>
        <v>aeth157161</v>
      </c>
    </row>
    <row r="281" spans="1:18" x14ac:dyDescent="0.25">
      <c r="A281" t="s">
        <v>3334</v>
      </c>
      <c r="B281" t="s">
        <v>215</v>
      </c>
      <c r="C281" t="s">
        <v>340</v>
      </c>
      <c r="E281">
        <v>8</v>
      </c>
      <c r="F281">
        <v>8</v>
      </c>
      <c r="G281">
        <v>9.4</v>
      </c>
      <c r="H281">
        <v>26.8</v>
      </c>
      <c r="I281">
        <v>166</v>
      </c>
      <c r="J281">
        <v>505</v>
      </c>
      <c r="K281" t="str">
        <f t="shared" si="4"/>
        <v>aeth94268</v>
      </c>
    </row>
    <row r="282" spans="1:18" x14ac:dyDescent="0.25">
      <c r="A282" t="s">
        <v>3335</v>
      </c>
      <c r="B282" t="s">
        <v>215</v>
      </c>
      <c r="C282" t="s">
        <v>340</v>
      </c>
      <c r="E282">
        <v>9</v>
      </c>
      <c r="F282">
        <v>9</v>
      </c>
      <c r="G282">
        <v>20.8</v>
      </c>
      <c r="H282">
        <v>28.1</v>
      </c>
      <c r="I282">
        <v>392</v>
      </c>
      <c r="J282">
        <v>527</v>
      </c>
      <c r="K282" t="str">
        <f t="shared" si="4"/>
        <v>aeth208281</v>
      </c>
    </row>
    <row r="283" spans="1:18" x14ac:dyDescent="0.25">
      <c r="A283" t="s">
        <v>3336</v>
      </c>
      <c r="B283" t="s">
        <v>215</v>
      </c>
      <c r="C283" t="s">
        <v>340</v>
      </c>
      <c r="E283">
        <v>10</v>
      </c>
      <c r="F283">
        <v>10</v>
      </c>
      <c r="G283">
        <v>12.3</v>
      </c>
      <c r="H283">
        <v>35.299999999999997</v>
      </c>
      <c r="I283">
        <v>223</v>
      </c>
      <c r="J283">
        <v>670</v>
      </c>
      <c r="K283" t="str">
        <f t="shared" si="4"/>
        <v>aeth123353</v>
      </c>
    </row>
    <row r="284" spans="1:18" x14ac:dyDescent="0.25">
      <c r="A284" t="s">
        <v>3337</v>
      </c>
      <c r="B284" t="s">
        <v>215</v>
      </c>
      <c r="C284" t="s">
        <v>340</v>
      </c>
      <c r="E284">
        <v>11</v>
      </c>
      <c r="F284">
        <v>1</v>
      </c>
      <c r="G284">
        <v>17.899999999999999</v>
      </c>
      <c r="H284">
        <v>9.4</v>
      </c>
      <c r="I284">
        <v>331</v>
      </c>
      <c r="J284">
        <v>165</v>
      </c>
      <c r="K284" t="str">
        <f t="shared" si="4"/>
        <v>aeth17994</v>
      </c>
      <c r="L284" t="s">
        <v>3338</v>
      </c>
      <c r="N284">
        <v>90</v>
      </c>
      <c r="O284" t="s">
        <v>5881</v>
      </c>
      <c r="P284" t="s">
        <v>3339</v>
      </c>
      <c r="Q284">
        <v>97</v>
      </c>
      <c r="R284" t="s">
        <v>5882</v>
      </c>
    </row>
    <row r="285" spans="1:18" x14ac:dyDescent="0.25">
      <c r="A285" t="s">
        <v>3340</v>
      </c>
      <c r="B285" t="s">
        <v>215</v>
      </c>
      <c r="C285" t="s">
        <v>340</v>
      </c>
      <c r="E285">
        <v>12</v>
      </c>
      <c r="F285">
        <v>2</v>
      </c>
      <c r="G285">
        <v>18.399999999999999</v>
      </c>
      <c r="H285">
        <v>9.8000000000000007</v>
      </c>
      <c r="I285">
        <v>341</v>
      </c>
      <c r="J285">
        <v>174</v>
      </c>
      <c r="K285" t="str">
        <f t="shared" si="4"/>
        <v>aeth18498</v>
      </c>
      <c r="L285" t="s">
        <v>3341</v>
      </c>
      <c r="N285">
        <v>90</v>
      </c>
      <c r="O285" t="s">
        <v>5881</v>
      </c>
      <c r="P285" t="s">
        <v>3339</v>
      </c>
      <c r="Q285">
        <v>97</v>
      </c>
      <c r="R285" t="s">
        <v>5882</v>
      </c>
    </row>
    <row r="286" spans="1:18" x14ac:dyDescent="0.25">
      <c r="A286" t="s">
        <v>3342</v>
      </c>
      <c r="B286" t="s">
        <v>215</v>
      </c>
      <c r="C286" t="s">
        <v>340</v>
      </c>
      <c r="E286">
        <v>13</v>
      </c>
      <c r="F286">
        <v>3</v>
      </c>
      <c r="G286">
        <v>17.2</v>
      </c>
      <c r="H286">
        <v>33.4</v>
      </c>
      <c r="I286">
        <v>317</v>
      </c>
      <c r="J286">
        <v>630</v>
      </c>
      <c r="K286" t="str">
        <f t="shared" si="4"/>
        <v>aeth172334</v>
      </c>
      <c r="L286" t="s">
        <v>3343</v>
      </c>
      <c r="N286">
        <v>90</v>
      </c>
      <c r="O286" t="s">
        <v>5881</v>
      </c>
      <c r="P286" t="s">
        <v>3344</v>
      </c>
      <c r="Q286">
        <v>98</v>
      </c>
      <c r="R286" t="s">
        <v>5882</v>
      </c>
    </row>
    <row r="287" spans="1:18" x14ac:dyDescent="0.25">
      <c r="A287" t="s">
        <v>3345</v>
      </c>
      <c r="B287" t="s">
        <v>215</v>
      </c>
      <c r="C287" t="s">
        <v>340</v>
      </c>
      <c r="E287">
        <v>14</v>
      </c>
      <c r="F287">
        <v>4</v>
      </c>
      <c r="G287">
        <v>9.4</v>
      </c>
      <c r="H287">
        <v>11.6</v>
      </c>
      <c r="I287">
        <v>165</v>
      </c>
      <c r="J287">
        <v>207</v>
      </c>
      <c r="K287" t="str">
        <f t="shared" ref="K287:K303" si="5">LEFT(A287,4)&amp;SUBSTITUTE(G287,".","")&amp;SUBSTITUTE(H287,".","")</f>
        <v>aeth94116</v>
      </c>
      <c r="L287" t="s">
        <v>3346</v>
      </c>
      <c r="N287">
        <v>90</v>
      </c>
      <c r="O287" t="s">
        <v>5881</v>
      </c>
      <c r="P287" t="s">
        <v>3344</v>
      </c>
      <c r="Q287">
        <v>98</v>
      </c>
      <c r="R287" t="s">
        <v>5882</v>
      </c>
    </row>
    <row r="288" spans="1:18" x14ac:dyDescent="0.25">
      <c r="A288" t="s">
        <v>3347</v>
      </c>
      <c r="B288" t="s">
        <v>215</v>
      </c>
      <c r="C288" t="s">
        <v>340</v>
      </c>
      <c r="D288" t="s">
        <v>11081</v>
      </c>
      <c r="E288">
        <v>100</v>
      </c>
      <c r="F288">
        <v>5</v>
      </c>
      <c r="G288">
        <v>5.9</v>
      </c>
      <c r="H288">
        <v>6.2</v>
      </c>
      <c r="K288" t="str">
        <f t="shared" si="5"/>
        <v>aeth5962</v>
      </c>
      <c r="L288" t="s">
        <v>3348</v>
      </c>
      <c r="M288" t="s">
        <v>10628</v>
      </c>
      <c r="N288">
        <v>99</v>
      </c>
      <c r="O288" t="s">
        <v>5882</v>
      </c>
    </row>
    <row r="289" spans="1:18" x14ac:dyDescent="0.25">
      <c r="A289" t="s">
        <v>3349</v>
      </c>
      <c r="B289" t="s">
        <v>215</v>
      </c>
      <c r="C289" t="s">
        <v>2749</v>
      </c>
      <c r="E289">
        <v>1</v>
      </c>
      <c r="F289">
        <v>1</v>
      </c>
      <c r="G289">
        <v>7.5</v>
      </c>
      <c r="H289">
        <v>30.9</v>
      </c>
      <c r="I289">
        <v>127</v>
      </c>
      <c r="J289">
        <v>582</v>
      </c>
      <c r="K289" t="str">
        <f t="shared" si="5"/>
        <v>aeth75309</v>
      </c>
    </row>
    <row r="290" spans="1:18" x14ac:dyDescent="0.25">
      <c r="A290" t="s">
        <v>3350</v>
      </c>
      <c r="B290" t="s">
        <v>215</v>
      </c>
      <c r="C290" t="s">
        <v>2749</v>
      </c>
      <c r="E290">
        <v>2</v>
      </c>
      <c r="F290">
        <v>2</v>
      </c>
      <c r="G290">
        <v>36.5</v>
      </c>
      <c r="H290">
        <v>28.4</v>
      </c>
      <c r="I290">
        <v>694</v>
      </c>
      <c r="J290">
        <v>535</v>
      </c>
      <c r="K290" t="str">
        <f t="shared" si="5"/>
        <v>aeth365284</v>
      </c>
    </row>
    <row r="291" spans="1:18" x14ac:dyDescent="0.25">
      <c r="A291" t="s">
        <v>3351</v>
      </c>
      <c r="B291" t="s">
        <v>215</v>
      </c>
      <c r="C291" t="s">
        <v>2749</v>
      </c>
      <c r="E291">
        <v>3</v>
      </c>
      <c r="F291">
        <v>3</v>
      </c>
      <c r="G291">
        <v>11.1</v>
      </c>
      <c r="H291">
        <v>35.1</v>
      </c>
      <c r="I291">
        <v>200</v>
      </c>
      <c r="J291">
        <v>665</v>
      </c>
      <c r="K291" t="str">
        <f t="shared" si="5"/>
        <v>aeth111351</v>
      </c>
    </row>
    <row r="292" spans="1:18" x14ac:dyDescent="0.25">
      <c r="A292" t="s">
        <v>3352</v>
      </c>
      <c r="B292" t="s">
        <v>215</v>
      </c>
      <c r="C292" t="s">
        <v>2749</v>
      </c>
      <c r="E292">
        <v>4</v>
      </c>
      <c r="F292">
        <v>4</v>
      </c>
      <c r="G292">
        <v>26.1</v>
      </c>
      <c r="H292">
        <v>32.299999999999997</v>
      </c>
      <c r="I292">
        <v>491</v>
      </c>
      <c r="J292">
        <v>610</v>
      </c>
      <c r="K292" t="str">
        <f t="shared" si="5"/>
        <v>aeth261323</v>
      </c>
    </row>
    <row r="293" spans="1:18" x14ac:dyDescent="0.25">
      <c r="A293" t="s">
        <v>3353</v>
      </c>
      <c r="B293" t="s">
        <v>215</v>
      </c>
      <c r="C293" t="s">
        <v>2749</v>
      </c>
      <c r="E293">
        <v>5</v>
      </c>
      <c r="F293">
        <v>5</v>
      </c>
      <c r="G293">
        <v>33.9</v>
      </c>
      <c r="H293">
        <v>34.200000000000003</v>
      </c>
      <c r="I293">
        <v>644</v>
      </c>
      <c r="J293">
        <v>650</v>
      </c>
      <c r="K293" t="str">
        <f t="shared" si="5"/>
        <v>aeth339342</v>
      </c>
    </row>
    <row r="294" spans="1:18" x14ac:dyDescent="0.25">
      <c r="A294" t="s">
        <v>3354</v>
      </c>
      <c r="B294" t="s">
        <v>215</v>
      </c>
      <c r="C294" t="s">
        <v>2749</v>
      </c>
      <c r="E294">
        <v>6</v>
      </c>
      <c r="F294">
        <v>6</v>
      </c>
      <c r="G294">
        <v>31.6</v>
      </c>
      <c r="H294">
        <v>8.4</v>
      </c>
      <c r="I294">
        <v>598</v>
      </c>
      <c r="J294">
        <v>145</v>
      </c>
      <c r="K294" t="str">
        <f t="shared" si="5"/>
        <v>aeth31684</v>
      </c>
    </row>
    <row r="295" spans="1:18" x14ac:dyDescent="0.25">
      <c r="A295" t="s">
        <v>3355</v>
      </c>
      <c r="B295" t="s">
        <v>215</v>
      </c>
      <c r="C295" t="s">
        <v>2749</v>
      </c>
      <c r="E295">
        <v>7</v>
      </c>
      <c r="F295">
        <v>7</v>
      </c>
      <c r="G295">
        <v>10.199999999999999</v>
      </c>
      <c r="H295">
        <v>11.3</v>
      </c>
      <c r="I295">
        <v>182</v>
      </c>
      <c r="J295">
        <v>203</v>
      </c>
      <c r="K295" t="str">
        <f t="shared" si="5"/>
        <v>aeth102113</v>
      </c>
    </row>
    <row r="296" spans="1:18" x14ac:dyDescent="0.25">
      <c r="A296" t="s">
        <v>3356</v>
      </c>
      <c r="B296" t="s">
        <v>215</v>
      </c>
      <c r="C296" t="s">
        <v>2749</v>
      </c>
      <c r="E296">
        <v>8</v>
      </c>
      <c r="F296">
        <v>8</v>
      </c>
      <c r="G296">
        <v>27.7</v>
      </c>
      <c r="H296">
        <v>10.7</v>
      </c>
      <c r="I296">
        <v>523</v>
      </c>
      <c r="J296">
        <v>187</v>
      </c>
      <c r="K296" t="str">
        <f t="shared" si="5"/>
        <v>aeth277107</v>
      </c>
    </row>
    <row r="297" spans="1:18" x14ac:dyDescent="0.25">
      <c r="A297" t="s">
        <v>3357</v>
      </c>
      <c r="B297" t="s">
        <v>215</v>
      </c>
      <c r="C297" t="s">
        <v>2749</v>
      </c>
      <c r="E297">
        <v>9</v>
      </c>
      <c r="F297">
        <v>9</v>
      </c>
      <c r="G297">
        <v>24.8</v>
      </c>
      <c r="H297">
        <v>15.3</v>
      </c>
      <c r="I297">
        <v>467</v>
      </c>
      <c r="J297">
        <v>284</v>
      </c>
      <c r="K297" t="str">
        <f t="shared" si="5"/>
        <v>aeth248153</v>
      </c>
    </row>
    <row r="298" spans="1:18" x14ac:dyDescent="0.25">
      <c r="A298" t="s">
        <v>3358</v>
      </c>
      <c r="B298" t="s">
        <v>215</v>
      </c>
      <c r="C298" t="s">
        <v>2749</v>
      </c>
      <c r="E298">
        <v>10</v>
      </c>
      <c r="F298">
        <v>10</v>
      </c>
      <c r="G298">
        <v>11.8</v>
      </c>
      <c r="H298">
        <v>20.399999999999999</v>
      </c>
      <c r="I298">
        <v>214</v>
      </c>
      <c r="J298">
        <v>380</v>
      </c>
      <c r="K298" t="str">
        <f t="shared" si="5"/>
        <v>aeth118204</v>
      </c>
    </row>
    <row r="299" spans="1:18" x14ac:dyDescent="0.25">
      <c r="A299" t="s">
        <v>3359</v>
      </c>
      <c r="B299" t="s">
        <v>215</v>
      </c>
      <c r="C299" t="s">
        <v>2749</v>
      </c>
      <c r="E299">
        <v>11</v>
      </c>
      <c r="F299">
        <v>1</v>
      </c>
      <c r="G299">
        <v>8.6999999999999993</v>
      </c>
      <c r="H299">
        <v>31.4</v>
      </c>
      <c r="I299">
        <v>148</v>
      </c>
      <c r="J299">
        <v>593</v>
      </c>
      <c r="K299" t="str">
        <f t="shared" si="5"/>
        <v>aeth87314</v>
      </c>
      <c r="L299" t="s">
        <v>3360</v>
      </c>
      <c r="N299">
        <v>90</v>
      </c>
      <c r="O299" t="s">
        <v>5881</v>
      </c>
      <c r="P299" t="s">
        <v>3361</v>
      </c>
      <c r="Q299">
        <v>99</v>
      </c>
      <c r="R299" t="s">
        <v>5881</v>
      </c>
    </row>
    <row r="300" spans="1:18" x14ac:dyDescent="0.25">
      <c r="A300" t="s">
        <v>3362</v>
      </c>
      <c r="B300" t="s">
        <v>215</v>
      </c>
      <c r="C300" t="s">
        <v>2749</v>
      </c>
      <c r="E300">
        <v>12</v>
      </c>
      <c r="F300">
        <v>2</v>
      </c>
      <c r="G300">
        <v>30.9</v>
      </c>
      <c r="H300">
        <v>35.6</v>
      </c>
      <c r="I300">
        <v>588</v>
      </c>
      <c r="J300">
        <v>673</v>
      </c>
      <c r="K300" t="str">
        <f t="shared" si="5"/>
        <v>aeth309356</v>
      </c>
      <c r="L300" t="s">
        <v>3363</v>
      </c>
      <c r="N300">
        <v>90</v>
      </c>
      <c r="O300" t="s">
        <v>5881</v>
      </c>
      <c r="P300" t="s">
        <v>3364</v>
      </c>
      <c r="Q300">
        <v>99</v>
      </c>
      <c r="R300" t="s">
        <v>5881</v>
      </c>
    </row>
    <row r="301" spans="1:18" x14ac:dyDescent="0.25">
      <c r="A301" t="s">
        <v>3365</v>
      </c>
      <c r="B301" t="s">
        <v>215</v>
      </c>
      <c r="C301" t="s">
        <v>2749</v>
      </c>
      <c r="E301">
        <v>13</v>
      </c>
      <c r="F301">
        <v>3</v>
      </c>
      <c r="G301">
        <v>34</v>
      </c>
      <c r="H301">
        <v>15.8</v>
      </c>
      <c r="I301">
        <v>646</v>
      </c>
      <c r="J301">
        <v>290</v>
      </c>
      <c r="K301" t="str">
        <f t="shared" si="5"/>
        <v>aeth34158</v>
      </c>
      <c r="L301" t="s">
        <v>3366</v>
      </c>
      <c r="N301">
        <v>90</v>
      </c>
      <c r="O301" t="s">
        <v>5881</v>
      </c>
      <c r="P301" t="s">
        <v>3367</v>
      </c>
      <c r="Q301">
        <v>100</v>
      </c>
      <c r="R301" t="s">
        <v>5881</v>
      </c>
    </row>
    <row r="302" spans="1:18" x14ac:dyDescent="0.25">
      <c r="A302" t="s">
        <v>3368</v>
      </c>
      <c r="B302" t="s">
        <v>215</v>
      </c>
      <c r="C302" t="s">
        <v>2749</v>
      </c>
      <c r="E302">
        <v>14</v>
      </c>
      <c r="F302">
        <v>4</v>
      </c>
      <c r="G302">
        <v>32.200000000000003</v>
      </c>
      <c r="H302">
        <v>17.600000000000001</v>
      </c>
      <c r="I302">
        <v>610</v>
      </c>
      <c r="J302">
        <v>326</v>
      </c>
      <c r="K302" t="str">
        <f t="shared" si="5"/>
        <v>aeth322176</v>
      </c>
      <c r="L302" t="s">
        <v>3369</v>
      </c>
      <c r="N302">
        <v>90</v>
      </c>
      <c r="O302" t="s">
        <v>5881</v>
      </c>
      <c r="P302" t="s">
        <v>3367</v>
      </c>
      <c r="Q302">
        <v>100</v>
      </c>
      <c r="R302" t="s">
        <v>5881</v>
      </c>
    </row>
    <row r="303" spans="1:18" x14ac:dyDescent="0.25">
      <c r="A303" t="s">
        <v>3370</v>
      </c>
      <c r="B303" t="s">
        <v>215</v>
      </c>
      <c r="C303" t="s">
        <v>2749</v>
      </c>
      <c r="D303" t="s">
        <v>11081</v>
      </c>
      <c r="E303">
        <v>100</v>
      </c>
      <c r="F303">
        <v>5</v>
      </c>
      <c r="G303">
        <v>11</v>
      </c>
      <c r="H303">
        <v>12.5</v>
      </c>
      <c r="I303">
        <v>194</v>
      </c>
      <c r="J303">
        <v>227</v>
      </c>
      <c r="K303" t="str">
        <f t="shared" si="5"/>
        <v>aeth11125</v>
      </c>
      <c r="L303" t="s">
        <v>3371</v>
      </c>
      <c r="N303">
        <v>100</v>
      </c>
      <c r="O303" t="s">
        <v>5882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1C0E-C02C-4EFC-A3C5-D67035B65EBF}">
  <sheetPr>
    <tabColor theme="9" tint="-0.499984740745262"/>
  </sheetPr>
  <dimension ref="A1:J85"/>
  <sheetViews>
    <sheetView workbookViewId="0">
      <selection activeCell="E4" sqref="E4"/>
    </sheetView>
  </sheetViews>
  <sheetFormatPr defaultRowHeight="15" x14ac:dyDescent="0.25"/>
  <cols>
    <col min="3" max="3" width="29.7109375" customWidth="1"/>
    <col min="4" max="4" width="32.42578125" customWidth="1"/>
    <col min="5" max="5" width="13.28515625" customWidth="1"/>
    <col min="6" max="6" width="14.28515625" customWidth="1"/>
    <col min="7" max="7" width="16" customWidth="1"/>
    <col min="8" max="8" width="26.85546875" customWidth="1"/>
    <col min="9" max="9" width="21.7109375" customWidth="1"/>
    <col min="10" max="10" width="2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3548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>
        <v>56</v>
      </c>
      <c r="F2">
        <v>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2</v>
      </c>
      <c r="C3" t="s">
        <v>11</v>
      </c>
      <c r="D3" t="s">
        <v>18</v>
      </c>
      <c r="E3">
        <v>56</v>
      </c>
      <c r="F3">
        <v>0</v>
      </c>
      <c r="G3" t="s">
        <v>13</v>
      </c>
      <c r="H3" t="s">
        <v>14</v>
      </c>
      <c r="I3" t="s">
        <v>19</v>
      </c>
      <c r="J3" t="s">
        <v>20</v>
      </c>
    </row>
    <row r="4" spans="1:10" x14ac:dyDescent="0.25">
      <c r="A4" t="s">
        <v>21</v>
      </c>
      <c r="B4">
        <v>3</v>
      </c>
      <c r="C4" t="s">
        <v>11</v>
      </c>
      <c r="D4" t="s">
        <v>22</v>
      </c>
      <c r="E4">
        <v>56</v>
      </c>
      <c r="F4">
        <v>0</v>
      </c>
      <c r="G4" t="s">
        <v>23</v>
      </c>
      <c r="H4" t="s">
        <v>14</v>
      </c>
      <c r="I4" t="s">
        <v>24</v>
      </c>
      <c r="J4" t="s">
        <v>25</v>
      </c>
    </row>
    <row r="5" spans="1:10" x14ac:dyDescent="0.25">
      <c r="A5" t="s">
        <v>26</v>
      </c>
      <c r="B5">
        <v>4</v>
      </c>
      <c r="C5" t="s">
        <v>11</v>
      </c>
      <c r="D5" t="s">
        <v>27</v>
      </c>
      <c r="E5">
        <v>56</v>
      </c>
      <c r="F5">
        <v>0</v>
      </c>
      <c r="G5" t="s">
        <v>23</v>
      </c>
      <c r="H5" t="s">
        <v>14</v>
      </c>
      <c r="I5" t="s">
        <v>28</v>
      </c>
      <c r="J5" t="s">
        <v>29</v>
      </c>
    </row>
    <row r="6" spans="1:10" x14ac:dyDescent="0.25">
      <c r="A6" t="s">
        <v>30</v>
      </c>
      <c r="B6">
        <v>5</v>
      </c>
      <c r="C6" t="s">
        <v>11</v>
      </c>
      <c r="D6" t="s">
        <v>31</v>
      </c>
      <c r="E6">
        <v>56</v>
      </c>
      <c r="F6">
        <v>0</v>
      </c>
      <c r="G6" t="s">
        <v>32</v>
      </c>
      <c r="H6" t="s">
        <v>14</v>
      </c>
      <c r="I6" t="s">
        <v>33</v>
      </c>
      <c r="J6" t="s">
        <v>34</v>
      </c>
    </row>
    <row r="7" spans="1:10" x14ac:dyDescent="0.25">
      <c r="A7" t="s">
        <v>35</v>
      </c>
      <c r="B7">
        <v>6</v>
      </c>
      <c r="C7" t="s">
        <v>11</v>
      </c>
      <c r="D7" t="s">
        <v>36</v>
      </c>
      <c r="E7">
        <v>56</v>
      </c>
      <c r="F7">
        <v>0</v>
      </c>
      <c r="G7" t="s">
        <v>32</v>
      </c>
      <c r="H7" t="s">
        <v>14</v>
      </c>
      <c r="I7" t="s">
        <v>37</v>
      </c>
      <c r="J7" t="s">
        <v>38</v>
      </c>
    </row>
    <row r="8" spans="1:10" x14ac:dyDescent="0.25">
      <c r="A8" t="s">
        <v>39</v>
      </c>
      <c r="B8">
        <v>7</v>
      </c>
      <c r="C8" t="s">
        <v>11</v>
      </c>
      <c r="D8" t="s">
        <v>40</v>
      </c>
      <c r="E8">
        <v>58</v>
      </c>
      <c r="F8">
        <v>0</v>
      </c>
      <c r="G8" t="s">
        <v>13</v>
      </c>
      <c r="H8" t="s">
        <v>41</v>
      </c>
      <c r="I8" t="s">
        <v>15</v>
      </c>
      <c r="J8" t="s">
        <v>16</v>
      </c>
    </row>
    <row r="9" spans="1:10" x14ac:dyDescent="0.25">
      <c r="A9" t="s">
        <v>42</v>
      </c>
      <c r="B9">
        <v>8</v>
      </c>
      <c r="C9" t="s">
        <v>11</v>
      </c>
      <c r="D9" t="s">
        <v>43</v>
      </c>
      <c r="E9">
        <v>58</v>
      </c>
      <c r="F9">
        <v>0</v>
      </c>
      <c r="G9" t="s">
        <v>13</v>
      </c>
      <c r="H9" t="s">
        <v>41</v>
      </c>
      <c r="I9" t="s">
        <v>19</v>
      </c>
      <c r="J9" t="s">
        <v>20</v>
      </c>
    </row>
    <row r="10" spans="1:10" x14ac:dyDescent="0.25">
      <c r="A10" t="s">
        <v>44</v>
      </c>
      <c r="B10">
        <v>9</v>
      </c>
      <c r="C10" t="s">
        <v>11</v>
      </c>
      <c r="D10" t="s">
        <v>45</v>
      </c>
      <c r="E10">
        <v>58</v>
      </c>
      <c r="F10">
        <v>0</v>
      </c>
      <c r="G10" t="s">
        <v>23</v>
      </c>
      <c r="H10" t="s">
        <v>41</v>
      </c>
      <c r="I10" t="s">
        <v>24</v>
      </c>
      <c r="J10" t="s">
        <v>25</v>
      </c>
    </row>
    <row r="11" spans="1:10" x14ac:dyDescent="0.25">
      <c r="A11" t="s">
        <v>46</v>
      </c>
      <c r="B11">
        <v>10</v>
      </c>
      <c r="C11" t="s">
        <v>11</v>
      </c>
      <c r="D11" t="s">
        <v>47</v>
      </c>
      <c r="E11">
        <v>58</v>
      </c>
      <c r="F11">
        <v>0</v>
      </c>
      <c r="G11" t="s">
        <v>23</v>
      </c>
      <c r="H11" t="s">
        <v>41</v>
      </c>
      <c r="I11" t="s">
        <v>28</v>
      </c>
      <c r="J11" t="s">
        <v>29</v>
      </c>
    </row>
    <row r="12" spans="1:10" x14ac:dyDescent="0.25">
      <c r="A12" t="s">
        <v>48</v>
      </c>
      <c r="B12">
        <v>11</v>
      </c>
      <c r="C12" t="s">
        <v>11</v>
      </c>
      <c r="D12" t="s">
        <v>49</v>
      </c>
      <c r="E12">
        <v>58</v>
      </c>
      <c r="F12">
        <v>0</v>
      </c>
      <c r="G12" t="s">
        <v>32</v>
      </c>
      <c r="H12" t="s">
        <v>41</v>
      </c>
      <c r="I12" t="s">
        <v>33</v>
      </c>
      <c r="J12" t="s">
        <v>34</v>
      </c>
    </row>
    <row r="13" spans="1:10" x14ac:dyDescent="0.25">
      <c r="A13" t="s">
        <v>50</v>
      </c>
      <c r="B13">
        <v>12</v>
      </c>
      <c r="C13" t="s">
        <v>11</v>
      </c>
      <c r="D13" t="s">
        <v>51</v>
      </c>
      <c r="E13">
        <v>58</v>
      </c>
      <c r="F13">
        <v>0</v>
      </c>
      <c r="G13" t="s">
        <v>32</v>
      </c>
      <c r="H13" t="s">
        <v>41</v>
      </c>
      <c r="I13" t="s">
        <v>37</v>
      </c>
      <c r="J13" t="s">
        <v>38</v>
      </c>
    </row>
    <row r="14" spans="1:10" x14ac:dyDescent="0.25">
      <c r="A14" t="s">
        <v>52</v>
      </c>
      <c r="B14">
        <v>13</v>
      </c>
      <c r="C14" t="s">
        <v>11</v>
      </c>
      <c r="D14" t="s">
        <v>53</v>
      </c>
      <c r="E14">
        <v>60</v>
      </c>
      <c r="F14">
        <v>0</v>
      </c>
      <c r="G14" t="s">
        <v>13</v>
      </c>
      <c r="H14" t="s">
        <v>54</v>
      </c>
      <c r="I14" t="s">
        <v>15</v>
      </c>
      <c r="J14" t="s">
        <v>16</v>
      </c>
    </row>
    <row r="15" spans="1:10" x14ac:dyDescent="0.25">
      <c r="A15" t="s">
        <v>55</v>
      </c>
      <c r="B15">
        <v>14</v>
      </c>
      <c r="C15" t="s">
        <v>11</v>
      </c>
      <c r="D15" t="s">
        <v>56</v>
      </c>
      <c r="E15">
        <v>60</v>
      </c>
      <c r="F15">
        <v>0</v>
      </c>
      <c r="G15" t="s">
        <v>13</v>
      </c>
      <c r="H15" t="s">
        <v>54</v>
      </c>
      <c r="I15" t="s">
        <v>19</v>
      </c>
      <c r="J15" t="s">
        <v>20</v>
      </c>
    </row>
    <row r="16" spans="1:10" x14ac:dyDescent="0.25">
      <c r="A16" t="s">
        <v>57</v>
      </c>
      <c r="B16">
        <v>15</v>
      </c>
      <c r="C16" t="s">
        <v>11</v>
      </c>
      <c r="D16" t="s">
        <v>58</v>
      </c>
      <c r="E16">
        <v>60</v>
      </c>
      <c r="F16">
        <v>0</v>
      </c>
      <c r="G16" t="s">
        <v>23</v>
      </c>
      <c r="H16" t="s">
        <v>59</v>
      </c>
      <c r="I16" t="s">
        <v>24</v>
      </c>
      <c r="J16" t="s">
        <v>25</v>
      </c>
    </row>
    <row r="17" spans="1:10" x14ac:dyDescent="0.25">
      <c r="A17" t="s">
        <v>60</v>
      </c>
      <c r="B17">
        <v>16</v>
      </c>
      <c r="C17" t="s">
        <v>11</v>
      </c>
      <c r="D17" t="s">
        <v>61</v>
      </c>
      <c r="E17">
        <v>60</v>
      </c>
      <c r="F17">
        <v>0</v>
      </c>
      <c r="G17" t="s">
        <v>23</v>
      </c>
      <c r="H17" t="s">
        <v>59</v>
      </c>
      <c r="I17" t="s">
        <v>28</v>
      </c>
      <c r="J17" t="s">
        <v>29</v>
      </c>
    </row>
    <row r="18" spans="1:10" x14ac:dyDescent="0.25">
      <c r="A18" t="s">
        <v>62</v>
      </c>
      <c r="B18">
        <v>17</v>
      </c>
      <c r="C18" t="s">
        <v>11</v>
      </c>
      <c r="D18" t="s">
        <v>63</v>
      </c>
      <c r="E18">
        <v>60</v>
      </c>
      <c r="F18">
        <v>0</v>
      </c>
      <c r="G18" t="s">
        <v>32</v>
      </c>
      <c r="H18" t="s">
        <v>64</v>
      </c>
      <c r="I18" t="s">
        <v>33</v>
      </c>
      <c r="J18" t="s">
        <v>34</v>
      </c>
    </row>
    <row r="19" spans="1:10" x14ac:dyDescent="0.25">
      <c r="A19" t="s">
        <v>65</v>
      </c>
      <c r="B19">
        <v>18</v>
      </c>
      <c r="C19" t="s">
        <v>11</v>
      </c>
      <c r="D19" t="s">
        <v>66</v>
      </c>
      <c r="E19">
        <v>60</v>
      </c>
      <c r="F19">
        <v>0</v>
      </c>
      <c r="G19" t="s">
        <v>32</v>
      </c>
      <c r="H19" t="s">
        <v>64</v>
      </c>
      <c r="I19" t="s">
        <v>37</v>
      </c>
      <c r="J19" t="s">
        <v>38</v>
      </c>
    </row>
    <row r="20" spans="1:10" x14ac:dyDescent="0.25">
      <c r="A20" t="s">
        <v>67</v>
      </c>
      <c r="B20">
        <v>19</v>
      </c>
      <c r="C20" t="s">
        <v>11</v>
      </c>
      <c r="D20" t="s">
        <v>68</v>
      </c>
      <c r="E20">
        <v>60</v>
      </c>
      <c r="F20">
        <v>1</v>
      </c>
      <c r="G20" t="s">
        <v>13</v>
      </c>
      <c r="H20" t="s">
        <v>69</v>
      </c>
      <c r="I20" t="s">
        <v>33</v>
      </c>
      <c r="J20" t="s">
        <v>34</v>
      </c>
    </row>
    <row r="21" spans="1:10" x14ac:dyDescent="0.25">
      <c r="A21" t="s">
        <v>70</v>
      </c>
      <c r="B21">
        <v>20</v>
      </c>
      <c r="C21" t="s">
        <v>11</v>
      </c>
      <c r="D21" t="s">
        <v>71</v>
      </c>
      <c r="E21">
        <v>60</v>
      </c>
      <c r="F21">
        <v>1</v>
      </c>
      <c r="G21" t="s">
        <v>23</v>
      </c>
      <c r="H21" t="s">
        <v>69</v>
      </c>
      <c r="I21" t="s">
        <v>37</v>
      </c>
      <c r="J21" t="s">
        <v>38</v>
      </c>
    </row>
    <row r="22" spans="1:10" x14ac:dyDescent="0.25">
      <c r="A22" t="s">
        <v>72</v>
      </c>
      <c r="B22">
        <v>21</v>
      </c>
      <c r="C22" t="s">
        <v>73</v>
      </c>
      <c r="D22" t="s">
        <v>74</v>
      </c>
      <c r="E22">
        <v>70</v>
      </c>
      <c r="F22">
        <v>1</v>
      </c>
      <c r="G22" t="s">
        <v>13</v>
      </c>
      <c r="H22" t="s">
        <v>75</v>
      </c>
      <c r="I22" t="s">
        <v>15</v>
      </c>
      <c r="J22" t="s">
        <v>16</v>
      </c>
    </row>
    <row r="23" spans="1:10" x14ac:dyDescent="0.25">
      <c r="A23" t="s">
        <v>76</v>
      </c>
      <c r="B23">
        <v>22</v>
      </c>
      <c r="C23" t="s">
        <v>73</v>
      </c>
      <c r="D23" t="s">
        <v>77</v>
      </c>
      <c r="E23">
        <v>66</v>
      </c>
      <c r="F23">
        <v>0</v>
      </c>
      <c r="G23" t="s">
        <v>23</v>
      </c>
      <c r="H23" t="s">
        <v>75</v>
      </c>
      <c r="I23" t="s">
        <v>28</v>
      </c>
      <c r="J23" t="s">
        <v>29</v>
      </c>
    </row>
    <row r="24" spans="1:10" x14ac:dyDescent="0.25">
      <c r="A24" t="s">
        <v>78</v>
      </c>
      <c r="B24">
        <v>23</v>
      </c>
      <c r="C24" t="s">
        <v>73</v>
      </c>
      <c r="D24" t="s">
        <v>79</v>
      </c>
      <c r="E24">
        <v>66</v>
      </c>
      <c r="F24">
        <v>0</v>
      </c>
      <c r="G24" t="s">
        <v>32</v>
      </c>
      <c r="H24" t="s">
        <v>75</v>
      </c>
      <c r="I24" t="s">
        <v>37</v>
      </c>
      <c r="J24" t="s">
        <v>38</v>
      </c>
    </row>
    <row r="25" spans="1:10" x14ac:dyDescent="0.25">
      <c r="A25" t="s">
        <v>80</v>
      </c>
      <c r="B25">
        <v>24</v>
      </c>
      <c r="C25" t="s">
        <v>73</v>
      </c>
      <c r="D25" t="s">
        <v>81</v>
      </c>
      <c r="E25">
        <v>66</v>
      </c>
      <c r="F25">
        <v>0</v>
      </c>
      <c r="G25" t="s">
        <v>13</v>
      </c>
      <c r="H25" t="s">
        <v>82</v>
      </c>
      <c r="I25" t="s">
        <v>19</v>
      </c>
      <c r="J25" t="s">
        <v>20</v>
      </c>
    </row>
    <row r="26" spans="1:10" x14ac:dyDescent="0.25">
      <c r="A26" t="s">
        <v>83</v>
      </c>
      <c r="B26">
        <v>25</v>
      </c>
      <c r="C26" t="s">
        <v>73</v>
      </c>
      <c r="D26" t="s">
        <v>84</v>
      </c>
      <c r="E26">
        <v>66</v>
      </c>
      <c r="F26">
        <v>0</v>
      </c>
      <c r="G26" t="s">
        <v>23</v>
      </c>
      <c r="H26" t="s">
        <v>82</v>
      </c>
      <c r="I26" t="s">
        <v>24</v>
      </c>
      <c r="J26" t="s">
        <v>25</v>
      </c>
    </row>
    <row r="27" spans="1:10" x14ac:dyDescent="0.25">
      <c r="A27" t="s">
        <v>85</v>
      </c>
      <c r="B27">
        <v>26</v>
      </c>
      <c r="C27" t="s">
        <v>73</v>
      </c>
      <c r="D27" t="s">
        <v>86</v>
      </c>
      <c r="E27">
        <v>66</v>
      </c>
      <c r="F27">
        <v>0</v>
      </c>
      <c r="G27" t="s">
        <v>32</v>
      </c>
      <c r="H27" t="s">
        <v>82</v>
      </c>
      <c r="I27" t="s">
        <v>33</v>
      </c>
      <c r="J27" t="s">
        <v>34</v>
      </c>
    </row>
    <row r="28" spans="1:10" x14ac:dyDescent="0.25">
      <c r="A28" t="s">
        <v>87</v>
      </c>
      <c r="B28">
        <v>27</v>
      </c>
      <c r="C28" t="s">
        <v>73</v>
      </c>
      <c r="D28" t="s">
        <v>88</v>
      </c>
      <c r="E28">
        <v>66</v>
      </c>
      <c r="F28">
        <v>0</v>
      </c>
      <c r="G28" t="s">
        <v>13</v>
      </c>
      <c r="H28" t="s">
        <v>89</v>
      </c>
      <c r="I28" t="s">
        <v>33</v>
      </c>
      <c r="J28" t="s">
        <v>34</v>
      </c>
    </row>
    <row r="29" spans="1:10" x14ac:dyDescent="0.25">
      <c r="A29" t="s">
        <v>90</v>
      </c>
      <c r="B29">
        <v>28</v>
      </c>
      <c r="C29" t="s">
        <v>73</v>
      </c>
      <c r="D29" t="s">
        <v>91</v>
      </c>
      <c r="E29">
        <v>70</v>
      </c>
      <c r="F29">
        <v>1</v>
      </c>
      <c r="G29" t="s">
        <v>23</v>
      </c>
      <c r="H29" t="s">
        <v>92</v>
      </c>
      <c r="I29" t="s">
        <v>37</v>
      </c>
      <c r="J29" t="s">
        <v>38</v>
      </c>
    </row>
    <row r="30" spans="1:10" x14ac:dyDescent="0.25">
      <c r="A30" t="s">
        <v>93</v>
      </c>
      <c r="B30">
        <v>29</v>
      </c>
      <c r="C30" t="s">
        <v>73</v>
      </c>
      <c r="D30" t="s">
        <v>94</v>
      </c>
      <c r="E30">
        <v>70</v>
      </c>
      <c r="F30">
        <v>1</v>
      </c>
      <c r="G30" t="s">
        <v>32</v>
      </c>
      <c r="H30" t="s">
        <v>95</v>
      </c>
      <c r="I30" t="s">
        <v>33</v>
      </c>
      <c r="J30" t="s">
        <v>34</v>
      </c>
    </row>
    <row r="31" spans="1:10" x14ac:dyDescent="0.25">
      <c r="A31" t="s">
        <v>96</v>
      </c>
      <c r="B31">
        <v>30</v>
      </c>
      <c r="C31" t="s">
        <v>73</v>
      </c>
      <c r="D31" t="s">
        <v>97</v>
      </c>
      <c r="E31">
        <v>70</v>
      </c>
      <c r="F31">
        <v>2</v>
      </c>
      <c r="G31" t="s">
        <v>13</v>
      </c>
      <c r="H31" t="s">
        <v>98</v>
      </c>
      <c r="I31" t="s">
        <v>24</v>
      </c>
      <c r="J31" t="s">
        <v>25</v>
      </c>
    </row>
    <row r="32" spans="1:10" x14ac:dyDescent="0.25">
      <c r="A32" t="s">
        <v>99</v>
      </c>
      <c r="B32">
        <v>31</v>
      </c>
      <c r="C32" t="s">
        <v>73</v>
      </c>
      <c r="D32" t="s">
        <v>100</v>
      </c>
      <c r="E32">
        <v>70</v>
      </c>
      <c r="F32">
        <v>2</v>
      </c>
      <c r="G32" t="s">
        <v>23</v>
      </c>
      <c r="H32" t="s">
        <v>98</v>
      </c>
      <c r="I32" t="s">
        <v>19</v>
      </c>
      <c r="J32" t="s">
        <v>20</v>
      </c>
    </row>
    <row r="33" spans="1:10" x14ac:dyDescent="0.25">
      <c r="A33" t="s">
        <v>101</v>
      </c>
      <c r="B33">
        <v>32</v>
      </c>
      <c r="C33" t="s">
        <v>102</v>
      </c>
      <c r="D33" t="s">
        <v>103</v>
      </c>
      <c r="E33">
        <v>76</v>
      </c>
      <c r="F33">
        <v>0</v>
      </c>
      <c r="G33" t="s">
        <v>13</v>
      </c>
      <c r="H33" t="s">
        <v>104</v>
      </c>
      <c r="I33" t="s">
        <v>33</v>
      </c>
      <c r="J33" t="s">
        <v>34</v>
      </c>
    </row>
    <row r="34" spans="1:10" x14ac:dyDescent="0.25">
      <c r="A34" t="s">
        <v>105</v>
      </c>
      <c r="B34">
        <v>33</v>
      </c>
      <c r="C34" t="s">
        <v>102</v>
      </c>
      <c r="D34" t="s">
        <v>106</v>
      </c>
      <c r="E34">
        <v>76</v>
      </c>
      <c r="F34">
        <v>0</v>
      </c>
      <c r="G34" t="s">
        <v>23</v>
      </c>
      <c r="H34" t="s">
        <v>104</v>
      </c>
      <c r="I34" t="s">
        <v>28</v>
      </c>
      <c r="J34" t="s">
        <v>29</v>
      </c>
    </row>
    <row r="35" spans="1:10" x14ac:dyDescent="0.25">
      <c r="A35" t="s">
        <v>107</v>
      </c>
      <c r="B35">
        <v>34</v>
      </c>
      <c r="C35" t="s">
        <v>102</v>
      </c>
      <c r="D35" t="s">
        <v>108</v>
      </c>
      <c r="E35">
        <v>76</v>
      </c>
      <c r="F35">
        <v>0</v>
      </c>
      <c r="G35" t="s">
        <v>32</v>
      </c>
      <c r="H35" t="s">
        <v>104</v>
      </c>
      <c r="I35" t="s">
        <v>37</v>
      </c>
      <c r="J35" t="s">
        <v>38</v>
      </c>
    </row>
    <row r="36" spans="1:10" x14ac:dyDescent="0.25">
      <c r="A36" t="s">
        <v>109</v>
      </c>
      <c r="B36">
        <v>35</v>
      </c>
      <c r="C36" t="s">
        <v>102</v>
      </c>
      <c r="D36" t="s">
        <v>110</v>
      </c>
      <c r="E36">
        <v>76</v>
      </c>
      <c r="F36">
        <v>0</v>
      </c>
      <c r="G36" t="s">
        <v>13</v>
      </c>
      <c r="H36" t="s">
        <v>111</v>
      </c>
      <c r="I36" t="s">
        <v>19</v>
      </c>
      <c r="J36" t="s">
        <v>20</v>
      </c>
    </row>
    <row r="37" spans="1:10" x14ac:dyDescent="0.25">
      <c r="A37" t="s">
        <v>112</v>
      </c>
      <c r="B37">
        <v>36</v>
      </c>
      <c r="C37" t="s">
        <v>102</v>
      </c>
      <c r="D37" t="s">
        <v>113</v>
      </c>
      <c r="E37">
        <v>76</v>
      </c>
      <c r="F37">
        <v>0</v>
      </c>
      <c r="G37" t="s">
        <v>23</v>
      </c>
      <c r="H37" t="s">
        <v>111</v>
      </c>
      <c r="I37" t="s">
        <v>24</v>
      </c>
      <c r="J37" t="s">
        <v>25</v>
      </c>
    </row>
    <row r="38" spans="1:10" x14ac:dyDescent="0.25">
      <c r="A38" t="s">
        <v>114</v>
      </c>
      <c r="B38">
        <v>37</v>
      </c>
      <c r="C38" t="s">
        <v>102</v>
      </c>
      <c r="D38" t="s">
        <v>115</v>
      </c>
      <c r="E38">
        <v>76</v>
      </c>
      <c r="F38">
        <v>0</v>
      </c>
      <c r="G38" t="s">
        <v>32</v>
      </c>
      <c r="H38" t="s">
        <v>111</v>
      </c>
      <c r="I38" t="s">
        <v>33</v>
      </c>
      <c r="J38" t="s">
        <v>34</v>
      </c>
    </row>
    <row r="39" spans="1:10" x14ac:dyDescent="0.25">
      <c r="A39" t="s">
        <v>116</v>
      </c>
      <c r="B39">
        <v>38</v>
      </c>
      <c r="C39" t="s">
        <v>102</v>
      </c>
      <c r="D39" t="s">
        <v>117</v>
      </c>
      <c r="E39">
        <v>80</v>
      </c>
      <c r="F39">
        <v>0</v>
      </c>
      <c r="G39" t="s">
        <v>13</v>
      </c>
      <c r="H39" t="s">
        <v>118</v>
      </c>
      <c r="I39" t="s">
        <v>15</v>
      </c>
      <c r="J39" t="s">
        <v>16</v>
      </c>
    </row>
    <row r="40" spans="1:10" x14ac:dyDescent="0.25">
      <c r="A40" t="s">
        <v>119</v>
      </c>
      <c r="B40">
        <v>39</v>
      </c>
      <c r="C40" t="s">
        <v>102</v>
      </c>
      <c r="D40" t="s">
        <v>120</v>
      </c>
      <c r="E40">
        <v>80</v>
      </c>
      <c r="F40">
        <v>0</v>
      </c>
      <c r="G40" t="s">
        <v>23</v>
      </c>
      <c r="H40" t="s">
        <v>121</v>
      </c>
      <c r="I40" t="s">
        <v>37</v>
      </c>
      <c r="J40" t="s">
        <v>38</v>
      </c>
    </row>
    <row r="41" spans="1:10" x14ac:dyDescent="0.25">
      <c r="A41" t="s">
        <v>122</v>
      </c>
      <c r="B41">
        <v>40</v>
      </c>
      <c r="C41" t="s">
        <v>102</v>
      </c>
      <c r="D41" t="s">
        <v>123</v>
      </c>
      <c r="E41">
        <v>80</v>
      </c>
      <c r="F41">
        <v>0</v>
      </c>
      <c r="G41" t="s">
        <v>32</v>
      </c>
      <c r="H41" t="s">
        <v>124</v>
      </c>
      <c r="I41" t="s">
        <v>33</v>
      </c>
      <c r="J41" t="s">
        <v>34</v>
      </c>
    </row>
    <row r="42" spans="1:10" x14ac:dyDescent="0.25">
      <c r="A42" t="s">
        <v>125</v>
      </c>
      <c r="B42">
        <v>41</v>
      </c>
      <c r="C42" t="s">
        <v>102</v>
      </c>
      <c r="D42" t="s">
        <v>126</v>
      </c>
      <c r="E42">
        <v>80</v>
      </c>
      <c r="F42">
        <v>2</v>
      </c>
      <c r="G42" t="s">
        <v>13</v>
      </c>
      <c r="H42" t="s">
        <v>127</v>
      </c>
      <c r="I42" t="s">
        <v>28</v>
      </c>
      <c r="J42" t="s">
        <v>29</v>
      </c>
    </row>
    <row r="43" spans="1:10" x14ac:dyDescent="0.25">
      <c r="A43" t="s">
        <v>128</v>
      </c>
      <c r="B43">
        <v>42</v>
      </c>
      <c r="C43" t="s">
        <v>102</v>
      </c>
      <c r="D43" t="s">
        <v>129</v>
      </c>
      <c r="E43">
        <v>80</v>
      </c>
      <c r="F43">
        <v>2</v>
      </c>
      <c r="G43" t="s">
        <v>23</v>
      </c>
      <c r="H43" t="s">
        <v>127</v>
      </c>
      <c r="I43" t="s">
        <v>19</v>
      </c>
      <c r="J43" t="s">
        <v>20</v>
      </c>
    </row>
    <row r="44" spans="1:10" x14ac:dyDescent="0.25">
      <c r="A44" t="s">
        <v>130</v>
      </c>
      <c r="B44">
        <v>43</v>
      </c>
      <c r="C44" t="s">
        <v>102</v>
      </c>
      <c r="D44" t="s">
        <v>131</v>
      </c>
      <c r="E44">
        <v>80</v>
      </c>
      <c r="F44">
        <v>2</v>
      </c>
      <c r="G44" t="s">
        <v>32</v>
      </c>
      <c r="H44" t="s">
        <v>127</v>
      </c>
      <c r="I44" t="s">
        <v>37</v>
      </c>
      <c r="J44" t="s">
        <v>38</v>
      </c>
    </row>
    <row r="45" spans="1:10" x14ac:dyDescent="0.25">
      <c r="A45" t="s">
        <v>132</v>
      </c>
      <c r="B45">
        <v>44</v>
      </c>
      <c r="C45" t="s">
        <v>133</v>
      </c>
      <c r="D45" t="s">
        <v>134</v>
      </c>
      <c r="E45">
        <v>86</v>
      </c>
      <c r="F45">
        <v>0</v>
      </c>
      <c r="G45" t="s">
        <v>13</v>
      </c>
      <c r="H45" t="s">
        <v>135</v>
      </c>
      <c r="I45" t="s">
        <v>28</v>
      </c>
      <c r="J45" t="s">
        <v>29</v>
      </c>
    </row>
    <row r="46" spans="1:10" x14ac:dyDescent="0.25">
      <c r="A46" t="s">
        <v>136</v>
      </c>
      <c r="B46">
        <v>45</v>
      </c>
      <c r="C46" t="s">
        <v>133</v>
      </c>
      <c r="D46" t="s">
        <v>137</v>
      </c>
      <c r="E46">
        <v>86</v>
      </c>
      <c r="F46">
        <v>0</v>
      </c>
      <c r="G46" t="s">
        <v>23</v>
      </c>
      <c r="H46" t="s">
        <v>135</v>
      </c>
      <c r="I46" t="s">
        <v>24</v>
      </c>
      <c r="J46" t="s">
        <v>25</v>
      </c>
    </row>
    <row r="47" spans="1:10" x14ac:dyDescent="0.25">
      <c r="A47" t="s">
        <v>138</v>
      </c>
      <c r="B47">
        <v>46</v>
      </c>
      <c r="C47" t="s">
        <v>133</v>
      </c>
      <c r="D47" t="s">
        <v>139</v>
      </c>
      <c r="E47">
        <v>85</v>
      </c>
      <c r="F47">
        <v>0</v>
      </c>
      <c r="G47" t="s">
        <v>32</v>
      </c>
      <c r="H47" t="s">
        <v>135</v>
      </c>
      <c r="I47" t="s">
        <v>37</v>
      </c>
      <c r="J47" t="s">
        <v>38</v>
      </c>
    </row>
    <row r="48" spans="1:10" x14ac:dyDescent="0.25">
      <c r="A48" t="s">
        <v>140</v>
      </c>
      <c r="B48">
        <v>47</v>
      </c>
      <c r="C48" t="s">
        <v>133</v>
      </c>
      <c r="D48" t="s">
        <v>141</v>
      </c>
      <c r="E48">
        <v>85</v>
      </c>
      <c r="F48">
        <v>0</v>
      </c>
      <c r="G48" t="s">
        <v>32</v>
      </c>
      <c r="H48" t="s">
        <v>135</v>
      </c>
      <c r="I48" t="s">
        <v>37</v>
      </c>
      <c r="J48" t="s">
        <v>38</v>
      </c>
    </row>
    <row r="49" spans="1:10" x14ac:dyDescent="0.25">
      <c r="A49" t="s">
        <v>142</v>
      </c>
      <c r="B49">
        <v>48</v>
      </c>
      <c r="C49" t="s">
        <v>133</v>
      </c>
      <c r="D49" t="s">
        <v>143</v>
      </c>
      <c r="E49">
        <v>90</v>
      </c>
      <c r="F49">
        <v>0</v>
      </c>
      <c r="G49" t="s">
        <v>13</v>
      </c>
      <c r="H49" t="s">
        <v>144</v>
      </c>
      <c r="I49" t="s">
        <v>19</v>
      </c>
      <c r="J49" t="s">
        <v>20</v>
      </c>
    </row>
    <row r="50" spans="1:10" x14ac:dyDescent="0.25">
      <c r="A50" t="s">
        <v>145</v>
      </c>
      <c r="B50">
        <v>49</v>
      </c>
      <c r="C50" t="s">
        <v>133</v>
      </c>
      <c r="D50" t="s">
        <v>146</v>
      </c>
      <c r="E50">
        <v>90</v>
      </c>
      <c r="F50">
        <v>0</v>
      </c>
      <c r="G50" t="s">
        <v>23</v>
      </c>
      <c r="H50" t="s">
        <v>147</v>
      </c>
      <c r="I50" t="s">
        <v>15</v>
      </c>
      <c r="J50" t="s">
        <v>16</v>
      </c>
    </row>
    <row r="51" spans="1:10" x14ac:dyDescent="0.25">
      <c r="A51" t="s">
        <v>148</v>
      </c>
      <c r="B51">
        <v>50</v>
      </c>
      <c r="C51" t="s">
        <v>133</v>
      </c>
      <c r="D51" t="s">
        <v>149</v>
      </c>
      <c r="E51">
        <v>90</v>
      </c>
      <c r="F51">
        <v>0</v>
      </c>
      <c r="G51" t="s">
        <v>32</v>
      </c>
      <c r="H51" t="s">
        <v>150</v>
      </c>
      <c r="I51" t="s">
        <v>33</v>
      </c>
      <c r="J51" t="s">
        <v>34</v>
      </c>
    </row>
    <row r="52" spans="1:10" x14ac:dyDescent="0.25">
      <c r="A52" t="s">
        <v>151</v>
      </c>
      <c r="B52">
        <v>51</v>
      </c>
      <c r="C52" t="s">
        <v>133</v>
      </c>
      <c r="D52" t="s">
        <v>152</v>
      </c>
      <c r="E52">
        <v>90</v>
      </c>
      <c r="F52">
        <v>0</v>
      </c>
      <c r="G52" t="s">
        <v>32</v>
      </c>
      <c r="H52" t="s">
        <v>150</v>
      </c>
      <c r="I52" t="s">
        <v>33</v>
      </c>
      <c r="J52" t="s">
        <v>34</v>
      </c>
    </row>
    <row r="53" spans="1:10" x14ac:dyDescent="0.25">
      <c r="A53" t="s">
        <v>153</v>
      </c>
      <c r="B53">
        <v>52</v>
      </c>
      <c r="C53" t="s">
        <v>133</v>
      </c>
      <c r="D53" t="s">
        <v>154</v>
      </c>
      <c r="E53">
        <v>90</v>
      </c>
      <c r="F53">
        <v>2</v>
      </c>
      <c r="G53" t="s">
        <v>13</v>
      </c>
      <c r="H53" t="s">
        <v>155</v>
      </c>
      <c r="I53" t="s">
        <v>28</v>
      </c>
      <c r="J53" t="s">
        <v>29</v>
      </c>
    </row>
    <row r="54" spans="1:10" x14ac:dyDescent="0.25">
      <c r="A54" t="s">
        <v>156</v>
      </c>
      <c r="B54">
        <v>53</v>
      </c>
      <c r="C54" t="s">
        <v>133</v>
      </c>
      <c r="D54" t="s">
        <v>157</v>
      </c>
      <c r="E54">
        <v>90</v>
      </c>
      <c r="F54">
        <v>2</v>
      </c>
      <c r="G54" t="s">
        <v>23</v>
      </c>
      <c r="H54" t="s">
        <v>155</v>
      </c>
      <c r="I54" t="s">
        <v>15</v>
      </c>
      <c r="J54" t="s">
        <v>16</v>
      </c>
    </row>
    <row r="55" spans="1:10" x14ac:dyDescent="0.25">
      <c r="A55" t="s">
        <v>158</v>
      </c>
      <c r="B55">
        <v>54</v>
      </c>
      <c r="C55" t="s">
        <v>133</v>
      </c>
      <c r="D55" t="s">
        <v>159</v>
      </c>
      <c r="E55">
        <v>90</v>
      </c>
      <c r="F55">
        <v>2</v>
      </c>
      <c r="G55" t="s">
        <v>32</v>
      </c>
      <c r="H55" t="s">
        <v>155</v>
      </c>
      <c r="I55" t="s">
        <v>37</v>
      </c>
      <c r="J55" t="s">
        <v>38</v>
      </c>
    </row>
    <row r="56" spans="1:10" x14ac:dyDescent="0.25">
      <c r="A56" t="s">
        <v>160</v>
      </c>
      <c r="B56">
        <v>55</v>
      </c>
      <c r="C56" t="s">
        <v>133</v>
      </c>
      <c r="D56" t="s">
        <v>161</v>
      </c>
      <c r="E56">
        <v>90</v>
      </c>
      <c r="F56">
        <v>2</v>
      </c>
      <c r="G56" t="s">
        <v>32</v>
      </c>
      <c r="H56" t="s">
        <v>155</v>
      </c>
      <c r="I56" t="s">
        <v>33</v>
      </c>
      <c r="J56" t="s">
        <v>34</v>
      </c>
    </row>
    <row r="57" spans="1:10" x14ac:dyDescent="0.25">
      <c r="A57" t="s">
        <v>162</v>
      </c>
      <c r="B57">
        <v>56</v>
      </c>
      <c r="C57" t="s">
        <v>133</v>
      </c>
      <c r="D57" t="s">
        <v>163</v>
      </c>
      <c r="E57">
        <v>90</v>
      </c>
      <c r="F57">
        <v>2</v>
      </c>
      <c r="G57" t="s">
        <v>13</v>
      </c>
      <c r="H57" t="s">
        <v>164</v>
      </c>
      <c r="I57" t="s">
        <v>28</v>
      </c>
      <c r="J57" t="s">
        <v>29</v>
      </c>
    </row>
    <row r="58" spans="1:10" x14ac:dyDescent="0.25">
      <c r="A58" t="s">
        <v>165</v>
      </c>
      <c r="B58">
        <v>57</v>
      </c>
      <c r="C58" t="s">
        <v>133</v>
      </c>
      <c r="D58" t="s">
        <v>166</v>
      </c>
      <c r="E58">
        <v>90</v>
      </c>
      <c r="F58">
        <v>2</v>
      </c>
      <c r="G58" t="s">
        <v>23</v>
      </c>
      <c r="H58" t="s">
        <v>167</v>
      </c>
      <c r="I58" t="s">
        <v>24</v>
      </c>
      <c r="J58" t="s">
        <v>25</v>
      </c>
    </row>
    <row r="59" spans="1:10" x14ac:dyDescent="0.25">
      <c r="A59" t="s">
        <v>168</v>
      </c>
      <c r="B59">
        <v>58</v>
      </c>
      <c r="C59" t="s">
        <v>133</v>
      </c>
      <c r="D59" t="s">
        <v>169</v>
      </c>
      <c r="E59">
        <v>90</v>
      </c>
      <c r="F59">
        <v>2</v>
      </c>
      <c r="G59" t="s">
        <v>32</v>
      </c>
      <c r="H59" t="s">
        <v>170</v>
      </c>
      <c r="I59" t="s">
        <v>37</v>
      </c>
      <c r="J59" t="s">
        <v>38</v>
      </c>
    </row>
    <row r="60" spans="1:10" x14ac:dyDescent="0.25">
      <c r="A60" t="s">
        <v>171</v>
      </c>
      <c r="B60">
        <v>59</v>
      </c>
      <c r="C60" t="s">
        <v>133</v>
      </c>
      <c r="D60" t="s">
        <v>172</v>
      </c>
      <c r="E60">
        <v>90</v>
      </c>
      <c r="F60">
        <v>3</v>
      </c>
      <c r="G60" t="s">
        <v>13</v>
      </c>
      <c r="H60" t="s">
        <v>173</v>
      </c>
      <c r="I60" t="s">
        <v>19</v>
      </c>
      <c r="J60" t="s">
        <v>20</v>
      </c>
    </row>
    <row r="61" spans="1:10" x14ac:dyDescent="0.25">
      <c r="A61" t="s">
        <v>174</v>
      </c>
      <c r="B61">
        <v>60</v>
      </c>
      <c r="C61" t="s">
        <v>133</v>
      </c>
      <c r="D61" t="s">
        <v>175</v>
      </c>
      <c r="E61">
        <v>90</v>
      </c>
      <c r="F61">
        <v>3</v>
      </c>
      <c r="G61" t="s">
        <v>23</v>
      </c>
      <c r="H61" t="s">
        <v>176</v>
      </c>
      <c r="I61" t="s">
        <v>33</v>
      </c>
      <c r="J61" t="s">
        <v>34</v>
      </c>
    </row>
    <row r="62" spans="1:10" x14ac:dyDescent="0.25">
      <c r="A62" t="s">
        <v>177</v>
      </c>
      <c r="B62">
        <v>61</v>
      </c>
      <c r="C62" t="s">
        <v>133</v>
      </c>
      <c r="D62" t="s">
        <v>178</v>
      </c>
      <c r="E62">
        <v>90</v>
      </c>
      <c r="F62">
        <v>3</v>
      </c>
      <c r="G62" t="s">
        <v>32</v>
      </c>
      <c r="H62" t="s">
        <v>179</v>
      </c>
      <c r="I62" t="s">
        <v>37</v>
      </c>
      <c r="J62" t="s">
        <v>38</v>
      </c>
    </row>
    <row r="63" spans="1:10" x14ac:dyDescent="0.25">
      <c r="A63" t="s">
        <v>180</v>
      </c>
      <c r="B63">
        <v>62</v>
      </c>
      <c r="C63" t="s">
        <v>133</v>
      </c>
      <c r="D63" t="s">
        <v>181</v>
      </c>
      <c r="E63">
        <v>90</v>
      </c>
      <c r="F63">
        <v>3</v>
      </c>
      <c r="G63" t="s">
        <v>13</v>
      </c>
      <c r="H63" t="s">
        <v>182</v>
      </c>
      <c r="I63" t="s">
        <v>33</v>
      </c>
      <c r="J63" t="s">
        <v>34</v>
      </c>
    </row>
    <row r="64" spans="1:10" x14ac:dyDescent="0.25">
      <c r="A64" t="s">
        <v>183</v>
      </c>
      <c r="B64">
        <v>63</v>
      </c>
      <c r="C64" t="s">
        <v>133</v>
      </c>
      <c r="D64" t="s">
        <v>184</v>
      </c>
      <c r="E64">
        <v>90</v>
      </c>
      <c r="F64">
        <v>3</v>
      </c>
      <c r="G64" t="s">
        <v>23</v>
      </c>
      <c r="H64" t="s">
        <v>185</v>
      </c>
      <c r="I64" t="s">
        <v>15</v>
      </c>
      <c r="J64" t="s">
        <v>16</v>
      </c>
    </row>
    <row r="65" spans="1:10" x14ac:dyDescent="0.25">
      <c r="A65" t="s">
        <v>186</v>
      </c>
      <c r="B65">
        <v>64</v>
      </c>
      <c r="C65" t="s">
        <v>133</v>
      </c>
      <c r="D65" t="s">
        <v>187</v>
      </c>
      <c r="E65">
        <v>90</v>
      </c>
      <c r="F65">
        <v>3</v>
      </c>
      <c r="G65" t="s">
        <v>32</v>
      </c>
      <c r="H65" t="s">
        <v>188</v>
      </c>
      <c r="I65" t="s">
        <v>37</v>
      </c>
      <c r="J65" t="s">
        <v>38</v>
      </c>
    </row>
    <row r="66" spans="1:10" x14ac:dyDescent="0.25">
      <c r="A66" t="s">
        <v>189</v>
      </c>
      <c r="B66">
        <v>65</v>
      </c>
      <c r="C66" t="s">
        <v>133</v>
      </c>
      <c r="D66" t="s">
        <v>190</v>
      </c>
      <c r="E66">
        <v>90</v>
      </c>
      <c r="F66">
        <v>4</v>
      </c>
      <c r="G66" t="s">
        <v>13</v>
      </c>
      <c r="H66" t="s">
        <v>191</v>
      </c>
      <c r="I66" t="s">
        <v>24</v>
      </c>
      <c r="J66" t="s">
        <v>25</v>
      </c>
    </row>
    <row r="67" spans="1:10" x14ac:dyDescent="0.25">
      <c r="A67" t="s">
        <v>192</v>
      </c>
      <c r="B67">
        <v>66</v>
      </c>
      <c r="C67" t="s">
        <v>133</v>
      </c>
      <c r="D67" t="s">
        <v>193</v>
      </c>
      <c r="E67">
        <v>90</v>
      </c>
      <c r="F67">
        <v>4</v>
      </c>
      <c r="G67" t="s">
        <v>23</v>
      </c>
      <c r="H67" t="s">
        <v>194</v>
      </c>
      <c r="I67" t="s">
        <v>24</v>
      </c>
      <c r="J67" t="s">
        <v>25</v>
      </c>
    </row>
    <row r="68" spans="1:10" x14ac:dyDescent="0.25">
      <c r="A68" t="s">
        <v>195</v>
      </c>
      <c r="B68">
        <v>67</v>
      </c>
      <c r="C68" t="s">
        <v>133</v>
      </c>
      <c r="D68" t="s">
        <v>196</v>
      </c>
      <c r="E68">
        <v>90</v>
      </c>
      <c r="F68">
        <v>4</v>
      </c>
      <c r="G68" t="s">
        <v>32</v>
      </c>
      <c r="H68" t="s">
        <v>197</v>
      </c>
      <c r="I68" t="s">
        <v>37</v>
      </c>
      <c r="J68" t="s">
        <v>38</v>
      </c>
    </row>
    <row r="69" spans="1:10" x14ac:dyDescent="0.25">
      <c r="A69" t="s">
        <v>198</v>
      </c>
      <c r="B69">
        <v>68</v>
      </c>
      <c r="C69" t="s">
        <v>133</v>
      </c>
      <c r="D69" t="s">
        <v>199</v>
      </c>
      <c r="E69">
        <v>90</v>
      </c>
      <c r="F69">
        <v>2</v>
      </c>
      <c r="G69" t="s">
        <v>13</v>
      </c>
      <c r="H69" t="s">
        <v>164</v>
      </c>
      <c r="I69" t="s">
        <v>28</v>
      </c>
      <c r="J69" t="s">
        <v>29</v>
      </c>
    </row>
    <row r="70" spans="1:10" x14ac:dyDescent="0.25">
      <c r="A70" t="s">
        <v>200</v>
      </c>
      <c r="B70">
        <v>69</v>
      </c>
      <c r="C70" t="s">
        <v>133</v>
      </c>
      <c r="D70" t="s">
        <v>201</v>
      </c>
      <c r="E70">
        <v>90</v>
      </c>
      <c r="F70">
        <v>2</v>
      </c>
      <c r="G70" t="s">
        <v>23</v>
      </c>
      <c r="H70" t="s">
        <v>167</v>
      </c>
      <c r="I70" t="s">
        <v>24</v>
      </c>
      <c r="J70" t="s">
        <v>25</v>
      </c>
    </row>
    <row r="71" spans="1:10" x14ac:dyDescent="0.25">
      <c r="A71" t="s">
        <v>202</v>
      </c>
      <c r="B71">
        <v>70</v>
      </c>
      <c r="C71" t="s">
        <v>133</v>
      </c>
      <c r="D71" t="s">
        <v>203</v>
      </c>
      <c r="E71">
        <v>90</v>
      </c>
      <c r="F71">
        <v>3</v>
      </c>
      <c r="G71" t="s">
        <v>13</v>
      </c>
      <c r="H71" t="s">
        <v>173</v>
      </c>
      <c r="I71" t="s">
        <v>19</v>
      </c>
      <c r="J71" t="s">
        <v>20</v>
      </c>
    </row>
    <row r="72" spans="1:10" x14ac:dyDescent="0.25">
      <c r="A72" t="s">
        <v>204</v>
      </c>
      <c r="B72">
        <v>71</v>
      </c>
      <c r="C72" t="s">
        <v>133</v>
      </c>
      <c r="D72" t="s">
        <v>205</v>
      </c>
      <c r="E72">
        <v>90</v>
      </c>
      <c r="F72">
        <v>3</v>
      </c>
      <c r="G72" t="s">
        <v>23</v>
      </c>
      <c r="H72" t="s">
        <v>176</v>
      </c>
      <c r="I72" t="s">
        <v>33</v>
      </c>
      <c r="J72" t="s">
        <v>34</v>
      </c>
    </row>
    <row r="73" spans="1:10" x14ac:dyDescent="0.25">
      <c r="A73" t="s">
        <v>206</v>
      </c>
      <c r="B73">
        <v>72</v>
      </c>
      <c r="C73" t="s">
        <v>133</v>
      </c>
      <c r="D73" t="s">
        <v>207</v>
      </c>
      <c r="E73">
        <v>90</v>
      </c>
      <c r="F73">
        <v>3</v>
      </c>
      <c r="G73" t="s">
        <v>13</v>
      </c>
      <c r="H73" t="s">
        <v>182</v>
      </c>
      <c r="I73" t="s">
        <v>33</v>
      </c>
      <c r="J73" t="s">
        <v>34</v>
      </c>
    </row>
    <row r="74" spans="1:10" x14ac:dyDescent="0.25">
      <c r="A74" t="s">
        <v>208</v>
      </c>
      <c r="B74">
        <v>73</v>
      </c>
      <c r="C74" t="s">
        <v>133</v>
      </c>
      <c r="D74" t="s">
        <v>209</v>
      </c>
      <c r="E74">
        <v>90</v>
      </c>
      <c r="F74">
        <v>3</v>
      </c>
      <c r="G74" t="s">
        <v>23</v>
      </c>
      <c r="H74" t="s">
        <v>185</v>
      </c>
      <c r="I74" t="s">
        <v>15</v>
      </c>
      <c r="J74" t="s">
        <v>16</v>
      </c>
    </row>
    <row r="75" spans="1:10" x14ac:dyDescent="0.25">
      <c r="A75" t="s">
        <v>210</v>
      </c>
      <c r="B75">
        <v>74</v>
      </c>
      <c r="C75" t="s">
        <v>133</v>
      </c>
      <c r="D75" t="s">
        <v>211</v>
      </c>
      <c r="E75">
        <v>90</v>
      </c>
      <c r="F75">
        <v>4</v>
      </c>
      <c r="G75" t="s">
        <v>13</v>
      </c>
      <c r="H75" t="s">
        <v>191</v>
      </c>
      <c r="I75" t="s">
        <v>24</v>
      </c>
      <c r="J75" t="s">
        <v>25</v>
      </c>
    </row>
    <row r="76" spans="1:10" x14ac:dyDescent="0.25">
      <c r="A76" t="s">
        <v>212</v>
      </c>
      <c r="B76">
        <v>75</v>
      </c>
      <c r="C76" t="s">
        <v>133</v>
      </c>
      <c r="D76" t="s">
        <v>213</v>
      </c>
      <c r="E76">
        <v>90</v>
      </c>
      <c r="F76">
        <v>4</v>
      </c>
      <c r="G76" t="s">
        <v>23</v>
      </c>
      <c r="H76" t="s">
        <v>194</v>
      </c>
      <c r="I76" t="s">
        <v>24</v>
      </c>
      <c r="J76" t="s">
        <v>25</v>
      </c>
    </row>
    <row r="77" spans="1:10" x14ac:dyDescent="0.25">
      <c r="A77" t="s">
        <v>214</v>
      </c>
      <c r="B77">
        <v>76</v>
      </c>
      <c r="C77" t="s">
        <v>215</v>
      </c>
      <c r="D77" t="s">
        <v>216</v>
      </c>
      <c r="E77">
        <v>100</v>
      </c>
      <c r="F77">
        <v>0</v>
      </c>
      <c r="G77" t="s">
        <v>13</v>
      </c>
      <c r="H77" t="s">
        <v>217</v>
      </c>
      <c r="I77" t="s">
        <v>28</v>
      </c>
      <c r="J77" t="s">
        <v>29</v>
      </c>
    </row>
    <row r="78" spans="1:10" x14ac:dyDescent="0.25">
      <c r="A78" t="s">
        <v>218</v>
      </c>
      <c r="B78">
        <v>77</v>
      </c>
      <c r="C78" t="s">
        <v>215</v>
      </c>
      <c r="D78" t="s">
        <v>219</v>
      </c>
      <c r="E78">
        <v>100</v>
      </c>
      <c r="F78">
        <v>0</v>
      </c>
      <c r="G78" t="s">
        <v>23</v>
      </c>
      <c r="H78" t="s">
        <v>217</v>
      </c>
      <c r="I78" t="s">
        <v>24</v>
      </c>
      <c r="J78" t="s">
        <v>25</v>
      </c>
    </row>
    <row r="79" spans="1:10" x14ac:dyDescent="0.25">
      <c r="A79" t="s">
        <v>220</v>
      </c>
      <c r="B79">
        <v>78</v>
      </c>
      <c r="C79" t="s">
        <v>215</v>
      </c>
      <c r="D79" t="s">
        <v>221</v>
      </c>
      <c r="E79">
        <v>94</v>
      </c>
      <c r="F79">
        <v>0</v>
      </c>
      <c r="G79" t="s">
        <v>32</v>
      </c>
      <c r="H79" t="s">
        <v>217</v>
      </c>
      <c r="I79" t="s">
        <v>37</v>
      </c>
      <c r="J79" t="s">
        <v>38</v>
      </c>
    </row>
    <row r="80" spans="1:10" x14ac:dyDescent="0.25">
      <c r="A80" t="s">
        <v>222</v>
      </c>
      <c r="B80">
        <v>79</v>
      </c>
      <c r="C80" t="s">
        <v>215</v>
      </c>
      <c r="D80" t="s">
        <v>223</v>
      </c>
      <c r="E80">
        <v>95</v>
      </c>
      <c r="F80">
        <v>0</v>
      </c>
      <c r="G80" t="s">
        <v>32</v>
      </c>
      <c r="H80" t="s">
        <v>217</v>
      </c>
      <c r="I80" t="s">
        <v>37</v>
      </c>
      <c r="J80" t="s">
        <v>38</v>
      </c>
    </row>
    <row r="81" spans="1:10" x14ac:dyDescent="0.25">
      <c r="A81" t="s">
        <v>224</v>
      </c>
      <c r="B81">
        <v>80</v>
      </c>
      <c r="C81" t="s">
        <v>215</v>
      </c>
      <c r="D81" t="s">
        <v>225</v>
      </c>
      <c r="E81">
        <v>100</v>
      </c>
      <c r="F81">
        <v>0</v>
      </c>
      <c r="G81" t="s">
        <v>32</v>
      </c>
      <c r="H81" t="s">
        <v>217</v>
      </c>
      <c r="I81" t="s">
        <v>33</v>
      </c>
      <c r="J81" t="s">
        <v>34</v>
      </c>
    </row>
    <row r="82" spans="1:10" x14ac:dyDescent="0.25">
      <c r="A82" t="s">
        <v>226</v>
      </c>
      <c r="B82">
        <v>81</v>
      </c>
      <c r="C82" t="s">
        <v>215</v>
      </c>
      <c r="D82" t="s">
        <v>227</v>
      </c>
      <c r="E82">
        <v>100</v>
      </c>
      <c r="F82">
        <v>0</v>
      </c>
      <c r="G82" t="s">
        <v>13</v>
      </c>
      <c r="H82" t="s">
        <v>228</v>
      </c>
      <c r="I82" t="s">
        <v>19</v>
      </c>
      <c r="J82" t="s">
        <v>20</v>
      </c>
    </row>
    <row r="83" spans="1:10" x14ac:dyDescent="0.25">
      <c r="A83" t="s">
        <v>229</v>
      </c>
      <c r="B83">
        <v>82</v>
      </c>
      <c r="C83" t="s">
        <v>215</v>
      </c>
      <c r="D83" t="s">
        <v>230</v>
      </c>
      <c r="E83">
        <v>100</v>
      </c>
      <c r="F83">
        <v>0</v>
      </c>
      <c r="G83" t="s">
        <v>23</v>
      </c>
      <c r="H83" t="s">
        <v>231</v>
      </c>
      <c r="I83" t="s">
        <v>15</v>
      </c>
      <c r="J83" t="s">
        <v>16</v>
      </c>
    </row>
    <row r="84" spans="1:10" x14ac:dyDescent="0.25">
      <c r="A84" t="s">
        <v>232</v>
      </c>
      <c r="B84">
        <v>83</v>
      </c>
      <c r="C84" t="s">
        <v>215</v>
      </c>
      <c r="D84" t="s">
        <v>233</v>
      </c>
      <c r="E84">
        <v>100</v>
      </c>
      <c r="F84">
        <v>0</v>
      </c>
      <c r="G84" t="s">
        <v>32</v>
      </c>
      <c r="H84" t="s">
        <v>234</v>
      </c>
      <c r="I84" t="s">
        <v>33</v>
      </c>
      <c r="J84" t="s">
        <v>34</v>
      </c>
    </row>
    <row r="85" spans="1:10" x14ac:dyDescent="0.25">
      <c r="A85" t="s">
        <v>235</v>
      </c>
      <c r="B85">
        <v>84</v>
      </c>
      <c r="C85" t="s">
        <v>215</v>
      </c>
      <c r="D85" t="s">
        <v>236</v>
      </c>
      <c r="E85">
        <v>100</v>
      </c>
      <c r="F85">
        <v>0</v>
      </c>
      <c r="G85" t="s">
        <v>32</v>
      </c>
      <c r="H85" t="s">
        <v>234</v>
      </c>
      <c r="I85" t="s">
        <v>37</v>
      </c>
      <c r="J85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A1F1-107A-477A-BD4F-6E3A319BF35A}">
  <sheetPr>
    <tabColor theme="9" tint="-0.499984740745262"/>
  </sheetPr>
  <dimension ref="A1:M270"/>
  <sheetViews>
    <sheetView workbookViewId="0">
      <pane ySplit="1" topLeftCell="A161" activePane="bottomLeft" state="frozen"/>
      <selection pane="bottomLeft" activeCell="H177" sqref="H177"/>
    </sheetView>
  </sheetViews>
  <sheetFormatPr defaultRowHeight="15" x14ac:dyDescent="0.25"/>
  <cols>
    <col min="4" max="4" width="14.7109375" customWidth="1"/>
    <col min="7" max="7" width="22.42578125" customWidth="1"/>
    <col min="8" max="8" width="27.28515625" customWidth="1"/>
    <col min="9" max="9" width="41.7109375" customWidth="1"/>
    <col min="10" max="10" width="26.7109375" customWidth="1"/>
    <col min="11" max="11" width="40.42578125" customWidth="1"/>
  </cols>
  <sheetData>
    <row r="1" spans="1:13" x14ac:dyDescent="0.25">
      <c r="A1" t="s">
        <v>0</v>
      </c>
      <c r="B1" t="s">
        <v>1</v>
      </c>
      <c r="C1" t="s">
        <v>237</v>
      </c>
      <c r="D1" t="s">
        <v>3</v>
      </c>
      <c r="E1" t="s">
        <v>4</v>
      </c>
      <c r="F1" t="s">
        <v>5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</row>
    <row r="2" spans="1:13" x14ac:dyDescent="0.25">
      <c r="A2" t="s">
        <v>245</v>
      </c>
      <c r="B2">
        <v>1</v>
      </c>
      <c r="C2">
        <v>1</v>
      </c>
      <c r="D2" t="s">
        <v>246</v>
      </c>
      <c r="E2">
        <v>1</v>
      </c>
      <c r="F2">
        <v>1</v>
      </c>
      <c r="G2" t="s">
        <v>247</v>
      </c>
      <c r="H2" t="s">
        <v>247</v>
      </c>
      <c r="I2" t="s">
        <v>248</v>
      </c>
      <c r="J2" t="s">
        <v>249</v>
      </c>
      <c r="K2" t="s">
        <v>250</v>
      </c>
    </row>
    <row r="3" spans="1:13" x14ac:dyDescent="0.25">
      <c r="A3" t="s">
        <v>251</v>
      </c>
      <c r="B3">
        <v>2</v>
      </c>
      <c r="C3">
        <v>1</v>
      </c>
      <c r="D3" t="s">
        <v>252</v>
      </c>
      <c r="E3">
        <v>50</v>
      </c>
      <c r="F3">
        <v>4</v>
      </c>
      <c r="G3" t="s">
        <v>253</v>
      </c>
      <c r="I3" t="s">
        <v>254</v>
      </c>
      <c r="J3" t="s">
        <v>255</v>
      </c>
    </row>
    <row r="4" spans="1:13" x14ac:dyDescent="0.25">
      <c r="A4" t="s">
        <v>256</v>
      </c>
      <c r="B4">
        <v>2</v>
      </c>
      <c r="C4">
        <v>2</v>
      </c>
      <c r="D4" t="s">
        <v>252</v>
      </c>
      <c r="E4">
        <v>50</v>
      </c>
      <c r="F4">
        <v>4</v>
      </c>
      <c r="G4" t="s">
        <v>253</v>
      </c>
      <c r="I4" t="s">
        <v>257</v>
      </c>
      <c r="J4" t="s">
        <v>258</v>
      </c>
    </row>
    <row r="5" spans="1:13" x14ac:dyDescent="0.25">
      <c r="A5" t="s">
        <v>259</v>
      </c>
      <c r="B5">
        <v>2</v>
      </c>
      <c r="C5">
        <v>3</v>
      </c>
      <c r="D5" t="s">
        <v>252</v>
      </c>
      <c r="E5">
        <v>50</v>
      </c>
      <c r="F5">
        <v>4</v>
      </c>
      <c r="G5" t="s">
        <v>260</v>
      </c>
      <c r="I5" t="s">
        <v>261</v>
      </c>
      <c r="J5" t="s">
        <v>262</v>
      </c>
    </row>
    <row r="6" spans="1:13" x14ac:dyDescent="0.25">
      <c r="A6" t="s">
        <v>263</v>
      </c>
      <c r="B6">
        <v>3</v>
      </c>
      <c r="C6">
        <v>1</v>
      </c>
      <c r="D6" t="s">
        <v>264</v>
      </c>
      <c r="E6">
        <v>50</v>
      </c>
      <c r="F6">
        <v>4</v>
      </c>
      <c r="G6" t="s">
        <v>265</v>
      </c>
      <c r="I6" t="s">
        <v>266</v>
      </c>
      <c r="J6" t="s">
        <v>267</v>
      </c>
    </row>
    <row r="7" spans="1:13" x14ac:dyDescent="0.25">
      <c r="A7" t="s">
        <v>268</v>
      </c>
      <c r="B7">
        <v>3</v>
      </c>
      <c r="C7">
        <v>2</v>
      </c>
      <c r="D7" t="s">
        <v>264</v>
      </c>
      <c r="E7">
        <v>50</v>
      </c>
      <c r="F7">
        <v>4</v>
      </c>
      <c r="G7" t="s">
        <v>265</v>
      </c>
      <c r="I7" t="s">
        <v>269</v>
      </c>
      <c r="J7" t="s">
        <v>270</v>
      </c>
    </row>
    <row r="8" spans="1:13" x14ac:dyDescent="0.25">
      <c r="A8" t="s">
        <v>271</v>
      </c>
      <c r="B8">
        <v>3</v>
      </c>
      <c r="C8">
        <v>3</v>
      </c>
      <c r="D8" t="s">
        <v>264</v>
      </c>
      <c r="E8">
        <v>50</v>
      </c>
      <c r="F8">
        <v>4</v>
      </c>
      <c r="G8" t="s">
        <v>10583</v>
      </c>
      <c r="I8" t="s">
        <v>272</v>
      </c>
      <c r="J8" t="s">
        <v>267</v>
      </c>
      <c r="K8" t="s">
        <v>273</v>
      </c>
    </row>
    <row r="9" spans="1:13" x14ac:dyDescent="0.25">
      <c r="A9" t="s">
        <v>274</v>
      </c>
      <c r="B9">
        <v>4</v>
      </c>
      <c r="C9">
        <v>1</v>
      </c>
      <c r="D9" t="s">
        <v>275</v>
      </c>
      <c r="E9">
        <v>50</v>
      </c>
      <c r="F9">
        <v>3</v>
      </c>
      <c r="G9" t="s">
        <v>247</v>
      </c>
      <c r="H9" t="s">
        <v>276</v>
      </c>
      <c r="I9" t="s">
        <v>277</v>
      </c>
      <c r="J9" t="s">
        <v>278</v>
      </c>
      <c r="K9" t="s">
        <v>279</v>
      </c>
    </row>
    <row r="10" spans="1:13" x14ac:dyDescent="0.25">
      <c r="A10" t="s">
        <v>280</v>
      </c>
      <c r="B10">
        <v>4</v>
      </c>
      <c r="C10">
        <v>2</v>
      </c>
      <c r="D10" t="s">
        <v>275</v>
      </c>
      <c r="E10">
        <v>50</v>
      </c>
      <c r="F10">
        <v>3</v>
      </c>
      <c r="G10" t="s">
        <v>253</v>
      </c>
      <c r="I10" t="s">
        <v>281</v>
      </c>
      <c r="J10" t="s">
        <v>282</v>
      </c>
      <c r="K10" t="s">
        <v>283</v>
      </c>
    </row>
    <row r="11" spans="1:13" x14ac:dyDescent="0.25">
      <c r="A11" t="s">
        <v>284</v>
      </c>
      <c r="B11">
        <v>4</v>
      </c>
      <c r="C11">
        <v>3</v>
      </c>
      <c r="D11" t="s">
        <v>275</v>
      </c>
      <c r="E11">
        <v>50</v>
      </c>
      <c r="F11">
        <v>3</v>
      </c>
      <c r="G11" t="s">
        <v>247</v>
      </c>
      <c r="H11" t="s">
        <v>247</v>
      </c>
      <c r="I11" t="s">
        <v>285</v>
      </c>
      <c r="J11" t="s">
        <v>286</v>
      </c>
      <c r="K11" t="s">
        <v>287</v>
      </c>
    </row>
    <row r="12" spans="1:13" x14ac:dyDescent="0.25">
      <c r="A12" t="s">
        <v>288</v>
      </c>
      <c r="B12">
        <v>5</v>
      </c>
      <c r="C12">
        <v>1</v>
      </c>
      <c r="D12" t="s">
        <v>289</v>
      </c>
      <c r="E12">
        <v>1</v>
      </c>
      <c r="F12">
        <v>2</v>
      </c>
      <c r="G12" t="s">
        <v>247</v>
      </c>
      <c r="H12" t="s">
        <v>290</v>
      </c>
      <c r="I12" t="s">
        <v>291</v>
      </c>
      <c r="J12" t="s">
        <v>292</v>
      </c>
      <c r="K12" t="s">
        <v>293</v>
      </c>
      <c r="L12">
        <v>18</v>
      </c>
      <c r="M12">
        <v>15</v>
      </c>
    </row>
    <row r="13" spans="1:13" x14ac:dyDescent="0.25">
      <c r="A13" t="s">
        <v>294</v>
      </c>
      <c r="B13">
        <v>5</v>
      </c>
      <c r="C13">
        <v>2</v>
      </c>
      <c r="D13" t="s">
        <v>289</v>
      </c>
      <c r="E13">
        <v>1</v>
      </c>
      <c r="F13">
        <v>2</v>
      </c>
      <c r="G13" t="s">
        <v>247</v>
      </c>
      <c r="H13" t="s">
        <v>247</v>
      </c>
      <c r="I13" t="s">
        <v>291</v>
      </c>
      <c r="J13" t="s">
        <v>295</v>
      </c>
      <c r="L13">
        <v>16</v>
      </c>
      <c r="M13">
        <v>15</v>
      </c>
    </row>
    <row r="14" spans="1:13" x14ac:dyDescent="0.25">
      <c r="A14" t="s">
        <v>296</v>
      </c>
      <c r="B14">
        <v>5</v>
      </c>
      <c r="C14">
        <v>3</v>
      </c>
      <c r="D14" t="s">
        <v>289</v>
      </c>
      <c r="E14">
        <v>1</v>
      </c>
      <c r="F14">
        <v>2</v>
      </c>
      <c r="G14" t="s">
        <v>253</v>
      </c>
      <c r="I14" t="s">
        <v>297</v>
      </c>
      <c r="J14" t="s">
        <v>298</v>
      </c>
    </row>
    <row r="15" spans="1:13" x14ac:dyDescent="0.25">
      <c r="A15" t="s">
        <v>299</v>
      </c>
      <c r="B15">
        <v>5</v>
      </c>
      <c r="C15">
        <v>4</v>
      </c>
      <c r="D15" t="s">
        <v>289</v>
      </c>
      <c r="E15">
        <v>1</v>
      </c>
      <c r="F15">
        <v>2</v>
      </c>
      <c r="G15" t="s">
        <v>253</v>
      </c>
      <c r="I15" t="s">
        <v>254</v>
      </c>
      <c r="J15" t="s">
        <v>300</v>
      </c>
    </row>
    <row r="16" spans="1:13" x14ac:dyDescent="0.25">
      <c r="A16" t="s">
        <v>301</v>
      </c>
      <c r="B16">
        <v>6</v>
      </c>
      <c r="C16">
        <v>1</v>
      </c>
      <c r="D16" t="s">
        <v>302</v>
      </c>
      <c r="E16">
        <v>50</v>
      </c>
      <c r="F16">
        <v>4</v>
      </c>
      <c r="G16" t="s">
        <v>260</v>
      </c>
      <c r="I16" t="s">
        <v>303</v>
      </c>
      <c r="J16" t="s">
        <v>304</v>
      </c>
    </row>
    <row r="17" spans="1:13" x14ac:dyDescent="0.25">
      <c r="A17" t="s">
        <v>305</v>
      </c>
      <c r="B17">
        <v>6</v>
      </c>
      <c r="C17">
        <v>2</v>
      </c>
      <c r="D17" t="s">
        <v>302</v>
      </c>
      <c r="E17">
        <v>50</v>
      </c>
      <c r="F17">
        <v>4</v>
      </c>
      <c r="G17" t="s">
        <v>10583</v>
      </c>
      <c r="I17" t="s">
        <v>306</v>
      </c>
      <c r="J17" t="s">
        <v>307</v>
      </c>
      <c r="K17" t="s">
        <v>308</v>
      </c>
    </row>
    <row r="18" spans="1:13" x14ac:dyDescent="0.25">
      <c r="A18" t="s">
        <v>309</v>
      </c>
      <c r="B18">
        <v>7</v>
      </c>
      <c r="C18">
        <v>1</v>
      </c>
      <c r="D18" t="s">
        <v>310</v>
      </c>
      <c r="E18">
        <v>50</v>
      </c>
      <c r="F18">
        <v>1</v>
      </c>
      <c r="G18" t="s">
        <v>247</v>
      </c>
      <c r="H18" t="s">
        <v>276</v>
      </c>
      <c r="I18" t="s">
        <v>291</v>
      </c>
      <c r="J18" t="s">
        <v>311</v>
      </c>
      <c r="K18" t="s">
        <v>312</v>
      </c>
    </row>
    <row r="19" spans="1:13" x14ac:dyDescent="0.25">
      <c r="A19" t="s">
        <v>313</v>
      </c>
      <c r="B19">
        <v>7</v>
      </c>
      <c r="C19">
        <v>2</v>
      </c>
      <c r="D19" t="s">
        <v>310</v>
      </c>
      <c r="E19">
        <v>50</v>
      </c>
      <c r="F19">
        <v>1</v>
      </c>
      <c r="G19" t="s">
        <v>253</v>
      </c>
      <c r="I19" t="s">
        <v>314</v>
      </c>
      <c r="J19" t="s">
        <v>315</v>
      </c>
    </row>
    <row r="20" spans="1:13" x14ac:dyDescent="0.25">
      <c r="A20" t="s">
        <v>316</v>
      </c>
      <c r="B20">
        <v>7</v>
      </c>
      <c r="C20">
        <v>3</v>
      </c>
      <c r="D20" t="s">
        <v>310</v>
      </c>
      <c r="E20">
        <v>50</v>
      </c>
      <c r="F20">
        <v>1</v>
      </c>
      <c r="G20" t="s">
        <v>253</v>
      </c>
      <c r="I20" t="s">
        <v>317</v>
      </c>
      <c r="J20" t="s">
        <v>318</v>
      </c>
    </row>
    <row r="21" spans="1:13" x14ac:dyDescent="0.25">
      <c r="A21" t="s">
        <v>319</v>
      </c>
      <c r="B21">
        <v>8</v>
      </c>
      <c r="C21">
        <v>1</v>
      </c>
      <c r="D21" t="s">
        <v>320</v>
      </c>
      <c r="E21">
        <v>1</v>
      </c>
      <c r="F21">
        <v>2</v>
      </c>
      <c r="G21" t="s">
        <v>247</v>
      </c>
      <c r="H21" t="s">
        <v>247</v>
      </c>
      <c r="I21" t="s">
        <v>248</v>
      </c>
      <c r="J21" t="s">
        <v>321</v>
      </c>
      <c r="L21">
        <v>15</v>
      </c>
      <c r="M21">
        <v>15</v>
      </c>
    </row>
    <row r="22" spans="1:13" x14ac:dyDescent="0.25">
      <c r="A22" t="s">
        <v>322</v>
      </c>
      <c r="B22">
        <v>8</v>
      </c>
      <c r="C22">
        <v>2</v>
      </c>
      <c r="D22" t="s">
        <v>320</v>
      </c>
      <c r="E22">
        <v>1</v>
      </c>
      <c r="F22">
        <v>2</v>
      </c>
      <c r="G22" t="s">
        <v>253</v>
      </c>
      <c r="I22" t="s">
        <v>323</v>
      </c>
      <c r="J22" t="s">
        <v>324</v>
      </c>
    </row>
    <row r="23" spans="1:13" x14ac:dyDescent="0.25">
      <c r="A23" t="s">
        <v>325</v>
      </c>
      <c r="B23">
        <v>9</v>
      </c>
      <c r="C23">
        <v>1</v>
      </c>
      <c r="D23" t="s">
        <v>326</v>
      </c>
      <c r="E23">
        <v>50</v>
      </c>
      <c r="F23">
        <v>2</v>
      </c>
      <c r="G23" t="s">
        <v>253</v>
      </c>
      <c r="I23" t="s">
        <v>281</v>
      </c>
      <c r="J23" t="s">
        <v>327</v>
      </c>
    </row>
    <row r="24" spans="1:13" x14ac:dyDescent="0.25">
      <c r="A24" t="s">
        <v>328</v>
      </c>
      <c r="B24">
        <v>9</v>
      </c>
      <c r="C24">
        <v>2</v>
      </c>
      <c r="D24" t="s">
        <v>326</v>
      </c>
      <c r="E24">
        <v>50</v>
      </c>
      <c r="F24">
        <v>2</v>
      </c>
      <c r="G24" t="s">
        <v>247</v>
      </c>
      <c r="H24" t="s">
        <v>276</v>
      </c>
      <c r="I24" t="s">
        <v>329</v>
      </c>
      <c r="J24" t="s">
        <v>330</v>
      </c>
      <c r="K24" t="s">
        <v>331</v>
      </c>
    </row>
    <row r="25" spans="1:13" x14ac:dyDescent="0.25">
      <c r="A25" t="s">
        <v>332</v>
      </c>
      <c r="B25">
        <v>10</v>
      </c>
      <c r="C25">
        <v>1</v>
      </c>
      <c r="D25" t="s">
        <v>333</v>
      </c>
      <c r="E25">
        <v>47</v>
      </c>
      <c r="F25">
        <v>4</v>
      </c>
      <c r="G25" t="s">
        <v>253</v>
      </c>
      <c r="I25" t="s">
        <v>334</v>
      </c>
      <c r="J25" t="s">
        <v>335</v>
      </c>
    </row>
    <row r="26" spans="1:13" x14ac:dyDescent="0.25">
      <c r="A26" t="s">
        <v>336</v>
      </c>
      <c r="B26">
        <v>10</v>
      </c>
      <c r="C26">
        <v>2</v>
      </c>
      <c r="D26" t="s">
        <v>333</v>
      </c>
      <c r="E26">
        <v>47</v>
      </c>
      <c r="F26">
        <v>4</v>
      </c>
      <c r="G26" t="s">
        <v>247</v>
      </c>
      <c r="H26" t="s">
        <v>276</v>
      </c>
      <c r="I26" t="s">
        <v>337</v>
      </c>
      <c r="J26" t="s">
        <v>338</v>
      </c>
      <c r="K26" t="s">
        <v>331</v>
      </c>
    </row>
    <row r="27" spans="1:13" x14ac:dyDescent="0.25">
      <c r="A27" t="s">
        <v>339</v>
      </c>
      <c r="B27">
        <v>10</v>
      </c>
      <c r="C27">
        <v>3</v>
      </c>
      <c r="D27" t="s">
        <v>333</v>
      </c>
      <c r="E27">
        <v>47</v>
      </c>
      <c r="F27">
        <v>4</v>
      </c>
      <c r="G27" t="s">
        <v>247</v>
      </c>
      <c r="H27" t="s">
        <v>247</v>
      </c>
      <c r="I27" t="s">
        <v>340</v>
      </c>
      <c r="J27" t="s">
        <v>341</v>
      </c>
      <c r="L27">
        <v>27</v>
      </c>
      <c r="M27">
        <v>33.700000000000003</v>
      </c>
    </row>
    <row r="28" spans="1:13" x14ac:dyDescent="0.25">
      <c r="A28" t="s">
        <v>342</v>
      </c>
      <c r="B28">
        <v>11</v>
      </c>
      <c r="C28">
        <v>1</v>
      </c>
      <c r="D28" t="s">
        <v>343</v>
      </c>
      <c r="E28">
        <v>1</v>
      </c>
      <c r="F28">
        <v>2</v>
      </c>
      <c r="G28" t="s">
        <v>247</v>
      </c>
      <c r="H28" t="s">
        <v>247</v>
      </c>
      <c r="I28" t="s">
        <v>344</v>
      </c>
      <c r="J28" t="s">
        <v>345</v>
      </c>
      <c r="L28">
        <v>19</v>
      </c>
      <c r="M28">
        <v>29</v>
      </c>
    </row>
    <row r="29" spans="1:13" x14ac:dyDescent="0.25">
      <c r="A29" t="s">
        <v>346</v>
      </c>
      <c r="B29">
        <v>11</v>
      </c>
      <c r="C29">
        <v>2</v>
      </c>
      <c r="D29" t="s">
        <v>343</v>
      </c>
      <c r="E29">
        <v>1</v>
      </c>
      <c r="F29">
        <v>2</v>
      </c>
      <c r="G29" t="s">
        <v>247</v>
      </c>
      <c r="H29" t="s">
        <v>247</v>
      </c>
      <c r="I29" t="s">
        <v>347</v>
      </c>
      <c r="J29" t="s">
        <v>348</v>
      </c>
      <c r="L29">
        <v>24</v>
      </c>
      <c r="M29">
        <v>13</v>
      </c>
    </row>
    <row r="30" spans="1:13" x14ac:dyDescent="0.25">
      <c r="A30" t="s">
        <v>349</v>
      </c>
      <c r="B30">
        <v>11</v>
      </c>
      <c r="C30">
        <v>3</v>
      </c>
      <c r="D30" t="s">
        <v>343</v>
      </c>
      <c r="E30">
        <v>1</v>
      </c>
      <c r="F30">
        <v>2</v>
      </c>
      <c r="G30" t="s">
        <v>247</v>
      </c>
      <c r="H30" t="s">
        <v>276</v>
      </c>
      <c r="I30" t="s">
        <v>347</v>
      </c>
      <c r="J30" t="s">
        <v>350</v>
      </c>
      <c r="K30" t="s">
        <v>331</v>
      </c>
    </row>
    <row r="31" spans="1:13" x14ac:dyDescent="0.25">
      <c r="A31" t="s">
        <v>351</v>
      </c>
      <c r="B31">
        <v>11</v>
      </c>
      <c r="C31">
        <v>4</v>
      </c>
      <c r="D31" t="s">
        <v>343</v>
      </c>
      <c r="E31">
        <v>1</v>
      </c>
      <c r="F31">
        <v>2</v>
      </c>
      <c r="G31" t="s">
        <v>247</v>
      </c>
      <c r="H31" t="s">
        <v>247</v>
      </c>
      <c r="I31" t="s">
        <v>277</v>
      </c>
      <c r="J31" t="s">
        <v>352</v>
      </c>
      <c r="L31">
        <v>16</v>
      </c>
      <c r="M31">
        <v>16</v>
      </c>
    </row>
    <row r="32" spans="1:13" x14ac:dyDescent="0.25">
      <c r="A32" t="s">
        <v>353</v>
      </c>
      <c r="B32">
        <v>11</v>
      </c>
      <c r="C32">
        <v>5</v>
      </c>
      <c r="D32" t="s">
        <v>343</v>
      </c>
      <c r="E32">
        <v>1</v>
      </c>
      <c r="F32">
        <v>2</v>
      </c>
      <c r="G32" t="s">
        <v>253</v>
      </c>
      <c r="I32" t="s">
        <v>354</v>
      </c>
      <c r="J32" t="s">
        <v>355</v>
      </c>
    </row>
    <row r="33" spans="1:13" x14ac:dyDescent="0.25">
      <c r="A33" t="s">
        <v>356</v>
      </c>
      <c r="B33">
        <v>11</v>
      </c>
      <c r="C33">
        <v>6</v>
      </c>
      <c r="D33" t="s">
        <v>343</v>
      </c>
      <c r="E33">
        <v>1</v>
      </c>
      <c r="F33">
        <v>2</v>
      </c>
      <c r="G33" t="s">
        <v>10583</v>
      </c>
      <c r="I33" t="s">
        <v>357</v>
      </c>
      <c r="J33" t="s">
        <v>358</v>
      </c>
    </row>
    <row r="34" spans="1:13" x14ac:dyDescent="0.25">
      <c r="A34" t="s">
        <v>359</v>
      </c>
      <c r="B34">
        <v>12</v>
      </c>
      <c r="C34">
        <v>1</v>
      </c>
      <c r="D34" t="s">
        <v>360</v>
      </c>
      <c r="E34">
        <v>1</v>
      </c>
      <c r="F34">
        <v>2</v>
      </c>
      <c r="G34" t="s">
        <v>247</v>
      </c>
      <c r="H34" t="s">
        <v>361</v>
      </c>
      <c r="I34" t="s">
        <v>362</v>
      </c>
      <c r="J34" t="s">
        <v>363</v>
      </c>
      <c r="K34" t="s">
        <v>364</v>
      </c>
    </row>
    <row r="35" spans="1:13" x14ac:dyDescent="0.25">
      <c r="A35" t="s">
        <v>365</v>
      </c>
      <c r="B35">
        <v>12</v>
      </c>
      <c r="C35">
        <v>2</v>
      </c>
      <c r="D35" t="s">
        <v>360</v>
      </c>
      <c r="E35">
        <v>1</v>
      </c>
      <c r="F35">
        <v>2</v>
      </c>
      <c r="G35" t="s">
        <v>247</v>
      </c>
      <c r="H35" t="s">
        <v>290</v>
      </c>
      <c r="I35" t="s">
        <v>362</v>
      </c>
      <c r="J35" t="s">
        <v>366</v>
      </c>
      <c r="K35" t="s">
        <v>367</v>
      </c>
      <c r="L35">
        <v>29</v>
      </c>
      <c r="M35">
        <v>23</v>
      </c>
    </row>
    <row r="36" spans="1:13" x14ac:dyDescent="0.25">
      <c r="A36" t="s">
        <v>368</v>
      </c>
      <c r="B36">
        <v>12</v>
      </c>
      <c r="C36">
        <v>3</v>
      </c>
      <c r="D36" t="s">
        <v>360</v>
      </c>
      <c r="E36">
        <v>1</v>
      </c>
      <c r="F36">
        <v>2</v>
      </c>
      <c r="G36" t="s">
        <v>247</v>
      </c>
      <c r="H36" t="s">
        <v>247</v>
      </c>
      <c r="I36" t="s">
        <v>369</v>
      </c>
      <c r="J36" t="s">
        <v>370</v>
      </c>
      <c r="L36">
        <v>18</v>
      </c>
      <c r="M36">
        <v>24</v>
      </c>
    </row>
    <row r="37" spans="1:13" x14ac:dyDescent="0.25">
      <c r="A37" t="s">
        <v>371</v>
      </c>
      <c r="B37">
        <v>13</v>
      </c>
      <c r="C37">
        <v>1</v>
      </c>
      <c r="D37" t="s">
        <v>372</v>
      </c>
      <c r="E37">
        <v>1</v>
      </c>
      <c r="F37">
        <v>3</v>
      </c>
      <c r="G37" t="s">
        <v>373</v>
      </c>
      <c r="I37" t="s">
        <v>374</v>
      </c>
      <c r="J37" t="s">
        <v>375</v>
      </c>
      <c r="K37" t="s">
        <v>376</v>
      </c>
      <c r="L37">
        <v>12.5</v>
      </c>
      <c r="M37">
        <v>12.9</v>
      </c>
    </row>
    <row r="38" spans="1:13" x14ac:dyDescent="0.25">
      <c r="A38" t="s">
        <v>377</v>
      </c>
      <c r="B38">
        <v>13</v>
      </c>
      <c r="C38">
        <v>2</v>
      </c>
      <c r="D38" t="s">
        <v>372</v>
      </c>
      <c r="E38">
        <v>1</v>
      </c>
      <c r="F38">
        <v>3</v>
      </c>
      <c r="G38" t="s">
        <v>265</v>
      </c>
      <c r="I38" t="s">
        <v>378</v>
      </c>
      <c r="J38" t="s">
        <v>379</v>
      </c>
    </row>
    <row r="39" spans="1:13" x14ac:dyDescent="0.25">
      <c r="A39" t="s">
        <v>380</v>
      </c>
      <c r="B39">
        <v>13</v>
      </c>
      <c r="C39">
        <v>3</v>
      </c>
      <c r="D39" t="s">
        <v>372</v>
      </c>
      <c r="E39">
        <v>1</v>
      </c>
      <c r="F39">
        <v>3</v>
      </c>
      <c r="G39" t="s">
        <v>260</v>
      </c>
      <c r="I39" t="s">
        <v>381</v>
      </c>
      <c r="J39" t="s">
        <v>382</v>
      </c>
    </row>
    <row r="40" spans="1:13" x14ac:dyDescent="0.25">
      <c r="A40" t="s">
        <v>383</v>
      </c>
      <c r="B40">
        <v>14</v>
      </c>
      <c r="C40">
        <v>1</v>
      </c>
      <c r="D40" t="s">
        <v>384</v>
      </c>
      <c r="E40">
        <v>28</v>
      </c>
      <c r="F40">
        <v>2</v>
      </c>
      <c r="G40" t="s">
        <v>253</v>
      </c>
      <c r="I40" t="s">
        <v>385</v>
      </c>
      <c r="J40" t="s">
        <v>386</v>
      </c>
    </row>
    <row r="41" spans="1:13" x14ac:dyDescent="0.25">
      <c r="A41" t="s">
        <v>387</v>
      </c>
      <c r="B41">
        <v>15</v>
      </c>
      <c r="C41">
        <v>1</v>
      </c>
      <c r="D41" t="s">
        <v>388</v>
      </c>
      <c r="E41">
        <v>50</v>
      </c>
      <c r="F41">
        <v>4</v>
      </c>
      <c r="G41" t="s">
        <v>247</v>
      </c>
      <c r="H41" t="s">
        <v>276</v>
      </c>
      <c r="I41" t="s">
        <v>389</v>
      </c>
      <c r="J41" t="s">
        <v>390</v>
      </c>
      <c r="K41" t="s">
        <v>279</v>
      </c>
    </row>
    <row r="42" spans="1:13" x14ac:dyDescent="0.25">
      <c r="A42" t="s">
        <v>391</v>
      </c>
      <c r="B42">
        <v>15</v>
      </c>
      <c r="C42">
        <v>2</v>
      </c>
      <c r="D42" t="s">
        <v>388</v>
      </c>
      <c r="E42">
        <v>50</v>
      </c>
      <c r="F42">
        <v>4</v>
      </c>
      <c r="G42" t="s">
        <v>253</v>
      </c>
      <c r="I42" t="s">
        <v>392</v>
      </c>
      <c r="J42" t="s">
        <v>393</v>
      </c>
    </row>
    <row r="43" spans="1:13" x14ac:dyDescent="0.25">
      <c r="A43" t="s">
        <v>394</v>
      </c>
      <c r="B43">
        <v>16</v>
      </c>
      <c r="C43">
        <v>1</v>
      </c>
      <c r="D43" t="s">
        <v>395</v>
      </c>
      <c r="E43">
        <v>1</v>
      </c>
      <c r="F43">
        <v>1</v>
      </c>
      <c r="G43" t="s">
        <v>247</v>
      </c>
      <c r="H43" t="s">
        <v>247</v>
      </c>
      <c r="I43" t="s">
        <v>362</v>
      </c>
      <c r="J43" t="s">
        <v>396</v>
      </c>
      <c r="L43">
        <v>27</v>
      </c>
      <c r="M43">
        <v>24</v>
      </c>
    </row>
    <row r="44" spans="1:13" x14ac:dyDescent="0.25">
      <c r="A44" t="s">
        <v>397</v>
      </c>
      <c r="B44">
        <v>16</v>
      </c>
      <c r="C44">
        <v>2</v>
      </c>
      <c r="D44" t="s">
        <v>395</v>
      </c>
      <c r="E44">
        <v>1</v>
      </c>
      <c r="F44">
        <v>1</v>
      </c>
      <c r="G44" t="s">
        <v>247</v>
      </c>
      <c r="H44" t="s">
        <v>247</v>
      </c>
      <c r="I44" t="s">
        <v>398</v>
      </c>
      <c r="J44" t="s">
        <v>399</v>
      </c>
      <c r="L44">
        <v>15</v>
      </c>
      <c r="M44">
        <v>19</v>
      </c>
    </row>
    <row r="45" spans="1:13" x14ac:dyDescent="0.25">
      <c r="A45" t="s">
        <v>400</v>
      </c>
      <c r="B45">
        <v>16</v>
      </c>
      <c r="C45">
        <v>3</v>
      </c>
      <c r="D45" t="s">
        <v>395</v>
      </c>
      <c r="E45">
        <v>1</v>
      </c>
      <c r="F45">
        <v>1</v>
      </c>
      <c r="G45" t="s">
        <v>253</v>
      </c>
      <c r="I45" t="s">
        <v>385</v>
      </c>
      <c r="J45" t="s">
        <v>401</v>
      </c>
    </row>
    <row r="46" spans="1:13" x14ac:dyDescent="0.25">
      <c r="A46" t="s">
        <v>402</v>
      </c>
      <c r="B46">
        <v>16</v>
      </c>
      <c r="C46">
        <v>4</v>
      </c>
      <c r="D46" t="s">
        <v>395</v>
      </c>
      <c r="E46">
        <v>1</v>
      </c>
      <c r="F46">
        <v>1</v>
      </c>
      <c r="G46" t="s">
        <v>10583</v>
      </c>
      <c r="I46" t="s">
        <v>357</v>
      </c>
      <c r="J46" t="s">
        <v>358</v>
      </c>
      <c r="K46" t="s">
        <v>403</v>
      </c>
    </row>
    <row r="47" spans="1:13" x14ac:dyDescent="0.25">
      <c r="A47" t="s">
        <v>404</v>
      </c>
      <c r="B47">
        <v>17</v>
      </c>
      <c r="C47">
        <v>1</v>
      </c>
      <c r="D47" t="s">
        <v>405</v>
      </c>
      <c r="E47">
        <v>1</v>
      </c>
      <c r="F47">
        <v>1</v>
      </c>
      <c r="G47" t="s">
        <v>247</v>
      </c>
      <c r="H47" t="s">
        <v>247</v>
      </c>
      <c r="I47" t="s">
        <v>362</v>
      </c>
      <c r="J47" t="s">
        <v>406</v>
      </c>
      <c r="L47">
        <v>25</v>
      </c>
      <c r="M47">
        <v>20</v>
      </c>
    </row>
    <row r="48" spans="1:13" x14ac:dyDescent="0.25">
      <c r="A48" t="s">
        <v>407</v>
      </c>
      <c r="B48">
        <v>17</v>
      </c>
      <c r="C48">
        <v>2</v>
      </c>
      <c r="D48" t="s">
        <v>405</v>
      </c>
      <c r="E48">
        <v>1</v>
      </c>
      <c r="F48">
        <v>1</v>
      </c>
      <c r="G48" t="s">
        <v>247</v>
      </c>
      <c r="H48" t="s">
        <v>247</v>
      </c>
      <c r="I48" t="s">
        <v>408</v>
      </c>
      <c r="J48" t="s">
        <v>409</v>
      </c>
      <c r="L48">
        <v>27</v>
      </c>
      <c r="M48">
        <v>16</v>
      </c>
    </row>
    <row r="49" spans="1:13" x14ac:dyDescent="0.25">
      <c r="A49" t="s">
        <v>410</v>
      </c>
      <c r="B49">
        <v>17</v>
      </c>
      <c r="C49">
        <v>3</v>
      </c>
      <c r="D49" t="s">
        <v>405</v>
      </c>
      <c r="E49">
        <v>1</v>
      </c>
      <c r="F49">
        <v>1</v>
      </c>
      <c r="G49" t="s">
        <v>247</v>
      </c>
      <c r="H49" t="s">
        <v>247</v>
      </c>
      <c r="I49" t="s">
        <v>337</v>
      </c>
      <c r="J49" t="s">
        <v>337</v>
      </c>
      <c r="L49">
        <v>26</v>
      </c>
      <c r="M49">
        <v>18</v>
      </c>
    </row>
    <row r="50" spans="1:13" x14ac:dyDescent="0.25">
      <c r="A50" t="s">
        <v>411</v>
      </c>
      <c r="B50">
        <v>17</v>
      </c>
      <c r="C50">
        <v>4</v>
      </c>
      <c r="D50" t="s">
        <v>405</v>
      </c>
      <c r="E50">
        <v>1</v>
      </c>
      <c r="F50">
        <v>1</v>
      </c>
      <c r="G50" t="s">
        <v>247</v>
      </c>
      <c r="H50" t="s">
        <v>247</v>
      </c>
      <c r="I50" t="s">
        <v>412</v>
      </c>
      <c r="J50" t="s">
        <v>413</v>
      </c>
      <c r="L50">
        <v>27</v>
      </c>
      <c r="M50">
        <v>24</v>
      </c>
    </row>
    <row r="51" spans="1:13" x14ac:dyDescent="0.25">
      <c r="A51" t="s">
        <v>414</v>
      </c>
      <c r="B51">
        <v>17</v>
      </c>
      <c r="C51">
        <v>5</v>
      </c>
      <c r="D51" t="s">
        <v>405</v>
      </c>
      <c r="E51">
        <v>1</v>
      </c>
      <c r="F51">
        <v>1</v>
      </c>
      <c r="G51" t="s">
        <v>247</v>
      </c>
      <c r="H51" t="s">
        <v>247</v>
      </c>
      <c r="I51" t="s">
        <v>369</v>
      </c>
      <c r="J51" t="s">
        <v>415</v>
      </c>
      <c r="L51">
        <v>17</v>
      </c>
      <c r="M51">
        <v>23</v>
      </c>
    </row>
    <row r="52" spans="1:13" x14ac:dyDescent="0.25">
      <c r="A52" t="s">
        <v>416</v>
      </c>
      <c r="B52">
        <v>17</v>
      </c>
      <c r="C52">
        <v>6</v>
      </c>
      <c r="D52" t="s">
        <v>405</v>
      </c>
      <c r="E52">
        <v>1</v>
      </c>
      <c r="F52">
        <v>1</v>
      </c>
      <c r="G52" t="s">
        <v>247</v>
      </c>
      <c r="H52" t="s">
        <v>276</v>
      </c>
      <c r="I52" t="s">
        <v>408</v>
      </c>
      <c r="J52" t="s">
        <v>417</v>
      </c>
      <c r="K52" t="s">
        <v>312</v>
      </c>
    </row>
    <row r="53" spans="1:13" x14ac:dyDescent="0.25">
      <c r="A53" t="s">
        <v>418</v>
      </c>
      <c r="B53">
        <v>17</v>
      </c>
      <c r="C53">
        <v>7</v>
      </c>
      <c r="D53" t="s">
        <v>405</v>
      </c>
      <c r="E53">
        <v>1</v>
      </c>
      <c r="F53">
        <v>1</v>
      </c>
      <c r="G53" t="s">
        <v>253</v>
      </c>
      <c r="I53" t="s">
        <v>385</v>
      </c>
      <c r="J53" t="s">
        <v>419</v>
      </c>
    </row>
    <row r="54" spans="1:13" x14ac:dyDescent="0.25">
      <c r="A54" t="s">
        <v>420</v>
      </c>
      <c r="B54">
        <v>17</v>
      </c>
      <c r="C54">
        <v>8</v>
      </c>
      <c r="D54" t="s">
        <v>405</v>
      </c>
      <c r="E54">
        <v>1</v>
      </c>
      <c r="F54">
        <v>1</v>
      </c>
      <c r="G54" t="s">
        <v>253</v>
      </c>
      <c r="I54" t="s">
        <v>421</v>
      </c>
      <c r="J54" t="s">
        <v>422</v>
      </c>
    </row>
    <row r="55" spans="1:13" x14ac:dyDescent="0.25">
      <c r="A55" t="s">
        <v>423</v>
      </c>
      <c r="B55">
        <v>18</v>
      </c>
      <c r="C55">
        <v>1</v>
      </c>
      <c r="D55" t="s">
        <v>424</v>
      </c>
      <c r="E55">
        <v>1</v>
      </c>
      <c r="F55">
        <v>1</v>
      </c>
      <c r="G55" t="s">
        <v>247</v>
      </c>
      <c r="H55" t="s">
        <v>247</v>
      </c>
      <c r="I55" t="s">
        <v>344</v>
      </c>
      <c r="J55" t="s">
        <v>425</v>
      </c>
      <c r="L55">
        <v>27</v>
      </c>
      <c r="M55">
        <v>28</v>
      </c>
    </row>
    <row r="56" spans="1:13" x14ac:dyDescent="0.25">
      <c r="A56" t="s">
        <v>426</v>
      </c>
      <c r="B56">
        <v>18</v>
      </c>
      <c r="C56">
        <v>2</v>
      </c>
      <c r="D56" t="s">
        <v>424</v>
      </c>
      <c r="E56">
        <v>1</v>
      </c>
      <c r="F56">
        <v>1</v>
      </c>
      <c r="G56" t="s">
        <v>247</v>
      </c>
      <c r="H56" t="s">
        <v>247</v>
      </c>
      <c r="I56" t="s">
        <v>362</v>
      </c>
      <c r="J56" t="s">
        <v>425</v>
      </c>
      <c r="L56">
        <v>27</v>
      </c>
      <c r="M56">
        <v>15</v>
      </c>
    </row>
    <row r="57" spans="1:13" x14ac:dyDescent="0.25">
      <c r="A57" t="s">
        <v>427</v>
      </c>
      <c r="B57">
        <v>18</v>
      </c>
      <c r="C57">
        <v>3</v>
      </c>
      <c r="D57" t="s">
        <v>424</v>
      </c>
      <c r="E57">
        <v>1</v>
      </c>
      <c r="F57">
        <v>1</v>
      </c>
      <c r="G57" t="s">
        <v>247</v>
      </c>
      <c r="H57" t="s">
        <v>247</v>
      </c>
      <c r="I57" t="s">
        <v>369</v>
      </c>
      <c r="J57" t="s">
        <v>425</v>
      </c>
      <c r="L57">
        <v>13</v>
      </c>
      <c r="M57">
        <v>25</v>
      </c>
    </row>
    <row r="58" spans="1:13" x14ac:dyDescent="0.25">
      <c r="A58" t="s">
        <v>428</v>
      </c>
      <c r="B58">
        <v>18</v>
      </c>
      <c r="C58">
        <v>4</v>
      </c>
      <c r="D58" t="s">
        <v>424</v>
      </c>
      <c r="E58">
        <v>1</v>
      </c>
      <c r="F58">
        <v>1</v>
      </c>
      <c r="G58" t="s">
        <v>247</v>
      </c>
      <c r="H58" t="s">
        <v>276</v>
      </c>
      <c r="I58" t="s">
        <v>369</v>
      </c>
      <c r="J58" t="s">
        <v>429</v>
      </c>
      <c r="K58" t="s">
        <v>331</v>
      </c>
    </row>
    <row r="59" spans="1:13" x14ac:dyDescent="0.25">
      <c r="A59" t="s">
        <v>430</v>
      </c>
      <c r="B59">
        <v>19</v>
      </c>
      <c r="C59">
        <v>1</v>
      </c>
      <c r="D59" t="s">
        <v>431</v>
      </c>
      <c r="E59">
        <v>1</v>
      </c>
      <c r="F59">
        <v>2</v>
      </c>
      <c r="G59" t="s">
        <v>247</v>
      </c>
      <c r="H59" t="s">
        <v>247</v>
      </c>
      <c r="I59" t="s">
        <v>248</v>
      </c>
      <c r="J59" t="s">
        <v>432</v>
      </c>
      <c r="L59">
        <v>23</v>
      </c>
      <c r="M59">
        <v>21</v>
      </c>
    </row>
    <row r="60" spans="1:13" x14ac:dyDescent="0.25">
      <c r="A60" t="s">
        <v>433</v>
      </c>
      <c r="B60">
        <v>19</v>
      </c>
      <c r="C60">
        <v>2</v>
      </c>
      <c r="D60" t="s">
        <v>431</v>
      </c>
      <c r="E60">
        <v>1</v>
      </c>
      <c r="F60">
        <v>2</v>
      </c>
      <c r="G60" t="s">
        <v>247</v>
      </c>
      <c r="H60" t="s">
        <v>247</v>
      </c>
      <c r="I60" t="s">
        <v>434</v>
      </c>
      <c r="J60" t="s">
        <v>435</v>
      </c>
      <c r="L60">
        <v>29</v>
      </c>
      <c r="M60">
        <v>23</v>
      </c>
    </row>
    <row r="61" spans="1:13" x14ac:dyDescent="0.25">
      <c r="A61" t="s">
        <v>436</v>
      </c>
      <c r="B61">
        <v>19</v>
      </c>
      <c r="C61">
        <v>3</v>
      </c>
      <c r="D61" t="s">
        <v>431</v>
      </c>
      <c r="E61">
        <v>1</v>
      </c>
      <c r="F61">
        <v>2</v>
      </c>
      <c r="G61" t="s">
        <v>247</v>
      </c>
      <c r="H61" t="s">
        <v>276</v>
      </c>
      <c r="I61" t="s">
        <v>434</v>
      </c>
      <c r="J61" t="s">
        <v>437</v>
      </c>
      <c r="K61" t="s">
        <v>279</v>
      </c>
    </row>
    <row r="62" spans="1:13" x14ac:dyDescent="0.25">
      <c r="A62" t="s">
        <v>438</v>
      </c>
      <c r="B62">
        <v>19</v>
      </c>
      <c r="C62">
        <v>4</v>
      </c>
      <c r="D62" t="s">
        <v>431</v>
      </c>
      <c r="E62">
        <v>1</v>
      </c>
      <c r="F62">
        <v>2</v>
      </c>
      <c r="G62" t="s">
        <v>253</v>
      </c>
      <c r="I62" t="s">
        <v>254</v>
      </c>
      <c r="J62" t="s">
        <v>439</v>
      </c>
    </row>
    <row r="63" spans="1:13" x14ac:dyDescent="0.25">
      <c r="A63" t="s">
        <v>440</v>
      </c>
      <c r="B63">
        <v>20</v>
      </c>
      <c r="C63">
        <v>1</v>
      </c>
      <c r="D63" t="s">
        <v>441</v>
      </c>
      <c r="E63">
        <v>1</v>
      </c>
      <c r="F63">
        <v>2</v>
      </c>
      <c r="G63" t="s">
        <v>373</v>
      </c>
      <c r="I63" t="s">
        <v>374</v>
      </c>
      <c r="J63" t="s">
        <v>442</v>
      </c>
      <c r="K63" t="s">
        <v>443</v>
      </c>
      <c r="L63">
        <v>12.5</v>
      </c>
      <c r="M63">
        <v>12.9</v>
      </c>
    </row>
    <row r="64" spans="1:13" x14ac:dyDescent="0.25">
      <c r="A64" t="s">
        <v>444</v>
      </c>
      <c r="B64">
        <v>21</v>
      </c>
      <c r="C64">
        <v>1</v>
      </c>
      <c r="D64" t="s">
        <v>445</v>
      </c>
      <c r="E64">
        <v>1</v>
      </c>
      <c r="F64">
        <v>1</v>
      </c>
      <c r="G64" t="s">
        <v>247</v>
      </c>
      <c r="H64" t="s">
        <v>247</v>
      </c>
      <c r="I64" t="s">
        <v>446</v>
      </c>
      <c r="J64" t="s">
        <v>447</v>
      </c>
      <c r="L64">
        <v>27</v>
      </c>
      <c r="M64">
        <v>16</v>
      </c>
    </row>
    <row r="65" spans="1:13" x14ac:dyDescent="0.25">
      <c r="A65" t="s">
        <v>448</v>
      </c>
      <c r="B65">
        <v>21</v>
      </c>
      <c r="C65">
        <v>2</v>
      </c>
      <c r="D65" t="s">
        <v>445</v>
      </c>
      <c r="E65">
        <v>1</v>
      </c>
      <c r="F65">
        <v>1</v>
      </c>
      <c r="G65" t="s">
        <v>253</v>
      </c>
      <c r="I65" t="s">
        <v>449</v>
      </c>
      <c r="J65" t="s">
        <v>450</v>
      </c>
    </row>
    <row r="66" spans="1:13" x14ac:dyDescent="0.25">
      <c r="A66" t="s">
        <v>451</v>
      </c>
      <c r="B66">
        <v>21</v>
      </c>
      <c r="C66">
        <v>3</v>
      </c>
      <c r="D66" t="s">
        <v>445</v>
      </c>
      <c r="E66">
        <v>1</v>
      </c>
      <c r="F66">
        <v>1</v>
      </c>
      <c r="G66" t="s">
        <v>253</v>
      </c>
      <c r="I66" t="s">
        <v>449</v>
      </c>
      <c r="J66" t="s">
        <v>452</v>
      </c>
    </row>
    <row r="67" spans="1:13" x14ac:dyDescent="0.25">
      <c r="A67" t="s">
        <v>453</v>
      </c>
      <c r="B67">
        <v>21</v>
      </c>
      <c r="C67">
        <v>4</v>
      </c>
      <c r="D67" t="s">
        <v>445</v>
      </c>
      <c r="E67">
        <v>1</v>
      </c>
      <c r="F67">
        <v>1</v>
      </c>
      <c r="G67" t="s">
        <v>253</v>
      </c>
      <c r="I67" t="s">
        <v>454</v>
      </c>
      <c r="J67" t="s">
        <v>455</v>
      </c>
    </row>
    <row r="68" spans="1:13" x14ac:dyDescent="0.25">
      <c r="A68" t="s">
        <v>456</v>
      </c>
      <c r="B68">
        <v>21</v>
      </c>
      <c r="C68">
        <v>5</v>
      </c>
      <c r="D68" t="s">
        <v>445</v>
      </c>
      <c r="E68">
        <v>1</v>
      </c>
      <c r="F68">
        <v>1</v>
      </c>
      <c r="G68" t="s">
        <v>253</v>
      </c>
      <c r="I68" t="s">
        <v>421</v>
      </c>
      <c r="J68" t="s">
        <v>457</v>
      </c>
    </row>
    <row r="69" spans="1:13" x14ac:dyDescent="0.25">
      <c r="A69" t="s">
        <v>458</v>
      </c>
      <c r="B69">
        <v>21</v>
      </c>
      <c r="C69">
        <v>6</v>
      </c>
      <c r="D69" t="s">
        <v>445</v>
      </c>
      <c r="E69">
        <v>1</v>
      </c>
      <c r="F69">
        <v>1</v>
      </c>
      <c r="G69" t="s">
        <v>10583</v>
      </c>
      <c r="I69" t="s">
        <v>459</v>
      </c>
      <c r="J69" t="s">
        <v>460</v>
      </c>
      <c r="K69" t="s">
        <v>461</v>
      </c>
    </row>
    <row r="70" spans="1:13" x14ac:dyDescent="0.25">
      <c r="A70" t="s">
        <v>462</v>
      </c>
      <c r="B70">
        <v>22</v>
      </c>
      <c r="C70">
        <v>1</v>
      </c>
      <c r="D70" t="s">
        <v>463</v>
      </c>
      <c r="E70">
        <v>1</v>
      </c>
      <c r="F70">
        <v>2</v>
      </c>
      <c r="G70" t="s">
        <v>373</v>
      </c>
      <c r="I70" t="s">
        <v>374</v>
      </c>
      <c r="J70" t="s">
        <v>464</v>
      </c>
      <c r="K70" t="s">
        <v>465</v>
      </c>
      <c r="L70">
        <v>12.5</v>
      </c>
      <c r="M70">
        <v>12.9</v>
      </c>
    </row>
    <row r="71" spans="1:13" x14ac:dyDescent="0.25">
      <c r="A71" t="s">
        <v>466</v>
      </c>
      <c r="B71">
        <v>23</v>
      </c>
      <c r="C71">
        <v>1</v>
      </c>
      <c r="D71" t="s">
        <v>467</v>
      </c>
      <c r="E71">
        <v>1</v>
      </c>
      <c r="F71">
        <v>3</v>
      </c>
      <c r="G71" t="s">
        <v>247</v>
      </c>
      <c r="H71" t="s">
        <v>290</v>
      </c>
      <c r="I71" t="s">
        <v>337</v>
      </c>
      <c r="J71" t="s">
        <v>468</v>
      </c>
      <c r="K71" t="s">
        <v>469</v>
      </c>
      <c r="L71">
        <v>18</v>
      </c>
      <c r="M71">
        <v>20</v>
      </c>
    </row>
    <row r="72" spans="1:13" x14ac:dyDescent="0.25">
      <c r="A72" t="s">
        <v>470</v>
      </c>
      <c r="B72">
        <v>23</v>
      </c>
      <c r="C72">
        <v>2</v>
      </c>
      <c r="D72" t="s">
        <v>467</v>
      </c>
      <c r="E72">
        <v>1</v>
      </c>
      <c r="F72">
        <v>3</v>
      </c>
      <c r="G72" t="s">
        <v>247</v>
      </c>
      <c r="H72" t="s">
        <v>247</v>
      </c>
      <c r="I72" t="s">
        <v>337</v>
      </c>
      <c r="J72" t="s">
        <v>471</v>
      </c>
      <c r="L72">
        <v>16</v>
      </c>
      <c r="M72">
        <v>19</v>
      </c>
    </row>
    <row r="73" spans="1:13" x14ac:dyDescent="0.25">
      <c r="A73" t="s">
        <v>472</v>
      </c>
      <c r="B73">
        <v>23</v>
      </c>
      <c r="C73">
        <v>3</v>
      </c>
      <c r="D73" t="s">
        <v>467</v>
      </c>
      <c r="E73">
        <v>1</v>
      </c>
      <c r="F73">
        <v>3</v>
      </c>
      <c r="G73" t="s">
        <v>247</v>
      </c>
      <c r="H73" t="s">
        <v>247</v>
      </c>
      <c r="I73" t="s">
        <v>408</v>
      </c>
      <c r="J73" t="s">
        <v>473</v>
      </c>
      <c r="L73">
        <v>18</v>
      </c>
      <c r="M73">
        <v>35</v>
      </c>
    </row>
    <row r="74" spans="1:13" x14ac:dyDescent="0.25">
      <c r="A74" t="s">
        <v>474</v>
      </c>
      <c r="B74">
        <v>23</v>
      </c>
      <c r="C74">
        <v>4</v>
      </c>
      <c r="D74" t="s">
        <v>467</v>
      </c>
      <c r="E74">
        <v>1</v>
      </c>
      <c r="F74">
        <v>3</v>
      </c>
      <c r="G74" t="s">
        <v>247</v>
      </c>
      <c r="H74" t="s">
        <v>290</v>
      </c>
      <c r="I74" t="s">
        <v>475</v>
      </c>
      <c r="J74" t="s">
        <v>468</v>
      </c>
      <c r="K74" t="s">
        <v>476</v>
      </c>
      <c r="L74">
        <v>29</v>
      </c>
      <c r="M74">
        <v>34</v>
      </c>
    </row>
    <row r="75" spans="1:13" x14ac:dyDescent="0.25">
      <c r="A75" t="s">
        <v>477</v>
      </c>
      <c r="B75">
        <v>23</v>
      </c>
      <c r="C75">
        <v>5</v>
      </c>
      <c r="D75" t="s">
        <v>467</v>
      </c>
      <c r="E75">
        <v>1</v>
      </c>
      <c r="F75">
        <v>3</v>
      </c>
      <c r="G75" t="s">
        <v>247</v>
      </c>
      <c r="H75" t="s">
        <v>247</v>
      </c>
      <c r="I75" t="s">
        <v>475</v>
      </c>
      <c r="J75" t="s">
        <v>468</v>
      </c>
      <c r="L75">
        <v>26</v>
      </c>
      <c r="M75">
        <v>32</v>
      </c>
    </row>
    <row r="76" spans="1:13" x14ac:dyDescent="0.25">
      <c r="A76" t="s">
        <v>478</v>
      </c>
      <c r="B76">
        <v>24</v>
      </c>
      <c r="C76">
        <v>1</v>
      </c>
      <c r="D76" t="s">
        <v>479</v>
      </c>
      <c r="E76">
        <v>1</v>
      </c>
      <c r="F76">
        <v>1</v>
      </c>
      <c r="G76" t="s">
        <v>247</v>
      </c>
      <c r="H76" t="s">
        <v>247</v>
      </c>
      <c r="I76" t="s">
        <v>475</v>
      </c>
      <c r="J76" t="s">
        <v>480</v>
      </c>
      <c r="L76">
        <v>27</v>
      </c>
      <c r="M76">
        <v>35</v>
      </c>
    </row>
    <row r="77" spans="1:13" x14ac:dyDescent="0.25">
      <c r="A77" t="s">
        <v>481</v>
      </c>
      <c r="B77">
        <v>24</v>
      </c>
      <c r="C77">
        <v>2</v>
      </c>
      <c r="D77" t="s">
        <v>479</v>
      </c>
      <c r="E77">
        <v>1</v>
      </c>
      <c r="F77">
        <v>1</v>
      </c>
      <c r="G77" t="s">
        <v>247</v>
      </c>
      <c r="H77" t="s">
        <v>276</v>
      </c>
      <c r="I77" t="s">
        <v>475</v>
      </c>
      <c r="J77" t="s">
        <v>482</v>
      </c>
      <c r="K77" t="s">
        <v>312</v>
      </c>
    </row>
    <row r="78" spans="1:13" x14ac:dyDescent="0.25">
      <c r="A78" t="s">
        <v>483</v>
      </c>
      <c r="B78">
        <v>25</v>
      </c>
      <c r="C78">
        <v>1</v>
      </c>
      <c r="D78" t="s">
        <v>484</v>
      </c>
      <c r="E78">
        <v>50</v>
      </c>
      <c r="F78">
        <v>4</v>
      </c>
      <c r="G78" t="s">
        <v>265</v>
      </c>
      <c r="I78" t="s">
        <v>266</v>
      </c>
      <c r="J78" t="s">
        <v>485</v>
      </c>
    </row>
    <row r="79" spans="1:13" x14ac:dyDescent="0.25">
      <c r="A79" t="s">
        <v>486</v>
      </c>
      <c r="B79">
        <v>25</v>
      </c>
      <c r="C79">
        <v>2</v>
      </c>
      <c r="D79" t="s">
        <v>484</v>
      </c>
      <c r="E79">
        <v>50</v>
      </c>
      <c r="F79">
        <v>4</v>
      </c>
      <c r="G79" t="s">
        <v>10583</v>
      </c>
      <c r="I79" t="s">
        <v>272</v>
      </c>
      <c r="J79" t="s">
        <v>485</v>
      </c>
      <c r="K79" t="s">
        <v>273</v>
      </c>
    </row>
    <row r="80" spans="1:13" x14ac:dyDescent="0.25">
      <c r="A80" t="s">
        <v>487</v>
      </c>
      <c r="B80">
        <v>25</v>
      </c>
      <c r="C80">
        <v>3</v>
      </c>
      <c r="D80" t="s">
        <v>484</v>
      </c>
      <c r="E80">
        <v>50</v>
      </c>
      <c r="F80">
        <v>4</v>
      </c>
      <c r="G80" t="s">
        <v>10583</v>
      </c>
      <c r="I80" t="s">
        <v>488</v>
      </c>
      <c r="J80" t="s">
        <v>485</v>
      </c>
      <c r="K80" t="s">
        <v>489</v>
      </c>
    </row>
    <row r="81" spans="1:13" x14ac:dyDescent="0.25">
      <c r="A81" t="s">
        <v>490</v>
      </c>
      <c r="B81">
        <v>26</v>
      </c>
      <c r="C81">
        <v>1</v>
      </c>
      <c r="D81" t="s">
        <v>491</v>
      </c>
      <c r="E81">
        <v>50</v>
      </c>
      <c r="F81">
        <v>4</v>
      </c>
      <c r="G81" t="s">
        <v>265</v>
      </c>
      <c r="I81" t="s">
        <v>266</v>
      </c>
      <c r="J81" t="s">
        <v>267</v>
      </c>
    </row>
    <row r="82" spans="1:13" x14ac:dyDescent="0.25">
      <c r="A82" t="s">
        <v>492</v>
      </c>
      <c r="B82">
        <v>27</v>
      </c>
      <c r="C82">
        <v>1</v>
      </c>
      <c r="D82" t="s">
        <v>493</v>
      </c>
      <c r="E82">
        <v>1</v>
      </c>
      <c r="F82">
        <v>2</v>
      </c>
      <c r="G82" t="s">
        <v>247</v>
      </c>
      <c r="H82" t="s">
        <v>361</v>
      </c>
      <c r="I82" t="s">
        <v>494</v>
      </c>
      <c r="J82" t="s">
        <v>495</v>
      </c>
      <c r="K82" t="s">
        <v>496</v>
      </c>
    </row>
    <row r="83" spans="1:13" x14ac:dyDescent="0.25">
      <c r="A83" t="s">
        <v>497</v>
      </c>
      <c r="B83">
        <v>27</v>
      </c>
      <c r="C83">
        <v>2</v>
      </c>
      <c r="D83" t="s">
        <v>493</v>
      </c>
      <c r="E83">
        <v>1</v>
      </c>
      <c r="F83">
        <v>2</v>
      </c>
      <c r="G83" t="s">
        <v>253</v>
      </c>
      <c r="I83" t="s">
        <v>498</v>
      </c>
      <c r="J83" t="s">
        <v>499</v>
      </c>
    </row>
    <row r="84" spans="1:13" x14ac:dyDescent="0.25">
      <c r="A84" t="s">
        <v>500</v>
      </c>
      <c r="B84">
        <v>27</v>
      </c>
      <c r="C84">
        <v>3</v>
      </c>
      <c r="D84" t="s">
        <v>493</v>
      </c>
      <c r="E84">
        <v>1</v>
      </c>
      <c r="F84">
        <v>2</v>
      </c>
      <c r="G84" t="s">
        <v>260</v>
      </c>
      <c r="I84" t="s">
        <v>501</v>
      </c>
      <c r="J84" t="s">
        <v>502</v>
      </c>
    </row>
    <row r="85" spans="1:13" x14ac:dyDescent="0.25">
      <c r="A85" t="s">
        <v>503</v>
      </c>
      <c r="B85">
        <v>27</v>
      </c>
      <c r="C85">
        <v>4</v>
      </c>
      <c r="D85" t="s">
        <v>493</v>
      </c>
      <c r="E85">
        <v>1</v>
      </c>
      <c r="F85">
        <v>2</v>
      </c>
      <c r="G85" t="s">
        <v>253</v>
      </c>
      <c r="I85" t="s">
        <v>504</v>
      </c>
      <c r="J85" t="s">
        <v>505</v>
      </c>
    </row>
    <row r="86" spans="1:13" x14ac:dyDescent="0.25">
      <c r="A86" t="s">
        <v>506</v>
      </c>
      <c r="B86">
        <v>28</v>
      </c>
      <c r="C86">
        <v>1</v>
      </c>
      <c r="D86" t="s">
        <v>507</v>
      </c>
      <c r="E86">
        <v>1</v>
      </c>
      <c r="F86">
        <v>3</v>
      </c>
      <c r="G86" t="s">
        <v>247</v>
      </c>
      <c r="H86" t="s">
        <v>247</v>
      </c>
      <c r="I86" t="s">
        <v>362</v>
      </c>
      <c r="J86" t="s">
        <v>508</v>
      </c>
      <c r="L86">
        <v>31</v>
      </c>
      <c r="M86">
        <v>21</v>
      </c>
    </row>
    <row r="87" spans="1:13" x14ac:dyDescent="0.25">
      <c r="A87" t="s">
        <v>509</v>
      </c>
      <c r="B87">
        <v>28</v>
      </c>
      <c r="C87">
        <v>2</v>
      </c>
      <c r="D87" t="s">
        <v>507</v>
      </c>
      <c r="E87">
        <v>1</v>
      </c>
      <c r="F87">
        <v>3</v>
      </c>
      <c r="G87" t="s">
        <v>247</v>
      </c>
      <c r="H87" t="s">
        <v>247</v>
      </c>
      <c r="I87" t="s">
        <v>362</v>
      </c>
      <c r="J87" t="s">
        <v>510</v>
      </c>
      <c r="L87">
        <v>15</v>
      </c>
      <c r="M87">
        <v>21</v>
      </c>
    </row>
    <row r="88" spans="1:13" x14ac:dyDescent="0.25">
      <c r="A88" t="s">
        <v>511</v>
      </c>
      <c r="B88">
        <v>28</v>
      </c>
      <c r="C88">
        <v>3</v>
      </c>
      <c r="D88" t="s">
        <v>507</v>
      </c>
      <c r="E88">
        <v>1</v>
      </c>
      <c r="F88">
        <v>3</v>
      </c>
      <c r="G88" t="s">
        <v>247</v>
      </c>
      <c r="H88" t="s">
        <v>247</v>
      </c>
      <c r="I88" t="s">
        <v>512</v>
      </c>
      <c r="J88" t="s">
        <v>508</v>
      </c>
      <c r="L88">
        <v>20</v>
      </c>
      <c r="M88">
        <v>28</v>
      </c>
    </row>
    <row r="89" spans="1:13" x14ac:dyDescent="0.25">
      <c r="A89" t="s">
        <v>513</v>
      </c>
      <c r="B89">
        <v>28</v>
      </c>
      <c r="C89">
        <v>4</v>
      </c>
      <c r="D89" t="s">
        <v>507</v>
      </c>
      <c r="E89">
        <v>1</v>
      </c>
      <c r="F89">
        <v>3</v>
      </c>
      <c r="G89" t="s">
        <v>10583</v>
      </c>
      <c r="I89" t="s">
        <v>514</v>
      </c>
      <c r="J89" t="s">
        <v>515</v>
      </c>
    </row>
    <row r="90" spans="1:13" x14ac:dyDescent="0.25">
      <c r="A90" t="s">
        <v>516</v>
      </c>
      <c r="B90">
        <v>28</v>
      </c>
      <c r="C90">
        <v>5</v>
      </c>
      <c r="D90" t="s">
        <v>507</v>
      </c>
      <c r="E90">
        <v>1</v>
      </c>
      <c r="F90">
        <v>3</v>
      </c>
      <c r="G90" t="s">
        <v>253</v>
      </c>
      <c r="I90" t="s">
        <v>334</v>
      </c>
      <c r="J90" t="s">
        <v>517</v>
      </c>
    </row>
    <row r="91" spans="1:13" x14ac:dyDescent="0.25">
      <c r="A91" t="s">
        <v>518</v>
      </c>
      <c r="B91">
        <v>29</v>
      </c>
      <c r="C91">
        <v>1</v>
      </c>
      <c r="D91" t="s">
        <v>519</v>
      </c>
      <c r="E91">
        <v>50</v>
      </c>
      <c r="F91">
        <v>4</v>
      </c>
      <c r="G91" t="s">
        <v>253</v>
      </c>
      <c r="I91" t="s">
        <v>520</v>
      </c>
      <c r="J91" t="s">
        <v>521</v>
      </c>
    </row>
    <row r="92" spans="1:13" x14ac:dyDescent="0.25">
      <c r="A92" t="s">
        <v>522</v>
      </c>
      <c r="B92">
        <v>30</v>
      </c>
      <c r="C92">
        <v>1</v>
      </c>
      <c r="D92" t="s">
        <v>523</v>
      </c>
      <c r="E92">
        <v>1</v>
      </c>
      <c r="F92">
        <v>4</v>
      </c>
      <c r="G92" t="s">
        <v>373</v>
      </c>
      <c r="I92" t="s">
        <v>374</v>
      </c>
      <c r="J92" t="s">
        <v>524</v>
      </c>
      <c r="K92" t="s">
        <v>376</v>
      </c>
      <c r="L92">
        <v>12.5</v>
      </c>
      <c r="M92">
        <v>12.9</v>
      </c>
    </row>
    <row r="93" spans="1:13" x14ac:dyDescent="0.25">
      <c r="A93" t="s">
        <v>525</v>
      </c>
      <c r="B93">
        <v>31</v>
      </c>
      <c r="C93">
        <v>1</v>
      </c>
      <c r="D93" t="s">
        <v>526</v>
      </c>
      <c r="E93">
        <v>1</v>
      </c>
      <c r="F93">
        <v>4</v>
      </c>
      <c r="G93" t="s">
        <v>247</v>
      </c>
      <c r="H93" t="s">
        <v>290</v>
      </c>
      <c r="I93" t="s">
        <v>408</v>
      </c>
      <c r="J93" t="s">
        <v>527</v>
      </c>
      <c r="K93" t="s">
        <v>528</v>
      </c>
      <c r="L93">
        <v>24</v>
      </c>
      <c r="M93">
        <v>22</v>
      </c>
    </row>
    <row r="94" spans="1:13" x14ac:dyDescent="0.25">
      <c r="A94" t="s">
        <v>529</v>
      </c>
      <c r="B94">
        <v>31</v>
      </c>
      <c r="C94">
        <v>2</v>
      </c>
      <c r="D94" t="s">
        <v>526</v>
      </c>
      <c r="E94">
        <v>1</v>
      </c>
      <c r="F94">
        <v>4</v>
      </c>
      <c r="G94" t="s">
        <v>247</v>
      </c>
      <c r="H94" t="s">
        <v>247</v>
      </c>
      <c r="I94" t="s">
        <v>337</v>
      </c>
      <c r="J94" t="s">
        <v>530</v>
      </c>
      <c r="L94">
        <v>27</v>
      </c>
      <c r="M94">
        <v>19</v>
      </c>
    </row>
    <row r="95" spans="1:13" x14ac:dyDescent="0.25">
      <c r="A95" t="s">
        <v>531</v>
      </c>
      <c r="B95">
        <v>31</v>
      </c>
      <c r="C95">
        <v>3</v>
      </c>
      <c r="D95" t="s">
        <v>526</v>
      </c>
      <c r="E95">
        <v>1</v>
      </c>
      <c r="F95">
        <v>4</v>
      </c>
      <c r="G95" t="s">
        <v>247</v>
      </c>
      <c r="H95" t="s">
        <v>290</v>
      </c>
      <c r="I95" t="s">
        <v>446</v>
      </c>
      <c r="J95" t="s">
        <v>532</v>
      </c>
      <c r="K95" t="s">
        <v>533</v>
      </c>
      <c r="L95">
        <v>24.5</v>
      </c>
      <c r="M95">
        <v>21.5</v>
      </c>
    </row>
    <row r="96" spans="1:13" x14ac:dyDescent="0.25">
      <c r="A96" t="s">
        <v>534</v>
      </c>
      <c r="B96">
        <v>31</v>
      </c>
      <c r="C96">
        <v>4</v>
      </c>
      <c r="D96" t="s">
        <v>526</v>
      </c>
      <c r="E96">
        <v>1</v>
      </c>
      <c r="F96">
        <v>4</v>
      </c>
      <c r="G96" t="s">
        <v>247</v>
      </c>
      <c r="H96" t="s">
        <v>247</v>
      </c>
      <c r="I96" t="s">
        <v>446</v>
      </c>
      <c r="J96" t="s">
        <v>535</v>
      </c>
      <c r="L96">
        <v>15</v>
      </c>
      <c r="M96">
        <v>7</v>
      </c>
    </row>
    <row r="97" spans="1:13" x14ac:dyDescent="0.25">
      <c r="A97" t="s">
        <v>536</v>
      </c>
      <c r="B97">
        <v>31</v>
      </c>
      <c r="C97">
        <v>5</v>
      </c>
      <c r="D97" t="s">
        <v>526</v>
      </c>
      <c r="E97">
        <v>1</v>
      </c>
      <c r="F97">
        <v>4</v>
      </c>
      <c r="G97" t="s">
        <v>247</v>
      </c>
      <c r="H97" t="s">
        <v>247</v>
      </c>
      <c r="I97" t="s">
        <v>475</v>
      </c>
      <c r="J97" t="s">
        <v>537</v>
      </c>
      <c r="L97">
        <v>18</v>
      </c>
      <c r="M97">
        <v>26</v>
      </c>
    </row>
    <row r="98" spans="1:13" x14ac:dyDescent="0.25">
      <c r="A98" t="s">
        <v>538</v>
      </c>
      <c r="B98">
        <v>31</v>
      </c>
      <c r="C98">
        <v>6</v>
      </c>
      <c r="D98" t="s">
        <v>526</v>
      </c>
      <c r="E98">
        <v>1</v>
      </c>
      <c r="F98">
        <v>4</v>
      </c>
      <c r="G98" t="s">
        <v>253</v>
      </c>
      <c r="I98" t="s">
        <v>539</v>
      </c>
      <c r="J98" t="s">
        <v>540</v>
      </c>
    </row>
    <row r="99" spans="1:13" x14ac:dyDescent="0.25">
      <c r="A99" t="s">
        <v>541</v>
      </c>
      <c r="B99">
        <v>32</v>
      </c>
      <c r="C99">
        <v>1</v>
      </c>
      <c r="D99" t="s">
        <v>542</v>
      </c>
      <c r="E99">
        <v>1</v>
      </c>
      <c r="F99">
        <v>3</v>
      </c>
      <c r="G99" t="s">
        <v>247</v>
      </c>
      <c r="H99" t="s">
        <v>247</v>
      </c>
      <c r="I99" t="s">
        <v>446</v>
      </c>
      <c r="J99" t="s">
        <v>543</v>
      </c>
      <c r="L99">
        <v>15</v>
      </c>
      <c r="M99">
        <v>7</v>
      </c>
    </row>
    <row r="100" spans="1:13" x14ac:dyDescent="0.25">
      <c r="A100" t="s">
        <v>544</v>
      </c>
      <c r="B100">
        <v>33</v>
      </c>
      <c r="C100">
        <v>1</v>
      </c>
      <c r="D100" t="s">
        <v>545</v>
      </c>
      <c r="E100">
        <v>38</v>
      </c>
      <c r="F100">
        <v>2</v>
      </c>
      <c r="G100" t="s">
        <v>253</v>
      </c>
      <c r="I100" t="s">
        <v>421</v>
      </c>
      <c r="J100" t="s">
        <v>546</v>
      </c>
    </row>
    <row r="101" spans="1:13" x14ac:dyDescent="0.25">
      <c r="A101" t="s">
        <v>547</v>
      </c>
      <c r="B101">
        <v>33</v>
      </c>
      <c r="C101">
        <v>2</v>
      </c>
      <c r="D101" t="s">
        <v>545</v>
      </c>
      <c r="E101">
        <v>38</v>
      </c>
      <c r="F101">
        <v>2</v>
      </c>
      <c r="G101" t="s">
        <v>247</v>
      </c>
      <c r="H101" t="s">
        <v>290</v>
      </c>
      <c r="I101" t="s">
        <v>291</v>
      </c>
      <c r="J101" t="s">
        <v>548</v>
      </c>
      <c r="K101" t="s">
        <v>549</v>
      </c>
      <c r="L101">
        <v>18</v>
      </c>
      <c r="M101">
        <v>13</v>
      </c>
    </row>
    <row r="102" spans="1:13" x14ac:dyDescent="0.25">
      <c r="A102" t="s">
        <v>550</v>
      </c>
      <c r="B102">
        <v>33</v>
      </c>
      <c r="C102">
        <v>3</v>
      </c>
      <c r="D102" t="s">
        <v>545</v>
      </c>
      <c r="E102">
        <v>38</v>
      </c>
      <c r="F102">
        <v>2</v>
      </c>
      <c r="G102" t="s">
        <v>265</v>
      </c>
      <c r="I102" t="s">
        <v>551</v>
      </c>
      <c r="J102" t="s">
        <v>552</v>
      </c>
    </row>
    <row r="103" spans="1:13" x14ac:dyDescent="0.25">
      <c r="A103" t="s">
        <v>553</v>
      </c>
      <c r="B103">
        <v>33</v>
      </c>
      <c r="C103">
        <v>4</v>
      </c>
      <c r="D103" t="s">
        <v>545</v>
      </c>
      <c r="E103">
        <v>38</v>
      </c>
      <c r="F103">
        <v>2</v>
      </c>
      <c r="G103" t="s">
        <v>10583</v>
      </c>
      <c r="I103" t="s">
        <v>554</v>
      </c>
      <c r="J103" t="s">
        <v>555</v>
      </c>
      <c r="K103" t="s">
        <v>556</v>
      </c>
    </row>
    <row r="104" spans="1:13" x14ac:dyDescent="0.25">
      <c r="A104" t="s">
        <v>557</v>
      </c>
      <c r="B104">
        <v>33</v>
      </c>
      <c r="C104">
        <v>5</v>
      </c>
      <c r="D104" t="s">
        <v>545</v>
      </c>
      <c r="E104">
        <v>38</v>
      </c>
      <c r="F104">
        <v>2</v>
      </c>
      <c r="G104" t="s">
        <v>10583</v>
      </c>
      <c r="I104" t="s">
        <v>357</v>
      </c>
      <c r="J104" t="s">
        <v>358</v>
      </c>
      <c r="K104" t="s">
        <v>403</v>
      </c>
    </row>
    <row r="105" spans="1:13" x14ac:dyDescent="0.25">
      <c r="A105" t="s">
        <v>558</v>
      </c>
      <c r="B105">
        <v>33</v>
      </c>
      <c r="C105">
        <v>6</v>
      </c>
      <c r="D105" t="s">
        <v>545</v>
      </c>
      <c r="E105">
        <v>38</v>
      </c>
      <c r="F105">
        <v>2</v>
      </c>
      <c r="G105" t="s">
        <v>260</v>
      </c>
      <c r="I105" t="s">
        <v>559</v>
      </c>
      <c r="J105" t="s">
        <v>560</v>
      </c>
    </row>
    <row r="106" spans="1:13" x14ac:dyDescent="0.25">
      <c r="A106" t="s">
        <v>561</v>
      </c>
      <c r="B106">
        <v>33</v>
      </c>
      <c r="C106">
        <v>7</v>
      </c>
      <c r="D106" t="s">
        <v>545</v>
      </c>
      <c r="E106">
        <v>38</v>
      </c>
      <c r="F106">
        <v>2</v>
      </c>
      <c r="G106" t="s">
        <v>247</v>
      </c>
      <c r="H106" t="s">
        <v>276</v>
      </c>
      <c r="I106" t="s">
        <v>562</v>
      </c>
      <c r="J106" t="s">
        <v>563</v>
      </c>
      <c r="K106" t="s">
        <v>331</v>
      </c>
    </row>
    <row r="107" spans="1:13" x14ac:dyDescent="0.25">
      <c r="A107" t="s">
        <v>564</v>
      </c>
      <c r="B107">
        <v>34</v>
      </c>
      <c r="C107">
        <v>1</v>
      </c>
      <c r="D107" t="s">
        <v>565</v>
      </c>
      <c r="E107">
        <v>38</v>
      </c>
      <c r="F107">
        <v>2</v>
      </c>
      <c r="G107" t="s">
        <v>253</v>
      </c>
      <c r="I107" t="s">
        <v>421</v>
      </c>
      <c r="J107" t="s">
        <v>546</v>
      </c>
    </row>
    <row r="108" spans="1:13" x14ac:dyDescent="0.25">
      <c r="A108" t="s">
        <v>566</v>
      </c>
      <c r="B108">
        <v>34</v>
      </c>
      <c r="C108">
        <v>2</v>
      </c>
      <c r="D108" t="s">
        <v>565</v>
      </c>
      <c r="E108">
        <v>38</v>
      </c>
      <c r="F108">
        <v>2</v>
      </c>
      <c r="G108" t="s">
        <v>247</v>
      </c>
      <c r="H108" t="s">
        <v>290</v>
      </c>
      <c r="I108" t="s">
        <v>291</v>
      </c>
      <c r="J108" t="s">
        <v>548</v>
      </c>
      <c r="K108" t="s">
        <v>549</v>
      </c>
      <c r="L108">
        <v>18</v>
      </c>
      <c r="M108">
        <v>13</v>
      </c>
    </row>
    <row r="109" spans="1:13" x14ac:dyDescent="0.25">
      <c r="A109" t="s">
        <v>567</v>
      </c>
      <c r="B109">
        <v>34</v>
      </c>
      <c r="C109">
        <v>3</v>
      </c>
      <c r="D109" t="s">
        <v>565</v>
      </c>
      <c r="E109">
        <v>38</v>
      </c>
      <c r="F109">
        <v>2</v>
      </c>
      <c r="G109" t="s">
        <v>265</v>
      </c>
      <c r="I109" t="s">
        <v>551</v>
      </c>
      <c r="J109" t="s">
        <v>552</v>
      </c>
    </row>
    <row r="110" spans="1:13" x14ac:dyDescent="0.25">
      <c r="A110" t="s">
        <v>568</v>
      </c>
      <c r="B110">
        <v>34</v>
      </c>
      <c r="C110">
        <v>4</v>
      </c>
      <c r="D110" t="s">
        <v>565</v>
      </c>
      <c r="E110">
        <v>38</v>
      </c>
      <c r="F110">
        <v>2</v>
      </c>
      <c r="G110" t="s">
        <v>10583</v>
      </c>
      <c r="I110" t="s">
        <v>554</v>
      </c>
      <c r="J110" t="s">
        <v>555</v>
      </c>
      <c r="K110" t="s">
        <v>556</v>
      </c>
    </row>
    <row r="111" spans="1:13" x14ac:dyDescent="0.25">
      <c r="A111" t="s">
        <v>569</v>
      </c>
      <c r="B111">
        <v>34</v>
      </c>
      <c r="C111">
        <v>5</v>
      </c>
      <c r="D111" t="s">
        <v>565</v>
      </c>
      <c r="E111">
        <v>38</v>
      </c>
      <c r="F111">
        <v>2</v>
      </c>
      <c r="G111" t="s">
        <v>10583</v>
      </c>
      <c r="I111" t="s">
        <v>357</v>
      </c>
      <c r="J111" t="s">
        <v>358</v>
      </c>
      <c r="K111" t="s">
        <v>403</v>
      </c>
    </row>
    <row r="112" spans="1:13" x14ac:dyDescent="0.25">
      <c r="A112" t="s">
        <v>570</v>
      </c>
      <c r="B112">
        <v>34</v>
      </c>
      <c r="C112">
        <v>6</v>
      </c>
      <c r="D112" t="s">
        <v>565</v>
      </c>
      <c r="E112">
        <v>38</v>
      </c>
      <c r="F112">
        <v>2</v>
      </c>
      <c r="G112" t="s">
        <v>260</v>
      </c>
      <c r="I112" t="s">
        <v>559</v>
      </c>
      <c r="J112" t="s">
        <v>560</v>
      </c>
    </row>
    <row r="113" spans="1:13" x14ac:dyDescent="0.25">
      <c r="A113" t="s">
        <v>571</v>
      </c>
      <c r="B113">
        <v>34</v>
      </c>
      <c r="C113">
        <v>7</v>
      </c>
      <c r="D113" t="s">
        <v>565</v>
      </c>
      <c r="E113">
        <v>38</v>
      </c>
      <c r="F113">
        <v>2</v>
      </c>
      <c r="G113" t="s">
        <v>247</v>
      </c>
      <c r="H113" t="s">
        <v>276</v>
      </c>
      <c r="I113" t="s">
        <v>562</v>
      </c>
      <c r="J113" t="s">
        <v>563</v>
      </c>
      <c r="K113" t="s">
        <v>331</v>
      </c>
    </row>
    <row r="114" spans="1:13" x14ac:dyDescent="0.25">
      <c r="A114" t="s">
        <v>572</v>
      </c>
      <c r="B114">
        <v>35</v>
      </c>
      <c r="C114">
        <v>1</v>
      </c>
      <c r="D114" t="s">
        <v>573</v>
      </c>
      <c r="E114">
        <v>50</v>
      </c>
      <c r="F114">
        <v>4</v>
      </c>
      <c r="G114" t="s">
        <v>265</v>
      </c>
      <c r="I114" t="s">
        <v>378</v>
      </c>
      <c r="J114" t="s">
        <v>379</v>
      </c>
    </row>
    <row r="115" spans="1:13" x14ac:dyDescent="0.25">
      <c r="A115" t="s">
        <v>574</v>
      </c>
      <c r="B115">
        <v>35</v>
      </c>
      <c r="C115">
        <v>2</v>
      </c>
      <c r="D115" t="s">
        <v>573</v>
      </c>
      <c r="E115">
        <v>50</v>
      </c>
      <c r="F115">
        <v>4</v>
      </c>
      <c r="G115" t="s">
        <v>260</v>
      </c>
      <c r="I115" t="s">
        <v>575</v>
      </c>
      <c r="J115" t="s">
        <v>576</v>
      </c>
    </row>
    <row r="116" spans="1:13" x14ac:dyDescent="0.25">
      <c r="A116" t="s">
        <v>577</v>
      </c>
      <c r="B116">
        <v>36</v>
      </c>
      <c r="C116">
        <v>1</v>
      </c>
      <c r="D116" t="s">
        <v>578</v>
      </c>
      <c r="E116">
        <v>1</v>
      </c>
      <c r="F116">
        <v>4</v>
      </c>
      <c r="G116" t="s">
        <v>247</v>
      </c>
      <c r="H116" t="s">
        <v>361</v>
      </c>
      <c r="I116" t="s">
        <v>347</v>
      </c>
      <c r="J116" t="s">
        <v>579</v>
      </c>
      <c r="K116" t="s">
        <v>580</v>
      </c>
      <c r="L116">
        <v>18</v>
      </c>
      <c r="M116">
        <v>13</v>
      </c>
    </row>
    <row r="117" spans="1:13" x14ac:dyDescent="0.25">
      <c r="A117" t="s">
        <v>581</v>
      </c>
      <c r="B117">
        <v>36</v>
      </c>
      <c r="C117">
        <v>2</v>
      </c>
      <c r="D117" t="s">
        <v>578</v>
      </c>
      <c r="E117">
        <v>1</v>
      </c>
      <c r="F117">
        <v>4</v>
      </c>
      <c r="G117" t="s">
        <v>247</v>
      </c>
      <c r="H117" t="s">
        <v>247</v>
      </c>
      <c r="I117" t="s">
        <v>347</v>
      </c>
      <c r="J117" t="s">
        <v>579</v>
      </c>
      <c r="L117">
        <v>16</v>
      </c>
      <c r="M117">
        <v>15</v>
      </c>
    </row>
    <row r="118" spans="1:13" x14ac:dyDescent="0.25">
      <c r="A118" t="s">
        <v>582</v>
      </c>
      <c r="B118">
        <v>36</v>
      </c>
      <c r="C118">
        <v>3</v>
      </c>
      <c r="D118" t="s">
        <v>578</v>
      </c>
      <c r="E118">
        <v>1</v>
      </c>
      <c r="F118">
        <v>4</v>
      </c>
      <c r="G118" t="s">
        <v>253</v>
      </c>
      <c r="I118" t="s">
        <v>421</v>
      </c>
      <c r="J118" t="s">
        <v>583</v>
      </c>
    </row>
    <row r="119" spans="1:13" x14ac:dyDescent="0.25">
      <c r="A119" t="s">
        <v>584</v>
      </c>
      <c r="B119">
        <v>37</v>
      </c>
      <c r="C119">
        <v>1</v>
      </c>
      <c r="D119" t="s">
        <v>585</v>
      </c>
      <c r="E119">
        <v>50</v>
      </c>
      <c r="F119">
        <v>3</v>
      </c>
      <c r="G119" t="s">
        <v>253</v>
      </c>
      <c r="I119" t="s">
        <v>586</v>
      </c>
      <c r="J119" t="s">
        <v>587</v>
      </c>
    </row>
    <row r="120" spans="1:13" x14ac:dyDescent="0.25">
      <c r="A120" t="s">
        <v>588</v>
      </c>
      <c r="B120">
        <v>38</v>
      </c>
      <c r="C120">
        <v>1</v>
      </c>
      <c r="D120" t="s">
        <v>589</v>
      </c>
      <c r="E120">
        <v>50</v>
      </c>
      <c r="F120">
        <v>3</v>
      </c>
      <c r="G120" t="s">
        <v>253</v>
      </c>
      <c r="I120" t="s">
        <v>590</v>
      </c>
      <c r="J120" t="s">
        <v>591</v>
      </c>
    </row>
    <row r="121" spans="1:13" x14ac:dyDescent="0.25">
      <c r="A121" t="s">
        <v>592</v>
      </c>
      <c r="B121">
        <v>39</v>
      </c>
      <c r="C121">
        <v>1</v>
      </c>
      <c r="D121" t="s">
        <v>593</v>
      </c>
      <c r="E121">
        <v>50</v>
      </c>
      <c r="F121">
        <v>1</v>
      </c>
      <c r="G121" t="s">
        <v>373</v>
      </c>
      <c r="I121" t="s">
        <v>374</v>
      </c>
      <c r="J121" t="s">
        <v>594</v>
      </c>
      <c r="K121" t="s">
        <v>595</v>
      </c>
      <c r="L121">
        <v>12.5</v>
      </c>
      <c r="M121">
        <v>12.9</v>
      </c>
    </row>
    <row r="122" spans="1:13" x14ac:dyDescent="0.25">
      <c r="A122" t="s">
        <v>596</v>
      </c>
      <c r="B122">
        <v>40</v>
      </c>
      <c r="C122">
        <v>1</v>
      </c>
      <c r="D122" t="s">
        <v>597</v>
      </c>
      <c r="E122">
        <v>1</v>
      </c>
      <c r="F122">
        <v>4</v>
      </c>
      <c r="G122" t="s">
        <v>253</v>
      </c>
      <c r="I122" t="s">
        <v>586</v>
      </c>
      <c r="J122" t="s">
        <v>598</v>
      </c>
    </row>
    <row r="123" spans="1:13" x14ac:dyDescent="0.25">
      <c r="A123" t="s">
        <v>599</v>
      </c>
      <c r="B123">
        <v>40</v>
      </c>
      <c r="C123">
        <v>2</v>
      </c>
      <c r="D123" t="s">
        <v>597</v>
      </c>
      <c r="E123">
        <v>1</v>
      </c>
      <c r="F123">
        <v>4</v>
      </c>
      <c r="G123" t="s">
        <v>253</v>
      </c>
      <c r="I123" t="s">
        <v>600</v>
      </c>
      <c r="J123" t="s">
        <v>601</v>
      </c>
    </row>
    <row r="124" spans="1:13" x14ac:dyDescent="0.25">
      <c r="A124" t="s">
        <v>602</v>
      </c>
      <c r="B124">
        <v>40</v>
      </c>
      <c r="C124">
        <v>3</v>
      </c>
      <c r="D124" t="s">
        <v>597</v>
      </c>
      <c r="E124">
        <v>1</v>
      </c>
      <c r="F124">
        <v>4</v>
      </c>
      <c r="G124" t="s">
        <v>247</v>
      </c>
      <c r="H124" t="s">
        <v>247</v>
      </c>
      <c r="I124" t="s">
        <v>603</v>
      </c>
      <c r="J124" t="s">
        <v>604</v>
      </c>
      <c r="L124">
        <v>25</v>
      </c>
      <c r="M124">
        <v>11</v>
      </c>
    </row>
    <row r="125" spans="1:13" x14ac:dyDescent="0.25">
      <c r="A125" t="s">
        <v>605</v>
      </c>
      <c r="B125">
        <v>40</v>
      </c>
      <c r="C125">
        <v>4</v>
      </c>
      <c r="D125" t="s">
        <v>597</v>
      </c>
      <c r="E125">
        <v>1</v>
      </c>
      <c r="F125">
        <v>4</v>
      </c>
      <c r="G125" t="s">
        <v>247</v>
      </c>
      <c r="H125" t="s">
        <v>290</v>
      </c>
      <c r="I125" t="s">
        <v>603</v>
      </c>
      <c r="J125" t="s">
        <v>606</v>
      </c>
      <c r="K125" t="s">
        <v>607</v>
      </c>
      <c r="L125">
        <v>23.3</v>
      </c>
      <c r="M125">
        <v>9.3000000000000007</v>
      </c>
    </row>
    <row r="126" spans="1:13" x14ac:dyDescent="0.25">
      <c r="A126" t="s">
        <v>608</v>
      </c>
      <c r="B126">
        <v>40</v>
      </c>
      <c r="C126">
        <v>5</v>
      </c>
      <c r="D126" t="s">
        <v>597</v>
      </c>
      <c r="E126">
        <v>1</v>
      </c>
      <c r="F126">
        <v>4</v>
      </c>
      <c r="G126" t="s">
        <v>260</v>
      </c>
      <c r="I126" t="s">
        <v>609</v>
      </c>
      <c r="J126" t="s">
        <v>610</v>
      </c>
    </row>
    <row r="127" spans="1:13" x14ac:dyDescent="0.25">
      <c r="A127" t="s">
        <v>611</v>
      </c>
      <c r="B127">
        <v>40</v>
      </c>
      <c r="C127">
        <v>6</v>
      </c>
      <c r="D127" t="s">
        <v>597</v>
      </c>
      <c r="E127">
        <v>1</v>
      </c>
      <c r="F127">
        <v>4</v>
      </c>
      <c r="G127" t="s">
        <v>247</v>
      </c>
      <c r="H127" t="s">
        <v>276</v>
      </c>
      <c r="I127" t="s">
        <v>434</v>
      </c>
      <c r="J127" t="s">
        <v>612</v>
      </c>
      <c r="K127" t="s">
        <v>312</v>
      </c>
    </row>
    <row r="128" spans="1:13" x14ac:dyDescent="0.25">
      <c r="A128" t="s">
        <v>613</v>
      </c>
      <c r="B128">
        <v>41</v>
      </c>
      <c r="C128">
        <v>1</v>
      </c>
      <c r="D128" t="s">
        <v>614</v>
      </c>
      <c r="E128">
        <v>16</v>
      </c>
      <c r="F128">
        <v>1</v>
      </c>
      <c r="G128" t="s">
        <v>253</v>
      </c>
      <c r="I128" t="s">
        <v>615</v>
      </c>
      <c r="J128" t="s">
        <v>616</v>
      </c>
    </row>
    <row r="129" spans="1:13" x14ac:dyDescent="0.25">
      <c r="A129" t="s">
        <v>617</v>
      </c>
      <c r="B129">
        <v>41</v>
      </c>
      <c r="C129">
        <v>2</v>
      </c>
      <c r="D129" t="s">
        <v>614</v>
      </c>
      <c r="E129">
        <v>16</v>
      </c>
      <c r="F129">
        <v>1</v>
      </c>
      <c r="G129" t="s">
        <v>260</v>
      </c>
      <c r="I129" t="s">
        <v>618</v>
      </c>
      <c r="J129" t="s">
        <v>619</v>
      </c>
    </row>
    <row r="130" spans="1:13" x14ac:dyDescent="0.25">
      <c r="A130" t="s">
        <v>620</v>
      </c>
      <c r="B130">
        <v>41</v>
      </c>
      <c r="C130">
        <v>3</v>
      </c>
      <c r="D130" t="s">
        <v>614</v>
      </c>
      <c r="E130">
        <v>16</v>
      </c>
      <c r="F130">
        <v>1</v>
      </c>
      <c r="G130" t="s">
        <v>247</v>
      </c>
      <c r="H130" t="s">
        <v>276</v>
      </c>
      <c r="I130" t="s">
        <v>512</v>
      </c>
      <c r="J130" t="s">
        <v>621</v>
      </c>
      <c r="K130" t="s">
        <v>331</v>
      </c>
    </row>
    <row r="131" spans="1:13" x14ac:dyDescent="0.25">
      <c r="A131" t="s">
        <v>622</v>
      </c>
      <c r="B131">
        <v>42</v>
      </c>
      <c r="C131">
        <v>1</v>
      </c>
      <c r="D131" t="s">
        <v>623</v>
      </c>
      <c r="E131">
        <v>50</v>
      </c>
      <c r="F131">
        <v>4</v>
      </c>
      <c r="G131" t="s">
        <v>373</v>
      </c>
      <c r="I131" t="s">
        <v>374</v>
      </c>
      <c r="J131" t="s">
        <v>624</v>
      </c>
      <c r="K131" t="s">
        <v>625</v>
      </c>
      <c r="L131">
        <v>12.5</v>
      </c>
      <c r="M131">
        <v>12.9</v>
      </c>
    </row>
    <row r="132" spans="1:13" x14ac:dyDescent="0.25">
      <c r="A132" t="s">
        <v>626</v>
      </c>
      <c r="B132">
        <v>43</v>
      </c>
      <c r="C132">
        <v>1</v>
      </c>
      <c r="D132" t="s">
        <v>627</v>
      </c>
      <c r="E132">
        <v>1</v>
      </c>
      <c r="F132">
        <v>2</v>
      </c>
      <c r="G132" t="s">
        <v>247</v>
      </c>
      <c r="H132" t="s">
        <v>247</v>
      </c>
      <c r="I132" t="s">
        <v>494</v>
      </c>
      <c r="J132" t="s">
        <v>628</v>
      </c>
      <c r="L132">
        <v>13</v>
      </c>
      <c r="M132">
        <v>10</v>
      </c>
    </row>
    <row r="133" spans="1:13" x14ac:dyDescent="0.25">
      <c r="A133" t="s">
        <v>629</v>
      </c>
      <c r="B133">
        <v>43</v>
      </c>
      <c r="C133">
        <v>2</v>
      </c>
      <c r="D133" t="s">
        <v>627</v>
      </c>
      <c r="E133">
        <v>1</v>
      </c>
      <c r="F133">
        <v>2</v>
      </c>
      <c r="G133" t="s">
        <v>247</v>
      </c>
      <c r="H133" t="s">
        <v>276</v>
      </c>
      <c r="I133" t="s">
        <v>494</v>
      </c>
      <c r="J133" t="s">
        <v>630</v>
      </c>
      <c r="K133" t="s">
        <v>279</v>
      </c>
    </row>
    <row r="134" spans="1:13" x14ac:dyDescent="0.25">
      <c r="A134" t="s">
        <v>631</v>
      </c>
      <c r="B134">
        <v>43</v>
      </c>
      <c r="C134">
        <v>3</v>
      </c>
      <c r="D134" t="s">
        <v>627</v>
      </c>
      <c r="E134">
        <v>1</v>
      </c>
      <c r="F134">
        <v>2</v>
      </c>
      <c r="G134" t="s">
        <v>253</v>
      </c>
      <c r="I134" t="s">
        <v>632</v>
      </c>
      <c r="J134" t="s">
        <v>633</v>
      </c>
    </row>
    <row r="135" spans="1:13" x14ac:dyDescent="0.25">
      <c r="A135" t="s">
        <v>634</v>
      </c>
      <c r="B135">
        <v>43</v>
      </c>
      <c r="C135">
        <v>4</v>
      </c>
      <c r="D135" t="s">
        <v>627</v>
      </c>
      <c r="E135">
        <v>1</v>
      </c>
      <c r="F135">
        <v>2</v>
      </c>
      <c r="G135" t="s">
        <v>253</v>
      </c>
      <c r="I135" t="s">
        <v>632</v>
      </c>
      <c r="J135" t="s">
        <v>635</v>
      </c>
    </row>
    <row r="136" spans="1:13" x14ac:dyDescent="0.25">
      <c r="A136" t="s">
        <v>636</v>
      </c>
      <c r="B136">
        <v>43</v>
      </c>
      <c r="C136">
        <v>5</v>
      </c>
      <c r="D136" t="s">
        <v>627</v>
      </c>
      <c r="E136">
        <v>1</v>
      </c>
      <c r="F136">
        <v>2</v>
      </c>
      <c r="G136" t="s">
        <v>247</v>
      </c>
      <c r="H136" t="s">
        <v>247</v>
      </c>
      <c r="I136" t="s">
        <v>637</v>
      </c>
      <c r="J136" t="s">
        <v>638</v>
      </c>
      <c r="L136">
        <v>17</v>
      </c>
      <c r="M136">
        <v>20</v>
      </c>
    </row>
    <row r="137" spans="1:13" x14ac:dyDescent="0.25">
      <c r="A137" t="s">
        <v>639</v>
      </c>
      <c r="B137">
        <v>44</v>
      </c>
      <c r="C137">
        <v>1</v>
      </c>
      <c r="D137" t="s">
        <v>640</v>
      </c>
      <c r="E137">
        <v>50</v>
      </c>
      <c r="F137">
        <v>5</v>
      </c>
      <c r="G137" t="s">
        <v>265</v>
      </c>
      <c r="I137" t="s">
        <v>641</v>
      </c>
      <c r="J137" t="s">
        <v>642</v>
      </c>
    </row>
    <row r="138" spans="1:13" x14ac:dyDescent="0.25">
      <c r="A138" t="s">
        <v>643</v>
      </c>
      <c r="B138">
        <v>45</v>
      </c>
      <c r="C138">
        <v>1</v>
      </c>
      <c r="D138" t="s">
        <v>644</v>
      </c>
      <c r="E138">
        <v>20</v>
      </c>
      <c r="F138">
        <v>5</v>
      </c>
      <c r="G138" t="s">
        <v>265</v>
      </c>
      <c r="I138" t="s">
        <v>645</v>
      </c>
      <c r="J138" t="s">
        <v>646</v>
      </c>
    </row>
    <row r="139" spans="1:13" x14ac:dyDescent="0.25">
      <c r="A139" t="s">
        <v>647</v>
      </c>
      <c r="B139">
        <v>46</v>
      </c>
      <c r="C139">
        <v>1</v>
      </c>
      <c r="D139" t="s">
        <v>648</v>
      </c>
      <c r="E139">
        <v>50</v>
      </c>
      <c r="F139">
        <v>5</v>
      </c>
      <c r="G139" t="s">
        <v>265</v>
      </c>
      <c r="I139" t="s">
        <v>649</v>
      </c>
      <c r="J139" t="s">
        <v>650</v>
      </c>
    </row>
    <row r="140" spans="1:13" x14ac:dyDescent="0.25">
      <c r="A140" t="s">
        <v>651</v>
      </c>
      <c r="B140">
        <v>47</v>
      </c>
      <c r="C140">
        <v>1</v>
      </c>
      <c r="D140" t="s">
        <v>652</v>
      </c>
      <c r="E140">
        <v>50</v>
      </c>
      <c r="F140">
        <v>5</v>
      </c>
      <c r="G140" t="s">
        <v>265</v>
      </c>
      <c r="I140" t="s">
        <v>653</v>
      </c>
      <c r="J140" t="s">
        <v>654</v>
      </c>
    </row>
    <row r="141" spans="1:13" x14ac:dyDescent="0.25">
      <c r="A141" t="s">
        <v>655</v>
      </c>
      <c r="B141">
        <v>48</v>
      </c>
      <c r="C141">
        <v>1</v>
      </c>
      <c r="D141" t="s">
        <v>656</v>
      </c>
      <c r="E141">
        <v>50</v>
      </c>
      <c r="F141">
        <v>5</v>
      </c>
      <c r="G141" t="s">
        <v>265</v>
      </c>
      <c r="I141" t="s">
        <v>657</v>
      </c>
      <c r="J141" t="s">
        <v>658</v>
      </c>
    </row>
    <row r="142" spans="1:13" x14ac:dyDescent="0.25">
      <c r="A142" t="s">
        <v>659</v>
      </c>
      <c r="B142">
        <v>49</v>
      </c>
      <c r="C142">
        <v>1</v>
      </c>
      <c r="D142" t="s">
        <v>660</v>
      </c>
      <c r="E142">
        <v>50</v>
      </c>
      <c r="F142">
        <v>5</v>
      </c>
      <c r="G142" t="s">
        <v>265</v>
      </c>
      <c r="I142" t="s">
        <v>269</v>
      </c>
      <c r="J142" t="s">
        <v>270</v>
      </c>
    </row>
    <row r="143" spans="1:13" x14ac:dyDescent="0.25">
      <c r="A143" t="s">
        <v>661</v>
      </c>
      <c r="B143">
        <v>50</v>
      </c>
      <c r="C143">
        <v>1</v>
      </c>
      <c r="D143" t="s">
        <v>662</v>
      </c>
      <c r="E143">
        <v>1</v>
      </c>
      <c r="F143">
        <v>2</v>
      </c>
      <c r="G143" t="s">
        <v>253</v>
      </c>
      <c r="I143" t="s">
        <v>663</v>
      </c>
      <c r="J143" t="s">
        <v>664</v>
      </c>
    </row>
    <row r="144" spans="1:13" x14ac:dyDescent="0.25">
      <c r="A144" t="s">
        <v>665</v>
      </c>
      <c r="B144">
        <v>50</v>
      </c>
      <c r="C144">
        <v>2</v>
      </c>
      <c r="D144" t="s">
        <v>662</v>
      </c>
      <c r="E144">
        <v>1</v>
      </c>
      <c r="F144">
        <v>2</v>
      </c>
      <c r="G144" t="s">
        <v>247</v>
      </c>
      <c r="H144" t="s">
        <v>247</v>
      </c>
      <c r="I144" t="s">
        <v>666</v>
      </c>
      <c r="J144" t="s">
        <v>667</v>
      </c>
      <c r="L144">
        <v>36</v>
      </c>
      <c r="M144">
        <v>9</v>
      </c>
    </row>
    <row r="145" spans="1:13" x14ac:dyDescent="0.25">
      <c r="A145" t="s">
        <v>668</v>
      </c>
      <c r="B145">
        <v>50</v>
      </c>
      <c r="C145">
        <v>3</v>
      </c>
      <c r="D145" t="s">
        <v>662</v>
      </c>
      <c r="E145">
        <v>1</v>
      </c>
      <c r="F145">
        <v>2</v>
      </c>
      <c r="G145" t="s">
        <v>247</v>
      </c>
      <c r="H145" t="s">
        <v>247</v>
      </c>
      <c r="I145" t="s">
        <v>603</v>
      </c>
      <c r="J145" t="s">
        <v>669</v>
      </c>
      <c r="L145">
        <v>27</v>
      </c>
      <c r="M145">
        <v>25</v>
      </c>
    </row>
    <row r="146" spans="1:13" x14ac:dyDescent="0.25">
      <c r="A146" t="s">
        <v>670</v>
      </c>
      <c r="B146">
        <v>50</v>
      </c>
      <c r="C146">
        <v>4</v>
      </c>
      <c r="D146" t="s">
        <v>662</v>
      </c>
      <c r="E146">
        <v>1</v>
      </c>
      <c r="F146">
        <v>2</v>
      </c>
      <c r="G146" t="s">
        <v>247</v>
      </c>
      <c r="H146" t="s">
        <v>290</v>
      </c>
      <c r="I146" t="s">
        <v>603</v>
      </c>
      <c r="J146" t="s">
        <v>671</v>
      </c>
      <c r="K146" t="s">
        <v>672</v>
      </c>
      <c r="L146">
        <v>27</v>
      </c>
      <c r="M146">
        <v>25</v>
      </c>
    </row>
    <row r="147" spans="1:13" x14ac:dyDescent="0.25">
      <c r="A147" t="s">
        <v>673</v>
      </c>
      <c r="B147">
        <v>50</v>
      </c>
      <c r="C147">
        <v>5</v>
      </c>
      <c r="D147" t="s">
        <v>662</v>
      </c>
      <c r="E147">
        <v>1</v>
      </c>
      <c r="F147">
        <v>2</v>
      </c>
      <c r="G147" t="s">
        <v>247</v>
      </c>
      <c r="H147" t="s">
        <v>276</v>
      </c>
      <c r="I147" t="s">
        <v>603</v>
      </c>
      <c r="J147" t="s">
        <v>674</v>
      </c>
      <c r="K147" t="s">
        <v>279</v>
      </c>
    </row>
    <row r="148" spans="1:13" x14ac:dyDescent="0.25">
      <c r="A148" t="s">
        <v>675</v>
      </c>
      <c r="B148">
        <v>51</v>
      </c>
      <c r="C148">
        <v>1</v>
      </c>
      <c r="D148" t="s">
        <v>676</v>
      </c>
      <c r="E148">
        <v>60</v>
      </c>
      <c r="F148">
        <v>3</v>
      </c>
      <c r="G148" t="s">
        <v>247</v>
      </c>
      <c r="H148" t="s">
        <v>276</v>
      </c>
      <c r="I148" t="s">
        <v>637</v>
      </c>
      <c r="J148" t="s">
        <v>677</v>
      </c>
      <c r="K148" t="s">
        <v>331</v>
      </c>
    </row>
    <row r="149" spans="1:13" x14ac:dyDescent="0.25">
      <c r="A149" t="s">
        <v>678</v>
      </c>
      <c r="B149">
        <v>51</v>
      </c>
      <c r="C149">
        <v>2</v>
      </c>
      <c r="D149" t="s">
        <v>676</v>
      </c>
      <c r="E149">
        <v>60</v>
      </c>
      <c r="F149">
        <v>3</v>
      </c>
      <c r="G149" t="s">
        <v>260</v>
      </c>
      <c r="I149" t="s">
        <v>609</v>
      </c>
      <c r="J149" t="s">
        <v>679</v>
      </c>
    </row>
    <row r="150" spans="1:13" x14ac:dyDescent="0.25">
      <c r="A150" t="s">
        <v>680</v>
      </c>
      <c r="B150">
        <v>51</v>
      </c>
      <c r="C150">
        <v>3</v>
      </c>
      <c r="D150" t="s">
        <v>676</v>
      </c>
      <c r="E150">
        <v>60</v>
      </c>
      <c r="F150">
        <v>3</v>
      </c>
      <c r="G150" t="s">
        <v>10583</v>
      </c>
      <c r="I150" t="s">
        <v>681</v>
      </c>
      <c r="J150" t="s">
        <v>682</v>
      </c>
      <c r="K150" t="s">
        <v>683</v>
      </c>
    </row>
    <row r="151" spans="1:13" x14ac:dyDescent="0.25">
      <c r="A151" t="s">
        <v>684</v>
      </c>
      <c r="B151">
        <v>52</v>
      </c>
      <c r="C151">
        <v>1</v>
      </c>
      <c r="D151" t="s">
        <v>685</v>
      </c>
      <c r="E151">
        <v>1</v>
      </c>
      <c r="F151">
        <v>4</v>
      </c>
      <c r="G151" t="s">
        <v>247</v>
      </c>
      <c r="H151" t="s">
        <v>247</v>
      </c>
      <c r="I151" t="s">
        <v>686</v>
      </c>
      <c r="J151" t="s">
        <v>687</v>
      </c>
      <c r="L151">
        <v>20</v>
      </c>
      <c r="M151">
        <v>31</v>
      </c>
    </row>
    <row r="152" spans="1:13" x14ac:dyDescent="0.25">
      <c r="A152" t="s">
        <v>688</v>
      </c>
      <c r="B152">
        <v>52</v>
      </c>
      <c r="C152">
        <v>2</v>
      </c>
      <c r="D152" t="s">
        <v>685</v>
      </c>
      <c r="E152">
        <v>1</v>
      </c>
      <c r="F152">
        <v>4</v>
      </c>
      <c r="G152" t="s">
        <v>247</v>
      </c>
      <c r="H152" t="s">
        <v>247</v>
      </c>
      <c r="I152" t="s">
        <v>686</v>
      </c>
      <c r="J152" t="s">
        <v>689</v>
      </c>
      <c r="L152">
        <v>17</v>
      </c>
      <c r="M152">
        <v>27</v>
      </c>
    </row>
    <row r="153" spans="1:13" x14ac:dyDescent="0.25">
      <c r="A153" t="s">
        <v>690</v>
      </c>
      <c r="B153">
        <v>52</v>
      </c>
      <c r="C153">
        <v>3</v>
      </c>
      <c r="D153" t="s">
        <v>685</v>
      </c>
      <c r="E153">
        <v>1</v>
      </c>
      <c r="F153">
        <v>4</v>
      </c>
      <c r="G153" t="s">
        <v>247</v>
      </c>
      <c r="H153" t="s">
        <v>276</v>
      </c>
      <c r="I153" t="s">
        <v>686</v>
      </c>
      <c r="J153" t="s">
        <v>691</v>
      </c>
      <c r="K153" t="s">
        <v>279</v>
      </c>
    </row>
    <row r="154" spans="1:13" x14ac:dyDescent="0.25">
      <c r="A154" t="s">
        <v>692</v>
      </c>
      <c r="B154">
        <v>52</v>
      </c>
      <c r="C154">
        <v>4</v>
      </c>
      <c r="D154" t="s">
        <v>685</v>
      </c>
      <c r="E154">
        <v>1</v>
      </c>
      <c r="F154">
        <v>4</v>
      </c>
      <c r="G154" t="s">
        <v>253</v>
      </c>
      <c r="I154" t="s">
        <v>693</v>
      </c>
      <c r="J154" t="s">
        <v>694</v>
      </c>
    </row>
    <row r="155" spans="1:13" x14ac:dyDescent="0.25">
      <c r="A155" t="s">
        <v>695</v>
      </c>
      <c r="B155">
        <v>53</v>
      </c>
      <c r="C155">
        <v>1</v>
      </c>
      <c r="D155" t="s">
        <v>696</v>
      </c>
      <c r="E155">
        <v>1</v>
      </c>
      <c r="F155">
        <v>2</v>
      </c>
      <c r="G155" t="s">
        <v>247</v>
      </c>
      <c r="H155" t="s">
        <v>247</v>
      </c>
      <c r="I155" t="s">
        <v>666</v>
      </c>
      <c r="J155" t="s">
        <v>697</v>
      </c>
      <c r="L155">
        <v>26</v>
      </c>
      <c r="M155">
        <v>33</v>
      </c>
    </row>
    <row r="156" spans="1:13" x14ac:dyDescent="0.25">
      <c r="A156" t="s">
        <v>698</v>
      </c>
      <c r="B156">
        <v>53</v>
      </c>
      <c r="C156">
        <v>2</v>
      </c>
      <c r="D156" t="s">
        <v>696</v>
      </c>
      <c r="E156">
        <v>1</v>
      </c>
      <c r="F156">
        <v>2</v>
      </c>
      <c r="G156" t="s">
        <v>253</v>
      </c>
      <c r="I156" t="s">
        <v>699</v>
      </c>
      <c r="J156" t="s">
        <v>700</v>
      </c>
    </row>
    <row r="157" spans="1:13" x14ac:dyDescent="0.25">
      <c r="A157" t="s">
        <v>701</v>
      </c>
      <c r="B157">
        <v>54</v>
      </c>
      <c r="C157">
        <v>1</v>
      </c>
      <c r="D157" t="s">
        <v>702</v>
      </c>
      <c r="E157">
        <v>60</v>
      </c>
      <c r="F157">
        <v>2</v>
      </c>
      <c r="G157" t="s">
        <v>260</v>
      </c>
      <c r="I157" t="s">
        <v>703</v>
      </c>
      <c r="J157" t="s">
        <v>704</v>
      </c>
    </row>
    <row r="158" spans="1:13" x14ac:dyDescent="0.25">
      <c r="A158" t="s">
        <v>705</v>
      </c>
      <c r="B158">
        <v>54</v>
      </c>
      <c r="C158">
        <v>2</v>
      </c>
      <c r="D158" t="s">
        <v>702</v>
      </c>
      <c r="E158">
        <v>60</v>
      </c>
      <c r="F158">
        <v>2</v>
      </c>
      <c r="G158" t="s">
        <v>260</v>
      </c>
      <c r="I158" t="s">
        <v>706</v>
      </c>
      <c r="J158" t="s">
        <v>707</v>
      </c>
    </row>
    <row r="159" spans="1:13" x14ac:dyDescent="0.25">
      <c r="A159" t="s">
        <v>708</v>
      </c>
      <c r="B159">
        <v>55</v>
      </c>
      <c r="C159">
        <v>1</v>
      </c>
      <c r="D159" t="s">
        <v>709</v>
      </c>
      <c r="E159">
        <v>1</v>
      </c>
      <c r="F159">
        <v>4</v>
      </c>
      <c r="G159" t="s">
        <v>247</v>
      </c>
      <c r="H159" t="s">
        <v>361</v>
      </c>
      <c r="I159" t="s">
        <v>710</v>
      </c>
      <c r="J159" t="s">
        <v>711</v>
      </c>
      <c r="K159" t="s">
        <v>712</v>
      </c>
      <c r="L159">
        <v>10</v>
      </c>
      <c r="M159">
        <v>10</v>
      </c>
    </row>
    <row r="160" spans="1:13" x14ac:dyDescent="0.25">
      <c r="A160" t="s">
        <v>713</v>
      </c>
      <c r="B160">
        <v>55</v>
      </c>
      <c r="C160">
        <v>2</v>
      </c>
      <c r="D160" t="s">
        <v>709</v>
      </c>
      <c r="E160">
        <v>1</v>
      </c>
      <c r="F160">
        <v>4</v>
      </c>
      <c r="G160" t="s">
        <v>253</v>
      </c>
      <c r="I160" t="s">
        <v>714</v>
      </c>
      <c r="J160" t="s">
        <v>715</v>
      </c>
    </row>
    <row r="161" spans="1:13" x14ac:dyDescent="0.25">
      <c r="A161" t="s">
        <v>716</v>
      </c>
      <c r="B161">
        <v>55</v>
      </c>
      <c r="C161">
        <v>3</v>
      </c>
      <c r="D161" t="s">
        <v>709</v>
      </c>
      <c r="E161">
        <v>1</v>
      </c>
      <c r="F161">
        <v>4</v>
      </c>
      <c r="G161" t="s">
        <v>253</v>
      </c>
      <c r="I161" t="s">
        <v>717</v>
      </c>
      <c r="J161" t="s">
        <v>718</v>
      </c>
      <c r="K161" t="s">
        <v>719</v>
      </c>
    </row>
    <row r="162" spans="1:13" x14ac:dyDescent="0.25">
      <c r="A162" t="s">
        <v>720</v>
      </c>
      <c r="B162">
        <v>56</v>
      </c>
      <c r="C162">
        <v>1</v>
      </c>
      <c r="D162" t="s">
        <v>721</v>
      </c>
      <c r="E162">
        <v>1</v>
      </c>
      <c r="F162">
        <v>1</v>
      </c>
      <c r="G162" t="s">
        <v>247</v>
      </c>
      <c r="H162" t="s">
        <v>247</v>
      </c>
      <c r="I162" t="s">
        <v>666</v>
      </c>
      <c r="J162" t="s">
        <v>722</v>
      </c>
      <c r="L162">
        <v>19</v>
      </c>
      <c r="M162">
        <v>35</v>
      </c>
    </row>
    <row r="163" spans="1:13" x14ac:dyDescent="0.25">
      <c r="A163" t="s">
        <v>723</v>
      </c>
      <c r="B163">
        <v>56</v>
      </c>
      <c r="C163">
        <v>2</v>
      </c>
      <c r="D163" t="s">
        <v>721</v>
      </c>
      <c r="E163">
        <v>1</v>
      </c>
      <c r="F163">
        <v>1</v>
      </c>
      <c r="G163" t="s">
        <v>247</v>
      </c>
      <c r="H163" t="s">
        <v>290</v>
      </c>
      <c r="I163" t="s">
        <v>666</v>
      </c>
      <c r="J163" t="s">
        <v>724</v>
      </c>
      <c r="K163" t="s">
        <v>725</v>
      </c>
      <c r="L163">
        <v>36</v>
      </c>
      <c r="M163">
        <v>33</v>
      </c>
    </row>
    <row r="164" spans="1:13" x14ac:dyDescent="0.25">
      <c r="A164" t="s">
        <v>726</v>
      </c>
      <c r="B164">
        <v>56</v>
      </c>
      <c r="C164">
        <v>3</v>
      </c>
      <c r="D164" t="s">
        <v>721</v>
      </c>
      <c r="E164">
        <v>1</v>
      </c>
      <c r="F164">
        <v>1</v>
      </c>
      <c r="G164" t="s">
        <v>247</v>
      </c>
      <c r="H164" t="s">
        <v>276</v>
      </c>
      <c r="I164" t="s">
        <v>666</v>
      </c>
      <c r="J164" t="s">
        <v>727</v>
      </c>
      <c r="K164" t="s">
        <v>312</v>
      </c>
    </row>
    <row r="165" spans="1:13" x14ac:dyDescent="0.25">
      <c r="A165" t="s">
        <v>728</v>
      </c>
      <c r="B165">
        <v>56</v>
      </c>
      <c r="C165">
        <v>4</v>
      </c>
      <c r="D165" t="s">
        <v>721</v>
      </c>
      <c r="E165">
        <v>1</v>
      </c>
      <c r="F165">
        <v>1</v>
      </c>
      <c r="G165" t="s">
        <v>247</v>
      </c>
      <c r="H165" t="s">
        <v>276</v>
      </c>
      <c r="I165" t="s">
        <v>434</v>
      </c>
      <c r="J165" t="s">
        <v>729</v>
      </c>
      <c r="K165" t="s">
        <v>279</v>
      </c>
    </row>
    <row r="166" spans="1:13" x14ac:dyDescent="0.25">
      <c r="A166" t="s">
        <v>730</v>
      </c>
      <c r="B166">
        <v>57</v>
      </c>
      <c r="C166">
        <v>1</v>
      </c>
      <c r="D166" t="s">
        <v>731</v>
      </c>
      <c r="E166">
        <v>1</v>
      </c>
      <c r="F166">
        <v>2</v>
      </c>
      <c r="G166" t="s">
        <v>265</v>
      </c>
      <c r="I166" t="s">
        <v>378</v>
      </c>
      <c r="J166" t="s">
        <v>379</v>
      </c>
    </row>
    <row r="167" spans="1:13" x14ac:dyDescent="0.25">
      <c r="A167" t="s">
        <v>732</v>
      </c>
      <c r="B167">
        <v>57</v>
      </c>
      <c r="C167">
        <v>2</v>
      </c>
      <c r="D167" t="s">
        <v>731</v>
      </c>
      <c r="E167">
        <v>1</v>
      </c>
      <c r="F167">
        <v>2</v>
      </c>
      <c r="G167" t="s">
        <v>247</v>
      </c>
      <c r="H167" t="s">
        <v>247</v>
      </c>
      <c r="I167" t="s">
        <v>733</v>
      </c>
      <c r="J167" t="s">
        <v>734</v>
      </c>
      <c r="L167">
        <v>29</v>
      </c>
      <c r="M167">
        <v>12</v>
      </c>
    </row>
    <row r="168" spans="1:13" x14ac:dyDescent="0.25">
      <c r="A168" t="s">
        <v>735</v>
      </c>
      <c r="B168">
        <v>57</v>
      </c>
      <c r="C168">
        <v>3</v>
      </c>
      <c r="D168" t="s">
        <v>731</v>
      </c>
      <c r="E168">
        <v>1</v>
      </c>
      <c r="F168">
        <v>2</v>
      </c>
      <c r="G168" t="s">
        <v>253</v>
      </c>
      <c r="I168" t="s">
        <v>317</v>
      </c>
      <c r="J168" t="s">
        <v>736</v>
      </c>
    </row>
    <row r="169" spans="1:13" x14ac:dyDescent="0.25">
      <c r="A169" t="s">
        <v>737</v>
      </c>
      <c r="B169">
        <v>58</v>
      </c>
      <c r="C169">
        <v>1</v>
      </c>
      <c r="D169" t="s">
        <v>738</v>
      </c>
      <c r="E169">
        <v>50</v>
      </c>
      <c r="F169">
        <v>3</v>
      </c>
      <c r="G169" t="s">
        <v>265</v>
      </c>
      <c r="I169" t="s">
        <v>739</v>
      </c>
      <c r="J169" t="s">
        <v>740</v>
      </c>
    </row>
    <row r="170" spans="1:13" x14ac:dyDescent="0.25">
      <c r="A170" t="s">
        <v>741</v>
      </c>
      <c r="B170">
        <v>59</v>
      </c>
      <c r="C170">
        <v>1</v>
      </c>
      <c r="D170" t="s">
        <v>742</v>
      </c>
      <c r="E170">
        <v>60</v>
      </c>
      <c r="F170">
        <v>4</v>
      </c>
      <c r="G170" t="s">
        <v>247</v>
      </c>
      <c r="H170" t="s">
        <v>276</v>
      </c>
      <c r="I170" t="s">
        <v>434</v>
      </c>
      <c r="J170" t="s">
        <v>437</v>
      </c>
      <c r="K170" t="s">
        <v>279</v>
      </c>
    </row>
    <row r="171" spans="1:13" x14ac:dyDescent="0.25">
      <c r="A171" t="s">
        <v>743</v>
      </c>
      <c r="B171">
        <v>59</v>
      </c>
      <c r="C171">
        <v>2</v>
      </c>
      <c r="D171" t="s">
        <v>742</v>
      </c>
      <c r="E171">
        <v>60</v>
      </c>
      <c r="F171">
        <v>4</v>
      </c>
      <c r="G171" t="s">
        <v>260</v>
      </c>
      <c r="I171" t="s">
        <v>744</v>
      </c>
      <c r="J171" t="s">
        <v>745</v>
      </c>
    </row>
    <row r="172" spans="1:13" x14ac:dyDescent="0.25">
      <c r="A172" t="s">
        <v>746</v>
      </c>
      <c r="B172">
        <v>60</v>
      </c>
      <c r="C172">
        <v>1</v>
      </c>
      <c r="D172" t="s">
        <v>747</v>
      </c>
      <c r="E172">
        <v>60</v>
      </c>
      <c r="F172">
        <v>2</v>
      </c>
      <c r="G172" t="s">
        <v>253</v>
      </c>
      <c r="I172" t="s">
        <v>504</v>
      </c>
      <c r="J172" t="s">
        <v>748</v>
      </c>
    </row>
    <row r="173" spans="1:13" x14ac:dyDescent="0.25">
      <c r="A173" t="s">
        <v>749</v>
      </c>
      <c r="B173">
        <v>60</v>
      </c>
      <c r="C173">
        <v>2</v>
      </c>
      <c r="D173" t="s">
        <v>747</v>
      </c>
      <c r="E173">
        <v>60</v>
      </c>
      <c r="F173">
        <v>2</v>
      </c>
      <c r="G173" t="s">
        <v>10583</v>
      </c>
      <c r="I173" t="s">
        <v>750</v>
      </c>
      <c r="J173" t="s">
        <v>751</v>
      </c>
      <c r="K173" t="s">
        <v>752</v>
      </c>
    </row>
    <row r="174" spans="1:13" x14ac:dyDescent="0.25">
      <c r="A174" t="s">
        <v>753</v>
      </c>
      <c r="B174">
        <v>61</v>
      </c>
      <c r="C174">
        <v>1</v>
      </c>
      <c r="D174" t="s">
        <v>754</v>
      </c>
      <c r="E174">
        <v>60</v>
      </c>
      <c r="F174">
        <v>1</v>
      </c>
      <c r="G174" t="s">
        <v>253</v>
      </c>
      <c r="I174" t="s">
        <v>755</v>
      </c>
      <c r="J174" t="s">
        <v>756</v>
      </c>
    </row>
    <row r="175" spans="1:13" x14ac:dyDescent="0.25">
      <c r="A175" t="s">
        <v>757</v>
      </c>
      <c r="B175">
        <v>62</v>
      </c>
      <c r="C175">
        <v>1</v>
      </c>
      <c r="D175" t="s">
        <v>758</v>
      </c>
      <c r="E175">
        <v>1</v>
      </c>
      <c r="F175">
        <v>1</v>
      </c>
      <c r="G175" t="s">
        <v>247</v>
      </c>
      <c r="H175" t="s">
        <v>247</v>
      </c>
      <c r="I175" t="s">
        <v>434</v>
      </c>
      <c r="J175" t="s">
        <v>759</v>
      </c>
      <c r="L175">
        <v>12</v>
      </c>
      <c r="M175">
        <v>34</v>
      </c>
    </row>
    <row r="176" spans="1:13" x14ac:dyDescent="0.25">
      <c r="A176" t="s">
        <v>760</v>
      </c>
      <c r="B176">
        <v>62</v>
      </c>
      <c r="C176">
        <v>2</v>
      </c>
      <c r="D176" t="s">
        <v>758</v>
      </c>
      <c r="E176">
        <v>1</v>
      </c>
      <c r="F176">
        <v>1</v>
      </c>
      <c r="G176" t="s">
        <v>247</v>
      </c>
      <c r="H176" t="s">
        <v>290</v>
      </c>
      <c r="I176" t="s">
        <v>434</v>
      </c>
      <c r="J176" t="s">
        <v>761</v>
      </c>
      <c r="K176" t="s">
        <v>762</v>
      </c>
      <c r="L176">
        <v>12</v>
      </c>
      <c r="M176">
        <v>35</v>
      </c>
    </row>
    <row r="177" spans="1:13" x14ac:dyDescent="0.25">
      <c r="A177" t="s">
        <v>763</v>
      </c>
      <c r="B177">
        <v>63</v>
      </c>
      <c r="C177">
        <v>1</v>
      </c>
      <c r="D177" t="s">
        <v>764</v>
      </c>
      <c r="E177">
        <v>1</v>
      </c>
      <c r="F177">
        <v>4</v>
      </c>
      <c r="G177" t="s">
        <v>247</v>
      </c>
      <c r="H177" t="s">
        <v>276</v>
      </c>
      <c r="I177" t="s">
        <v>686</v>
      </c>
      <c r="J177" t="s">
        <v>765</v>
      </c>
      <c r="K177" t="s">
        <v>766</v>
      </c>
      <c r="L177">
        <v>32.6</v>
      </c>
      <c r="M177">
        <v>38.299999999999997</v>
      </c>
    </row>
    <row r="178" spans="1:13" x14ac:dyDescent="0.25">
      <c r="A178" t="s">
        <v>767</v>
      </c>
      <c r="B178">
        <v>63</v>
      </c>
      <c r="C178">
        <v>2</v>
      </c>
      <c r="D178" t="s">
        <v>764</v>
      </c>
      <c r="E178">
        <v>1</v>
      </c>
      <c r="F178">
        <v>4</v>
      </c>
      <c r="G178" t="s">
        <v>247</v>
      </c>
      <c r="H178" t="s">
        <v>276</v>
      </c>
      <c r="I178" t="s">
        <v>277</v>
      </c>
      <c r="J178" t="s">
        <v>278</v>
      </c>
      <c r="K178" t="s">
        <v>279</v>
      </c>
    </row>
    <row r="179" spans="1:13" x14ac:dyDescent="0.25">
      <c r="A179" t="s">
        <v>768</v>
      </c>
      <c r="B179">
        <v>63</v>
      </c>
      <c r="C179">
        <v>3</v>
      </c>
      <c r="D179" t="s">
        <v>764</v>
      </c>
      <c r="E179">
        <v>1</v>
      </c>
      <c r="F179">
        <v>4</v>
      </c>
      <c r="G179" t="s">
        <v>253</v>
      </c>
      <c r="I179" t="s">
        <v>281</v>
      </c>
      <c r="J179" t="s">
        <v>282</v>
      </c>
    </row>
    <row r="180" spans="1:13" x14ac:dyDescent="0.25">
      <c r="A180" t="s">
        <v>769</v>
      </c>
      <c r="B180">
        <v>63</v>
      </c>
      <c r="C180">
        <v>4</v>
      </c>
      <c r="D180" t="s">
        <v>764</v>
      </c>
      <c r="E180">
        <v>1</v>
      </c>
      <c r="F180">
        <v>4</v>
      </c>
      <c r="G180" t="s">
        <v>247</v>
      </c>
      <c r="H180" t="s">
        <v>290</v>
      </c>
      <c r="I180" t="s">
        <v>666</v>
      </c>
      <c r="J180" t="s">
        <v>770</v>
      </c>
      <c r="K180" t="s">
        <v>771</v>
      </c>
      <c r="L180">
        <v>30</v>
      </c>
      <c r="M180">
        <v>36</v>
      </c>
    </row>
    <row r="181" spans="1:13" x14ac:dyDescent="0.25">
      <c r="A181" t="s">
        <v>772</v>
      </c>
      <c r="B181">
        <v>63</v>
      </c>
      <c r="C181">
        <v>5</v>
      </c>
      <c r="D181" t="s">
        <v>764</v>
      </c>
      <c r="E181">
        <v>1</v>
      </c>
      <c r="F181">
        <v>4</v>
      </c>
      <c r="G181" t="s">
        <v>247</v>
      </c>
      <c r="H181" t="s">
        <v>247</v>
      </c>
      <c r="I181" t="s">
        <v>666</v>
      </c>
      <c r="J181" t="s">
        <v>773</v>
      </c>
      <c r="L181">
        <v>25</v>
      </c>
      <c r="M181">
        <v>6</v>
      </c>
    </row>
    <row r="182" spans="1:13" x14ac:dyDescent="0.25">
      <c r="A182" t="s">
        <v>774</v>
      </c>
      <c r="B182">
        <v>64</v>
      </c>
      <c r="C182">
        <v>1</v>
      </c>
      <c r="D182" t="s">
        <v>775</v>
      </c>
      <c r="E182">
        <v>1</v>
      </c>
      <c r="F182">
        <v>3</v>
      </c>
      <c r="G182" t="s">
        <v>247</v>
      </c>
      <c r="H182" t="s">
        <v>247</v>
      </c>
      <c r="I182" t="s">
        <v>666</v>
      </c>
      <c r="J182" t="s">
        <v>776</v>
      </c>
      <c r="L182">
        <v>16</v>
      </c>
      <c r="M182">
        <v>32</v>
      </c>
    </row>
    <row r="183" spans="1:13" x14ac:dyDescent="0.25">
      <c r="A183" t="s">
        <v>777</v>
      </c>
      <c r="B183">
        <v>64</v>
      </c>
      <c r="C183">
        <v>2</v>
      </c>
      <c r="D183" t="s">
        <v>775</v>
      </c>
      <c r="E183">
        <v>1</v>
      </c>
      <c r="F183">
        <v>3</v>
      </c>
      <c r="G183" t="s">
        <v>247</v>
      </c>
      <c r="H183" t="s">
        <v>247</v>
      </c>
      <c r="I183" t="s">
        <v>603</v>
      </c>
      <c r="J183" t="s">
        <v>778</v>
      </c>
      <c r="L183">
        <v>26.5</v>
      </c>
      <c r="M183">
        <v>28.5</v>
      </c>
    </row>
    <row r="184" spans="1:13" x14ac:dyDescent="0.25">
      <c r="A184" t="s">
        <v>779</v>
      </c>
      <c r="B184">
        <v>64</v>
      </c>
      <c r="C184">
        <v>3</v>
      </c>
      <c r="D184" t="s">
        <v>775</v>
      </c>
      <c r="E184">
        <v>1</v>
      </c>
      <c r="F184">
        <v>3</v>
      </c>
      <c r="G184" t="s">
        <v>247</v>
      </c>
      <c r="H184" t="s">
        <v>290</v>
      </c>
      <c r="I184" t="s">
        <v>603</v>
      </c>
      <c r="J184" t="s">
        <v>780</v>
      </c>
      <c r="K184" t="s">
        <v>781</v>
      </c>
      <c r="L184">
        <v>23</v>
      </c>
      <c r="M184">
        <v>30</v>
      </c>
    </row>
    <row r="185" spans="1:13" x14ac:dyDescent="0.25">
      <c r="A185" t="s">
        <v>782</v>
      </c>
      <c r="B185">
        <v>64</v>
      </c>
      <c r="C185">
        <v>4</v>
      </c>
      <c r="D185" t="s">
        <v>775</v>
      </c>
      <c r="E185">
        <v>1</v>
      </c>
      <c r="F185">
        <v>3</v>
      </c>
      <c r="G185" t="s">
        <v>253</v>
      </c>
      <c r="I185" t="s">
        <v>783</v>
      </c>
      <c r="J185" t="s">
        <v>776</v>
      </c>
    </row>
    <row r="186" spans="1:13" x14ac:dyDescent="0.25">
      <c r="A186" t="s">
        <v>784</v>
      </c>
      <c r="B186">
        <v>65</v>
      </c>
      <c r="C186">
        <v>1</v>
      </c>
      <c r="D186" t="s">
        <v>785</v>
      </c>
      <c r="E186">
        <v>57</v>
      </c>
      <c r="F186">
        <v>2</v>
      </c>
      <c r="G186" t="s">
        <v>253</v>
      </c>
      <c r="I186" t="s">
        <v>786</v>
      </c>
      <c r="J186" t="s">
        <v>787</v>
      </c>
    </row>
    <row r="187" spans="1:13" x14ac:dyDescent="0.25">
      <c r="A187" t="s">
        <v>788</v>
      </c>
      <c r="B187">
        <v>66</v>
      </c>
      <c r="C187">
        <v>1</v>
      </c>
      <c r="D187" t="s">
        <v>789</v>
      </c>
      <c r="E187">
        <v>57</v>
      </c>
      <c r="F187">
        <v>2</v>
      </c>
      <c r="G187" t="s">
        <v>253</v>
      </c>
      <c r="I187" t="s">
        <v>786</v>
      </c>
      <c r="J187" t="s">
        <v>790</v>
      </c>
    </row>
    <row r="188" spans="1:13" x14ac:dyDescent="0.25">
      <c r="A188" t="s">
        <v>791</v>
      </c>
      <c r="B188">
        <v>67</v>
      </c>
      <c r="C188">
        <v>1</v>
      </c>
      <c r="D188" t="s">
        <v>792</v>
      </c>
      <c r="E188">
        <v>59</v>
      </c>
      <c r="F188">
        <v>4</v>
      </c>
      <c r="G188" t="s">
        <v>253</v>
      </c>
      <c r="I188" t="s">
        <v>717</v>
      </c>
      <c r="J188" t="s">
        <v>793</v>
      </c>
    </row>
    <row r="189" spans="1:13" x14ac:dyDescent="0.25">
      <c r="A189" t="s">
        <v>794</v>
      </c>
      <c r="B189">
        <v>68</v>
      </c>
      <c r="C189">
        <v>1</v>
      </c>
      <c r="D189" t="s">
        <v>795</v>
      </c>
      <c r="E189">
        <v>60</v>
      </c>
      <c r="F189">
        <v>2</v>
      </c>
      <c r="G189" t="s">
        <v>247</v>
      </c>
      <c r="H189" t="s">
        <v>290</v>
      </c>
      <c r="I189" t="s">
        <v>603</v>
      </c>
      <c r="J189" t="s">
        <v>796</v>
      </c>
      <c r="K189" t="s">
        <v>797</v>
      </c>
    </row>
    <row r="190" spans="1:13" x14ac:dyDescent="0.25">
      <c r="A190" t="s">
        <v>798</v>
      </c>
      <c r="B190">
        <v>68</v>
      </c>
      <c r="C190">
        <v>2</v>
      </c>
      <c r="D190" t="s">
        <v>795</v>
      </c>
      <c r="E190">
        <v>60</v>
      </c>
      <c r="F190">
        <v>2</v>
      </c>
      <c r="G190" t="s">
        <v>247</v>
      </c>
      <c r="H190" t="s">
        <v>276</v>
      </c>
      <c r="I190" t="s">
        <v>799</v>
      </c>
      <c r="J190" t="s">
        <v>800</v>
      </c>
      <c r="K190" t="s">
        <v>331</v>
      </c>
    </row>
    <row r="191" spans="1:13" x14ac:dyDescent="0.25">
      <c r="A191" t="s">
        <v>801</v>
      </c>
      <c r="B191">
        <v>68</v>
      </c>
      <c r="C191">
        <v>3</v>
      </c>
      <c r="D191" t="s">
        <v>795</v>
      </c>
      <c r="E191">
        <v>60</v>
      </c>
      <c r="F191">
        <v>2</v>
      </c>
      <c r="G191" t="s">
        <v>253</v>
      </c>
      <c r="I191" t="s">
        <v>802</v>
      </c>
      <c r="J191" t="s">
        <v>803</v>
      </c>
    </row>
    <row r="192" spans="1:13" x14ac:dyDescent="0.25">
      <c r="A192" t="s">
        <v>804</v>
      </c>
      <c r="B192">
        <v>68</v>
      </c>
      <c r="C192">
        <v>4</v>
      </c>
      <c r="D192" t="s">
        <v>795</v>
      </c>
      <c r="E192">
        <v>60</v>
      </c>
      <c r="F192">
        <v>2</v>
      </c>
      <c r="G192" t="s">
        <v>253</v>
      </c>
      <c r="I192" t="s">
        <v>805</v>
      </c>
      <c r="J192" t="s">
        <v>806</v>
      </c>
    </row>
    <row r="193" spans="1:13" x14ac:dyDescent="0.25">
      <c r="A193" t="s">
        <v>807</v>
      </c>
      <c r="B193">
        <v>69</v>
      </c>
      <c r="C193">
        <v>1</v>
      </c>
      <c r="D193" t="s">
        <v>808</v>
      </c>
      <c r="E193">
        <v>60</v>
      </c>
      <c r="F193">
        <v>4</v>
      </c>
      <c r="G193" t="s">
        <v>260</v>
      </c>
      <c r="I193" t="s">
        <v>809</v>
      </c>
      <c r="J193" t="s">
        <v>810</v>
      </c>
    </row>
    <row r="194" spans="1:13" x14ac:dyDescent="0.25">
      <c r="A194" t="s">
        <v>811</v>
      </c>
      <c r="B194">
        <v>70</v>
      </c>
      <c r="C194">
        <v>1</v>
      </c>
      <c r="D194" t="s">
        <v>812</v>
      </c>
      <c r="E194">
        <v>50</v>
      </c>
      <c r="F194">
        <v>1</v>
      </c>
      <c r="G194" t="s">
        <v>253</v>
      </c>
      <c r="I194" t="s">
        <v>813</v>
      </c>
      <c r="J194" t="s">
        <v>814</v>
      </c>
    </row>
    <row r="195" spans="1:13" x14ac:dyDescent="0.25">
      <c r="A195" t="s">
        <v>815</v>
      </c>
      <c r="B195">
        <v>71</v>
      </c>
      <c r="C195">
        <v>1</v>
      </c>
      <c r="D195" t="s">
        <v>816</v>
      </c>
      <c r="E195">
        <v>50</v>
      </c>
      <c r="F195">
        <v>2</v>
      </c>
      <c r="G195" t="s">
        <v>373</v>
      </c>
      <c r="I195" t="s">
        <v>374</v>
      </c>
      <c r="J195" t="s">
        <v>817</v>
      </c>
      <c r="K195" t="s">
        <v>818</v>
      </c>
      <c r="L195">
        <v>12.5</v>
      </c>
      <c r="M195">
        <v>12.9</v>
      </c>
    </row>
    <row r="196" spans="1:13" x14ac:dyDescent="0.25">
      <c r="A196" t="s">
        <v>819</v>
      </c>
      <c r="B196">
        <v>72</v>
      </c>
      <c r="C196">
        <v>1</v>
      </c>
      <c r="D196" t="s">
        <v>820</v>
      </c>
      <c r="E196">
        <v>60</v>
      </c>
      <c r="F196">
        <v>4</v>
      </c>
      <c r="G196" t="s">
        <v>373</v>
      </c>
      <c r="I196" t="s">
        <v>374</v>
      </c>
      <c r="J196" t="s">
        <v>821</v>
      </c>
      <c r="K196" t="s">
        <v>822</v>
      </c>
      <c r="L196">
        <v>12.5</v>
      </c>
      <c r="M196">
        <v>12.9</v>
      </c>
    </row>
    <row r="197" spans="1:13" x14ac:dyDescent="0.25">
      <c r="A197" t="s">
        <v>823</v>
      </c>
      <c r="B197">
        <v>73</v>
      </c>
      <c r="C197">
        <v>1</v>
      </c>
      <c r="D197" t="s">
        <v>824</v>
      </c>
      <c r="E197">
        <v>1</v>
      </c>
      <c r="F197">
        <v>2</v>
      </c>
      <c r="G197" t="s">
        <v>253</v>
      </c>
      <c r="I197" t="s">
        <v>317</v>
      </c>
      <c r="J197" t="s">
        <v>825</v>
      </c>
    </row>
    <row r="198" spans="1:13" x14ac:dyDescent="0.25">
      <c r="A198" t="s">
        <v>826</v>
      </c>
      <c r="B198">
        <v>73</v>
      </c>
      <c r="C198">
        <v>2</v>
      </c>
      <c r="D198" t="s">
        <v>824</v>
      </c>
      <c r="E198">
        <v>1</v>
      </c>
      <c r="F198">
        <v>2</v>
      </c>
      <c r="G198" t="s">
        <v>247</v>
      </c>
      <c r="H198" t="s">
        <v>247</v>
      </c>
      <c r="I198" t="s">
        <v>666</v>
      </c>
      <c r="J198" t="s">
        <v>827</v>
      </c>
      <c r="K198" t="s">
        <v>828</v>
      </c>
      <c r="L198">
        <v>10</v>
      </c>
      <c r="M198">
        <v>17</v>
      </c>
    </row>
    <row r="199" spans="1:13" x14ac:dyDescent="0.25">
      <c r="A199" t="s">
        <v>829</v>
      </c>
      <c r="B199">
        <v>74</v>
      </c>
      <c r="C199">
        <v>1</v>
      </c>
      <c r="D199" t="s">
        <v>830</v>
      </c>
      <c r="E199">
        <v>1</v>
      </c>
      <c r="F199">
        <v>3</v>
      </c>
      <c r="G199" t="s">
        <v>247</v>
      </c>
      <c r="H199" t="s">
        <v>247</v>
      </c>
      <c r="I199" t="s">
        <v>831</v>
      </c>
      <c r="J199" t="s">
        <v>832</v>
      </c>
      <c r="L199">
        <v>24</v>
      </c>
      <c r="M199">
        <v>29</v>
      </c>
    </row>
    <row r="200" spans="1:13" x14ac:dyDescent="0.25">
      <c r="A200" t="s">
        <v>833</v>
      </c>
      <c r="B200">
        <v>75</v>
      </c>
      <c r="C200">
        <v>1</v>
      </c>
      <c r="D200" t="s">
        <v>834</v>
      </c>
      <c r="E200">
        <v>50</v>
      </c>
      <c r="F200">
        <v>1</v>
      </c>
      <c r="G200" t="s">
        <v>247</v>
      </c>
      <c r="H200" t="s">
        <v>276</v>
      </c>
      <c r="I200" t="s">
        <v>637</v>
      </c>
      <c r="J200" t="s">
        <v>835</v>
      </c>
      <c r="K200" t="s">
        <v>279</v>
      </c>
    </row>
    <row r="201" spans="1:13" x14ac:dyDescent="0.25">
      <c r="A201" t="s">
        <v>836</v>
      </c>
      <c r="B201">
        <v>75</v>
      </c>
      <c r="C201">
        <v>2</v>
      </c>
      <c r="D201" t="s">
        <v>834</v>
      </c>
      <c r="E201">
        <v>50</v>
      </c>
      <c r="F201">
        <v>1</v>
      </c>
      <c r="G201" t="s">
        <v>247</v>
      </c>
      <c r="H201" t="s">
        <v>276</v>
      </c>
      <c r="I201" t="s">
        <v>837</v>
      </c>
      <c r="J201" t="s">
        <v>838</v>
      </c>
      <c r="K201" t="s">
        <v>279</v>
      </c>
    </row>
    <row r="202" spans="1:13" x14ac:dyDescent="0.25">
      <c r="A202" t="s">
        <v>839</v>
      </c>
      <c r="B202">
        <v>75</v>
      </c>
      <c r="C202">
        <v>3</v>
      </c>
      <c r="D202" t="s">
        <v>834</v>
      </c>
      <c r="E202">
        <v>50</v>
      </c>
      <c r="F202">
        <v>1</v>
      </c>
      <c r="G202" t="s">
        <v>253</v>
      </c>
      <c r="I202" t="s">
        <v>317</v>
      </c>
      <c r="J202" t="s">
        <v>840</v>
      </c>
    </row>
    <row r="203" spans="1:13" x14ac:dyDescent="0.25">
      <c r="A203" t="s">
        <v>841</v>
      </c>
      <c r="B203">
        <v>75</v>
      </c>
      <c r="C203">
        <v>4</v>
      </c>
      <c r="D203" t="s">
        <v>834</v>
      </c>
      <c r="E203">
        <v>50</v>
      </c>
      <c r="F203">
        <v>1</v>
      </c>
      <c r="G203" t="s">
        <v>260</v>
      </c>
      <c r="I203" t="s">
        <v>842</v>
      </c>
      <c r="J203" t="s">
        <v>843</v>
      </c>
    </row>
    <row r="204" spans="1:13" x14ac:dyDescent="0.25">
      <c r="A204" t="s">
        <v>844</v>
      </c>
      <c r="B204">
        <v>75</v>
      </c>
      <c r="C204">
        <v>5</v>
      </c>
      <c r="D204" t="s">
        <v>834</v>
      </c>
      <c r="E204">
        <v>50</v>
      </c>
      <c r="F204">
        <v>1</v>
      </c>
      <c r="G204" t="s">
        <v>260</v>
      </c>
      <c r="I204" t="s">
        <v>845</v>
      </c>
      <c r="J204" t="s">
        <v>846</v>
      </c>
    </row>
    <row r="205" spans="1:13" x14ac:dyDescent="0.25">
      <c r="A205" t="s">
        <v>847</v>
      </c>
      <c r="B205">
        <v>75</v>
      </c>
      <c r="C205">
        <v>6</v>
      </c>
      <c r="D205" t="s">
        <v>834</v>
      </c>
      <c r="E205">
        <v>50</v>
      </c>
      <c r="F205">
        <v>1</v>
      </c>
      <c r="G205" t="s">
        <v>260</v>
      </c>
      <c r="I205" t="s">
        <v>848</v>
      </c>
      <c r="J205" t="s">
        <v>849</v>
      </c>
    </row>
    <row r="206" spans="1:13" x14ac:dyDescent="0.25">
      <c r="A206" t="s">
        <v>850</v>
      </c>
      <c r="B206">
        <v>75</v>
      </c>
      <c r="C206">
        <v>7</v>
      </c>
      <c r="D206" t="s">
        <v>834</v>
      </c>
      <c r="E206">
        <v>50</v>
      </c>
      <c r="F206">
        <v>1</v>
      </c>
      <c r="G206" t="s">
        <v>253</v>
      </c>
      <c r="I206" t="s">
        <v>851</v>
      </c>
      <c r="J206" t="s">
        <v>852</v>
      </c>
    </row>
    <row r="207" spans="1:13" x14ac:dyDescent="0.25">
      <c r="A207" t="s">
        <v>853</v>
      </c>
      <c r="B207">
        <v>76</v>
      </c>
      <c r="C207">
        <v>1</v>
      </c>
      <c r="D207" t="s">
        <v>854</v>
      </c>
      <c r="E207">
        <v>60</v>
      </c>
      <c r="F207">
        <v>3</v>
      </c>
      <c r="G207" t="s">
        <v>253</v>
      </c>
      <c r="I207" t="s">
        <v>504</v>
      </c>
      <c r="J207" t="s">
        <v>855</v>
      </c>
    </row>
    <row r="208" spans="1:13" x14ac:dyDescent="0.25">
      <c r="A208" t="s">
        <v>856</v>
      </c>
      <c r="B208">
        <v>76</v>
      </c>
      <c r="C208">
        <v>2</v>
      </c>
      <c r="D208" t="s">
        <v>854</v>
      </c>
      <c r="E208">
        <v>60</v>
      </c>
      <c r="F208">
        <v>3</v>
      </c>
      <c r="G208" t="s">
        <v>10583</v>
      </c>
      <c r="I208" t="s">
        <v>750</v>
      </c>
      <c r="J208" t="s">
        <v>857</v>
      </c>
      <c r="K208" t="s">
        <v>752</v>
      </c>
    </row>
    <row r="209" spans="1:13" x14ac:dyDescent="0.25">
      <c r="A209" t="s">
        <v>858</v>
      </c>
      <c r="B209">
        <v>77</v>
      </c>
      <c r="C209">
        <v>1</v>
      </c>
      <c r="D209" t="s">
        <v>859</v>
      </c>
      <c r="E209">
        <v>60</v>
      </c>
      <c r="F209">
        <v>4</v>
      </c>
      <c r="G209" t="s">
        <v>253</v>
      </c>
      <c r="I209" t="s">
        <v>860</v>
      </c>
      <c r="J209" t="s">
        <v>861</v>
      </c>
    </row>
    <row r="210" spans="1:13" x14ac:dyDescent="0.25">
      <c r="A210" t="s">
        <v>862</v>
      </c>
      <c r="B210">
        <v>78</v>
      </c>
      <c r="C210">
        <v>1</v>
      </c>
      <c r="D210" t="s">
        <v>863</v>
      </c>
      <c r="E210">
        <v>53</v>
      </c>
      <c r="F210">
        <v>5</v>
      </c>
      <c r="G210" t="s">
        <v>265</v>
      </c>
      <c r="I210" t="s">
        <v>864</v>
      </c>
      <c r="J210" t="s">
        <v>865</v>
      </c>
    </row>
    <row r="211" spans="1:13" x14ac:dyDescent="0.25">
      <c r="A211" t="s">
        <v>866</v>
      </c>
      <c r="B211">
        <v>79</v>
      </c>
      <c r="C211">
        <v>1</v>
      </c>
      <c r="D211" t="s">
        <v>867</v>
      </c>
      <c r="E211">
        <v>60</v>
      </c>
      <c r="F211">
        <v>5</v>
      </c>
      <c r="G211" t="s">
        <v>265</v>
      </c>
      <c r="I211" t="s">
        <v>868</v>
      </c>
      <c r="J211" t="s">
        <v>869</v>
      </c>
    </row>
    <row r="212" spans="1:13" x14ac:dyDescent="0.25">
      <c r="A212" t="s">
        <v>870</v>
      </c>
      <c r="B212">
        <v>80</v>
      </c>
      <c r="C212">
        <v>1</v>
      </c>
      <c r="D212" t="s">
        <v>871</v>
      </c>
      <c r="E212">
        <v>60</v>
      </c>
      <c r="F212">
        <v>5</v>
      </c>
      <c r="G212" t="s">
        <v>260</v>
      </c>
      <c r="I212" t="s">
        <v>618</v>
      </c>
      <c r="J212" t="s">
        <v>872</v>
      </c>
    </row>
    <row r="213" spans="1:13" x14ac:dyDescent="0.25">
      <c r="A213" t="s">
        <v>873</v>
      </c>
      <c r="B213">
        <v>81</v>
      </c>
      <c r="C213">
        <v>1</v>
      </c>
      <c r="D213" t="s">
        <v>874</v>
      </c>
      <c r="E213">
        <v>1</v>
      </c>
      <c r="F213">
        <v>1</v>
      </c>
      <c r="G213" t="s">
        <v>247</v>
      </c>
      <c r="H213" t="s">
        <v>290</v>
      </c>
      <c r="I213" t="s">
        <v>799</v>
      </c>
      <c r="J213" t="s">
        <v>875</v>
      </c>
      <c r="K213" t="s">
        <v>876</v>
      </c>
    </row>
    <row r="214" spans="1:13" x14ac:dyDescent="0.25">
      <c r="A214" t="s">
        <v>877</v>
      </c>
      <c r="B214">
        <v>81</v>
      </c>
      <c r="C214">
        <v>2</v>
      </c>
      <c r="D214" t="s">
        <v>874</v>
      </c>
      <c r="E214">
        <v>1</v>
      </c>
      <c r="F214">
        <v>1</v>
      </c>
      <c r="G214" t="s">
        <v>247</v>
      </c>
      <c r="H214" t="s">
        <v>247</v>
      </c>
      <c r="I214" t="s">
        <v>799</v>
      </c>
      <c r="J214" t="s">
        <v>878</v>
      </c>
      <c r="L214">
        <v>28</v>
      </c>
      <c r="M214">
        <v>6</v>
      </c>
    </row>
    <row r="215" spans="1:13" x14ac:dyDescent="0.25">
      <c r="A215" t="s">
        <v>879</v>
      </c>
      <c r="B215">
        <v>81</v>
      </c>
      <c r="C215">
        <v>3</v>
      </c>
      <c r="D215" t="s">
        <v>874</v>
      </c>
      <c r="E215">
        <v>1</v>
      </c>
      <c r="F215">
        <v>1</v>
      </c>
      <c r="G215" t="s">
        <v>247</v>
      </c>
      <c r="H215" t="s">
        <v>276</v>
      </c>
      <c r="I215" t="s">
        <v>799</v>
      </c>
      <c r="J215" t="s">
        <v>880</v>
      </c>
      <c r="K215" t="s">
        <v>312</v>
      </c>
    </row>
    <row r="216" spans="1:13" x14ac:dyDescent="0.25">
      <c r="A216" t="s">
        <v>881</v>
      </c>
      <c r="B216">
        <v>82</v>
      </c>
      <c r="C216">
        <v>1</v>
      </c>
      <c r="D216" t="s">
        <v>882</v>
      </c>
      <c r="E216">
        <v>1</v>
      </c>
      <c r="F216">
        <v>2</v>
      </c>
      <c r="G216" t="s">
        <v>247</v>
      </c>
      <c r="H216" t="s">
        <v>290</v>
      </c>
      <c r="I216" t="s">
        <v>799</v>
      </c>
      <c r="J216" t="s">
        <v>875</v>
      </c>
      <c r="K216" t="s">
        <v>876</v>
      </c>
    </row>
    <row r="217" spans="1:13" x14ac:dyDescent="0.25">
      <c r="A217" t="s">
        <v>883</v>
      </c>
      <c r="B217">
        <v>82</v>
      </c>
      <c r="C217">
        <v>2</v>
      </c>
      <c r="D217" t="s">
        <v>882</v>
      </c>
      <c r="E217">
        <v>1</v>
      </c>
      <c r="F217">
        <v>2</v>
      </c>
      <c r="G217" t="s">
        <v>247</v>
      </c>
      <c r="H217" t="s">
        <v>247</v>
      </c>
      <c r="I217" t="s">
        <v>799</v>
      </c>
      <c r="J217" t="s">
        <v>878</v>
      </c>
      <c r="L217">
        <v>28</v>
      </c>
      <c r="M217">
        <v>6</v>
      </c>
    </row>
    <row r="218" spans="1:13" x14ac:dyDescent="0.25">
      <c r="A218" t="s">
        <v>884</v>
      </c>
      <c r="B218">
        <v>82</v>
      </c>
      <c r="C218">
        <v>3</v>
      </c>
      <c r="D218" t="s">
        <v>882</v>
      </c>
      <c r="E218">
        <v>1</v>
      </c>
      <c r="F218">
        <v>2</v>
      </c>
      <c r="G218" t="s">
        <v>247</v>
      </c>
      <c r="H218" t="s">
        <v>276</v>
      </c>
      <c r="I218" t="s">
        <v>799</v>
      </c>
      <c r="J218" t="s">
        <v>880</v>
      </c>
      <c r="K218" t="s">
        <v>312</v>
      </c>
    </row>
    <row r="219" spans="1:13" x14ac:dyDescent="0.25">
      <c r="A219" t="s">
        <v>885</v>
      </c>
      <c r="B219">
        <v>83</v>
      </c>
      <c r="C219">
        <v>1</v>
      </c>
      <c r="D219" t="s">
        <v>886</v>
      </c>
      <c r="E219">
        <v>70</v>
      </c>
      <c r="F219">
        <v>3</v>
      </c>
      <c r="G219" t="s">
        <v>253</v>
      </c>
      <c r="I219" t="s">
        <v>887</v>
      </c>
      <c r="J219" t="s">
        <v>888</v>
      </c>
    </row>
    <row r="220" spans="1:13" x14ac:dyDescent="0.25">
      <c r="A220" t="s">
        <v>889</v>
      </c>
      <c r="B220">
        <v>84</v>
      </c>
      <c r="C220">
        <v>1</v>
      </c>
      <c r="D220" t="s">
        <v>890</v>
      </c>
      <c r="E220">
        <v>70</v>
      </c>
      <c r="F220">
        <v>4</v>
      </c>
      <c r="G220" t="s">
        <v>253</v>
      </c>
      <c r="I220" t="s">
        <v>891</v>
      </c>
      <c r="J220" t="s">
        <v>892</v>
      </c>
    </row>
    <row r="221" spans="1:13" x14ac:dyDescent="0.25">
      <c r="A221" t="s">
        <v>893</v>
      </c>
      <c r="B221">
        <v>85</v>
      </c>
      <c r="C221">
        <v>1</v>
      </c>
      <c r="D221" t="s">
        <v>894</v>
      </c>
      <c r="E221">
        <v>67</v>
      </c>
      <c r="F221">
        <v>2</v>
      </c>
      <c r="G221" t="s">
        <v>265</v>
      </c>
      <c r="I221" t="s">
        <v>895</v>
      </c>
      <c r="J221" t="s">
        <v>896</v>
      </c>
    </row>
    <row r="222" spans="1:13" x14ac:dyDescent="0.25">
      <c r="A222" t="s">
        <v>897</v>
      </c>
      <c r="B222">
        <v>86</v>
      </c>
      <c r="C222">
        <v>1</v>
      </c>
      <c r="D222" t="s">
        <v>898</v>
      </c>
      <c r="E222">
        <v>70</v>
      </c>
      <c r="F222">
        <v>2</v>
      </c>
      <c r="G222" t="s">
        <v>260</v>
      </c>
      <c r="I222" t="s">
        <v>899</v>
      </c>
      <c r="J222" t="s">
        <v>900</v>
      </c>
    </row>
    <row r="223" spans="1:13" x14ac:dyDescent="0.25">
      <c r="A223" t="s">
        <v>901</v>
      </c>
      <c r="B223">
        <v>87</v>
      </c>
      <c r="C223">
        <v>1</v>
      </c>
      <c r="D223" t="s">
        <v>902</v>
      </c>
      <c r="E223">
        <v>70</v>
      </c>
      <c r="F223">
        <v>1</v>
      </c>
      <c r="G223" t="s">
        <v>253</v>
      </c>
      <c r="I223" t="s">
        <v>851</v>
      </c>
      <c r="J223" t="s">
        <v>903</v>
      </c>
    </row>
    <row r="224" spans="1:13" x14ac:dyDescent="0.25">
      <c r="A224" t="s">
        <v>904</v>
      </c>
      <c r="B224">
        <v>87</v>
      </c>
      <c r="C224">
        <v>2</v>
      </c>
      <c r="D224" t="s">
        <v>902</v>
      </c>
      <c r="E224">
        <v>70</v>
      </c>
      <c r="F224">
        <v>1</v>
      </c>
      <c r="G224" t="s">
        <v>247</v>
      </c>
      <c r="H224" t="s">
        <v>276</v>
      </c>
      <c r="I224" t="s">
        <v>329</v>
      </c>
      <c r="J224" t="s">
        <v>905</v>
      </c>
      <c r="K224" t="s">
        <v>279</v>
      </c>
    </row>
    <row r="225" spans="1:13" x14ac:dyDescent="0.25">
      <c r="A225" t="s">
        <v>906</v>
      </c>
      <c r="B225">
        <v>88</v>
      </c>
      <c r="C225">
        <v>1</v>
      </c>
      <c r="D225" t="s">
        <v>907</v>
      </c>
      <c r="E225">
        <v>70</v>
      </c>
      <c r="F225">
        <v>3</v>
      </c>
      <c r="G225" t="s">
        <v>373</v>
      </c>
      <c r="I225" t="s">
        <v>374</v>
      </c>
      <c r="J225" t="s">
        <v>908</v>
      </c>
      <c r="K225" t="s">
        <v>909</v>
      </c>
      <c r="L225">
        <v>12.5</v>
      </c>
      <c r="M225">
        <v>12.9</v>
      </c>
    </row>
    <row r="226" spans="1:13" x14ac:dyDescent="0.25">
      <c r="A226" t="s">
        <v>910</v>
      </c>
      <c r="B226">
        <v>89</v>
      </c>
      <c r="C226">
        <v>1</v>
      </c>
      <c r="D226" t="s">
        <v>911</v>
      </c>
      <c r="E226">
        <v>70</v>
      </c>
      <c r="F226">
        <v>4</v>
      </c>
      <c r="G226" t="s">
        <v>253</v>
      </c>
      <c r="I226" t="s">
        <v>912</v>
      </c>
      <c r="J226" t="s">
        <v>913</v>
      </c>
    </row>
    <row r="227" spans="1:13" x14ac:dyDescent="0.25">
      <c r="A227" t="s">
        <v>914</v>
      </c>
      <c r="B227">
        <v>90</v>
      </c>
      <c r="C227">
        <v>1</v>
      </c>
      <c r="D227" t="s">
        <v>915</v>
      </c>
      <c r="E227">
        <v>70</v>
      </c>
      <c r="F227">
        <v>2</v>
      </c>
      <c r="G227" t="s">
        <v>253</v>
      </c>
      <c r="I227" t="s">
        <v>916</v>
      </c>
      <c r="J227" t="s">
        <v>917</v>
      </c>
    </row>
    <row r="228" spans="1:13" x14ac:dyDescent="0.25">
      <c r="A228" t="s">
        <v>918</v>
      </c>
      <c r="B228">
        <v>91</v>
      </c>
      <c r="C228">
        <v>1</v>
      </c>
      <c r="D228" t="s">
        <v>919</v>
      </c>
      <c r="E228">
        <v>1</v>
      </c>
      <c r="F228">
        <v>2</v>
      </c>
      <c r="G228" t="s">
        <v>247</v>
      </c>
      <c r="H228" t="s">
        <v>247</v>
      </c>
      <c r="I228" t="s">
        <v>389</v>
      </c>
      <c r="J228" t="s">
        <v>920</v>
      </c>
      <c r="L228">
        <v>8.9</v>
      </c>
      <c r="M228">
        <v>21.4</v>
      </c>
    </row>
    <row r="229" spans="1:13" x14ac:dyDescent="0.25">
      <c r="A229" t="s">
        <v>921</v>
      </c>
      <c r="B229">
        <v>91</v>
      </c>
      <c r="C229">
        <v>2</v>
      </c>
      <c r="D229" t="s">
        <v>919</v>
      </c>
      <c r="E229">
        <v>1</v>
      </c>
      <c r="F229">
        <v>2</v>
      </c>
      <c r="G229" t="s">
        <v>253</v>
      </c>
      <c r="I229" t="s">
        <v>916</v>
      </c>
      <c r="J229" t="s">
        <v>922</v>
      </c>
    </row>
    <row r="230" spans="1:13" x14ac:dyDescent="0.25">
      <c r="A230" t="s">
        <v>923</v>
      </c>
      <c r="B230">
        <v>92</v>
      </c>
      <c r="C230">
        <v>1</v>
      </c>
      <c r="D230" t="s">
        <v>924</v>
      </c>
      <c r="E230">
        <v>1</v>
      </c>
      <c r="F230">
        <v>1</v>
      </c>
      <c r="G230" t="s">
        <v>247</v>
      </c>
      <c r="H230" t="s">
        <v>247</v>
      </c>
      <c r="I230" t="s">
        <v>603</v>
      </c>
      <c r="J230" t="s">
        <v>925</v>
      </c>
      <c r="L230">
        <v>11</v>
      </c>
      <c r="M230">
        <v>25</v>
      </c>
    </row>
    <row r="231" spans="1:13" x14ac:dyDescent="0.25">
      <c r="A231" t="s">
        <v>926</v>
      </c>
      <c r="B231">
        <v>92</v>
      </c>
      <c r="C231">
        <v>2</v>
      </c>
      <c r="D231" t="s">
        <v>924</v>
      </c>
      <c r="E231">
        <v>1</v>
      </c>
      <c r="F231">
        <v>1</v>
      </c>
      <c r="G231" t="s">
        <v>247</v>
      </c>
      <c r="H231" t="s">
        <v>276</v>
      </c>
      <c r="I231" t="s">
        <v>603</v>
      </c>
      <c r="J231" t="s">
        <v>927</v>
      </c>
      <c r="K231" t="s">
        <v>312</v>
      </c>
    </row>
    <row r="232" spans="1:13" x14ac:dyDescent="0.25">
      <c r="A232" t="s">
        <v>928</v>
      </c>
      <c r="B232">
        <v>93</v>
      </c>
      <c r="C232">
        <v>1</v>
      </c>
      <c r="D232" t="s">
        <v>929</v>
      </c>
      <c r="E232">
        <v>70</v>
      </c>
      <c r="F232">
        <v>2</v>
      </c>
      <c r="G232" t="s">
        <v>260</v>
      </c>
      <c r="I232" t="s">
        <v>930</v>
      </c>
      <c r="J232" t="s">
        <v>931</v>
      </c>
    </row>
    <row r="233" spans="1:13" x14ac:dyDescent="0.25">
      <c r="A233" t="s">
        <v>932</v>
      </c>
      <c r="B233">
        <v>94</v>
      </c>
      <c r="C233">
        <v>1</v>
      </c>
      <c r="D233" t="s">
        <v>933</v>
      </c>
      <c r="E233">
        <v>70</v>
      </c>
      <c r="F233">
        <v>4</v>
      </c>
      <c r="G233" t="s">
        <v>260</v>
      </c>
      <c r="I233" t="s">
        <v>261</v>
      </c>
      <c r="J233" t="s">
        <v>262</v>
      </c>
    </row>
    <row r="234" spans="1:13" x14ac:dyDescent="0.25">
      <c r="A234" t="s">
        <v>934</v>
      </c>
      <c r="B234">
        <v>95</v>
      </c>
      <c r="C234">
        <v>1</v>
      </c>
      <c r="D234" t="s">
        <v>935</v>
      </c>
      <c r="E234">
        <v>1</v>
      </c>
      <c r="F234">
        <v>3</v>
      </c>
      <c r="G234" t="s">
        <v>373</v>
      </c>
      <c r="I234" t="s">
        <v>374</v>
      </c>
      <c r="J234" t="s">
        <v>936</v>
      </c>
      <c r="K234" t="s">
        <v>937</v>
      </c>
      <c r="L234">
        <v>12.5</v>
      </c>
      <c r="M234">
        <v>12.9</v>
      </c>
    </row>
    <row r="235" spans="1:13" x14ac:dyDescent="0.25">
      <c r="A235" t="s">
        <v>938</v>
      </c>
      <c r="B235">
        <v>96</v>
      </c>
      <c r="C235">
        <v>1</v>
      </c>
      <c r="D235" t="s">
        <v>939</v>
      </c>
      <c r="E235">
        <v>1</v>
      </c>
      <c r="F235">
        <v>1</v>
      </c>
      <c r="G235" t="s">
        <v>247</v>
      </c>
      <c r="H235" t="s">
        <v>247</v>
      </c>
      <c r="I235" t="s">
        <v>637</v>
      </c>
      <c r="J235" t="s">
        <v>940</v>
      </c>
      <c r="L235">
        <v>22</v>
      </c>
      <c r="M235">
        <v>22</v>
      </c>
    </row>
    <row r="236" spans="1:13" x14ac:dyDescent="0.25">
      <c r="A236" t="s">
        <v>941</v>
      </c>
      <c r="B236">
        <v>96</v>
      </c>
      <c r="C236">
        <v>2</v>
      </c>
      <c r="D236" t="s">
        <v>939</v>
      </c>
      <c r="E236">
        <v>1</v>
      </c>
      <c r="F236">
        <v>1</v>
      </c>
      <c r="G236" t="s">
        <v>247</v>
      </c>
      <c r="H236" t="s">
        <v>276</v>
      </c>
      <c r="I236" t="s">
        <v>637</v>
      </c>
      <c r="J236" t="s">
        <v>942</v>
      </c>
      <c r="K236" t="s">
        <v>279</v>
      </c>
    </row>
    <row r="237" spans="1:13" x14ac:dyDescent="0.25">
      <c r="A237" t="s">
        <v>943</v>
      </c>
      <c r="B237">
        <v>96</v>
      </c>
      <c r="C237">
        <v>3</v>
      </c>
      <c r="D237" t="s">
        <v>939</v>
      </c>
      <c r="E237">
        <v>1</v>
      </c>
      <c r="F237">
        <v>1</v>
      </c>
      <c r="G237" t="s">
        <v>247</v>
      </c>
      <c r="H237" t="s">
        <v>276</v>
      </c>
      <c r="I237" t="s">
        <v>944</v>
      </c>
      <c r="J237" t="s">
        <v>945</v>
      </c>
      <c r="K237" t="s">
        <v>279</v>
      </c>
    </row>
    <row r="238" spans="1:13" x14ac:dyDescent="0.25">
      <c r="A238" t="s">
        <v>946</v>
      </c>
      <c r="B238">
        <v>97</v>
      </c>
      <c r="C238">
        <v>1</v>
      </c>
      <c r="D238" t="s">
        <v>947</v>
      </c>
      <c r="E238">
        <v>70</v>
      </c>
      <c r="F238">
        <v>4</v>
      </c>
      <c r="G238" t="s">
        <v>253</v>
      </c>
      <c r="I238" t="s">
        <v>948</v>
      </c>
      <c r="J238" t="s">
        <v>949</v>
      </c>
    </row>
    <row r="239" spans="1:13" x14ac:dyDescent="0.25">
      <c r="A239" t="s">
        <v>950</v>
      </c>
      <c r="B239">
        <v>98</v>
      </c>
      <c r="C239">
        <v>1</v>
      </c>
      <c r="D239" t="s">
        <v>951</v>
      </c>
      <c r="E239">
        <v>70</v>
      </c>
      <c r="F239">
        <v>2</v>
      </c>
      <c r="G239" t="s">
        <v>253</v>
      </c>
      <c r="I239" t="s">
        <v>952</v>
      </c>
      <c r="J239" t="s">
        <v>953</v>
      </c>
    </row>
    <row r="240" spans="1:13" x14ac:dyDescent="0.25">
      <c r="A240" t="s">
        <v>954</v>
      </c>
      <c r="B240">
        <v>99</v>
      </c>
      <c r="C240">
        <v>1</v>
      </c>
      <c r="D240" t="s">
        <v>955</v>
      </c>
      <c r="E240">
        <v>1</v>
      </c>
      <c r="F240">
        <v>1</v>
      </c>
      <c r="G240" t="s">
        <v>247</v>
      </c>
      <c r="H240" t="s">
        <v>247</v>
      </c>
      <c r="I240" t="s">
        <v>956</v>
      </c>
      <c r="J240" t="s">
        <v>957</v>
      </c>
      <c r="L240">
        <v>37.5</v>
      </c>
      <c r="M240">
        <v>23.7</v>
      </c>
    </row>
    <row r="241" spans="1:13" x14ac:dyDescent="0.25">
      <c r="A241" t="s">
        <v>958</v>
      </c>
      <c r="B241">
        <v>100</v>
      </c>
      <c r="C241">
        <v>1</v>
      </c>
      <c r="D241" t="s">
        <v>959</v>
      </c>
      <c r="E241">
        <v>70</v>
      </c>
      <c r="F241">
        <v>3</v>
      </c>
      <c r="G241" t="s">
        <v>373</v>
      </c>
      <c r="I241" t="s">
        <v>374</v>
      </c>
      <c r="J241" t="s">
        <v>960</v>
      </c>
      <c r="K241" t="s">
        <v>937</v>
      </c>
      <c r="L241">
        <v>12.5</v>
      </c>
      <c r="M241">
        <v>12.9</v>
      </c>
    </row>
    <row r="242" spans="1:13" x14ac:dyDescent="0.25">
      <c r="A242" t="s">
        <v>961</v>
      </c>
      <c r="B242">
        <v>101</v>
      </c>
      <c r="C242">
        <v>1</v>
      </c>
      <c r="D242" t="s">
        <v>962</v>
      </c>
      <c r="E242">
        <v>70</v>
      </c>
      <c r="F242">
        <v>4</v>
      </c>
      <c r="G242" t="s">
        <v>260</v>
      </c>
      <c r="I242" t="s">
        <v>261</v>
      </c>
      <c r="J242" t="s">
        <v>262</v>
      </c>
    </row>
    <row r="243" spans="1:13" x14ac:dyDescent="0.25">
      <c r="A243" t="s">
        <v>963</v>
      </c>
      <c r="B243">
        <v>102</v>
      </c>
      <c r="C243">
        <v>1</v>
      </c>
      <c r="D243" t="s">
        <v>964</v>
      </c>
      <c r="E243">
        <v>70</v>
      </c>
      <c r="F243">
        <v>5</v>
      </c>
      <c r="G243" t="s">
        <v>253</v>
      </c>
      <c r="I243" t="s">
        <v>952</v>
      </c>
      <c r="J243" t="s">
        <v>965</v>
      </c>
    </row>
    <row r="244" spans="1:13" x14ac:dyDescent="0.25">
      <c r="A244" t="s">
        <v>966</v>
      </c>
      <c r="B244">
        <v>103</v>
      </c>
      <c r="C244">
        <v>1</v>
      </c>
      <c r="D244" t="s">
        <v>967</v>
      </c>
      <c r="E244">
        <v>70</v>
      </c>
      <c r="F244">
        <v>5</v>
      </c>
      <c r="G244" t="s">
        <v>265</v>
      </c>
      <c r="I244" t="s">
        <v>968</v>
      </c>
      <c r="J244" t="s">
        <v>969</v>
      </c>
    </row>
    <row r="245" spans="1:13" x14ac:dyDescent="0.25">
      <c r="A245" t="s">
        <v>970</v>
      </c>
      <c r="B245">
        <v>104</v>
      </c>
      <c r="C245">
        <v>1</v>
      </c>
      <c r="D245" t="s">
        <v>971</v>
      </c>
      <c r="E245">
        <v>70</v>
      </c>
      <c r="F245">
        <v>5</v>
      </c>
      <c r="G245" t="s">
        <v>265</v>
      </c>
      <c r="I245" t="s">
        <v>972</v>
      </c>
      <c r="J245" t="s">
        <v>973</v>
      </c>
    </row>
    <row r="246" spans="1:13" x14ac:dyDescent="0.25">
      <c r="A246" t="s">
        <v>974</v>
      </c>
      <c r="B246">
        <v>105</v>
      </c>
      <c r="C246">
        <v>1</v>
      </c>
      <c r="D246" t="s">
        <v>975</v>
      </c>
      <c r="E246">
        <v>1</v>
      </c>
      <c r="F246">
        <v>1</v>
      </c>
      <c r="G246" t="s">
        <v>247</v>
      </c>
      <c r="H246" t="s">
        <v>247</v>
      </c>
      <c r="I246" t="s">
        <v>976</v>
      </c>
      <c r="J246" t="s">
        <v>977</v>
      </c>
      <c r="L246">
        <v>37</v>
      </c>
      <c r="M246">
        <v>28</v>
      </c>
    </row>
    <row r="247" spans="1:13" x14ac:dyDescent="0.25">
      <c r="A247" t="s">
        <v>978</v>
      </c>
      <c r="B247">
        <v>105</v>
      </c>
      <c r="C247">
        <v>2</v>
      </c>
      <c r="D247" t="s">
        <v>975</v>
      </c>
      <c r="E247">
        <v>1</v>
      </c>
      <c r="F247">
        <v>1</v>
      </c>
      <c r="G247" t="s">
        <v>247</v>
      </c>
      <c r="H247" t="s">
        <v>247</v>
      </c>
      <c r="I247" t="s">
        <v>976</v>
      </c>
      <c r="J247" t="s">
        <v>979</v>
      </c>
      <c r="L247">
        <v>26</v>
      </c>
      <c r="M247">
        <v>10</v>
      </c>
    </row>
    <row r="248" spans="1:13" x14ac:dyDescent="0.25">
      <c r="A248" t="s">
        <v>980</v>
      </c>
      <c r="B248">
        <v>105</v>
      </c>
      <c r="C248">
        <v>3</v>
      </c>
      <c r="D248" t="s">
        <v>975</v>
      </c>
      <c r="E248">
        <v>1</v>
      </c>
      <c r="F248">
        <v>1</v>
      </c>
      <c r="G248" t="s">
        <v>247</v>
      </c>
      <c r="H248" t="s">
        <v>276</v>
      </c>
      <c r="I248" t="s">
        <v>976</v>
      </c>
      <c r="J248" t="s">
        <v>981</v>
      </c>
      <c r="K248" t="s">
        <v>279</v>
      </c>
    </row>
    <row r="249" spans="1:13" x14ac:dyDescent="0.25">
      <c r="A249" t="s">
        <v>982</v>
      </c>
      <c r="B249">
        <v>106</v>
      </c>
      <c r="C249">
        <v>1</v>
      </c>
      <c r="D249" t="s">
        <v>983</v>
      </c>
      <c r="E249">
        <v>77</v>
      </c>
      <c r="F249">
        <v>2</v>
      </c>
      <c r="G249" t="s">
        <v>253</v>
      </c>
      <c r="I249" t="s">
        <v>984</v>
      </c>
      <c r="J249" t="s">
        <v>985</v>
      </c>
    </row>
    <row r="250" spans="1:13" x14ac:dyDescent="0.25">
      <c r="A250" t="s">
        <v>986</v>
      </c>
      <c r="B250">
        <v>107</v>
      </c>
      <c r="C250">
        <v>1</v>
      </c>
      <c r="D250" t="s">
        <v>987</v>
      </c>
      <c r="E250">
        <v>1</v>
      </c>
      <c r="F250">
        <v>1</v>
      </c>
      <c r="G250" t="s">
        <v>247</v>
      </c>
      <c r="H250" t="s">
        <v>247</v>
      </c>
      <c r="I250" t="s">
        <v>988</v>
      </c>
      <c r="J250" t="s">
        <v>989</v>
      </c>
      <c r="L250">
        <v>17</v>
      </c>
      <c r="M250">
        <v>30</v>
      </c>
    </row>
    <row r="251" spans="1:13" x14ac:dyDescent="0.25">
      <c r="A251" t="s">
        <v>990</v>
      </c>
      <c r="B251">
        <v>107</v>
      </c>
      <c r="C251">
        <v>2</v>
      </c>
      <c r="D251" t="s">
        <v>987</v>
      </c>
      <c r="E251">
        <v>1</v>
      </c>
      <c r="F251">
        <v>1</v>
      </c>
      <c r="G251" t="s">
        <v>247</v>
      </c>
      <c r="H251" t="s">
        <v>276</v>
      </c>
      <c r="I251" t="s">
        <v>837</v>
      </c>
      <c r="J251" t="s">
        <v>991</v>
      </c>
      <c r="K251" t="s">
        <v>312</v>
      </c>
    </row>
    <row r="252" spans="1:13" x14ac:dyDescent="0.25">
      <c r="A252" t="s">
        <v>992</v>
      </c>
      <c r="B252">
        <v>108</v>
      </c>
      <c r="C252">
        <v>1</v>
      </c>
      <c r="D252" t="s">
        <v>993</v>
      </c>
      <c r="E252">
        <v>1</v>
      </c>
      <c r="F252">
        <v>1</v>
      </c>
      <c r="G252" t="s">
        <v>247</v>
      </c>
      <c r="H252" t="s">
        <v>247</v>
      </c>
      <c r="I252" t="s">
        <v>988</v>
      </c>
      <c r="J252" t="s">
        <v>994</v>
      </c>
      <c r="L252">
        <v>32.5</v>
      </c>
      <c r="M252">
        <v>9.5</v>
      </c>
    </row>
    <row r="253" spans="1:13" x14ac:dyDescent="0.25">
      <c r="A253" t="s">
        <v>995</v>
      </c>
      <c r="B253">
        <v>108</v>
      </c>
      <c r="C253">
        <v>2</v>
      </c>
      <c r="D253" t="s">
        <v>993</v>
      </c>
      <c r="E253">
        <v>1</v>
      </c>
      <c r="F253">
        <v>1</v>
      </c>
      <c r="G253" t="s">
        <v>253</v>
      </c>
      <c r="I253" t="s">
        <v>984</v>
      </c>
      <c r="J253" t="s">
        <v>996</v>
      </c>
    </row>
    <row r="254" spans="1:13" x14ac:dyDescent="0.25">
      <c r="A254" t="s">
        <v>997</v>
      </c>
      <c r="B254">
        <v>109</v>
      </c>
      <c r="C254">
        <v>1</v>
      </c>
      <c r="D254" t="s">
        <v>998</v>
      </c>
      <c r="E254">
        <v>80</v>
      </c>
      <c r="F254">
        <v>3</v>
      </c>
      <c r="G254" t="s">
        <v>373</v>
      </c>
      <c r="I254" t="s">
        <v>374</v>
      </c>
      <c r="J254" t="s">
        <v>999</v>
      </c>
      <c r="K254" t="s">
        <v>1000</v>
      </c>
      <c r="L254">
        <v>12.5</v>
      </c>
      <c r="M254">
        <v>12.9</v>
      </c>
    </row>
    <row r="255" spans="1:13" x14ac:dyDescent="0.25">
      <c r="A255" t="s">
        <v>1001</v>
      </c>
      <c r="B255">
        <v>110</v>
      </c>
      <c r="C255">
        <v>1</v>
      </c>
      <c r="D255" t="s">
        <v>1002</v>
      </c>
      <c r="E255">
        <v>80</v>
      </c>
      <c r="F255">
        <v>4</v>
      </c>
      <c r="G255" t="s">
        <v>253</v>
      </c>
      <c r="I255" t="s">
        <v>1003</v>
      </c>
      <c r="J255" t="s">
        <v>1004</v>
      </c>
    </row>
    <row r="256" spans="1:13" x14ac:dyDescent="0.25">
      <c r="A256" t="s">
        <v>1005</v>
      </c>
      <c r="B256">
        <v>111</v>
      </c>
      <c r="C256">
        <v>1</v>
      </c>
      <c r="D256" t="s">
        <v>1006</v>
      </c>
      <c r="E256">
        <v>80</v>
      </c>
      <c r="F256">
        <v>2</v>
      </c>
      <c r="G256" t="s">
        <v>253</v>
      </c>
      <c r="I256" t="s">
        <v>1007</v>
      </c>
      <c r="J256" t="s">
        <v>1008</v>
      </c>
    </row>
    <row r="257" spans="1:13" x14ac:dyDescent="0.25">
      <c r="A257" t="s">
        <v>1009</v>
      </c>
      <c r="B257">
        <v>112</v>
      </c>
      <c r="C257">
        <v>1</v>
      </c>
      <c r="D257" t="s">
        <v>1010</v>
      </c>
      <c r="E257">
        <v>80</v>
      </c>
      <c r="F257">
        <v>3</v>
      </c>
      <c r="G257" t="s">
        <v>253</v>
      </c>
      <c r="I257" t="s">
        <v>1011</v>
      </c>
      <c r="J257" t="s">
        <v>1012</v>
      </c>
    </row>
    <row r="258" spans="1:13" x14ac:dyDescent="0.25">
      <c r="A258" t="s">
        <v>1013</v>
      </c>
      <c r="B258">
        <v>113</v>
      </c>
      <c r="C258">
        <v>1</v>
      </c>
      <c r="D258" t="s">
        <v>1014</v>
      </c>
      <c r="E258">
        <v>80</v>
      </c>
      <c r="F258">
        <v>4</v>
      </c>
      <c r="G258" t="s">
        <v>265</v>
      </c>
      <c r="I258" t="s">
        <v>1015</v>
      </c>
      <c r="J258" t="s">
        <v>1016</v>
      </c>
    </row>
    <row r="259" spans="1:13" x14ac:dyDescent="0.25">
      <c r="A259" t="s">
        <v>1017</v>
      </c>
      <c r="B259">
        <v>114</v>
      </c>
      <c r="C259">
        <v>1</v>
      </c>
      <c r="D259" t="s">
        <v>1018</v>
      </c>
      <c r="E259">
        <v>73</v>
      </c>
      <c r="F259">
        <v>4</v>
      </c>
      <c r="G259" t="s">
        <v>265</v>
      </c>
      <c r="I259" t="s">
        <v>1019</v>
      </c>
      <c r="J259" t="s">
        <v>1020</v>
      </c>
    </row>
    <row r="260" spans="1:13" x14ac:dyDescent="0.25">
      <c r="A260" t="s">
        <v>1021</v>
      </c>
      <c r="B260">
        <v>115</v>
      </c>
      <c r="C260">
        <v>1</v>
      </c>
      <c r="D260" t="s">
        <v>1022</v>
      </c>
      <c r="E260">
        <v>80</v>
      </c>
      <c r="F260">
        <v>4</v>
      </c>
      <c r="G260" t="s">
        <v>260</v>
      </c>
      <c r="I260" t="s">
        <v>1023</v>
      </c>
      <c r="J260" t="s">
        <v>1024</v>
      </c>
    </row>
    <row r="261" spans="1:13" x14ac:dyDescent="0.25">
      <c r="A261" t="s">
        <v>1025</v>
      </c>
      <c r="B261">
        <v>116</v>
      </c>
      <c r="C261">
        <v>1</v>
      </c>
      <c r="D261" t="s">
        <v>1026</v>
      </c>
      <c r="E261">
        <v>79</v>
      </c>
      <c r="F261">
        <v>3</v>
      </c>
      <c r="G261" t="s">
        <v>253</v>
      </c>
      <c r="I261" t="s">
        <v>1027</v>
      </c>
      <c r="J261" t="s">
        <v>1028</v>
      </c>
    </row>
    <row r="262" spans="1:13" x14ac:dyDescent="0.25">
      <c r="A262" t="s">
        <v>1029</v>
      </c>
      <c r="B262">
        <v>117</v>
      </c>
      <c r="C262">
        <v>1</v>
      </c>
      <c r="D262" t="s">
        <v>1030</v>
      </c>
      <c r="E262">
        <v>1</v>
      </c>
      <c r="F262">
        <v>3</v>
      </c>
      <c r="G262" t="s">
        <v>373</v>
      </c>
      <c r="I262" t="s">
        <v>374</v>
      </c>
      <c r="J262" t="s">
        <v>1031</v>
      </c>
      <c r="K262" t="s">
        <v>1032</v>
      </c>
      <c r="L262">
        <v>12.5</v>
      </c>
      <c r="M262">
        <v>12.9</v>
      </c>
    </row>
    <row r="263" spans="1:13" x14ac:dyDescent="0.25">
      <c r="A263" t="s">
        <v>1033</v>
      </c>
      <c r="B263">
        <v>117</v>
      </c>
      <c r="C263">
        <v>2</v>
      </c>
      <c r="D263" t="s">
        <v>1030</v>
      </c>
      <c r="E263">
        <v>1</v>
      </c>
      <c r="F263">
        <v>3</v>
      </c>
      <c r="G263" t="s">
        <v>265</v>
      </c>
      <c r="I263" t="s">
        <v>1034</v>
      </c>
      <c r="J263" t="s">
        <v>1035</v>
      </c>
    </row>
    <row r="264" spans="1:13" x14ac:dyDescent="0.25">
      <c r="A264" t="s">
        <v>1036</v>
      </c>
      <c r="B264">
        <v>118</v>
      </c>
      <c r="C264">
        <v>1</v>
      </c>
      <c r="D264" t="s">
        <v>1037</v>
      </c>
      <c r="E264">
        <v>79</v>
      </c>
      <c r="F264">
        <v>3</v>
      </c>
      <c r="G264" t="s">
        <v>265</v>
      </c>
      <c r="I264" t="s">
        <v>1038</v>
      </c>
      <c r="J264" t="s">
        <v>1039</v>
      </c>
    </row>
    <row r="265" spans="1:13" x14ac:dyDescent="0.25">
      <c r="A265" t="s">
        <v>1040</v>
      </c>
      <c r="B265">
        <v>119</v>
      </c>
      <c r="C265">
        <v>1</v>
      </c>
      <c r="D265" t="s">
        <v>1041</v>
      </c>
      <c r="E265">
        <v>80</v>
      </c>
      <c r="F265">
        <v>3</v>
      </c>
      <c r="G265" t="s">
        <v>260</v>
      </c>
      <c r="I265" t="s">
        <v>1042</v>
      </c>
      <c r="J265" t="s">
        <v>1043</v>
      </c>
    </row>
    <row r="266" spans="1:13" x14ac:dyDescent="0.25">
      <c r="A266" t="s">
        <v>1044</v>
      </c>
      <c r="B266">
        <v>120</v>
      </c>
      <c r="C266">
        <v>1</v>
      </c>
      <c r="D266" t="s">
        <v>1045</v>
      </c>
      <c r="E266">
        <v>73</v>
      </c>
      <c r="F266">
        <v>2</v>
      </c>
      <c r="G266" t="s">
        <v>253</v>
      </c>
      <c r="I266" t="s">
        <v>1046</v>
      </c>
      <c r="J266" t="s">
        <v>1047</v>
      </c>
    </row>
    <row r="267" spans="1:13" x14ac:dyDescent="0.25">
      <c r="A267" t="s">
        <v>1048</v>
      </c>
      <c r="B267">
        <v>121</v>
      </c>
      <c r="C267">
        <v>1</v>
      </c>
      <c r="D267" t="s">
        <v>1049</v>
      </c>
      <c r="E267">
        <v>80</v>
      </c>
      <c r="F267">
        <v>3</v>
      </c>
      <c r="G267" t="s">
        <v>253</v>
      </c>
      <c r="I267" t="s">
        <v>1011</v>
      </c>
      <c r="J267" t="s">
        <v>1050</v>
      </c>
    </row>
    <row r="268" spans="1:13" x14ac:dyDescent="0.25">
      <c r="A268" t="s">
        <v>1051</v>
      </c>
      <c r="B268">
        <v>122</v>
      </c>
      <c r="C268">
        <v>1</v>
      </c>
      <c r="D268" t="s">
        <v>1052</v>
      </c>
      <c r="E268">
        <v>80</v>
      </c>
      <c r="F268">
        <v>5</v>
      </c>
      <c r="G268" t="s">
        <v>253</v>
      </c>
      <c r="I268" t="s">
        <v>1007</v>
      </c>
      <c r="J268" t="s">
        <v>1053</v>
      </c>
    </row>
    <row r="269" spans="1:13" x14ac:dyDescent="0.25">
      <c r="A269" t="s">
        <v>1054</v>
      </c>
      <c r="B269">
        <v>123</v>
      </c>
      <c r="C269">
        <v>1</v>
      </c>
      <c r="D269" t="s">
        <v>1055</v>
      </c>
      <c r="E269">
        <v>80</v>
      </c>
      <c r="F269">
        <v>5</v>
      </c>
      <c r="G269" t="s">
        <v>253</v>
      </c>
      <c r="I269" t="s">
        <v>1056</v>
      </c>
      <c r="J269" t="s">
        <v>1057</v>
      </c>
    </row>
    <row r="270" spans="1:13" x14ac:dyDescent="0.25">
      <c r="A270" t="s">
        <v>1058</v>
      </c>
      <c r="B270">
        <v>124</v>
      </c>
      <c r="C270">
        <v>1</v>
      </c>
      <c r="D270" t="s">
        <v>1059</v>
      </c>
      <c r="E270">
        <v>73</v>
      </c>
      <c r="F270">
        <v>5</v>
      </c>
      <c r="G270" t="s">
        <v>265</v>
      </c>
      <c r="I270" t="s">
        <v>1019</v>
      </c>
      <c r="J270" t="s">
        <v>1020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2CA2-9BB9-4989-8109-072A8FF13010}">
  <dimension ref="A1:T341"/>
  <sheetViews>
    <sheetView topLeftCell="G1" zoomScaleNormal="100" workbookViewId="0">
      <pane ySplit="1" topLeftCell="A3" activePane="bottomLeft" state="frozen"/>
      <selection activeCell="F1" sqref="F1"/>
      <selection pane="bottomLeft" activeCell="G3" sqref="G3"/>
    </sheetView>
  </sheetViews>
  <sheetFormatPr defaultRowHeight="15" x14ac:dyDescent="0.25"/>
  <cols>
    <col min="1" max="1" width="11.5703125" customWidth="1"/>
    <col min="2" max="2" width="5.140625" customWidth="1"/>
    <col min="3" max="3" width="4.5703125" customWidth="1"/>
    <col min="4" max="4" width="18" customWidth="1"/>
    <col min="5" max="5" width="16.140625" customWidth="1"/>
    <col min="6" max="6" width="14.85546875" customWidth="1"/>
    <col min="8" max="8" width="12.28515625" customWidth="1"/>
    <col min="9" max="9" width="21.140625" customWidth="1"/>
    <col min="10" max="10" width="12.85546875" customWidth="1"/>
    <col min="11" max="11" width="6.28515625" customWidth="1"/>
    <col min="12" max="12" width="13.85546875" customWidth="1"/>
    <col min="13" max="13" width="30.28515625" customWidth="1"/>
    <col min="14" max="14" width="25.28515625" customWidth="1"/>
    <col min="20" max="20" width="76" customWidth="1"/>
  </cols>
  <sheetData>
    <row r="1" spans="1:20" x14ac:dyDescent="0.25">
      <c r="A1" t="s">
        <v>0</v>
      </c>
      <c r="B1" t="s">
        <v>237</v>
      </c>
      <c r="C1" t="s">
        <v>5884</v>
      </c>
      <c r="D1" t="s">
        <v>2</v>
      </c>
      <c r="E1" t="s">
        <v>5886</v>
      </c>
      <c r="F1" t="s">
        <v>5887</v>
      </c>
      <c r="G1" t="s">
        <v>10666</v>
      </c>
      <c r="H1" t="s">
        <v>5888</v>
      </c>
      <c r="I1" t="s">
        <v>1064</v>
      </c>
      <c r="J1" t="s">
        <v>2842</v>
      </c>
      <c r="K1" t="s">
        <v>1</v>
      </c>
      <c r="L1" t="s">
        <v>6</v>
      </c>
      <c r="M1" t="s">
        <v>1061</v>
      </c>
      <c r="N1" t="s">
        <v>3</v>
      </c>
      <c r="O1" t="s">
        <v>5885</v>
      </c>
      <c r="P1" t="s">
        <v>2840</v>
      </c>
      <c r="Q1" t="s">
        <v>2841</v>
      </c>
      <c r="R1" t="s">
        <v>243</v>
      </c>
      <c r="S1" t="s">
        <v>244</v>
      </c>
      <c r="T1" t="s">
        <v>242</v>
      </c>
    </row>
    <row r="2" spans="1:20" x14ac:dyDescent="0.25">
      <c r="A2" t="s">
        <v>5889</v>
      </c>
      <c r="B2">
        <v>1</v>
      </c>
      <c r="C2">
        <v>1</v>
      </c>
      <c r="D2" t="s">
        <v>1067</v>
      </c>
      <c r="E2" t="s">
        <v>5892</v>
      </c>
      <c r="F2" t="s">
        <v>5893</v>
      </c>
      <c r="G2" t="s">
        <v>2815</v>
      </c>
      <c r="H2" t="s">
        <v>5894</v>
      </c>
      <c r="J2" t="s">
        <v>5891</v>
      </c>
      <c r="K2">
        <v>1</v>
      </c>
      <c r="M2" t="s">
        <v>1069</v>
      </c>
      <c r="N2" t="s">
        <v>5890</v>
      </c>
      <c r="O2">
        <v>0</v>
      </c>
      <c r="P2">
        <v>341</v>
      </c>
      <c r="Q2">
        <v>264</v>
      </c>
      <c r="R2">
        <v>9.6999999999999993</v>
      </c>
      <c r="S2">
        <v>7.7</v>
      </c>
      <c r="T2" t="s">
        <v>11117</v>
      </c>
    </row>
    <row r="3" spans="1:20" x14ac:dyDescent="0.25">
      <c r="A3" t="s">
        <v>5895</v>
      </c>
      <c r="B3">
        <v>2</v>
      </c>
      <c r="C3">
        <v>1</v>
      </c>
      <c r="D3" t="s">
        <v>1067</v>
      </c>
      <c r="E3" t="s">
        <v>5892</v>
      </c>
      <c r="F3" t="s">
        <v>5893</v>
      </c>
      <c r="G3" t="s">
        <v>2839</v>
      </c>
      <c r="H3" t="s">
        <v>5894</v>
      </c>
      <c r="J3" t="s">
        <v>5897</v>
      </c>
      <c r="K3">
        <v>2</v>
      </c>
      <c r="M3" t="s">
        <v>1073</v>
      </c>
      <c r="N3" t="s">
        <v>5896</v>
      </c>
      <c r="O3">
        <v>0</v>
      </c>
      <c r="P3">
        <v>237</v>
      </c>
      <c r="Q3">
        <v>551</v>
      </c>
      <c r="R3">
        <v>7.1</v>
      </c>
      <c r="S3">
        <v>15.1</v>
      </c>
      <c r="T3" t="s">
        <v>11118</v>
      </c>
    </row>
    <row r="4" spans="1:20" x14ac:dyDescent="0.25">
      <c r="A4" t="s">
        <v>5898</v>
      </c>
      <c r="B4">
        <v>3</v>
      </c>
      <c r="C4">
        <v>1</v>
      </c>
      <c r="D4" t="s">
        <v>1067</v>
      </c>
      <c r="E4" t="s">
        <v>5900</v>
      </c>
      <c r="F4" t="s">
        <v>5901</v>
      </c>
      <c r="G4" t="s">
        <v>2811</v>
      </c>
      <c r="H4" t="s">
        <v>5902</v>
      </c>
      <c r="J4" t="s">
        <v>5899</v>
      </c>
      <c r="K4">
        <v>3</v>
      </c>
      <c r="M4" t="s">
        <v>248</v>
      </c>
      <c r="N4" t="s">
        <v>1101</v>
      </c>
      <c r="O4">
        <v>0</v>
      </c>
      <c r="P4">
        <v>381</v>
      </c>
      <c r="Q4">
        <v>343</v>
      </c>
      <c r="R4">
        <v>20.3</v>
      </c>
      <c r="S4">
        <v>19.100000000000001</v>
      </c>
      <c r="T4" t="s">
        <v>11110</v>
      </c>
    </row>
    <row r="5" spans="1:20" x14ac:dyDescent="0.25">
      <c r="A5" t="s">
        <v>5903</v>
      </c>
      <c r="B5">
        <v>4</v>
      </c>
      <c r="C5">
        <v>1</v>
      </c>
      <c r="D5" t="s">
        <v>1067</v>
      </c>
      <c r="E5" t="s">
        <v>5892</v>
      </c>
      <c r="F5" t="s">
        <v>5893</v>
      </c>
      <c r="G5" t="s">
        <v>2836</v>
      </c>
      <c r="H5" t="s">
        <v>5894</v>
      </c>
      <c r="J5" t="s">
        <v>5904</v>
      </c>
      <c r="K5">
        <v>4</v>
      </c>
      <c r="M5" t="s">
        <v>248</v>
      </c>
      <c r="N5" t="s">
        <v>1110</v>
      </c>
      <c r="O5">
        <v>0</v>
      </c>
      <c r="P5">
        <v>293</v>
      </c>
      <c r="Q5">
        <v>322</v>
      </c>
      <c r="R5">
        <v>16</v>
      </c>
      <c r="S5">
        <v>17.3</v>
      </c>
      <c r="T5" t="s">
        <v>11109</v>
      </c>
    </row>
    <row r="6" spans="1:20" x14ac:dyDescent="0.25">
      <c r="A6" t="s">
        <v>5905</v>
      </c>
      <c r="B6">
        <v>5</v>
      </c>
      <c r="C6">
        <v>1</v>
      </c>
      <c r="D6" t="s">
        <v>1067</v>
      </c>
      <c r="E6" t="s">
        <v>5908</v>
      </c>
      <c r="G6" t="s">
        <v>2815</v>
      </c>
      <c r="H6" t="s">
        <v>5894</v>
      </c>
      <c r="J6" t="s">
        <v>5907</v>
      </c>
      <c r="K6">
        <v>5</v>
      </c>
      <c r="M6" t="s">
        <v>248</v>
      </c>
      <c r="N6" t="s">
        <v>5906</v>
      </c>
      <c r="O6">
        <v>0</v>
      </c>
      <c r="P6">
        <v>480</v>
      </c>
      <c r="Q6">
        <v>513</v>
      </c>
      <c r="R6">
        <v>25.3</v>
      </c>
      <c r="S6">
        <v>27.5</v>
      </c>
      <c r="T6" t="s">
        <v>11116</v>
      </c>
    </row>
    <row r="7" spans="1:20" x14ac:dyDescent="0.25">
      <c r="A7" t="s">
        <v>5909</v>
      </c>
      <c r="B7">
        <v>6</v>
      </c>
      <c r="C7">
        <v>1</v>
      </c>
      <c r="D7" t="s">
        <v>1067</v>
      </c>
      <c r="E7" t="s">
        <v>5892</v>
      </c>
      <c r="F7" t="s">
        <v>5893</v>
      </c>
      <c r="G7" t="s">
        <v>2839</v>
      </c>
      <c r="H7" t="s">
        <v>5894</v>
      </c>
      <c r="J7" t="s">
        <v>5910</v>
      </c>
      <c r="K7">
        <v>6</v>
      </c>
      <c r="M7" t="s">
        <v>408</v>
      </c>
      <c r="N7" t="s">
        <v>1137</v>
      </c>
      <c r="O7">
        <v>0</v>
      </c>
      <c r="P7">
        <v>434</v>
      </c>
      <c r="Q7">
        <v>763</v>
      </c>
      <c r="R7">
        <v>23.1</v>
      </c>
      <c r="S7">
        <v>40.200000000000003</v>
      </c>
      <c r="T7" t="s">
        <v>11115</v>
      </c>
    </row>
    <row r="8" spans="1:20" x14ac:dyDescent="0.25">
      <c r="A8" t="s">
        <v>5911</v>
      </c>
      <c r="B8">
        <v>7</v>
      </c>
      <c r="C8">
        <v>1</v>
      </c>
      <c r="D8" t="s">
        <v>1067</v>
      </c>
      <c r="E8" t="s">
        <v>5914</v>
      </c>
      <c r="G8" t="s">
        <v>2811</v>
      </c>
      <c r="H8" t="s">
        <v>5894</v>
      </c>
      <c r="J8" t="s">
        <v>5913</v>
      </c>
      <c r="K8">
        <v>7</v>
      </c>
      <c r="M8" t="s">
        <v>408</v>
      </c>
      <c r="N8" t="s">
        <v>5912</v>
      </c>
      <c r="O8">
        <v>1</v>
      </c>
      <c r="P8">
        <v>635</v>
      </c>
      <c r="Q8">
        <v>354</v>
      </c>
      <c r="R8">
        <v>33.5</v>
      </c>
      <c r="S8">
        <v>19.3</v>
      </c>
      <c r="T8" t="s">
        <v>11114</v>
      </c>
    </row>
    <row r="9" spans="1:20" x14ac:dyDescent="0.25">
      <c r="A9" t="s">
        <v>5915</v>
      </c>
      <c r="B9">
        <v>8</v>
      </c>
      <c r="C9">
        <v>1</v>
      </c>
      <c r="D9" t="s">
        <v>1067</v>
      </c>
      <c r="E9" t="s">
        <v>5892</v>
      </c>
      <c r="F9" t="s">
        <v>5893</v>
      </c>
      <c r="G9" t="s">
        <v>2811</v>
      </c>
      <c r="H9" t="s">
        <v>5894</v>
      </c>
      <c r="J9" t="s">
        <v>5917</v>
      </c>
      <c r="K9">
        <v>8</v>
      </c>
      <c r="M9" t="s">
        <v>412</v>
      </c>
      <c r="N9" t="s">
        <v>5916</v>
      </c>
      <c r="O9">
        <v>0</v>
      </c>
      <c r="P9">
        <v>571</v>
      </c>
      <c r="Q9">
        <v>577</v>
      </c>
      <c r="R9">
        <v>29.9</v>
      </c>
      <c r="S9">
        <v>30.7</v>
      </c>
      <c r="T9" t="s">
        <v>11145</v>
      </c>
    </row>
    <row r="10" spans="1:20" x14ac:dyDescent="0.25">
      <c r="A10" t="s">
        <v>5918</v>
      </c>
      <c r="B10">
        <v>9</v>
      </c>
      <c r="C10">
        <v>1</v>
      </c>
      <c r="D10" t="s">
        <v>1067</v>
      </c>
      <c r="E10" t="s">
        <v>5908</v>
      </c>
      <c r="G10" t="s">
        <v>2836</v>
      </c>
      <c r="H10" t="s">
        <v>5894</v>
      </c>
      <c r="J10" t="s">
        <v>5920</v>
      </c>
      <c r="K10">
        <v>9</v>
      </c>
      <c r="M10" t="s">
        <v>1227</v>
      </c>
      <c r="N10" t="s">
        <v>5919</v>
      </c>
      <c r="O10">
        <v>0</v>
      </c>
      <c r="P10">
        <v>461</v>
      </c>
      <c r="Q10">
        <v>269</v>
      </c>
      <c r="R10">
        <v>12.8</v>
      </c>
      <c r="S10">
        <v>7.8</v>
      </c>
      <c r="T10" t="s">
        <v>11144</v>
      </c>
    </row>
    <row r="11" spans="1:20" x14ac:dyDescent="0.25">
      <c r="A11" t="s">
        <v>5921</v>
      </c>
      <c r="B11">
        <v>10</v>
      </c>
      <c r="C11">
        <v>1</v>
      </c>
      <c r="D11" t="s">
        <v>1067</v>
      </c>
      <c r="E11" t="s">
        <v>5892</v>
      </c>
      <c r="F11" t="s">
        <v>5893</v>
      </c>
      <c r="G11" t="s">
        <v>2839</v>
      </c>
      <c r="H11" t="s">
        <v>5894</v>
      </c>
      <c r="J11" t="s">
        <v>5923</v>
      </c>
      <c r="K11">
        <v>10</v>
      </c>
      <c r="M11" t="s">
        <v>1227</v>
      </c>
      <c r="N11" t="s">
        <v>5922</v>
      </c>
      <c r="O11">
        <v>0</v>
      </c>
      <c r="P11">
        <v>385</v>
      </c>
      <c r="Q11">
        <v>217</v>
      </c>
      <c r="R11">
        <v>10.8</v>
      </c>
      <c r="S11">
        <v>6.4</v>
      </c>
      <c r="T11" t="s">
        <v>11146</v>
      </c>
    </row>
    <row r="12" spans="1:20" x14ac:dyDescent="0.25">
      <c r="A12" t="s">
        <v>5924</v>
      </c>
      <c r="B12">
        <v>11</v>
      </c>
      <c r="C12">
        <v>1</v>
      </c>
      <c r="D12" t="s">
        <v>1067</v>
      </c>
      <c r="E12" t="s">
        <v>5892</v>
      </c>
      <c r="F12" t="s">
        <v>5893</v>
      </c>
      <c r="G12" t="s">
        <v>2836</v>
      </c>
      <c r="H12" t="s">
        <v>5926</v>
      </c>
      <c r="J12" t="s">
        <v>5925</v>
      </c>
      <c r="K12">
        <v>11</v>
      </c>
      <c r="M12" t="s">
        <v>362</v>
      </c>
      <c r="N12" t="s">
        <v>3392</v>
      </c>
      <c r="O12">
        <v>0</v>
      </c>
      <c r="P12">
        <v>406</v>
      </c>
      <c r="Q12">
        <v>408</v>
      </c>
      <c r="R12">
        <v>21.8</v>
      </c>
      <c r="S12">
        <v>21.8</v>
      </c>
      <c r="T12" t="s">
        <v>11155</v>
      </c>
    </row>
    <row r="13" spans="1:20" x14ac:dyDescent="0.25">
      <c r="A13" t="s">
        <v>5927</v>
      </c>
      <c r="B13">
        <v>12</v>
      </c>
      <c r="C13">
        <v>1</v>
      </c>
      <c r="D13" t="s">
        <v>1067</v>
      </c>
      <c r="E13" t="s">
        <v>5892</v>
      </c>
      <c r="F13" t="s">
        <v>5893</v>
      </c>
      <c r="G13" t="s">
        <v>2815</v>
      </c>
      <c r="H13" t="s">
        <v>5902</v>
      </c>
      <c r="J13" t="s">
        <v>5929</v>
      </c>
      <c r="K13">
        <v>12</v>
      </c>
      <c r="M13" t="s">
        <v>369</v>
      </c>
      <c r="N13" t="s">
        <v>5928</v>
      </c>
      <c r="O13">
        <v>0</v>
      </c>
      <c r="P13">
        <v>325</v>
      </c>
      <c r="Q13">
        <v>335</v>
      </c>
      <c r="R13">
        <v>17.600000000000001</v>
      </c>
      <c r="S13">
        <v>18.2</v>
      </c>
      <c r="T13" t="s">
        <v>11160</v>
      </c>
    </row>
    <row r="14" spans="1:20" x14ac:dyDescent="0.25">
      <c r="A14" t="s">
        <v>5930</v>
      </c>
      <c r="B14">
        <v>13</v>
      </c>
      <c r="C14">
        <v>1</v>
      </c>
      <c r="D14" t="s">
        <v>1067</v>
      </c>
      <c r="E14" t="s">
        <v>5892</v>
      </c>
      <c r="F14" t="s">
        <v>5893</v>
      </c>
      <c r="G14" t="s">
        <v>2839</v>
      </c>
      <c r="H14" t="s">
        <v>5894</v>
      </c>
      <c r="J14" t="s">
        <v>5931</v>
      </c>
      <c r="K14">
        <v>13</v>
      </c>
      <c r="M14" t="s">
        <v>369</v>
      </c>
      <c r="N14" t="s">
        <v>1290</v>
      </c>
      <c r="O14">
        <v>1</v>
      </c>
      <c r="P14">
        <v>419</v>
      </c>
      <c r="Q14">
        <v>493</v>
      </c>
      <c r="R14">
        <v>22.3</v>
      </c>
      <c r="S14">
        <v>26.2</v>
      </c>
      <c r="T14" t="s">
        <v>11161</v>
      </c>
    </row>
    <row r="15" spans="1:20" x14ac:dyDescent="0.25">
      <c r="A15" t="s">
        <v>5932</v>
      </c>
      <c r="B15">
        <v>14</v>
      </c>
      <c r="C15">
        <v>1</v>
      </c>
      <c r="D15" t="s">
        <v>1067</v>
      </c>
      <c r="E15" t="s">
        <v>5892</v>
      </c>
      <c r="F15" t="s">
        <v>5893</v>
      </c>
      <c r="G15" t="s">
        <v>2811</v>
      </c>
      <c r="H15" t="s">
        <v>5935</v>
      </c>
      <c r="I15" s="1" t="s">
        <v>1353</v>
      </c>
      <c r="J15" t="s">
        <v>5934</v>
      </c>
      <c r="K15">
        <v>14</v>
      </c>
      <c r="M15" t="s">
        <v>374</v>
      </c>
      <c r="N15" t="s">
        <v>5933</v>
      </c>
      <c r="O15">
        <v>0</v>
      </c>
      <c r="P15">
        <v>395</v>
      </c>
      <c r="Q15">
        <v>418</v>
      </c>
      <c r="R15">
        <v>11.1</v>
      </c>
      <c r="S15">
        <v>11.6</v>
      </c>
      <c r="T15" t="s">
        <v>11192</v>
      </c>
    </row>
    <row r="16" spans="1:20" x14ac:dyDescent="0.25">
      <c r="A16" t="s">
        <v>5936</v>
      </c>
      <c r="B16">
        <v>15</v>
      </c>
      <c r="C16">
        <v>1</v>
      </c>
      <c r="D16" t="s">
        <v>1067</v>
      </c>
      <c r="E16" t="s">
        <v>5908</v>
      </c>
      <c r="G16" t="s">
        <v>2836</v>
      </c>
      <c r="H16" t="s">
        <v>5894</v>
      </c>
      <c r="I16" s="1" t="s">
        <v>1351</v>
      </c>
      <c r="J16" t="s">
        <v>5938</v>
      </c>
      <c r="K16">
        <v>15</v>
      </c>
      <c r="M16" t="s">
        <v>374</v>
      </c>
      <c r="N16" t="s">
        <v>5937</v>
      </c>
      <c r="O16">
        <v>0</v>
      </c>
      <c r="P16">
        <v>405</v>
      </c>
      <c r="Q16">
        <v>400</v>
      </c>
      <c r="R16">
        <v>11.5</v>
      </c>
      <c r="S16">
        <v>11.2</v>
      </c>
      <c r="T16" t="s">
        <v>11193</v>
      </c>
    </row>
    <row r="17" spans="1:20" x14ac:dyDescent="0.25">
      <c r="A17" t="s">
        <v>5939</v>
      </c>
      <c r="B17">
        <v>16</v>
      </c>
      <c r="C17">
        <v>1</v>
      </c>
      <c r="D17" t="s">
        <v>1067</v>
      </c>
      <c r="E17" t="s">
        <v>5892</v>
      </c>
      <c r="F17" t="s">
        <v>5893</v>
      </c>
      <c r="G17" t="s">
        <v>2839</v>
      </c>
      <c r="H17" t="s">
        <v>5894</v>
      </c>
      <c r="J17" t="s">
        <v>5941</v>
      </c>
      <c r="K17">
        <v>16</v>
      </c>
      <c r="M17" t="s">
        <v>446</v>
      </c>
      <c r="N17" t="s">
        <v>5940</v>
      </c>
      <c r="O17">
        <v>1</v>
      </c>
      <c r="P17">
        <v>419</v>
      </c>
      <c r="Q17">
        <v>420</v>
      </c>
      <c r="R17">
        <v>22.3</v>
      </c>
      <c r="S17">
        <v>22.3</v>
      </c>
      <c r="T17" t="s">
        <v>11181</v>
      </c>
    </row>
    <row r="18" spans="1:20" x14ac:dyDescent="0.25">
      <c r="A18" t="s">
        <v>5942</v>
      </c>
      <c r="B18">
        <v>17</v>
      </c>
      <c r="C18">
        <v>1</v>
      </c>
      <c r="D18" t="s">
        <v>1067</v>
      </c>
      <c r="E18" t="s">
        <v>5914</v>
      </c>
      <c r="G18" t="s">
        <v>2815</v>
      </c>
      <c r="H18" t="s">
        <v>5894</v>
      </c>
      <c r="J18" t="s">
        <v>5944</v>
      </c>
      <c r="K18">
        <v>17</v>
      </c>
      <c r="M18" t="s">
        <v>337</v>
      </c>
      <c r="N18" t="s">
        <v>5943</v>
      </c>
      <c r="O18">
        <v>0</v>
      </c>
      <c r="P18">
        <v>290</v>
      </c>
      <c r="Q18">
        <v>429</v>
      </c>
      <c r="R18">
        <v>15.9</v>
      </c>
      <c r="S18">
        <v>22.9</v>
      </c>
      <c r="T18" t="s">
        <v>11186</v>
      </c>
    </row>
    <row r="19" spans="1:20" x14ac:dyDescent="0.25">
      <c r="A19" t="s">
        <v>5945</v>
      </c>
      <c r="B19">
        <v>18</v>
      </c>
      <c r="C19">
        <v>1</v>
      </c>
      <c r="D19" t="s">
        <v>1067</v>
      </c>
      <c r="E19" t="s">
        <v>5900</v>
      </c>
      <c r="F19" t="s">
        <v>5901</v>
      </c>
      <c r="G19" t="s">
        <v>2837</v>
      </c>
      <c r="H19" t="s">
        <v>5948</v>
      </c>
      <c r="J19" t="s">
        <v>5947</v>
      </c>
      <c r="K19">
        <v>18</v>
      </c>
      <c r="M19" t="s">
        <v>398</v>
      </c>
      <c r="N19" t="s">
        <v>5946</v>
      </c>
      <c r="O19">
        <v>0</v>
      </c>
      <c r="P19">
        <v>362</v>
      </c>
      <c r="Q19">
        <v>465</v>
      </c>
      <c r="R19">
        <v>19.5</v>
      </c>
      <c r="S19">
        <v>24.7</v>
      </c>
      <c r="T19" t="s">
        <v>11187</v>
      </c>
    </row>
    <row r="20" spans="1:20" x14ac:dyDescent="0.25">
      <c r="A20" t="s">
        <v>5949</v>
      </c>
      <c r="B20">
        <v>19</v>
      </c>
      <c r="C20">
        <v>1</v>
      </c>
      <c r="D20" t="s">
        <v>1067</v>
      </c>
      <c r="E20" t="s">
        <v>5908</v>
      </c>
      <c r="G20" t="s">
        <v>2815</v>
      </c>
      <c r="H20" t="s">
        <v>5894</v>
      </c>
      <c r="J20" t="s">
        <v>5950</v>
      </c>
      <c r="K20">
        <v>19</v>
      </c>
      <c r="M20" t="s">
        <v>398</v>
      </c>
      <c r="N20" t="s">
        <v>1451</v>
      </c>
      <c r="O20">
        <v>0</v>
      </c>
      <c r="P20">
        <v>259</v>
      </c>
      <c r="Q20">
        <v>345</v>
      </c>
      <c r="R20">
        <v>14.3</v>
      </c>
      <c r="S20">
        <v>18.5</v>
      </c>
      <c r="T20" t="s">
        <v>11188</v>
      </c>
    </row>
    <row r="21" spans="1:20" x14ac:dyDescent="0.25">
      <c r="A21" t="s">
        <v>5951</v>
      </c>
      <c r="B21">
        <v>20</v>
      </c>
      <c r="C21">
        <v>1</v>
      </c>
      <c r="D21" t="s">
        <v>1067</v>
      </c>
      <c r="E21" t="s">
        <v>5892</v>
      </c>
      <c r="F21" t="s">
        <v>5893</v>
      </c>
      <c r="G21" t="s">
        <v>2811</v>
      </c>
      <c r="H21" t="s">
        <v>5902</v>
      </c>
      <c r="J21" t="s">
        <v>5953</v>
      </c>
      <c r="K21">
        <v>20</v>
      </c>
      <c r="M21" t="s">
        <v>398</v>
      </c>
      <c r="N21" t="s">
        <v>5952</v>
      </c>
      <c r="O21">
        <v>0</v>
      </c>
      <c r="P21">
        <v>391</v>
      </c>
      <c r="Q21">
        <v>387</v>
      </c>
      <c r="R21">
        <v>21</v>
      </c>
      <c r="S21">
        <v>20.8</v>
      </c>
      <c r="T21" t="s">
        <v>11189</v>
      </c>
    </row>
    <row r="22" spans="1:20" x14ac:dyDescent="0.25">
      <c r="A22" t="s">
        <v>5954</v>
      </c>
      <c r="B22">
        <v>21</v>
      </c>
      <c r="C22">
        <v>2</v>
      </c>
      <c r="D22" t="s">
        <v>1067</v>
      </c>
      <c r="E22" t="s">
        <v>5892</v>
      </c>
      <c r="F22" t="s">
        <v>5893</v>
      </c>
      <c r="G22" t="s">
        <v>2836</v>
      </c>
      <c r="H22" t="s">
        <v>5894</v>
      </c>
      <c r="J22" t="s">
        <v>5955</v>
      </c>
      <c r="K22">
        <v>21</v>
      </c>
      <c r="M22" t="s">
        <v>248</v>
      </c>
      <c r="N22" t="s">
        <v>1112</v>
      </c>
      <c r="O22">
        <v>0</v>
      </c>
      <c r="P22">
        <v>375</v>
      </c>
      <c r="Q22">
        <v>238</v>
      </c>
      <c r="R22">
        <v>20</v>
      </c>
      <c r="S22">
        <v>13.1</v>
      </c>
      <c r="T22" t="s">
        <v>11113</v>
      </c>
    </row>
    <row r="23" spans="1:20" x14ac:dyDescent="0.25">
      <c r="A23" t="s">
        <v>5956</v>
      </c>
      <c r="B23">
        <v>22</v>
      </c>
      <c r="C23">
        <v>2</v>
      </c>
      <c r="D23" t="s">
        <v>1067</v>
      </c>
      <c r="E23" t="s">
        <v>5892</v>
      </c>
      <c r="F23" t="s">
        <v>5893</v>
      </c>
      <c r="G23" t="s">
        <v>2811</v>
      </c>
      <c r="H23" t="s">
        <v>5894</v>
      </c>
      <c r="J23" t="s">
        <v>5958</v>
      </c>
      <c r="K23">
        <v>22</v>
      </c>
      <c r="M23" t="s">
        <v>248</v>
      </c>
      <c r="N23" t="s">
        <v>5957</v>
      </c>
      <c r="O23">
        <v>0</v>
      </c>
      <c r="P23">
        <v>480</v>
      </c>
      <c r="Q23">
        <v>311</v>
      </c>
      <c r="R23">
        <v>25.7</v>
      </c>
      <c r="S23">
        <v>17</v>
      </c>
      <c r="T23" t="s">
        <v>11111</v>
      </c>
    </row>
    <row r="24" spans="1:20" x14ac:dyDescent="0.25">
      <c r="A24" t="s">
        <v>5959</v>
      </c>
      <c r="B24">
        <v>23</v>
      </c>
      <c r="C24">
        <v>2</v>
      </c>
      <c r="D24" t="s">
        <v>1067</v>
      </c>
      <c r="E24" t="s">
        <v>5900</v>
      </c>
      <c r="F24" t="s">
        <v>5901</v>
      </c>
      <c r="G24" t="s">
        <v>2836</v>
      </c>
      <c r="H24" t="s">
        <v>5894</v>
      </c>
      <c r="J24" t="s">
        <v>5960</v>
      </c>
      <c r="K24">
        <v>23</v>
      </c>
      <c r="M24" t="s">
        <v>408</v>
      </c>
      <c r="N24" t="s">
        <v>1132</v>
      </c>
      <c r="O24">
        <v>1</v>
      </c>
      <c r="P24">
        <v>592</v>
      </c>
      <c r="Q24">
        <v>227</v>
      </c>
      <c r="R24">
        <v>31.5</v>
      </c>
      <c r="S24">
        <v>12.7</v>
      </c>
      <c r="T24" t="s">
        <v>11112</v>
      </c>
    </row>
    <row r="25" spans="1:20" x14ac:dyDescent="0.25">
      <c r="A25" t="s">
        <v>5961</v>
      </c>
      <c r="B25">
        <v>24</v>
      </c>
      <c r="C25">
        <v>2</v>
      </c>
      <c r="D25" t="s">
        <v>1067</v>
      </c>
      <c r="E25" t="s">
        <v>5892</v>
      </c>
      <c r="F25" t="s">
        <v>5893</v>
      </c>
      <c r="G25" t="s">
        <v>2815</v>
      </c>
      <c r="H25" t="s">
        <v>5926</v>
      </c>
      <c r="J25" t="s">
        <v>5962</v>
      </c>
      <c r="K25">
        <v>24</v>
      </c>
      <c r="M25" t="s">
        <v>475</v>
      </c>
      <c r="N25" t="s">
        <v>1151</v>
      </c>
      <c r="O25">
        <v>0</v>
      </c>
      <c r="P25">
        <v>615</v>
      </c>
      <c r="Q25">
        <v>439</v>
      </c>
      <c r="R25">
        <v>32.6</v>
      </c>
      <c r="S25">
        <v>23.5</v>
      </c>
      <c r="T25" t="s">
        <v>11119</v>
      </c>
    </row>
    <row r="26" spans="1:20" x14ac:dyDescent="0.25">
      <c r="A26" t="s">
        <v>5963</v>
      </c>
      <c r="B26">
        <v>25</v>
      </c>
      <c r="C26">
        <v>2</v>
      </c>
      <c r="D26" t="s">
        <v>1067</v>
      </c>
      <c r="E26" t="s">
        <v>5900</v>
      </c>
      <c r="F26" t="s">
        <v>5901</v>
      </c>
      <c r="G26" t="s">
        <v>2839</v>
      </c>
      <c r="H26" t="s">
        <v>5894</v>
      </c>
      <c r="J26" t="s">
        <v>5964</v>
      </c>
      <c r="K26">
        <v>25</v>
      </c>
      <c r="M26" t="s">
        <v>475</v>
      </c>
      <c r="N26" t="s">
        <v>1145</v>
      </c>
      <c r="O26">
        <v>0</v>
      </c>
      <c r="P26">
        <v>557</v>
      </c>
      <c r="Q26">
        <v>644</v>
      </c>
      <c r="R26">
        <v>29.6</v>
      </c>
      <c r="S26">
        <v>33.799999999999997</v>
      </c>
      <c r="T26" t="s">
        <v>11129</v>
      </c>
    </row>
    <row r="27" spans="1:20" x14ac:dyDescent="0.25">
      <c r="A27" t="s">
        <v>5965</v>
      </c>
      <c r="B27">
        <v>26</v>
      </c>
      <c r="C27">
        <v>2</v>
      </c>
      <c r="D27" t="s">
        <v>1067</v>
      </c>
      <c r="E27" t="s">
        <v>5892</v>
      </c>
      <c r="F27" t="s">
        <v>5893</v>
      </c>
      <c r="G27" t="s">
        <v>2837</v>
      </c>
      <c r="H27" t="s">
        <v>5902</v>
      </c>
      <c r="J27" t="s">
        <v>5967</v>
      </c>
      <c r="K27">
        <v>26</v>
      </c>
      <c r="M27" t="s">
        <v>412</v>
      </c>
      <c r="N27" t="s">
        <v>5966</v>
      </c>
      <c r="O27">
        <v>0</v>
      </c>
      <c r="P27">
        <v>504</v>
      </c>
      <c r="Q27">
        <v>501</v>
      </c>
      <c r="R27">
        <v>26.9</v>
      </c>
      <c r="S27">
        <v>26.6</v>
      </c>
      <c r="T27" t="s">
        <v>11126</v>
      </c>
    </row>
    <row r="28" spans="1:20" x14ac:dyDescent="0.25">
      <c r="A28" t="s">
        <v>5968</v>
      </c>
      <c r="B28">
        <v>27</v>
      </c>
      <c r="C28">
        <v>2</v>
      </c>
      <c r="D28" t="s">
        <v>1067</v>
      </c>
      <c r="E28" t="s">
        <v>5970</v>
      </c>
      <c r="G28" t="s">
        <v>2839</v>
      </c>
      <c r="H28" t="s">
        <v>5894</v>
      </c>
      <c r="J28" t="s">
        <v>5969</v>
      </c>
      <c r="K28">
        <v>27</v>
      </c>
      <c r="M28" t="s">
        <v>412</v>
      </c>
      <c r="N28" t="s">
        <v>1178</v>
      </c>
      <c r="O28">
        <v>0</v>
      </c>
      <c r="P28">
        <v>318</v>
      </c>
      <c r="Q28">
        <v>693</v>
      </c>
      <c r="R28">
        <v>17.100000000000001</v>
      </c>
      <c r="S28">
        <v>36.200000000000003</v>
      </c>
      <c r="T28" t="s">
        <v>11127</v>
      </c>
    </row>
    <row r="29" spans="1:20" x14ac:dyDescent="0.25">
      <c r="A29" t="s">
        <v>5971</v>
      </c>
      <c r="B29">
        <v>28</v>
      </c>
      <c r="C29">
        <v>2</v>
      </c>
      <c r="D29" t="s">
        <v>1067</v>
      </c>
      <c r="E29" t="s">
        <v>5892</v>
      </c>
      <c r="F29" t="s">
        <v>5893</v>
      </c>
      <c r="G29" t="s">
        <v>2815</v>
      </c>
      <c r="H29" t="s">
        <v>5894</v>
      </c>
      <c r="J29" t="s">
        <v>5972</v>
      </c>
      <c r="K29">
        <v>28</v>
      </c>
      <c r="M29" t="s">
        <v>412</v>
      </c>
      <c r="N29" t="s">
        <v>1169</v>
      </c>
      <c r="O29">
        <v>0</v>
      </c>
      <c r="P29">
        <v>427</v>
      </c>
      <c r="Q29">
        <v>421</v>
      </c>
      <c r="R29">
        <v>22.8</v>
      </c>
      <c r="S29">
        <v>22.4</v>
      </c>
      <c r="T29" t="s">
        <v>11128</v>
      </c>
    </row>
    <row r="30" spans="1:20" x14ac:dyDescent="0.25">
      <c r="A30" t="s">
        <v>5973</v>
      </c>
      <c r="B30">
        <v>29</v>
      </c>
      <c r="C30">
        <v>2</v>
      </c>
      <c r="D30" t="s">
        <v>1067</v>
      </c>
      <c r="E30" t="s">
        <v>5892</v>
      </c>
      <c r="F30" t="s">
        <v>5893</v>
      </c>
      <c r="G30" t="s">
        <v>2836</v>
      </c>
      <c r="H30" t="s">
        <v>5894</v>
      </c>
      <c r="J30" t="s">
        <v>5975</v>
      </c>
      <c r="K30">
        <v>29</v>
      </c>
      <c r="L30" t="s">
        <v>11130</v>
      </c>
      <c r="M30" t="s">
        <v>412</v>
      </c>
      <c r="N30" t="s">
        <v>5974</v>
      </c>
      <c r="O30">
        <v>0</v>
      </c>
      <c r="P30">
        <v>362</v>
      </c>
      <c r="Q30">
        <v>420</v>
      </c>
      <c r="R30">
        <v>19.399999999999999</v>
      </c>
      <c r="S30">
        <v>22.4</v>
      </c>
      <c r="T30" t="s">
        <v>11131</v>
      </c>
    </row>
    <row r="31" spans="1:20" x14ac:dyDescent="0.25">
      <c r="A31" t="s">
        <v>5976</v>
      </c>
      <c r="B31">
        <v>30</v>
      </c>
      <c r="C31">
        <v>2</v>
      </c>
      <c r="D31" t="s">
        <v>1067</v>
      </c>
      <c r="E31" t="s">
        <v>5892</v>
      </c>
      <c r="F31" t="s">
        <v>5893</v>
      </c>
      <c r="G31" t="s">
        <v>2837</v>
      </c>
      <c r="H31" t="s">
        <v>5894</v>
      </c>
      <c r="J31" t="s">
        <v>5977</v>
      </c>
      <c r="K31">
        <v>30</v>
      </c>
      <c r="M31" t="s">
        <v>389</v>
      </c>
      <c r="N31" t="s">
        <v>3386</v>
      </c>
      <c r="O31">
        <v>1</v>
      </c>
      <c r="P31">
        <v>585</v>
      </c>
      <c r="Q31">
        <v>418</v>
      </c>
      <c r="R31">
        <v>30.8</v>
      </c>
      <c r="S31">
        <v>22.4</v>
      </c>
      <c r="T31" t="s">
        <v>11138</v>
      </c>
    </row>
    <row r="32" spans="1:20" x14ac:dyDescent="0.25">
      <c r="A32" t="s">
        <v>5978</v>
      </c>
      <c r="B32">
        <v>31</v>
      </c>
      <c r="C32">
        <v>2</v>
      </c>
      <c r="D32" t="s">
        <v>1067</v>
      </c>
      <c r="E32" t="s">
        <v>5892</v>
      </c>
      <c r="F32" t="s">
        <v>5893</v>
      </c>
      <c r="G32" t="s">
        <v>2836</v>
      </c>
      <c r="H32" t="s">
        <v>5894</v>
      </c>
      <c r="J32" t="s">
        <v>5979</v>
      </c>
      <c r="K32">
        <v>31</v>
      </c>
      <c r="M32" t="s">
        <v>389</v>
      </c>
      <c r="N32" t="s">
        <v>1202</v>
      </c>
      <c r="O32">
        <v>0</v>
      </c>
      <c r="P32">
        <v>243</v>
      </c>
      <c r="Q32">
        <v>410</v>
      </c>
      <c r="R32">
        <v>12.9</v>
      </c>
      <c r="S32">
        <v>22</v>
      </c>
      <c r="T32" t="s">
        <v>11140</v>
      </c>
    </row>
    <row r="33" spans="1:20" x14ac:dyDescent="0.25">
      <c r="A33" t="s">
        <v>5980</v>
      </c>
      <c r="B33">
        <v>32</v>
      </c>
      <c r="C33">
        <v>2</v>
      </c>
      <c r="D33" t="s">
        <v>1067</v>
      </c>
      <c r="E33" t="s">
        <v>5982</v>
      </c>
      <c r="G33" t="s">
        <v>2839</v>
      </c>
      <c r="H33" t="s">
        <v>5894</v>
      </c>
      <c r="J33" t="s">
        <v>5981</v>
      </c>
      <c r="K33">
        <v>32</v>
      </c>
      <c r="M33" t="s">
        <v>389</v>
      </c>
      <c r="N33" t="s">
        <v>1196</v>
      </c>
      <c r="O33">
        <v>0</v>
      </c>
      <c r="P33">
        <v>550</v>
      </c>
      <c r="Q33">
        <v>477</v>
      </c>
      <c r="R33">
        <v>29.1</v>
      </c>
      <c r="S33">
        <v>25.4</v>
      </c>
      <c r="T33" t="s">
        <v>11139</v>
      </c>
    </row>
    <row r="34" spans="1:20" x14ac:dyDescent="0.25">
      <c r="A34" t="s">
        <v>5983</v>
      </c>
      <c r="B34">
        <v>33</v>
      </c>
      <c r="C34">
        <v>2</v>
      </c>
      <c r="D34" t="s">
        <v>1067</v>
      </c>
      <c r="E34" t="s">
        <v>5892</v>
      </c>
      <c r="F34" t="s">
        <v>5893</v>
      </c>
      <c r="G34" t="s">
        <v>2839</v>
      </c>
      <c r="H34" t="s">
        <v>5894</v>
      </c>
      <c r="J34" t="s">
        <v>5984</v>
      </c>
      <c r="K34">
        <v>33</v>
      </c>
      <c r="M34" t="s">
        <v>277</v>
      </c>
      <c r="N34" t="s">
        <v>1214</v>
      </c>
      <c r="O34">
        <v>0</v>
      </c>
      <c r="P34">
        <v>229</v>
      </c>
      <c r="Q34">
        <v>275</v>
      </c>
      <c r="R34">
        <v>12.7</v>
      </c>
      <c r="S34">
        <v>15.1</v>
      </c>
      <c r="T34" t="s">
        <v>11148</v>
      </c>
    </row>
    <row r="35" spans="1:20" x14ac:dyDescent="0.25">
      <c r="A35" t="s">
        <v>5985</v>
      </c>
      <c r="B35">
        <v>34</v>
      </c>
      <c r="C35">
        <v>2</v>
      </c>
      <c r="D35" t="s">
        <v>1067</v>
      </c>
      <c r="E35" t="s">
        <v>5908</v>
      </c>
      <c r="G35" t="s">
        <v>2811</v>
      </c>
      <c r="H35" t="s">
        <v>5894</v>
      </c>
      <c r="J35" t="s">
        <v>5986</v>
      </c>
      <c r="K35">
        <v>34</v>
      </c>
      <c r="M35" t="s">
        <v>277</v>
      </c>
      <c r="N35" t="s">
        <v>3388</v>
      </c>
      <c r="O35">
        <v>0</v>
      </c>
      <c r="P35">
        <v>315</v>
      </c>
      <c r="Q35">
        <v>295</v>
      </c>
      <c r="R35">
        <v>17.100000000000001</v>
      </c>
      <c r="S35">
        <v>16.3</v>
      </c>
      <c r="T35" t="s">
        <v>11150</v>
      </c>
    </row>
    <row r="36" spans="1:20" x14ac:dyDescent="0.25">
      <c r="A36" t="s">
        <v>5987</v>
      </c>
      <c r="B36">
        <v>35</v>
      </c>
      <c r="C36">
        <v>2</v>
      </c>
      <c r="D36" t="s">
        <v>1067</v>
      </c>
      <c r="E36" t="s">
        <v>5892</v>
      </c>
      <c r="F36" t="s">
        <v>5893</v>
      </c>
      <c r="G36" t="s">
        <v>2836</v>
      </c>
      <c r="H36" t="s">
        <v>5894</v>
      </c>
      <c r="J36" t="s">
        <v>5988</v>
      </c>
      <c r="K36">
        <v>35</v>
      </c>
      <c r="L36" t="s">
        <v>11130</v>
      </c>
      <c r="M36" t="s">
        <v>277</v>
      </c>
      <c r="N36" t="s">
        <v>1221</v>
      </c>
      <c r="O36">
        <v>0</v>
      </c>
      <c r="P36">
        <v>432</v>
      </c>
      <c r="Q36">
        <v>238</v>
      </c>
      <c r="R36">
        <v>23.4</v>
      </c>
      <c r="S36">
        <v>11.7</v>
      </c>
      <c r="T36" t="s">
        <v>11151</v>
      </c>
    </row>
    <row r="37" spans="1:20" x14ac:dyDescent="0.25">
      <c r="A37" t="s">
        <v>5989</v>
      </c>
      <c r="B37">
        <v>36</v>
      </c>
      <c r="C37">
        <v>2</v>
      </c>
      <c r="D37" t="s">
        <v>1067</v>
      </c>
      <c r="E37" t="s">
        <v>5900</v>
      </c>
      <c r="F37" t="s">
        <v>5901</v>
      </c>
      <c r="G37" t="s">
        <v>2839</v>
      </c>
      <c r="H37" t="s">
        <v>5926</v>
      </c>
      <c r="J37" t="s">
        <v>5990</v>
      </c>
      <c r="K37">
        <v>36</v>
      </c>
      <c r="M37" t="s">
        <v>277</v>
      </c>
      <c r="N37" t="s">
        <v>1212</v>
      </c>
      <c r="O37">
        <v>0</v>
      </c>
      <c r="P37">
        <v>280</v>
      </c>
      <c r="Q37">
        <v>175</v>
      </c>
      <c r="R37">
        <v>15.4</v>
      </c>
      <c r="S37">
        <v>10.1</v>
      </c>
      <c r="T37" t="s">
        <v>11149</v>
      </c>
    </row>
    <row r="38" spans="1:20" x14ac:dyDescent="0.25">
      <c r="A38" t="s">
        <v>5991</v>
      </c>
      <c r="B38">
        <v>37</v>
      </c>
      <c r="C38">
        <v>2</v>
      </c>
      <c r="D38" t="s">
        <v>1067</v>
      </c>
      <c r="E38" t="s">
        <v>5892</v>
      </c>
      <c r="F38" t="s">
        <v>5893</v>
      </c>
      <c r="G38" t="s">
        <v>2815</v>
      </c>
      <c r="H38" t="s">
        <v>5894</v>
      </c>
      <c r="J38" t="s">
        <v>5993</v>
      </c>
      <c r="K38">
        <v>37</v>
      </c>
      <c r="M38" t="s">
        <v>1224</v>
      </c>
      <c r="N38" t="s">
        <v>5992</v>
      </c>
      <c r="O38">
        <v>0</v>
      </c>
      <c r="P38">
        <v>519</v>
      </c>
      <c r="Q38">
        <v>519</v>
      </c>
      <c r="R38">
        <v>14.3</v>
      </c>
      <c r="S38">
        <v>14.3</v>
      </c>
      <c r="T38" t="s">
        <v>11143</v>
      </c>
    </row>
    <row r="39" spans="1:20" x14ac:dyDescent="0.25">
      <c r="A39" t="s">
        <v>5994</v>
      </c>
      <c r="B39">
        <v>38</v>
      </c>
      <c r="C39">
        <v>2</v>
      </c>
      <c r="D39" t="s">
        <v>1067</v>
      </c>
      <c r="E39" t="s">
        <v>5900</v>
      </c>
      <c r="F39" t="s">
        <v>5901</v>
      </c>
      <c r="G39" t="s">
        <v>2811</v>
      </c>
      <c r="H39" t="s">
        <v>5894</v>
      </c>
      <c r="J39" t="s">
        <v>5996</v>
      </c>
      <c r="K39">
        <v>38</v>
      </c>
      <c r="M39" t="s">
        <v>1227</v>
      </c>
      <c r="N39" t="s">
        <v>5995</v>
      </c>
      <c r="O39">
        <v>0</v>
      </c>
      <c r="P39">
        <v>522</v>
      </c>
      <c r="Q39">
        <v>192</v>
      </c>
      <c r="R39">
        <v>14.2</v>
      </c>
      <c r="S39">
        <v>5.9</v>
      </c>
      <c r="T39" t="s">
        <v>11147</v>
      </c>
    </row>
    <row r="40" spans="1:20" x14ac:dyDescent="0.25">
      <c r="A40" t="s">
        <v>5997</v>
      </c>
      <c r="B40">
        <v>39</v>
      </c>
      <c r="C40">
        <v>2</v>
      </c>
      <c r="D40" t="s">
        <v>1067</v>
      </c>
      <c r="E40" t="s">
        <v>5900</v>
      </c>
      <c r="F40" t="s">
        <v>5901</v>
      </c>
      <c r="G40" t="s">
        <v>2811</v>
      </c>
      <c r="H40" t="s">
        <v>5894</v>
      </c>
      <c r="J40" t="s">
        <v>5999</v>
      </c>
      <c r="K40">
        <v>39</v>
      </c>
      <c r="M40" t="s">
        <v>362</v>
      </c>
      <c r="N40" t="s">
        <v>5998</v>
      </c>
      <c r="O40">
        <v>1</v>
      </c>
      <c r="P40">
        <v>435</v>
      </c>
      <c r="Q40">
        <v>372</v>
      </c>
      <c r="R40">
        <v>23.4</v>
      </c>
      <c r="S40">
        <v>19.899999999999999</v>
      </c>
      <c r="T40" t="s">
        <v>11156</v>
      </c>
    </row>
    <row r="41" spans="1:20" x14ac:dyDescent="0.25">
      <c r="A41" t="s">
        <v>6000</v>
      </c>
      <c r="B41">
        <v>40</v>
      </c>
      <c r="C41">
        <v>2</v>
      </c>
      <c r="D41" t="s">
        <v>1067</v>
      </c>
      <c r="E41" t="s">
        <v>5892</v>
      </c>
      <c r="F41" t="s">
        <v>5893</v>
      </c>
      <c r="G41" t="s">
        <v>2839</v>
      </c>
      <c r="H41" t="s">
        <v>5894</v>
      </c>
      <c r="J41" t="s">
        <v>6001</v>
      </c>
      <c r="K41">
        <v>40</v>
      </c>
      <c r="M41" t="s">
        <v>362</v>
      </c>
      <c r="N41" t="s">
        <v>385</v>
      </c>
      <c r="O41">
        <v>0</v>
      </c>
      <c r="P41">
        <v>245</v>
      </c>
      <c r="Q41">
        <v>430</v>
      </c>
      <c r="R41">
        <v>13.6</v>
      </c>
      <c r="S41">
        <v>23.1</v>
      </c>
      <c r="T41" t="s">
        <v>11159</v>
      </c>
    </row>
    <row r="42" spans="1:20" x14ac:dyDescent="0.25">
      <c r="A42" t="s">
        <v>6002</v>
      </c>
      <c r="B42">
        <v>41</v>
      </c>
      <c r="C42">
        <v>2</v>
      </c>
      <c r="D42" t="s">
        <v>1067</v>
      </c>
      <c r="E42" t="s">
        <v>5892</v>
      </c>
      <c r="F42" t="s">
        <v>5893</v>
      </c>
      <c r="G42" t="s">
        <v>2836</v>
      </c>
      <c r="H42" t="s">
        <v>5894</v>
      </c>
      <c r="J42" t="s">
        <v>6004</v>
      </c>
      <c r="K42">
        <v>41</v>
      </c>
      <c r="M42" t="s">
        <v>362</v>
      </c>
      <c r="N42" t="s">
        <v>6003</v>
      </c>
      <c r="O42">
        <v>0</v>
      </c>
      <c r="P42">
        <v>299</v>
      </c>
      <c r="Q42">
        <v>415</v>
      </c>
      <c r="R42">
        <v>16.3</v>
      </c>
      <c r="S42">
        <v>22.3</v>
      </c>
      <c r="T42" t="s">
        <v>11158</v>
      </c>
    </row>
    <row r="43" spans="1:20" x14ac:dyDescent="0.25">
      <c r="A43" t="s">
        <v>6005</v>
      </c>
      <c r="B43">
        <v>42</v>
      </c>
      <c r="C43">
        <v>2</v>
      </c>
      <c r="D43" t="s">
        <v>1067</v>
      </c>
      <c r="E43" t="s">
        <v>5892</v>
      </c>
      <c r="F43" t="s">
        <v>5893</v>
      </c>
      <c r="G43" t="s">
        <v>2835</v>
      </c>
      <c r="H43" t="s">
        <v>5894</v>
      </c>
      <c r="J43" t="s">
        <v>6007</v>
      </c>
      <c r="K43">
        <v>42</v>
      </c>
      <c r="M43" t="s">
        <v>362</v>
      </c>
      <c r="N43" t="s">
        <v>6006</v>
      </c>
      <c r="O43">
        <v>0</v>
      </c>
      <c r="P43">
        <v>497</v>
      </c>
      <c r="Q43">
        <v>348</v>
      </c>
      <c r="R43">
        <v>26.5</v>
      </c>
      <c r="S43">
        <v>18.8</v>
      </c>
      <c r="T43" t="s">
        <v>11157</v>
      </c>
    </row>
    <row r="44" spans="1:20" x14ac:dyDescent="0.25">
      <c r="A44" t="s">
        <v>6008</v>
      </c>
      <c r="B44">
        <v>43</v>
      </c>
      <c r="C44">
        <v>2</v>
      </c>
      <c r="D44" t="s">
        <v>1067</v>
      </c>
      <c r="E44" t="s">
        <v>6010</v>
      </c>
      <c r="G44" t="s">
        <v>2839</v>
      </c>
      <c r="H44" t="s">
        <v>5894</v>
      </c>
      <c r="J44" t="s">
        <v>6009</v>
      </c>
      <c r="K44">
        <v>43</v>
      </c>
      <c r="M44" t="s">
        <v>369</v>
      </c>
      <c r="N44" t="s">
        <v>1276</v>
      </c>
      <c r="O44">
        <v>0</v>
      </c>
      <c r="P44">
        <v>388</v>
      </c>
      <c r="Q44">
        <v>189</v>
      </c>
      <c r="R44">
        <v>20.9</v>
      </c>
      <c r="S44">
        <v>10.7</v>
      </c>
      <c r="T44" t="s">
        <v>11162</v>
      </c>
    </row>
    <row r="45" spans="1:20" x14ac:dyDescent="0.25">
      <c r="A45" t="s">
        <v>6011</v>
      </c>
      <c r="B45">
        <v>44</v>
      </c>
      <c r="C45">
        <v>2</v>
      </c>
      <c r="D45" t="s">
        <v>1067</v>
      </c>
      <c r="E45" t="s">
        <v>5982</v>
      </c>
      <c r="G45" t="s">
        <v>2815</v>
      </c>
      <c r="H45" t="s">
        <v>5894</v>
      </c>
      <c r="J45" t="s">
        <v>6012</v>
      </c>
      <c r="K45">
        <v>44</v>
      </c>
      <c r="M45" t="s">
        <v>512</v>
      </c>
      <c r="N45" t="s">
        <v>1309</v>
      </c>
      <c r="O45">
        <v>1</v>
      </c>
      <c r="P45">
        <v>331</v>
      </c>
      <c r="Q45">
        <v>370</v>
      </c>
      <c r="R45">
        <v>17.8</v>
      </c>
      <c r="S45">
        <v>20.100000000000001</v>
      </c>
      <c r="T45" t="s">
        <v>11172</v>
      </c>
    </row>
    <row r="46" spans="1:20" x14ac:dyDescent="0.25">
      <c r="A46" t="s">
        <v>6013</v>
      </c>
      <c r="B46">
        <v>45</v>
      </c>
      <c r="C46">
        <v>2</v>
      </c>
      <c r="D46" t="s">
        <v>1067</v>
      </c>
      <c r="E46" t="s">
        <v>5892</v>
      </c>
      <c r="F46" t="s">
        <v>5893</v>
      </c>
      <c r="G46" t="s">
        <v>2815</v>
      </c>
      <c r="H46" t="s">
        <v>5894</v>
      </c>
      <c r="J46" t="s">
        <v>6014</v>
      </c>
      <c r="K46">
        <v>45</v>
      </c>
      <c r="M46" t="s">
        <v>512</v>
      </c>
      <c r="N46" t="s">
        <v>1299</v>
      </c>
      <c r="O46">
        <v>0</v>
      </c>
      <c r="P46">
        <v>268</v>
      </c>
      <c r="Q46">
        <v>645</v>
      </c>
      <c r="R46">
        <v>14.7</v>
      </c>
      <c r="S46">
        <v>33.9</v>
      </c>
      <c r="T46" t="s">
        <v>11173</v>
      </c>
    </row>
    <row r="47" spans="1:20" x14ac:dyDescent="0.25">
      <c r="A47" t="s">
        <v>6015</v>
      </c>
      <c r="B47">
        <v>46</v>
      </c>
      <c r="C47">
        <v>2</v>
      </c>
      <c r="D47" t="s">
        <v>1067</v>
      </c>
      <c r="E47" t="s">
        <v>5914</v>
      </c>
      <c r="G47" t="s">
        <v>2836</v>
      </c>
      <c r="H47" t="s">
        <v>5894</v>
      </c>
      <c r="J47" t="s">
        <v>6016</v>
      </c>
      <c r="K47">
        <v>46</v>
      </c>
      <c r="M47" t="s">
        <v>512</v>
      </c>
      <c r="N47" t="s">
        <v>1317</v>
      </c>
      <c r="O47">
        <v>0</v>
      </c>
      <c r="P47">
        <v>633</v>
      </c>
      <c r="Q47">
        <v>448</v>
      </c>
      <c r="R47">
        <v>33.299999999999997</v>
      </c>
      <c r="S47">
        <v>23.9</v>
      </c>
      <c r="T47" t="s">
        <v>11171</v>
      </c>
    </row>
    <row r="48" spans="1:20" x14ac:dyDescent="0.25">
      <c r="A48" t="s">
        <v>6017</v>
      </c>
      <c r="B48">
        <v>47</v>
      </c>
      <c r="C48">
        <v>2</v>
      </c>
      <c r="D48" t="s">
        <v>1067</v>
      </c>
      <c r="E48" t="s">
        <v>5892</v>
      </c>
      <c r="F48" t="s">
        <v>5893</v>
      </c>
      <c r="G48" t="s">
        <v>2811</v>
      </c>
      <c r="H48" t="s">
        <v>5894</v>
      </c>
      <c r="J48" t="s">
        <v>6018</v>
      </c>
      <c r="K48">
        <v>47</v>
      </c>
      <c r="M48" t="s">
        <v>512</v>
      </c>
      <c r="N48" t="s">
        <v>3396</v>
      </c>
      <c r="O48">
        <v>0</v>
      </c>
      <c r="P48">
        <v>473</v>
      </c>
      <c r="Q48">
        <v>390</v>
      </c>
      <c r="R48">
        <v>25.4</v>
      </c>
      <c r="S48">
        <v>21.1</v>
      </c>
      <c r="T48" t="s">
        <v>11170</v>
      </c>
    </row>
    <row r="49" spans="1:20" x14ac:dyDescent="0.25">
      <c r="A49" t="s">
        <v>6019</v>
      </c>
      <c r="B49">
        <v>48</v>
      </c>
      <c r="C49">
        <v>2</v>
      </c>
      <c r="D49" t="s">
        <v>1067</v>
      </c>
      <c r="E49" t="s">
        <v>5892</v>
      </c>
      <c r="F49" t="s">
        <v>5893</v>
      </c>
      <c r="G49" t="s">
        <v>2836</v>
      </c>
      <c r="H49" t="s">
        <v>5894</v>
      </c>
      <c r="J49" t="s">
        <v>6020</v>
      </c>
      <c r="K49">
        <v>48</v>
      </c>
      <c r="M49" t="s">
        <v>344</v>
      </c>
      <c r="N49" t="s">
        <v>1341</v>
      </c>
      <c r="O49">
        <v>0</v>
      </c>
      <c r="P49">
        <v>340</v>
      </c>
      <c r="Q49">
        <v>360</v>
      </c>
      <c r="R49">
        <v>18.399999999999999</v>
      </c>
      <c r="S49">
        <v>19.5</v>
      </c>
      <c r="T49" t="s">
        <v>11174</v>
      </c>
    </row>
    <row r="50" spans="1:20" x14ac:dyDescent="0.25">
      <c r="A50" t="s">
        <v>6021</v>
      </c>
      <c r="B50">
        <v>49</v>
      </c>
      <c r="C50">
        <v>2</v>
      </c>
      <c r="D50" t="s">
        <v>1067</v>
      </c>
      <c r="E50" t="s">
        <v>5892</v>
      </c>
      <c r="F50" t="s">
        <v>5893</v>
      </c>
      <c r="G50" t="s">
        <v>2839</v>
      </c>
      <c r="H50" t="s">
        <v>5894</v>
      </c>
      <c r="J50" t="s">
        <v>6023</v>
      </c>
      <c r="K50">
        <v>49</v>
      </c>
      <c r="M50" t="s">
        <v>344</v>
      </c>
      <c r="N50" t="s">
        <v>6022</v>
      </c>
      <c r="O50">
        <v>0</v>
      </c>
      <c r="P50">
        <v>289</v>
      </c>
      <c r="Q50">
        <v>605</v>
      </c>
      <c r="R50">
        <v>15.8</v>
      </c>
      <c r="S50">
        <v>32</v>
      </c>
      <c r="T50" t="s">
        <v>11176</v>
      </c>
    </row>
    <row r="51" spans="1:20" x14ac:dyDescent="0.25">
      <c r="A51" t="s">
        <v>6024</v>
      </c>
      <c r="B51">
        <v>50</v>
      </c>
      <c r="C51">
        <v>2</v>
      </c>
      <c r="D51" t="s">
        <v>1067</v>
      </c>
      <c r="E51" t="s">
        <v>5908</v>
      </c>
      <c r="G51" t="s">
        <v>2815</v>
      </c>
      <c r="H51" t="s">
        <v>5894</v>
      </c>
      <c r="J51" t="s">
        <v>6025</v>
      </c>
      <c r="K51">
        <v>50</v>
      </c>
      <c r="M51" t="s">
        <v>344</v>
      </c>
      <c r="N51" t="s">
        <v>1321</v>
      </c>
      <c r="O51">
        <v>0</v>
      </c>
      <c r="P51">
        <v>282</v>
      </c>
      <c r="Q51">
        <v>513</v>
      </c>
      <c r="R51">
        <v>15.4</v>
      </c>
      <c r="S51">
        <v>27.2</v>
      </c>
      <c r="T51" t="s">
        <v>11175</v>
      </c>
    </row>
    <row r="52" spans="1:20" x14ac:dyDescent="0.25">
      <c r="A52" t="s">
        <v>6026</v>
      </c>
      <c r="B52">
        <v>51</v>
      </c>
      <c r="C52">
        <v>2</v>
      </c>
      <c r="D52" t="s">
        <v>1067</v>
      </c>
      <c r="E52" t="s">
        <v>5892</v>
      </c>
      <c r="F52" t="s">
        <v>5893</v>
      </c>
      <c r="G52" t="s">
        <v>2837</v>
      </c>
      <c r="H52" t="s">
        <v>5894</v>
      </c>
      <c r="J52" t="s">
        <v>6027</v>
      </c>
      <c r="K52">
        <v>51</v>
      </c>
      <c r="M52" t="s">
        <v>446</v>
      </c>
      <c r="N52" t="s">
        <v>1396</v>
      </c>
      <c r="O52">
        <v>0</v>
      </c>
      <c r="P52">
        <v>152</v>
      </c>
      <c r="Q52">
        <v>83</v>
      </c>
      <c r="R52">
        <v>8.6999999999999993</v>
      </c>
      <c r="S52">
        <v>5.2</v>
      </c>
      <c r="T52" t="s">
        <v>11183</v>
      </c>
    </row>
    <row r="53" spans="1:20" x14ac:dyDescent="0.25">
      <c r="A53" t="s">
        <v>6028</v>
      </c>
      <c r="B53">
        <v>52</v>
      </c>
      <c r="C53">
        <v>2</v>
      </c>
      <c r="D53" t="s">
        <v>1067</v>
      </c>
      <c r="E53" t="s">
        <v>5892</v>
      </c>
      <c r="F53" t="s">
        <v>5893</v>
      </c>
      <c r="G53" t="s">
        <v>2836</v>
      </c>
      <c r="H53" t="s">
        <v>6031</v>
      </c>
      <c r="J53" t="s">
        <v>6030</v>
      </c>
      <c r="K53">
        <v>52</v>
      </c>
      <c r="M53" t="s">
        <v>446</v>
      </c>
      <c r="N53" t="s">
        <v>6029</v>
      </c>
      <c r="O53">
        <v>0</v>
      </c>
      <c r="P53">
        <v>224</v>
      </c>
      <c r="Q53">
        <v>270</v>
      </c>
      <c r="R53">
        <v>12.4</v>
      </c>
      <c r="S53">
        <v>14.8</v>
      </c>
      <c r="T53" t="s">
        <v>11182</v>
      </c>
    </row>
    <row r="54" spans="1:20" x14ac:dyDescent="0.25">
      <c r="A54" t="s">
        <v>6032</v>
      </c>
      <c r="B54">
        <v>53</v>
      </c>
      <c r="C54">
        <v>2</v>
      </c>
      <c r="D54" t="s">
        <v>1067</v>
      </c>
      <c r="E54" t="s">
        <v>6034</v>
      </c>
      <c r="G54" t="s">
        <v>2839</v>
      </c>
      <c r="H54" t="s">
        <v>5894</v>
      </c>
      <c r="J54" t="s">
        <v>6033</v>
      </c>
      <c r="K54">
        <v>53</v>
      </c>
      <c r="M54" t="s">
        <v>337</v>
      </c>
      <c r="N54" t="s">
        <v>3404</v>
      </c>
      <c r="O54">
        <v>0</v>
      </c>
      <c r="P54">
        <v>394</v>
      </c>
      <c r="Q54">
        <v>324</v>
      </c>
      <c r="R54">
        <v>21.4</v>
      </c>
      <c r="S54">
        <v>17.5</v>
      </c>
      <c r="T54" t="s">
        <v>11184</v>
      </c>
    </row>
    <row r="55" spans="1:20" x14ac:dyDescent="0.25">
      <c r="A55" t="s">
        <v>6035</v>
      </c>
      <c r="B55">
        <v>54</v>
      </c>
      <c r="C55">
        <v>2</v>
      </c>
      <c r="D55" t="s">
        <v>1067</v>
      </c>
      <c r="E55" t="s">
        <v>5892</v>
      </c>
      <c r="F55" t="s">
        <v>5893</v>
      </c>
      <c r="G55" t="s">
        <v>2836</v>
      </c>
      <c r="H55" t="s">
        <v>5926</v>
      </c>
      <c r="J55" t="s">
        <v>6037</v>
      </c>
      <c r="K55">
        <v>54</v>
      </c>
      <c r="L55" t="s">
        <v>11130</v>
      </c>
      <c r="M55" t="s">
        <v>337</v>
      </c>
      <c r="N55" t="s">
        <v>6036</v>
      </c>
      <c r="O55">
        <v>0</v>
      </c>
      <c r="P55">
        <v>344</v>
      </c>
      <c r="Q55">
        <v>489</v>
      </c>
      <c r="R55">
        <v>18.5</v>
      </c>
      <c r="S55">
        <v>26.1</v>
      </c>
      <c r="T55" t="s">
        <v>11185</v>
      </c>
    </row>
    <row r="56" spans="1:20" x14ac:dyDescent="0.25">
      <c r="A56" t="s">
        <v>6038</v>
      </c>
      <c r="B56">
        <v>55</v>
      </c>
      <c r="C56">
        <v>2</v>
      </c>
      <c r="D56" t="s">
        <v>1067</v>
      </c>
      <c r="E56" t="s">
        <v>5892</v>
      </c>
      <c r="F56" t="s">
        <v>5893</v>
      </c>
      <c r="G56" t="s">
        <v>2836</v>
      </c>
      <c r="H56" t="s">
        <v>5894</v>
      </c>
      <c r="J56" t="s">
        <v>6039</v>
      </c>
      <c r="K56">
        <v>55</v>
      </c>
      <c r="M56" t="s">
        <v>398</v>
      </c>
      <c r="N56" t="s">
        <v>1440</v>
      </c>
      <c r="O56">
        <v>0</v>
      </c>
      <c r="P56">
        <v>579</v>
      </c>
      <c r="Q56">
        <v>498</v>
      </c>
      <c r="R56">
        <v>30.7</v>
      </c>
      <c r="S56">
        <v>26.5</v>
      </c>
      <c r="T56" t="s">
        <v>11190</v>
      </c>
    </row>
    <row r="57" spans="1:20" x14ac:dyDescent="0.25">
      <c r="A57" t="s">
        <v>6040</v>
      </c>
      <c r="B57">
        <v>56</v>
      </c>
      <c r="C57">
        <v>2</v>
      </c>
      <c r="D57" t="s">
        <v>1067</v>
      </c>
      <c r="E57" t="s">
        <v>5892</v>
      </c>
      <c r="F57" t="s">
        <v>5893</v>
      </c>
      <c r="G57" t="s">
        <v>2815</v>
      </c>
      <c r="H57" t="s">
        <v>5894</v>
      </c>
      <c r="J57" t="s">
        <v>6042</v>
      </c>
      <c r="K57">
        <v>56</v>
      </c>
      <c r="M57" t="s">
        <v>398</v>
      </c>
      <c r="N57" t="s">
        <v>6041</v>
      </c>
      <c r="O57">
        <v>1</v>
      </c>
      <c r="P57">
        <v>172</v>
      </c>
      <c r="Q57">
        <v>307</v>
      </c>
      <c r="R57">
        <v>10</v>
      </c>
      <c r="S57">
        <v>16.7</v>
      </c>
      <c r="T57" t="s">
        <v>11191</v>
      </c>
    </row>
    <row r="58" spans="1:20" x14ac:dyDescent="0.25">
      <c r="A58" t="s">
        <v>6044</v>
      </c>
      <c r="B58">
        <v>57</v>
      </c>
      <c r="C58">
        <v>2</v>
      </c>
      <c r="D58" t="s">
        <v>1067</v>
      </c>
      <c r="E58" t="s">
        <v>5901</v>
      </c>
      <c r="G58" t="s">
        <v>2839</v>
      </c>
      <c r="H58" t="s">
        <v>5902</v>
      </c>
      <c r="J58" t="s">
        <v>6045</v>
      </c>
      <c r="K58">
        <v>57</v>
      </c>
      <c r="M58" t="s">
        <v>398</v>
      </c>
      <c r="N58" t="s">
        <v>1436</v>
      </c>
      <c r="O58">
        <v>0</v>
      </c>
      <c r="P58">
        <v>473</v>
      </c>
      <c r="Q58">
        <v>268</v>
      </c>
      <c r="R58">
        <v>25.2</v>
      </c>
      <c r="S58">
        <v>14.7</v>
      </c>
      <c r="T58" t="s">
        <v>11195</v>
      </c>
    </row>
    <row r="59" spans="1:20" x14ac:dyDescent="0.25">
      <c r="A59" t="s">
        <v>6047</v>
      </c>
      <c r="B59">
        <v>58</v>
      </c>
      <c r="C59">
        <v>2</v>
      </c>
      <c r="D59" t="s">
        <v>1067</v>
      </c>
      <c r="E59" t="s">
        <v>5914</v>
      </c>
      <c r="G59" t="s">
        <v>2811</v>
      </c>
      <c r="H59" t="s">
        <v>5902</v>
      </c>
      <c r="J59" t="s">
        <v>6048</v>
      </c>
      <c r="K59">
        <v>58</v>
      </c>
      <c r="M59" t="s">
        <v>347</v>
      </c>
      <c r="N59" t="s">
        <v>1458</v>
      </c>
      <c r="O59">
        <v>0</v>
      </c>
      <c r="P59">
        <v>218</v>
      </c>
      <c r="Q59">
        <v>430</v>
      </c>
      <c r="R59">
        <v>12.2</v>
      </c>
      <c r="S59">
        <v>22.9</v>
      </c>
      <c r="T59" t="s">
        <v>11194</v>
      </c>
    </row>
    <row r="60" spans="1:20" x14ac:dyDescent="0.25">
      <c r="A60" t="s">
        <v>6049</v>
      </c>
      <c r="B60">
        <v>59</v>
      </c>
      <c r="C60">
        <v>2</v>
      </c>
      <c r="D60" t="s">
        <v>1067</v>
      </c>
      <c r="E60" t="s">
        <v>5892</v>
      </c>
      <c r="F60" t="s">
        <v>5893</v>
      </c>
      <c r="G60" t="s">
        <v>2811</v>
      </c>
      <c r="H60" t="s">
        <v>5894</v>
      </c>
      <c r="J60" t="s">
        <v>6050</v>
      </c>
      <c r="K60">
        <v>59</v>
      </c>
      <c r="M60" t="s">
        <v>347</v>
      </c>
      <c r="N60" t="s">
        <v>1469</v>
      </c>
      <c r="O60">
        <v>0</v>
      </c>
      <c r="P60">
        <v>359</v>
      </c>
      <c r="Q60">
        <v>382</v>
      </c>
      <c r="R60">
        <v>19.3</v>
      </c>
      <c r="S60">
        <v>20.5</v>
      </c>
      <c r="T60" t="s">
        <v>11196</v>
      </c>
    </row>
    <row r="61" spans="1:20" x14ac:dyDescent="0.25">
      <c r="A61" t="s">
        <v>6051</v>
      </c>
      <c r="B61">
        <v>60</v>
      </c>
      <c r="C61">
        <v>2</v>
      </c>
      <c r="D61" t="s">
        <v>1067</v>
      </c>
      <c r="E61" t="s">
        <v>6054</v>
      </c>
      <c r="G61" t="s">
        <v>2836</v>
      </c>
      <c r="H61" t="s">
        <v>5894</v>
      </c>
      <c r="J61" t="s">
        <v>6053</v>
      </c>
      <c r="K61">
        <v>60</v>
      </c>
      <c r="M61" t="s">
        <v>347</v>
      </c>
      <c r="N61" t="s">
        <v>6052</v>
      </c>
      <c r="O61">
        <v>0</v>
      </c>
      <c r="P61">
        <v>397</v>
      </c>
      <c r="Q61">
        <v>732</v>
      </c>
      <c r="R61">
        <v>21.3</v>
      </c>
      <c r="S61">
        <v>38.6</v>
      </c>
      <c r="T61" t="s">
        <v>11197</v>
      </c>
    </row>
    <row r="62" spans="1:20" x14ac:dyDescent="0.25">
      <c r="A62" t="s">
        <v>6055</v>
      </c>
      <c r="B62">
        <v>61</v>
      </c>
      <c r="C62">
        <v>2</v>
      </c>
      <c r="D62" t="s">
        <v>1067</v>
      </c>
      <c r="E62" t="s">
        <v>5892</v>
      </c>
      <c r="F62" t="s">
        <v>5893</v>
      </c>
      <c r="G62" t="s">
        <v>2836</v>
      </c>
      <c r="H62" t="s">
        <v>5894</v>
      </c>
      <c r="J62" t="s">
        <v>6056</v>
      </c>
      <c r="K62">
        <v>61</v>
      </c>
      <c r="M62" t="s">
        <v>347</v>
      </c>
      <c r="N62" t="s">
        <v>323</v>
      </c>
      <c r="O62">
        <v>0</v>
      </c>
      <c r="P62">
        <v>449</v>
      </c>
      <c r="Q62">
        <v>212</v>
      </c>
      <c r="R62">
        <v>23.8</v>
      </c>
      <c r="S62">
        <v>11.8</v>
      </c>
      <c r="T62" t="s">
        <v>11198</v>
      </c>
    </row>
    <row r="63" spans="1:20" x14ac:dyDescent="0.25">
      <c r="A63" t="s">
        <v>6057</v>
      </c>
      <c r="B63">
        <v>62</v>
      </c>
      <c r="C63">
        <v>2</v>
      </c>
      <c r="D63" t="s">
        <v>1067</v>
      </c>
      <c r="E63" t="s">
        <v>6054</v>
      </c>
      <c r="G63" t="s">
        <v>2811</v>
      </c>
      <c r="H63" t="s">
        <v>6059</v>
      </c>
      <c r="J63" t="s">
        <v>6058</v>
      </c>
      <c r="K63">
        <v>62</v>
      </c>
      <c r="M63" t="s">
        <v>347</v>
      </c>
      <c r="N63" t="s">
        <v>1460</v>
      </c>
      <c r="O63">
        <v>0</v>
      </c>
      <c r="P63">
        <v>270</v>
      </c>
      <c r="Q63">
        <v>499</v>
      </c>
      <c r="R63">
        <v>14.6</v>
      </c>
      <c r="S63">
        <v>26.5</v>
      </c>
      <c r="T63" t="s">
        <v>11199</v>
      </c>
    </row>
    <row r="64" spans="1:20" x14ac:dyDescent="0.25">
      <c r="A64" t="s">
        <v>6060</v>
      </c>
      <c r="B64">
        <v>63</v>
      </c>
      <c r="C64">
        <v>2</v>
      </c>
      <c r="D64" t="s">
        <v>1067</v>
      </c>
      <c r="E64" t="s">
        <v>5892</v>
      </c>
      <c r="F64" t="s">
        <v>5893</v>
      </c>
      <c r="G64" t="s">
        <v>2811</v>
      </c>
      <c r="H64" t="s">
        <v>5935</v>
      </c>
      <c r="J64" t="s">
        <v>6061</v>
      </c>
      <c r="K64">
        <v>63</v>
      </c>
      <c r="M64" t="s">
        <v>291</v>
      </c>
      <c r="N64" t="s">
        <v>1480</v>
      </c>
      <c r="O64">
        <v>0</v>
      </c>
      <c r="P64">
        <v>415</v>
      </c>
      <c r="Q64">
        <v>482</v>
      </c>
      <c r="R64">
        <v>22.2</v>
      </c>
      <c r="S64">
        <v>25.7</v>
      </c>
      <c r="T64" t="s">
        <v>11200</v>
      </c>
    </row>
    <row r="65" spans="1:20" x14ac:dyDescent="0.25">
      <c r="A65" t="s">
        <v>6062</v>
      </c>
      <c r="B65">
        <v>64</v>
      </c>
      <c r="C65">
        <v>2</v>
      </c>
      <c r="D65" t="s">
        <v>1067</v>
      </c>
      <c r="E65" t="s">
        <v>5892</v>
      </c>
      <c r="F65" t="s">
        <v>5893</v>
      </c>
      <c r="G65" t="s">
        <v>2839</v>
      </c>
      <c r="H65" t="s">
        <v>5894</v>
      </c>
      <c r="J65" t="s">
        <v>6064</v>
      </c>
      <c r="K65">
        <v>64</v>
      </c>
      <c r="M65" t="s">
        <v>291</v>
      </c>
      <c r="N65" t="s">
        <v>6063</v>
      </c>
      <c r="O65">
        <v>0</v>
      </c>
      <c r="P65">
        <v>383</v>
      </c>
      <c r="Q65">
        <v>556</v>
      </c>
      <c r="R65">
        <v>20.6</v>
      </c>
      <c r="S65">
        <v>29.5</v>
      </c>
      <c r="T65" t="s">
        <v>11201</v>
      </c>
    </row>
    <row r="66" spans="1:20" x14ac:dyDescent="0.25">
      <c r="A66" t="s">
        <v>6065</v>
      </c>
      <c r="B66">
        <v>65</v>
      </c>
      <c r="C66">
        <v>2</v>
      </c>
      <c r="D66" t="s">
        <v>1067</v>
      </c>
      <c r="E66" t="s">
        <v>5892</v>
      </c>
      <c r="F66" t="s">
        <v>5893</v>
      </c>
      <c r="G66" t="s">
        <v>2836</v>
      </c>
      <c r="H66" t="s">
        <v>5894</v>
      </c>
      <c r="J66" t="s">
        <v>6066</v>
      </c>
      <c r="K66">
        <v>65</v>
      </c>
      <c r="M66" t="s">
        <v>291</v>
      </c>
      <c r="N66" t="s">
        <v>1477</v>
      </c>
      <c r="O66">
        <v>0</v>
      </c>
      <c r="P66">
        <v>390</v>
      </c>
      <c r="Q66">
        <v>422</v>
      </c>
      <c r="R66">
        <v>20.8</v>
      </c>
      <c r="S66">
        <v>22.5</v>
      </c>
      <c r="T66" t="s">
        <v>11202</v>
      </c>
    </row>
    <row r="67" spans="1:20" x14ac:dyDescent="0.25">
      <c r="A67" t="s">
        <v>6067</v>
      </c>
      <c r="B67">
        <v>66</v>
      </c>
      <c r="C67">
        <v>2</v>
      </c>
      <c r="D67" t="s">
        <v>1067</v>
      </c>
      <c r="E67" t="s">
        <v>5908</v>
      </c>
      <c r="G67" t="s">
        <v>2815</v>
      </c>
      <c r="H67" t="s">
        <v>5894</v>
      </c>
      <c r="J67" t="s">
        <v>6068</v>
      </c>
      <c r="K67">
        <v>66</v>
      </c>
      <c r="M67" t="s">
        <v>291</v>
      </c>
      <c r="N67" t="s">
        <v>1486</v>
      </c>
      <c r="O67">
        <v>0</v>
      </c>
      <c r="P67">
        <v>372</v>
      </c>
      <c r="Q67">
        <v>323</v>
      </c>
      <c r="R67">
        <v>20</v>
      </c>
      <c r="S67">
        <v>17.7</v>
      </c>
      <c r="T67" t="s">
        <v>11203</v>
      </c>
    </row>
    <row r="68" spans="1:20" x14ac:dyDescent="0.25">
      <c r="A68" t="s">
        <v>6069</v>
      </c>
      <c r="B68">
        <v>67</v>
      </c>
      <c r="C68">
        <v>2</v>
      </c>
      <c r="D68" t="s">
        <v>1067</v>
      </c>
      <c r="E68" t="s">
        <v>5914</v>
      </c>
      <c r="G68" t="s">
        <v>2839</v>
      </c>
      <c r="H68" t="s">
        <v>5894</v>
      </c>
      <c r="J68" t="s">
        <v>6070</v>
      </c>
      <c r="K68">
        <v>67</v>
      </c>
      <c r="M68" t="s">
        <v>291</v>
      </c>
      <c r="N68" t="s">
        <v>1482</v>
      </c>
      <c r="O68">
        <v>1</v>
      </c>
      <c r="P68">
        <v>498</v>
      </c>
      <c r="Q68">
        <v>426</v>
      </c>
      <c r="R68">
        <v>26.4</v>
      </c>
      <c r="S68">
        <v>22.7</v>
      </c>
      <c r="T68" t="s">
        <v>11204</v>
      </c>
    </row>
    <row r="69" spans="1:20" x14ac:dyDescent="0.25">
      <c r="A69" t="s">
        <v>6071</v>
      </c>
      <c r="B69">
        <v>68</v>
      </c>
      <c r="C69">
        <v>2</v>
      </c>
      <c r="D69" t="s">
        <v>1067</v>
      </c>
      <c r="E69" t="s">
        <v>5892</v>
      </c>
      <c r="F69" t="s">
        <v>5893</v>
      </c>
      <c r="G69" t="s">
        <v>2837</v>
      </c>
      <c r="H69" t="s">
        <v>5894</v>
      </c>
      <c r="J69" t="s">
        <v>6073</v>
      </c>
      <c r="K69">
        <v>68</v>
      </c>
      <c r="M69" t="s">
        <v>1499</v>
      </c>
      <c r="N69" t="s">
        <v>6072</v>
      </c>
      <c r="O69">
        <v>0</v>
      </c>
      <c r="P69">
        <v>479</v>
      </c>
      <c r="Q69">
        <v>562</v>
      </c>
      <c r="R69">
        <v>25.4</v>
      </c>
      <c r="S69">
        <v>29.9</v>
      </c>
      <c r="T69" t="s">
        <v>11205</v>
      </c>
    </row>
    <row r="70" spans="1:20" x14ac:dyDescent="0.25">
      <c r="A70" t="s">
        <v>6074</v>
      </c>
      <c r="B70">
        <v>69</v>
      </c>
      <c r="C70">
        <v>2</v>
      </c>
      <c r="D70" t="s">
        <v>1067</v>
      </c>
      <c r="E70" t="s">
        <v>5914</v>
      </c>
      <c r="G70" t="s">
        <v>2839</v>
      </c>
      <c r="H70" t="s">
        <v>5894</v>
      </c>
      <c r="J70" t="s">
        <v>6076</v>
      </c>
      <c r="K70">
        <v>69</v>
      </c>
      <c r="M70" t="s">
        <v>1499</v>
      </c>
      <c r="N70" t="s">
        <v>6075</v>
      </c>
      <c r="O70">
        <v>0</v>
      </c>
      <c r="P70">
        <v>480</v>
      </c>
      <c r="Q70">
        <v>560</v>
      </c>
      <c r="R70">
        <v>25.4</v>
      </c>
      <c r="S70">
        <v>29.8</v>
      </c>
      <c r="T70" t="s">
        <v>11206</v>
      </c>
    </row>
    <row r="71" spans="1:20" x14ac:dyDescent="0.25">
      <c r="A71" t="s">
        <v>6077</v>
      </c>
      <c r="B71">
        <v>70</v>
      </c>
      <c r="C71">
        <v>2</v>
      </c>
      <c r="D71" t="s">
        <v>1067</v>
      </c>
      <c r="E71" t="s">
        <v>6080</v>
      </c>
      <c r="G71" t="s">
        <v>2815</v>
      </c>
      <c r="H71" t="s">
        <v>5894</v>
      </c>
      <c r="J71" t="s">
        <v>6079</v>
      </c>
      <c r="K71">
        <v>70</v>
      </c>
      <c r="M71" t="s">
        <v>1499</v>
      </c>
      <c r="N71" t="s">
        <v>6078</v>
      </c>
      <c r="O71">
        <v>0</v>
      </c>
      <c r="P71">
        <v>210</v>
      </c>
      <c r="Q71">
        <v>289</v>
      </c>
      <c r="R71">
        <v>11.7</v>
      </c>
      <c r="S71">
        <v>15.8</v>
      </c>
      <c r="T71" t="s">
        <v>11207</v>
      </c>
    </row>
    <row r="72" spans="1:20" x14ac:dyDescent="0.25">
      <c r="A72" t="s">
        <v>6081</v>
      </c>
      <c r="B72">
        <v>71</v>
      </c>
      <c r="C72">
        <v>2</v>
      </c>
      <c r="D72" t="s">
        <v>1067</v>
      </c>
      <c r="E72" t="s">
        <v>5892</v>
      </c>
      <c r="F72" t="s">
        <v>5893</v>
      </c>
      <c r="G72" t="s">
        <v>2811</v>
      </c>
      <c r="H72" t="s">
        <v>5894</v>
      </c>
      <c r="J72" t="s">
        <v>6083</v>
      </c>
      <c r="K72">
        <v>71</v>
      </c>
      <c r="M72" t="s">
        <v>1499</v>
      </c>
      <c r="N72" t="s">
        <v>6082</v>
      </c>
      <c r="O72">
        <v>0</v>
      </c>
      <c r="P72">
        <v>232</v>
      </c>
      <c r="Q72">
        <v>318</v>
      </c>
      <c r="R72">
        <v>12.8</v>
      </c>
      <c r="S72">
        <v>17.3</v>
      </c>
      <c r="T72" t="s">
        <v>11208</v>
      </c>
    </row>
    <row r="73" spans="1:20" x14ac:dyDescent="0.25">
      <c r="A73" t="s">
        <v>6084</v>
      </c>
      <c r="B73">
        <v>72</v>
      </c>
      <c r="C73">
        <v>2</v>
      </c>
      <c r="D73" t="s">
        <v>1067</v>
      </c>
      <c r="E73" t="s">
        <v>5892</v>
      </c>
      <c r="F73" t="s">
        <v>5893</v>
      </c>
      <c r="G73" t="s">
        <v>2837</v>
      </c>
      <c r="H73" t="s">
        <v>5894</v>
      </c>
      <c r="J73" t="s">
        <v>6085</v>
      </c>
      <c r="K73">
        <v>72</v>
      </c>
      <c r="M73" t="s">
        <v>1499</v>
      </c>
      <c r="N73" t="s">
        <v>1517</v>
      </c>
      <c r="O73">
        <v>0</v>
      </c>
      <c r="P73">
        <v>130</v>
      </c>
      <c r="Q73">
        <v>543</v>
      </c>
      <c r="R73">
        <v>7.8</v>
      </c>
      <c r="S73">
        <v>28.9</v>
      </c>
      <c r="T73" t="s">
        <v>11209</v>
      </c>
    </row>
    <row r="74" spans="1:20" x14ac:dyDescent="0.25">
      <c r="A74" t="s">
        <v>6086</v>
      </c>
      <c r="B74">
        <v>73</v>
      </c>
      <c r="C74">
        <v>2</v>
      </c>
      <c r="D74" t="s">
        <v>1067</v>
      </c>
      <c r="E74" t="s">
        <v>6080</v>
      </c>
      <c r="G74" t="s">
        <v>2839</v>
      </c>
      <c r="H74" t="s">
        <v>5894</v>
      </c>
      <c r="J74" t="s">
        <v>6087</v>
      </c>
      <c r="K74">
        <v>73</v>
      </c>
      <c r="M74" t="s">
        <v>1499</v>
      </c>
      <c r="N74" t="s">
        <v>1523</v>
      </c>
      <c r="O74">
        <v>0</v>
      </c>
      <c r="P74">
        <v>136</v>
      </c>
      <c r="Q74">
        <v>592</v>
      </c>
      <c r="R74">
        <v>7.9</v>
      </c>
      <c r="S74">
        <v>31.3</v>
      </c>
      <c r="T74" t="s">
        <v>11210</v>
      </c>
    </row>
    <row r="75" spans="1:20" x14ac:dyDescent="0.25">
      <c r="A75" t="s">
        <v>6088</v>
      </c>
      <c r="B75">
        <v>74</v>
      </c>
      <c r="C75">
        <v>2</v>
      </c>
      <c r="D75" t="s">
        <v>1067</v>
      </c>
      <c r="E75" t="s">
        <v>5892</v>
      </c>
      <c r="F75" t="s">
        <v>5893</v>
      </c>
      <c r="G75" t="s">
        <v>2815</v>
      </c>
      <c r="H75" t="s">
        <v>5894</v>
      </c>
      <c r="J75" t="s">
        <v>6089</v>
      </c>
      <c r="K75">
        <v>74</v>
      </c>
      <c r="M75" t="s">
        <v>1499</v>
      </c>
      <c r="N75" t="s">
        <v>693</v>
      </c>
      <c r="O75">
        <v>1</v>
      </c>
      <c r="P75">
        <v>23</v>
      </c>
      <c r="Q75">
        <v>399</v>
      </c>
      <c r="R75">
        <v>2.2000000000000002</v>
      </c>
      <c r="S75">
        <v>21.4</v>
      </c>
      <c r="T75" t="s">
        <v>11211</v>
      </c>
    </row>
    <row r="76" spans="1:20" x14ac:dyDescent="0.25">
      <c r="A76" t="s">
        <v>6090</v>
      </c>
      <c r="B76">
        <v>75</v>
      </c>
      <c r="C76">
        <v>2</v>
      </c>
      <c r="D76" t="s">
        <v>1067</v>
      </c>
      <c r="E76" t="s">
        <v>5892</v>
      </c>
      <c r="F76" t="s">
        <v>5893</v>
      </c>
      <c r="G76" t="s">
        <v>2836</v>
      </c>
      <c r="H76" t="s">
        <v>5894</v>
      </c>
      <c r="J76" t="s">
        <v>6091</v>
      </c>
      <c r="K76">
        <v>75</v>
      </c>
      <c r="M76" t="s">
        <v>1499</v>
      </c>
      <c r="N76" t="s">
        <v>3417</v>
      </c>
      <c r="O76">
        <v>1</v>
      </c>
      <c r="P76">
        <v>498</v>
      </c>
      <c r="Q76">
        <v>325</v>
      </c>
      <c r="R76">
        <v>26.5</v>
      </c>
      <c r="S76">
        <v>17.7</v>
      </c>
      <c r="T76" t="s">
        <v>11212</v>
      </c>
    </row>
    <row r="77" spans="1:20" x14ac:dyDescent="0.25">
      <c r="A77" t="s">
        <v>6092</v>
      </c>
      <c r="B77">
        <v>76</v>
      </c>
      <c r="C77">
        <v>2</v>
      </c>
      <c r="D77" t="s">
        <v>1067</v>
      </c>
      <c r="E77" t="s">
        <v>5892</v>
      </c>
      <c r="F77" t="s">
        <v>5893</v>
      </c>
      <c r="G77" t="s">
        <v>2811</v>
      </c>
      <c r="H77" t="s">
        <v>5894</v>
      </c>
      <c r="J77" t="s">
        <v>6094</v>
      </c>
      <c r="K77">
        <v>76</v>
      </c>
      <c r="L77" t="s">
        <v>11130</v>
      </c>
      <c r="M77" t="s">
        <v>1499</v>
      </c>
      <c r="N77" t="s">
        <v>6093</v>
      </c>
      <c r="O77">
        <v>0</v>
      </c>
      <c r="P77">
        <v>531</v>
      </c>
      <c r="Q77">
        <v>183</v>
      </c>
      <c r="R77">
        <v>28.2</v>
      </c>
      <c r="S77">
        <v>10.3</v>
      </c>
      <c r="T77" t="s">
        <v>11213</v>
      </c>
    </row>
    <row r="78" spans="1:20" x14ac:dyDescent="0.25">
      <c r="A78" t="s">
        <v>6095</v>
      </c>
      <c r="B78">
        <v>77</v>
      </c>
      <c r="C78">
        <v>2</v>
      </c>
      <c r="D78" t="s">
        <v>1067</v>
      </c>
      <c r="E78" t="s">
        <v>6097</v>
      </c>
      <c r="G78" t="s">
        <v>2836</v>
      </c>
      <c r="H78" t="s">
        <v>5894</v>
      </c>
      <c r="J78" t="s">
        <v>6096</v>
      </c>
      <c r="K78">
        <v>77</v>
      </c>
      <c r="M78" t="s">
        <v>494</v>
      </c>
      <c r="N78" t="s">
        <v>1566</v>
      </c>
      <c r="O78">
        <v>0</v>
      </c>
      <c r="P78">
        <v>172</v>
      </c>
      <c r="Q78">
        <v>241</v>
      </c>
      <c r="R78">
        <v>9.8000000000000007</v>
      </c>
      <c r="S78">
        <v>13.5</v>
      </c>
      <c r="T78" t="s">
        <v>11214</v>
      </c>
    </row>
    <row r="79" spans="1:20" x14ac:dyDescent="0.25">
      <c r="A79" t="s">
        <v>6098</v>
      </c>
      <c r="B79">
        <v>78</v>
      </c>
      <c r="C79">
        <v>2</v>
      </c>
      <c r="D79" t="s">
        <v>1067</v>
      </c>
      <c r="E79" t="s">
        <v>5892</v>
      </c>
      <c r="F79" t="s">
        <v>5893</v>
      </c>
      <c r="G79" t="s">
        <v>2839</v>
      </c>
      <c r="H79" t="s">
        <v>5894</v>
      </c>
      <c r="J79" t="s">
        <v>6100</v>
      </c>
      <c r="K79">
        <v>78</v>
      </c>
      <c r="M79" t="s">
        <v>494</v>
      </c>
      <c r="N79" t="s">
        <v>6099</v>
      </c>
      <c r="O79">
        <v>0</v>
      </c>
      <c r="P79">
        <v>517</v>
      </c>
      <c r="Q79">
        <v>139</v>
      </c>
      <c r="R79">
        <v>27.4</v>
      </c>
      <c r="S79">
        <v>8</v>
      </c>
      <c r="T79" t="s">
        <v>11216</v>
      </c>
    </row>
    <row r="80" spans="1:20" x14ac:dyDescent="0.25">
      <c r="A80" t="s">
        <v>6101</v>
      </c>
      <c r="B80">
        <v>79</v>
      </c>
      <c r="C80">
        <v>2</v>
      </c>
      <c r="D80" t="s">
        <v>1067</v>
      </c>
      <c r="E80" t="s">
        <v>5892</v>
      </c>
      <c r="F80" t="s">
        <v>5893</v>
      </c>
      <c r="G80" t="s">
        <v>2836</v>
      </c>
      <c r="H80" t="s">
        <v>5894</v>
      </c>
      <c r="J80" t="s">
        <v>6102</v>
      </c>
      <c r="K80">
        <v>79</v>
      </c>
      <c r="M80" t="s">
        <v>494</v>
      </c>
      <c r="N80" t="s">
        <v>1570</v>
      </c>
      <c r="O80">
        <v>0</v>
      </c>
      <c r="P80">
        <v>352</v>
      </c>
      <c r="Q80">
        <v>325</v>
      </c>
      <c r="R80">
        <v>18.600000000000001</v>
      </c>
      <c r="S80">
        <v>17.7</v>
      </c>
      <c r="T80" t="s">
        <v>11215</v>
      </c>
    </row>
    <row r="81" spans="1:20" s="8" customFormat="1" x14ac:dyDescent="0.25">
      <c r="A81" s="8" t="s">
        <v>6103</v>
      </c>
      <c r="B81" s="8">
        <v>80</v>
      </c>
      <c r="C81" s="8">
        <v>2</v>
      </c>
      <c r="D81" s="8" t="s">
        <v>1067</v>
      </c>
      <c r="E81" s="8" t="s">
        <v>5892</v>
      </c>
      <c r="F81" s="8" t="s">
        <v>5893</v>
      </c>
      <c r="G81" s="8" t="s">
        <v>2837</v>
      </c>
      <c r="H81" s="8" t="s">
        <v>5926</v>
      </c>
      <c r="J81" s="8" t="s">
        <v>6104</v>
      </c>
      <c r="K81" s="8">
        <v>80</v>
      </c>
      <c r="L81" s="8" t="s">
        <v>11130</v>
      </c>
      <c r="M81" s="8" t="s">
        <v>494</v>
      </c>
      <c r="N81" s="8" t="s">
        <v>257</v>
      </c>
      <c r="O81" s="8">
        <v>0</v>
      </c>
      <c r="P81" s="8">
        <v>489</v>
      </c>
      <c r="Q81" s="8">
        <v>199</v>
      </c>
      <c r="R81" s="8">
        <v>26.1</v>
      </c>
      <c r="S81" s="8">
        <v>11.2</v>
      </c>
      <c r="T81" s="8" t="s">
        <v>11217</v>
      </c>
    </row>
    <row r="82" spans="1:20" x14ac:dyDescent="0.25">
      <c r="A82" t="s">
        <v>6105</v>
      </c>
      <c r="B82">
        <v>81</v>
      </c>
      <c r="C82">
        <v>1</v>
      </c>
      <c r="D82" t="s">
        <v>11</v>
      </c>
      <c r="H82" t="s">
        <v>5894</v>
      </c>
      <c r="J82" t="s">
        <v>6106</v>
      </c>
      <c r="K82">
        <v>1</v>
      </c>
      <c r="M82" t="s">
        <v>686</v>
      </c>
      <c r="N82" t="s">
        <v>3421</v>
      </c>
      <c r="O82">
        <v>1</v>
      </c>
      <c r="P82">
        <v>574</v>
      </c>
      <c r="Q82">
        <v>653</v>
      </c>
      <c r="R82">
        <v>32</v>
      </c>
      <c r="S82">
        <v>36</v>
      </c>
      <c r="T82" t="s">
        <v>6107</v>
      </c>
    </row>
    <row r="83" spans="1:20" x14ac:dyDescent="0.25">
      <c r="A83" t="s">
        <v>6108</v>
      </c>
      <c r="B83">
        <v>82</v>
      </c>
      <c r="C83">
        <v>1</v>
      </c>
      <c r="D83" t="s">
        <v>11</v>
      </c>
      <c r="H83" t="s">
        <v>5894</v>
      </c>
      <c r="J83" t="s">
        <v>6109</v>
      </c>
      <c r="K83">
        <v>2</v>
      </c>
      <c r="M83" t="s">
        <v>686</v>
      </c>
      <c r="N83" t="s">
        <v>1539</v>
      </c>
      <c r="O83">
        <v>0</v>
      </c>
      <c r="P83">
        <v>354</v>
      </c>
      <c r="Q83">
        <v>405</v>
      </c>
      <c r="R83">
        <v>20</v>
      </c>
      <c r="S83">
        <v>23</v>
      </c>
      <c r="T83" t="s">
        <v>6110</v>
      </c>
    </row>
    <row r="84" spans="1:20" x14ac:dyDescent="0.25">
      <c r="A84" t="s">
        <v>6111</v>
      </c>
      <c r="B84">
        <v>83</v>
      </c>
      <c r="C84">
        <v>1</v>
      </c>
      <c r="D84" t="s">
        <v>11</v>
      </c>
      <c r="H84" t="s">
        <v>5894</v>
      </c>
      <c r="J84" t="s">
        <v>6112</v>
      </c>
      <c r="K84">
        <v>3</v>
      </c>
      <c r="M84" t="s">
        <v>686</v>
      </c>
      <c r="N84" t="s">
        <v>1547</v>
      </c>
      <c r="O84">
        <v>1</v>
      </c>
      <c r="P84">
        <v>173</v>
      </c>
      <c r="Q84">
        <v>316</v>
      </c>
      <c r="R84">
        <v>10.3</v>
      </c>
      <c r="S84">
        <v>18</v>
      </c>
      <c r="T84" t="s">
        <v>6113</v>
      </c>
    </row>
    <row r="85" spans="1:20" x14ac:dyDescent="0.25">
      <c r="A85" t="s">
        <v>6114</v>
      </c>
      <c r="B85">
        <v>84</v>
      </c>
      <c r="C85">
        <v>1</v>
      </c>
      <c r="D85" t="s">
        <v>11</v>
      </c>
      <c r="H85" t="s">
        <v>5894</v>
      </c>
      <c r="J85" t="s">
        <v>6115</v>
      </c>
      <c r="K85">
        <v>4</v>
      </c>
      <c r="M85" t="s">
        <v>686</v>
      </c>
      <c r="N85" t="s">
        <v>663</v>
      </c>
      <c r="O85">
        <v>1</v>
      </c>
      <c r="P85">
        <v>355</v>
      </c>
      <c r="Q85">
        <v>104</v>
      </c>
      <c r="R85">
        <v>20</v>
      </c>
      <c r="S85">
        <v>6.6</v>
      </c>
      <c r="T85" t="s">
        <v>6116</v>
      </c>
    </row>
    <row r="86" spans="1:20" x14ac:dyDescent="0.25">
      <c r="A86" t="s">
        <v>6117</v>
      </c>
      <c r="B86">
        <v>85</v>
      </c>
      <c r="C86">
        <v>1</v>
      </c>
      <c r="D86" t="s">
        <v>11</v>
      </c>
      <c r="H86" t="s">
        <v>5894</v>
      </c>
      <c r="J86" t="s">
        <v>6118</v>
      </c>
      <c r="K86">
        <v>5</v>
      </c>
      <c r="M86" t="s">
        <v>686</v>
      </c>
      <c r="N86" t="s">
        <v>1541</v>
      </c>
      <c r="O86">
        <v>1</v>
      </c>
      <c r="P86">
        <v>568</v>
      </c>
      <c r="Q86">
        <v>72</v>
      </c>
      <c r="R86">
        <v>31.6</v>
      </c>
      <c r="S86">
        <v>4.8</v>
      </c>
      <c r="T86" t="s">
        <v>6119</v>
      </c>
    </row>
    <row r="87" spans="1:20" x14ac:dyDescent="0.25">
      <c r="A87" t="s">
        <v>6120</v>
      </c>
      <c r="B87">
        <v>86</v>
      </c>
      <c r="C87">
        <v>1</v>
      </c>
      <c r="D87" t="s">
        <v>11</v>
      </c>
      <c r="H87" t="s">
        <v>5894</v>
      </c>
      <c r="J87" t="s">
        <v>6121</v>
      </c>
      <c r="K87">
        <v>6</v>
      </c>
      <c r="M87" t="s">
        <v>686</v>
      </c>
      <c r="N87" t="s">
        <v>1543</v>
      </c>
      <c r="O87">
        <v>1</v>
      </c>
      <c r="P87">
        <v>654</v>
      </c>
      <c r="Q87">
        <v>337</v>
      </c>
      <c r="R87">
        <v>36.200000000000003</v>
      </c>
      <c r="S87">
        <v>19.2</v>
      </c>
      <c r="T87" t="s">
        <v>6122</v>
      </c>
    </row>
    <row r="88" spans="1:20" x14ac:dyDescent="0.25">
      <c r="A88" t="s">
        <v>6123</v>
      </c>
      <c r="B88">
        <v>87</v>
      </c>
      <c r="C88">
        <v>1</v>
      </c>
      <c r="D88" t="s">
        <v>11</v>
      </c>
      <c r="H88" t="s">
        <v>5894</v>
      </c>
      <c r="J88" t="s">
        <v>6124</v>
      </c>
      <c r="K88">
        <v>7</v>
      </c>
      <c r="M88" t="s">
        <v>686</v>
      </c>
      <c r="N88" t="s">
        <v>1560</v>
      </c>
      <c r="O88">
        <v>1</v>
      </c>
      <c r="P88">
        <v>362</v>
      </c>
      <c r="Q88">
        <v>658</v>
      </c>
      <c r="R88">
        <v>20.5</v>
      </c>
      <c r="S88">
        <v>36.5</v>
      </c>
      <c r="T88" t="s">
        <v>6125</v>
      </c>
    </row>
    <row r="89" spans="1:20" x14ac:dyDescent="0.25">
      <c r="A89" t="s">
        <v>6126</v>
      </c>
      <c r="B89">
        <v>88</v>
      </c>
      <c r="C89">
        <v>1</v>
      </c>
      <c r="D89" t="s">
        <v>11</v>
      </c>
      <c r="H89" t="s">
        <v>5894</v>
      </c>
      <c r="J89" t="s">
        <v>6128</v>
      </c>
      <c r="K89">
        <v>8</v>
      </c>
      <c r="M89" t="s">
        <v>956</v>
      </c>
      <c r="N89" t="s">
        <v>6127</v>
      </c>
      <c r="O89">
        <v>1</v>
      </c>
      <c r="P89">
        <v>491</v>
      </c>
      <c r="Q89">
        <v>657</v>
      </c>
      <c r="R89">
        <v>27.4</v>
      </c>
      <c r="S89">
        <v>36.299999999999997</v>
      </c>
      <c r="T89" t="s">
        <v>6129</v>
      </c>
    </row>
    <row r="90" spans="1:20" x14ac:dyDescent="0.25">
      <c r="A90" t="s">
        <v>6130</v>
      </c>
      <c r="B90">
        <v>89</v>
      </c>
      <c r="C90">
        <v>1</v>
      </c>
      <c r="D90" t="s">
        <v>11</v>
      </c>
      <c r="H90" t="s">
        <v>5894</v>
      </c>
      <c r="J90" t="s">
        <v>6131</v>
      </c>
      <c r="K90">
        <v>9</v>
      </c>
      <c r="M90" t="s">
        <v>956</v>
      </c>
      <c r="N90" t="s">
        <v>1673</v>
      </c>
      <c r="O90">
        <v>1</v>
      </c>
      <c r="P90">
        <v>203</v>
      </c>
      <c r="Q90">
        <v>714</v>
      </c>
      <c r="R90">
        <v>12</v>
      </c>
      <c r="S90">
        <v>39.4</v>
      </c>
      <c r="T90" t="s">
        <v>6132</v>
      </c>
    </row>
    <row r="91" spans="1:20" x14ac:dyDescent="0.25">
      <c r="A91" t="s">
        <v>6133</v>
      </c>
      <c r="B91">
        <v>90</v>
      </c>
      <c r="C91">
        <v>1</v>
      </c>
      <c r="D91" t="s">
        <v>11</v>
      </c>
      <c r="H91" t="s">
        <v>5894</v>
      </c>
      <c r="J91" t="s">
        <v>6134</v>
      </c>
      <c r="K91">
        <v>10</v>
      </c>
      <c r="M91" t="s">
        <v>956</v>
      </c>
      <c r="N91" t="s">
        <v>3431</v>
      </c>
      <c r="O91">
        <v>1</v>
      </c>
      <c r="P91">
        <v>287</v>
      </c>
      <c r="Q91">
        <v>415</v>
      </c>
      <c r="R91">
        <v>16.5</v>
      </c>
      <c r="S91">
        <v>23.3</v>
      </c>
      <c r="T91" t="s">
        <v>6135</v>
      </c>
    </row>
    <row r="92" spans="1:20" x14ac:dyDescent="0.25">
      <c r="A92" t="s">
        <v>6136</v>
      </c>
      <c r="B92">
        <v>91</v>
      </c>
      <c r="C92">
        <v>1</v>
      </c>
      <c r="D92" t="s">
        <v>11</v>
      </c>
      <c r="H92" t="s">
        <v>5894</v>
      </c>
      <c r="J92" t="s">
        <v>6137</v>
      </c>
      <c r="K92">
        <v>11</v>
      </c>
      <c r="M92" t="s">
        <v>956</v>
      </c>
      <c r="N92" t="s">
        <v>1663</v>
      </c>
      <c r="O92">
        <v>1</v>
      </c>
      <c r="P92">
        <v>532</v>
      </c>
      <c r="Q92">
        <v>95</v>
      </c>
      <c r="R92">
        <v>29.6</v>
      </c>
      <c r="S92">
        <v>6.1</v>
      </c>
      <c r="T92" t="s">
        <v>6138</v>
      </c>
    </row>
    <row r="93" spans="1:20" x14ac:dyDescent="0.25">
      <c r="A93" t="s">
        <v>6139</v>
      </c>
      <c r="B93">
        <v>92</v>
      </c>
      <c r="C93">
        <v>1</v>
      </c>
      <c r="D93" t="s">
        <v>11</v>
      </c>
      <c r="H93" t="s">
        <v>5902</v>
      </c>
      <c r="J93" t="s">
        <v>6140</v>
      </c>
      <c r="K93">
        <v>12</v>
      </c>
      <c r="M93" t="s">
        <v>956</v>
      </c>
      <c r="N93" t="s">
        <v>1681</v>
      </c>
      <c r="O93">
        <v>0</v>
      </c>
      <c r="P93">
        <v>138</v>
      </c>
      <c r="Q93">
        <v>95</v>
      </c>
      <c r="R93">
        <v>8.1999999999999993</v>
      </c>
      <c r="S93">
        <v>6.1</v>
      </c>
      <c r="T93" t="s">
        <v>6141</v>
      </c>
    </row>
    <row r="94" spans="1:20" x14ac:dyDescent="0.25">
      <c r="A94" t="s">
        <v>6142</v>
      </c>
      <c r="B94">
        <v>93</v>
      </c>
      <c r="C94">
        <v>1</v>
      </c>
      <c r="D94" t="s">
        <v>11</v>
      </c>
      <c r="H94" t="s">
        <v>5894</v>
      </c>
      <c r="J94" t="s">
        <v>6143</v>
      </c>
      <c r="K94">
        <v>13</v>
      </c>
      <c r="M94" t="s">
        <v>956</v>
      </c>
      <c r="N94" t="s">
        <v>3429</v>
      </c>
      <c r="O94">
        <v>1</v>
      </c>
      <c r="P94">
        <v>612</v>
      </c>
      <c r="Q94">
        <v>419</v>
      </c>
      <c r="R94">
        <v>33.9</v>
      </c>
      <c r="S94">
        <v>23.5</v>
      </c>
      <c r="T94" t="s">
        <v>6144</v>
      </c>
    </row>
    <row r="95" spans="1:20" x14ac:dyDescent="0.25">
      <c r="A95" t="s">
        <v>6145</v>
      </c>
      <c r="B95">
        <v>94</v>
      </c>
      <c r="C95">
        <v>1</v>
      </c>
      <c r="D95" t="s">
        <v>11</v>
      </c>
      <c r="H95" t="s">
        <v>5894</v>
      </c>
      <c r="J95" t="s">
        <v>6147</v>
      </c>
      <c r="K95">
        <v>14</v>
      </c>
      <c r="M95" t="s">
        <v>956</v>
      </c>
      <c r="N95" t="s">
        <v>6146</v>
      </c>
      <c r="O95">
        <v>1</v>
      </c>
      <c r="P95">
        <v>193</v>
      </c>
      <c r="Q95">
        <v>230</v>
      </c>
      <c r="R95">
        <v>11.4</v>
      </c>
      <c r="S95">
        <v>13.4</v>
      </c>
      <c r="T95" t="s">
        <v>6148</v>
      </c>
    </row>
    <row r="96" spans="1:20" x14ac:dyDescent="0.25">
      <c r="A96" t="s">
        <v>6149</v>
      </c>
      <c r="B96">
        <v>95</v>
      </c>
      <c r="C96">
        <v>1</v>
      </c>
      <c r="D96" t="s">
        <v>11</v>
      </c>
      <c r="H96" t="s">
        <v>5894</v>
      </c>
      <c r="J96" t="s">
        <v>6150</v>
      </c>
      <c r="K96">
        <v>15</v>
      </c>
      <c r="M96" t="s">
        <v>831</v>
      </c>
      <c r="N96" t="s">
        <v>3433</v>
      </c>
      <c r="O96">
        <v>0</v>
      </c>
      <c r="P96">
        <v>527</v>
      </c>
      <c r="Q96">
        <v>630</v>
      </c>
      <c r="R96">
        <v>29.4</v>
      </c>
      <c r="S96">
        <v>35.1</v>
      </c>
      <c r="T96" t="s">
        <v>6151</v>
      </c>
    </row>
    <row r="97" spans="1:20" x14ac:dyDescent="0.25">
      <c r="A97" t="s">
        <v>6152</v>
      </c>
      <c r="B97">
        <v>96</v>
      </c>
      <c r="C97">
        <v>1</v>
      </c>
      <c r="D97" t="s">
        <v>11</v>
      </c>
      <c r="H97" t="s">
        <v>5894</v>
      </c>
      <c r="J97" t="s">
        <v>6153</v>
      </c>
      <c r="K97">
        <v>16</v>
      </c>
      <c r="M97" t="s">
        <v>831</v>
      </c>
      <c r="N97" t="s">
        <v>1721</v>
      </c>
      <c r="O97">
        <v>0</v>
      </c>
      <c r="P97">
        <v>524</v>
      </c>
      <c r="Q97">
        <v>221</v>
      </c>
      <c r="R97">
        <v>29.2</v>
      </c>
      <c r="S97">
        <v>13</v>
      </c>
      <c r="T97" t="s">
        <v>6154</v>
      </c>
    </row>
    <row r="98" spans="1:20" x14ac:dyDescent="0.25">
      <c r="A98" t="s">
        <v>6155</v>
      </c>
      <c r="B98">
        <v>97</v>
      </c>
      <c r="C98">
        <v>1</v>
      </c>
      <c r="D98" t="s">
        <v>11</v>
      </c>
      <c r="H98" t="s">
        <v>5894</v>
      </c>
      <c r="J98" t="s">
        <v>6156</v>
      </c>
      <c r="K98">
        <v>17</v>
      </c>
      <c r="M98" t="s">
        <v>831</v>
      </c>
      <c r="N98" t="s">
        <v>5838</v>
      </c>
      <c r="O98">
        <v>1</v>
      </c>
      <c r="P98">
        <v>329</v>
      </c>
      <c r="Q98">
        <v>102</v>
      </c>
      <c r="R98">
        <v>18.600000000000001</v>
      </c>
      <c r="S98">
        <v>6.4</v>
      </c>
      <c r="T98" t="s">
        <v>6157</v>
      </c>
    </row>
    <row r="99" spans="1:20" x14ac:dyDescent="0.25">
      <c r="A99" t="s">
        <v>6158</v>
      </c>
      <c r="B99">
        <v>98</v>
      </c>
      <c r="C99">
        <v>1</v>
      </c>
      <c r="D99" t="s">
        <v>11</v>
      </c>
      <c r="H99" t="s">
        <v>5894</v>
      </c>
      <c r="J99" t="s">
        <v>6159</v>
      </c>
      <c r="K99">
        <v>18</v>
      </c>
      <c r="M99" t="s">
        <v>831</v>
      </c>
      <c r="N99" t="s">
        <v>3435</v>
      </c>
      <c r="O99">
        <v>1</v>
      </c>
      <c r="P99">
        <v>125</v>
      </c>
      <c r="Q99">
        <v>484</v>
      </c>
      <c r="R99">
        <v>7.8</v>
      </c>
      <c r="S99">
        <v>27</v>
      </c>
      <c r="T99" t="s">
        <v>6160</v>
      </c>
    </row>
    <row r="100" spans="1:20" x14ac:dyDescent="0.25">
      <c r="A100" t="s">
        <v>6161</v>
      </c>
      <c r="B100">
        <v>99</v>
      </c>
      <c r="C100">
        <v>1</v>
      </c>
      <c r="D100" t="s">
        <v>11</v>
      </c>
      <c r="H100" t="s">
        <v>5902</v>
      </c>
      <c r="J100" t="s">
        <v>6162</v>
      </c>
      <c r="K100">
        <v>19</v>
      </c>
      <c r="M100" t="s">
        <v>831</v>
      </c>
      <c r="N100" t="s">
        <v>1726</v>
      </c>
      <c r="O100">
        <v>1</v>
      </c>
      <c r="P100">
        <v>307</v>
      </c>
      <c r="Q100">
        <v>673</v>
      </c>
      <c r="R100">
        <v>17.600000000000001</v>
      </c>
      <c r="S100">
        <v>37.200000000000003</v>
      </c>
      <c r="T100" t="s">
        <v>6046</v>
      </c>
    </row>
    <row r="101" spans="1:20" x14ac:dyDescent="0.25">
      <c r="A101" t="s">
        <v>6163</v>
      </c>
      <c r="B101">
        <v>100</v>
      </c>
      <c r="C101">
        <v>1</v>
      </c>
      <c r="D101" t="s">
        <v>11</v>
      </c>
      <c r="H101" t="s">
        <v>5894</v>
      </c>
      <c r="J101" t="s">
        <v>6164</v>
      </c>
      <c r="K101">
        <v>20</v>
      </c>
      <c r="M101" t="s">
        <v>831</v>
      </c>
      <c r="N101" t="s">
        <v>1707</v>
      </c>
      <c r="O101">
        <v>1</v>
      </c>
      <c r="P101">
        <v>636</v>
      </c>
      <c r="Q101">
        <v>361</v>
      </c>
      <c r="R101">
        <v>35.1</v>
      </c>
      <c r="S101">
        <v>20.399999999999999</v>
      </c>
      <c r="T101" t="s">
        <v>6107</v>
      </c>
    </row>
    <row r="102" spans="1:20" x14ac:dyDescent="0.25">
      <c r="A102" t="s">
        <v>6165</v>
      </c>
      <c r="B102">
        <v>101</v>
      </c>
      <c r="C102">
        <v>1</v>
      </c>
      <c r="D102" t="s">
        <v>11</v>
      </c>
      <c r="H102" t="s">
        <v>5894</v>
      </c>
      <c r="J102" t="s">
        <v>6166</v>
      </c>
      <c r="K102">
        <v>21</v>
      </c>
      <c r="M102" t="s">
        <v>831</v>
      </c>
      <c r="N102" t="s">
        <v>5777</v>
      </c>
      <c r="O102">
        <v>1</v>
      </c>
      <c r="P102">
        <v>413</v>
      </c>
      <c r="Q102">
        <v>328</v>
      </c>
      <c r="R102">
        <v>23.2</v>
      </c>
      <c r="S102">
        <v>18.600000000000001</v>
      </c>
      <c r="T102" t="s">
        <v>6167</v>
      </c>
    </row>
    <row r="103" spans="1:20" x14ac:dyDescent="0.25">
      <c r="A103" t="s">
        <v>6168</v>
      </c>
      <c r="B103">
        <v>102</v>
      </c>
      <c r="C103">
        <v>1</v>
      </c>
      <c r="D103" t="s">
        <v>11</v>
      </c>
      <c r="H103" t="s">
        <v>5894</v>
      </c>
      <c r="J103" t="s">
        <v>6169</v>
      </c>
      <c r="K103">
        <v>22</v>
      </c>
      <c r="M103" t="s">
        <v>666</v>
      </c>
      <c r="N103" t="s">
        <v>3423</v>
      </c>
      <c r="O103">
        <v>1</v>
      </c>
      <c r="P103">
        <v>264</v>
      </c>
      <c r="Q103">
        <v>683</v>
      </c>
      <c r="R103">
        <v>15.2</v>
      </c>
      <c r="S103">
        <v>37.700000000000003</v>
      </c>
      <c r="T103" t="s">
        <v>6170</v>
      </c>
    </row>
    <row r="104" spans="1:20" x14ac:dyDescent="0.25">
      <c r="A104" t="s">
        <v>6171</v>
      </c>
      <c r="B104">
        <v>103</v>
      </c>
      <c r="C104">
        <v>1</v>
      </c>
      <c r="D104" t="s">
        <v>11</v>
      </c>
      <c r="H104" t="s">
        <v>6174</v>
      </c>
      <c r="J104" t="s">
        <v>6172</v>
      </c>
      <c r="K104">
        <v>23</v>
      </c>
      <c r="M104" t="s">
        <v>666</v>
      </c>
      <c r="N104" t="s">
        <v>1606</v>
      </c>
      <c r="O104">
        <v>1</v>
      </c>
      <c r="P104">
        <v>676</v>
      </c>
      <c r="Q104">
        <v>725</v>
      </c>
      <c r="R104">
        <v>37.200000000000003</v>
      </c>
      <c r="S104">
        <v>40.1</v>
      </c>
      <c r="T104" t="s">
        <v>6173</v>
      </c>
    </row>
    <row r="105" spans="1:20" x14ac:dyDescent="0.25">
      <c r="A105" t="s">
        <v>6175</v>
      </c>
      <c r="B105">
        <v>104</v>
      </c>
      <c r="C105">
        <v>1</v>
      </c>
      <c r="D105" t="s">
        <v>11</v>
      </c>
      <c r="H105" t="s">
        <v>5894</v>
      </c>
      <c r="J105" t="s">
        <v>6176</v>
      </c>
      <c r="K105">
        <v>24</v>
      </c>
      <c r="M105" t="s">
        <v>666</v>
      </c>
      <c r="N105" t="s">
        <v>1605</v>
      </c>
      <c r="O105">
        <v>1</v>
      </c>
      <c r="P105">
        <v>724</v>
      </c>
      <c r="Q105">
        <v>388</v>
      </c>
      <c r="R105">
        <v>39.9</v>
      </c>
      <c r="S105">
        <v>21.9</v>
      </c>
      <c r="T105" t="s">
        <v>6177</v>
      </c>
    </row>
    <row r="106" spans="1:20" x14ac:dyDescent="0.25">
      <c r="A106" t="s">
        <v>6178</v>
      </c>
      <c r="B106">
        <v>105</v>
      </c>
      <c r="C106">
        <v>1</v>
      </c>
      <c r="D106" t="s">
        <v>11</v>
      </c>
      <c r="H106" t="s">
        <v>5894</v>
      </c>
      <c r="J106" t="s">
        <v>6179</v>
      </c>
      <c r="K106">
        <v>25</v>
      </c>
      <c r="M106" t="s">
        <v>666</v>
      </c>
      <c r="N106" t="s">
        <v>1623</v>
      </c>
      <c r="O106">
        <v>1</v>
      </c>
      <c r="P106">
        <v>224</v>
      </c>
      <c r="Q106">
        <v>149</v>
      </c>
      <c r="R106">
        <v>13</v>
      </c>
      <c r="S106">
        <v>9</v>
      </c>
      <c r="T106" t="s">
        <v>6180</v>
      </c>
    </row>
    <row r="107" spans="1:20" x14ac:dyDescent="0.25">
      <c r="A107" t="s">
        <v>6181</v>
      </c>
      <c r="B107">
        <v>106</v>
      </c>
      <c r="C107">
        <v>1</v>
      </c>
      <c r="D107" t="s">
        <v>11</v>
      </c>
      <c r="H107" t="s">
        <v>5894</v>
      </c>
      <c r="J107" t="s">
        <v>6182</v>
      </c>
      <c r="K107">
        <v>26</v>
      </c>
      <c r="M107" t="s">
        <v>666</v>
      </c>
      <c r="N107" t="s">
        <v>1610</v>
      </c>
      <c r="O107">
        <v>1</v>
      </c>
      <c r="P107">
        <v>331</v>
      </c>
      <c r="Q107">
        <v>479</v>
      </c>
      <c r="R107">
        <v>18.5</v>
      </c>
      <c r="S107">
        <v>27</v>
      </c>
      <c r="T107" t="s">
        <v>6183</v>
      </c>
    </row>
    <row r="108" spans="1:20" x14ac:dyDescent="0.25">
      <c r="A108" t="s">
        <v>6184</v>
      </c>
      <c r="B108">
        <v>107</v>
      </c>
      <c r="C108">
        <v>1</v>
      </c>
      <c r="D108" t="s">
        <v>11</v>
      </c>
      <c r="H108" t="s">
        <v>5894</v>
      </c>
      <c r="J108" t="s">
        <v>6185</v>
      </c>
      <c r="K108">
        <v>27</v>
      </c>
      <c r="M108" t="s">
        <v>666</v>
      </c>
      <c r="N108" t="s">
        <v>1612</v>
      </c>
      <c r="O108">
        <v>1</v>
      </c>
      <c r="P108">
        <v>447</v>
      </c>
      <c r="Q108">
        <v>423</v>
      </c>
      <c r="R108">
        <v>25</v>
      </c>
      <c r="S108">
        <v>23.9</v>
      </c>
      <c r="T108" t="s">
        <v>6186</v>
      </c>
    </row>
    <row r="109" spans="1:20" x14ac:dyDescent="0.25">
      <c r="A109" t="s">
        <v>6187</v>
      </c>
      <c r="B109">
        <v>108</v>
      </c>
      <c r="C109">
        <v>1</v>
      </c>
      <c r="D109" t="s">
        <v>11</v>
      </c>
      <c r="H109" t="s">
        <v>5894</v>
      </c>
      <c r="J109" t="s">
        <v>6188</v>
      </c>
      <c r="K109">
        <v>28</v>
      </c>
      <c r="M109" t="s">
        <v>666</v>
      </c>
      <c r="N109" t="s">
        <v>1619</v>
      </c>
      <c r="O109">
        <v>1</v>
      </c>
      <c r="P109">
        <v>688</v>
      </c>
      <c r="Q109">
        <v>202</v>
      </c>
      <c r="R109">
        <v>38.1</v>
      </c>
      <c r="S109">
        <v>11.7</v>
      </c>
      <c r="T109" t="s">
        <v>6189</v>
      </c>
    </row>
    <row r="110" spans="1:20" x14ac:dyDescent="0.25">
      <c r="A110" t="s">
        <v>6190</v>
      </c>
      <c r="B110">
        <v>109</v>
      </c>
      <c r="C110">
        <v>1</v>
      </c>
      <c r="D110" t="s">
        <v>11</v>
      </c>
      <c r="H110" t="s">
        <v>5894</v>
      </c>
      <c r="J110" t="s">
        <v>6191</v>
      </c>
      <c r="K110">
        <v>29</v>
      </c>
      <c r="M110" t="s">
        <v>434</v>
      </c>
      <c r="N110" t="s">
        <v>1687</v>
      </c>
      <c r="O110">
        <v>1</v>
      </c>
      <c r="P110">
        <v>724</v>
      </c>
      <c r="Q110">
        <v>384</v>
      </c>
      <c r="R110">
        <v>40.1</v>
      </c>
      <c r="S110">
        <v>21.8</v>
      </c>
      <c r="T110" t="s">
        <v>6192</v>
      </c>
    </row>
    <row r="111" spans="1:20" x14ac:dyDescent="0.25">
      <c r="A111" t="s">
        <v>6193</v>
      </c>
      <c r="B111">
        <v>110</v>
      </c>
      <c r="C111">
        <v>1</v>
      </c>
      <c r="D111" t="s">
        <v>11</v>
      </c>
      <c r="H111" t="s">
        <v>5894</v>
      </c>
      <c r="J111" t="s">
        <v>6194</v>
      </c>
      <c r="K111">
        <v>30</v>
      </c>
      <c r="M111" t="s">
        <v>434</v>
      </c>
      <c r="N111" t="s">
        <v>1691</v>
      </c>
      <c r="O111">
        <v>0</v>
      </c>
      <c r="P111">
        <v>316</v>
      </c>
      <c r="Q111">
        <v>411</v>
      </c>
      <c r="R111">
        <v>17.899999999999999</v>
      </c>
      <c r="S111">
        <v>23.2</v>
      </c>
      <c r="T111" t="s">
        <v>6195</v>
      </c>
    </row>
    <row r="112" spans="1:20" x14ac:dyDescent="0.25">
      <c r="A112" t="s">
        <v>6196</v>
      </c>
      <c r="B112">
        <v>111</v>
      </c>
      <c r="C112">
        <v>1</v>
      </c>
      <c r="D112" t="s">
        <v>11</v>
      </c>
      <c r="H112" t="s">
        <v>5894</v>
      </c>
      <c r="J112" t="s">
        <v>6198</v>
      </c>
      <c r="K112">
        <v>31</v>
      </c>
      <c r="M112" t="s">
        <v>434</v>
      </c>
      <c r="N112" t="s">
        <v>6197</v>
      </c>
      <c r="O112">
        <v>1</v>
      </c>
      <c r="P112">
        <v>393</v>
      </c>
      <c r="Q112">
        <v>496</v>
      </c>
      <c r="R112">
        <v>22.1</v>
      </c>
      <c r="S112">
        <v>27.6</v>
      </c>
      <c r="T112" t="s">
        <v>6199</v>
      </c>
    </row>
    <row r="113" spans="1:20" x14ac:dyDescent="0.25">
      <c r="A113" t="s">
        <v>6200</v>
      </c>
      <c r="B113">
        <v>112</v>
      </c>
      <c r="C113">
        <v>1</v>
      </c>
      <c r="D113" t="s">
        <v>11</v>
      </c>
      <c r="H113" t="s">
        <v>5894</v>
      </c>
      <c r="J113" t="s">
        <v>6201</v>
      </c>
      <c r="K113">
        <v>32</v>
      </c>
      <c r="M113" t="s">
        <v>434</v>
      </c>
      <c r="N113" t="s">
        <v>1702</v>
      </c>
      <c r="O113">
        <v>1</v>
      </c>
      <c r="P113">
        <v>169</v>
      </c>
      <c r="Q113">
        <v>648</v>
      </c>
      <c r="R113">
        <v>10.1</v>
      </c>
      <c r="S113">
        <v>35.9</v>
      </c>
      <c r="T113" t="s">
        <v>6202</v>
      </c>
    </row>
    <row r="114" spans="1:20" x14ac:dyDescent="0.25">
      <c r="A114" t="s">
        <v>6203</v>
      </c>
      <c r="B114">
        <v>113</v>
      </c>
      <c r="C114">
        <v>1</v>
      </c>
      <c r="D114" t="s">
        <v>11</v>
      </c>
      <c r="H114" t="s">
        <v>5894</v>
      </c>
      <c r="J114" t="s">
        <v>6205</v>
      </c>
      <c r="K114">
        <v>33</v>
      </c>
      <c r="M114" t="s">
        <v>434</v>
      </c>
      <c r="N114" t="s">
        <v>6204</v>
      </c>
      <c r="O114">
        <v>1</v>
      </c>
      <c r="P114">
        <v>518</v>
      </c>
      <c r="Q114">
        <v>684</v>
      </c>
      <c r="R114">
        <v>28.8</v>
      </c>
      <c r="S114">
        <v>37.799999999999997</v>
      </c>
      <c r="T114" t="s">
        <v>6206</v>
      </c>
    </row>
    <row r="115" spans="1:20" x14ac:dyDescent="0.25">
      <c r="A115" t="s">
        <v>6207</v>
      </c>
      <c r="B115">
        <v>114</v>
      </c>
      <c r="C115">
        <v>1</v>
      </c>
      <c r="D115" t="s">
        <v>11</v>
      </c>
      <c r="H115" t="s">
        <v>5894</v>
      </c>
      <c r="J115" t="s">
        <v>6209</v>
      </c>
      <c r="K115">
        <v>34</v>
      </c>
      <c r="M115" t="s">
        <v>434</v>
      </c>
      <c r="N115" t="s">
        <v>6208</v>
      </c>
      <c r="O115">
        <v>1</v>
      </c>
      <c r="P115">
        <v>590</v>
      </c>
      <c r="Q115">
        <v>201</v>
      </c>
      <c r="R115">
        <v>32.700000000000003</v>
      </c>
      <c r="S115">
        <v>11.9</v>
      </c>
      <c r="T115" t="s">
        <v>6210</v>
      </c>
    </row>
    <row r="116" spans="1:20" x14ac:dyDescent="0.25">
      <c r="A116" t="s">
        <v>6211</v>
      </c>
      <c r="B116">
        <v>115</v>
      </c>
      <c r="C116">
        <v>1</v>
      </c>
      <c r="D116" t="s">
        <v>11</v>
      </c>
      <c r="H116" t="s">
        <v>5894</v>
      </c>
      <c r="J116" t="s">
        <v>6212</v>
      </c>
      <c r="K116">
        <v>35</v>
      </c>
      <c r="M116" t="s">
        <v>434</v>
      </c>
      <c r="N116" t="s">
        <v>755</v>
      </c>
      <c r="O116">
        <v>1</v>
      </c>
      <c r="P116">
        <v>224</v>
      </c>
      <c r="Q116">
        <v>382</v>
      </c>
      <c r="R116">
        <v>13</v>
      </c>
      <c r="S116">
        <v>21.6</v>
      </c>
      <c r="T116" t="s">
        <v>6213</v>
      </c>
    </row>
    <row r="117" spans="1:20" x14ac:dyDescent="0.25">
      <c r="A117" t="s">
        <v>6214</v>
      </c>
      <c r="B117">
        <v>116</v>
      </c>
      <c r="C117">
        <v>1</v>
      </c>
      <c r="D117" t="s">
        <v>11</v>
      </c>
      <c r="H117" t="s">
        <v>5894</v>
      </c>
      <c r="J117" t="s">
        <v>6215</v>
      </c>
      <c r="K117">
        <v>36</v>
      </c>
      <c r="M117" t="s">
        <v>733</v>
      </c>
      <c r="N117" t="s">
        <v>1641</v>
      </c>
      <c r="O117">
        <v>1</v>
      </c>
      <c r="P117">
        <v>708</v>
      </c>
      <c r="Q117">
        <v>302</v>
      </c>
      <c r="R117">
        <v>39.200000000000003</v>
      </c>
      <c r="S117">
        <v>17</v>
      </c>
      <c r="T117" t="s">
        <v>6216</v>
      </c>
    </row>
    <row r="118" spans="1:20" x14ac:dyDescent="0.25">
      <c r="A118" t="s">
        <v>6217</v>
      </c>
      <c r="B118">
        <v>117</v>
      </c>
      <c r="C118">
        <v>1</v>
      </c>
      <c r="D118" t="s">
        <v>11</v>
      </c>
      <c r="H118" t="s">
        <v>5894</v>
      </c>
      <c r="J118" t="s">
        <v>6218</v>
      </c>
      <c r="K118">
        <v>37</v>
      </c>
      <c r="M118" t="s">
        <v>733</v>
      </c>
      <c r="N118" t="s">
        <v>1653</v>
      </c>
      <c r="O118">
        <v>1</v>
      </c>
      <c r="P118">
        <v>603</v>
      </c>
      <c r="Q118">
        <v>644</v>
      </c>
      <c r="R118">
        <v>33.4</v>
      </c>
      <c r="S118">
        <v>35.6</v>
      </c>
      <c r="T118" t="s">
        <v>6107</v>
      </c>
    </row>
    <row r="119" spans="1:20" x14ac:dyDescent="0.25">
      <c r="A119" t="s">
        <v>6219</v>
      </c>
      <c r="B119">
        <v>118</v>
      </c>
      <c r="C119">
        <v>1</v>
      </c>
      <c r="D119" t="s">
        <v>11</v>
      </c>
      <c r="H119" t="s">
        <v>5894</v>
      </c>
      <c r="J119" t="s">
        <v>6220</v>
      </c>
      <c r="K119">
        <v>38</v>
      </c>
      <c r="M119" t="s">
        <v>733</v>
      </c>
      <c r="N119" t="s">
        <v>1648</v>
      </c>
      <c r="O119">
        <v>1</v>
      </c>
      <c r="P119">
        <v>94</v>
      </c>
      <c r="Q119">
        <v>551</v>
      </c>
      <c r="R119">
        <v>6</v>
      </c>
      <c r="S119">
        <v>30.6</v>
      </c>
      <c r="T119" t="s">
        <v>6221</v>
      </c>
    </row>
    <row r="120" spans="1:20" x14ac:dyDescent="0.25">
      <c r="A120" t="s">
        <v>6222</v>
      </c>
      <c r="B120">
        <v>119</v>
      </c>
      <c r="C120">
        <v>1</v>
      </c>
      <c r="D120" t="s">
        <v>11</v>
      </c>
      <c r="H120" t="s">
        <v>5894</v>
      </c>
      <c r="J120" t="s">
        <v>6224</v>
      </c>
      <c r="K120">
        <v>39</v>
      </c>
      <c r="M120" t="s">
        <v>733</v>
      </c>
      <c r="N120" t="s">
        <v>6223</v>
      </c>
      <c r="O120">
        <v>1</v>
      </c>
      <c r="P120">
        <v>185</v>
      </c>
      <c r="Q120">
        <v>645</v>
      </c>
      <c r="R120">
        <v>10.9</v>
      </c>
      <c r="S120">
        <v>35.6</v>
      </c>
      <c r="T120" t="s">
        <v>6225</v>
      </c>
    </row>
    <row r="121" spans="1:20" x14ac:dyDescent="0.25">
      <c r="A121" t="s">
        <v>6226</v>
      </c>
      <c r="B121">
        <v>120</v>
      </c>
      <c r="C121">
        <v>1</v>
      </c>
      <c r="D121" t="s">
        <v>11</v>
      </c>
      <c r="H121" t="s">
        <v>5894</v>
      </c>
      <c r="J121" t="s">
        <v>6227</v>
      </c>
      <c r="K121">
        <v>40</v>
      </c>
      <c r="M121" t="s">
        <v>733</v>
      </c>
      <c r="N121" t="s">
        <v>1629</v>
      </c>
      <c r="O121">
        <v>1</v>
      </c>
      <c r="P121">
        <v>96</v>
      </c>
      <c r="Q121">
        <v>168</v>
      </c>
      <c r="R121">
        <v>6.1</v>
      </c>
      <c r="S121">
        <v>9.9</v>
      </c>
      <c r="T121" t="s">
        <v>6228</v>
      </c>
    </row>
    <row r="122" spans="1:20" x14ac:dyDescent="0.25">
      <c r="A122" t="s">
        <v>6229</v>
      </c>
      <c r="B122">
        <v>121</v>
      </c>
      <c r="C122">
        <v>1</v>
      </c>
      <c r="D122" t="s">
        <v>11</v>
      </c>
      <c r="H122" t="s">
        <v>5894</v>
      </c>
      <c r="J122" t="s">
        <v>6230</v>
      </c>
      <c r="K122">
        <v>41</v>
      </c>
      <c r="M122" t="s">
        <v>733</v>
      </c>
      <c r="N122" t="s">
        <v>1655</v>
      </c>
      <c r="O122">
        <v>1</v>
      </c>
      <c r="P122">
        <v>158</v>
      </c>
      <c r="Q122">
        <v>379</v>
      </c>
      <c r="R122">
        <v>9.4</v>
      </c>
      <c r="S122">
        <v>21.5</v>
      </c>
      <c r="T122" t="s">
        <v>6228</v>
      </c>
    </row>
    <row r="123" spans="1:20" x14ac:dyDescent="0.25">
      <c r="A123" t="s">
        <v>6231</v>
      </c>
      <c r="B123">
        <v>122</v>
      </c>
      <c r="C123">
        <v>1</v>
      </c>
      <c r="D123" t="s">
        <v>11</v>
      </c>
      <c r="H123" t="s">
        <v>5894</v>
      </c>
      <c r="J123" t="s">
        <v>6232</v>
      </c>
      <c r="K123">
        <v>42</v>
      </c>
      <c r="M123" t="s">
        <v>733</v>
      </c>
      <c r="N123" t="s">
        <v>1634</v>
      </c>
      <c r="O123">
        <v>1</v>
      </c>
      <c r="P123">
        <v>547</v>
      </c>
      <c r="Q123">
        <v>194</v>
      </c>
      <c r="R123">
        <v>30.4</v>
      </c>
      <c r="S123">
        <v>11.4</v>
      </c>
      <c r="T123" t="s">
        <v>6233</v>
      </c>
    </row>
    <row r="124" spans="1:20" x14ac:dyDescent="0.25">
      <c r="A124" t="s">
        <v>6234</v>
      </c>
      <c r="B124">
        <v>123</v>
      </c>
      <c r="C124">
        <v>1</v>
      </c>
      <c r="D124" t="s">
        <v>11</v>
      </c>
      <c r="H124" t="s">
        <v>6237</v>
      </c>
      <c r="J124" t="s">
        <v>6235</v>
      </c>
      <c r="K124">
        <v>43</v>
      </c>
      <c r="M124" t="s">
        <v>686</v>
      </c>
      <c r="N124" t="s">
        <v>1533</v>
      </c>
      <c r="O124">
        <v>1</v>
      </c>
      <c r="P124">
        <v>591</v>
      </c>
      <c r="Q124">
        <v>506</v>
      </c>
      <c r="R124">
        <v>32.6</v>
      </c>
      <c r="S124">
        <v>28.2</v>
      </c>
      <c r="T124" t="s">
        <v>6236</v>
      </c>
    </row>
    <row r="125" spans="1:20" x14ac:dyDescent="0.25">
      <c r="A125" t="s">
        <v>6238</v>
      </c>
      <c r="B125">
        <v>124</v>
      </c>
      <c r="C125">
        <v>1</v>
      </c>
      <c r="D125" t="s">
        <v>11</v>
      </c>
      <c r="H125" t="s">
        <v>5894</v>
      </c>
      <c r="J125" t="s">
        <v>6239</v>
      </c>
      <c r="K125">
        <v>44</v>
      </c>
      <c r="M125" t="s">
        <v>686</v>
      </c>
      <c r="N125" t="s">
        <v>1535</v>
      </c>
      <c r="O125">
        <v>0</v>
      </c>
      <c r="P125">
        <v>539</v>
      </c>
      <c r="Q125">
        <v>423</v>
      </c>
      <c r="R125">
        <v>29.9</v>
      </c>
      <c r="S125">
        <v>23.8</v>
      </c>
      <c r="T125" t="s">
        <v>6240</v>
      </c>
    </row>
    <row r="126" spans="1:20" x14ac:dyDescent="0.25">
      <c r="A126" t="s">
        <v>6241</v>
      </c>
      <c r="B126">
        <v>125</v>
      </c>
      <c r="C126">
        <v>1</v>
      </c>
      <c r="D126" t="s">
        <v>11</v>
      </c>
      <c r="H126" t="s">
        <v>5926</v>
      </c>
      <c r="J126" t="s">
        <v>6242</v>
      </c>
      <c r="K126">
        <v>45</v>
      </c>
      <c r="M126" t="s">
        <v>686</v>
      </c>
      <c r="N126" t="s">
        <v>1551</v>
      </c>
      <c r="O126">
        <v>0</v>
      </c>
      <c r="P126">
        <v>150</v>
      </c>
      <c r="Q126">
        <v>175</v>
      </c>
      <c r="R126">
        <v>9</v>
      </c>
      <c r="S126">
        <v>10.4</v>
      </c>
      <c r="T126" t="s">
        <v>6243</v>
      </c>
    </row>
    <row r="127" spans="1:20" x14ac:dyDescent="0.25">
      <c r="A127" t="s">
        <v>6244</v>
      </c>
      <c r="B127">
        <v>126</v>
      </c>
      <c r="C127">
        <v>1</v>
      </c>
      <c r="D127" t="s">
        <v>11</v>
      </c>
      <c r="H127" t="s">
        <v>6247</v>
      </c>
      <c r="J127" t="s">
        <v>6245</v>
      </c>
      <c r="K127">
        <v>46</v>
      </c>
      <c r="M127" t="s">
        <v>686</v>
      </c>
      <c r="N127" t="s">
        <v>1549</v>
      </c>
      <c r="O127">
        <v>1</v>
      </c>
      <c r="P127">
        <v>217</v>
      </c>
      <c r="Q127">
        <v>134</v>
      </c>
      <c r="R127">
        <v>12.7</v>
      </c>
      <c r="S127">
        <v>8.1999999999999993</v>
      </c>
      <c r="T127" t="s">
        <v>6246</v>
      </c>
    </row>
    <row r="128" spans="1:20" x14ac:dyDescent="0.25">
      <c r="A128" t="s">
        <v>6248</v>
      </c>
      <c r="B128">
        <v>127</v>
      </c>
      <c r="C128">
        <v>1</v>
      </c>
      <c r="D128" t="s">
        <v>11</v>
      </c>
      <c r="H128" t="s">
        <v>5894</v>
      </c>
      <c r="J128" t="s">
        <v>6249</v>
      </c>
      <c r="K128">
        <v>47</v>
      </c>
      <c r="M128" t="s">
        <v>956</v>
      </c>
      <c r="N128" t="s">
        <v>5835</v>
      </c>
      <c r="O128">
        <v>0</v>
      </c>
      <c r="P128">
        <v>415</v>
      </c>
      <c r="Q128">
        <v>710</v>
      </c>
      <c r="R128">
        <v>23.4</v>
      </c>
      <c r="S128">
        <v>39.4</v>
      </c>
      <c r="T128" t="s">
        <v>6250</v>
      </c>
    </row>
    <row r="129" spans="1:20" x14ac:dyDescent="0.25">
      <c r="A129" t="s">
        <v>6251</v>
      </c>
      <c r="B129">
        <v>128</v>
      </c>
      <c r="C129">
        <v>1</v>
      </c>
      <c r="D129" t="s">
        <v>11</v>
      </c>
      <c r="H129" t="s">
        <v>5894</v>
      </c>
      <c r="J129" t="s">
        <v>6252</v>
      </c>
      <c r="K129">
        <v>48</v>
      </c>
      <c r="M129" t="s">
        <v>956</v>
      </c>
      <c r="N129" t="s">
        <v>1668</v>
      </c>
      <c r="O129">
        <v>1</v>
      </c>
      <c r="P129">
        <v>433</v>
      </c>
      <c r="Q129">
        <v>333</v>
      </c>
      <c r="R129">
        <v>24.2</v>
      </c>
      <c r="S129">
        <v>18.8</v>
      </c>
      <c r="T129" t="s">
        <v>6253</v>
      </c>
    </row>
    <row r="130" spans="1:20" x14ac:dyDescent="0.25">
      <c r="A130" t="s">
        <v>6254</v>
      </c>
      <c r="B130">
        <v>129</v>
      </c>
      <c r="C130">
        <v>1</v>
      </c>
      <c r="D130" t="s">
        <v>11</v>
      </c>
      <c r="H130" t="s">
        <v>5894</v>
      </c>
      <c r="J130" t="s">
        <v>6255</v>
      </c>
      <c r="K130">
        <v>49</v>
      </c>
      <c r="M130" t="s">
        <v>956</v>
      </c>
      <c r="N130" t="s">
        <v>5836</v>
      </c>
      <c r="O130">
        <v>1</v>
      </c>
      <c r="P130">
        <v>619</v>
      </c>
      <c r="Q130">
        <v>274</v>
      </c>
      <c r="R130">
        <v>34.299999999999997</v>
      </c>
      <c r="S130">
        <v>15.8</v>
      </c>
      <c r="T130" t="s">
        <v>6256</v>
      </c>
    </row>
    <row r="131" spans="1:20" x14ac:dyDescent="0.25">
      <c r="A131" t="s">
        <v>6257</v>
      </c>
      <c r="B131">
        <v>130</v>
      </c>
      <c r="C131">
        <v>1</v>
      </c>
      <c r="D131" t="s">
        <v>11</v>
      </c>
      <c r="H131" t="s">
        <v>5894</v>
      </c>
      <c r="J131" t="s">
        <v>6258</v>
      </c>
      <c r="K131">
        <v>50</v>
      </c>
      <c r="M131" t="s">
        <v>956</v>
      </c>
      <c r="N131" t="s">
        <v>5837</v>
      </c>
      <c r="O131">
        <v>1</v>
      </c>
      <c r="P131">
        <v>329</v>
      </c>
      <c r="Q131">
        <v>586</v>
      </c>
      <c r="R131">
        <v>18.600000000000001</v>
      </c>
      <c r="S131">
        <v>32.6</v>
      </c>
      <c r="T131" t="s">
        <v>6138</v>
      </c>
    </row>
    <row r="132" spans="1:20" x14ac:dyDescent="0.25">
      <c r="A132" t="s">
        <v>6259</v>
      </c>
      <c r="B132">
        <v>131</v>
      </c>
      <c r="C132">
        <v>1</v>
      </c>
      <c r="D132" t="s">
        <v>11</v>
      </c>
      <c r="H132" t="s">
        <v>5902</v>
      </c>
      <c r="J132" t="s">
        <v>6261</v>
      </c>
      <c r="K132">
        <v>51</v>
      </c>
      <c r="M132" t="s">
        <v>831</v>
      </c>
      <c r="N132" t="s">
        <v>6260</v>
      </c>
      <c r="O132">
        <v>1</v>
      </c>
      <c r="P132">
        <v>612</v>
      </c>
      <c r="Q132">
        <v>582</v>
      </c>
      <c r="R132">
        <v>33.799999999999997</v>
      </c>
      <c r="S132">
        <v>32.4</v>
      </c>
      <c r="T132" t="s">
        <v>6262</v>
      </c>
    </row>
    <row r="133" spans="1:20" x14ac:dyDescent="0.25">
      <c r="A133" t="s">
        <v>6263</v>
      </c>
      <c r="B133">
        <v>132</v>
      </c>
      <c r="C133">
        <v>1</v>
      </c>
      <c r="D133" t="s">
        <v>11</v>
      </c>
      <c r="H133" t="s">
        <v>5894</v>
      </c>
      <c r="J133" t="s">
        <v>6264</v>
      </c>
      <c r="K133">
        <v>52</v>
      </c>
      <c r="M133" t="s">
        <v>831</v>
      </c>
      <c r="N133" t="s">
        <v>1728</v>
      </c>
      <c r="O133">
        <v>1</v>
      </c>
      <c r="P133">
        <v>677</v>
      </c>
      <c r="Q133">
        <v>249</v>
      </c>
      <c r="R133">
        <v>37.299999999999997</v>
      </c>
      <c r="S133">
        <v>14.4</v>
      </c>
      <c r="T133" t="s">
        <v>6265</v>
      </c>
    </row>
    <row r="134" spans="1:20" x14ac:dyDescent="0.25">
      <c r="A134" t="s">
        <v>6266</v>
      </c>
      <c r="B134">
        <v>133</v>
      </c>
      <c r="C134">
        <v>1</v>
      </c>
      <c r="D134" t="s">
        <v>11</v>
      </c>
      <c r="H134" t="s">
        <v>5894</v>
      </c>
      <c r="J134" t="s">
        <v>6268</v>
      </c>
      <c r="K134">
        <v>53</v>
      </c>
      <c r="M134" t="s">
        <v>831</v>
      </c>
      <c r="N134" t="s">
        <v>6267</v>
      </c>
      <c r="O134">
        <v>1</v>
      </c>
      <c r="P134">
        <v>253</v>
      </c>
      <c r="Q134">
        <v>453</v>
      </c>
      <c r="R134">
        <v>14.7</v>
      </c>
      <c r="S134">
        <v>25</v>
      </c>
      <c r="T134" t="s">
        <v>6269</v>
      </c>
    </row>
    <row r="135" spans="1:20" x14ac:dyDescent="0.25">
      <c r="A135" t="s">
        <v>6270</v>
      </c>
      <c r="B135">
        <v>134</v>
      </c>
      <c r="C135">
        <v>1</v>
      </c>
      <c r="D135" t="s">
        <v>11</v>
      </c>
      <c r="H135" t="s">
        <v>5894</v>
      </c>
      <c r="J135" t="s">
        <v>6271</v>
      </c>
      <c r="K135">
        <v>54</v>
      </c>
      <c r="M135" t="s">
        <v>666</v>
      </c>
      <c r="N135" t="s">
        <v>1621</v>
      </c>
      <c r="O135">
        <v>1</v>
      </c>
      <c r="P135">
        <v>100</v>
      </c>
      <c r="Q135">
        <v>90</v>
      </c>
      <c r="R135">
        <v>6.4</v>
      </c>
      <c r="S135">
        <v>6</v>
      </c>
      <c r="T135" t="s">
        <v>6272</v>
      </c>
    </row>
    <row r="136" spans="1:20" x14ac:dyDescent="0.25">
      <c r="A136" t="s">
        <v>6273</v>
      </c>
      <c r="B136">
        <v>135</v>
      </c>
      <c r="C136">
        <v>1</v>
      </c>
      <c r="D136" t="s">
        <v>11</v>
      </c>
      <c r="H136" t="s">
        <v>5894</v>
      </c>
      <c r="J136" t="s">
        <v>6274</v>
      </c>
      <c r="K136">
        <v>55</v>
      </c>
      <c r="M136" t="s">
        <v>666</v>
      </c>
      <c r="N136" t="s">
        <v>1617</v>
      </c>
      <c r="O136">
        <v>1</v>
      </c>
      <c r="P136">
        <v>477</v>
      </c>
      <c r="Q136">
        <v>108</v>
      </c>
      <c r="R136">
        <v>26.7</v>
      </c>
      <c r="S136">
        <v>6.9</v>
      </c>
      <c r="T136" t="s">
        <v>6275</v>
      </c>
    </row>
    <row r="137" spans="1:20" x14ac:dyDescent="0.25">
      <c r="A137" t="s">
        <v>6276</v>
      </c>
      <c r="B137">
        <v>136</v>
      </c>
      <c r="C137">
        <v>1</v>
      </c>
      <c r="D137" t="s">
        <v>11</v>
      </c>
      <c r="H137" t="s">
        <v>5894</v>
      </c>
      <c r="J137" t="s">
        <v>6277</v>
      </c>
      <c r="K137">
        <v>56</v>
      </c>
      <c r="M137" t="s">
        <v>666</v>
      </c>
      <c r="N137" t="s">
        <v>1625</v>
      </c>
      <c r="O137">
        <v>1</v>
      </c>
      <c r="P137">
        <v>167</v>
      </c>
      <c r="Q137">
        <v>515</v>
      </c>
      <c r="R137">
        <v>9.9</v>
      </c>
      <c r="S137">
        <v>28.7</v>
      </c>
      <c r="T137" t="s">
        <v>6278</v>
      </c>
    </row>
    <row r="138" spans="1:20" x14ac:dyDescent="0.25">
      <c r="A138" t="s">
        <v>6279</v>
      </c>
      <c r="B138">
        <v>137</v>
      </c>
      <c r="C138">
        <v>1</v>
      </c>
      <c r="D138" t="s">
        <v>11</v>
      </c>
      <c r="H138" t="s">
        <v>5894</v>
      </c>
      <c r="J138" t="s">
        <v>6281</v>
      </c>
      <c r="K138">
        <v>57</v>
      </c>
      <c r="M138" t="s">
        <v>434</v>
      </c>
      <c r="N138" t="s">
        <v>6280</v>
      </c>
      <c r="O138">
        <v>0</v>
      </c>
      <c r="P138">
        <v>207</v>
      </c>
      <c r="Q138">
        <v>223</v>
      </c>
      <c r="R138">
        <v>12.2</v>
      </c>
      <c r="S138">
        <v>13</v>
      </c>
      <c r="T138" t="s">
        <v>6282</v>
      </c>
    </row>
    <row r="139" spans="1:20" x14ac:dyDescent="0.25">
      <c r="A139" t="s">
        <v>6283</v>
      </c>
      <c r="B139">
        <v>138</v>
      </c>
      <c r="C139">
        <v>1</v>
      </c>
      <c r="D139" t="s">
        <v>11</v>
      </c>
      <c r="H139" t="s">
        <v>5894</v>
      </c>
      <c r="J139" t="s">
        <v>6284</v>
      </c>
      <c r="K139">
        <v>58</v>
      </c>
      <c r="M139" t="s">
        <v>434</v>
      </c>
      <c r="N139" t="s">
        <v>1700</v>
      </c>
      <c r="O139">
        <v>0</v>
      </c>
      <c r="P139">
        <v>346</v>
      </c>
      <c r="Q139">
        <v>689</v>
      </c>
      <c r="R139">
        <v>19.7</v>
      </c>
      <c r="S139">
        <v>38.1</v>
      </c>
      <c r="T139" t="s">
        <v>6285</v>
      </c>
    </row>
    <row r="140" spans="1:20" x14ac:dyDescent="0.25">
      <c r="A140" t="s">
        <v>6286</v>
      </c>
      <c r="B140">
        <v>139</v>
      </c>
      <c r="C140">
        <v>1</v>
      </c>
      <c r="D140" t="s">
        <v>11</v>
      </c>
      <c r="H140" t="s">
        <v>5894</v>
      </c>
      <c r="J140" t="s">
        <v>6287</v>
      </c>
      <c r="K140">
        <v>59</v>
      </c>
      <c r="M140" t="s">
        <v>434</v>
      </c>
      <c r="N140" t="s">
        <v>1689</v>
      </c>
      <c r="O140">
        <v>1</v>
      </c>
      <c r="P140">
        <v>551</v>
      </c>
      <c r="Q140">
        <v>563</v>
      </c>
      <c r="R140">
        <v>30.4</v>
      </c>
      <c r="S140">
        <v>31.3</v>
      </c>
      <c r="T140" t="s">
        <v>6288</v>
      </c>
    </row>
    <row r="141" spans="1:20" x14ac:dyDescent="0.25">
      <c r="A141" t="s">
        <v>6289</v>
      </c>
      <c r="B141">
        <v>140</v>
      </c>
      <c r="C141">
        <v>1</v>
      </c>
      <c r="D141" t="s">
        <v>11</v>
      </c>
      <c r="H141" t="s">
        <v>5894</v>
      </c>
      <c r="J141" t="s">
        <v>6290</v>
      </c>
      <c r="K141">
        <v>60</v>
      </c>
      <c r="M141" t="s">
        <v>733</v>
      </c>
      <c r="N141" t="s">
        <v>1631</v>
      </c>
      <c r="O141">
        <v>0</v>
      </c>
      <c r="P141">
        <v>171</v>
      </c>
      <c r="Q141">
        <v>256</v>
      </c>
      <c r="R141">
        <v>10</v>
      </c>
      <c r="S141">
        <v>14.8</v>
      </c>
      <c r="T141" t="s">
        <v>6291</v>
      </c>
    </row>
    <row r="142" spans="1:20" x14ac:dyDescent="0.25">
      <c r="A142" t="s">
        <v>6292</v>
      </c>
      <c r="B142">
        <v>141</v>
      </c>
      <c r="C142">
        <v>1</v>
      </c>
      <c r="D142" t="s">
        <v>11</v>
      </c>
      <c r="H142" t="s">
        <v>5894</v>
      </c>
      <c r="J142" t="s">
        <v>6293</v>
      </c>
      <c r="K142">
        <v>61</v>
      </c>
      <c r="M142" t="s">
        <v>733</v>
      </c>
      <c r="N142" t="s">
        <v>1636</v>
      </c>
      <c r="O142">
        <v>0</v>
      </c>
      <c r="P142">
        <v>642</v>
      </c>
      <c r="Q142">
        <v>100</v>
      </c>
      <c r="R142">
        <v>35.5</v>
      </c>
      <c r="S142">
        <v>6.4</v>
      </c>
      <c r="T142" t="s">
        <v>6294</v>
      </c>
    </row>
    <row r="143" spans="1:20" s="8" customFormat="1" x14ac:dyDescent="0.25">
      <c r="A143" s="8" t="s">
        <v>6295</v>
      </c>
      <c r="B143" s="8">
        <v>142</v>
      </c>
      <c r="C143" s="8">
        <v>1</v>
      </c>
      <c r="D143" s="8" t="s">
        <v>11</v>
      </c>
      <c r="H143" s="8" t="s">
        <v>5894</v>
      </c>
      <c r="J143" s="8" t="s">
        <v>6296</v>
      </c>
      <c r="K143" s="8">
        <v>62</v>
      </c>
      <c r="M143" s="8" t="s">
        <v>733</v>
      </c>
      <c r="N143" s="8" t="s">
        <v>1643</v>
      </c>
      <c r="O143" s="8">
        <v>1</v>
      </c>
      <c r="P143" s="8">
        <v>462</v>
      </c>
      <c r="Q143" s="8">
        <v>514</v>
      </c>
      <c r="R143" s="8">
        <v>25.9</v>
      </c>
      <c r="S143" s="8">
        <v>28.6</v>
      </c>
      <c r="T143" s="8" t="s">
        <v>6297</v>
      </c>
    </row>
    <row r="144" spans="1:20" x14ac:dyDescent="0.25">
      <c r="A144" t="s">
        <v>6298</v>
      </c>
      <c r="B144">
        <v>143</v>
      </c>
      <c r="C144">
        <v>1</v>
      </c>
      <c r="D144" t="s">
        <v>73</v>
      </c>
      <c r="H144" t="s">
        <v>5894</v>
      </c>
      <c r="J144" t="s">
        <v>6299</v>
      </c>
      <c r="K144">
        <v>1</v>
      </c>
      <c r="M144" t="s">
        <v>1734</v>
      </c>
      <c r="N144" t="s">
        <v>1763</v>
      </c>
      <c r="O144">
        <v>1</v>
      </c>
      <c r="P144">
        <v>430</v>
      </c>
      <c r="Q144">
        <v>505</v>
      </c>
      <c r="R144">
        <v>21.9</v>
      </c>
      <c r="S144">
        <v>26.9</v>
      </c>
      <c r="T144" t="s">
        <v>6300</v>
      </c>
    </row>
    <row r="145" spans="1:20" x14ac:dyDescent="0.25">
      <c r="A145" t="s">
        <v>6301</v>
      </c>
      <c r="B145">
        <v>144</v>
      </c>
      <c r="C145">
        <v>1</v>
      </c>
      <c r="D145" t="s">
        <v>73</v>
      </c>
      <c r="H145" t="s">
        <v>5894</v>
      </c>
      <c r="J145" t="s">
        <v>6302</v>
      </c>
      <c r="K145">
        <v>2</v>
      </c>
      <c r="M145" t="s">
        <v>1734</v>
      </c>
      <c r="N145" t="s">
        <v>1758</v>
      </c>
      <c r="O145">
        <v>1</v>
      </c>
      <c r="P145">
        <v>453</v>
      </c>
      <c r="Q145">
        <v>298</v>
      </c>
      <c r="R145">
        <v>24.2</v>
      </c>
      <c r="S145">
        <v>16.2</v>
      </c>
      <c r="T145" t="s">
        <v>6303</v>
      </c>
    </row>
    <row r="146" spans="1:20" x14ac:dyDescent="0.25">
      <c r="A146" t="s">
        <v>6304</v>
      </c>
      <c r="B146">
        <v>145</v>
      </c>
      <c r="C146">
        <v>1</v>
      </c>
      <c r="D146" t="s">
        <v>73</v>
      </c>
      <c r="H146" t="s">
        <v>5894</v>
      </c>
      <c r="J146" t="s">
        <v>6305</v>
      </c>
      <c r="K146">
        <v>3</v>
      </c>
      <c r="M146" t="s">
        <v>1734</v>
      </c>
      <c r="N146" t="s">
        <v>1754</v>
      </c>
      <c r="O146">
        <v>1</v>
      </c>
      <c r="P146">
        <v>434</v>
      </c>
      <c r="Q146">
        <v>123</v>
      </c>
      <c r="R146">
        <v>23.2</v>
      </c>
      <c r="S146">
        <v>7.2</v>
      </c>
      <c r="T146" t="s">
        <v>6306</v>
      </c>
    </row>
    <row r="147" spans="1:20" x14ac:dyDescent="0.25">
      <c r="A147" t="s">
        <v>6307</v>
      </c>
      <c r="B147">
        <v>146</v>
      </c>
      <c r="C147">
        <v>1</v>
      </c>
      <c r="D147" t="s">
        <v>73</v>
      </c>
      <c r="H147" t="s">
        <v>5894</v>
      </c>
      <c r="J147" t="s">
        <v>6308</v>
      </c>
      <c r="K147">
        <v>4</v>
      </c>
      <c r="M147" t="s">
        <v>1734</v>
      </c>
      <c r="N147" t="s">
        <v>1287</v>
      </c>
      <c r="O147">
        <v>1</v>
      </c>
      <c r="P147">
        <v>163</v>
      </c>
      <c r="Q147">
        <v>191</v>
      </c>
      <c r="R147">
        <v>9.3000000000000007</v>
      </c>
      <c r="S147">
        <v>10.8</v>
      </c>
      <c r="T147" t="s">
        <v>6309</v>
      </c>
    </row>
    <row r="148" spans="1:20" x14ac:dyDescent="0.25">
      <c r="A148" t="s">
        <v>6310</v>
      </c>
      <c r="B148">
        <v>147</v>
      </c>
      <c r="C148">
        <v>1</v>
      </c>
      <c r="D148" t="s">
        <v>73</v>
      </c>
      <c r="H148" t="s">
        <v>5894</v>
      </c>
      <c r="J148" t="s">
        <v>6311</v>
      </c>
      <c r="K148">
        <v>5</v>
      </c>
      <c r="M148" t="s">
        <v>1734</v>
      </c>
      <c r="N148" t="s">
        <v>1743</v>
      </c>
      <c r="O148">
        <v>1</v>
      </c>
      <c r="P148">
        <v>152</v>
      </c>
      <c r="Q148">
        <v>497</v>
      </c>
      <c r="R148">
        <v>8.6</v>
      </c>
      <c r="S148">
        <v>26.4</v>
      </c>
      <c r="T148" t="s">
        <v>6312</v>
      </c>
    </row>
    <row r="149" spans="1:20" x14ac:dyDescent="0.25">
      <c r="A149" t="s">
        <v>6313</v>
      </c>
      <c r="B149">
        <v>148</v>
      </c>
      <c r="C149">
        <v>1</v>
      </c>
      <c r="D149" t="s">
        <v>73</v>
      </c>
      <c r="H149" t="s">
        <v>5894</v>
      </c>
      <c r="J149" t="s">
        <v>6315</v>
      </c>
      <c r="K149">
        <v>6</v>
      </c>
      <c r="M149" t="s">
        <v>1734</v>
      </c>
      <c r="N149" t="s">
        <v>6314</v>
      </c>
      <c r="O149">
        <v>1</v>
      </c>
      <c r="P149">
        <v>692</v>
      </c>
      <c r="Q149">
        <v>304</v>
      </c>
      <c r="R149">
        <v>36.5</v>
      </c>
      <c r="S149">
        <v>16.399999999999999</v>
      </c>
      <c r="T149" t="s">
        <v>6316</v>
      </c>
    </row>
    <row r="150" spans="1:20" x14ac:dyDescent="0.25">
      <c r="A150" t="s">
        <v>6317</v>
      </c>
      <c r="B150">
        <v>149</v>
      </c>
      <c r="C150">
        <v>1</v>
      </c>
      <c r="D150" t="s">
        <v>73</v>
      </c>
      <c r="H150" t="s">
        <v>5894</v>
      </c>
      <c r="J150" t="s">
        <v>6318</v>
      </c>
      <c r="K150">
        <v>7</v>
      </c>
      <c r="M150" t="s">
        <v>1734</v>
      </c>
      <c r="N150" t="s">
        <v>3439</v>
      </c>
      <c r="O150">
        <v>1</v>
      </c>
      <c r="P150">
        <v>567</v>
      </c>
      <c r="Q150">
        <v>474</v>
      </c>
      <c r="R150">
        <v>30</v>
      </c>
      <c r="S150">
        <v>25.2</v>
      </c>
      <c r="T150" t="s">
        <v>6319</v>
      </c>
    </row>
    <row r="151" spans="1:20" x14ac:dyDescent="0.25">
      <c r="A151" t="s">
        <v>6320</v>
      </c>
      <c r="B151">
        <v>150</v>
      </c>
      <c r="C151">
        <v>1</v>
      </c>
      <c r="D151" t="s">
        <v>73</v>
      </c>
      <c r="H151" t="s">
        <v>5894</v>
      </c>
      <c r="J151" t="s">
        <v>6321</v>
      </c>
      <c r="K151">
        <v>8</v>
      </c>
      <c r="M151" t="s">
        <v>603</v>
      </c>
      <c r="N151" t="s">
        <v>1788</v>
      </c>
      <c r="O151">
        <v>1</v>
      </c>
      <c r="P151">
        <v>632</v>
      </c>
      <c r="Q151">
        <v>182</v>
      </c>
      <c r="R151">
        <v>33.299999999999997</v>
      </c>
      <c r="S151">
        <v>10.199999999999999</v>
      </c>
      <c r="T151" t="s">
        <v>6322</v>
      </c>
    </row>
    <row r="152" spans="1:20" x14ac:dyDescent="0.25">
      <c r="A152" t="s">
        <v>6323</v>
      </c>
      <c r="B152">
        <v>151</v>
      </c>
      <c r="C152">
        <v>1</v>
      </c>
      <c r="D152" t="s">
        <v>73</v>
      </c>
      <c r="H152" t="s">
        <v>5894</v>
      </c>
      <c r="J152" t="s">
        <v>6324</v>
      </c>
      <c r="K152">
        <v>9</v>
      </c>
      <c r="M152" t="s">
        <v>603</v>
      </c>
      <c r="N152" t="s">
        <v>1818</v>
      </c>
      <c r="O152">
        <v>1</v>
      </c>
      <c r="P152">
        <v>511</v>
      </c>
      <c r="Q152">
        <v>698</v>
      </c>
      <c r="R152">
        <v>27</v>
      </c>
      <c r="S152">
        <v>36.799999999999997</v>
      </c>
      <c r="T152" t="s">
        <v>6325</v>
      </c>
    </row>
    <row r="153" spans="1:20" x14ac:dyDescent="0.25">
      <c r="A153" t="s">
        <v>6326</v>
      </c>
      <c r="B153">
        <v>152</v>
      </c>
      <c r="C153">
        <v>1</v>
      </c>
      <c r="D153" t="s">
        <v>73</v>
      </c>
      <c r="H153" t="s">
        <v>5894</v>
      </c>
      <c r="J153" t="s">
        <v>6327</v>
      </c>
      <c r="K153">
        <v>10</v>
      </c>
      <c r="M153" t="s">
        <v>603</v>
      </c>
      <c r="N153" t="s">
        <v>1809</v>
      </c>
      <c r="O153">
        <v>1</v>
      </c>
      <c r="P153">
        <v>411</v>
      </c>
      <c r="Q153">
        <v>624</v>
      </c>
      <c r="R153">
        <v>22</v>
      </c>
      <c r="S153">
        <v>32.799999999999997</v>
      </c>
      <c r="T153" t="s">
        <v>6328</v>
      </c>
    </row>
    <row r="154" spans="1:20" x14ac:dyDescent="0.25">
      <c r="A154" t="s">
        <v>6329</v>
      </c>
      <c r="B154">
        <v>153</v>
      </c>
      <c r="C154">
        <v>1</v>
      </c>
      <c r="D154" t="s">
        <v>73</v>
      </c>
      <c r="H154" t="s">
        <v>5894</v>
      </c>
      <c r="J154" t="s">
        <v>6330</v>
      </c>
      <c r="K154">
        <v>11</v>
      </c>
      <c r="M154" t="s">
        <v>603</v>
      </c>
      <c r="N154" t="s">
        <v>3441</v>
      </c>
      <c r="O154">
        <v>1</v>
      </c>
      <c r="P154">
        <v>472</v>
      </c>
      <c r="Q154">
        <v>92</v>
      </c>
      <c r="R154">
        <v>25.1</v>
      </c>
      <c r="S154">
        <v>5.8</v>
      </c>
      <c r="T154" t="s">
        <v>6331</v>
      </c>
    </row>
    <row r="155" spans="1:20" x14ac:dyDescent="0.25">
      <c r="A155" t="s">
        <v>6332</v>
      </c>
      <c r="B155">
        <v>154</v>
      </c>
      <c r="C155">
        <v>1</v>
      </c>
      <c r="D155" t="s">
        <v>73</v>
      </c>
      <c r="H155" t="s">
        <v>5894</v>
      </c>
      <c r="J155" t="s">
        <v>6333</v>
      </c>
      <c r="K155">
        <v>12</v>
      </c>
      <c r="M155" t="s">
        <v>603</v>
      </c>
      <c r="N155" t="s">
        <v>1803</v>
      </c>
      <c r="O155">
        <v>1</v>
      </c>
      <c r="P155">
        <v>371</v>
      </c>
      <c r="Q155">
        <v>436</v>
      </c>
      <c r="R155">
        <v>19.899999999999999</v>
      </c>
      <c r="S155">
        <v>23.4</v>
      </c>
      <c r="T155" t="s">
        <v>6334</v>
      </c>
    </row>
    <row r="156" spans="1:20" x14ac:dyDescent="0.25">
      <c r="A156" t="s">
        <v>6335</v>
      </c>
      <c r="B156">
        <v>155</v>
      </c>
      <c r="C156">
        <v>1</v>
      </c>
      <c r="D156" t="s">
        <v>73</v>
      </c>
      <c r="H156" t="s">
        <v>5894</v>
      </c>
      <c r="J156" t="s">
        <v>6336</v>
      </c>
      <c r="K156">
        <v>13</v>
      </c>
      <c r="M156" t="s">
        <v>603</v>
      </c>
      <c r="N156" t="s">
        <v>1807</v>
      </c>
      <c r="O156">
        <v>1</v>
      </c>
      <c r="P156">
        <v>142</v>
      </c>
      <c r="Q156">
        <v>714</v>
      </c>
      <c r="R156">
        <v>8.1</v>
      </c>
      <c r="S156">
        <v>37.5</v>
      </c>
      <c r="T156" t="s">
        <v>6337</v>
      </c>
    </row>
    <row r="157" spans="1:20" x14ac:dyDescent="0.25">
      <c r="A157" t="s">
        <v>6338</v>
      </c>
      <c r="B157">
        <v>156</v>
      </c>
      <c r="C157">
        <v>1</v>
      </c>
      <c r="D157" t="s">
        <v>73</v>
      </c>
      <c r="H157" t="s">
        <v>5894</v>
      </c>
      <c r="J157" t="s">
        <v>6339</v>
      </c>
      <c r="K157">
        <v>14</v>
      </c>
      <c r="M157" t="s">
        <v>603</v>
      </c>
      <c r="N157" t="s">
        <v>1779</v>
      </c>
      <c r="O157">
        <v>1</v>
      </c>
      <c r="P157">
        <v>340</v>
      </c>
      <c r="Q157">
        <v>254</v>
      </c>
      <c r="R157">
        <v>18.3</v>
      </c>
      <c r="S157">
        <v>14.3</v>
      </c>
      <c r="T157" t="s">
        <v>6340</v>
      </c>
    </row>
    <row r="158" spans="1:20" x14ac:dyDescent="0.25">
      <c r="A158" t="s">
        <v>6341</v>
      </c>
      <c r="B158">
        <v>157</v>
      </c>
      <c r="C158">
        <v>1</v>
      </c>
      <c r="D158" t="s">
        <v>73</v>
      </c>
      <c r="H158" t="s">
        <v>5894</v>
      </c>
      <c r="J158" t="s">
        <v>6342</v>
      </c>
      <c r="K158">
        <v>15</v>
      </c>
      <c r="M158" t="s">
        <v>603</v>
      </c>
      <c r="N158" t="s">
        <v>1773</v>
      </c>
      <c r="O158">
        <v>1</v>
      </c>
      <c r="P158">
        <v>128</v>
      </c>
      <c r="Q158">
        <v>128</v>
      </c>
      <c r="R158">
        <v>7.5</v>
      </c>
      <c r="S158">
        <v>7.6</v>
      </c>
      <c r="T158" t="s">
        <v>6343</v>
      </c>
    </row>
    <row r="159" spans="1:20" x14ac:dyDescent="0.25">
      <c r="A159" t="s">
        <v>6344</v>
      </c>
      <c r="B159">
        <v>158</v>
      </c>
      <c r="C159">
        <v>1</v>
      </c>
      <c r="D159" t="s">
        <v>73</v>
      </c>
      <c r="H159" t="s">
        <v>5894</v>
      </c>
      <c r="J159" t="s">
        <v>6346</v>
      </c>
      <c r="K159">
        <v>16</v>
      </c>
      <c r="M159" t="s">
        <v>637</v>
      </c>
      <c r="N159" t="s">
        <v>6345</v>
      </c>
      <c r="O159">
        <v>1</v>
      </c>
      <c r="P159">
        <v>439</v>
      </c>
      <c r="Q159">
        <v>628</v>
      </c>
      <c r="R159">
        <v>23.5</v>
      </c>
      <c r="S159">
        <v>33.700000000000003</v>
      </c>
      <c r="T159" t="s">
        <v>6347</v>
      </c>
    </row>
    <row r="160" spans="1:20" x14ac:dyDescent="0.25">
      <c r="A160" t="s">
        <v>6348</v>
      </c>
      <c r="B160">
        <v>159</v>
      </c>
      <c r="C160">
        <v>1</v>
      </c>
      <c r="D160" t="s">
        <v>73</v>
      </c>
      <c r="H160" t="s">
        <v>5894</v>
      </c>
      <c r="J160" t="s">
        <v>6349</v>
      </c>
      <c r="K160">
        <v>17</v>
      </c>
      <c r="M160" t="s">
        <v>637</v>
      </c>
      <c r="N160" t="s">
        <v>1855</v>
      </c>
      <c r="O160">
        <v>1</v>
      </c>
      <c r="P160">
        <v>670</v>
      </c>
      <c r="Q160">
        <v>629</v>
      </c>
      <c r="R160">
        <v>35.200000000000003</v>
      </c>
      <c r="S160">
        <v>33.200000000000003</v>
      </c>
      <c r="T160" t="s">
        <v>6350</v>
      </c>
    </row>
    <row r="161" spans="1:20" x14ac:dyDescent="0.25">
      <c r="A161" t="s">
        <v>6351</v>
      </c>
      <c r="B161">
        <v>160</v>
      </c>
      <c r="C161">
        <v>1</v>
      </c>
      <c r="D161" t="s">
        <v>73</v>
      </c>
      <c r="H161" t="s">
        <v>5894</v>
      </c>
      <c r="J161" t="s">
        <v>6352</v>
      </c>
      <c r="K161">
        <v>18</v>
      </c>
      <c r="M161" t="s">
        <v>637</v>
      </c>
      <c r="N161" t="s">
        <v>1826</v>
      </c>
      <c r="O161">
        <v>1</v>
      </c>
      <c r="P161">
        <v>251</v>
      </c>
      <c r="Q161">
        <v>673</v>
      </c>
      <c r="R161">
        <v>13.8</v>
      </c>
      <c r="S161">
        <v>35.5</v>
      </c>
      <c r="T161" t="s">
        <v>6353</v>
      </c>
    </row>
    <row r="162" spans="1:20" x14ac:dyDescent="0.25">
      <c r="A162" t="s">
        <v>6354</v>
      </c>
      <c r="B162">
        <v>161</v>
      </c>
      <c r="C162">
        <v>1</v>
      </c>
      <c r="D162" t="s">
        <v>73</v>
      </c>
      <c r="H162" t="s">
        <v>5902</v>
      </c>
      <c r="J162" t="s">
        <v>6355</v>
      </c>
      <c r="K162">
        <v>19</v>
      </c>
      <c r="M162" t="s">
        <v>637</v>
      </c>
      <c r="N162" t="s">
        <v>1849</v>
      </c>
      <c r="O162">
        <v>0</v>
      </c>
      <c r="P162">
        <v>381</v>
      </c>
      <c r="Q162">
        <v>302</v>
      </c>
      <c r="R162">
        <v>20.5</v>
      </c>
      <c r="S162">
        <v>16.5</v>
      </c>
      <c r="T162" t="s">
        <v>6356</v>
      </c>
    </row>
    <row r="163" spans="1:20" x14ac:dyDescent="0.25">
      <c r="A163" t="s">
        <v>6357</v>
      </c>
      <c r="B163">
        <v>162</v>
      </c>
      <c r="C163">
        <v>1</v>
      </c>
      <c r="D163" t="s">
        <v>73</v>
      </c>
      <c r="H163" t="s">
        <v>5894</v>
      </c>
      <c r="J163" t="s">
        <v>6359</v>
      </c>
      <c r="K163">
        <v>20</v>
      </c>
      <c r="M163" t="s">
        <v>637</v>
      </c>
      <c r="N163" t="s">
        <v>6358</v>
      </c>
      <c r="O163">
        <v>0</v>
      </c>
      <c r="P163">
        <v>643</v>
      </c>
      <c r="Q163">
        <v>569</v>
      </c>
      <c r="R163">
        <v>33.9</v>
      </c>
      <c r="S163">
        <v>30.2</v>
      </c>
      <c r="T163" t="s">
        <v>6360</v>
      </c>
    </row>
    <row r="164" spans="1:20" x14ac:dyDescent="0.25">
      <c r="A164" t="s">
        <v>6361</v>
      </c>
      <c r="B164">
        <v>163</v>
      </c>
      <c r="C164">
        <v>1</v>
      </c>
      <c r="D164" t="s">
        <v>73</v>
      </c>
      <c r="H164" t="s">
        <v>5894</v>
      </c>
      <c r="J164" t="s">
        <v>6362</v>
      </c>
      <c r="K164">
        <v>21</v>
      </c>
      <c r="M164" t="s">
        <v>637</v>
      </c>
      <c r="N164" t="s">
        <v>3445</v>
      </c>
      <c r="O164">
        <v>1</v>
      </c>
      <c r="P164">
        <v>96</v>
      </c>
      <c r="Q164">
        <v>410</v>
      </c>
      <c r="R164">
        <v>5.9</v>
      </c>
      <c r="S164">
        <v>22</v>
      </c>
      <c r="T164" t="s">
        <v>6363</v>
      </c>
    </row>
    <row r="165" spans="1:20" x14ac:dyDescent="0.25">
      <c r="A165" t="s">
        <v>6364</v>
      </c>
      <c r="B165">
        <v>164</v>
      </c>
      <c r="C165">
        <v>1</v>
      </c>
      <c r="D165" t="s">
        <v>73</v>
      </c>
      <c r="H165" t="s">
        <v>5894</v>
      </c>
      <c r="J165" t="s">
        <v>6366</v>
      </c>
      <c r="K165">
        <v>22</v>
      </c>
      <c r="M165" t="s">
        <v>1880</v>
      </c>
      <c r="N165" t="s">
        <v>6365</v>
      </c>
      <c r="O165">
        <v>0</v>
      </c>
      <c r="P165">
        <v>521</v>
      </c>
      <c r="Q165">
        <v>337</v>
      </c>
      <c r="R165">
        <v>14.3</v>
      </c>
      <c r="S165">
        <v>9.6</v>
      </c>
      <c r="T165" t="s">
        <v>6367</v>
      </c>
    </row>
    <row r="166" spans="1:20" x14ac:dyDescent="0.25">
      <c r="A166" t="s">
        <v>6368</v>
      </c>
      <c r="B166">
        <v>165</v>
      </c>
      <c r="C166">
        <v>1</v>
      </c>
      <c r="D166" t="s">
        <v>73</v>
      </c>
      <c r="H166" t="s">
        <v>5926</v>
      </c>
      <c r="J166" t="s">
        <v>6370</v>
      </c>
      <c r="K166">
        <v>23</v>
      </c>
      <c r="M166" t="s">
        <v>1880</v>
      </c>
      <c r="N166" t="s">
        <v>6369</v>
      </c>
      <c r="O166">
        <v>0</v>
      </c>
      <c r="P166">
        <v>331</v>
      </c>
      <c r="Q166">
        <v>248</v>
      </c>
      <c r="R166">
        <v>9.4</v>
      </c>
      <c r="S166">
        <v>7.3</v>
      </c>
      <c r="T166" t="s">
        <v>6371</v>
      </c>
    </row>
    <row r="167" spans="1:20" x14ac:dyDescent="0.25">
      <c r="A167" t="s">
        <v>6372</v>
      </c>
      <c r="B167">
        <v>166</v>
      </c>
      <c r="C167">
        <v>1</v>
      </c>
      <c r="D167" t="s">
        <v>73</v>
      </c>
      <c r="H167" t="s">
        <v>5894</v>
      </c>
      <c r="J167" t="s">
        <v>6374</v>
      </c>
      <c r="K167">
        <v>24</v>
      </c>
      <c r="M167" t="s">
        <v>1880</v>
      </c>
      <c r="N167" t="s">
        <v>6373</v>
      </c>
      <c r="O167">
        <v>0</v>
      </c>
      <c r="P167">
        <v>480</v>
      </c>
      <c r="Q167">
        <v>458</v>
      </c>
      <c r="R167">
        <v>13.2</v>
      </c>
      <c r="S167">
        <v>12.7</v>
      </c>
      <c r="T167" t="s">
        <v>6375</v>
      </c>
    </row>
    <row r="168" spans="1:20" x14ac:dyDescent="0.25">
      <c r="A168" t="s">
        <v>6376</v>
      </c>
      <c r="B168">
        <v>167</v>
      </c>
      <c r="C168">
        <v>1</v>
      </c>
      <c r="D168" t="s">
        <v>73</v>
      </c>
      <c r="H168" t="s">
        <v>5894</v>
      </c>
      <c r="J168" t="s">
        <v>6378</v>
      </c>
      <c r="K168">
        <v>25</v>
      </c>
      <c r="M168" t="s">
        <v>1880</v>
      </c>
      <c r="N168" t="s">
        <v>6377</v>
      </c>
      <c r="O168">
        <v>0</v>
      </c>
      <c r="P168">
        <v>430</v>
      </c>
      <c r="Q168">
        <v>420</v>
      </c>
      <c r="R168">
        <v>11.9</v>
      </c>
      <c r="S168">
        <v>11.7</v>
      </c>
      <c r="T168" t="s">
        <v>6379</v>
      </c>
    </row>
    <row r="169" spans="1:20" x14ac:dyDescent="0.25">
      <c r="A169" t="s">
        <v>6380</v>
      </c>
      <c r="B169">
        <v>168</v>
      </c>
      <c r="C169">
        <v>1</v>
      </c>
      <c r="D169" t="s">
        <v>73</v>
      </c>
      <c r="H169" t="s">
        <v>5894</v>
      </c>
      <c r="J169" t="s">
        <v>6382</v>
      </c>
      <c r="K169">
        <v>26</v>
      </c>
      <c r="M169" t="s">
        <v>1880</v>
      </c>
      <c r="N169" t="s">
        <v>6381</v>
      </c>
      <c r="O169">
        <v>0</v>
      </c>
      <c r="P169">
        <v>362</v>
      </c>
      <c r="Q169">
        <v>353</v>
      </c>
      <c r="R169">
        <v>10.199999999999999</v>
      </c>
      <c r="S169">
        <v>10</v>
      </c>
      <c r="T169" t="s">
        <v>6383</v>
      </c>
    </row>
    <row r="170" spans="1:20" x14ac:dyDescent="0.25">
      <c r="A170" t="s">
        <v>6384</v>
      </c>
      <c r="B170">
        <v>169</v>
      </c>
      <c r="C170">
        <v>1</v>
      </c>
      <c r="D170" t="s">
        <v>73</v>
      </c>
      <c r="H170" t="s">
        <v>5894</v>
      </c>
      <c r="J170" t="s">
        <v>6385</v>
      </c>
      <c r="K170">
        <v>27</v>
      </c>
      <c r="M170" t="s">
        <v>1889</v>
      </c>
      <c r="N170" t="s">
        <v>3449</v>
      </c>
      <c r="O170">
        <v>0</v>
      </c>
      <c r="P170">
        <v>489</v>
      </c>
      <c r="Q170">
        <v>236</v>
      </c>
      <c r="R170">
        <v>25.9</v>
      </c>
      <c r="S170">
        <v>13</v>
      </c>
      <c r="T170" t="s">
        <v>6386</v>
      </c>
    </row>
    <row r="171" spans="1:20" x14ac:dyDescent="0.25">
      <c r="A171" t="s">
        <v>6387</v>
      </c>
      <c r="B171">
        <v>170</v>
      </c>
      <c r="C171">
        <v>1</v>
      </c>
      <c r="D171" t="s">
        <v>73</v>
      </c>
      <c r="H171" t="s">
        <v>5894</v>
      </c>
      <c r="J171" t="s">
        <v>6388</v>
      </c>
      <c r="K171">
        <v>28</v>
      </c>
      <c r="M171" t="s">
        <v>1889</v>
      </c>
      <c r="N171" t="s">
        <v>1913</v>
      </c>
      <c r="O171">
        <v>1</v>
      </c>
      <c r="P171">
        <v>623</v>
      </c>
      <c r="Q171">
        <v>149</v>
      </c>
      <c r="R171">
        <v>32.9</v>
      </c>
      <c r="S171">
        <v>8.6999999999999993</v>
      </c>
      <c r="T171" t="s">
        <v>6389</v>
      </c>
    </row>
    <row r="172" spans="1:20" x14ac:dyDescent="0.25">
      <c r="A172" t="s">
        <v>6390</v>
      </c>
      <c r="B172">
        <v>171</v>
      </c>
      <c r="C172">
        <v>1</v>
      </c>
      <c r="D172" t="s">
        <v>73</v>
      </c>
      <c r="H172" t="s">
        <v>5894</v>
      </c>
      <c r="J172" t="s">
        <v>6391</v>
      </c>
      <c r="K172">
        <v>29</v>
      </c>
      <c r="M172" t="s">
        <v>1889</v>
      </c>
      <c r="N172" t="s">
        <v>1907</v>
      </c>
      <c r="O172">
        <v>1</v>
      </c>
      <c r="P172">
        <v>450</v>
      </c>
      <c r="Q172">
        <v>92</v>
      </c>
      <c r="R172">
        <v>24</v>
      </c>
      <c r="S172">
        <v>5.6</v>
      </c>
      <c r="T172" t="s">
        <v>6392</v>
      </c>
    </row>
    <row r="173" spans="1:20" x14ac:dyDescent="0.25">
      <c r="A173" t="s">
        <v>6393</v>
      </c>
      <c r="B173">
        <v>172</v>
      </c>
      <c r="C173">
        <v>1</v>
      </c>
      <c r="D173" t="s">
        <v>73</v>
      </c>
      <c r="H173" t="s">
        <v>5894</v>
      </c>
      <c r="J173" t="s">
        <v>6394</v>
      </c>
      <c r="K173">
        <v>30</v>
      </c>
      <c r="M173" t="s">
        <v>1889</v>
      </c>
      <c r="N173" t="s">
        <v>1896</v>
      </c>
      <c r="O173">
        <v>1</v>
      </c>
      <c r="P173">
        <v>597</v>
      </c>
      <c r="Q173">
        <v>708</v>
      </c>
      <c r="R173">
        <v>31.5</v>
      </c>
      <c r="S173">
        <v>37.200000000000003</v>
      </c>
      <c r="T173" t="s">
        <v>6395</v>
      </c>
    </row>
    <row r="174" spans="1:20" x14ac:dyDescent="0.25">
      <c r="A174" t="s">
        <v>6396</v>
      </c>
      <c r="B174">
        <v>173</v>
      </c>
      <c r="C174">
        <v>1</v>
      </c>
      <c r="D174" t="s">
        <v>73</v>
      </c>
      <c r="H174" t="s">
        <v>5894</v>
      </c>
      <c r="J174" t="s">
        <v>6397</v>
      </c>
      <c r="K174">
        <v>31</v>
      </c>
      <c r="M174" t="s">
        <v>1889</v>
      </c>
      <c r="N174" t="s">
        <v>1919</v>
      </c>
      <c r="O174">
        <v>0</v>
      </c>
      <c r="P174">
        <v>178</v>
      </c>
      <c r="Q174">
        <v>501</v>
      </c>
      <c r="R174">
        <v>10.1</v>
      </c>
      <c r="S174">
        <v>26.7</v>
      </c>
      <c r="T174" t="s">
        <v>6398</v>
      </c>
    </row>
    <row r="175" spans="1:20" x14ac:dyDescent="0.25">
      <c r="A175" t="s">
        <v>6399</v>
      </c>
      <c r="B175">
        <v>174</v>
      </c>
      <c r="C175">
        <v>1</v>
      </c>
      <c r="D175" t="s">
        <v>73</v>
      </c>
      <c r="H175" t="s">
        <v>5894</v>
      </c>
      <c r="J175" t="s">
        <v>6400</v>
      </c>
      <c r="K175">
        <v>32</v>
      </c>
      <c r="M175" t="s">
        <v>1889</v>
      </c>
      <c r="N175" t="s">
        <v>1928</v>
      </c>
      <c r="O175">
        <v>1</v>
      </c>
      <c r="P175">
        <v>107</v>
      </c>
      <c r="Q175">
        <v>191</v>
      </c>
      <c r="R175">
        <v>6.4</v>
      </c>
      <c r="S175">
        <v>10.8</v>
      </c>
      <c r="T175" t="s">
        <v>6043</v>
      </c>
    </row>
    <row r="176" spans="1:20" x14ac:dyDescent="0.25">
      <c r="A176" t="s">
        <v>6401</v>
      </c>
      <c r="B176">
        <v>175</v>
      </c>
      <c r="C176">
        <v>1</v>
      </c>
      <c r="D176" t="s">
        <v>73</v>
      </c>
      <c r="H176" t="s">
        <v>5894</v>
      </c>
      <c r="J176" t="s">
        <v>6402</v>
      </c>
      <c r="K176">
        <v>33</v>
      </c>
      <c r="M176" t="s">
        <v>799</v>
      </c>
      <c r="N176" t="s">
        <v>952</v>
      </c>
      <c r="O176">
        <v>1</v>
      </c>
      <c r="P176">
        <v>221</v>
      </c>
      <c r="Q176">
        <v>500</v>
      </c>
      <c r="R176">
        <v>12.4</v>
      </c>
      <c r="S176">
        <v>26.7</v>
      </c>
      <c r="T176" t="s">
        <v>6403</v>
      </c>
    </row>
    <row r="177" spans="1:20" x14ac:dyDescent="0.25">
      <c r="A177" t="s">
        <v>6404</v>
      </c>
      <c r="B177">
        <v>176</v>
      </c>
      <c r="C177">
        <v>1</v>
      </c>
      <c r="D177" t="s">
        <v>73</v>
      </c>
      <c r="H177" t="s">
        <v>5894</v>
      </c>
      <c r="J177" t="s">
        <v>6405</v>
      </c>
      <c r="K177">
        <v>34</v>
      </c>
      <c r="M177" t="s">
        <v>799</v>
      </c>
      <c r="N177" t="s">
        <v>972</v>
      </c>
      <c r="O177">
        <v>1</v>
      </c>
      <c r="P177">
        <v>575</v>
      </c>
      <c r="Q177">
        <v>620</v>
      </c>
      <c r="R177">
        <v>30.3</v>
      </c>
      <c r="S177">
        <v>32.9</v>
      </c>
      <c r="T177" t="s">
        <v>6406</v>
      </c>
    </row>
    <row r="178" spans="1:20" x14ac:dyDescent="0.25">
      <c r="A178" t="s">
        <v>6407</v>
      </c>
      <c r="B178">
        <v>177</v>
      </c>
      <c r="C178">
        <v>1</v>
      </c>
      <c r="D178" t="s">
        <v>73</v>
      </c>
      <c r="H178" t="s">
        <v>5894</v>
      </c>
      <c r="J178" t="s">
        <v>6408</v>
      </c>
      <c r="K178">
        <v>35</v>
      </c>
      <c r="M178" t="s">
        <v>799</v>
      </c>
      <c r="N178" t="s">
        <v>3452</v>
      </c>
      <c r="O178">
        <v>1</v>
      </c>
      <c r="P178">
        <v>651</v>
      </c>
      <c r="Q178">
        <v>337</v>
      </c>
      <c r="R178">
        <v>34.299999999999997</v>
      </c>
      <c r="S178">
        <v>18.3</v>
      </c>
      <c r="T178" t="s">
        <v>6213</v>
      </c>
    </row>
    <row r="179" spans="1:20" x14ac:dyDescent="0.25">
      <c r="A179" t="s">
        <v>6409</v>
      </c>
      <c r="B179">
        <v>178</v>
      </c>
      <c r="C179">
        <v>1</v>
      </c>
      <c r="D179" t="s">
        <v>73</v>
      </c>
      <c r="H179" t="s">
        <v>5894</v>
      </c>
      <c r="J179" t="s">
        <v>6410</v>
      </c>
      <c r="K179">
        <v>36</v>
      </c>
      <c r="M179" t="s">
        <v>799</v>
      </c>
      <c r="N179" t="s">
        <v>1956</v>
      </c>
      <c r="O179">
        <v>1</v>
      </c>
      <c r="P179">
        <v>576</v>
      </c>
      <c r="Q179">
        <v>103</v>
      </c>
      <c r="R179">
        <v>30.4</v>
      </c>
      <c r="S179">
        <v>6.2</v>
      </c>
      <c r="T179" t="s">
        <v>6411</v>
      </c>
    </row>
    <row r="180" spans="1:20" x14ac:dyDescent="0.25">
      <c r="A180" t="s">
        <v>6412</v>
      </c>
      <c r="B180">
        <v>179</v>
      </c>
      <c r="C180">
        <v>1</v>
      </c>
      <c r="D180" t="s">
        <v>73</v>
      </c>
      <c r="H180" t="s">
        <v>5894</v>
      </c>
      <c r="J180" t="s">
        <v>6413</v>
      </c>
      <c r="K180">
        <v>37</v>
      </c>
      <c r="M180" t="s">
        <v>799</v>
      </c>
      <c r="N180" t="s">
        <v>805</v>
      </c>
      <c r="O180">
        <v>1</v>
      </c>
      <c r="P180">
        <v>272</v>
      </c>
      <c r="Q180">
        <v>105</v>
      </c>
      <c r="R180">
        <v>14.9</v>
      </c>
      <c r="S180">
        <v>6.3</v>
      </c>
      <c r="T180" t="s">
        <v>6414</v>
      </c>
    </row>
    <row r="181" spans="1:20" x14ac:dyDescent="0.25">
      <c r="A181" t="s">
        <v>6415</v>
      </c>
      <c r="B181">
        <v>180</v>
      </c>
      <c r="C181">
        <v>1</v>
      </c>
      <c r="D181" t="s">
        <v>73</v>
      </c>
      <c r="H181" t="s">
        <v>5894</v>
      </c>
      <c r="J181" t="s">
        <v>6417</v>
      </c>
      <c r="K181">
        <v>38</v>
      </c>
      <c r="M181" t="s">
        <v>799</v>
      </c>
      <c r="N181" t="s">
        <v>6416</v>
      </c>
      <c r="O181">
        <v>1</v>
      </c>
      <c r="P181">
        <v>364</v>
      </c>
      <c r="Q181">
        <v>380</v>
      </c>
      <c r="R181">
        <v>19.5</v>
      </c>
      <c r="S181">
        <v>20.5</v>
      </c>
      <c r="T181" t="s">
        <v>6418</v>
      </c>
    </row>
    <row r="182" spans="1:20" x14ac:dyDescent="0.25">
      <c r="A182" t="s">
        <v>6419</v>
      </c>
      <c r="B182">
        <v>181</v>
      </c>
      <c r="C182">
        <v>1</v>
      </c>
      <c r="D182" t="s">
        <v>73</v>
      </c>
      <c r="H182" t="s">
        <v>5894</v>
      </c>
      <c r="J182" t="s">
        <v>6420</v>
      </c>
      <c r="K182">
        <v>39</v>
      </c>
      <c r="M182" t="s">
        <v>799</v>
      </c>
      <c r="N182" t="s">
        <v>1948</v>
      </c>
      <c r="O182">
        <v>1</v>
      </c>
      <c r="P182">
        <v>278</v>
      </c>
      <c r="Q182">
        <v>599</v>
      </c>
      <c r="R182">
        <v>15.2</v>
      </c>
      <c r="S182">
        <v>31.6</v>
      </c>
      <c r="T182" t="s">
        <v>6421</v>
      </c>
    </row>
    <row r="183" spans="1:20" x14ac:dyDescent="0.25">
      <c r="A183" t="s">
        <v>6422</v>
      </c>
      <c r="B183">
        <v>182</v>
      </c>
      <c r="C183">
        <v>1</v>
      </c>
      <c r="D183" t="s">
        <v>73</v>
      </c>
      <c r="H183" t="s">
        <v>5894</v>
      </c>
      <c r="J183" t="s">
        <v>6423</v>
      </c>
      <c r="K183">
        <v>40</v>
      </c>
      <c r="M183" t="s">
        <v>1972</v>
      </c>
      <c r="N183" t="s">
        <v>1993</v>
      </c>
      <c r="O183">
        <v>1</v>
      </c>
      <c r="P183">
        <v>259</v>
      </c>
      <c r="Q183">
        <v>172</v>
      </c>
      <c r="R183">
        <v>14.2</v>
      </c>
      <c r="S183">
        <v>9.8000000000000007</v>
      </c>
      <c r="T183" t="s">
        <v>6424</v>
      </c>
    </row>
    <row r="184" spans="1:20" x14ac:dyDescent="0.25">
      <c r="A184" t="s">
        <v>6425</v>
      </c>
      <c r="B184">
        <v>183</v>
      </c>
      <c r="C184">
        <v>1</v>
      </c>
      <c r="D184" t="s">
        <v>73</v>
      </c>
      <c r="H184" t="s">
        <v>5894</v>
      </c>
      <c r="J184" t="s">
        <v>6426</v>
      </c>
      <c r="K184">
        <v>41</v>
      </c>
      <c r="M184" t="s">
        <v>1972</v>
      </c>
      <c r="N184" t="s">
        <v>2007</v>
      </c>
      <c r="O184">
        <v>1</v>
      </c>
      <c r="P184">
        <v>218</v>
      </c>
      <c r="Q184">
        <v>605</v>
      </c>
      <c r="R184">
        <v>12.2</v>
      </c>
      <c r="S184">
        <v>32</v>
      </c>
      <c r="T184" t="s">
        <v>6427</v>
      </c>
    </row>
    <row r="185" spans="1:20" x14ac:dyDescent="0.25">
      <c r="A185" t="s">
        <v>6428</v>
      </c>
      <c r="B185">
        <v>184</v>
      </c>
      <c r="C185">
        <v>1</v>
      </c>
      <c r="D185" t="s">
        <v>73</v>
      </c>
      <c r="H185" t="s">
        <v>5894</v>
      </c>
      <c r="J185" t="s">
        <v>6429</v>
      </c>
      <c r="K185">
        <v>42</v>
      </c>
      <c r="M185" t="s">
        <v>1972</v>
      </c>
      <c r="N185" t="s">
        <v>2005</v>
      </c>
      <c r="O185">
        <v>1</v>
      </c>
      <c r="P185">
        <v>369</v>
      </c>
      <c r="Q185">
        <v>640</v>
      </c>
      <c r="R185">
        <v>19.8</v>
      </c>
      <c r="S185">
        <v>33.700000000000003</v>
      </c>
      <c r="T185" t="s">
        <v>6430</v>
      </c>
    </row>
    <row r="186" spans="1:20" x14ac:dyDescent="0.25">
      <c r="A186" t="s">
        <v>6431</v>
      </c>
      <c r="B186">
        <v>185</v>
      </c>
      <c r="C186">
        <v>1</v>
      </c>
      <c r="D186" t="s">
        <v>73</v>
      </c>
      <c r="H186" t="s">
        <v>5894</v>
      </c>
      <c r="J186" t="s">
        <v>6432</v>
      </c>
      <c r="K186">
        <v>43</v>
      </c>
      <c r="M186" t="s">
        <v>1972</v>
      </c>
      <c r="N186" t="s">
        <v>3456</v>
      </c>
      <c r="O186">
        <v>1</v>
      </c>
      <c r="P186">
        <v>655</v>
      </c>
      <c r="Q186">
        <v>604</v>
      </c>
      <c r="R186">
        <v>34.5</v>
      </c>
      <c r="S186">
        <v>31.9</v>
      </c>
      <c r="T186" t="s">
        <v>6433</v>
      </c>
    </row>
    <row r="187" spans="1:20" x14ac:dyDescent="0.25">
      <c r="A187" t="s">
        <v>6434</v>
      </c>
      <c r="B187">
        <v>186</v>
      </c>
      <c r="C187">
        <v>1</v>
      </c>
      <c r="D187" t="s">
        <v>73</v>
      </c>
      <c r="H187" t="s">
        <v>5902</v>
      </c>
      <c r="J187" t="s">
        <v>6435</v>
      </c>
      <c r="K187">
        <v>44</v>
      </c>
      <c r="M187" t="s">
        <v>1972</v>
      </c>
      <c r="N187" t="s">
        <v>1991</v>
      </c>
      <c r="O187">
        <v>1</v>
      </c>
      <c r="P187">
        <v>373</v>
      </c>
      <c r="Q187">
        <v>225</v>
      </c>
      <c r="R187">
        <v>20</v>
      </c>
      <c r="S187">
        <v>12.6</v>
      </c>
      <c r="T187" t="s">
        <v>6436</v>
      </c>
    </row>
    <row r="188" spans="1:20" x14ac:dyDescent="0.25">
      <c r="A188" t="s">
        <v>6437</v>
      </c>
      <c r="B188">
        <v>187</v>
      </c>
      <c r="C188">
        <v>1</v>
      </c>
      <c r="D188" t="s">
        <v>73</v>
      </c>
      <c r="H188" t="s">
        <v>5894</v>
      </c>
      <c r="J188" t="s">
        <v>6438</v>
      </c>
      <c r="K188">
        <v>45</v>
      </c>
      <c r="M188" t="s">
        <v>1972</v>
      </c>
      <c r="N188" t="s">
        <v>3458</v>
      </c>
      <c r="O188">
        <v>1</v>
      </c>
      <c r="P188">
        <v>424</v>
      </c>
      <c r="Q188">
        <v>394</v>
      </c>
      <c r="R188">
        <v>22.6</v>
      </c>
      <c r="S188">
        <v>21.2</v>
      </c>
      <c r="T188" t="s">
        <v>6439</v>
      </c>
    </row>
    <row r="189" spans="1:20" x14ac:dyDescent="0.25">
      <c r="A189" t="s">
        <v>6440</v>
      </c>
      <c r="B189">
        <v>188</v>
      </c>
      <c r="C189">
        <v>1</v>
      </c>
      <c r="D189" t="s">
        <v>73</v>
      </c>
      <c r="H189" t="s">
        <v>5894</v>
      </c>
      <c r="J189" t="s">
        <v>6441</v>
      </c>
      <c r="K189">
        <v>46</v>
      </c>
      <c r="M189" t="s">
        <v>1731</v>
      </c>
      <c r="N189" t="s">
        <v>1847</v>
      </c>
      <c r="O189">
        <v>0</v>
      </c>
      <c r="P189">
        <v>408</v>
      </c>
      <c r="Q189">
        <v>505</v>
      </c>
      <c r="R189">
        <v>11.4</v>
      </c>
      <c r="S189">
        <v>13.9</v>
      </c>
      <c r="T189" t="s">
        <v>6442</v>
      </c>
    </row>
    <row r="190" spans="1:20" x14ac:dyDescent="0.25">
      <c r="A190" t="s">
        <v>6443</v>
      </c>
      <c r="B190">
        <v>189</v>
      </c>
      <c r="C190">
        <v>1</v>
      </c>
      <c r="D190" t="s">
        <v>73</v>
      </c>
      <c r="H190" t="s">
        <v>5894</v>
      </c>
      <c r="J190" t="s">
        <v>6445</v>
      </c>
      <c r="K190">
        <v>47</v>
      </c>
      <c r="M190" t="s">
        <v>1731</v>
      </c>
      <c r="N190" t="s">
        <v>6444</v>
      </c>
      <c r="O190">
        <v>0</v>
      </c>
      <c r="P190">
        <v>375</v>
      </c>
      <c r="Q190">
        <v>341</v>
      </c>
      <c r="R190">
        <v>10.5</v>
      </c>
      <c r="S190">
        <v>9.6999999999999993</v>
      </c>
      <c r="T190" t="s">
        <v>6446</v>
      </c>
    </row>
    <row r="191" spans="1:20" x14ac:dyDescent="0.25">
      <c r="A191" t="s">
        <v>6447</v>
      </c>
      <c r="B191">
        <v>190</v>
      </c>
      <c r="C191">
        <v>1</v>
      </c>
      <c r="D191" t="s">
        <v>73</v>
      </c>
      <c r="G191" t="s">
        <v>2838</v>
      </c>
      <c r="H191" t="s">
        <v>5894</v>
      </c>
      <c r="J191" t="s">
        <v>6448</v>
      </c>
      <c r="K191">
        <v>48</v>
      </c>
      <c r="M191" t="s">
        <v>1734</v>
      </c>
      <c r="N191" t="s">
        <v>1769</v>
      </c>
      <c r="O191">
        <v>1</v>
      </c>
      <c r="P191">
        <v>517</v>
      </c>
      <c r="Q191">
        <v>666</v>
      </c>
      <c r="R191">
        <v>27.5</v>
      </c>
      <c r="S191">
        <v>35.1</v>
      </c>
      <c r="T191" t="s">
        <v>6449</v>
      </c>
    </row>
    <row r="192" spans="1:20" x14ac:dyDescent="0.25">
      <c r="A192" t="s">
        <v>6450</v>
      </c>
      <c r="B192">
        <v>191</v>
      </c>
      <c r="C192">
        <v>1</v>
      </c>
      <c r="D192" t="s">
        <v>73</v>
      </c>
      <c r="H192" t="s">
        <v>5894</v>
      </c>
      <c r="J192" t="s">
        <v>6451</v>
      </c>
      <c r="K192">
        <v>49</v>
      </c>
      <c r="M192" t="s">
        <v>603</v>
      </c>
      <c r="N192" t="s">
        <v>3443</v>
      </c>
      <c r="O192">
        <v>1</v>
      </c>
      <c r="P192">
        <v>260</v>
      </c>
      <c r="Q192">
        <v>696</v>
      </c>
      <c r="R192">
        <v>14.3</v>
      </c>
      <c r="S192">
        <v>36.6</v>
      </c>
      <c r="T192" t="s">
        <v>6452</v>
      </c>
    </row>
    <row r="193" spans="1:20" x14ac:dyDescent="0.25">
      <c r="A193" t="s">
        <v>6453</v>
      </c>
      <c r="B193">
        <v>192</v>
      </c>
      <c r="C193">
        <v>1</v>
      </c>
      <c r="D193" t="s">
        <v>73</v>
      </c>
      <c r="H193" t="s">
        <v>5894</v>
      </c>
      <c r="J193" t="s">
        <v>6455</v>
      </c>
      <c r="K193">
        <v>50</v>
      </c>
      <c r="M193" t="s">
        <v>603</v>
      </c>
      <c r="N193" t="s">
        <v>6454</v>
      </c>
      <c r="O193">
        <v>1</v>
      </c>
      <c r="P193">
        <v>378</v>
      </c>
      <c r="Q193">
        <v>430</v>
      </c>
      <c r="R193">
        <v>20.399999999999999</v>
      </c>
      <c r="S193">
        <v>22.9</v>
      </c>
      <c r="T193" t="s">
        <v>6456</v>
      </c>
    </row>
    <row r="194" spans="1:20" x14ac:dyDescent="0.25">
      <c r="A194" t="s">
        <v>6457</v>
      </c>
      <c r="B194">
        <v>193</v>
      </c>
      <c r="C194">
        <v>1</v>
      </c>
      <c r="D194" t="s">
        <v>73</v>
      </c>
      <c r="H194" t="s">
        <v>5894</v>
      </c>
      <c r="J194" t="s">
        <v>6459</v>
      </c>
      <c r="K194">
        <v>51</v>
      </c>
      <c r="M194" t="s">
        <v>637</v>
      </c>
      <c r="N194" t="s">
        <v>6458</v>
      </c>
      <c r="O194">
        <v>0</v>
      </c>
      <c r="P194">
        <v>314</v>
      </c>
      <c r="Q194">
        <v>355</v>
      </c>
      <c r="R194">
        <v>17.100000000000001</v>
      </c>
      <c r="S194">
        <v>19.2</v>
      </c>
      <c r="T194" t="s">
        <v>6460</v>
      </c>
    </row>
    <row r="195" spans="1:20" x14ac:dyDescent="0.25">
      <c r="A195" t="s">
        <v>6461</v>
      </c>
      <c r="B195">
        <v>194</v>
      </c>
      <c r="C195">
        <v>1</v>
      </c>
      <c r="D195" t="s">
        <v>73</v>
      </c>
      <c r="H195" t="s">
        <v>5894</v>
      </c>
      <c r="J195" t="s">
        <v>6463</v>
      </c>
      <c r="K195">
        <v>52</v>
      </c>
      <c r="M195" t="s">
        <v>637</v>
      </c>
      <c r="N195" t="s">
        <v>6462</v>
      </c>
      <c r="O195">
        <v>1</v>
      </c>
      <c r="P195">
        <v>682</v>
      </c>
      <c r="Q195">
        <v>635</v>
      </c>
      <c r="R195">
        <v>36</v>
      </c>
      <c r="S195">
        <v>33.5</v>
      </c>
      <c r="T195" t="s">
        <v>6464</v>
      </c>
    </row>
    <row r="196" spans="1:20" x14ac:dyDescent="0.25">
      <c r="A196" t="s">
        <v>6465</v>
      </c>
      <c r="B196">
        <v>195</v>
      </c>
      <c r="C196">
        <v>1</v>
      </c>
      <c r="D196" t="s">
        <v>73</v>
      </c>
      <c r="H196" t="s">
        <v>5894</v>
      </c>
      <c r="J196" t="s">
        <v>6467</v>
      </c>
      <c r="K196">
        <v>53</v>
      </c>
      <c r="M196" t="s">
        <v>1880</v>
      </c>
      <c r="N196" t="s">
        <v>6466</v>
      </c>
      <c r="O196">
        <v>0</v>
      </c>
      <c r="P196">
        <v>400</v>
      </c>
      <c r="Q196">
        <v>350</v>
      </c>
      <c r="R196">
        <v>11.1</v>
      </c>
      <c r="S196">
        <v>9.9</v>
      </c>
      <c r="T196" t="s">
        <v>6468</v>
      </c>
    </row>
    <row r="197" spans="1:20" x14ac:dyDescent="0.25">
      <c r="A197" t="s">
        <v>6469</v>
      </c>
      <c r="B197">
        <v>196</v>
      </c>
      <c r="C197">
        <v>1</v>
      </c>
      <c r="D197" t="s">
        <v>73</v>
      </c>
      <c r="H197" t="s">
        <v>5894</v>
      </c>
      <c r="J197" t="s">
        <v>6471</v>
      </c>
      <c r="K197">
        <v>54</v>
      </c>
      <c r="M197" t="s">
        <v>1880</v>
      </c>
      <c r="N197" t="s">
        <v>6470</v>
      </c>
      <c r="O197">
        <v>0</v>
      </c>
      <c r="P197">
        <v>345</v>
      </c>
      <c r="Q197">
        <v>282</v>
      </c>
      <c r="R197">
        <v>9.8000000000000007</v>
      </c>
      <c r="S197">
        <v>8.3000000000000007</v>
      </c>
      <c r="T197" t="s">
        <v>6472</v>
      </c>
    </row>
    <row r="198" spans="1:20" x14ac:dyDescent="0.25">
      <c r="A198" t="s">
        <v>6473</v>
      </c>
      <c r="B198">
        <v>197</v>
      </c>
      <c r="C198">
        <v>1</v>
      </c>
      <c r="D198" t="s">
        <v>73</v>
      </c>
      <c r="H198" t="s">
        <v>5894</v>
      </c>
      <c r="J198" t="s">
        <v>6475</v>
      </c>
      <c r="K198">
        <v>55</v>
      </c>
      <c r="M198" t="s">
        <v>1880</v>
      </c>
      <c r="N198" t="s">
        <v>6474</v>
      </c>
      <c r="O198">
        <v>0</v>
      </c>
      <c r="P198">
        <v>450</v>
      </c>
      <c r="Q198">
        <v>375</v>
      </c>
      <c r="R198">
        <v>12.5</v>
      </c>
      <c r="S198">
        <v>10.6</v>
      </c>
      <c r="T198" t="s">
        <v>6476</v>
      </c>
    </row>
    <row r="199" spans="1:20" x14ac:dyDescent="0.25">
      <c r="A199" t="s">
        <v>6477</v>
      </c>
      <c r="B199">
        <v>198</v>
      </c>
      <c r="C199">
        <v>1</v>
      </c>
      <c r="D199" t="s">
        <v>73</v>
      </c>
      <c r="H199" t="s">
        <v>5894</v>
      </c>
      <c r="J199" t="s">
        <v>6479</v>
      </c>
      <c r="K199">
        <v>56</v>
      </c>
      <c r="M199" t="s">
        <v>1880</v>
      </c>
      <c r="N199" t="s">
        <v>6478</v>
      </c>
      <c r="O199">
        <v>0</v>
      </c>
      <c r="P199">
        <v>343</v>
      </c>
      <c r="Q199">
        <v>444</v>
      </c>
      <c r="R199">
        <v>9.6999999999999993</v>
      </c>
      <c r="S199">
        <v>12.3</v>
      </c>
      <c r="T199" t="s">
        <v>6480</v>
      </c>
    </row>
    <row r="200" spans="1:20" x14ac:dyDescent="0.25">
      <c r="A200" t="s">
        <v>6481</v>
      </c>
      <c r="B200">
        <v>199</v>
      </c>
      <c r="C200">
        <v>1</v>
      </c>
      <c r="D200" t="s">
        <v>73</v>
      </c>
      <c r="H200" t="s">
        <v>5894</v>
      </c>
      <c r="J200" t="s">
        <v>6482</v>
      </c>
      <c r="K200">
        <v>57</v>
      </c>
      <c r="M200" t="s">
        <v>1889</v>
      </c>
      <c r="N200" t="s">
        <v>699</v>
      </c>
      <c r="O200">
        <v>0</v>
      </c>
      <c r="P200">
        <v>80</v>
      </c>
      <c r="Q200">
        <v>691</v>
      </c>
      <c r="R200">
        <v>5</v>
      </c>
      <c r="S200">
        <v>36.4</v>
      </c>
      <c r="T200" t="s">
        <v>6483</v>
      </c>
    </row>
    <row r="201" spans="1:20" x14ac:dyDescent="0.25">
      <c r="A201" t="s">
        <v>6484</v>
      </c>
      <c r="B201">
        <v>200</v>
      </c>
      <c r="C201">
        <v>1</v>
      </c>
      <c r="D201" t="s">
        <v>73</v>
      </c>
      <c r="G201" t="s">
        <v>2811</v>
      </c>
      <c r="H201" t="s">
        <v>5894</v>
      </c>
      <c r="J201" t="s">
        <v>6485</v>
      </c>
      <c r="K201">
        <v>58</v>
      </c>
      <c r="M201" t="s">
        <v>1889</v>
      </c>
      <c r="N201" t="s">
        <v>1926</v>
      </c>
      <c r="O201">
        <v>1</v>
      </c>
      <c r="P201">
        <v>166</v>
      </c>
      <c r="Q201">
        <v>355</v>
      </c>
      <c r="R201">
        <v>9.5</v>
      </c>
      <c r="S201">
        <v>19</v>
      </c>
      <c r="T201" t="s">
        <v>6486</v>
      </c>
    </row>
    <row r="202" spans="1:20" x14ac:dyDescent="0.25">
      <c r="A202" t="s">
        <v>6487</v>
      </c>
      <c r="B202">
        <v>201</v>
      </c>
      <c r="C202">
        <v>1</v>
      </c>
      <c r="D202" t="s">
        <v>73</v>
      </c>
      <c r="H202" t="s">
        <v>5894</v>
      </c>
      <c r="J202" t="s">
        <v>6488</v>
      </c>
      <c r="K202">
        <v>59</v>
      </c>
      <c r="M202" t="s">
        <v>1889</v>
      </c>
      <c r="N202" t="s">
        <v>1905</v>
      </c>
      <c r="O202">
        <v>1</v>
      </c>
      <c r="P202">
        <v>402</v>
      </c>
      <c r="Q202">
        <v>212</v>
      </c>
      <c r="R202">
        <v>21.5</v>
      </c>
      <c r="S202">
        <v>11.9</v>
      </c>
      <c r="T202" t="s">
        <v>6489</v>
      </c>
    </row>
    <row r="203" spans="1:20" x14ac:dyDescent="0.25">
      <c r="A203" t="s">
        <v>6490</v>
      </c>
      <c r="B203">
        <v>202</v>
      </c>
      <c r="C203">
        <v>1</v>
      </c>
      <c r="D203" t="s">
        <v>73</v>
      </c>
      <c r="H203" t="s">
        <v>5894</v>
      </c>
      <c r="J203" t="s">
        <v>6491</v>
      </c>
      <c r="K203">
        <v>60</v>
      </c>
      <c r="M203" t="s">
        <v>799</v>
      </c>
      <c r="N203" t="s">
        <v>1953</v>
      </c>
      <c r="O203">
        <v>0</v>
      </c>
      <c r="P203">
        <v>676</v>
      </c>
      <c r="Q203">
        <v>739</v>
      </c>
      <c r="R203">
        <v>35.6</v>
      </c>
      <c r="S203">
        <v>38.799999999999997</v>
      </c>
      <c r="T203" t="s">
        <v>6492</v>
      </c>
    </row>
    <row r="204" spans="1:20" x14ac:dyDescent="0.25">
      <c r="A204" t="s">
        <v>6493</v>
      </c>
      <c r="B204">
        <v>203</v>
      </c>
      <c r="C204">
        <v>1</v>
      </c>
      <c r="D204" t="s">
        <v>73</v>
      </c>
      <c r="H204" t="s">
        <v>5894</v>
      </c>
      <c r="J204" t="s">
        <v>6495</v>
      </c>
      <c r="K204">
        <v>61</v>
      </c>
      <c r="M204" t="s">
        <v>1972</v>
      </c>
      <c r="N204" t="s">
        <v>6494</v>
      </c>
      <c r="O204">
        <v>1</v>
      </c>
      <c r="P204">
        <v>593</v>
      </c>
      <c r="Q204">
        <v>204</v>
      </c>
      <c r="R204">
        <v>31.3</v>
      </c>
      <c r="S204">
        <v>11.5</v>
      </c>
      <c r="T204" t="s">
        <v>6496</v>
      </c>
    </row>
    <row r="205" spans="1:20" s="8" customFormat="1" x14ac:dyDescent="0.25">
      <c r="A205" s="8" t="s">
        <v>6497</v>
      </c>
      <c r="B205" s="8">
        <v>204</v>
      </c>
      <c r="C205" s="8">
        <v>1</v>
      </c>
      <c r="D205" s="8" t="s">
        <v>73</v>
      </c>
      <c r="H205" s="8" t="s">
        <v>5894</v>
      </c>
      <c r="J205" s="8" t="s">
        <v>6499</v>
      </c>
      <c r="K205" s="8">
        <v>62</v>
      </c>
      <c r="M205" s="8" t="s">
        <v>1972</v>
      </c>
      <c r="N205" s="8" t="s">
        <v>6498</v>
      </c>
      <c r="O205" s="8">
        <v>0</v>
      </c>
      <c r="P205" s="8">
        <v>407</v>
      </c>
      <c r="Q205" s="8">
        <v>382</v>
      </c>
      <c r="R205" s="8">
        <v>21.8</v>
      </c>
      <c r="S205" s="8">
        <v>20.3</v>
      </c>
      <c r="T205" s="8" t="s">
        <v>6500</v>
      </c>
    </row>
    <row r="206" spans="1:20" x14ac:dyDescent="0.25">
      <c r="A206" t="s">
        <v>6501</v>
      </c>
      <c r="B206">
        <v>205</v>
      </c>
      <c r="C206">
        <v>1</v>
      </c>
      <c r="D206" t="s">
        <v>102</v>
      </c>
      <c r="H206" t="s">
        <v>5894</v>
      </c>
      <c r="J206" t="s">
        <v>6503</v>
      </c>
      <c r="K206">
        <v>1</v>
      </c>
      <c r="M206" t="s">
        <v>3463</v>
      </c>
      <c r="N206" t="s">
        <v>6502</v>
      </c>
      <c r="O206">
        <v>0</v>
      </c>
      <c r="P206">
        <v>300</v>
      </c>
      <c r="Q206">
        <v>399</v>
      </c>
      <c r="R206">
        <v>8.6</v>
      </c>
      <c r="S206">
        <v>11.2</v>
      </c>
      <c r="T206" t="s">
        <v>6504</v>
      </c>
    </row>
    <row r="207" spans="1:20" x14ac:dyDescent="0.25">
      <c r="A207" t="s">
        <v>6505</v>
      </c>
      <c r="B207">
        <v>206</v>
      </c>
      <c r="C207">
        <v>1</v>
      </c>
      <c r="D207" t="s">
        <v>102</v>
      </c>
      <c r="H207" t="s">
        <v>5894</v>
      </c>
      <c r="J207" t="s">
        <v>6507</v>
      </c>
      <c r="K207">
        <v>2</v>
      </c>
      <c r="M207" t="s">
        <v>3463</v>
      </c>
      <c r="N207" t="s">
        <v>6506</v>
      </c>
      <c r="O207">
        <v>0</v>
      </c>
      <c r="P207">
        <v>372</v>
      </c>
      <c r="Q207">
        <v>478</v>
      </c>
      <c r="R207">
        <v>10.4</v>
      </c>
      <c r="S207">
        <v>13.1</v>
      </c>
      <c r="T207" t="s">
        <v>6508</v>
      </c>
    </row>
    <row r="208" spans="1:20" x14ac:dyDescent="0.25">
      <c r="A208" t="s">
        <v>6509</v>
      </c>
      <c r="B208">
        <v>207</v>
      </c>
      <c r="C208">
        <v>1</v>
      </c>
      <c r="D208" t="s">
        <v>102</v>
      </c>
      <c r="H208" t="s">
        <v>5894</v>
      </c>
      <c r="J208" t="s">
        <v>6511</v>
      </c>
      <c r="K208">
        <v>3</v>
      </c>
      <c r="M208" t="s">
        <v>3463</v>
      </c>
      <c r="N208" t="s">
        <v>6510</v>
      </c>
      <c r="O208">
        <v>0</v>
      </c>
      <c r="P208">
        <v>351</v>
      </c>
      <c r="Q208">
        <v>191</v>
      </c>
      <c r="R208">
        <v>9.9</v>
      </c>
      <c r="S208">
        <v>5.9</v>
      </c>
      <c r="T208" t="s">
        <v>6512</v>
      </c>
    </row>
    <row r="209" spans="1:20" x14ac:dyDescent="0.25">
      <c r="A209" t="s">
        <v>6513</v>
      </c>
      <c r="B209">
        <v>208</v>
      </c>
      <c r="C209">
        <v>1</v>
      </c>
      <c r="D209" t="s">
        <v>102</v>
      </c>
      <c r="H209" t="s">
        <v>5894</v>
      </c>
      <c r="J209" t="s">
        <v>6515</v>
      </c>
      <c r="K209">
        <v>4</v>
      </c>
      <c r="M209" t="s">
        <v>3463</v>
      </c>
      <c r="N209" t="s">
        <v>6514</v>
      </c>
      <c r="O209">
        <v>0</v>
      </c>
      <c r="P209">
        <v>390</v>
      </c>
      <c r="Q209">
        <v>146</v>
      </c>
      <c r="R209">
        <v>11</v>
      </c>
      <c r="S209">
        <v>4.7</v>
      </c>
      <c r="T209" t="s">
        <v>6516</v>
      </c>
    </row>
    <row r="210" spans="1:20" x14ac:dyDescent="0.25">
      <c r="A210" t="s">
        <v>6517</v>
      </c>
      <c r="B210">
        <v>209</v>
      </c>
      <c r="C210">
        <v>1</v>
      </c>
      <c r="D210" t="s">
        <v>102</v>
      </c>
      <c r="H210" t="s">
        <v>5894</v>
      </c>
      <c r="J210" t="s">
        <v>6519</v>
      </c>
      <c r="K210">
        <v>5</v>
      </c>
      <c r="M210" t="s">
        <v>3463</v>
      </c>
      <c r="N210" t="s">
        <v>6518</v>
      </c>
      <c r="O210">
        <v>0</v>
      </c>
      <c r="P210">
        <v>241</v>
      </c>
      <c r="Q210">
        <v>337</v>
      </c>
      <c r="R210">
        <v>7.1</v>
      </c>
      <c r="S210">
        <v>9.6</v>
      </c>
      <c r="T210" t="s">
        <v>6520</v>
      </c>
    </row>
    <row r="211" spans="1:20" x14ac:dyDescent="0.25">
      <c r="A211" t="s">
        <v>6521</v>
      </c>
      <c r="B211">
        <v>210</v>
      </c>
      <c r="C211">
        <v>1</v>
      </c>
      <c r="D211" t="s">
        <v>102</v>
      </c>
      <c r="H211" t="s">
        <v>5894</v>
      </c>
      <c r="I211" s="1" t="s">
        <v>5801</v>
      </c>
      <c r="J211" t="s">
        <v>6523</v>
      </c>
      <c r="K211">
        <v>6</v>
      </c>
      <c r="M211" t="s">
        <v>3465</v>
      </c>
      <c r="N211" t="s">
        <v>6522</v>
      </c>
      <c r="O211">
        <v>0</v>
      </c>
      <c r="P211">
        <v>419</v>
      </c>
      <c r="Q211">
        <v>289</v>
      </c>
      <c r="R211">
        <v>11.7</v>
      </c>
      <c r="S211">
        <v>8.4</v>
      </c>
      <c r="T211" t="s">
        <v>6524</v>
      </c>
    </row>
    <row r="212" spans="1:20" x14ac:dyDescent="0.25">
      <c r="A212" t="s">
        <v>6525</v>
      </c>
      <c r="B212">
        <v>211</v>
      </c>
      <c r="C212">
        <v>1</v>
      </c>
      <c r="D212" t="s">
        <v>102</v>
      </c>
      <c r="H212" t="s">
        <v>5894</v>
      </c>
      <c r="I212" s="1" t="s">
        <v>5801</v>
      </c>
      <c r="J212" t="s">
        <v>6527</v>
      </c>
      <c r="K212">
        <v>7</v>
      </c>
      <c r="M212" t="s">
        <v>3465</v>
      </c>
      <c r="N212" t="s">
        <v>6526</v>
      </c>
      <c r="O212">
        <v>0</v>
      </c>
      <c r="P212">
        <v>446</v>
      </c>
      <c r="Q212">
        <v>509</v>
      </c>
      <c r="R212">
        <v>12.4</v>
      </c>
      <c r="S212">
        <v>14</v>
      </c>
      <c r="T212" t="s">
        <v>6528</v>
      </c>
    </row>
    <row r="213" spans="1:20" x14ac:dyDescent="0.25">
      <c r="A213" t="s">
        <v>6529</v>
      </c>
      <c r="B213">
        <v>212</v>
      </c>
      <c r="C213">
        <v>1</v>
      </c>
      <c r="D213" t="s">
        <v>102</v>
      </c>
      <c r="H213" t="s">
        <v>5894</v>
      </c>
      <c r="I213" s="1" t="s">
        <v>5802</v>
      </c>
      <c r="J213" t="s">
        <v>6531</v>
      </c>
      <c r="K213">
        <v>8</v>
      </c>
      <c r="M213" t="s">
        <v>3465</v>
      </c>
      <c r="N213" t="s">
        <v>6530</v>
      </c>
      <c r="O213">
        <v>0</v>
      </c>
      <c r="P213">
        <v>396</v>
      </c>
      <c r="Q213">
        <v>406</v>
      </c>
      <c r="R213">
        <v>11.1</v>
      </c>
      <c r="S213">
        <v>11.4</v>
      </c>
      <c r="T213" t="s">
        <v>6532</v>
      </c>
    </row>
    <row r="214" spans="1:20" x14ac:dyDescent="0.25">
      <c r="A214" t="s">
        <v>6533</v>
      </c>
      <c r="B214">
        <v>213</v>
      </c>
      <c r="C214">
        <v>1</v>
      </c>
      <c r="D214" t="s">
        <v>102</v>
      </c>
      <c r="H214" t="s">
        <v>5894</v>
      </c>
      <c r="I214" s="1" t="s">
        <v>3466</v>
      </c>
      <c r="J214" t="s">
        <v>6535</v>
      </c>
      <c r="K214">
        <v>9</v>
      </c>
      <c r="M214" t="s">
        <v>3465</v>
      </c>
      <c r="N214" t="s">
        <v>6534</v>
      </c>
      <c r="O214">
        <v>0</v>
      </c>
      <c r="P214">
        <v>445</v>
      </c>
      <c r="Q214">
        <v>369</v>
      </c>
      <c r="R214">
        <v>12.3</v>
      </c>
      <c r="S214">
        <v>10.4</v>
      </c>
      <c r="T214" t="s">
        <v>6536</v>
      </c>
    </row>
    <row r="215" spans="1:20" x14ac:dyDescent="0.25">
      <c r="A215" t="s">
        <v>6537</v>
      </c>
      <c r="B215">
        <v>214</v>
      </c>
      <c r="C215">
        <v>1</v>
      </c>
      <c r="D215" t="s">
        <v>102</v>
      </c>
      <c r="H215" t="s">
        <v>5894</v>
      </c>
      <c r="J215" t="s">
        <v>6538</v>
      </c>
      <c r="K215">
        <v>10</v>
      </c>
      <c r="M215" t="s">
        <v>562</v>
      </c>
      <c r="N215" t="s">
        <v>2053</v>
      </c>
      <c r="O215">
        <v>1</v>
      </c>
      <c r="P215">
        <v>711</v>
      </c>
      <c r="Q215">
        <v>383</v>
      </c>
      <c r="R215">
        <v>37.4</v>
      </c>
      <c r="S215">
        <v>20.9</v>
      </c>
      <c r="T215" t="s">
        <v>6539</v>
      </c>
    </row>
    <row r="216" spans="1:20" x14ac:dyDescent="0.25">
      <c r="A216" t="s">
        <v>6540</v>
      </c>
      <c r="B216">
        <v>215</v>
      </c>
      <c r="C216">
        <v>1</v>
      </c>
      <c r="D216" t="s">
        <v>102</v>
      </c>
      <c r="H216" t="s">
        <v>5894</v>
      </c>
      <c r="J216" t="s">
        <v>6541</v>
      </c>
      <c r="K216">
        <v>11</v>
      </c>
      <c r="M216" t="s">
        <v>562</v>
      </c>
      <c r="N216" t="s">
        <v>2032</v>
      </c>
      <c r="O216">
        <v>0</v>
      </c>
      <c r="P216">
        <v>340</v>
      </c>
      <c r="Q216">
        <v>350</v>
      </c>
      <c r="R216">
        <v>18.399999999999999</v>
      </c>
      <c r="S216">
        <v>18.7</v>
      </c>
      <c r="T216" t="s">
        <v>6542</v>
      </c>
    </row>
    <row r="217" spans="1:20" x14ac:dyDescent="0.25">
      <c r="A217" t="s">
        <v>6543</v>
      </c>
      <c r="B217">
        <v>216</v>
      </c>
      <c r="C217">
        <v>1</v>
      </c>
      <c r="D217" t="s">
        <v>102</v>
      </c>
      <c r="H217" t="s">
        <v>5894</v>
      </c>
      <c r="J217" t="s">
        <v>6544</v>
      </c>
      <c r="K217">
        <v>12</v>
      </c>
      <c r="M217" t="s">
        <v>562</v>
      </c>
      <c r="N217" t="s">
        <v>2024</v>
      </c>
      <c r="O217">
        <v>1</v>
      </c>
      <c r="P217">
        <v>412</v>
      </c>
      <c r="Q217">
        <v>274</v>
      </c>
      <c r="R217">
        <v>22.1</v>
      </c>
      <c r="S217">
        <v>15.1</v>
      </c>
      <c r="T217" t="s">
        <v>6545</v>
      </c>
    </row>
    <row r="218" spans="1:20" x14ac:dyDescent="0.25">
      <c r="A218" t="s">
        <v>6546</v>
      </c>
      <c r="B218">
        <v>217</v>
      </c>
      <c r="C218">
        <v>1</v>
      </c>
      <c r="D218" t="s">
        <v>102</v>
      </c>
      <c r="H218" t="s">
        <v>5894</v>
      </c>
      <c r="J218" t="s">
        <v>6547</v>
      </c>
      <c r="K218">
        <v>13</v>
      </c>
      <c r="M218" t="s">
        <v>562</v>
      </c>
      <c r="N218" t="s">
        <v>3470</v>
      </c>
      <c r="O218">
        <v>0</v>
      </c>
      <c r="P218">
        <v>104</v>
      </c>
      <c r="Q218">
        <v>274</v>
      </c>
      <c r="R218">
        <v>6.3</v>
      </c>
      <c r="S218">
        <v>15.2</v>
      </c>
      <c r="T218" t="s">
        <v>6548</v>
      </c>
    </row>
    <row r="219" spans="1:20" x14ac:dyDescent="0.25">
      <c r="A219" t="s">
        <v>6549</v>
      </c>
      <c r="B219">
        <v>218</v>
      </c>
      <c r="C219">
        <v>1</v>
      </c>
      <c r="D219" t="s">
        <v>102</v>
      </c>
      <c r="H219" t="s">
        <v>5894</v>
      </c>
      <c r="J219" t="s">
        <v>6550</v>
      </c>
      <c r="K219">
        <v>14</v>
      </c>
      <c r="M219" t="s">
        <v>562</v>
      </c>
      <c r="N219" t="s">
        <v>2034</v>
      </c>
      <c r="O219">
        <v>1</v>
      </c>
      <c r="P219">
        <v>152</v>
      </c>
      <c r="Q219">
        <v>423</v>
      </c>
      <c r="R219">
        <v>8.6999999999999993</v>
      </c>
      <c r="S219">
        <v>22.9</v>
      </c>
      <c r="T219" t="s">
        <v>6551</v>
      </c>
    </row>
    <row r="220" spans="1:20" x14ac:dyDescent="0.25">
      <c r="A220" t="s">
        <v>6552</v>
      </c>
      <c r="B220">
        <v>219</v>
      </c>
      <c r="C220">
        <v>1</v>
      </c>
      <c r="D220" t="s">
        <v>102</v>
      </c>
      <c r="H220" t="s">
        <v>5894</v>
      </c>
      <c r="J220" t="s">
        <v>6553</v>
      </c>
      <c r="K220">
        <v>15</v>
      </c>
      <c r="M220" t="s">
        <v>562</v>
      </c>
      <c r="N220" t="s">
        <v>2056</v>
      </c>
      <c r="O220">
        <v>1</v>
      </c>
      <c r="P220">
        <v>402</v>
      </c>
      <c r="Q220">
        <v>686</v>
      </c>
      <c r="R220">
        <v>21.5</v>
      </c>
      <c r="S220">
        <v>36.200000000000003</v>
      </c>
      <c r="T220" t="s">
        <v>6554</v>
      </c>
    </row>
    <row r="221" spans="1:20" x14ac:dyDescent="0.25">
      <c r="A221" t="s">
        <v>6555</v>
      </c>
      <c r="B221">
        <v>220</v>
      </c>
      <c r="C221">
        <v>1</v>
      </c>
      <c r="D221" t="s">
        <v>102</v>
      </c>
      <c r="H221" t="s">
        <v>5894</v>
      </c>
      <c r="J221" t="s">
        <v>6556</v>
      </c>
      <c r="K221">
        <v>16</v>
      </c>
      <c r="M221" t="s">
        <v>976</v>
      </c>
      <c r="N221" t="s">
        <v>2077</v>
      </c>
      <c r="O221">
        <v>0</v>
      </c>
      <c r="P221">
        <v>631</v>
      </c>
      <c r="Q221">
        <v>543</v>
      </c>
      <c r="R221">
        <v>33.200000000000003</v>
      </c>
      <c r="S221">
        <v>28.9</v>
      </c>
      <c r="T221" t="s">
        <v>6557</v>
      </c>
    </row>
    <row r="222" spans="1:20" x14ac:dyDescent="0.25">
      <c r="A222" t="s">
        <v>6558</v>
      </c>
      <c r="B222">
        <v>221</v>
      </c>
      <c r="C222">
        <v>1</v>
      </c>
      <c r="D222" t="s">
        <v>102</v>
      </c>
      <c r="H222" t="s">
        <v>5894</v>
      </c>
      <c r="J222" t="s">
        <v>6559</v>
      </c>
      <c r="K222">
        <v>17</v>
      </c>
      <c r="M222" t="s">
        <v>976</v>
      </c>
      <c r="N222" t="s">
        <v>2106</v>
      </c>
      <c r="O222">
        <v>0</v>
      </c>
      <c r="P222">
        <v>542</v>
      </c>
      <c r="Q222">
        <v>413</v>
      </c>
      <c r="R222">
        <v>28.8</v>
      </c>
      <c r="S222">
        <v>22.1</v>
      </c>
      <c r="T222" t="s">
        <v>6560</v>
      </c>
    </row>
    <row r="223" spans="1:20" x14ac:dyDescent="0.25">
      <c r="A223" t="s">
        <v>6561</v>
      </c>
      <c r="B223">
        <v>222</v>
      </c>
      <c r="C223">
        <v>1</v>
      </c>
      <c r="D223" t="s">
        <v>102</v>
      </c>
      <c r="H223" t="s">
        <v>5894</v>
      </c>
      <c r="J223" t="s">
        <v>6562</v>
      </c>
      <c r="K223">
        <v>18</v>
      </c>
      <c r="M223" t="s">
        <v>976</v>
      </c>
      <c r="N223" t="s">
        <v>2088</v>
      </c>
      <c r="O223">
        <v>0</v>
      </c>
      <c r="P223">
        <v>445</v>
      </c>
      <c r="Q223">
        <v>725</v>
      </c>
      <c r="R223">
        <v>23.6</v>
      </c>
      <c r="S223">
        <v>38.1</v>
      </c>
      <c r="T223" t="s">
        <v>6563</v>
      </c>
    </row>
    <row r="224" spans="1:20" x14ac:dyDescent="0.25">
      <c r="A224" t="s">
        <v>6564</v>
      </c>
      <c r="B224">
        <v>223</v>
      </c>
      <c r="C224">
        <v>1</v>
      </c>
      <c r="D224" t="s">
        <v>102</v>
      </c>
      <c r="H224" t="s">
        <v>5894</v>
      </c>
      <c r="J224" t="s">
        <v>6565</v>
      </c>
      <c r="K224">
        <v>19</v>
      </c>
      <c r="M224" t="s">
        <v>976</v>
      </c>
      <c r="N224" t="s">
        <v>3473</v>
      </c>
      <c r="O224">
        <v>0</v>
      </c>
      <c r="P224">
        <v>340</v>
      </c>
      <c r="Q224">
        <v>550</v>
      </c>
      <c r="R224">
        <v>18.2</v>
      </c>
      <c r="S224">
        <v>29.3</v>
      </c>
      <c r="T224" t="s">
        <v>6566</v>
      </c>
    </row>
    <row r="225" spans="1:20" x14ac:dyDescent="0.25">
      <c r="A225" t="s">
        <v>6567</v>
      </c>
      <c r="B225">
        <v>224</v>
      </c>
      <c r="C225">
        <v>1</v>
      </c>
      <c r="D225" t="s">
        <v>102</v>
      </c>
      <c r="H225" t="s">
        <v>5894</v>
      </c>
      <c r="J225" t="s">
        <v>6568</v>
      </c>
      <c r="K225">
        <v>20</v>
      </c>
      <c r="M225" t="s">
        <v>976</v>
      </c>
      <c r="N225" t="s">
        <v>2113</v>
      </c>
      <c r="O225">
        <v>0</v>
      </c>
      <c r="P225">
        <v>218</v>
      </c>
      <c r="Q225">
        <v>411</v>
      </c>
      <c r="R225">
        <v>12.1</v>
      </c>
      <c r="S225">
        <v>22.1</v>
      </c>
      <c r="T225" t="s">
        <v>6569</v>
      </c>
    </row>
    <row r="226" spans="1:20" x14ac:dyDescent="0.25">
      <c r="A226" t="s">
        <v>6570</v>
      </c>
      <c r="B226">
        <v>225</v>
      </c>
      <c r="C226">
        <v>1</v>
      </c>
      <c r="D226" t="s">
        <v>102</v>
      </c>
      <c r="H226" t="s">
        <v>5894</v>
      </c>
      <c r="J226" t="s">
        <v>6571</v>
      </c>
      <c r="K226">
        <v>21</v>
      </c>
      <c r="M226" t="s">
        <v>976</v>
      </c>
      <c r="N226" t="s">
        <v>2117</v>
      </c>
      <c r="O226">
        <v>1</v>
      </c>
      <c r="P226">
        <v>250</v>
      </c>
      <c r="Q226">
        <v>171</v>
      </c>
      <c r="R226">
        <v>13.6</v>
      </c>
      <c r="S226">
        <v>9.8000000000000007</v>
      </c>
      <c r="T226" t="s">
        <v>6572</v>
      </c>
    </row>
    <row r="227" spans="1:20" x14ac:dyDescent="0.25">
      <c r="A227" t="s">
        <v>6573</v>
      </c>
      <c r="B227">
        <v>226</v>
      </c>
      <c r="C227">
        <v>1</v>
      </c>
      <c r="D227" t="s">
        <v>102</v>
      </c>
      <c r="H227" t="s">
        <v>5894</v>
      </c>
      <c r="J227" t="s">
        <v>6574</v>
      </c>
      <c r="K227">
        <v>22</v>
      </c>
      <c r="M227" t="s">
        <v>976</v>
      </c>
      <c r="N227" t="s">
        <v>2094</v>
      </c>
      <c r="O227">
        <v>1</v>
      </c>
      <c r="P227">
        <v>706</v>
      </c>
      <c r="Q227">
        <v>205</v>
      </c>
      <c r="R227">
        <v>37.1</v>
      </c>
      <c r="S227">
        <v>11.5</v>
      </c>
      <c r="T227" t="s">
        <v>6575</v>
      </c>
    </row>
    <row r="228" spans="1:20" x14ac:dyDescent="0.25">
      <c r="A228" t="s">
        <v>6576</v>
      </c>
      <c r="B228">
        <v>227</v>
      </c>
      <c r="C228">
        <v>1</v>
      </c>
      <c r="D228" t="s">
        <v>102</v>
      </c>
      <c r="H228" t="s">
        <v>5894</v>
      </c>
      <c r="J228" t="s">
        <v>6578</v>
      </c>
      <c r="K228">
        <v>23</v>
      </c>
      <c r="M228" t="s">
        <v>988</v>
      </c>
      <c r="N228" t="s">
        <v>6577</v>
      </c>
      <c r="O228">
        <v>0</v>
      </c>
      <c r="P228">
        <v>637</v>
      </c>
      <c r="Q228">
        <v>247</v>
      </c>
      <c r="R228">
        <v>33.6</v>
      </c>
      <c r="S228">
        <v>13.5</v>
      </c>
      <c r="T228" t="s">
        <v>6579</v>
      </c>
    </row>
    <row r="229" spans="1:20" x14ac:dyDescent="0.25">
      <c r="A229" t="s">
        <v>6580</v>
      </c>
      <c r="B229">
        <v>228</v>
      </c>
      <c r="C229">
        <v>1</v>
      </c>
      <c r="D229" t="s">
        <v>102</v>
      </c>
      <c r="H229" t="s">
        <v>5894</v>
      </c>
      <c r="J229" t="s">
        <v>6581</v>
      </c>
      <c r="K229">
        <v>24</v>
      </c>
      <c r="M229" t="s">
        <v>988</v>
      </c>
      <c r="N229" t="s">
        <v>2167</v>
      </c>
      <c r="O229">
        <v>1</v>
      </c>
      <c r="P229">
        <v>477</v>
      </c>
      <c r="Q229">
        <v>306</v>
      </c>
      <c r="R229">
        <v>25.3</v>
      </c>
      <c r="S229">
        <v>16.600000000000001</v>
      </c>
      <c r="T229" t="s">
        <v>6582</v>
      </c>
    </row>
    <row r="230" spans="1:20" x14ac:dyDescent="0.25">
      <c r="A230" t="s">
        <v>6583</v>
      </c>
      <c r="B230">
        <v>229</v>
      </c>
      <c r="C230">
        <v>1</v>
      </c>
      <c r="D230" t="s">
        <v>102</v>
      </c>
      <c r="H230" t="s">
        <v>5894</v>
      </c>
      <c r="J230" t="s">
        <v>6584</v>
      </c>
      <c r="K230">
        <v>25</v>
      </c>
      <c r="M230" t="s">
        <v>988</v>
      </c>
      <c r="N230" t="s">
        <v>2160</v>
      </c>
      <c r="O230">
        <v>1</v>
      </c>
      <c r="P230">
        <v>539</v>
      </c>
      <c r="Q230">
        <v>603</v>
      </c>
      <c r="R230">
        <v>28.5</v>
      </c>
      <c r="S230">
        <v>31.9</v>
      </c>
      <c r="T230" t="s">
        <v>6585</v>
      </c>
    </row>
    <row r="231" spans="1:20" x14ac:dyDescent="0.25">
      <c r="A231" t="s">
        <v>6586</v>
      </c>
      <c r="B231">
        <v>230</v>
      </c>
      <c r="C231">
        <v>1</v>
      </c>
      <c r="D231" t="s">
        <v>102</v>
      </c>
      <c r="H231" t="s">
        <v>5894</v>
      </c>
      <c r="J231" t="s">
        <v>6587</v>
      </c>
      <c r="K231">
        <v>26</v>
      </c>
      <c r="M231" t="s">
        <v>988</v>
      </c>
      <c r="N231" t="s">
        <v>2139</v>
      </c>
      <c r="O231">
        <v>0</v>
      </c>
      <c r="P231">
        <v>415</v>
      </c>
      <c r="Q231">
        <v>166</v>
      </c>
      <c r="R231">
        <v>22.1</v>
      </c>
      <c r="S231">
        <v>9.4</v>
      </c>
      <c r="T231" t="s">
        <v>6588</v>
      </c>
    </row>
    <row r="232" spans="1:20" x14ac:dyDescent="0.25">
      <c r="A232" t="s">
        <v>6589</v>
      </c>
      <c r="B232">
        <v>231</v>
      </c>
      <c r="C232">
        <v>1</v>
      </c>
      <c r="D232" t="s">
        <v>102</v>
      </c>
      <c r="H232" t="s">
        <v>5894</v>
      </c>
      <c r="J232" t="s">
        <v>6590</v>
      </c>
      <c r="K232">
        <v>27</v>
      </c>
      <c r="M232" t="s">
        <v>988</v>
      </c>
      <c r="N232" t="s">
        <v>3478</v>
      </c>
      <c r="O232">
        <v>0</v>
      </c>
      <c r="P232">
        <v>199</v>
      </c>
      <c r="Q232">
        <v>311</v>
      </c>
      <c r="R232">
        <v>11.1</v>
      </c>
      <c r="S232">
        <v>16.899999999999999</v>
      </c>
      <c r="T232" t="s">
        <v>6591</v>
      </c>
    </row>
    <row r="233" spans="1:20" x14ac:dyDescent="0.25">
      <c r="A233" t="s">
        <v>6592</v>
      </c>
      <c r="B233">
        <v>232</v>
      </c>
      <c r="C233">
        <v>1</v>
      </c>
      <c r="D233" t="s">
        <v>102</v>
      </c>
      <c r="H233" t="s">
        <v>5894</v>
      </c>
      <c r="J233" t="s">
        <v>6593</v>
      </c>
      <c r="K233">
        <v>28</v>
      </c>
      <c r="M233" t="s">
        <v>988</v>
      </c>
      <c r="N233" t="s">
        <v>2150</v>
      </c>
      <c r="O233">
        <v>0</v>
      </c>
      <c r="P233">
        <v>381</v>
      </c>
      <c r="Q233">
        <v>396</v>
      </c>
      <c r="R233">
        <v>20.399999999999999</v>
      </c>
      <c r="S233">
        <v>21.3</v>
      </c>
      <c r="T233" t="s">
        <v>6594</v>
      </c>
    </row>
    <row r="234" spans="1:20" x14ac:dyDescent="0.25">
      <c r="A234" t="s">
        <v>6595</v>
      </c>
      <c r="B234">
        <v>233</v>
      </c>
      <c r="C234">
        <v>1</v>
      </c>
      <c r="D234" t="s">
        <v>102</v>
      </c>
      <c r="H234" t="s">
        <v>5894</v>
      </c>
      <c r="J234" t="s">
        <v>6596</v>
      </c>
      <c r="K234">
        <v>29</v>
      </c>
      <c r="M234" t="s">
        <v>329</v>
      </c>
      <c r="N234" t="s">
        <v>3480</v>
      </c>
      <c r="O234">
        <v>1</v>
      </c>
      <c r="P234">
        <v>268</v>
      </c>
      <c r="Q234">
        <v>603</v>
      </c>
      <c r="R234">
        <v>14.8</v>
      </c>
      <c r="S234">
        <v>31.9</v>
      </c>
      <c r="T234" t="s">
        <v>6597</v>
      </c>
    </row>
    <row r="235" spans="1:20" x14ac:dyDescent="0.25">
      <c r="A235" t="s">
        <v>6598</v>
      </c>
      <c r="B235">
        <v>234</v>
      </c>
      <c r="C235">
        <v>1</v>
      </c>
      <c r="D235" t="s">
        <v>102</v>
      </c>
      <c r="H235" t="s">
        <v>5894</v>
      </c>
      <c r="J235" t="s">
        <v>6599</v>
      </c>
      <c r="K235">
        <v>30</v>
      </c>
      <c r="M235" t="s">
        <v>329</v>
      </c>
      <c r="N235" t="s">
        <v>2192</v>
      </c>
      <c r="O235">
        <v>1</v>
      </c>
      <c r="P235">
        <v>148</v>
      </c>
      <c r="Q235">
        <v>309</v>
      </c>
      <c r="R235">
        <v>8.6999999999999993</v>
      </c>
      <c r="S235">
        <v>16.8</v>
      </c>
      <c r="T235" t="s">
        <v>6600</v>
      </c>
    </row>
    <row r="236" spans="1:20" x14ac:dyDescent="0.25">
      <c r="A236" t="s">
        <v>6601</v>
      </c>
      <c r="B236">
        <v>235</v>
      </c>
      <c r="C236">
        <v>1</v>
      </c>
      <c r="D236" t="s">
        <v>102</v>
      </c>
      <c r="H236" t="s">
        <v>5894</v>
      </c>
      <c r="J236" t="s">
        <v>6602</v>
      </c>
      <c r="K236">
        <v>31</v>
      </c>
      <c r="M236" t="s">
        <v>329</v>
      </c>
      <c r="N236" t="s">
        <v>3482</v>
      </c>
      <c r="O236">
        <v>1</v>
      </c>
      <c r="P236">
        <v>376</v>
      </c>
      <c r="Q236">
        <v>71</v>
      </c>
      <c r="R236">
        <v>20.2</v>
      </c>
      <c r="S236">
        <v>4.5999999999999996</v>
      </c>
      <c r="T236" t="s">
        <v>6603</v>
      </c>
    </row>
    <row r="237" spans="1:20" x14ac:dyDescent="0.25">
      <c r="A237" t="s">
        <v>6604</v>
      </c>
      <c r="B237">
        <v>236</v>
      </c>
      <c r="C237">
        <v>1</v>
      </c>
      <c r="D237" t="s">
        <v>102</v>
      </c>
      <c r="H237" t="s">
        <v>5894</v>
      </c>
      <c r="J237" t="s">
        <v>6605</v>
      </c>
      <c r="K237">
        <v>32</v>
      </c>
      <c r="M237" t="s">
        <v>329</v>
      </c>
      <c r="N237" t="s">
        <v>2199</v>
      </c>
      <c r="O237">
        <v>0</v>
      </c>
      <c r="P237">
        <v>399</v>
      </c>
      <c r="Q237">
        <v>389</v>
      </c>
      <c r="R237">
        <v>21.4</v>
      </c>
      <c r="S237">
        <v>20.9</v>
      </c>
      <c r="T237" t="s">
        <v>6606</v>
      </c>
    </row>
    <row r="238" spans="1:20" x14ac:dyDescent="0.25">
      <c r="A238" t="s">
        <v>6607</v>
      </c>
      <c r="B238">
        <v>237</v>
      </c>
      <c r="C238">
        <v>1</v>
      </c>
      <c r="D238" t="s">
        <v>102</v>
      </c>
      <c r="H238" t="s">
        <v>5894</v>
      </c>
      <c r="J238" t="s">
        <v>6608</v>
      </c>
      <c r="K238">
        <v>33</v>
      </c>
      <c r="M238" t="s">
        <v>329</v>
      </c>
      <c r="N238" t="s">
        <v>2204</v>
      </c>
      <c r="O238">
        <v>1</v>
      </c>
      <c r="P238">
        <v>387</v>
      </c>
      <c r="Q238">
        <v>297</v>
      </c>
      <c r="R238">
        <v>20.8</v>
      </c>
      <c r="S238">
        <v>16.3</v>
      </c>
      <c r="T238" t="s">
        <v>6609</v>
      </c>
    </row>
    <row r="239" spans="1:20" x14ac:dyDescent="0.25">
      <c r="A239" t="s">
        <v>6610</v>
      </c>
      <c r="B239">
        <v>238</v>
      </c>
      <c r="C239">
        <v>1</v>
      </c>
      <c r="D239" t="s">
        <v>102</v>
      </c>
      <c r="H239" t="s">
        <v>5894</v>
      </c>
      <c r="J239" t="s">
        <v>6611</v>
      </c>
      <c r="K239">
        <v>34</v>
      </c>
      <c r="M239" t="s">
        <v>329</v>
      </c>
      <c r="N239" t="s">
        <v>2215</v>
      </c>
      <c r="O239">
        <v>1</v>
      </c>
      <c r="P239">
        <v>679</v>
      </c>
      <c r="Q239">
        <v>466</v>
      </c>
      <c r="R239">
        <v>35.700000000000003</v>
      </c>
      <c r="S239">
        <v>24.8</v>
      </c>
      <c r="T239" t="s">
        <v>6612</v>
      </c>
    </row>
    <row r="240" spans="1:20" x14ac:dyDescent="0.25">
      <c r="A240" t="s">
        <v>6613</v>
      </c>
      <c r="B240">
        <v>239</v>
      </c>
      <c r="C240">
        <v>1</v>
      </c>
      <c r="D240" t="s">
        <v>102</v>
      </c>
      <c r="H240" t="s">
        <v>5894</v>
      </c>
      <c r="J240" t="s">
        <v>6614</v>
      </c>
      <c r="K240">
        <v>35</v>
      </c>
      <c r="M240" t="s">
        <v>2221</v>
      </c>
      <c r="N240" t="s">
        <v>2229</v>
      </c>
      <c r="O240">
        <v>1</v>
      </c>
      <c r="P240">
        <v>246</v>
      </c>
      <c r="Q240">
        <v>616</v>
      </c>
      <c r="R240">
        <v>13.6</v>
      </c>
      <c r="S240">
        <v>32.5</v>
      </c>
      <c r="T240" t="s">
        <v>6615</v>
      </c>
    </row>
    <row r="241" spans="1:20" x14ac:dyDescent="0.25">
      <c r="A241" t="s">
        <v>6616</v>
      </c>
      <c r="B241">
        <v>240</v>
      </c>
      <c r="C241">
        <v>1</v>
      </c>
      <c r="D241" t="s">
        <v>102</v>
      </c>
      <c r="H241" t="s">
        <v>5894</v>
      </c>
      <c r="J241" t="s">
        <v>6617</v>
      </c>
      <c r="K241">
        <v>36</v>
      </c>
      <c r="M241" t="s">
        <v>2221</v>
      </c>
      <c r="N241" t="s">
        <v>2248</v>
      </c>
      <c r="O241">
        <v>0</v>
      </c>
      <c r="P241">
        <v>154</v>
      </c>
      <c r="Q241">
        <v>470</v>
      </c>
      <c r="R241">
        <v>8.9</v>
      </c>
      <c r="S241">
        <v>25.1</v>
      </c>
      <c r="T241" t="s">
        <v>6618</v>
      </c>
    </row>
    <row r="242" spans="1:20" x14ac:dyDescent="0.25">
      <c r="A242" t="s">
        <v>6619</v>
      </c>
      <c r="B242">
        <v>241</v>
      </c>
      <c r="C242">
        <v>1</v>
      </c>
      <c r="D242" t="s">
        <v>102</v>
      </c>
      <c r="H242" t="s">
        <v>5894</v>
      </c>
      <c r="J242" t="s">
        <v>6620</v>
      </c>
      <c r="K242">
        <v>37</v>
      </c>
      <c r="M242" t="s">
        <v>2221</v>
      </c>
      <c r="N242" t="s">
        <v>2246</v>
      </c>
      <c r="O242">
        <v>0</v>
      </c>
      <c r="P242">
        <v>64</v>
      </c>
      <c r="Q242">
        <v>512</v>
      </c>
      <c r="R242">
        <v>4.3</v>
      </c>
      <c r="S242">
        <v>27.2</v>
      </c>
      <c r="T242" t="s">
        <v>6621</v>
      </c>
    </row>
    <row r="243" spans="1:20" x14ac:dyDescent="0.25">
      <c r="A243" t="s">
        <v>6622</v>
      </c>
      <c r="B243">
        <v>242</v>
      </c>
      <c r="C243">
        <v>1</v>
      </c>
      <c r="D243" t="s">
        <v>102</v>
      </c>
      <c r="H243" t="s">
        <v>5894</v>
      </c>
      <c r="J243" t="s">
        <v>6623</v>
      </c>
      <c r="K243">
        <v>38</v>
      </c>
      <c r="M243" t="s">
        <v>2221</v>
      </c>
      <c r="N243" t="s">
        <v>2239</v>
      </c>
      <c r="O243">
        <v>0</v>
      </c>
      <c r="P243">
        <v>258</v>
      </c>
      <c r="Q243">
        <v>339</v>
      </c>
      <c r="R243">
        <v>14.1</v>
      </c>
      <c r="S243">
        <v>18.3</v>
      </c>
      <c r="T243" t="s">
        <v>6624</v>
      </c>
    </row>
    <row r="244" spans="1:20" x14ac:dyDescent="0.25">
      <c r="A244" t="s">
        <v>6625</v>
      </c>
      <c r="B244">
        <v>243</v>
      </c>
      <c r="C244">
        <v>1</v>
      </c>
      <c r="D244" t="s">
        <v>102</v>
      </c>
      <c r="H244" t="s">
        <v>5894</v>
      </c>
      <c r="J244" t="s">
        <v>6626</v>
      </c>
      <c r="K244">
        <v>39</v>
      </c>
      <c r="M244" t="s">
        <v>2221</v>
      </c>
      <c r="N244" t="s">
        <v>2250</v>
      </c>
      <c r="O244">
        <v>0</v>
      </c>
      <c r="P244">
        <v>549</v>
      </c>
      <c r="Q244">
        <v>354</v>
      </c>
      <c r="R244">
        <v>29.1</v>
      </c>
      <c r="S244">
        <v>19</v>
      </c>
      <c r="T244" t="s">
        <v>6627</v>
      </c>
    </row>
    <row r="245" spans="1:20" x14ac:dyDescent="0.25">
      <c r="A245" t="s">
        <v>6628</v>
      </c>
      <c r="B245">
        <v>244</v>
      </c>
      <c r="C245">
        <v>1</v>
      </c>
      <c r="D245" t="s">
        <v>102</v>
      </c>
      <c r="H245" t="s">
        <v>5894</v>
      </c>
      <c r="J245" t="s">
        <v>6629</v>
      </c>
      <c r="K245">
        <v>40</v>
      </c>
      <c r="M245" t="s">
        <v>2221</v>
      </c>
      <c r="N245" t="s">
        <v>2261</v>
      </c>
      <c r="O245">
        <v>0</v>
      </c>
      <c r="P245">
        <v>498</v>
      </c>
      <c r="Q245">
        <v>174</v>
      </c>
      <c r="R245">
        <v>26.4</v>
      </c>
      <c r="S245">
        <v>10</v>
      </c>
      <c r="T245" t="s">
        <v>6630</v>
      </c>
    </row>
    <row r="246" spans="1:20" x14ac:dyDescent="0.25">
      <c r="A246" t="s">
        <v>6631</v>
      </c>
      <c r="B246">
        <v>245</v>
      </c>
      <c r="C246">
        <v>1</v>
      </c>
      <c r="D246" t="s">
        <v>102</v>
      </c>
      <c r="H246" t="s">
        <v>5894</v>
      </c>
      <c r="J246" t="s">
        <v>6632</v>
      </c>
      <c r="K246">
        <v>41</v>
      </c>
      <c r="M246" t="s">
        <v>944</v>
      </c>
      <c r="N246" t="s">
        <v>2296</v>
      </c>
      <c r="O246">
        <v>0</v>
      </c>
      <c r="P246">
        <v>625</v>
      </c>
      <c r="Q246">
        <v>299</v>
      </c>
      <c r="R246">
        <v>33</v>
      </c>
      <c r="S246">
        <v>16.2</v>
      </c>
      <c r="T246" t="s">
        <v>6633</v>
      </c>
    </row>
    <row r="247" spans="1:20" x14ac:dyDescent="0.25">
      <c r="A247" t="s">
        <v>6634</v>
      </c>
      <c r="B247">
        <v>246</v>
      </c>
      <c r="C247">
        <v>1</v>
      </c>
      <c r="D247" t="s">
        <v>102</v>
      </c>
      <c r="H247" t="s">
        <v>5894</v>
      </c>
      <c r="J247" t="s">
        <v>6635</v>
      </c>
      <c r="K247">
        <v>42</v>
      </c>
      <c r="M247" t="s">
        <v>944</v>
      </c>
      <c r="N247" t="s">
        <v>2294</v>
      </c>
      <c r="O247">
        <v>0</v>
      </c>
      <c r="P247">
        <v>655</v>
      </c>
      <c r="Q247">
        <v>476</v>
      </c>
      <c r="R247">
        <v>34.5</v>
      </c>
      <c r="S247">
        <v>25.4</v>
      </c>
      <c r="T247" t="s">
        <v>6636</v>
      </c>
    </row>
    <row r="248" spans="1:20" x14ac:dyDescent="0.25">
      <c r="A248" t="s">
        <v>6637</v>
      </c>
      <c r="B248">
        <v>247</v>
      </c>
      <c r="C248">
        <v>1</v>
      </c>
      <c r="D248" t="s">
        <v>102</v>
      </c>
      <c r="H248" t="s">
        <v>5894</v>
      </c>
      <c r="J248" t="s">
        <v>6638</v>
      </c>
      <c r="K248">
        <v>43</v>
      </c>
      <c r="M248" t="s">
        <v>944</v>
      </c>
      <c r="N248" t="s">
        <v>2286</v>
      </c>
      <c r="O248">
        <v>0</v>
      </c>
      <c r="P248">
        <v>711</v>
      </c>
      <c r="Q248">
        <v>110</v>
      </c>
      <c r="R248">
        <v>37.1</v>
      </c>
      <c r="S248">
        <v>6.6</v>
      </c>
      <c r="T248" t="s">
        <v>6639</v>
      </c>
    </row>
    <row r="249" spans="1:20" x14ac:dyDescent="0.25">
      <c r="A249" t="s">
        <v>6640</v>
      </c>
      <c r="B249">
        <v>248</v>
      </c>
      <c r="C249">
        <v>1</v>
      </c>
      <c r="D249" t="s">
        <v>102</v>
      </c>
      <c r="H249" t="s">
        <v>5894</v>
      </c>
      <c r="J249" t="s">
        <v>6641</v>
      </c>
      <c r="K249">
        <v>44</v>
      </c>
      <c r="M249" t="s">
        <v>944</v>
      </c>
      <c r="N249" t="s">
        <v>2303</v>
      </c>
      <c r="O249">
        <v>1</v>
      </c>
      <c r="P249">
        <v>653</v>
      </c>
      <c r="Q249">
        <v>578</v>
      </c>
      <c r="R249">
        <v>34.299999999999997</v>
      </c>
      <c r="S249">
        <v>30.6</v>
      </c>
      <c r="T249" t="s">
        <v>6642</v>
      </c>
    </row>
    <row r="250" spans="1:20" s="8" customFormat="1" x14ac:dyDescent="0.25">
      <c r="A250" s="8" t="s">
        <v>6643</v>
      </c>
      <c r="B250" s="8">
        <v>249</v>
      </c>
      <c r="C250" s="8">
        <v>1</v>
      </c>
      <c r="D250" s="8" t="s">
        <v>102</v>
      </c>
      <c r="H250" s="8" t="s">
        <v>5894</v>
      </c>
      <c r="J250" s="8" t="s">
        <v>6644</v>
      </c>
      <c r="K250" s="8">
        <v>45</v>
      </c>
      <c r="M250" s="8" t="s">
        <v>944</v>
      </c>
      <c r="N250" s="8" t="s">
        <v>1056</v>
      </c>
      <c r="O250" s="8">
        <v>1</v>
      </c>
      <c r="P250" s="8">
        <v>249</v>
      </c>
      <c r="Q250" s="8">
        <v>701</v>
      </c>
      <c r="R250" s="8">
        <v>13.7</v>
      </c>
      <c r="S250" s="8">
        <v>36.799999999999997</v>
      </c>
      <c r="T250" s="8" t="s">
        <v>6645</v>
      </c>
    </row>
    <row r="251" spans="1:20" s="9" customFormat="1" x14ac:dyDescent="0.25">
      <c r="A251" s="9" t="s">
        <v>6646</v>
      </c>
      <c r="B251" s="9">
        <v>250</v>
      </c>
      <c r="C251" s="9">
        <v>1</v>
      </c>
      <c r="D251" s="9" t="s">
        <v>133</v>
      </c>
      <c r="H251" s="9" t="s">
        <v>5894</v>
      </c>
      <c r="J251" s="9" t="s">
        <v>6648</v>
      </c>
      <c r="K251" s="9">
        <v>1</v>
      </c>
      <c r="M251" s="9" t="s">
        <v>2318</v>
      </c>
      <c r="N251" s="9" t="s">
        <v>6647</v>
      </c>
      <c r="O251" s="9">
        <v>0</v>
      </c>
      <c r="P251" s="9">
        <v>575</v>
      </c>
      <c r="Q251" s="9">
        <v>272</v>
      </c>
      <c r="R251" s="9">
        <v>15.6</v>
      </c>
      <c r="S251" s="9">
        <v>8</v>
      </c>
      <c r="T251" s="9" t="s">
        <v>10716</v>
      </c>
    </row>
    <row r="252" spans="1:20" s="9" customFormat="1" x14ac:dyDescent="0.25">
      <c r="A252" s="9" t="s">
        <v>6649</v>
      </c>
      <c r="B252" s="9">
        <v>251</v>
      </c>
      <c r="C252" s="9">
        <v>1</v>
      </c>
      <c r="D252" s="9" t="s">
        <v>133</v>
      </c>
      <c r="H252" s="9" t="s">
        <v>5894</v>
      </c>
      <c r="J252" s="9" t="s">
        <v>6651</v>
      </c>
      <c r="K252" s="9">
        <v>2</v>
      </c>
      <c r="M252" s="9" t="s">
        <v>2318</v>
      </c>
      <c r="N252" s="9" t="s">
        <v>6650</v>
      </c>
      <c r="O252" s="9">
        <v>0</v>
      </c>
      <c r="P252" s="9">
        <v>425</v>
      </c>
      <c r="Q252" s="9">
        <v>578</v>
      </c>
      <c r="R252" s="9">
        <v>11.8</v>
      </c>
      <c r="S252" s="9">
        <v>15.8</v>
      </c>
      <c r="T252" s="9" t="s">
        <v>10717</v>
      </c>
    </row>
    <row r="253" spans="1:20" s="9" customFormat="1" x14ac:dyDescent="0.25">
      <c r="A253" s="9" t="s">
        <v>6652</v>
      </c>
      <c r="B253" s="9">
        <v>252</v>
      </c>
      <c r="C253" s="9">
        <v>1</v>
      </c>
      <c r="D253" s="9" t="s">
        <v>133</v>
      </c>
      <c r="H253" s="9" t="s">
        <v>5894</v>
      </c>
      <c r="J253" s="9" t="s">
        <v>6654</v>
      </c>
      <c r="K253" s="9">
        <v>3</v>
      </c>
      <c r="M253" s="9" t="s">
        <v>2318</v>
      </c>
      <c r="N253" s="9" t="s">
        <v>6653</v>
      </c>
      <c r="O253" s="9">
        <v>0</v>
      </c>
      <c r="P253" s="9">
        <v>387</v>
      </c>
      <c r="Q253" s="9">
        <v>231</v>
      </c>
      <c r="R253" s="9">
        <v>10.8</v>
      </c>
      <c r="S253" s="9">
        <v>6.8</v>
      </c>
      <c r="T253" s="9" t="s">
        <v>6655</v>
      </c>
    </row>
    <row r="254" spans="1:20" s="9" customFormat="1" x14ac:dyDescent="0.25">
      <c r="A254" s="9" t="s">
        <v>6656</v>
      </c>
      <c r="B254" s="9">
        <v>253</v>
      </c>
      <c r="C254" s="9">
        <v>1</v>
      </c>
      <c r="D254" s="9" t="s">
        <v>133</v>
      </c>
      <c r="H254" s="9" t="s">
        <v>5894</v>
      </c>
      <c r="J254" s="9" t="s">
        <v>6658</v>
      </c>
      <c r="K254" s="9">
        <v>4</v>
      </c>
      <c r="M254" s="9" t="s">
        <v>2318</v>
      </c>
      <c r="N254" s="9" t="s">
        <v>6657</v>
      </c>
      <c r="O254" s="9">
        <v>0</v>
      </c>
      <c r="P254" s="9">
        <v>139</v>
      </c>
      <c r="Q254" s="9">
        <v>403</v>
      </c>
      <c r="R254" s="9">
        <v>4.5</v>
      </c>
      <c r="S254" s="9">
        <v>11.3</v>
      </c>
      <c r="T254" s="9" t="s">
        <v>6659</v>
      </c>
    </row>
    <row r="255" spans="1:20" s="9" customFormat="1" x14ac:dyDescent="0.25">
      <c r="A255" s="9" t="s">
        <v>6660</v>
      </c>
      <c r="B255" s="9">
        <v>254</v>
      </c>
      <c r="C255" s="9">
        <v>1</v>
      </c>
      <c r="D255" s="9" t="s">
        <v>133</v>
      </c>
      <c r="H255" s="9" t="s">
        <v>5894</v>
      </c>
      <c r="J255" s="9" t="s">
        <v>6662</v>
      </c>
      <c r="K255" s="9">
        <v>5</v>
      </c>
      <c r="M255" s="9" t="s">
        <v>2318</v>
      </c>
      <c r="N255" s="9" t="s">
        <v>6661</v>
      </c>
      <c r="O255" s="9">
        <v>0</v>
      </c>
      <c r="P255" s="9">
        <v>401</v>
      </c>
      <c r="Q255" s="9">
        <v>351</v>
      </c>
      <c r="R255" s="9">
        <v>11.2</v>
      </c>
      <c r="S255" s="9">
        <v>10</v>
      </c>
      <c r="T255" s="9" t="s">
        <v>10718</v>
      </c>
    </row>
    <row r="256" spans="1:20" s="9" customFormat="1" x14ac:dyDescent="0.25">
      <c r="A256" s="9" t="s">
        <v>6663</v>
      </c>
      <c r="B256" s="9">
        <v>255</v>
      </c>
      <c r="C256" s="9">
        <v>1</v>
      </c>
      <c r="D256" s="9" t="s">
        <v>133</v>
      </c>
      <c r="H256" s="9" t="s">
        <v>5894</v>
      </c>
      <c r="J256" s="9" t="s">
        <v>6665</v>
      </c>
      <c r="K256" s="9">
        <v>6</v>
      </c>
      <c r="M256" s="9" t="s">
        <v>2318</v>
      </c>
      <c r="N256" s="9" t="s">
        <v>6664</v>
      </c>
      <c r="O256" s="9">
        <v>0</v>
      </c>
      <c r="P256" s="9">
        <v>545</v>
      </c>
      <c r="Q256" s="9">
        <v>329</v>
      </c>
      <c r="R256" s="9">
        <v>15</v>
      </c>
      <c r="S256" s="9">
        <v>9.4</v>
      </c>
      <c r="T256" s="9" t="s">
        <v>6666</v>
      </c>
    </row>
    <row r="257" spans="1:20" s="9" customFormat="1" x14ac:dyDescent="0.25">
      <c r="A257" s="9" t="s">
        <v>6667</v>
      </c>
      <c r="B257" s="9">
        <v>256</v>
      </c>
      <c r="C257" s="9">
        <v>1</v>
      </c>
      <c r="D257" s="9" t="s">
        <v>133</v>
      </c>
      <c r="H257" s="9" t="s">
        <v>5894</v>
      </c>
      <c r="J257" s="9" t="s">
        <v>6669</v>
      </c>
      <c r="K257" s="9">
        <v>7</v>
      </c>
      <c r="M257" s="9" t="s">
        <v>2318</v>
      </c>
      <c r="N257" s="9" t="s">
        <v>6668</v>
      </c>
      <c r="O257" s="9">
        <v>0</v>
      </c>
      <c r="P257" s="9">
        <v>92</v>
      </c>
      <c r="Q257" s="9">
        <v>312</v>
      </c>
      <c r="R257" s="9">
        <v>3.3</v>
      </c>
      <c r="S257" s="9">
        <v>8.9</v>
      </c>
      <c r="T257" s="9" t="s">
        <v>6670</v>
      </c>
    </row>
    <row r="258" spans="1:20" s="9" customFormat="1" x14ac:dyDescent="0.25">
      <c r="A258" s="9" t="s">
        <v>6671</v>
      </c>
      <c r="B258" s="9">
        <v>257</v>
      </c>
      <c r="C258" s="9">
        <v>1</v>
      </c>
      <c r="D258" s="9" t="s">
        <v>133</v>
      </c>
      <c r="H258" s="9" t="s">
        <v>5894</v>
      </c>
      <c r="J258" s="9" t="s">
        <v>6673</v>
      </c>
      <c r="K258" s="9">
        <v>8</v>
      </c>
      <c r="M258" s="9" t="s">
        <v>2368</v>
      </c>
      <c r="N258" s="9" t="s">
        <v>6672</v>
      </c>
      <c r="O258" s="9">
        <v>0</v>
      </c>
      <c r="P258" s="9">
        <v>273</v>
      </c>
      <c r="Q258" s="9">
        <v>481</v>
      </c>
      <c r="R258" s="9">
        <v>7.9</v>
      </c>
      <c r="S258" s="9">
        <v>13.3</v>
      </c>
      <c r="T258" s="9" t="s">
        <v>10719</v>
      </c>
    </row>
    <row r="259" spans="1:20" s="9" customFormat="1" x14ac:dyDescent="0.25">
      <c r="A259" s="9" t="s">
        <v>6674</v>
      </c>
      <c r="B259" s="9">
        <v>258</v>
      </c>
      <c r="C259" s="9">
        <v>1</v>
      </c>
      <c r="D259" s="9" t="s">
        <v>133</v>
      </c>
      <c r="H259" s="9" t="s">
        <v>5894</v>
      </c>
      <c r="J259" s="9" t="s">
        <v>6676</v>
      </c>
      <c r="K259" s="9">
        <v>9</v>
      </c>
      <c r="M259" s="9" t="s">
        <v>2368</v>
      </c>
      <c r="N259" s="9" t="s">
        <v>6675</v>
      </c>
      <c r="O259" s="9">
        <v>0</v>
      </c>
      <c r="P259" s="9">
        <v>378</v>
      </c>
      <c r="Q259" s="9">
        <v>332</v>
      </c>
      <c r="R259" s="9">
        <v>10.6</v>
      </c>
      <c r="S259" s="9">
        <v>9.4</v>
      </c>
      <c r="T259" s="9" t="s">
        <v>6677</v>
      </c>
    </row>
    <row r="260" spans="1:20" s="9" customFormat="1" x14ac:dyDescent="0.25">
      <c r="A260" s="9" t="s">
        <v>6678</v>
      </c>
      <c r="B260" s="9">
        <v>259</v>
      </c>
      <c r="C260" s="9">
        <v>1</v>
      </c>
      <c r="D260" s="9" t="s">
        <v>133</v>
      </c>
      <c r="H260" s="9" t="s">
        <v>5894</v>
      </c>
      <c r="J260" s="9" t="s">
        <v>6680</v>
      </c>
      <c r="K260" s="9">
        <v>10</v>
      </c>
      <c r="M260" s="9" t="s">
        <v>2368</v>
      </c>
      <c r="N260" s="9" t="s">
        <v>6679</v>
      </c>
      <c r="O260" s="9">
        <v>0</v>
      </c>
      <c r="P260" s="9">
        <v>263</v>
      </c>
      <c r="Q260" s="9">
        <v>514</v>
      </c>
      <c r="R260" s="9">
        <v>7.7</v>
      </c>
      <c r="S260" s="9">
        <v>14.1</v>
      </c>
      <c r="T260" s="9" t="s">
        <v>10720</v>
      </c>
    </row>
    <row r="261" spans="1:20" s="9" customFormat="1" x14ac:dyDescent="0.25">
      <c r="A261" s="9" t="s">
        <v>6681</v>
      </c>
      <c r="B261" s="9">
        <v>260</v>
      </c>
      <c r="C261" s="9">
        <v>1</v>
      </c>
      <c r="D261" s="9" t="s">
        <v>133</v>
      </c>
      <c r="H261" s="9" t="s">
        <v>5894</v>
      </c>
      <c r="J261" s="9" t="s">
        <v>6683</v>
      </c>
      <c r="K261" s="9">
        <v>11</v>
      </c>
      <c r="M261" s="9" t="s">
        <v>2368</v>
      </c>
      <c r="N261" s="9" t="s">
        <v>6682</v>
      </c>
      <c r="O261" s="9">
        <v>0</v>
      </c>
      <c r="P261" s="9">
        <v>399</v>
      </c>
      <c r="Q261" s="9">
        <v>242</v>
      </c>
      <c r="R261" s="9">
        <v>11.2</v>
      </c>
      <c r="S261" s="9">
        <v>7.2</v>
      </c>
      <c r="T261" s="9" t="s">
        <v>10721</v>
      </c>
    </row>
    <row r="262" spans="1:20" s="9" customFormat="1" x14ac:dyDescent="0.25">
      <c r="A262" s="9" t="s">
        <v>6684</v>
      </c>
      <c r="B262" s="9">
        <v>261</v>
      </c>
      <c r="C262" s="9">
        <v>1</v>
      </c>
      <c r="D262" s="9" t="s">
        <v>133</v>
      </c>
      <c r="H262" s="9" t="s">
        <v>5894</v>
      </c>
      <c r="J262" s="9" t="s">
        <v>6686</v>
      </c>
      <c r="K262" s="9">
        <v>12</v>
      </c>
      <c r="M262" s="9" t="s">
        <v>2368</v>
      </c>
      <c r="N262" s="9" t="s">
        <v>6685</v>
      </c>
      <c r="O262" s="9">
        <v>0</v>
      </c>
      <c r="P262" s="9">
        <v>161</v>
      </c>
      <c r="Q262" s="9">
        <v>477</v>
      </c>
      <c r="R262" s="9">
        <v>5.0999999999999996</v>
      </c>
      <c r="S262" s="9">
        <v>13.2</v>
      </c>
      <c r="T262" s="9" t="s">
        <v>6687</v>
      </c>
    </row>
    <row r="263" spans="1:20" s="9" customFormat="1" x14ac:dyDescent="0.25">
      <c r="A263" s="9" t="s">
        <v>6688</v>
      </c>
      <c r="B263" s="9">
        <v>262</v>
      </c>
      <c r="C263" s="9">
        <v>1</v>
      </c>
      <c r="D263" s="9" t="s">
        <v>133</v>
      </c>
      <c r="H263" s="9" t="s">
        <v>5894</v>
      </c>
      <c r="J263" s="9" t="s">
        <v>6690</v>
      </c>
      <c r="K263" s="9">
        <v>13</v>
      </c>
      <c r="M263" s="9" t="s">
        <v>2368</v>
      </c>
      <c r="N263" s="9" t="s">
        <v>6689</v>
      </c>
      <c r="O263" s="9">
        <v>0</v>
      </c>
      <c r="P263" s="9">
        <v>389</v>
      </c>
      <c r="Q263" s="9">
        <v>434</v>
      </c>
      <c r="R263" s="9">
        <v>10.9</v>
      </c>
      <c r="S263" s="9">
        <v>12.1</v>
      </c>
      <c r="T263" s="9" t="s">
        <v>6691</v>
      </c>
    </row>
    <row r="264" spans="1:20" s="9" customFormat="1" x14ac:dyDescent="0.25">
      <c r="A264" s="9" t="s">
        <v>6692</v>
      </c>
      <c r="B264" s="9">
        <v>263</v>
      </c>
      <c r="C264" s="9">
        <v>1</v>
      </c>
      <c r="D264" s="9" t="s">
        <v>133</v>
      </c>
      <c r="H264" s="9" t="s">
        <v>5894</v>
      </c>
      <c r="J264" s="9" t="s">
        <v>6694</v>
      </c>
      <c r="K264" s="9">
        <v>14</v>
      </c>
      <c r="L264" s="9" t="s">
        <v>10735</v>
      </c>
      <c r="M264" s="9" t="s">
        <v>2368</v>
      </c>
      <c r="N264" s="9" t="s">
        <v>6693</v>
      </c>
      <c r="O264" s="9">
        <v>0</v>
      </c>
      <c r="P264" s="9">
        <v>300</v>
      </c>
      <c r="Q264" s="9">
        <v>474</v>
      </c>
      <c r="R264" s="9">
        <v>8.6</v>
      </c>
      <c r="S264" s="9">
        <v>13.1</v>
      </c>
      <c r="T264" s="9" t="s">
        <v>10737</v>
      </c>
    </row>
    <row r="265" spans="1:20" s="9" customFormat="1" x14ac:dyDescent="0.25">
      <c r="A265" s="9" t="s">
        <v>6695</v>
      </c>
      <c r="B265" s="9">
        <v>264</v>
      </c>
      <c r="C265" s="9">
        <v>1</v>
      </c>
      <c r="D265" s="9" t="s">
        <v>133</v>
      </c>
      <c r="H265" s="9" t="s">
        <v>5894</v>
      </c>
      <c r="J265" s="9" t="s">
        <v>6696</v>
      </c>
      <c r="K265" s="9">
        <v>15</v>
      </c>
      <c r="M265" s="9" t="s">
        <v>2320</v>
      </c>
      <c r="N265" s="9" t="s">
        <v>2322</v>
      </c>
      <c r="O265" s="9">
        <v>0</v>
      </c>
      <c r="P265" s="9">
        <v>380</v>
      </c>
      <c r="Q265" s="9">
        <v>126</v>
      </c>
      <c r="R265" s="9">
        <v>20.399999999999999</v>
      </c>
      <c r="S265" s="9">
        <v>7.5</v>
      </c>
      <c r="T265" s="9" t="s">
        <v>6697</v>
      </c>
    </row>
    <row r="266" spans="1:20" s="9" customFormat="1" x14ac:dyDescent="0.25">
      <c r="A266" s="9" t="s">
        <v>6698</v>
      </c>
      <c r="B266" s="9">
        <v>265</v>
      </c>
      <c r="C266" s="9">
        <v>1</v>
      </c>
      <c r="D266" s="9" t="s">
        <v>133</v>
      </c>
      <c r="H266" s="9" t="s">
        <v>5894</v>
      </c>
      <c r="J266" s="9" t="s">
        <v>6699</v>
      </c>
      <c r="K266" s="9">
        <v>16</v>
      </c>
      <c r="M266" s="9" t="s">
        <v>2320</v>
      </c>
      <c r="N266" s="9" t="s">
        <v>2363</v>
      </c>
      <c r="O266" s="9">
        <v>0</v>
      </c>
      <c r="P266" s="9">
        <v>276</v>
      </c>
      <c r="Q266" s="9">
        <v>476</v>
      </c>
      <c r="R266" s="9">
        <v>15</v>
      </c>
      <c r="S266" s="9">
        <v>25.3</v>
      </c>
      <c r="T266" s="9" t="s">
        <v>10722</v>
      </c>
    </row>
    <row r="267" spans="1:20" s="9" customFormat="1" x14ac:dyDescent="0.25">
      <c r="A267" s="9" t="s">
        <v>6700</v>
      </c>
      <c r="B267" s="9">
        <v>266</v>
      </c>
      <c r="C267" s="9">
        <v>1</v>
      </c>
      <c r="D267" s="9" t="s">
        <v>133</v>
      </c>
      <c r="H267" s="9" t="s">
        <v>5894</v>
      </c>
      <c r="J267" s="9" t="s">
        <v>6701</v>
      </c>
      <c r="K267" s="9">
        <v>17</v>
      </c>
      <c r="L267" s="9" t="s">
        <v>5885</v>
      </c>
      <c r="M267" s="9" t="s">
        <v>2320</v>
      </c>
      <c r="N267" s="9" t="s">
        <v>2347</v>
      </c>
      <c r="O267" s="9">
        <v>1</v>
      </c>
      <c r="P267" s="9">
        <v>582</v>
      </c>
      <c r="Q267" s="9">
        <v>348</v>
      </c>
      <c r="R267" s="9">
        <v>30.8</v>
      </c>
      <c r="S267" s="9">
        <v>18.7</v>
      </c>
      <c r="T267" s="9" t="s">
        <v>6702</v>
      </c>
    </row>
    <row r="268" spans="1:20" s="9" customFormat="1" x14ac:dyDescent="0.25">
      <c r="A268" s="9" t="s">
        <v>6703</v>
      </c>
      <c r="B268" s="9">
        <v>267</v>
      </c>
      <c r="C268" s="9">
        <v>1</v>
      </c>
      <c r="D268" s="9" t="s">
        <v>133</v>
      </c>
      <c r="H268" s="9" t="s">
        <v>5894</v>
      </c>
      <c r="J268" s="9" t="s">
        <v>6704</v>
      </c>
      <c r="K268" s="9">
        <v>18</v>
      </c>
      <c r="M268" s="9" t="s">
        <v>2320</v>
      </c>
      <c r="N268" s="9" t="s">
        <v>2334</v>
      </c>
      <c r="O268" s="9">
        <v>0</v>
      </c>
      <c r="P268" s="9">
        <v>730</v>
      </c>
      <c r="Q268" s="9">
        <v>247</v>
      </c>
      <c r="R268" s="9">
        <v>38.4</v>
      </c>
      <c r="S268" s="9">
        <v>13.7</v>
      </c>
      <c r="T268" s="9" t="s">
        <v>6705</v>
      </c>
    </row>
    <row r="269" spans="1:20" s="9" customFormat="1" x14ac:dyDescent="0.25">
      <c r="A269" s="9" t="s">
        <v>6706</v>
      </c>
      <c r="B269" s="9">
        <v>268</v>
      </c>
      <c r="C269" s="9">
        <v>1</v>
      </c>
      <c r="D269" s="9" t="s">
        <v>133</v>
      </c>
      <c r="H269" s="9" t="s">
        <v>5894</v>
      </c>
      <c r="J269" s="9" t="s">
        <v>6707</v>
      </c>
      <c r="K269" s="9">
        <v>19</v>
      </c>
      <c r="L269" s="9" t="s">
        <v>5885</v>
      </c>
      <c r="M269" s="9" t="s">
        <v>2320</v>
      </c>
      <c r="N269" s="9" t="s">
        <v>2365</v>
      </c>
      <c r="O269" s="9">
        <v>1</v>
      </c>
      <c r="P269" s="9">
        <v>417</v>
      </c>
      <c r="Q269" s="9">
        <v>323</v>
      </c>
      <c r="R269" s="9">
        <v>22.4</v>
      </c>
      <c r="S269" s="9">
        <v>17.5</v>
      </c>
      <c r="T269" s="9" t="s">
        <v>10723</v>
      </c>
    </row>
    <row r="270" spans="1:20" s="9" customFormat="1" x14ac:dyDescent="0.25">
      <c r="A270" s="9" t="s">
        <v>6708</v>
      </c>
      <c r="B270" s="9">
        <v>269</v>
      </c>
      <c r="C270" s="9">
        <v>1</v>
      </c>
      <c r="D270" s="9" t="s">
        <v>133</v>
      </c>
      <c r="H270" s="9" t="s">
        <v>5894</v>
      </c>
      <c r="J270" s="9" t="s">
        <v>6709</v>
      </c>
      <c r="K270" s="9">
        <v>20</v>
      </c>
      <c r="L270" s="9" t="s">
        <v>5885</v>
      </c>
      <c r="M270" s="9" t="s">
        <v>837</v>
      </c>
      <c r="N270" s="9" t="s">
        <v>2403</v>
      </c>
      <c r="O270" s="9">
        <v>1</v>
      </c>
      <c r="P270" s="9">
        <v>494</v>
      </c>
      <c r="Q270" s="9">
        <v>635</v>
      </c>
      <c r="R270" s="9">
        <v>26.2</v>
      </c>
      <c r="S270" s="9">
        <v>33.6</v>
      </c>
      <c r="T270" s="9" t="s">
        <v>6710</v>
      </c>
    </row>
    <row r="271" spans="1:20" s="9" customFormat="1" x14ac:dyDescent="0.25">
      <c r="A271" s="9" t="s">
        <v>6711</v>
      </c>
      <c r="B271" s="9">
        <v>270</v>
      </c>
      <c r="C271" s="9">
        <v>1</v>
      </c>
      <c r="D271" s="9" t="s">
        <v>133</v>
      </c>
      <c r="H271" s="9" t="s">
        <v>5894</v>
      </c>
      <c r="J271" s="9" t="s">
        <v>6712</v>
      </c>
      <c r="K271" s="9">
        <v>21</v>
      </c>
      <c r="L271" s="9" t="s">
        <v>5885</v>
      </c>
      <c r="M271" s="9" t="s">
        <v>837</v>
      </c>
      <c r="N271" s="9" t="s">
        <v>2388</v>
      </c>
      <c r="O271" s="9">
        <v>1</v>
      </c>
      <c r="P271" s="9">
        <v>423</v>
      </c>
      <c r="Q271" s="9">
        <v>363</v>
      </c>
      <c r="R271" s="9">
        <v>22.5</v>
      </c>
      <c r="S271" s="9">
        <v>19.600000000000001</v>
      </c>
      <c r="T271" s="9" t="s">
        <v>6713</v>
      </c>
    </row>
    <row r="272" spans="1:20" s="9" customFormat="1" x14ac:dyDescent="0.25">
      <c r="A272" s="9" t="s">
        <v>6714</v>
      </c>
      <c r="B272" s="9">
        <v>271</v>
      </c>
      <c r="C272" s="9">
        <v>1</v>
      </c>
      <c r="D272" s="9" t="s">
        <v>133</v>
      </c>
      <c r="H272" s="9" t="s">
        <v>5894</v>
      </c>
      <c r="J272" s="9" t="s">
        <v>6715</v>
      </c>
      <c r="K272" s="9">
        <v>22</v>
      </c>
      <c r="L272" s="9" t="s">
        <v>5885</v>
      </c>
      <c r="M272" s="9" t="s">
        <v>837</v>
      </c>
      <c r="N272" s="9" t="s">
        <v>2384</v>
      </c>
      <c r="O272" s="9">
        <v>1</v>
      </c>
      <c r="P272" s="9">
        <v>371</v>
      </c>
      <c r="Q272" s="9">
        <v>116</v>
      </c>
      <c r="R272" s="9">
        <v>19.899999999999999</v>
      </c>
      <c r="S272" s="9">
        <v>6.9</v>
      </c>
      <c r="T272" s="9" t="s">
        <v>6716</v>
      </c>
    </row>
    <row r="273" spans="1:20" s="9" customFormat="1" x14ac:dyDescent="0.25">
      <c r="A273" s="9" t="s">
        <v>6717</v>
      </c>
      <c r="B273" s="9">
        <v>272</v>
      </c>
      <c r="C273" s="9">
        <v>1</v>
      </c>
      <c r="D273" s="9" t="s">
        <v>133</v>
      </c>
      <c r="H273" s="9" t="s">
        <v>5894</v>
      </c>
      <c r="J273" s="9" t="s">
        <v>6718</v>
      </c>
      <c r="K273" s="9">
        <v>23</v>
      </c>
      <c r="L273" s="9" t="s">
        <v>5885</v>
      </c>
      <c r="M273" s="9" t="s">
        <v>837</v>
      </c>
      <c r="N273" s="9" t="s">
        <v>2370</v>
      </c>
      <c r="O273" s="9">
        <v>1</v>
      </c>
      <c r="P273" s="9">
        <v>553</v>
      </c>
      <c r="Q273" s="9">
        <v>469</v>
      </c>
      <c r="R273" s="9">
        <v>29.3</v>
      </c>
      <c r="S273" s="9">
        <v>24.9</v>
      </c>
      <c r="T273" s="9" t="s">
        <v>6719</v>
      </c>
    </row>
    <row r="274" spans="1:20" s="9" customFormat="1" x14ac:dyDescent="0.25">
      <c r="A274" s="9" t="s">
        <v>6720</v>
      </c>
      <c r="B274" s="9">
        <v>273</v>
      </c>
      <c r="C274" s="9">
        <v>1</v>
      </c>
      <c r="D274" s="9" t="s">
        <v>133</v>
      </c>
      <c r="H274" s="9" t="s">
        <v>5894</v>
      </c>
      <c r="J274" s="9" t="s">
        <v>6721</v>
      </c>
      <c r="K274" s="9">
        <v>24</v>
      </c>
      <c r="M274" s="9" t="s">
        <v>837</v>
      </c>
      <c r="N274" s="9" t="s">
        <v>2379</v>
      </c>
      <c r="O274" s="9">
        <v>0</v>
      </c>
      <c r="P274" s="9">
        <v>498</v>
      </c>
      <c r="Q274" s="9">
        <v>453</v>
      </c>
      <c r="R274" s="9">
        <v>26.5</v>
      </c>
      <c r="S274" s="9">
        <v>24.1</v>
      </c>
      <c r="T274" s="9" t="s">
        <v>6722</v>
      </c>
    </row>
    <row r="275" spans="1:20" s="9" customFormat="1" x14ac:dyDescent="0.25">
      <c r="A275" s="9" t="s">
        <v>6723</v>
      </c>
      <c r="B275" s="9">
        <v>274</v>
      </c>
      <c r="C275" s="9">
        <v>1</v>
      </c>
      <c r="D275" s="9" t="s">
        <v>133</v>
      </c>
      <c r="H275" s="9" t="s">
        <v>5894</v>
      </c>
      <c r="J275" s="9" t="s">
        <v>6724</v>
      </c>
      <c r="K275" s="9">
        <v>25</v>
      </c>
      <c r="L275" s="9" t="s">
        <v>5885</v>
      </c>
      <c r="M275" s="9" t="s">
        <v>837</v>
      </c>
      <c r="N275" s="9" t="s">
        <v>2392</v>
      </c>
      <c r="O275" s="9">
        <v>1</v>
      </c>
      <c r="P275" s="9">
        <v>173</v>
      </c>
      <c r="Q275" s="9">
        <v>433</v>
      </c>
      <c r="R275" s="9">
        <v>9.8000000000000007</v>
      </c>
      <c r="S275" s="9">
        <v>23.2</v>
      </c>
      <c r="T275" s="9" t="s">
        <v>10724</v>
      </c>
    </row>
    <row r="276" spans="1:20" s="9" customFormat="1" x14ac:dyDescent="0.25">
      <c r="A276" s="9" t="s">
        <v>6725</v>
      </c>
      <c r="B276" s="9">
        <v>275</v>
      </c>
      <c r="C276" s="9">
        <v>1</v>
      </c>
      <c r="D276" s="9" t="s">
        <v>133</v>
      </c>
      <c r="H276" s="9" t="s">
        <v>5894</v>
      </c>
      <c r="J276" s="9" t="s">
        <v>6726</v>
      </c>
      <c r="K276" s="9">
        <v>26</v>
      </c>
      <c r="M276" s="9" t="s">
        <v>2407</v>
      </c>
      <c r="N276" s="9" t="s">
        <v>2438</v>
      </c>
      <c r="O276" s="9">
        <v>0</v>
      </c>
      <c r="P276" s="9">
        <v>614</v>
      </c>
      <c r="Q276" s="9">
        <v>344</v>
      </c>
      <c r="R276" s="9">
        <v>32.299999999999997</v>
      </c>
      <c r="S276" s="9">
        <v>18.5</v>
      </c>
      <c r="T276" s="9" t="s">
        <v>6727</v>
      </c>
    </row>
    <row r="277" spans="1:20" s="9" customFormat="1" x14ac:dyDescent="0.25">
      <c r="A277" s="9" t="s">
        <v>6728</v>
      </c>
      <c r="B277" s="9">
        <v>276</v>
      </c>
      <c r="C277" s="9">
        <v>1</v>
      </c>
      <c r="D277" s="9" t="s">
        <v>133</v>
      </c>
      <c r="H277" s="9" t="s">
        <v>5894</v>
      </c>
      <c r="J277" s="9" t="s">
        <v>6729</v>
      </c>
      <c r="K277" s="9">
        <v>27</v>
      </c>
      <c r="L277" s="9" t="s">
        <v>5885</v>
      </c>
      <c r="M277" s="9" t="s">
        <v>2407</v>
      </c>
      <c r="N277" s="9" t="s">
        <v>2416</v>
      </c>
      <c r="O277" s="9">
        <v>1</v>
      </c>
      <c r="P277" s="9">
        <v>562</v>
      </c>
      <c r="Q277" s="9">
        <v>648</v>
      </c>
      <c r="R277" s="9">
        <v>29.7</v>
      </c>
      <c r="S277" s="9">
        <v>34.1</v>
      </c>
      <c r="T277" s="9" t="s">
        <v>6730</v>
      </c>
    </row>
    <row r="278" spans="1:20" s="9" customFormat="1" x14ac:dyDescent="0.25">
      <c r="A278" s="9" t="s">
        <v>6731</v>
      </c>
      <c r="B278" s="9">
        <v>277</v>
      </c>
      <c r="C278" s="9">
        <v>1</v>
      </c>
      <c r="D278" s="9" t="s">
        <v>133</v>
      </c>
      <c r="H278" s="9" t="s">
        <v>5894</v>
      </c>
      <c r="J278" s="9" t="s">
        <v>6732</v>
      </c>
      <c r="K278" s="9">
        <v>28</v>
      </c>
      <c r="L278" s="9" t="s">
        <v>5885</v>
      </c>
      <c r="M278" s="9" t="s">
        <v>2407</v>
      </c>
      <c r="N278" s="9" t="s">
        <v>2423</v>
      </c>
      <c r="O278" s="9">
        <v>1</v>
      </c>
      <c r="P278" s="9">
        <v>561</v>
      </c>
      <c r="Q278" s="9">
        <v>437</v>
      </c>
      <c r="R278" s="9">
        <v>29.6</v>
      </c>
      <c r="S278" s="9">
        <v>23.3</v>
      </c>
      <c r="T278" s="9" t="s">
        <v>6733</v>
      </c>
    </row>
    <row r="279" spans="1:20" s="9" customFormat="1" x14ac:dyDescent="0.25">
      <c r="A279" s="9" t="s">
        <v>6734</v>
      </c>
      <c r="B279" s="9">
        <v>278</v>
      </c>
      <c r="C279" s="9">
        <v>1</v>
      </c>
      <c r="D279" s="9" t="s">
        <v>133</v>
      </c>
      <c r="H279" s="9" t="s">
        <v>5894</v>
      </c>
      <c r="J279" s="9" t="s">
        <v>6735</v>
      </c>
      <c r="K279" s="9">
        <v>29</v>
      </c>
      <c r="L279" s="9" t="s">
        <v>5885</v>
      </c>
      <c r="M279" s="9" t="s">
        <v>2407</v>
      </c>
      <c r="N279" s="9" t="s">
        <v>2434</v>
      </c>
      <c r="O279" s="9">
        <v>1</v>
      </c>
      <c r="P279" s="9">
        <v>313</v>
      </c>
      <c r="Q279" s="9">
        <v>158</v>
      </c>
      <c r="R279" s="9">
        <v>16.899999999999999</v>
      </c>
      <c r="S279" s="9">
        <v>9.1999999999999993</v>
      </c>
      <c r="T279" s="9" t="s">
        <v>6736</v>
      </c>
    </row>
    <row r="280" spans="1:20" s="9" customFormat="1" x14ac:dyDescent="0.25">
      <c r="A280" s="9" t="s">
        <v>6737</v>
      </c>
      <c r="B280" s="9">
        <v>279</v>
      </c>
      <c r="C280" s="9">
        <v>1</v>
      </c>
      <c r="D280" s="9" t="s">
        <v>133</v>
      </c>
      <c r="H280" s="9" t="s">
        <v>5894</v>
      </c>
      <c r="J280" s="9" t="s">
        <v>6738</v>
      </c>
      <c r="K280" s="9">
        <v>30</v>
      </c>
      <c r="L280" s="9" t="s">
        <v>5885</v>
      </c>
      <c r="M280" s="9" t="s">
        <v>2407</v>
      </c>
      <c r="N280" s="9" t="s">
        <v>2429</v>
      </c>
      <c r="O280" s="9">
        <v>1</v>
      </c>
      <c r="P280" s="9">
        <v>359</v>
      </c>
      <c r="Q280" s="9">
        <v>311</v>
      </c>
      <c r="R280" s="9">
        <v>19.3</v>
      </c>
      <c r="S280" s="9">
        <v>16.8</v>
      </c>
      <c r="T280" s="9" t="s">
        <v>6739</v>
      </c>
    </row>
    <row r="281" spans="1:20" s="9" customFormat="1" x14ac:dyDescent="0.25">
      <c r="A281" s="9" t="s">
        <v>6740</v>
      </c>
      <c r="B281" s="9">
        <v>280</v>
      </c>
      <c r="C281" s="9">
        <v>1</v>
      </c>
      <c r="D281" s="9" t="s">
        <v>133</v>
      </c>
      <c r="H281" s="9" t="s">
        <v>5894</v>
      </c>
      <c r="J281" s="9" t="s">
        <v>6741</v>
      </c>
      <c r="K281" s="9">
        <v>31</v>
      </c>
      <c r="M281" s="9" t="s">
        <v>2407</v>
      </c>
      <c r="N281" s="9" t="s">
        <v>2432</v>
      </c>
      <c r="O281" s="9">
        <v>0</v>
      </c>
      <c r="P281" s="9">
        <v>550</v>
      </c>
      <c r="Q281" s="9">
        <v>149</v>
      </c>
      <c r="R281" s="9">
        <v>29.1</v>
      </c>
      <c r="S281" s="9">
        <v>8.6</v>
      </c>
      <c r="T281" s="9" t="s">
        <v>6742</v>
      </c>
    </row>
    <row r="282" spans="1:20" s="9" customFormat="1" x14ac:dyDescent="0.25">
      <c r="A282" s="9" t="s">
        <v>6743</v>
      </c>
      <c r="B282" s="9">
        <v>281</v>
      </c>
      <c r="C282" s="9">
        <v>1</v>
      </c>
      <c r="D282" s="9" t="s">
        <v>133</v>
      </c>
      <c r="H282" s="9" t="s">
        <v>5894</v>
      </c>
      <c r="J282" s="9" t="s">
        <v>6744</v>
      </c>
      <c r="K282" s="9">
        <v>32</v>
      </c>
      <c r="L282" s="9" t="s">
        <v>5885</v>
      </c>
      <c r="M282" s="9" t="s">
        <v>2518</v>
      </c>
      <c r="N282" s="9" t="s">
        <v>5821</v>
      </c>
      <c r="O282" s="9">
        <v>1</v>
      </c>
      <c r="P282" s="9">
        <v>627</v>
      </c>
      <c r="Q282" s="9">
        <v>555</v>
      </c>
      <c r="R282" s="9">
        <v>33</v>
      </c>
      <c r="S282" s="9">
        <v>29.3</v>
      </c>
      <c r="T282" s="9" t="s">
        <v>6745</v>
      </c>
    </row>
    <row r="283" spans="1:20" s="9" customFormat="1" x14ac:dyDescent="0.25">
      <c r="A283" s="9" t="s">
        <v>6746</v>
      </c>
      <c r="B283" s="9">
        <v>282</v>
      </c>
      <c r="C283" s="9">
        <v>1</v>
      </c>
      <c r="D283" s="9" t="s">
        <v>133</v>
      </c>
      <c r="H283" s="9" t="s">
        <v>5894</v>
      </c>
      <c r="J283" s="9" t="s">
        <v>6747</v>
      </c>
      <c r="K283" s="9">
        <v>33</v>
      </c>
      <c r="L283" s="9" t="s">
        <v>5885</v>
      </c>
      <c r="M283" s="9" t="s">
        <v>2518</v>
      </c>
      <c r="N283" s="9" t="s">
        <v>2526</v>
      </c>
      <c r="O283" s="9">
        <v>1</v>
      </c>
      <c r="P283" s="9">
        <v>180</v>
      </c>
      <c r="Q283" s="9">
        <v>246</v>
      </c>
      <c r="R283" s="9">
        <v>10.1</v>
      </c>
      <c r="S283" s="9">
        <v>13.5</v>
      </c>
      <c r="T283" s="9" t="s">
        <v>6748</v>
      </c>
    </row>
    <row r="284" spans="1:20" s="9" customFormat="1" x14ac:dyDescent="0.25">
      <c r="A284" s="9" t="s">
        <v>6749</v>
      </c>
      <c r="B284" s="9">
        <v>283</v>
      </c>
      <c r="C284" s="9">
        <v>1</v>
      </c>
      <c r="D284" s="9" t="s">
        <v>133</v>
      </c>
      <c r="H284" s="9" t="s">
        <v>5894</v>
      </c>
      <c r="J284" s="9" t="s">
        <v>6750</v>
      </c>
      <c r="K284" s="9">
        <v>34</v>
      </c>
      <c r="L284" s="9" t="s">
        <v>5885</v>
      </c>
      <c r="M284" s="9" t="s">
        <v>2518</v>
      </c>
      <c r="N284" s="9" t="s">
        <v>2538</v>
      </c>
      <c r="O284" s="9">
        <v>1</v>
      </c>
      <c r="P284" s="9">
        <v>601</v>
      </c>
      <c r="Q284" s="9">
        <v>289</v>
      </c>
      <c r="R284" s="9">
        <v>31.7</v>
      </c>
      <c r="S284" s="9">
        <v>15.7</v>
      </c>
      <c r="T284" s="9" t="s">
        <v>6751</v>
      </c>
    </row>
    <row r="285" spans="1:20" s="9" customFormat="1" x14ac:dyDescent="0.25">
      <c r="A285" s="9" t="s">
        <v>6752</v>
      </c>
      <c r="B285" s="9">
        <v>284</v>
      </c>
      <c r="C285" s="9">
        <v>1</v>
      </c>
      <c r="D285" s="9" t="s">
        <v>133</v>
      </c>
      <c r="H285" s="9" t="s">
        <v>5894</v>
      </c>
      <c r="J285" s="9" t="s">
        <v>6753</v>
      </c>
      <c r="K285" s="9">
        <v>35</v>
      </c>
      <c r="L285" s="9" t="s">
        <v>5885</v>
      </c>
      <c r="M285" s="9" t="s">
        <v>2518</v>
      </c>
      <c r="N285" s="9" t="s">
        <v>2529</v>
      </c>
      <c r="O285" s="9">
        <v>1</v>
      </c>
      <c r="P285" s="9">
        <v>272</v>
      </c>
      <c r="Q285" s="9">
        <v>124</v>
      </c>
      <c r="R285" s="9">
        <v>14.9</v>
      </c>
      <c r="S285" s="9">
        <v>7.2</v>
      </c>
      <c r="T285" s="9" t="s">
        <v>6754</v>
      </c>
    </row>
    <row r="286" spans="1:20" s="9" customFormat="1" x14ac:dyDescent="0.25">
      <c r="A286" s="9" t="s">
        <v>6755</v>
      </c>
      <c r="B286" s="9">
        <v>285</v>
      </c>
      <c r="C286" s="9">
        <v>1</v>
      </c>
      <c r="D286" s="9" t="s">
        <v>133</v>
      </c>
      <c r="H286" s="9" t="s">
        <v>5894</v>
      </c>
      <c r="J286" s="9" t="s">
        <v>6756</v>
      </c>
      <c r="K286" s="9">
        <v>36</v>
      </c>
      <c r="L286" s="9" t="s">
        <v>5885</v>
      </c>
      <c r="M286" s="9" t="s">
        <v>2518</v>
      </c>
      <c r="N286" s="9" t="s">
        <v>3512</v>
      </c>
      <c r="O286" s="9">
        <v>1</v>
      </c>
      <c r="P286" s="9">
        <v>461</v>
      </c>
      <c r="Q286" s="9">
        <v>424</v>
      </c>
      <c r="R286" s="9">
        <v>24.5</v>
      </c>
      <c r="S286" s="9">
        <v>22.8</v>
      </c>
      <c r="T286" s="9" t="s">
        <v>6757</v>
      </c>
    </row>
    <row r="287" spans="1:20" s="9" customFormat="1" x14ac:dyDescent="0.25">
      <c r="A287" s="9" t="s">
        <v>6758</v>
      </c>
      <c r="B287" s="9">
        <v>286</v>
      </c>
      <c r="C287" s="9">
        <v>1</v>
      </c>
      <c r="D287" s="9" t="s">
        <v>133</v>
      </c>
      <c r="H287" s="9" t="s">
        <v>5894</v>
      </c>
      <c r="J287" s="9" t="s">
        <v>6759</v>
      </c>
      <c r="K287" s="9">
        <v>37</v>
      </c>
      <c r="L287" s="9" t="s">
        <v>5885</v>
      </c>
      <c r="M287" s="9" t="s">
        <v>2443</v>
      </c>
      <c r="N287" s="9" t="s">
        <v>2464</v>
      </c>
      <c r="O287" s="9">
        <v>1</v>
      </c>
      <c r="P287" s="9">
        <v>204</v>
      </c>
      <c r="Q287" s="9">
        <v>411</v>
      </c>
      <c r="R287" s="9">
        <v>11.3</v>
      </c>
      <c r="S287" s="9">
        <v>22</v>
      </c>
      <c r="T287" s="9" t="s">
        <v>6760</v>
      </c>
    </row>
    <row r="288" spans="1:20" s="9" customFormat="1" x14ac:dyDescent="0.25">
      <c r="A288" s="9" t="s">
        <v>6761</v>
      </c>
      <c r="B288" s="9">
        <v>287</v>
      </c>
      <c r="C288" s="9">
        <v>1</v>
      </c>
      <c r="D288" s="9" t="s">
        <v>133</v>
      </c>
      <c r="H288" s="9" t="s">
        <v>5894</v>
      </c>
      <c r="J288" s="9" t="s">
        <v>6762</v>
      </c>
      <c r="K288" s="9">
        <v>38</v>
      </c>
      <c r="L288" s="9" t="s">
        <v>5885</v>
      </c>
      <c r="M288" s="9" t="s">
        <v>2443</v>
      </c>
      <c r="N288" s="9" t="s">
        <v>2477</v>
      </c>
      <c r="O288" s="9">
        <v>1</v>
      </c>
      <c r="P288" s="9">
        <v>125</v>
      </c>
      <c r="Q288" s="9">
        <v>100</v>
      </c>
      <c r="R288" s="9">
        <v>7.3</v>
      </c>
      <c r="S288" s="9">
        <v>6.1</v>
      </c>
      <c r="T288" s="9" t="s">
        <v>10725</v>
      </c>
    </row>
    <row r="289" spans="1:20" s="9" customFormat="1" x14ac:dyDescent="0.25">
      <c r="A289" s="9" t="s">
        <v>6763</v>
      </c>
      <c r="B289" s="9">
        <v>288</v>
      </c>
      <c r="C289" s="9">
        <v>1</v>
      </c>
      <c r="D289" s="9" t="s">
        <v>133</v>
      </c>
      <c r="H289" s="9" t="s">
        <v>5894</v>
      </c>
      <c r="J289" s="9" t="s">
        <v>6764</v>
      </c>
      <c r="K289" s="9">
        <v>39</v>
      </c>
      <c r="M289" s="9" t="s">
        <v>2443</v>
      </c>
      <c r="N289" s="9" t="s">
        <v>2479</v>
      </c>
      <c r="O289" s="9">
        <v>0</v>
      </c>
      <c r="P289" s="9">
        <v>683</v>
      </c>
      <c r="Q289" s="9">
        <v>165</v>
      </c>
      <c r="R289" s="9">
        <v>35.9</v>
      </c>
      <c r="S289" s="9">
        <v>9.3000000000000007</v>
      </c>
      <c r="T289" s="9" t="s">
        <v>10726</v>
      </c>
    </row>
    <row r="290" spans="1:20" s="9" customFormat="1" x14ac:dyDescent="0.25">
      <c r="A290" s="9" t="s">
        <v>6765</v>
      </c>
      <c r="B290" s="9">
        <v>289</v>
      </c>
      <c r="C290" s="9">
        <v>1</v>
      </c>
      <c r="D290" s="9" t="s">
        <v>133</v>
      </c>
      <c r="H290" s="9" t="s">
        <v>5894</v>
      </c>
      <c r="J290" s="9" t="s">
        <v>6766</v>
      </c>
      <c r="K290" s="9">
        <v>40</v>
      </c>
      <c r="M290" s="9" t="s">
        <v>2443</v>
      </c>
      <c r="N290" s="9" t="s">
        <v>2461</v>
      </c>
      <c r="O290" s="9">
        <v>0</v>
      </c>
      <c r="P290" s="9">
        <v>648</v>
      </c>
      <c r="Q290" s="9">
        <v>557</v>
      </c>
      <c r="R290" s="9">
        <v>34.299999999999997</v>
      </c>
      <c r="S290" s="9">
        <v>29.4</v>
      </c>
      <c r="T290" s="9" t="s">
        <v>6767</v>
      </c>
    </row>
    <row r="291" spans="1:20" s="9" customFormat="1" x14ac:dyDescent="0.25">
      <c r="A291" s="9" t="s">
        <v>6768</v>
      </c>
      <c r="B291" s="9">
        <v>290</v>
      </c>
      <c r="C291" s="9">
        <v>1</v>
      </c>
      <c r="D291" s="9" t="s">
        <v>133</v>
      </c>
      <c r="H291" s="9" t="s">
        <v>5894</v>
      </c>
      <c r="J291" s="9" t="s">
        <v>6769</v>
      </c>
      <c r="K291" s="9">
        <v>41</v>
      </c>
      <c r="L291" s="9" t="s">
        <v>5885</v>
      </c>
      <c r="M291" s="9" t="s">
        <v>2443</v>
      </c>
      <c r="N291" s="9" t="s">
        <v>2445</v>
      </c>
      <c r="O291" s="9">
        <v>1</v>
      </c>
      <c r="P291" s="9">
        <v>246</v>
      </c>
      <c r="Q291" s="9">
        <v>616</v>
      </c>
      <c r="R291" s="9">
        <v>13.5</v>
      </c>
      <c r="S291" s="9">
        <v>32.6</v>
      </c>
      <c r="T291" s="9" t="s">
        <v>6770</v>
      </c>
    </row>
    <row r="292" spans="1:20" s="9" customFormat="1" x14ac:dyDescent="0.25">
      <c r="A292" s="9" t="s">
        <v>6771</v>
      </c>
      <c r="B292" s="9">
        <v>291</v>
      </c>
      <c r="C292" s="9">
        <v>1</v>
      </c>
      <c r="D292" s="9" t="s">
        <v>133</v>
      </c>
      <c r="H292" s="9" t="s">
        <v>5894</v>
      </c>
      <c r="J292" s="9" t="s">
        <v>6772</v>
      </c>
      <c r="K292" s="9">
        <v>42</v>
      </c>
      <c r="M292" s="9" t="s">
        <v>2481</v>
      </c>
      <c r="N292" s="9" t="s">
        <v>2511</v>
      </c>
      <c r="O292" s="9">
        <v>0</v>
      </c>
      <c r="P292" s="9">
        <v>620</v>
      </c>
      <c r="Q292" s="9">
        <v>566</v>
      </c>
      <c r="R292" s="9">
        <v>32.6</v>
      </c>
      <c r="S292" s="9">
        <v>29.9</v>
      </c>
      <c r="T292" s="9" t="s">
        <v>6773</v>
      </c>
    </row>
    <row r="293" spans="1:20" s="9" customFormat="1" x14ac:dyDescent="0.25">
      <c r="A293" s="9" t="s">
        <v>6774</v>
      </c>
      <c r="B293" s="9">
        <v>292</v>
      </c>
      <c r="C293" s="9">
        <v>1</v>
      </c>
      <c r="D293" s="9" t="s">
        <v>133</v>
      </c>
      <c r="H293" s="9" t="s">
        <v>5894</v>
      </c>
      <c r="J293" s="9" t="s">
        <v>6775</v>
      </c>
      <c r="K293" s="9">
        <v>43</v>
      </c>
      <c r="L293" s="9" t="s">
        <v>5885</v>
      </c>
      <c r="M293" s="9" t="s">
        <v>2481</v>
      </c>
      <c r="N293" s="9" t="s">
        <v>2500</v>
      </c>
      <c r="O293" s="9">
        <v>1</v>
      </c>
      <c r="P293" s="9">
        <v>637</v>
      </c>
      <c r="Q293" s="9">
        <v>506</v>
      </c>
      <c r="R293" s="9">
        <v>33.6</v>
      </c>
      <c r="S293" s="9">
        <v>26.8</v>
      </c>
      <c r="T293" s="9" t="s">
        <v>6776</v>
      </c>
    </row>
    <row r="294" spans="1:20" s="9" customFormat="1" x14ac:dyDescent="0.25">
      <c r="A294" s="9" t="s">
        <v>6777</v>
      </c>
      <c r="B294" s="9">
        <v>293</v>
      </c>
      <c r="C294" s="9">
        <v>1</v>
      </c>
      <c r="D294" s="9" t="s">
        <v>133</v>
      </c>
      <c r="H294" s="9" t="s">
        <v>5894</v>
      </c>
      <c r="J294" s="9" t="s">
        <v>6778</v>
      </c>
      <c r="K294" s="9">
        <v>44</v>
      </c>
      <c r="M294" s="9" t="s">
        <v>2481</v>
      </c>
      <c r="N294" s="9" t="s">
        <v>2491</v>
      </c>
      <c r="O294" s="9">
        <v>0</v>
      </c>
      <c r="P294" s="9">
        <v>348</v>
      </c>
      <c r="Q294" s="9">
        <v>252</v>
      </c>
      <c r="R294" s="9">
        <v>18.7</v>
      </c>
      <c r="S294" s="9">
        <v>13.7</v>
      </c>
      <c r="T294" s="9" t="s">
        <v>6779</v>
      </c>
    </row>
    <row r="295" spans="1:20" s="9" customFormat="1" x14ac:dyDescent="0.25">
      <c r="A295" s="9" t="s">
        <v>6780</v>
      </c>
      <c r="B295" s="9">
        <v>294</v>
      </c>
      <c r="C295" s="9">
        <v>1</v>
      </c>
      <c r="D295" s="9" t="s">
        <v>133</v>
      </c>
      <c r="H295" s="9" t="s">
        <v>5894</v>
      </c>
      <c r="J295" s="9" t="s">
        <v>6781</v>
      </c>
      <c r="K295" s="9">
        <v>45</v>
      </c>
      <c r="M295" s="9" t="s">
        <v>2481</v>
      </c>
      <c r="N295" s="9" t="s">
        <v>2482</v>
      </c>
      <c r="O295" s="9">
        <v>0</v>
      </c>
      <c r="P295" s="9">
        <v>156</v>
      </c>
      <c r="Q295" s="9">
        <v>333</v>
      </c>
      <c r="R295" s="9">
        <v>8.9</v>
      </c>
      <c r="S295" s="9">
        <v>18.100000000000001</v>
      </c>
      <c r="T295" s="9" t="s">
        <v>10727</v>
      </c>
    </row>
    <row r="296" spans="1:20" s="10" customFormat="1" x14ac:dyDescent="0.25">
      <c r="A296" s="10" t="s">
        <v>6782</v>
      </c>
      <c r="B296" s="10">
        <v>295</v>
      </c>
      <c r="C296" s="10">
        <v>1</v>
      </c>
      <c r="D296" s="10" t="s">
        <v>133</v>
      </c>
      <c r="H296" s="10" t="s">
        <v>5894</v>
      </c>
      <c r="J296" s="10" t="s">
        <v>6305</v>
      </c>
      <c r="K296" s="10">
        <v>46</v>
      </c>
      <c r="L296" s="9" t="s">
        <v>5885</v>
      </c>
      <c r="M296" s="10" t="s">
        <v>2481</v>
      </c>
      <c r="N296" s="10" t="s">
        <v>5818</v>
      </c>
      <c r="O296" s="10">
        <v>1</v>
      </c>
      <c r="P296" s="10">
        <v>434</v>
      </c>
      <c r="Q296" s="10">
        <v>515</v>
      </c>
      <c r="R296" s="10">
        <v>23</v>
      </c>
      <c r="S296" s="10">
        <v>27.2</v>
      </c>
      <c r="T296" s="10" t="s">
        <v>6783</v>
      </c>
    </row>
    <row r="297" spans="1:20" s="9" customFormat="1" x14ac:dyDescent="0.25">
      <c r="A297" s="9" t="s">
        <v>6784</v>
      </c>
      <c r="B297" s="9">
        <v>296</v>
      </c>
      <c r="C297" s="9">
        <v>1</v>
      </c>
      <c r="D297" s="9" t="s">
        <v>215</v>
      </c>
      <c r="H297" s="9" t="s">
        <v>5894</v>
      </c>
      <c r="J297" s="9" t="s">
        <v>6786</v>
      </c>
      <c r="K297" s="9">
        <v>1</v>
      </c>
      <c r="M297" s="9" t="s">
        <v>2543</v>
      </c>
      <c r="N297" s="9" t="s">
        <v>6785</v>
      </c>
      <c r="O297" s="9">
        <v>0</v>
      </c>
      <c r="P297" s="9">
        <v>395</v>
      </c>
      <c r="Q297" s="9">
        <v>463</v>
      </c>
      <c r="R297" s="9">
        <v>12.1</v>
      </c>
      <c r="S297" s="9">
        <v>14</v>
      </c>
      <c r="T297" s="9" t="s">
        <v>10674</v>
      </c>
    </row>
    <row r="298" spans="1:20" s="9" customFormat="1" x14ac:dyDescent="0.25">
      <c r="A298" s="9" t="s">
        <v>6787</v>
      </c>
      <c r="B298" s="9">
        <v>297</v>
      </c>
      <c r="C298" s="9">
        <v>1</v>
      </c>
      <c r="D298" s="9" t="s">
        <v>215</v>
      </c>
      <c r="H298" s="9" t="s">
        <v>5894</v>
      </c>
      <c r="J298" s="9" t="s">
        <v>6789</v>
      </c>
      <c r="K298" s="9">
        <v>2</v>
      </c>
      <c r="M298" s="9" t="s">
        <v>2543</v>
      </c>
      <c r="N298" s="9" t="s">
        <v>6788</v>
      </c>
      <c r="O298" s="9">
        <v>0</v>
      </c>
      <c r="P298" s="9">
        <v>245</v>
      </c>
      <c r="Q298" s="9">
        <v>345</v>
      </c>
      <c r="R298" s="9">
        <v>7.9</v>
      </c>
      <c r="S298" s="9">
        <v>10.7</v>
      </c>
      <c r="T298" s="9" t="s">
        <v>10675</v>
      </c>
    </row>
    <row r="299" spans="1:20" s="9" customFormat="1" x14ac:dyDescent="0.25">
      <c r="A299" s="9" t="s">
        <v>6790</v>
      </c>
      <c r="B299" s="9">
        <v>298</v>
      </c>
      <c r="C299" s="9">
        <v>1</v>
      </c>
      <c r="D299" s="9" t="s">
        <v>215</v>
      </c>
      <c r="H299" s="9" t="s">
        <v>5894</v>
      </c>
      <c r="J299" s="9" t="s">
        <v>6792</v>
      </c>
      <c r="K299" s="9">
        <v>3</v>
      </c>
      <c r="M299" s="9" t="s">
        <v>2543</v>
      </c>
      <c r="N299" s="9" t="s">
        <v>6791</v>
      </c>
      <c r="O299" s="9">
        <v>0</v>
      </c>
      <c r="P299" s="9">
        <v>481</v>
      </c>
      <c r="Q299" s="9">
        <v>500</v>
      </c>
      <c r="R299" s="9">
        <v>14.7</v>
      </c>
      <c r="S299" s="9">
        <v>15.1</v>
      </c>
      <c r="T299" s="9" t="s">
        <v>10676</v>
      </c>
    </row>
    <row r="300" spans="1:20" s="9" customFormat="1" x14ac:dyDescent="0.25">
      <c r="A300" s="9" t="s">
        <v>6793</v>
      </c>
      <c r="B300" s="9">
        <v>299</v>
      </c>
      <c r="C300" s="9">
        <v>1</v>
      </c>
      <c r="D300" s="9" t="s">
        <v>215</v>
      </c>
      <c r="H300" s="9" t="s">
        <v>5894</v>
      </c>
      <c r="J300" s="9" t="s">
        <v>6795</v>
      </c>
      <c r="K300" s="9">
        <v>4</v>
      </c>
      <c r="M300" s="9" t="s">
        <v>2543</v>
      </c>
      <c r="N300" s="9" t="s">
        <v>6794</v>
      </c>
      <c r="O300" s="9">
        <v>0</v>
      </c>
      <c r="P300" s="9">
        <v>327</v>
      </c>
      <c r="Q300" s="9">
        <v>740</v>
      </c>
      <c r="R300" s="9">
        <v>10.199999999999999</v>
      </c>
      <c r="S300" s="9">
        <v>22</v>
      </c>
      <c r="T300" s="9" t="s">
        <v>10677</v>
      </c>
    </row>
    <row r="301" spans="1:20" s="9" customFormat="1" x14ac:dyDescent="0.25">
      <c r="A301" s="9" t="s">
        <v>6796</v>
      </c>
      <c r="B301" s="9">
        <v>300</v>
      </c>
      <c r="C301" s="9">
        <v>1</v>
      </c>
      <c r="D301" s="9" t="s">
        <v>215</v>
      </c>
      <c r="H301" s="9" t="s">
        <v>5894</v>
      </c>
      <c r="J301" s="9" t="s">
        <v>6798</v>
      </c>
      <c r="K301" s="9">
        <v>5</v>
      </c>
      <c r="L301" s="9" t="s">
        <v>10735</v>
      </c>
      <c r="M301" s="9" t="s">
        <v>2543</v>
      </c>
      <c r="N301" s="9" t="s">
        <v>6797</v>
      </c>
      <c r="O301" s="9">
        <v>0</v>
      </c>
      <c r="P301" s="9">
        <v>614</v>
      </c>
      <c r="Q301" s="9">
        <v>77</v>
      </c>
      <c r="R301" s="9">
        <v>18.399999999999999</v>
      </c>
      <c r="S301" s="9">
        <v>3.1</v>
      </c>
      <c r="T301" s="9" t="s">
        <v>10736</v>
      </c>
    </row>
    <row r="302" spans="1:20" s="9" customFormat="1" x14ac:dyDescent="0.25">
      <c r="A302" s="9" t="s">
        <v>6799</v>
      </c>
      <c r="B302" s="9">
        <v>301</v>
      </c>
      <c r="C302" s="9">
        <v>1</v>
      </c>
      <c r="D302" s="9" t="s">
        <v>215</v>
      </c>
      <c r="H302" s="9" t="s">
        <v>5894</v>
      </c>
      <c r="J302" s="9" t="s">
        <v>6800</v>
      </c>
      <c r="K302" s="9">
        <v>6</v>
      </c>
      <c r="M302" s="9" t="s">
        <v>2545</v>
      </c>
      <c r="N302" s="9" t="s">
        <v>2585</v>
      </c>
      <c r="O302" s="9">
        <v>0</v>
      </c>
      <c r="P302" s="9">
        <v>548</v>
      </c>
      <c r="Q302" s="9">
        <v>227</v>
      </c>
      <c r="R302" s="9">
        <v>29</v>
      </c>
      <c r="S302" s="9">
        <v>12.6</v>
      </c>
      <c r="T302" s="9" t="s">
        <v>10678</v>
      </c>
    </row>
    <row r="303" spans="1:20" s="9" customFormat="1" x14ac:dyDescent="0.25">
      <c r="A303" s="9" t="s">
        <v>6801</v>
      </c>
      <c r="B303" s="9">
        <v>302</v>
      </c>
      <c r="C303" s="9">
        <v>1</v>
      </c>
      <c r="D303" s="9" t="s">
        <v>215</v>
      </c>
      <c r="H303" s="9" t="s">
        <v>5894</v>
      </c>
      <c r="J303" s="9" t="s">
        <v>6802</v>
      </c>
      <c r="K303" s="9">
        <v>7</v>
      </c>
      <c r="M303" s="9" t="s">
        <v>2545</v>
      </c>
      <c r="N303" s="9" t="s">
        <v>2556</v>
      </c>
      <c r="O303" s="9">
        <v>0</v>
      </c>
      <c r="P303" s="9">
        <v>264</v>
      </c>
      <c r="Q303" s="9">
        <v>154</v>
      </c>
      <c r="R303" s="9">
        <v>14.4</v>
      </c>
      <c r="S303" s="9">
        <v>8.8000000000000007</v>
      </c>
      <c r="T303" s="9" t="s">
        <v>10679</v>
      </c>
    </row>
    <row r="304" spans="1:20" s="9" customFormat="1" x14ac:dyDescent="0.25">
      <c r="A304" s="9" t="s">
        <v>6803</v>
      </c>
      <c r="B304" s="9">
        <v>303</v>
      </c>
      <c r="C304" s="9">
        <v>1</v>
      </c>
      <c r="D304" s="9" t="s">
        <v>215</v>
      </c>
      <c r="H304" s="9" t="s">
        <v>5894</v>
      </c>
      <c r="J304" s="9" t="s">
        <v>6804</v>
      </c>
      <c r="K304" s="9">
        <v>8</v>
      </c>
      <c r="M304" s="9" t="s">
        <v>2545</v>
      </c>
      <c r="N304" s="9" t="s">
        <v>2563</v>
      </c>
      <c r="O304" s="9">
        <v>0</v>
      </c>
      <c r="P304" s="9">
        <v>502</v>
      </c>
      <c r="Q304" s="9">
        <v>453</v>
      </c>
      <c r="R304" s="9">
        <v>26.7</v>
      </c>
      <c r="S304" s="9">
        <v>24.2</v>
      </c>
      <c r="T304" s="9" t="s">
        <v>10680</v>
      </c>
    </row>
    <row r="305" spans="1:20" s="9" customFormat="1" x14ac:dyDescent="0.25">
      <c r="A305" s="9" t="s">
        <v>6805</v>
      </c>
      <c r="B305" s="9">
        <v>304</v>
      </c>
      <c r="C305" s="9">
        <v>1</v>
      </c>
      <c r="D305" s="9" t="s">
        <v>215</v>
      </c>
      <c r="H305" s="9" t="s">
        <v>5894</v>
      </c>
      <c r="J305" s="9" t="s">
        <v>6806</v>
      </c>
      <c r="K305" s="9">
        <v>9</v>
      </c>
      <c r="M305" s="9" t="s">
        <v>2545</v>
      </c>
      <c r="N305" s="9" t="s">
        <v>2565</v>
      </c>
      <c r="O305" s="9">
        <v>0</v>
      </c>
      <c r="P305" s="9">
        <v>659</v>
      </c>
      <c r="Q305" s="9">
        <v>474</v>
      </c>
      <c r="R305" s="9">
        <v>34.6</v>
      </c>
      <c r="S305" s="9">
        <v>25.2</v>
      </c>
      <c r="T305" s="9" t="s">
        <v>10681</v>
      </c>
    </row>
    <row r="306" spans="1:20" s="9" customFormat="1" x14ac:dyDescent="0.25">
      <c r="A306" s="9" t="s">
        <v>6807</v>
      </c>
      <c r="B306" s="9">
        <v>305</v>
      </c>
      <c r="C306" s="9">
        <v>1</v>
      </c>
      <c r="D306" s="9" t="s">
        <v>215</v>
      </c>
      <c r="H306" s="9" t="s">
        <v>5894</v>
      </c>
      <c r="J306" s="9" t="s">
        <v>6808</v>
      </c>
      <c r="K306" s="9">
        <v>10</v>
      </c>
      <c r="L306" s="9" t="s">
        <v>5885</v>
      </c>
      <c r="M306" s="9" t="s">
        <v>2545</v>
      </c>
      <c r="N306" s="9" t="s">
        <v>2572</v>
      </c>
      <c r="O306" s="9">
        <v>1</v>
      </c>
      <c r="P306" s="9">
        <v>410</v>
      </c>
      <c r="Q306" s="9">
        <v>669</v>
      </c>
      <c r="R306" s="9">
        <v>21.9</v>
      </c>
      <c r="S306" s="9">
        <v>35.200000000000003</v>
      </c>
      <c r="T306" s="9" t="s">
        <v>10682</v>
      </c>
    </row>
    <row r="307" spans="1:20" s="9" customFormat="1" x14ac:dyDescent="0.25">
      <c r="A307" s="9" t="s">
        <v>6809</v>
      </c>
      <c r="B307" s="9">
        <v>306</v>
      </c>
      <c r="C307" s="9">
        <v>1</v>
      </c>
      <c r="D307" s="9" t="s">
        <v>215</v>
      </c>
      <c r="H307" s="9" t="s">
        <v>5894</v>
      </c>
      <c r="J307" s="9" t="s">
        <v>6810</v>
      </c>
      <c r="K307" s="9">
        <v>11</v>
      </c>
      <c r="L307" s="9" t="s">
        <v>5885</v>
      </c>
      <c r="M307" s="9" t="s">
        <v>2545</v>
      </c>
      <c r="N307" s="9" t="s">
        <v>2577</v>
      </c>
      <c r="O307" s="9">
        <v>1</v>
      </c>
      <c r="P307" s="9">
        <v>157</v>
      </c>
      <c r="Q307" s="9">
        <v>413</v>
      </c>
      <c r="R307" s="9">
        <v>9</v>
      </c>
      <c r="S307" s="9">
        <v>22.2</v>
      </c>
      <c r="T307" s="9" t="s">
        <v>10683</v>
      </c>
    </row>
    <row r="308" spans="1:20" s="9" customFormat="1" x14ac:dyDescent="0.25">
      <c r="A308" s="9" t="s">
        <v>6811</v>
      </c>
      <c r="B308" s="9">
        <v>307</v>
      </c>
      <c r="C308" s="9">
        <v>1</v>
      </c>
      <c r="D308" s="9" t="s">
        <v>215</v>
      </c>
      <c r="H308" s="9" t="s">
        <v>5894</v>
      </c>
      <c r="J308" s="9" t="s">
        <v>6812</v>
      </c>
      <c r="K308" s="9">
        <v>12</v>
      </c>
      <c r="M308" s="9" t="s">
        <v>2597</v>
      </c>
      <c r="N308" s="9" t="s">
        <v>2599</v>
      </c>
      <c r="O308" s="9">
        <v>0</v>
      </c>
      <c r="P308" s="9">
        <v>160</v>
      </c>
      <c r="Q308" s="9">
        <v>214</v>
      </c>
      <c r="R308" s="9">
        <v>9.1</v>
      </c>
      <c r="S308" s="9">
        <v>11.9</v>
      </c>
      <c r="T308" s="9" t="s">
        <v>10684</v>
      </c>
    </row>
    <row r="309" spans="1:20" s="9" customFormat="1" x14ac:dyDescent="0.25">
      <c r="A309" s="9" t="s">
        <v>6813</v>
      </c>
      <c r="B309" s="9">
        <v>308</v>
      </c>
      <c r="C309" s="9">
        <v>1</v>
      </c>
      <c r="D309" s="9" t="s">
        <v>215</v>
      </c>
      <c r="H309" s="9" t="s">
        <v>5894</v>
      </c>
      <c r="J309" s="9" t="s">
        <v>6814</v>
      </c>
      <c r="K309" s="9">
        <v>13</v>
      </c>
      <c r="M309" s="9" t="s">
        <v>2597</v>
      </c>
      <c r="N309" s="9" t="s">
        <v>2605</v>
      </c>
      <c r="O309" s="9">
        <v>0</v>
      </c>
      <c r="P309" s="9">
        <v>337</v>
      </c>
      <c r="Q309" s="9">
        <v>385</v>
      </c>
      <c r="R309" s="9">
        <v>18.2</v>
      </c>
      <c r="S309" s="9">
        <v>20.7</v>
      </c>
      <c r="T309" s="9" t="s">
        <v>10685</v>
      </c>
    </row>
    <row r="310" spans="1:20" s="9" customFormat="1" x14ac:dyDescent="0.25">
      <c r="A310" s="9" t="s">
        <v>6815</v>
      </c>
      <c r="B310" s="9">
        <v>309</v>
      </c>
      <c r="C310" s="9">
        <v>1</v>
      </c>
      <c r="D310" s="9" t="s">
        <v>215</v>
      </c>
      <c r="H310" s="9" t="s">
        <v>5894</v>
      </c>
      <c r="J310" s="9" t="s">
        <v>6816</v>
      </c>
      <c r="K310" s="9">
        <v>14</v>
      </c>
      <c r="M310" s="9" t="s">
        <v>2597</v>
      </c>
      <c r="N310" s="9" t="s">
        <v>2620</v>
      </c>
      <c r="O310" s="9">
        <v>0</v>
      </c>
      <c r="P310" s="9">
        <v>466</v>
      </c>
      <c r="Q310" s="9">
        <v>354</v>
      </c>
      <c r="R310" s="9">
        <v>24.7</v>
      </c>
      <c r="S310" s="9">
        <v>19.100000000000001</v>
      </c>
      <c r="T310" s="9" t="s">
        <v>10686</v>
      </c>
    </row>
    <row r="311" spans="1:20" s="9" customFormat="1" x14ac:dyDescent="0.25">
      <c r="A311" s="9" t="s">
        <v>6817</v>
      </c>
      <c r="B311" s="9">
        <v>310</v>
      </c>
      <c r="C311" s="9">
        <v>1</v>
      </c>
      <c r="D311" s="9" t="s">
        <v>215</v>
      </c>
      <c r="H311" s="9" t="s">
        <v>5894</v>
      </c>
      <c r="J311" s="9" t="s">
        <v>6818</v>
      </c>
      <c r="K311" s="9">
        <v>15</v>
      </c>
      <c r="M311" s="9" t="s">
        <v>2597</v>
      </c>
      <c r="N311" s="9" t="s">
        <v>2625</v>
      </c>
      <c r="O311" s="9">
        <v>0</v>
      </c>
      <c r="P311" s="9">
        <v>658</v>
      </c>
      <c r="Q311" s="9">
        <v>190</v>
      </c>
      <c r="R311" s="9">
        <v>34.6</v>
      </c>
      <c r="S311" s="9">
        <v>10.9</v>
      </c>
      <c r="T311" s="9" t="s">
        <v>10687</v>
      </c>
    </row>
    <row r="312" spans="1:20" s="9" customFormat="1" x14ac:dyDescent="0.25">
      <c r="A312" s="9" t="s">
        <v>6819</v>
      </c>
      <c r="B312" s="9">
        <v>311</v>
      </c>
      <c r="C312" s="9">
        <v>1</v>
      </c>
      <c r="D312" s="9" t="s">
        <v>215</v>
      </c>
      <c r="H312" s="9" t="s">
        <v>5894</v>
      </c>
      <c r="J312" s="9" t="s">
        <v>6820</v>
      </c>
      <c r="K312" s="9">
        <v>16</v>
      </c>
      <c r="L312" s="9" t="s">
        <v>5885</v>
      </c>
      <c r="M312" s="9" t="s">
        <v>2597</v>
      </c>
      <c r="N312" s="9" t="s">
        <v>2646</v>
      </c>
      <c r="O312" s="9">
        <v>1</v>
      </c>
      <c r="P312" s="9">
        <v>192</v>
      </c>
      <c r="Q312" s="9">
        <v>531</v>
      </c>
      <c r="R312" s="9">
        <v>10.7</v>
      </c>
      <c r="S312" s="9">
        <v>28</v>
      </c>
      <c r="T312" s="9" t="s">
        <v>10688</v>
      </c>
    </row>
    <row r="313" spans="1:20" s="9" customFormat="1" x14ac:dyDescent="0.25">
      <c r="A313" s="9" t="s">
        <v>6821</v>
      </c>
      <c r="B313" s="9">
        <v>312</v>
      </c>
      <c r="C313" s="9">
        <v>1</v>
      </c>
      <c r="D313" s="9" t="s">
        <v>215</v>
      </c>
      <c r="H313" s="9" t="s">
        <v>5894</v>
      </c>
      <c r="J313" s="9" t="s">
        <v>6822</v>
      </c>
      <c r="K313" s="9">
        <v>17</v>
      </c>
      <c r="M313" s="9" t="s">
        <v>2597</v>
      </c>
      <c r="N313" s="9" t="s">
        <v>2637</v>
      </c>
      <c r="O313" s="9">
        <v>0</v>
      </c>
      <c r="P313" s="9">
        <v>543</v>
      </c>
      <c r="Q313" s="9">
        <v>543</v>
      </c>
      <c r="R313" s="9">
        <v>28.8</v>
      </c>
      <c r="S313" s="9">
        <v>28.7</v>
      </c>
      <c r="T313" s="9" t="s">
        <v>10689</v>
      </c>
    </row>
    <row r="314" spans="1:20" s="9" customFormat="1" x14ac:dyDescent="0.25">
      <c r="A314" s="9" t="s">
        <v>6823</v>
      </c>
      <c r="B314" s="9">
        <v>313</v>
      </c>
      <c r="C314" s="9">
        <v>1</v>
      </c>
      <c r="D314" s="9" t="s">
        <v>215</v>
      </c>
      <c r="H314" s="9" t="s">
        <v>5894</v>
      </c>
      <c r="J314" s="9" t="s">
        <v>6824</v>
      </c>
      <c r="K314" s="9">
        <v>18</v>
      </c>
      <c r="M314" s="9" t="s">
        <v>2649</v>
      </c>
      <c r="N314" s="9" t="s">
        <v>2663</v>
      </c>
      <c r="O314" s="9">
        <v>0</v>
      </c>
      <c r="P314" s="9">
        <v>205</v>
      </c>
      <c r="Q314" s="9">
        <v>256</v>
      </c>
      <c r="R314" s="9">
        <v>11.5</v>
      </c>
      <c r="S314" s="9">
        <v>14.1</v>
      </c>
      <c r="T314" s="9" t="s">
        <v>10690</v>
      </c>
    </row>
    <row r="315" spans="1:20" s="9" customFormat="1" x14ac:dyDescent="0.25">
      <c r="A315" s="9" t="s">
        <v>6825</v>
      </c>
      <c r="B315" s="9">
        <v>314</v>
      </c>
      <c r="C315" s="9">
        <v>1</v>
      </c>
      <c r="D315" s="9" t="s">
        <v>215</v>
      </c>
      <c r="H315" s="9" t="s">
        <v>5894</v>
      </c>
      <c r="J315" s="9" t="s">
        <v>6826</v>
      </c>
      <c r="K315" s="9">
        <v>19</v>
      </c>
      <c r="L315" s="9" t="s">
        <v>10732</v>
      </c>
      <c r="M315" s="9" t="s">
        <v>2649</v>
      </c>
      <c r="N315" s="9" t="s">
        <v>2667</v>
      </c>
      <c r="O315" s="9">
        <v>0</v>
      </c>
      <c r="P315" s="9">
        <v>629</v>
      </c>
      <c r="Q315" s="9">
        <v>110</v>
      </c>
      <c r="R315" s="9">
        <v>32.9</v>
      </c>
      <c r="S315" s="9">
        <v>6.5</v>
      </c>
      <c r="T315" s="9" t="s">
        <v>10734</v>
      </c>
    </row>
    <row r="316" spans="1:20" s="9" customFormat="1" x14ac:dyDescent="0.25">
      <c r="A316" s="9" t="s">
        <v>6827</v>
      </c>
      <c r="B316" s="9">
        <v>315</v>
      </c>
      <c r="C316" s="9">
        <v>1</v>
      </c>
      <c r="D316" s="9" t="s">
        <v>215</v>
      </c>
      <c r="H316" s="9" t="s">
        <v>5894</v>
      </c>
      <c r="J316" s="9" t="s">
        <v>6828</v>
      </c>
      <c r="K316" s="9">
        <v>20</v>
      </c>
      <c r="M316" s="9" t="s">
        <v>2649</v>
      </c>
      <c r="N316" s="9" t="s">
        <v>2666</v>
      </c>
      <c r="O316" s="9">
        <v>0</v>
      </c>
      <c r="P316" s="9">
        <v>558</v>
      </c>
      <c r="Q316" s="9">
        <v>279</v>
      </c>
      <c r="R316" s="9">
        <v>29.5</v>
      </c>
      <c r="S316" s="9">
        <v>15.2</v>
      </c>
      <c r="T316" s="9" t="s">
        <v>10691</v>
      </c>
    </row>
    <row r="317" spans="1:20" s="9" customFormat="1" x14ac:dyDescent="0.25">
      <c r="A317" s="9" t="s">
        <v>6829</v>
      </c>
      <c r="B317" s="9">
        <v>316</v>
      </c>
      <c r="C317" s="9">
        <v>1</v>
      </c>
      <c r="D317" s="9" t="s">
        <v>215</v>
      </c>
      <c r="H317" s="9" t="s">
        <v>5894</v>
      </c>
      <c r="J317" s="9" t="s">
        <v>6830</v>
      </c>
      <c r="K317" s="9">
        <v>21</v>
      </c>
      <c r="L317" s="9" t="s">
        <v>5885</v>
      </c>
      <c r="M317" s="9" t="s">
        <v>2649</v>
      </c>
      <c r="N317" s="9" t="s">
        <v>2693</v>
      </c>
      <c r="O317" s="9">
        <v>1</v>
      </c>
      <c r="P317" s="9">
        <v>457</v>
      </c>
      <c r="Q317" s="9">
        <v>442</v>
      </c>
      <c r="R317" s="9">
        <v>24.4</v>
      </c>
      <c r="S317" s="9">
        <v>23.5</v>
      </c>
      <c r="T317" s="9" t="s">
        <v>10692</v>
      </c>
    </row>
    <row r="318" spans="1:20" s="9" customFormat="1" x14ac:dyDescent="0.25">
      <c r="A318" s="9" t="s">
        <v>6831</v>
      </c>
      <c r="B318" s="9">
        <v>317</v>
      </c>
      <c r="C318" s="9">
        <v>1</v>
      </c>
      <c r="D318" s="9" t="s">
        <v>215</v>
      </c>
      <c r="H318" s="9" t="s">
        <v>5894</v>
      </c>
      <c r="J318" s="9" t="s">
        <v>6832</v>
      </c>
      <c r="K318" s="9">
        <v>22</v>
      </c>
      <c r="M318" s="9" t="s">
        <v>2649</v>
      </c>
      <c r="N318" s="9" t="s">
        <v>2682</v>
      </c>
      <c r="O318" s="9">
        <v>0</v>
      </c>
      <c r="P318" s="9">
        <v>364</v>
      </c>
      <c r="Q318" s="9">
        <v>612</v>
      </c>
      <c r="R318" s="9">
        <v>19.5</v>
      </c>
      <c r="S318" s="9">
        <v>32.4</v>
      </c>
      <c r="T318" s="9" t="s">
        <v>10693</v>
      </c>
    </row>
    <row r="319" spans="1:20" s="9" customFormat="1" x14ac:dyDescent="0.25">
      <c r="A319" s="9" t="s">
        <v>6833</v>
      </c>
      <c r="B319" s="9">
        <v>318</v>
      </c>
      <c r="C319" s="9">
        <v>1</v>
      </c>
      <c r="D319" s="9" t="s">
        <v>215</v>
      </c>
      <c r="H319" s="9" t="s">
        <v>5894</v>
      </c>
      <c r="J319" s="9" t="s">
        <v>6834</v>
      </c>
      <c r="K319" s="9">
        <v>23</v>
      </c>
      <c r="M319" s="9" t="s">
        <v>2649</v>
      </c>
      <c r="N319" s="9" t="s">
        <v>2689</v>
      </c>
      <c r="O319" s="9">
        <v>0</v>
      </c>
      <c r="P319" s="9">
        <v>480</v>
      </c>
      <c r="Q319" s="9">
        <v>510</v>
      </c>
      <c r="R319" s="9">
        <v>25.2</v>
      </c>
      <c r="S319" s="9">
        <v>27.2</v>
      </c>
      <c r="T319" s="9" t="s">
        <v>10694</v>
      </c>
    </row>
    <row r="320" spans="1:20" s="9" customFormat="1" x14ac:dyDescent="0.25">
      <c r="A320" s="9" t="s">
        <v>6835</v>
      </c>
      <c r="B320" s="9">
        <v>319</v>
      </c>
      <c r="C320" s="9">
        <v>1</v>
      </c>
      <c r="D320" s="9" t="s">
        <v>215</v>
      </c>
      <c r="H320" s="9" t="s">
        <v>5894</v>
      </c>
      <c r="J320" s="9" t="s">
        <v>6836</v>
      </c>
      <c r="K320" s="9">
        <v>24</v>
      </c>
      <c r="M320" s="9" t="s">
        <v>2713</v>
      </c>
      <c r="N320" s="9" t="s">
        <v>3531</v>
      </c>
      <c r="O320" s="9">
        <v>0</v>
      </c>
      <c r="P320" s="9">
        <v>542</v>
      </c>
      <c r="Q320" s="9">
        <v>563</v>
      </c>
      <c r="R320" s="9">
        <v>28.5</v>
      </c>
      <c r="S320" s="9">
        <v>29.6</v>
      </c>
      <c r="T320" s="9" t="s">
        <v>10695</v>
      </c>
    </row>
    <row r="321" spans="1:20" s="9" customFormat="1" x14ac:dyDescent="0.25">
      <c r="A321" s="9" t="s">
        <v>6837</v>
      </c>
      <c r="B321" s="9">
        <v>320</v>
      </c>
      <c r="C321" s="9">
        <v>1</v>
      </c>
      <c r="D321" s="9" t="s">
        <v>215</v>
      </c>
      <c r="H321" s="9" t="s">
        <v>5894</v>
      </c>
      <c r="J321" s="9" t="s">
        <v>6838</v>
      </c>
      <c r="K321" s="9">
        <v>25</v>
      </c>
      <c r="M321" s="9" t="s">
        <v>2713</v>
      </c>
      <c r="N321" s="9" t="s">
        <v>3535</v>
      </c>
      <c r="O321" s="9">
        <v>0</v>
      </c>
      <c r="P321" s="9">
        <v>522</v>
      </c>
      <c r="Q321" s="9">
        <v>216</v>
      </c>
      <c r="R321" s="9">
        <v>27.6</v>
      </c>
      <c r="S321" s="9">
        <v>11.9</v>
      </c>
      <c r="T321" s="9" t="s">
        <v>10696</v>
      </c>
    </row>
    <row r="322" spans="1:20" s="9" customFormat="1" x14ac:dyDescent="0.25">
      <c r="A322" s="9" t="s">
        <v>6839</v>
      </c>
      <c r="B322" s="9">
        <v>321</v>
      </c>
      <c r="C322" s="9">
        <v>1</v>
      </c>
      <c r="D322" s="9" t="s">
        <v>215</v>
      </c>
      <c r="H322" s="9" t="s">
        <v>5894</v>
      </c>
      <c r="J322" s="9" t="s">
        <v>6840</v>
      </c>
      <c r="K322" s="9">
        <v>26</v>
      </c>
      <c r="L322" s="9" t="s">
        <v>10732</v>
      </c>
      <c r="M322" s="9" t="s">
        <v>2713</v>
      </c>
      <c r="N322" s="9" t="s">
        <v>5841</v>
      </c>
      <c r="O322" s="9">
        <v>0</v>
      </c>
      <c r="P322" s="9">
        <v>621</v>
      </c>
      <c r="Q322" s="9">
        <v>241</v>
      </c>
      <c r="R322" s="9">
        <v>32.4</v>
      </c>
      <c r="S322" s="9">
        <v>13.5</v>
      </c>
      <c r="T322" s="9" t="s">
        <v>10733</v>
      </c>
    </row>
    <row r="323" spans="1:20" s="9" customFormat="1" x14ac:dyDescent="0.25">
      <c r="A323" s="9" t="s">
        <v>6841</v>
      </c>
      <c r="B323" s="9">
        <v>322</v>
      </c>
      <c r="C323" s="9">
        <v>1</v>
      </c>
      <c r="D323" s="9" t="s">
        <v>215</v>
      </c>
      <c r="H323" s="9" t="s">
        <v>5894</v>
      </c>
      <c r="J323" s="9" t="s">
        <v>6842</v>
      </c>
      <c r="K323" s="9">
        <v>27</v>
      </c>
      <c r="M323" s="9" t="s">
        <v>2713</v>
      </c>
      <c r="N323" s="9" t="s">
        <v>5846</v>
      </c>
      <c r="O323" s="9">
        <v>0</v>
      </c>
      <c r="P323" s="9">
        <v>251</v>
      </c>
      <c r="Q323" s="9">
        <v>651</v>
      </c>
      <c r="R323" s="9">
        <v>13.7</v>
      </c>
      <c r="S323" s="9">
        <v>34.299999999999997</v>
      </c>
      <c r="T323" s="9" t="s">
        <v>10697</v>
      </c>
    </row>
    <row r="324" spans="1:20" s="9" customFormat="1" x14ac:dyDescent="0.25">
      <c r="A324" s="9" t="s">
        <v>6843</v>
      </c>
      <c r="B324" s="9">
        <v>323</v>
      </c>
      <c r="C324" s="9">
        <v>1</v>
      </c>
      <c r="D324" s="9" t="s">
        <v>215</v>
      </c>
      <c r="H324" s="9" t="s">
        <v>5894</v>
      </c>
      <c r="J324" s="9" t="s">
        <v>6844</v>
      </c>
      <c r="K324" s="9">
        <v>28</v>
      </c>
      <c r="M324" s="9" t="s">
        <v>2713</v>
      </c>
      <c r="N324" s="9" t="s">
        <v>5852</v>
      </c>
      <c r="O324" s="9">
        <v>0</v>
      </c>
      <c r="P324" s="9">
        <v>186</v>
      </c>
      <c r="Q324" s="9">
        <v>221</v>
      </c>
      <c r="R324" s="9">
        <v>10.199999999999999</v>
      </c>
      <c r="S324" s="9">
        <v>12.3</v>
      </c>
      <c r="T324" s="9" t="s">
        <v>10698</v>
      </c>
    </row>
    <row r="325" spans="1:20" s="9" customFormat="1" x14ac:dyDescent="0.25">
      <c r="A325" s="9" t="s">
        <v>6845</v>
      </c>
      <c r="B325" s="9">
        <v>324</v>
      </c>
      <c r="C325" s="9">
        <v>1</v>
      </c>
      <c r="D325" s="9" t="s">
        <v>215</v>
      </c>
      <c r="H325" s="9" t="s">
        <v>5894</v>
      </c>
      <c r="J325" s="9" t="s">
        <v>6847</v>
      </c>
      <c r="K325" s="9">
        <v>29</v>
      </c>
      <c r="M325" s="9" t="s">
        <v>2711</v>
      </c>
      <c r="N325" s="9" t="s">
        <v>6846</v>
      </c>
      <c r="O325" s="9">
        <v>0</v>
      </c>
      <c r="P325" s="9">
        <v>349</v>
      </c>
      <c r="Q325" s="9">
        <v>161</v>
      </c>
      <c r="R325" s="9">
        <v>10.8</v>
      </c>
      <c r="S325" s="9">
        <v>5.5</v>
      </c>
      <c r="T325" s="9" t="s">
        <v>10699</v>
      </c>
    </row>
    <row r="326" spans="1:20" s="9" customFormat="1" x14ac:dyDescent="0.25">
      <c r="A326" s="9" t="s">
        <v>6848</v>
      </c>
      <c r="B326" s="9">
        <v>325</v>
      </c>
      <c r="C326" s="9">
        <v>1</v>
      </c>
      <c r="D326" s="9" t="s">
        <v>215</v>
      </c>
      <c r="H326" s="9" t="s">
        <v>5894</v>
      </c>
      <c r="J326" s="9" t="s">
        <v>6850</v>
      </c>
      <c r="K326" s="9">
        <v>30</v>
      </c>
      <c r="M326" s="9" t="s">
        <v>2711</v>
      </c>
      <c r="N326" s="9" t="s">
        <v>6849</v>
      </c>
      <c r="O326" s="9">
        <v>0</v>
      </c>
      <c r="P326" s="9">
        <v>107</v>
      </c>
      <c r="Q326" s="9">
        <v>561</v>
      </c>
      <c r="R326" s="9">
        <v>4</v>
      </c>
      <c r="S326" s="9">
        <v>16.899999999999999</v>
      </c>
      <c r="T326" s="9" t="s">
        <v>10700</v>
      </c>
    </row>
    <row r="327" spans="1:20" s="9" customFormat="1" x14ac:dyDescent="0.25">
      <c r="A327" s="9" t="s">
        <v>6851</v>
      </c>
      <c r="B327" s="9">
        <v>326</v>
      </c>
      <c r="C327" s="9">
        <v>1</v>
      </c>
      <c r="D327" s="9" t="s">
        <v>215</v>
      </c>
      <c r="H327" s="9" t="s">
        <v>5894</v>
      </c>
      <c r="J327" s="9" t="s">
        <v>6853</v>
      </c>
      <c r="K327" s="9">
        <v>31</v>
      </c>
      <c r="M327" s="9" t="s">
        <v>2711</v>
      </c>
      <c r="N327" s="9" t="s">
        <v>6852</v>
      </c>
      <c r="O327" s="9">
        <v>0</v>
      </c>
      <c r="P327" s="9">
        <v>162</v>
      </c>
      <c r="Q327" s="9">
        <v>481</v>
      </c>
      <c r="R327" s="9">
        <v>5.5</v>
      </c>
      <c r="S327" s="9">
        <v>14.7</v>
      </c>
      <c r="T327" s="9" t="s">
        <v>10701</v>
      </c>
    </row>
    <row r="328" spans="1:20" s="9" customFormat="1" x14ac:dyDescent="0.25">
      <c r="A328" s="9" t="s">
        <v>6854</v>
      </c>
      <c r="B328" s="9">
        <v>327</v>
      </c>
      <c r="C328" s="9">
        <v>1</v>
      </c>
      <c r="D328" s="9" t="s">
        <v>215</v>
      </c>
      <c r="H328" s="9" t="s">
        <v>5894</v>
      </c>
      <c r="J328" s="9" t="s">
        <v>6856</v>
      </c>
      <c r="K328" s="9">
        <v>32</v>
      </c>
      <c r="M328" s="9" t="s">
        <v>2711</v>
      </c>
      <c r="N328" s="9" t="s">
        <v>6855</v>
      </c>
      <c r="O328" s="9">
        <v>0</v>
      </c>
      <c r="P328" s="9">
        <v>673</v>
      </c>
      <c r="Q328" s="9">
        <v>494</v>
      </c>
      <c r="R328" s="9">
        <v>20.100000000000001</v>
      </c>
      <c r="S328" s="9">
        <v>15</v>
      </c>
      <c r="T328" s="9" t="s">
        <v>10702</v>
      </c>
    </row>
    <row r="329" spans="1:20" s="9" customFormat="1" x14ac:dyDescent="0.25">
      <c r="A329" s="9" t="s">
        <v>6857</v>
      </c>
      <c r="B329" s="9">
        <v>328</v>
      </c>
      <c r="C329" s="9">
        <v>1</v>
      </c>
      <c r="D329" s="9" t="s">
        <v>215</v>
      </c>
      <c r="H329" s="9" t="s">
        <v>5894</v>
      </c>
      <c r="J329" s="9" t="s">
        <v>6859</v>
      </c>
      <c r="K329" s="9">
        <v>33</v>
      </c>
      <c r="M329" s="9" t="s">
        <v>2711</v>
      </c>
      <c r="N329" s="9" t="s">
        <v>6858</v>
      </c>
      <c r="O329" s="9">
        <v>0</v>
      </c>
      <c r="P329" s="9">
        <v>235</v>
      </c>
      <c r="Q329" s="9">
        <v>434</v>
      </c>
      <c r="R329" s="9">
        <v>7.6</v>
      </c>
      <c r="S329" s="9">
        <v>13.3</v>
      </c>
      <c r="T329" s="9" t="s">
        <v>10703</v>
      </c>
    </row>
    <row r="330" spans="1:20" s="9" customFormat="1" x14ac:dyDescent="0.25">
      <c r="A330" s="9" t="s">
        <v>6860</v>
      </c>
      <c r="B330" s="9">
        <v>329</v>
      </c>
      <c r="C330" s="9">
        <v>1</v>
      </c>
      <c r="D330" s="9" t="s">
        <v>215</v>
      </c>
      <c r="H330" s="9" t="s">
        <v>5894</v>
      </c>
      <c r="J330" s="9" t="s">
        <v>6861</v>
      </c>
      <c r="K330" s="9">
        <v>34</v>
      </c>
      <c r="M330" s="9" t="s">
        <v>340</v>
      </c>
      <c r="N330" s="9" t="s">
        <v>2737</v>
      </c>
      <c r="O330" s="9">
        <v>0</v>
      </c>
      <c r="P330" s="9">
        <v>634</v>
      </c>
      <c r="Q330" s="9">
        <v>244</v>
      </c>
      <c r="R330" s="9">
        <v>33.4</v>
      </c>
      <c r="S330" s="9">
        <v>13.5</v>
      </c>
      <c r="T330" s="9" t="s">
        <v>10704</v>
      </c>
    </row>
    <row r="331" spans="1:20" s="9" customFormat="1" x14ac:dyDescent="0.25">
      <c r="A331" s="9" t="s">
        <v>6862</v>
      </c>
      <c r="B331" s="9">
        <v>330</v>
      </c>
      <c r="C331" s="9">
        <v>1</v>
      </c>
      <c r="D331" s="9" t="s">
        <v>215</v>
      </c>
      <c r="H331" s="9" t="s">
        <v>5894</v>
      </c>
      <c r="J331" s="9" t="s">
        <v>6863</v>
      </c>
      <c r="K331" s="9">
        <v>35</v>
      </c>
      <c r="L331" s="9" t="s">
        <v>5885</v>
      </c>
      <c r="M331" s="9" t="s">
        <v>340</v>
      </c>
      <c r="N331" s="9" t="s">
        <v>3539</v>
      </c>
      <c r="O331" s="9">
        <v>1</v>
      </c>
      <c r="P331" s="9">
        <v>374</v>
      </c>
      <c r="Q331" s="9">
        <v>136</v>
      </c>
      <c r="R331" s="9">
        <v>20.100000000000001</v>
      </c>
      <c r="S331" s="9">
        <v>7.9</v>
      </c>
      <c r="T331" s="9" t="s">
        <v>10705</v>
      </c>
    </row>
    <row r="332" spans="1:20" s="9" customFormat="1" x14ac:dyDescent="0.25">
      <c r="A332" s="9" t="s">
        <v>6864</v>
      </c>
      <c r="B332" s="9">
        <v>331</v>
      </c>
      <c r="C332" s="9">
        <v>1</v>
      </c>
      <c r="D332" s="9" t="s">
        <v>215</v>
      </c>
      <c r="H332" s="9" t="s">
        <v>5894</v>
      </c>
      <c r="J332" s="9" t="s">
        <v>6865</v>
      </c>
      <c r="K332" s="9">
        <v>36</v>
      </c>
      <c r="M332" s="9" t="s">
        <v>340</v>
      </c>
      <c r="N332" s="9" t="s">
        <v>2722</v>
      </c>
      <c r="O332" s="9">
        <v>0</v>
      </c>
      <c r="P332" s="9">
        <v>326</v>
      </c>
      <c r="Q332" s="9">
        <v>83</v>
      </c>
      <c r="R332" s="9">
        <v>17.600000000000001</v>
      </c>
      <c r="S332" s="9">
        <v>5.2</v>
      </c>
      <c r="T332" s="9" t="s">
        <v>10706</v>
      </c>
    </row>
    <row r="333" spans="1:20" s="9" customFormat="1" x14ac:dyDescent="0.25">
      <c r="A333" s="9" t="s">
        <v>6866</v>
      </c>
      <c r="B333" s="9">
        <v>332</v>
      </c>
      <c r="C333" s="9">
        <v>1</v>
      </c>
      <c r="D333" s="9" t="s">
        <v>215</v>
      </c>
      <c r="H333" s="9" t="s">
        <v>5894</v>
      </c>
      <c r="J333" s="9" t="s">
        <v>6868</v>
      </c>
      <c r="K333" s="9">
        <v>37</v>
      </c>
      <c r="M333" s="9" t="s">
        <v>340</v>
      </c>
      <c r="N333" s="9" t="s">
        <v>6867</v>
      </c>
      <c r="O333" s="9">
        <v>0</v>
      </c>
      <c r="P333" s="9">
        <v>385</v>
      </c>
      <c r="Q333" s="9">
        <v>471</v>
      </c>
      <c r="R333" s="9">
        <v>20.7</v>
      </c>
      <c r="S333" s="9">
        <v>25</v>
      </c>
      <c r="T333" s="9" t="s">
        <v>10707</v>
      </c>
    </row>
    <row r="334" spans="1:20" s="9" customFormat="1" x14ac:dyDescent="0.25">
      <c r="A334" s="9" t="s">
        <v>6869</v>
      </c>
      <c r="B334" s="9">
        <v>333</v>
      </c>
      <c r="C334" s="9">
        <v>1</v>
      </c>
      <c r="D334" s="9" t="s">
        <v>215</v>
      </c>
      <c r="H334" s="9" t="s">
        <v>5894</v>
      </c>
      <c r="J334" s="9" t="s">
        <v>6870</v>
      </c>
      <c r="K334" s="9">
        <v>38</v>
      </c>
      <c r="M334" s="9" t="s">
        <v>340</v>
      </c>
      <c r="N334" s="9" t="s">
        <v>2744</v>
      </c>
      <c r="O334" s="9">
        <v>0</v>
      </c>
      <c r="P334" s="9">
        <v>477</v>
      </c>
      <c r="Q334" s="9">
        <v>658</v>
      </c>
      <c r="R334" s="9">
        <v>25.4</v>
      </c>
      <c r="S334" s="9">
        <v>34.6</v>
      </c>
      <c r="T334" s="9" t="s">
        <v>10708</v>
      </c>
    </row>
    <row r="335" spans="1:20" s="9" customFormat="1" x14ac:dyDescent="0.25">
      <c r="A335" s="9" t="s">
        <v>6871</v>
      </c>
      <c r="B335" s="9">
        <v>334</v>
      </c>
      <c r="C335" s="9">
        <v>1</v>
      </c>
      <c r="D335" s="9" t="s">
        <v>215</v>
      </c>
      <c r="H335" s="9" t="s">
        <v>5894</v>
      </c>
      <c r="J335" s="9" t="s">
        <v>6872</v>
      </c>
      <c r="K335" s="9">
        <v>39</v>
      </c>
      <c r="M335" s="9" t="s">
        <v>340</v>
      </c>
      <c r="N335" s="9" t="s">
        <v>2741</v>
      </c>
      <c r="O335" s="9">
        <v>0</v>
      </c>
      <c r="P335" s="9">
        <v>165</v>
      </c>
      <c r="Q335" s="9">
        <v>709</v>
      </c>
      <c r="R335" s="9">
        <v>9.4</v>
      </c>
      <c r="S335" s="9">
        <v>37.200000000000003</v>
      </c>
      <c r="T335" s="9" t="s">
        <v>10709</v>
      </c>
    </row>
    <row r="336" spans="1:20" s="9" customFormat="1" x14ac:dyDescent="0.25">
      <c r="A336" s="9" t="s">
        <v>6873</v>
      </c>
      <c r="B336" s="9">
        <v>335</v>
      </c>
      <c r="C336" s="9">
        <v>1</v>
      </c>
      <c r="D336" s="9" t="s">
        <v>215</v>
      </c>
      <c r="H336" s="9" t="s">
        <v>5894</v>
      </c>
      <c r="J336" s="9" t="s">
        <v>6874</v>
      </c>
      <c r="K336" s="9">
        <v>40</v>
      </c>
      <c r="M336" s="9" t="s">
        <v>2749</v>
      </c>
      <c r="N336" s="9" t="s">
        <v>2751</v>
      </c>
      <c r="O336" s="9">
        <v>0</v>
      </c>
      <c r="P336" s="9">
        <v>408</v>
      </c>
      <c r="Q336" s="9">
        <v>688</v>
      </c>
      <c r="R336" s="9">
        <v>21.8</v>
      </c>
      <c r="S336" s="9">
        <v>36</v>
      </c>
      <c r="T336" s="9" t="s">
        <v>10710</v>
      </c>
    </row>
    <row r="337" spans="1:20" s="9" customFormat="1" x14ac:dyDescent="0.25">
      <c r="A337" s="9" t="s">
        <v>6875</v>
      </c>
      <c r="B337" s="9">
        <v>336</v>
      </c>
      <c r="C337" s="9">
        <v>1</v>
      </c>
      <c r="D337" s="9" t="s">
        <v>215</v>
      </c>
      <c r="H337" s="9" t="s">
        <v>5894</v>
      </c>
      <c r="J337" s="9" t="s">
        <v>6876</v>
      </c>
      <c r="K337" s="9">
        <v>41</v>
      </c>
      <c r="M337" s="9" t="s">
        <v>2749</v>
      </c>
      <c r="N337" s="9" t="s">
        <v>2753</v>
      </c>
      <c r="O337" s="9">
        <v>0</v>
      </c>
      <c r="P337" s="9">
        <v>356</v>
      </c>
      <c r="Q337" s="9">
        <v>633</v>
      </c>
      <c r="R337" s="9">
        <v>19.2</v>
      </c>
      <c r="S337" s="9">
        <v>33.4</v>
      </c>
      <c r="T337" s="9" t="s">
        <v>10711</v>
      </c>
    </row>
    <row r="338" spans="1:20" s="9" customFormat="1" x14ac:dyDescent="0.25">
      <c r="A338" s="9" t="s">
        <v>6877</v>
      </c>
      <c r="B338" s="9">
        <v>337</v>
      </c>
      <c r="C338" s="9">
        <v>1</v>
      </c>
      <c r="D338" s="9" t="s">
        <v>215</v>
      </c>
      <c r="H338" s="9" t="s">
        <v>5894</v>
      </c>
      <c r="J338" s="9" t="s">
        <v>6878</v>
      </c>
      <c r="K338" s="9">
        <v>42</v>
      </c>
      <c r="M338" s="9" t="s">
        <v>2749</v>
      </c>
      <c r="N338" s="9" t="s">
        <v>2764</v>
      </c>
      <c r="O338" s="9">
        <v>0</v>
      </c>
      <c r="P338" s="9">
        <v>542</v>
      </c>
      <c r="Q338" s="9">
        <v>552</v>
      </c>
      <c r="R338" s="9">
        <v>28.8</v>
      </c>
      <c r="S338" s="9">
        <v>29.2</v>
      </c>
      <c r="T338" s="9" t="s">
        <v>10712</v>
      </c>
    </row>
    <row r="339" spans="1:20" s="9" customFormat="1" x14ac:dyDescent="0.25">
      <c r="A339" s="9" t="s">
        <v>6879</v>
      </c>
      <c r="B339" s="9">
        <v>338</v>
      </c>
      <c r="C339" s="9">
        <v>1</v>
      </c>
      <c r="D339" s="9" t="s">
        <v>215</v>
      </c>
      <c r="H339" s="9" t="s">
        <v>5894</v>
      </c>
      <c r="J339" s="9" t="s">
        <v>6880</v>
      </c>
      <c r="K339" s="9">
        <v>43</v>
      </c>
      <c r="M339" s="9" t="s">
        <v>2749</v>
      </c>
      <c r="N339" s="9" t="s">
        <v>2792</v>
      </c>
      <c r="O339" s="9">
        <v>0</v>
      </c>
      <c r="P339" s="9">
        <v>105</v>
      </c>
      <c r="Q339" s="9">
        <v>243</v>
      </c>
      <c r="R339" s="9">
        <v>6.4</v>
      </c>
      <c r="S339" s="9">
        <v>13.6</v>
      </c>
      <c r="T339" s="9" t="s">
        <v>10713</v>
      </c>
    </row>
    <row r="340" spans="1:20" s="9" customFormat="1" x14ac:dyDescent="0.25">
      <c r="A340" s="9" t="s">
        <v>6881</v>
      </c>
      <c r="B340" s="9">
        <v>339</v>
      </c>
      <c r="C340" s="9">
        <v>1</v>
      </c>
      <c r="D340" s="9" t="s">
        <v>215</v>
      </c>
      <c r="H340" s="9" t="s">
        <v>5894</v>
      </c>
      <c r="J340" s="9" t="s">
        <v>6882</v>
      </c>
      <c r="K340" s="9">
        <v>44</v>
      </c>
      <c r="M340" s="9" t="s">
        <v>2749</v>
      </c>
      <c r="N340" s="9" t="s">
        <v>2779</v>
      </c>
      <c r="O340" s="9">
        <v>0</v>
      </c>
      <c r="P340" s="9">
        <v>572</v>
      </c>
      <c r="Q340" s="9">
        <v>346</v>
      </c>
      <c r="R340" s="9">
        <v>30.2</v>
      </c>
      <c r="S340" s="9">
        <v>18.7</v>
      </c>
      <c r="T340" s="9" t="s">
        <v>10714</v>
      </c>
    </row>
    <row r="341" spans="1:20" s="9" customFormat="1" x14ac:dyDescent="0.25">
      <c r="A341" s="9" t="s">
        <v>6883</v>
      </c>
      <c r="B341" s="9">
        <v>340</v>
      </c>
      <c r="C341" s="9">
        <v>1</v>
      </c>
      <c r="D341" s="9" t="s">
        <v>215</v>
      </c>
      <c r="H341" s="9" t="s">
        <v>5894</v>
      </c>
      <c r="J341" s="9" t="s">
        <v>6884</v>
      </c>
      <c r="K341" s="9">
        <v>45</v>
      </c>
      <c r="M341" s="9" t="s">
        <v>2749</v>
      </c>
      <c r="N341" s="9" t="s">
        <v>2786</v>
      </c>
      <c r="O341" s="9">
        <v>0</v>
      </c>
      <c r="P341" s="9">
        <v>575</v>
      </c>
      <c r="Q341" s="9">
        <v>127</v>
      </c>
      <c r="R341" s="9">
        <v>30.4</v>
      </c>
      <c r="S341" s="9">
        <v>7.6</v>
      </c>
      <c r="T341" s="9" t="s">
        <v>10715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A80E-3902-44B5-8C09-FCAB751C0656}">
  <sheetPr>
    <tabColor theme="9" tint="-0.499984740745262"/>
  </sheetPr>
  <dimension ref="A1:Y611"/>
  <sheetViews>
    <sheetView workbookViewId="0">
      <pane ySplit="1" topLeftCell="A463" activePane="bottomLeft" state="frozen"/>
      <selection pane="bottomLeft" activeCell="A486" sqref="A486"/>
    </sheetView>
  </sheetViews>
  <sheetFormatPr defaultRowHeight="15" x14ac:dyDescent="0.25"/>
  <cols>
    <col min="7" max="7" width="32.28515625" customWidth="1"/>
    <col min="8" max="8" width="8.42578125" customWidth="1"/>
    <col min="10" max="10" width="7.7109375" customWidth="1"/>
    <col min="11" max="11" width="15.7109375" customWidth="1"/>
    <col min="12" max="12" width="13.5703125" customWidth="1"/>
    <col min="13" max="13" width="16.7109375" customWidth="1"/>
    <col min="14" max="14" width="29.140625" customWidth="1"/>
    <col min="15" max="15" width="16.28515625" customWidth="1"/>
    <col min="16" max="16" width="23.140625" customWidth="1"/>
    <col min="17" max="17" width="16.85546875" customWidth="1"/>
    <col min="19" max="19" width="23" customWidth="1"/>
  </cols>
  <sheetData>
    <row r="1" spans="1:25" x14ac:dyDescent="0.25">
      <c r="A1" t="s">
        <v>0</v>
      </c>
      <c r="B1" t="s">
        <v>237</v>
      </c>
      <c r="C1" t="s">
        <v>1</v>
      </c>
      <c r="D1" t="s">
        <v>3548</v>
      </c>
      <c r="E1" t="s">
        <v>3549</v>
      </c>
      <c r="F1" t="s">
        <v>11078</v>
      </c>
      <c r="G1" t="s">
        <v>3</v>
      </c>
      <c r="H1" t="s">
        <v>11082</v>
      </c>
      <c r="I1" t="s">
        <v>2840</v>
      </c>
      <c r="J1" t="s">
        <v>2841</v>
      </c>
      <c r="K1" t="s">
        <v>2842</v>
      </c>
      <c r="L1" t="s">
        <v>3550</v>
      </c>
      <c r="M1" t="s">
        <v>2</v>
      </c>
      <c r="N1" t="s">
        <v>1063</v>
      </c>
      <c r="O1" t="s">
        <v>3551</v>
      </c>
      <c r="P1" t="s">
        <v>11077</v>
      </c>
      <c r="Q1" t="s">
        <v>3552</v>
      </c>
      <c r="R1" t="s">
        <v>10666</v>
      </c>
      <c r="S1" t="s">
        <v>3553</v>
      </c>
      <c r="T1" t="s">
        <v>3554</v>
      </c>
      <c r="U1" t="s">
        <v>4</v>
      </c>
      <c r="V1" t="s">
        <v>5</v>
      </c>
      <c r="W1" t="s">
        <v>3555</v>
      </c>
      <c r="X1" t="s">
        <v>243</v>
      </c>
      <c r="Y1" t="s">
        <v>244</v>
      </c>
    </row>
    <row r="2" spans="1:25" x14ac:dyDescent="0.25">
      <c r="A2" t="s">
        <v>4874</v>
      </c>
      <c r="B2">
        <v>1</v>
      </c>
      <c r="C2">
        <v>1</v>
      </c>
      <c r="D2" t="s">
        <v>13</v>
      </c>
      <c r="E2" t="s">
        <v>4875</v>
      </c>
      <c r="F2" t="s">
        <v>3559</v>
      </c>
      <c r="G2" t="s">
        <v>4876</v>
      </c>
      <c r="H2">
        <v>0</v>
      </c>
      <c r="I2">
        <v>502</v>
      </c>
      <c r="J2">
        <v>483</v>
      </c>
      <c r="K2" t="str">
        <f t="shared" ref="K2:K65" si="0">LEFT(A2,4)&amp;SUBSTITUTE(X2,".","")&amp;SUBSTITUTE(Y2,".","")</f>
        <v>mine266256</v>
      </c>
      <c r="M2" t="s">
        <v>1067</v>
      </c>
      <c r="N2" t="s">
        <v>1368</v>
      </c>
      <c r="Q2" t="s">
        <v>11083</v>
      </c>
      <c r="U2">
        <v>1</v>
      </c>
      <c r="V2">
        <v>0</v>
      </c>
      <c r="W2">
        <v>5</v>
      </c>
      <c r="X2">
        <v>26.6</v>
      </c>
      <c r="Y2">
        <v>25.6</v>
      </c>
    </row>
    <row r="3" spans="1:25" x14ac:dyDescent="0.25">
      <c r="A3" t="s">
        <v>4877</v>
      </c>
      <c r="B3">
        <v>2</v>
      </c>
      <c r="C3">
        <v>2</v>
      </c>
      <c r="D3" t="s">
        <v>13</v>
      </c>
      <c r="E3" t="s">
        <v>4875</v>
      </c>
      <c r="F3" t="s">
        <v>3559</v>
      </c>
      <c r="G3" t="s">
        <v>4876</v>
      </c>
      <c r="H3">
        <v>0</v>
      </c>
      <c r="I3">
        <v>352</v>
      </c>
      <c r="J3">
        <v>482</v>
      </c>
      <c r="K3" t="str">
        <f t="shared" si="0"/>
        <v>mine191256</v>
      </c>
      <c r="M3" t="s">
        <v>1067</v>
      </c>
      <c r="N3" t="s">
        <v>1399</v>
      </c>
      <c r="Q3" t="s">
        <v>11083</v>
      </c>
      <c r="U3">
        <v>1</v>
      </c>
      <c r="V3">
        <v>0</v>
      </c>
      <c r="W3">
        <v>5</v>
      </c>
      <c r="X3">
        <v>19.100000000000001</v>
      </c>
      <c r="Y3">
        <v>25.6</v>
      </c>
    </row>
    <row r="4" spans="1:25" x14ac:dyDescent="0.25">
      <c r="A4" t="s">
        <v>4878</v>
      </c>
      <c r="B4">
        <v>3</v>
      </c>
      <c r="C4">
        <v>3</v>
      </c>
      <c r="D4" t="s">
        <v>13</v>
      </c>
      <c r="E4" t="s">
        <v>4875</v>
      </c>
      <c r="F4" t="s">
        <v>3559</v>
      </c>
      <c r="G4" t="s">
        <v>3562</v>
      </c>
      <c r="H4">
        <v>1</v>
      </c>
      <c r="I4">
        <v>502</v>
      </c>
      <c r="J4">
        <v>483</v>
      </c>
      <c r="K4" t="str">
        <f t="shared" si="0"/>
        <v>mine266256</v>
      </c>
      <c r="M4" t="s">
        <v>1067</v>
      </c>
      <c r="N4" t="s">
        <v>1368</v>
      </c>
      <c r="Q4" t="s">
        <v>11083</v>
      </c>
      <c r="U4">
        <v>1</v>
      </c>
      <c r="V4">
        <v>0</v>
      </c>
      <c r="W4">
        <v>5</v>
      </c>
      <c r="X4">
        <v>26.6</v>
      </c>
      <c r="Y4">
        <v>25.6</v>
      </c>
    </row>
    <row r="5" spans="1:25" x14ac:dyDescent="0.25">
      <c r="A5" t="s">
        <v>4879</v>
      </c>
      <c r="B5">
        <v>4</v>
      </c>
      <c r="C5">
        <v>4</v>
      </c>
      <c r="D5" t="s">
        <v>13</v>
      </c>
      <c r="E5" t="s">
        <v>4875</v>
      </c>
      <c r="F5" t="s">
        <v>3559</v>
      </c>
      <c r="G5" t="s">
        <v>3562</v>
      </c>
      <c r="H5">
        <v>1</v>
      </c>
      <c r="I5">
        <v>331</v>
      </c>
      <c r="J5">
        <v>383</v>
      </c>
      <c r="K5" t="str">
        <f t="shared" si="0"/>
        <v>mine18205</v>
      </c>
      <c r="M5" t="s">
        <v>1067</v>
      </c>
      <c r="N5" t="s">
        <v>1448</v>
      </c>
      <c r="Q5" t="s">
        <v>11083</v>
      </c>
      <c r="U5">
        <v>1</v>
      </c>
      <c r="V5">
        <v>0</v>
      </c>
      <c r="W5">
        <v>20</v>
      </c>
      <c r="X5">
        <v>18</v>
      </c>
      <c r="Y5">
        <v>20.5</v>
      </c>
    </row>
    <row r="6" spans="1:25" x14ac:dyDescent="0.25">
      <c r="A6" t="s">
        <v>4880</v>
      </c>
      <c r="B6">
        <v>5</v>
      </c>
      <c r="C6">
        <v>5</v>
      </c>
      <c r="D6" t="s">
        <v>13</v>
      </c>
      <c r="E6" t="s">
        <v>4875</v>
      </c>
      <c r="F6" t="s">
        <v>3559</v>
      </c>
      <c r="G6" t="s">
        <v>3562</v>
      </c>
      <c r="H6">
        <v>1</v>
      </c>
      <c r="I6">
        <v>493</v>
      </c>
      <c r="J6">
        <v>305</v>
      </c>
      <c r="K6" t="str">
        <f t="shared" si="0"/>
        <v>mine264166</v>
      </c>
      <c r="M6" t="s">
        <v>1067</v>
      </c>
      <c r="N6" t="s">
        <v>1435</v>
      </c>
      <c r="Q6" t="s">
        <v>11083</v>
      </c>
      <c r="U6">
        <v>1</v>
      </c>
      <c r="V6">
        <v>0</v>
      </c>
      <c r="W6">
        <v>30</v>
      </c>
      <c r="X6">
        <v>26.4</v>
      </c>
      <c r="Y6">
        <v>16.600000000000001</v>
      </c>
    </row>
    <row r="7" spans="1:25" x14ac:dyDescent="0.25">
      <c r="A7" t="s">
        <v>4881</v>
      </c>
      <c r="B7">
        <v>6</v>
      </c>
      <c r="C7">
        <v>6</v>
      </c>
      <c r="D7" t="s">
        <v>13</v>
      </c>
      <c r="E7" t="s">
        <v>4875</v>
      </c>
      <c r="F7" t="s">
        <v>3559</v>
      </c>
      <c r="G7" t="s">
        <v>3562</v>
      </c>
      <c r="H7">
        <v>1</v>
      </c>
      <c r="I7">
        <v>226</v>
      </c>
      <c r="J7">
        <v>355</v>
      </c>
      <c r="K7" t="str">
        <f t="shared" si="0"/>
        <v>mine126191</v>
      </c>
      <c r="M7" t="s">
        <v>1067</v>
      </c>
      <c r="N7" t="s">
        <v>1448</v>
      </c>
      <c r="Q7" t="s">
        <v>11083</v>
      </c>
      <c r="U7">
        <v>1</v>
      </c>
      <c r="V7">
        <v>0</v>
      </c>
      <c r="W7">
        <v>45</v>
      </c>
      <c r="X7">
        <v>12.6</v>
      </c>
      <c r="Y7">
        <v>19.100000000000001</v>
      </c>
    </row>
    <row r="8" spans="1:25" x14ac:dyDescent="0.25">
      <c r="A8" t="s">
        <v>4882</v>
      </c>
      <c r="B8">
        <v>7</v>
      </c>
      <c r="C8">
        <v>7</v>
      </c>
      <c r="D8" t="s">
        <v>13</v>
      </c>
      <c r="E8" t="s">
        <v>4875</v>
      </c>
      <c r="F8" t="s">
        <v>3559</v>
      </c>
      <c r="G8" t="s">
        <v>3565</v>
      </c>
      <c r="H8">
        <v>1</v>
      </c>
      <c r="I8">
        <v>538</v>
      </c>
      <c r="J8">
        <v>427</v>
      </c>
      <c r="K8" t="str">
        <f t="shared" si="0"/>
        <v>mine287226</v>
      </c>
      <c r="M8" t="s">
        <v>1067</v>
      </c>
      <c r="N8" t="s">
        <v>1168</v>
      </c>
      <c r="Q8" t="s">
        <v>11083</v>
      </c>
      <c r="U8">
        <v>1</v>
      </c>
      <c r="V8">
        <v>0</v>
      </c>
      <c r="W8">
        <v>20</v>
      </c>
      <c r="X8">
        <v>28.7</v>
      </c>
      <c r="Y8">
        <v>22.6</v>
      </c>
    </row>
    <row r="9" spans="1:25" x14ac:dyDescent="0.25">
      <c r="A9" t="s">
        <v>4883</v>
      </c>
      <c r="B9">
        <v>8</v>
      </c>
      <c r="C9">
        <v>8</v>
      </c>
      <c r="D9" t="s">
        <v>13</v>
      </c>
      <c r="E9" t="s">
        <v>4875</v>
      </c>
      <c r="F9" t="s">
        <v>3559</v>
      </c>
      <c r="G9" t="s">
        <v>3565</v>
      </c>
      <c r="H9">
        <v>1</v>
      </c>
      <c r="I9">
        <v>293</v>
      </c>
      <c r="J9">
        <v>362</v>
      </c>
      <c r="K9" t="str">
        <f t="shared" si="0"/>
        <v>mine16195</v>
      </c>
      <c r="M9" t="s">
        <v>1067</v>
      </c>
      <c r="N9" t="s">
        <v>1308</v>
      </c>
      <c r="Q9" t="s">
        <v>11083</v>
      </c>
      <c r="U9">
        <v>1</v>
      </c>
      <c r="V9">
        <v>0</v>
      </c>
      <c r="W9">
        <v>25</v>
      </c>
      <c r="X9">
        <v>16</v>
      </c>
      <c r="Y9">
        <v>19.5</v>
      </c>
    </row>
    <row r="10" spans="1:25" x14ac:dyDescent="0.25">
      <c r="A10" t="s">
        <v>4884</v>
      </c>
      <c r="B10">
        <v>9</v>
      </c>
      <c r="C10">
        <v>9</v>
      </c>
      <c r="D10" t="s">
        <v>13</v>
      </c>
      <c r="E10" t="s">
        <v>4875</v>
      </c>
      <c r="F10" t="s">
        <v>3559</v>
      </c>
      <c r="G10" t="s">
        <v>3565</v>
      </c>
      <c r="H10">
        <v>1</v>
      </c>
      <c r="I10">
        <v>541</v>
      </c>
      <c r="J10">
        <v>426</v>
      </c>
      <c r="K10" t="str">
        <f t="shared" si="0"/>
        <v>mine286228</v>
      </c>
      <c r="M10" t="s">
        <v>1067</v>
      </c>
      <c r="N10" t="s">
        <v>1317</v>
      </c>
      <c r="Q10" t="s">
        <v>11083</v>
      </c>
      <c r="U10">
        <v>1</v>
      </c>
      <c r="V10">
        <v>0</v>
      </c>
      <c r="W10">
        <v>40</v>
      </c>
      <c r="X10">
        <v>28.6</v>
      </c>
      <c r="Y10">
        <v>22.8</v>
      </c>
    </row>
    <row r="11" spans="1:25" x14ac:dyDescent="0.25">
      <c r="A11" t="s">
        <v>4885</v>
      </c>
      <c r="B11">
        <v>10</v>
      </c>
      <c r="C11">
        <v>10</v>
      </c>
      <c r="D11" t="s">
        <v>13</v>
      </c>
      <c r="E11" t="s">
        <v>4875</v>
      </c>
      <c r="F11" t="s">
        <v>3559</v>
      </c>
      <c r="G11" t="s">
        <v>3565</v>
      </c>
      <c r="H11">
        <v>1</v>
      </c>
      <c r="I11">
        <v>524</v>
      </c>
      <c r="J11">
        <v>311</v>
      </c>
      <c r="K11" t="str">
        <f t="shared" si="0"/>
        <v>mine278167</v>
      </c>
      <c r="M11" t="s">
        <v>1067</v>
      </c>
      <c r="N11" t="s">
        <v>1528</v>
      </c>
      <c r="Q11" t="s">
        <v>11083</v>
      </c>
      <c r="U11">
        <v>1</v>
      </c>
      <c r="V11">
        <v>0</v>
      </c>
      <c r="W11">
        <v>5</v>
      </c>
      <c r="X11">
        <v>27.8</v>
      </c>
      <c r="Y11">
        <v>16.7</v>
      </c>
    </row>
    <row r="12" spans="1:25" x14ac:dyDescent="0.25">
      <c r="A12" t="s">
        <v>4886</v>
      </c>
      <c r="B12">
        <v>11</v>
      </c>
      <c r="C12">
        <v>11</v>
      </c>
      <c r="D12" t="s">
        <v>13</v>
      </c>
      <c r="E12" t="s">
        <v>4875</v>
      </c>
      <c r="F12" t="s">
        <v>3559</v>
      </c>
      <c r="G12" t="s">
        <v>3565</v>
      </c>
      <c r="H12">
        <v>1</v>
      </c>
      <c r="I12">
        <v>449</v>
      </c>
      <c r="J12">
        <v>371</v>
      </c>
      <c r="K12" t="str">
        <f t="shared" si="0"/>
        <v>mine242199</v>
      </c>
      <c r="M12" t="s">
        <v>1067</v>
      </c>
      <c r="N12" t="s">
        <v>1501</v>
      </c>
      <c r="Q12" t="s">
        <v>11083</v>
      </c>
      <c r="U12">
        <v>1</v>
      </c>
      <c r="V12">
        <v>0</v>
      </c>
      <c r="W12">
        <v>40</v>
      </c>
      <c r="X12">
        <v>24.2</v>
      </c>
      <c r="Y12">
        <v>19.899999999999999</v>
      </c>
    </row>
    <row r="13" spans="1:25" x14ac:dyDescent="0.25">
      <c r="A13" t="s">
        <v>4887</v>
      </c>
      <c r="B13">
        <v>12</v>
      </c>
      <c r="C13">
        <v>12</v>
      </c>
      <c r="D13" t="s">
        <v>13</v>
      </c>
      <c r="E13" t="s">
        <v>4875</v>
      </c>
      <c r="F13" t="s">
        <v>3559</v>
      </c>
      <c r="G13" t="s">
        <v>3574</v>
      </c>
      <c r="H13">
        <v>1</v>
      </c>
      <c r="I13">
        <v>259</v>
      </c>
      <c r="J13">
        <v>410</v>
      </c>
      <c r="K13" t="str">
        <f t="shared" si="0"/>
        <v>mine141221</v>
      </c>
      <c r="M13" t="s">
        <v>1067</v>
      </c>
      <c r="N13" t="s">
        <v>1255</v>
      </c>
      <c r="Q13" t="s">
        <v>11083</v>
      </c>
      <c r="U13">
        <v>1</v>
      </c>
      <c r="V13">
        <v>0</v>
      </c>
      <c r="W13">
        <v>35</v>
      </c>
      <c r="X13">
        <v>14.1</v>
      </c>
      <c r="Y13">
        <v>22.1</v>
      </c>
    </row>
    <row r="14" spans="1:25" x14ac:dyDescent="0.25">
      <c r="A14" t="s">
        <v>4888</v>
      </c>
      <c r="B14">
        <v>13</v>
      </c>
      <c r="C14">
        <v>13</v>
      </c>
      <c r="D14" t="s">
        <v>13</v>
      </c>
      <c r="E14" t="s">
        <v>4875</v>
      </c>
      <c r="F14" t="s">
        <v>3559</v>
      </c>
      <c r="G14" t="s">
        <v>3574</v>
      </c>
      <c r="H14">
        <v>1</v>
      </c>
      <c r="I14">
        <v>352</v>
      </c>
      <c r="J14">
        <v>483</v>
      </c>
      <c r="K14" t="str">
        <f t="shared" si="0"/>
        <v>mine191257</v>
      </c>
      <c r="M14" t="s">
        <v>1067</v>
      </c>
      <c r="N14" t="s">
        <v>1399</v>
      </c>
      <c r="Q14" t="s">
        <v>11083</v>
      </c>
      <c r="U14">
        <v>1</v>
      </c>
      <c r="V14">
        <v>0</v>
      </c>
      <c r="W14">
        <v>5</v>
      </c>
      <c r="X14">
        <v>19.100000000000001</v>
      </c>
      <c r="Y14">
        <v>25.7</v>
      </c>
    </row>
    <row r="15" spans="1:25" x14ac:dyDescent="0.25">
      <c r="A15" t="s">
        <v>4889</v>
      </c>
      <c r="B15">
        <v>14</v>
      </c>
      <c r="C15">
        <v>14</v>
      </c>
      <c r="D15" t="s">
        <v>13</v>
      </c>
      <c r="E15" t="s">
        <v>4875</v>
      </c>
      <c r="F15" t="s">
        <v>3559</v>
      </c>
      <c r="G15" t="s">
        <v>3574</v>
      </c>
      <c r="H15">
        <v>1</v>
      </c>
      <c r="I15">
        <v>437</v>
      </c>
      <c r="J15">
        <v>456</v>
      </c>
      <c r="K15" t="str">
        <f t="shared" si="0"/>
        <v>mine233243</v>
      </c>
      <c r="M15" t="s">
        <v>1067</v>
      </c>
      <c r="N15" t="s">
        <v>1477</v>
      </c>
      <c r="Q15" t="s">
        <v>11083</v>
      </c>
      <c r="U15">
        <v>1</v>
      </c>
      <c r="V15">
        <v>0</v>
      </c>
      <c r="W15">
        <v>50</v>
      </c>
      <c r="X15">
        <v>23.3</v>
      </c>
      <c r="Y15">
        <v>24.3</v>
      </c>
    </row>
    <row r="16" spans="1:25" x14ac:dyDescent="0.25">
      <c r="A16" t="s">
        <v>4890</v>
      </c>
      <c r="B16">
        <v>15</v>
      </c>
      <c r="C16">
        <v>15</v>
      </c>
      <c r="D16" t="s">
        <v>13</v>
      </c>
      <c r="E16" t="s">
        <v>4875</v>
      </c>
      <c r="F16" t="s">
        <v>3559</v>
      </c>
      <c r="G16" t="s">
        <v>3581</v>
      </c>
      <c r="H16">
        <v>1</v>
      </c>
      <c r="I16">
        <v>522</v>
      </c>
      <c r="J16">
        <v>344</v>
      </c>
      <c r="K16" t="str">
        <f t="shared" si="0"/>
        <v>mine277185</v>
      </c>
      <c r="M16" t="s">
        <v>1067</v>
      </c>
      <c r="N16" t="s">
        <v>1129</v>
      </c>
      <c r="Q16" t="s">
        <v>11083</v>
      </c>
      <c r="U16">
        <v>1</v>
      </c>
      <c r="V16">
        <v>0</v>
      </c>
      <c r="W16">
        <v>10</v>
      </c>
      <c r="X16">
        <v>27.7</v>
      </c>
      <c r="Y16">
        <v>18.5</v>
      </c>
    </row>
    <row r="17" spans="1:25" x14ac:dyDescent="0.25">
      <c r="A17" t="s">
        <v>4891</v>
      </c>
      <c r="B17">
        <v>16</v>
      </c>
      <c r="C17">
        <v>16</v>
      </c>
      <c r="D17" t="s">
        <v>13</v>
      </c>
      <c r="E17" t="s">
        <v>4875</v>
      </c>
      <c r="F17" t="s">
        <v>3559</v>
      </c>
      <c r="G17" t="s">
        <v>3581</v>
      </c>
      <c r="H17">
        <v>1</v>
      </c>
      <c r="I17">
        <v>569</v>
      </c>
      <c r="J17">
        <v>475</v>
      </c>
      <c r="K17" t="str">
        <f t="shared" si="0"/>
        <v>mine302253</v>
      </c>
      <c r="M17" t="s">
        <v>1067</v>
      </c>
      <c r="N17" t="s">
        <v>1195</v>
      </c>
      <c r="Q17" t="s">
        <v>11083</v>
      </c>
      <c r="U17">
        <v>1</v>
      </c>
      <c r="V17">
        <v>0</v>
      </c>
      <c r="W17">
        <v>45</v>
      </c>
      <c r="X17">
        <v>30.2</v>
      </c>
      <c r="Y17">
        <v>25.3</v>
      </c>
    </row>
    <row r="18" spans="1:25" x14ac:dyDescent="0.25">
      <c r="A18" t="s">
        <v>4892</v>
      </c>
      <c r="B18">
        <v>17</v>
      </c>
      <c r="C18">
        <v>17</v>
      </c>
      <c r="D18" t="s">
        <v>13</v>
      </c>
      <c r="E18" t="s">
        <v>4875</v>
      </c>
      <c r="F18" t="s">
        <v>3559</v>
      </c>
      <c r="G18" t="s">
        <v>3581</v>
      </c>
      <c r="H18">
        <v>1</v>
      </c>
      <c r="I18">
        <v>480</v>
      </c>
      <c r="J18">
        <v>407</v>
      </c>
      <c r="K18" t="str">
        <f t="shared" si="0"/>
        <v>mine254219</v>
      </c>
      <c r="M18" t="s">
        <v>1067</v>
      </c>
      <c r="N18" t="s">
        <v>1336</v>
      </c>
      <c r="Q18" t="s">
        <v>11083</v>
      </c>
      <c r="U18">
        <v>1</v>
      </c>
      <c r="V18">
        <v>0</v>
      </c>
      <c r="W18">
        <v>5</v>
      </c>
      <c r="X18">
        <v>25.4</v>
      </c>
      <c r="Y18">
        <v>21.9</v>
      </c>
    </row>
    <row r="19" spans="1:25" x14ac:dyDescent="0.25">
      <c r="A19" t="s">
        <v>4893</v>
      </c>
      <c r="B19">
        <v>18</v>
      </c>
      <c r="C19">
        <v>18</v>
      </c>
      <c r="D19" t="s">
        <v>13</v>
      </c>
      <c r="E19" t="s">
        <v>4875</v>
      </c>
      <c r="F19" t="s">
        <v>3559</v>
      </c>
      <c r="G19" t="s">
        <v>3581</v>
      </c>
      <c r="H19">
        <v>1</v>
      </c>
      <c r="I19">
        <v>538</v>
      </c>
      <c r="J19">
        <v>471</v>
      </c>
      <c r="K19" t="str">
        <f t="shared" si="0"/>
        <v>mine286251</v>
      </c>
      <c r="M19" t="s">
        <v>1067</v>
      </c>
      <c r="N19" t="s">
        <v>1329</v>
      </c>
      <c r="Q19" t="s">
        <v>11083</v>
      </c>
      <c r="U19">
        <v>1</v>
      </c>
      <c r="V19">
        <v>0</v>
      </c>
      <c r="W19">
        <v>10</v>
      </c>
      <c r="X19">
        <v>28.6</v>
      </c>
      <c r="Y19">
        <v>25.1</v>
      </c>
    </row>
    <row r="20" spans="1:25" x14ac:dyDescent="0.25">
      <c r="A20" t="s">
        <v>4894</v>
      </c>
      <c r="B20">
        <v>19</v>
      </c>
      <c r="C20">
        <v>19</v>
      </c>
      <c r="D20" t="s">
        <v>13</v>
      </c>
      <c r="E20" t="s">
        <v>4875</v>
      </c>
      <c r="F20" t="s">
        <v>3559</v>
      </c>
      <c r="G20" t="s">
        <v>3581</v>
      </c>
      <c r="H20">
        <v>1</v>
      </c>
      <c r="I20">
        <v>555</v>
      </c>
      <c r="J20">
        <v>432</v>
      </c>
      <c r="K20" t="str">
        <f t="shared" si="0"/>
        <v>mine294231</v>
      </c>
      <c r="M20" t="s">
        <v>1067</v>
      </c>
      <c r="N20" t="s">
        <v>1336</v>
      </c>
      <c r="Q20" t="s">
        <v>11083</v>
      </c>
      <c r="U20">
        <v>1</v>
      </c>
      <c r="V20">
        <v>0</v>
      </c>
      <c r="W20">
        <v>20</v>
      </c>
      <c r="X20">
        <v>29.4</v>
      </c>
      <c r="Y20">
        <v>23.1</v>
      </c>
    </row>
    <row r="21" spans="1:25" x14ac:dyDescent="0.25">
      <c r="A21" t="s">
        <v>4895</v>
      </c>
      <c r="B21">
        <v>20</v>
      </c>
      <c r="C21">
        <v>20</v>
      </c>
      <c r="D21" t="s">
        <v>13</v>
      </c>
      <c r="E21" t="s">
        <v>4875</v>
      </c>
      <c r="F21" t="s">
        <v>3559</v>
      </c>
      <c r="G21" t="s">
        <v>3588</v>
      </c>
      <c r="H21">
        <v>1</v>
      </c>
      <c r="I21">
        <v>352</v>
      </c>
      <c r="J21">
        <v>483</v>
      </c>
      <c r="K21" t="str">
        <f t="shared" si="0"/>
        <v>mine191257</v>
      </c>
      <c r="M21" t="s">
        <v>1067</v>
      </c>
      <c r="N21" t="s">
        <v>1399</v>
      </c>
      <c r="Q21" t="s">
        <v>11083</v>
      </c>
      <c r="U21">
        <v>1</v>
      </c>
      <c r="V21">
        <v>0</v>
      </c>
      <c r="W21">
        <v>5</v>
      </c>
      <c r="X21">
        <v>19.100000000000001</v>
      </c>
      <c r="Y21">
        <v>25.7</v>
      </c>
    </row>
    <row r="22" spans="1:25" x14ac:dyDescent="0.25">
      <c r="A22" t="s">
        <v>4896</v>
      </c>
      <c r="B22">
        <v>21</v>
      </c>
      <c r="C22">
        <v>21</v>
      </c>
      <c r="D22" t="s">
        <v>13</v>
      </c>
      <c r="E22" t="s">
        <v>4875</v>
      </c>
      <c r="F22" t="s">
        <v>3559</v>
      </c>
      <c r="G22" t="s">
        <v>3588</v>
      </c>
      <c r="H22">
        <v>1</v>
      </c>
      <c r="I22">
        <v>373</v>
      </c>
      <c r="J22">
        <v>423</v>
      </c>
      <c r="K22" t="str">
        <f t="shared" si="0"/>
        <v>mine202226</v>
      </c>
      <c r="M22" t="s">
        <v>1067</v>
      </c>
      <c r="N22" t="s">
        <v>1421</v>
      </c>
      <c r="Q22" t="s">
        <v>11083</v>
      </c>
      <c r="U22">
        <v>1</v>
      </c>
      <c r="V22">
        <v>0</v>
      </c>
      <c r="W22">
        <v>10</v>
      </c>
      <c r="X22">
        <v>20.2</v>
      </c>
      <c r="Y22">
        <v>22.6</v>
      </c>
    </row>
    <row r="23" spans="1:25" x14ac:dyDescent="0.25">
      <c r="A23" t="s">
        <v>4897</v>
      </c>
      <c r="B23">
        <v>22</v>
      </c>
      <c r="C23">
        <v>22</v>
      </c>
      <c r="D23" t="s">
        <v>13</v>
      </c>
      <c r="E23" t="s">
        <v>4875</v>
      </c>
      <c r="F23" t="s">
        <v>3559</v>
      </c>
      <c r="G23" t="s">
        <v>3588</v>
      </c>
      <c r="H23">
        <v>1</v>
      </c>
      <c r="I23">
        <v>475</v>
      </c>
      <c r="J23">
        <v>775</v>
      </c>
      <c r="K23" t="str">
        <f t="shared" si="0"/>
        <v>mine253407</v>
      </c>
      <c r="M23" t="s">
        <v>1067</v>
      </c>
      <c r="N23" t="s">
        <v>1454</v>
      </c>
      <c r="Q23" t="s">
        <v>11083</v>
      </c>
      <c r="U23">
        <v>1</v>
      </c>
      <c r="V23">
        <v>0</v>
      </c>
      <c r="W23">
        <v>35</v>
      </c>
      <c r="X23">
        <v>25.3</v>
      </c>
      <c r="Y23">
        <v>40.700000000000003</v>
      </c>
    </row>
    <row r="24" spans="1:25" x14ac:dyDescent="0.25">
      <c r="A24" t="s">
        <v>4898</v>
      </c>
      <c r="B24">
        <v>23</v>
      </c>
      <c r="C24">
        <v>23</v>
      </c>
      <c r="D24" t="s">
        <v>13</v>
      </c>
      <c r="E24" t="s">
        <v>4875</v>
      </c>
      <c r="F24" t="s">
        <v>3559</v>
      </c>
      <c r="G24" t="s">
        <v>3588</v>
      </c>
      <c r="H24">
        <v>1</v>
      </c>
      <c r="I24">
        <v>283</v>
      </c>
      <c r="J24">
        <v>273</v>
      </c>
      <c r="K24" t="str">
        <f t="shared" si="0"/>
        <v>mine15615</v>
      </c>
      <c r="M24" t="s">
        <v>1067</v>
      </c>
      <c r="N24" t="s">
        <v>1568</v>
      </c>
      <c r="Q24" t="s">
        <v>11083</v>
      </c>
      <c r="U24">
        <v>1</v>
      </c>
      <c r="V24">
        <v>0</v>
      </c>
      <c r="W24">
        <v>5</v>
      </c>
      <c r="X24">
        <v>15.6</v>
      </c>
      <c r="Y24">
        <v>15</v>
      </c>
    </row>
    <row r="25" spans="1:25" x14ac:dyDescent="0.25">
      <c r="A25" t="s">
        <v>4899</v>
      </c>
      <c r="B25">
        <v>24</v>
      </c>
      <c r="C25">
        <v>24</v>
      </c>
      <c r="D25" t="s">
        <v>13</v>
      </c>
      <c r="E25" t="s">
        <v>4875</v>
      </c>
      <c r="F25" t="s">
        <v>3559</v>
      </c>
      <c r="G25" t="s">
        <v>3594</v>
      </c>
      <c r="H25">
        <v>1</v>
      </c>
      <c r="I25">
        <v>551</v>
      </c>
      <c r="J25">
        <v>510</v>
      </c>
      <c r="K25" t="str">
        <f t="shared" si="0"/>
        <v>mine292272</v>
      </c>
      <c r="M25" t="s">
        <v>1067</v>
      </c>
      <c r="N25" t="s">
        <v>1144</v>
      </c>
      <c r="Q25" t="s">
        <v>11083</v>
      </c>
      <c r="U25">
        <v>1</v>
      </c>
      <c r="V25">
        <v>0</v>
      </c>
      <c r="W25">
        <v>35</v>
      </c>
      <c r="X25">
        <v>29.2</v>
      </c>
      <c r="Y25">
        <v>27.2</v>
      </c>
    </row>
    <row r="26" spans="1:25" x14ac:dyDescent="0.25">
      <c r="A26" t="s">
        <v>4900</v>
      </c>
      <c r="B26">
        <v>25</v>
      </c>
      <c r="C26">
        <v>25</v>
      </c>
      <c r="D26" t="s">
        <v>13</v>
      </c>
      <c r="E26" t="s">
        <v>4875</v>
      </c>
      <c r="F26" t="s">
        <v>3559</v>
      </c>
      <c r="G26" t="s">
        <v>3594</v>
      </c>
      <c r="H26">
        <v>1</v>
      </c>
      <c r="I26">
        <v>502</v>
      </c>
      <c r="J26">
        <v>483</v>
      </c>
      <c r="K26" t="str">
        <f t="shared" si="0"/>
        <v>mine266256</v>
      </c>
      <c r="M26" t="s">
        <v>1067</v>
      </c>
      <c r="N26" t="s">
        <v>1368</v>
      </c>
      <c r="Q26" t="s">
        <v>11083</v>
      </c>
      <c r="U26">
        <v>1</v>
      </c>
      <c r="V26">
        <v>0</v>
      </c>
      <c r="W26">
        <v>5</v>
      </c>
      <c r="X26">
        <v>26.6</v>
      </c>
      <c r="Y26">
        <v>25.6</v>
      </c>
    </row>
    <row r="27" spans="1:25" x14ac:dyDescent="0.25">
      <c r="A27" t="s">
        <v>4901</v>
      </c>
      <c r="B27">
        <v>26</v>
      </c>
      <c r="C27">
        <v>26</v>
      </c>
      <c r="D27" t="s">
        <v>13</v>
      </c>
      <c r="E27" t="s">
        <v>4875</v>
      </c>
      <c r="F27" t="s">
        <v>3559</v>
      </c>
      <c r="G27" t="s">
        <v>3594</v>
      </c>
      <c r="H27">
        <v>1</v>
      </c>
      <c r="I27">
        <v>417</v>
      </c>
      <c r="J27">
        <v>538</v>
      </c>
      <c r="K27" t="str">
        <f t="shared" si="0"/>
        <v>mine223286</v>
      </c>
      <c r="M27" t="s">
        <v>1067</v>
      </c>
      <c r="N27" t="s">
        <v>1368</v>
      </c>
      <c r="Q27" t="s">
        <v>11083</v>
      </c>
      <c r="U27">
        <v>1</v>
      </c>
      <c r="V27">
        <v>0</v>
      </c>
      <c r="W27">
        <v>10</v>
      </c>
      <c r="X27">
        <v>22.3</v>
      </c>
      <c r="Y27">
        <v>28.6</v>
      </c>
    </row>
    <row r="28" spans="1:25" x14ac:dyDescent="0.25">
      <c r="A28" t="s">
        <v>4902</v>
      </c>
      <c r="B28">
        <v>27</v>
      </c>
      <c r="C28">
        <v>27</v>
      </c>
      <c r="D28" t="s">
        <v>13</v>
      </c>
      <c r="E28" t="s">
        <v>4875</v>
      </c>
      <c r="F28" t="s">
        <v>3559</v>
      </c>
      <c r="G28" t="s">
        <v>3594</v>
      </c>
      <c r="H28">
        <v>1</v>
      </c>
      <c r="I28">
        <v>515</v>
      </c>
      <c r="J28">
        <v>314</v>
      </c>
      <c r="K28" t="str">
        <f t="shared" si="0"/>
        <v>mine27417</v>
      </c>
      <c r="M28" t="s">
        <v>1067</v>
      </c>
      <c r="N28" t="s">
        <v>1381</v>
      </c>
      <c r="Q28" t="s">
        <v>11083</v>
      </c>
      <c r="U28">
        <v>1</v>
      </c>
      <c r="V28">
        <v>0</v>
      </c>
      <c r="W28">
        <v>15</v>
      </c>
      <c r="X28">
        <v>27.4</v>
      </c>
      <c r="Y28">
        <v>17</v>
      </c>
    </row>
    <row r="29" spans="1:25" x14ac:dyDescent="0.25">
      <c r="A29" t="s">
        <v>4903</v>
      </c>
      <c r="B29">
        <v>28</v>
      </c>
      <c r="C29">
        <v>28</v>
      </c>
      <c r="D29" t="s">
        <v>13</v>
      </c>
      <c r="E29" t="s">
        <v>4875</v>
      </c>
      <c r="F29" t="s">
        <v>3559</v>
      </c>
      <c r="G29" t="s">
        <v>4904</v>
      </c>
      <c r="H29">
        <v>0</v>
      </c>
      <c r="I29">
        <v>502</v>
      </c>
      <c r="J29">
        <v>483</v>
      </c>
      <c r="K29" t="str">
        <f t="shared" si="0"/>
        <v>mine266256</v>
      </c>
      <c r="M29" t="s">
        <v>1067</v>
      </c>
      <c r="N29" t="s">
        <v>1368</v>
      </c>
      <c r="Q29" t="s">
        <v>11083</v>
      </c>
      <c r="U29">
        <v>3</v>
      </c>
      <c r="V29">
        <v>0</v>
      </c>
      <c r="W29">
        <v>5</v>
      </c>
      <c r="X29">
        <v>26.6</v>
      </c>
      <c r="Y29">
        <v>25.6</v>
      </c>
    </row>
    <row r="30" spans="1:25" x14ac:dyDescent="0.25">
      <c r="A30" t="s">
        <v>4905</v>
      </c>
      <c r="B30">
        <v>29</v>
      </c>
      <c r="C30">
        <v>29</v>
      </c>
      <c r="D30" t="s">
        <v>13</v>
      </c>
      <c r="E30" t="s">
        <v>4875</v>
      </c>
      <c r="F30" t="s">
        <v>3559</v>
      </c>
      <c r="G30" t="s">
        <v>4904</v>
      </c>
      <c r="H30">
        <v>0</v>
      </c>
      <c r="I30">
        <v>352</v>
      </c>
      <c r="J30">
        <v>483</v>
      </c>
      <c r="K30" t="str">
        <f t="shared" si="0"/>
        <v>mine191257</v>
      </c>
      <c r="M30" t="s">
        <v>1067</v>
      </c>
      <c r="N30" t="s">
        <v>1399</v>
      </c>
      <c r="Q30" t="s">
        <v>11083</v>
      </c>
      <c r="U30">
        <v>3</v>
      </c>
      <c r="V30">
        <v>0</v>
      </c>
      <c r="W30">
        <v>5</v>
      </c>
      <c r="X30">
        <v>19.100000000000001</v>
      </c>
      <c r="Y30">
        <v>25.7</v>
      </c>
    </row>
    <row r="31" spans="1:25" x14ac:dyDescent="0.25">
      <c r="A31" t="s">
        <v>4906</v>
      </c>
      <c r="B31">
        <v>30</v>
      </c>
      <c r="C31">
        <v>30</v>
      </c>
      <c r="D31" t="s">
        <v>13</v>
      </c>
      <c r="E31" t="s">
        <v>4875</v>
      </c>
      <c r="F31" t="s">
        <v>3559</v>
      </c>
      <c r="G31" t="s">
        <v>4907</v>
      </c>
      <c r="H31">
        <v>0</v>
      </c>
      <c r="I31">
        <v>450</v>
      </c>
      <c r="J31">
        <v>506</v>
      </c>
      <c r="K31" t="str">
        <f t="shared" si="0"/>
        <v>mine24269</v>
      </c>
      <c r="M31" t="s">
        <v>1067</v>
      </c>
      <c r="N31" t="s">
        <v>1399</v>
      </c>
      <c r="Q31" t="s">
        <v>11083</v>
      </c>
      <c r="U31">
        <v>5</v>
      </c>
      <c r="V31">
        <v>0</v>
      </c>
      <c r="W31">
        <v>5</v>
      </c>
      <c r="X31">
        <v>24</v>
      </c>
      <c r="Y31">
        <v>26.9</v>
      </c>
    </row>
    <row r="32" spans="1:25" x14ac:dyDescent="0.25">
      <c r="A32" t="s">
        <v>4908</v>
      </c>
      <c r="B32">
        <v>31</v>
      </c>
      <c r="C32">
        <v>31</v>
      </c>
      <c r="D32" t="s">
        <v>13</v>
      </c>
      <c r="E32" t="s">
        <v>4875</v>
      </c>
      <c r="F32" t="s">
        <v>3559</v>
      </c>
      <c r="G32" t="s">
        <v>4909</v>
      </c>
      <c r="H32">
        <v>0</v>
      </c>
      <c r="I32">
        <v>417</v>
      </c>
      <c r="J32">
        <v>538</v>
      </c>
      <c r="K32" t="str">
        <f t="shared" si="0"/>
        <v>mine223286</v>
      </c>
      <c r="M32" t="s">
        <v>1067</v>
      </c>
      <c r="N32" t="s">
        <v>1368</v>
      </c>
      <c r="Q32" t="s">
        <v>11083</v>
      </c>
      <c r="U32">
        <v>6</v>
      </c>
      <c r="V32">
        <v>0</v>
      </c>
      <c r="W32">
        <v>10</v>
      </c>
      <c r="X32">
        <v>22.3</v>
      </c>
      <c r="Y32">
        <v>28.6</v>
      </c>
    </row>
    <row r="33" spans="1:25" x14ac:dyDescent="0.25">
      <c r="A33" t="s">
        <v>4910</v>
      </c>
      <c r="B33">
        <v>32</v>
      </c>
      <c r="C33">
        <v>32</v>
      </c>
      <c r="D33" t="s">
        <v>13</v>
      </c>
      <c r="E33" t="s">
        <v>4875</v>
      </c>
      <c r="F33" t="s">
        <v>3559</v>
      </c>
      <c r="G33" t="s">
        <v>4909</v>
      </c>
      <c r="H33">
        <v>0</v>
      </c>
      <c r="I33">
        <v>373</v>
      </c>
      <c r="J33">
        <v>423</v>
      </c>
      <c r="K33" t="str">
        <f t="shared" si="0"/>
        <v>mine202226</v>
      </c>
      <c r="M33" t="s">
        <v>1067</v>
      </c>
      <c r="N33" t="s">
        <v>1421</v>
      </c>
      <c r="Q33" t="s">
        <v>11083</v>
      </c>
      <c r="U33">
        <v>6</v>
      </c>
      <c r="V33">
        <v>0</v>
      </c>
      <c r="W33">
        <v>10</v>
      </c>
      <c r="X33">
        <v>20.2</v>
      </c>
      <c r="Y33">
        <v>22.6</v>
      </c>
    </row>
    <row r="34" spans="1:25" x14ac:dyDescent="0.25">
      <c r="A34" t="s">
        <v>4911</v>
      </c>
      <c r="B34">
        <v>33</v>
      </c>
      <c r="C34">
        <v>33</v>
      </c>
      <c r="D34" t="s">
        <v>13</v>
      </c>
      <c r="E34" t="s">
        <v>4875</v>
      </c>
      <c r="F34" t="s">
        <v>3559</v>
      </c>
      <c r="G34" t="s">
        <v>4912</v>
      </c>
      <c r="H34">
        <v>0</v>
      </c>
      <c r="I34">
        <v>522</v>
      </c>
      <c r="J34">
        <v>344</v>
      </c>
      <c r="K34" t="str">
        <f t="shared" si="0"/>
        <v>mine277185</v>
      </c>
      <c r="M34" t="s">
        <v>1067</v>
      </c>
      <c r="N34" t="s">
        <v>1129</v>
      </c>
      <c r="Q34" t="s">
        <v>11083</v>
      </c>
      <c r="U34">
        <v>7</v>
      </c>
      <c r="V34">
        <v>0</v>
      </c>
      <c r="W34">
        <v>10</v>
      </c>
      <c r="X34">
        <v>27.7</v>
      </c>
      <c r="Y34">
        <v>18.5</v>
      </c>
    </row>
    <row r="35" spans="1:25" x14ac:dyDescent="0.25">
      <c r="A35" t="s">
        <v>4913</v>
      </c>
      <c r="B35">
        <v>34</v>
      </c>
      <c r="C35">
        <v>34</v>
      </c>
      <c r="D35" t="s">
        <v>13</v>
      </c>
      <c r="E35" t="s">
        <v>4875</v>
      </c>
      <c r="F35" t="s">
        <v>3559</v>
      </c>
      <c r="G35" t="s">
        <v>4914</v>
      </c>
      <c r="H35">
        <v>0</v>
      </c>
      <c r="I35">
        <v>538</v>
      </c>
      <c r="J35">
        <v>471</v>
      </c>
      <c r="K35" t="str">
        <f t="shared" si="0"/>
        <v>mine286251</v>
      </c>
      <c r="M35" t="s">
        <v>1067</v>
      </c>
      <c r="N35" t="s">
        <v>1329</v>
      </c>
      <c r="Q35" t="s">
        <v>11083</v>
      </c>
      <c r="U35">
        <v>7</v>
      </c>
      <c r="V35">
        <v>0</v>
      </c>
      <c r="W35">
        <v>10</v>
      </c>
      <c r="X35">
        <v>28.6</v>
      </c>
      <c r="Y35">
        <v>25.1</v>
      </c>
    </row>
    <row r="36" spans="1:25" x14ac:dyDescent="0.25">
      <c r="A36" t="s">
        <v>4915</v>
      </c>
      <c r="B36">
        <v>35</v>
      </c>
      <c r="C36">
        <v>35</v>
      </c>
      <c r="D36" t="s">
        <v>13</v>
      </c>
      <c r="E36" t="s">
        <v>4875</v>
      </c>
      <c r="F36" t="s">
        <v>3559</v>
      </c>
      <c r="G36" t="s">
        <v>4916</v>
      </c>
      <c r="H36">
        <v>0</v>
      </c>
      <c r="I36">
        <v>417</v>
      </c>
      <c r="J36">
        <v>538</v>
      </c>
      <c r="K36" t="str">
        <f t="shared" si="0"/>
        <v>mine223286</v>
      </c>
      <c r="M36" t="s">
        <v>1067</v>
      </c>
      <c r="N36" t="s">
        <v>1368</v>
      </c>
      <c r="Q36" t="s">
        <v>11083</v>
      </c>
      <c r="U36">
        <v>8</v>
      </c>
      <c r="V36">
        <v>0</v>
      </c>
      <c r="W36">
        <v>10</v>
      </c>
      <c r="X36">
        <v>22.3</v>
      </c>
      <c r="Y36">
        <v>28.6</v>
      </c>
    </row>
    <row r="37" spans="1:25" x14ac:dyDescent="0.25">
      <c r="A37" t="s">
        <v>4917</v>
      </c>
      <c r="B37">
        <v>36</v>
      </c>
      <c r="C37">
        <v>36</v>
      </c>
      <c r="D37" t="s">
        <v>13</v>
      </c>
      <c r="E37" t="s">
        <v>4875</v>
      </c>
      <c r="F37" t="s">
        <v>3559</v>
      </c>
      <c r="G37" t="s">
        <v>4916</v>
      </c>
      <c r="H37">
        <v>0</v>
      </c>
      <c r="I37">
        <v>373</v>
      </c>
      <c r="J37">
        <v>423</v>
      </c>
      <c r="K37" t="str">
        <f t="shared" si="0"/>
        <v>mine202226</v>
      </c>
      <c r="M37" t="s">
        <v>1067</v>
      </c>
      <c r="N37" t="s">
        <v>1421</v>
      </c>
      <c r="Q37" t="s">
        <v>11083</v>
      </c>
      <c r="U37">
        <v>8</v>
      </c>
      <c r="V37">
        <v>0</v>
      </c>
      <c r="W37">
        <v>10</v>
      </c>
      <c r="X37">
        <v>20.2</v>
      </c>
      <c r="Y37">
        <v>22.6</v>
      </c>
    </row>
    <row r="38" spans="1:25" x14ac:dyDescent="0.25">
      <c r="A38" t="s">
        <v>4918</v>
      </c>
      <c r="B38">
        <v>37</v>
      </c>
      <c r="C38">
        <v>37</v>
      </c>
      <c r="D38" t="s">
        <v>13</v>
      </c>
      <c r="E38" t="s">
        <v>4875</v>
      </c>
      <c r="F38" t="s">
        <v>3559</v>
      </c>
      <c r="G38" t="s">
        <v>4919</v>
      </c>
      <c r="H38">
        <v>0</v>
      </c>
      <c r="I38">
        <v>417</v>
      </c>
      <c r="J38">
        <v>538</v>
      </c>
      <c r="K38" t="str">
        <f t="shared" si="0"/>
        <v>mine223286</v>
      </c>
      <c r="M38" t="s">
        <v>1067</v>
      </c>
      <c r="N38" t="s">
        <v>1368</v>
      </c>
      <c r="Q38" t="s">
        <v>11083</v>
      </c>
      <c r="U38">
        <v>9</v>
      </c>
      <c r="V38">
        <v>0</v>
      </c>
      <c r="W38">
        <v>10</v>
      </c>
      <c r="X38">
        <v>22.3</v>
      </c>
      <c r="Y38">
        <v>28.6</v>
      </c>
    </row>
    <row r="39" spans="1:25" x14ac:dyDescent="0.25">
      <c r="A39" t="s">
        <v>4920</v>
      </c>
      <c r="B39">
        <v>38</v>
      </c>
      <c r="C39">
        <v>38</v>
      </c>
      <c r="D39" t="s">
        <v>13</v>
      </c>
      <c r="E39" t="s">
        <v>4875</v>
      </c>
      <c r="F39" t="s">
        <v>3559</v>
      </c>
      <c r="G39" t="s">
        <v>4919</v>
      </c>
      <c r="H39">
        <v>0</v>
      </c>
      <c r="I39">
        <v>373</v>
      </c>
      <c r="J39">
        <v>423</v>
      </c>
      <c r="K39" t="str">
        <f t="shared" si="0"/>
        <v>mine202226</v>
      </c>
      <c r="M39" t="s">
        <v>1067</v>
      </c>
      <c r="N39" t="s">
        <v>1421</v>
      </c>
      <c r="Q39" t="s">
        <v>11083</v>
      </c>
      <c r="U39">
        <v>9</v>
      </c>
      <c r="V39">
        <v>0</v>
      </c>
      <c r="W39">
        <v>10</v>
      </c>
      <c r="X39">
        <v>20.2</v>
      </c>
      <c r="Y39">
        <v>22.6</v>
      </c>
    </row>
    <row r="40" spans="1:25" x14ac:dyDescent="0.25">
      <c r="A40" t="s">
        <v>4921</v>
      </c>
      <c r="B40">
        <v>39</v>
      </c>
      <c r="C40">
        <v>39</v>
      </c>
      <c r="D40" t="s">
        <v>13</v>
      </c>
      <c r="E40" t="s">
        <v>4875</v>
      </c>
      <c r="F40" t="s">
        <v>3559</v>
      </c>
      <c r="G40" t="s">
        <v>4922</v>
      </c>
      <c r="H40">
        <v>0</v>
      </c>
      <c r="I40">
        <v>417</v>
      </c>
      <c r="J40">
        <v>538</v>
      </c>
      <c r="K40" t="str">
        <f t="shared" si="0"/>
        <v>mine223286</v>
      </c>
      <c r="M40" t="s">
        <v>1067</v>
      </c>
      <c r="N40" t="s">
        <v>1368</v>
      </c>
      <c r="Q40" t="s">
        <v>11083</v>
      </c>
      <c r="U40">
        <v>10</v>
      </c>
      <c r="V40">
        <v>0</v>
      </c>
      <c r="W40">
        <v>10</v>
      </c>
      <c r="X40">
        <v>22.3</v>
      </c>
      <c r="Y40">
        <v>28.6</v>
      </c>
    </row>
    <row r="41" spans="1:25" x14ac:dyDescent="0.25">
      <c r="A41" t="s">
        <v>4923</v>
      </c>
      <c r="B41">
        <v>40</v>
      </c>
      <c r="C41">
        <v>40</v>
      </c>
      <c r="D41" t="s">
        <v>13</v>
      </c>
      <c r="E41" t="s">
        <v>4875</v>
      </c>
      <c r="F41" t="s">
        <v>3559</v>
      </c>
      <c r="G41" t="s">
        <v>4924</v>
      </c>
      <c r="H41">
        <v>0</v>
      </c>
      <c r="I41">
        <v>538</v>
      </c>
      <c r="J41">
        <v>471</v>
      </c>
      <c r="K41" t="str">
        <f t="shared" si="0"/>
        <v>mine286251</v>
      </c>
      <c r="M41" t="s">
        <v>1067</v>
      </c>
      <c r="N41" t="s">
        <v>1329</v>
      </c>
      <c r="Q41" t="s">
        <v>11083</v>
      </c>
      <c r="U41">
        <v>10</v>
      </c>
      <c r="V41">
        <v>0</v>
      </c>
      <c r="W41">
        <v>10</v>
      </c>
      <c r="X41">
        <v>28.6</v>
      </c>
      <c r="Y41">
        <v>25.1</v>
      </c>
    </row>
    <row r="42" spans="1:25" x14ac:dyDescent="0.25">
      <c r="A42" t="s">
        <v>4925</v>
      </c>
      <c r="B42">
        <v>41</v>
      </c>
      <c r="C42">
        <v>41</v>
      </c>
      <c r="D42" t="s">
        <v>13</v>
      </c>
      <c r="E42" t="s">
        <v>4875</v>
      </c>
      <c r="F42" t="s">
        <v>3559</v>
      </c>
      <c r="G42" t="s">
        <v>4926</v>
      </c>
      <c r="H42">
        <v>0</v>
      </c>
      <c r="I42">
        <v>515</v>
      </c>
      <c r="J42">
        <v>314</v>
      </c>
      <c r="K42" t="str">
        <f t="shared" si="0"/>
        <v>mine27417</v>
      </c>
      <c r="M42" t="s">
        <v>1067</v>
      </c>
      <c r="N42" t="s">
        <v>1381</v>
      </c>
      <c r="Q42" t="s">
        <v>11083</v>
      </c>
      <c r="U42">
        <v>14</v>
      </c>
      <c r="V42">
        <v>0</v>
      </c>
      <c r="W42">
        <v>15</v>
      </c>
      <c r="X42">
        <v>27.4</v>
      </c>
      <c r="Y42">
        <v>17</v>
      </c>
    </row>
    <row r="43" spans="1:25" x14ac:dyDescent="0.25">
      <c r="A43" t="s">
        <v>4927</v>
      </c>
      <c r="B43">
        <v>42</v>
      </c>
      <c r="C43">
        <v>42</v>
      </c>
      <c r="D43" t="s">
        <v>13</v>
      </c>
      <c r="E43" t="s">
        <v>4875</v>
      </c>
      <c r="F43" t="s">
        <v>3559</v>
      </c>
      <c r="G43" t="s">
        <v>4928</v>
      </c>
      <c r="H43">
        <v>0</v>
      </c>
      <c r="I43">
        <v>331</v>
      </c>
      <c r="J43">
        <v>383</v>
      </c>
      <c r="K43" t="str">
        <f t="shared" si="0"/>
        <v>mine18205</v>
      </c>
      <c r="M43" t="s">
        <v>1067</v>
      </c>
      <c r="N43" t="s">
        <v>1448</v>
      </c>
      <c r="Q43" t="s">
        <v>11083</v>
      </c>
      <c r="U43">
        <v>16</v>
      </c>
      <c r="V43">
        <v>0</v>
      </c>
      <c r="W43">
        <v>20</v>
      </c>
      <c r="X43">
        <v>18</v>
      </c>
      <c r="Y43">
        <v>20.5</v>
      </c>
    </row>
    <row r="44" spans="1:25" x14ac:dyDescent="0.25">
      <c r="A44" t="s">
        <v>4929</v>
      </c>
      <c r="B44">
        <v>43</v>
      </c>
      <c r="C44">
        <v>43</v>
      </c>
      <c r="D44" t="s">
        <v>13</v>
      </c>
      <c r="E44" t="s">
        <v>4875</v>
      </c>
      <c r="F44" t="s">
        <v>3559</v>
      </c>
      <c r="G44" t="s">
        <v>4930</v>
      </c>
      <c r="H44">
        <v>0</v>
      </c>
      <c r="I44">
        <v>555</v>
      </c>
      <c r="J44">
        <v>432</v>
      </c>
      <c r="K44" t="str">
        <f t="shared" si="0"/>
        <v>mine294231</v>
      </c>
      <c r="M44" t="s">
        <v>1067</v>
      </c>
      <c r="N44" t="s">
        <v>1336</v>
      </c>
      <c r="Q44" t="s">
        <v>11083</v>
      </c>
      <c r="U44">
        <v>17</v>
      </c>
      <c r="V44">
        <v>0</v>
      </c>
      <c r="W44">
        <v>20</v>
      </c>
      <c r="X44">
        <v>29.4</v>
      </c>
      <c r="Y44">
        <v>23.1</v>
      </c>
    </row>
    <row r="45" spans="1:25" x14ac:dyDescent="0.25">
      <c r="A45" t="s">
        <v>4931</v>
      </c>
      <c r="B45">
        <v>44</v>
      </c>
      <c r="C45">
        <v>44</v>
      </c>
      <c r="D45" t="s">
        <v>13</v>
      </c>
      <c r="E45" t="s">
        <v>4875</v>
      </c>
      <c r="F45" t="s">
        <v>3559</v>
      </c>
      <c r="G45" t="s">
        <v>4932</v>
      </c>
      <c r="H45">
        <v>0</v>
      </c>
      <c r="I45">
        <v>331</v>
      </c>
      <c r="J45">
        <v>383</v>
      </c>
      <c r="K45" t="str">
        <f t="shared" si="0"/>
        <v>mine18205</v>
      </c>
      <c r="M45" t="s">
        <v>1067</v>
      </c>
      <c r="N45" t="s">
        <v>1448</v>
      </c>
      <c r="Q45" t="s">
        <v>11083</v>
      </c>
      <c r="U45">
        <v>17</v>
      </c>
      <c r="V45">
        <v>0</v>
      </c>
      <c r="W45">
        <v>20</v>
      </c>
      <c r="X45">
        <v>18</v>
      </c>
      <c r="Y45">
        <v>20.5</v>
      </c>
    </row>
    <row r="46" spans="1:25" x14ac:dyDescent="0.25">
      <c r="A46" t="s">
        <v>4933</v>
      </c>
      <c r="B46">
        <v>45</v>
      </c>
      <c r="C46">
        <v>45</v>
      </c>
      <c r="D46" t="s">
        <v>13</v>
      </c>
      <c r="E46" t="s">
        <v>4875</v>
      </c>
      <c r="F46" t="s">
        <v>3559</v>
      </c>
      <c r="G46" t="s">
        <v>4934</v>
      </c>
      <c r="H46">
        <v>0</v>
      </c>
      <c r="I46">
        <v>538</v>
      </c>
      <c r="J46">
        <v>427</v>
      </c>
      <c r="K46" t="str">
        <f t="shared" si="0"/>
        <v>mine287226</v>
      </c>
      <c r="M46" t="s">
        <v>1067</v>
      </c>
      <c r="N46" t="s">
        <v>1168</v>
      </c>
      <c r="Q46" t="s">
        <v>11083</v>
      </c>
      <c r="U46">
        <v>18</v>
      </c>
      <c r="V46">
        <v>0</v>
      </c>
      <c r="W46">
        <v>20</v>
      </c>
      <c r="X46">
        <v>28.7</v>
      </c>
      <c r="Y46">
        <v>22.6</v>
      </c>
    </row>
    <row r="47" spans="1:25" x14ac:dyDescent="0.25">
      <c r="A47" t="s">
        <v>4935</v>
      </c>
      <c r="B47">
        <v>46</v>
      </c>
      <c r="C47">
        <v>46</v>
      </c>
      <c r="D47" t="s">
        <v>13</v>
      </c>
      <c r="E47" t="s">
        <v>4875</v>
      </c>
      <c r="F47" t="s">
        <v>3559</v>
      </c>
      <c r="G47" t="s">
        <v>4936</v>
      </c>
      <c r="H47">
        <v>0</v>
      </c>
      <c r="I47">
        <v>538</v>
      </c>
      <c r="J47">
        <v>427</v>
      </c>
      <c r="K47" t="str">
        <f t="shared" si="0"/>
        <v>mine287226</v>
      </c>
      <c r="M47" t="s">
        <v>1067</v>
      </c>
      <c r="N47" t="s">
        <v>1168</v>
      </c>
      <c r="Q47" t="s">
        <v>11083</v>
      </c>
      <c r="U47">
        <v>19</v>
      </c>
      <c r="V47">
        <v>0</v>
      </c>
      <c r="W47">
        <v>20</v>
      </c>
      <c r="X47">
        <v>28.7</v>
      </c>
      <c r="Y47">
        <v>22.6</v>
      </c>
    </row>
    <row r="48" spans="1:25" x14ac:dyDescent="0.25">
      <c r="A48" t="s">
        <v>4937</v>
      </c>
      <c r="B48">
        <v>47</v>
      </c>
      <c r="C48">
        <v>47</v>
      </c>
      <c r="D48" t="s">
        <v>13</v>
      </c>
      <c r="E48" t="s">
        <v>4875</v>
      </c>
      <c r="F48" t="s">
        <v>3559</v>
      </c>
      <c r="G48" t="s">
        <v>4938</v>
      </c>
      <c r="H48">
        <v>0</v>
      </c>
      <c r="I48">
        <v>331</v>
      </c>
      <c r="J48">
        <v>383</v>
      </c>
      <c r="K48" t="str">
        <f t="shared" si="0"/>
        <v>mine18205</v>
      </c>
      <c r="M48" t="s">
        <v>1067</v>
      </c>
      <c r="N48" t="s">
        <v>1448</v>
      </c>
      <c r="Q48" t="s">
        <v>11083</v>
      </c>
      <c r="U48">
        <v>19</v>
      </c>
      <c r="V48">
        <v>0</v>
      </c>
      <c r="W48">
        <v>20</v>
      </c>
      <c r="X48">
        <v>18</v>
      </c>
      <c r="Y48">
        <v>20.5</v>
      </c>
    </row>
    <row r="49" spans="1:25" x14ac:dyDescent="0.25">
      <c r="A49" t="s">
        <v>4939</v>
      </c>
      <c r="B49">
        <v>48</v>
      </c>
      <c r="C49">
        <v>48</v>
      </c>
      <c r="D49" t="s">
        <v>13</v>
      </c>
      <c r="E49" t="s">
        <v>4875</v>
      </c>
      <c r="F49" t="s">
        <v>3559</v>
      </c>
      <c r="G49" t="s">
        <v>4940</v>
      </c>
      <c r="H49">
        <v>0</v>
      </c>
      <c r="I49">
        <v>293</v>
      </c>
      <c r="J49">
        <v>362</v>
      </c>
      <c r="K49" t="str">
        <f t="shared" si="0"/>
        <v>mine16195</v>
      </c>
      <c r="M49" t="s">
        <v>1067</v>
      </c>
      <c r="N49" t="s">
        <v>1308</v>
      </c>
      <c r="Q49" t="s">
        <v>11083</v>
      </c>
      <c r="U49">
        <v>24</v>
      </c>
      <c r="V49">
        <v>0</v>
      </c>
      <c r="W49">
        <v>25</v>
      </c>
      <c r="X49">
        <v>16</v>
      </c>
      <c r="Y49">
        <v>19.5</v>
      </c>
    </row>
    <row r="50" spans="1:25" x14ac:dyDescent="0.25">
      <c r="A50" t="s">
        <v>4941</v>
      </c>
      <c r="B50">
        <v>49</v>
      </c>
      <c r="C50">
        <v>49</v>
      </c>
      <c r="D50" t="s">
        <v>13</v>
      </c>
      <c r="E50" t="s">
        <v>4875</v>
      </c>
      <c r="F50" t="s">
        <v>3559</v>
      </c>
      <c r="G50" t="s">
        <v>4942</v>
      </c>
      <c r="H50">
        <v>0</v>
      </c>
      <c r="I50">
        <v>293</v>
      </c>
      <c r="J50">
        <v>362</v>
      </c>
      <c r="K50" t="str">
        <f t="shared" si="0"/>
        <v>mine16195</v>
      </c>
      <c r="M50" t="s">
        <v>1067</v>
      </c>
      <c r="N50" t="s">
        <v>1308</v>
      </c>
      <c r="Q50" t="s">
        <v>11083</v>
      </c>
      <c r="U50">
        <v>25</v>
      </c>
      <c r="V50">
        <v>0</v>
      </c>
      <c r="W50">
        <v>25</v>
      </c>
      <c r="X50">
        <v>16</v>
      </c>
      <c r="Y50">
        <v>19.5</v>
      </c>
    </row>
    <row r="51" spans="1:25" x14ac:dyDescent="0.25">
      <c r="A51" t="s">
        <v>4943</v>
      </c>
      <c r="B51">
        <v>50</v>
      </c>
      <c r="C51">
        <v>50</v>
      </c>
      <c r="D51" t="s">
        <v>13</v>
      </c>
      <c r="E51" t="s">
        <v>4875</v>
      </c>
      <c r="F51" t="s">
        <v>3559</v>
      </c>
      <c r="G51" t="s">
        <v>15</v>
      </c>
      <c r="H51">
        <v>1</v>
      </c>
      <c r="I51">
        <v>542</v>
      </c>
      <c r="J51">
        <v>262</v>
      </c>
      <c r="K51" t="str">
        <f t="shared" si="0"/>
        <v>mine304151</v>
      </c>
      <c r="M51" t="s">
        <v>11</v>
      </c>
      <c r="N51" t="s">
        <v>1662</v>
      </c>
      <c r="Q51" t="s">
        <v>11083</v>
      </c>
      <c r="U51">
        <v>26</v>
      </c>
      <c r="V51">
        <v>0</v>
      </c>
      <c r="W51">
        <v>55</v>
      </c>
      <c r="X51">
        <v>30.4</v>
      </c>
      <c r="Y51">
        <v>15.1</v>
      </c>
    </row>
    <row r="52" spans="1:25" x14ac:dyDescent="0.25">
      <c r="A52" t="s">
        <v>4944</v>
      </c>
      <c r="B52">
        <v>51</v>
      </c>
      <c r="C52">
        <v>51</v>
      </c>
      <c r="D52" t="s">
        <v>13</v>
      </c>
      <c r="E52" t="s">
        <v>4875</v>
      </c>
      <c r="F52" t="s">
        <v>3559</v>
      </c>
      <c r="G52" t="s">
        <v>15</v>
      </c>
      <c r="H52">
        <v>1</v>
      </c>
      <c r="I52">
        <v>492</v>
      </c>
      <c r="J52">
        <v>570</v>
      </c>
      <c r="K52" t="str">
        <f t="shared" si="0"/>
        <v>mine274318</v>
      </c>
      <c r="M52" t="s">
        <v>11</v>
      </c>
      <c r="N52" t="s">
        <v>1667</v>
      </c>
      <c r="Q52" t="s">
        <v>11083</v>
      </c>
      <c r="U52">
        <v>26</v>
      </c>
      <c r="V52">
        <v>0</v>
      </c>
      <c r="W52">
        <v>55</v>
      </c>
      <c r="X52">
        <v>27.4</v>
      </c>
      <c r="Y52">
        <v>31.8</v>
      </c>
    </row>
    <row r="53" spans="1:25" x14ac:dyDescent="0.25">
      <c r="A53" t="s">
        <v>4945</v>
      </c>
      <c r="B53">
        <v>52</v>
      </c>
      <c r="C53">
        <v>52</v>
      </c>
      <c r="D53" t="s">
        <v>13</v>
      </c>
      <c r="E53" t="s">
        <v>4875</v>
      </c>
      <c r="F53" t="s">
        <v>3559</v>
      </c>
      <c r="G53" t="s">
        <v>15</v>
      </c>
      <c r="H53">
        <v>1</v>
      </c>
      <c r="I53">
        <v>330</v>
      </c>
      <c r="J53">
        <v>514</v>
      </c>
      <c r="K53" t="str">
        <f t="shared" si="0"/>
        <v>mine186287</v>
      </c>
      <c r="M53" t="s">
        <v>11</v>
      </c>
      <c r="N53" t="s">
        <v>1672</v>
      </c>
      <c r="Q53" t="s">
        <v>11083</v>
      </c>
      <c r="U53">
        <v>26</v>
      </c>
      <c r="V53">
        <v>0</v>
      </c>
      <c r="W53">
        <v>60</v>
      </c>
      <c r="X53">
        <v>18.600000000000001</v>
      </c>
      <c r="Y53">
        <v>28.7</v>
      </c>
    </row>
    <row r="54" spans="1:25" x14ac:dyDescent="0.25">
      <c r="A54" t="s">
        <v>4946</v>
      </c>
      <c r="B54">
        <v>53</v>
      </c>
      <c r="C54">
        <v>53</v>
      </c>
      <c r="D54" t="s">
        <v>13</v>
      </c>
      <c r="E54" t="s">
        <v>4875</v>
      </c>
      <c r="F54" t="s">
        <v>3559</v>
      </c>
      <c r="G54" t="s">
        <v>15</v>
      </c>
      <c r="H54">
        <v>1</v>
      </c>
      <c r="I54">
        <v>597</v>
      </c>
      <c r="J54">
        <v>407</v>
      </c>
      <c r="K54" t="str">
        <f t="shared" si="0"/>
        <v>mine316217</v>
      </c>
      <c r="M54" t="s">
        <v>73</v>
      </c>
      <c r="N54" t="s">
        <v>1931</v>
      </c>
      <c r="Q54" t="s">
        <v>11083</v>
      </c>
      <c r="U54">
        <v>26</v>
      </c>
      <c r="V54">
        <v>0</v>
      </c>
      <c r="W54">
        <v>65</v>
      </c>
      <c r="X54">
        <v>31.6</v>
      </c>
      <c r="Y54">
        <v>21.7</v>
      </c>
    </row>
    <row r="55" spans="1:25" x14ac:dyDescent="0.25">
      <c r="A55" t="s">
        <v>4947</v>
      </c>
      <c r="B55">
        <v>54</v>
      </c>
      <c r="C55">
        <v>54</v>
      </c>
      <c r="D55" t="s">
        <v>13</v>
      </c>
      <c r="E55" t="s">
        <v>4875</v>
      </c>
      <c r="F55" t="s">
        <v>3559</v>
      </c>
      <c r="G55" t="s">
        <v>15</v>
      </c>
      <c r="H55">
        <v>1</v>
      </c>
      <c r="I55">
        <v>715</v>
      </c>
      <c r="J55">
        <v>374</v>
      </c>
      <c r="K55" t="str">
        <f t="shared" si="0"/>
        <v>mine376199</v>
      </c>
      <c r="M55" t="s">
        <v>73</v>
      </c>
      <c r="N55" t="s">
        <v>1934</v>
      </c>
      <c r="Q55" t="s">
        <v>11083</v>
      </c>
      <c r="U55">
        <v>26</v>
      </c>
      <c r="V55">
        <v>0</v>
      </c>
      <c r="W55">
        <v>70</v>
      </c>
      <c r="X55">
        <v>37.6</v>
      </c>
      <c r="Y55">
        <v>19.899999999999999</v>
      </c>
    </row>
    <row r="56" spans="1:25" x14ac:dyDescent="0.25">
      <c r="A56" t="s">
        <v>4948</v>
      </c>
      <c r="B56">
        <v>55</v>
      </c>
      <c r="C56">
        <v>55</v>
      </c>
      <c r="D56" t="s">
        <v>13</v>
      </c>
      <c r="E56" t="s">
        <v>4875</v>
      </c>
      <c r="F56" t="s">
        <v>3559</v>
      </c>
      <c r="G56" t="s">
        <v>15</v>
      </c>
      <c r="H56">
        <v>1</v>
      </c>
      <c r="I56">
        <v>460</v>
      </c>
      <c r="J56">
        <v>174</v>
      </c>
      <c r="K56" t="str">
        <f t="shared" si="0"/>
        <v>mine24597</v>
      </c>
      <c r="M56" t="s">
        <v>133</v>
      </c>
      <c r="N56" t="s">
        <v>2536</v>
      </c>
      <c r="Q56" t="s">
        <v>11083</v>
      </c>
      <c r="U56">
        <v>26</v>
      </c>
      <c r="V56">
        <v>0</v>
      </c>
      <c r="W56">
        <v>90</v>
      </c>
      <c r="X56">
        <v>24.5</v>
      </c>
      <c r="Y56">
        <v>9.6999999999999993</v>
      </c>
    </row>
    <row r="57" spans="1:25" x14ac:dyDescent="0.25">
      <c r="A57" t="s">
        <v>4949</v>
      </c>
      <c r="B57">
        <v>56</v>
      </c>
      <c r="C57">
        <v>56</v>
      </c>
      <c r="D57" t="s">
        <v>13</v>
      </c>
      <c r="E57" t="s">
        <v>4875</v>
      </c>
      <c r="F57" t="s">
        <v>3559</v>
      </c>
      <c r="G57" t="s">
        <v>15</v>
      </c>
      <c r="H57">
        <v>1</v>
      </c>
      <c r="I57">
        <v>620</v>
      </c>
      <c r="J57">
        <v>99</v>
      </c>
      <c r="K57" t="str">
        <f t="shared" si="0"/>
        <v>mine3357</v>
      </c>
      <c r="M57" t="s">
        <v>215</v>
      </c>
      <c r="N57" t="s">
        <v>2714</v>
      </c>
      <c r="Q57" t="s">
        <v>11083</v>
      </c>
      <c r="U57">
        <v>26</v>
      </c>
      <c r="V57">
        <v>0</v>
      </c>
      <c r="W57">
        <v>95</v>
      </c>
      <c r="X57">
        <v>33</v>
      </c>
      <c r="Y57">
        <v>5.7</v>
      </c>
    </row>
    <row r="58" spans="1:25" x14ac:dyDescent="0.25">
      <c r="A58" t="s">
        <v>4950</v>
      </c>
      <c r="B58">
        <v>57</v>
      </c>
      <c r="C58">
        <v>57</v>
      </c>
      <c r="D58" t="s">
        <v>13</v>
      </c>
      <c r="E58" t="s">
        <v>4875</v>
      </c>
      <c r="F58" t="s">
        <v>3559</v>
      </c>
      <c r="G58" t="s">
        <v>15</v>
      </c>
      <c r="H58">
        <v>1</v>
      </c>
      <c r="I58">
        <v>237</v>
      </c>
      <c r="J58">
        <v>153</v>
      </c>
      <c r="K58" t="str">
        <f t="shared" si="0"/>
        <v>mine13389</v>
      </c>
      <c r="M58" t="s">
        <v>215</v>
      </c>
      <c r="N58" t="s">
        <v>3684</v>
      </c>
      <c r="Q58" t="s">
        <v>11083</v>
      </c>
      <c r="U58">
        <v>26</v>
      </c>
      <c r="V58">
        <v>0</v>
      </c>
      <c r="W58">
        <v>100</v>
      </c>
      <c r="X58">
        <v>13.3</v>
      </c>
      <c r="Y58">
        <v>8.9</v>
      </c>
    </row>
    <row r="59" spans="1:25" x14ac:dyDescent="0.25">
      <c r="A59" t="s">
        <v>4951</v>
      </c>
      <c r="B59">
        <v>58</v>
      </c>
      <c r="C59">
        <v>58</v>
      </c>
      <c r="D59" t="s">
        <v>13</v>
      </c>
      <c r="E59" t="s">
        <v>4875</v>
      </c>
      <c r="F59" t="s">
        <v>3559</v>
      </c>
      <c r="G59" t="s">
        <v>37</v>
      </c>
      <c r="H59">
        <v>1</v>
      </c>
      <c r="I59">
        <v>520</v>
      </c>
      <c r="J59">
        <v>502</v>
      </c>
      <c r="K59" t="str">
        <f t="shared" si="0"/>
        <v>mine293281</v>
      </c>
      <c r="M59" t="s">
        <v>11</v>
      </c>
      <c r="N59" t="s">
        <v>1532</v>
      </c>
      <c r="Q59" t="s">
        <v>11083</v>
      </c>
      <c r="U59">
        <v>26</v>
      </c>
      <c r="V59">
        <v>0</v>
      </c>
      <c r="W59">
        <v>50</v>
      </c>
      <c r="X59">
        <v>29.3</v>
      </c>
      <c r="Y59">
        <v>28.1</v>
      </c>
    </row>
    <row r="60" spans="1:25" x14ac:dyDescent="0.25">
      <c r="A60" t="s">
        <v>4952</v>
      </c>
      <c r="B60">
        <v>59</v>
      </c>
      <c r="C60">
        <v>59</v>
      </c>
      <c r="D60" t="s">
        <v>13</v>
      </c>
      <c r="E60" t="s">
        <v>4875</v>
      </c>
      <c r="F60" t="s">
        <v>3559</v>
      </c>
      <c r="G60" t="s">
        <v>37</v>
      </c>
      <c r="H60">
        <v>1</v>
      </c>
      <c r="I60">
        <v>559</v>
      </c>
      <c r="J60">
        <v>216</v>
      </c>
      <c r="K60" t="str">
        <f t="shared" si="0"/>
        <v>mine314125</v>
      </c>
      <c r="M60" t="s">
        <v>11</v>
      </c>
      <c r="N60" t="s">
        <v>1553</v>
      </c>
      <c r="Q60" t="s">
        <v>11083</v>
      </c>
      <c r="U60">
        <v>26</v>
      </c>
      <c r="V60">
        <v>0</v>
      </c>
      <c r="W60">
        <v>55</v>
      </c>
      <c r="X60">
        <v>31.4</v>
      </c>
      <c r="Y60">
        <v>12.5</v>
      </c>
    </row>
    <row r="61" spans="1:25" x14ac:dyDescent="0.25">
      <c r="A61" t="s">
        <v>4953</v>
      </c>
      <c r="B61">
        <v>60</v>
      </c>
      <c r="C61">
        <v>60</v>
      </c>
      <c r="D61" t="s">
        <v>13</v>
      </c>
      <c r="E61" t="s">
        <v>4875</v>
      </c>
      <c r="F61" t="s">
        <v>3559</v>
      </c>
      <c r="G61" t="s">
        <v>37</v>
      </c>
      <c r="H61">
        <v>1</v>
      </c>
      <c r="I61">
        <v>395</v>
      </c>
      <c r="J61">
        <v>501</v>
      </c>
      <c r="K61" t="str">
        <f t="shared" si="0"/>
        <v>mine226282</v>
      </c>
      <c r="M61" t="s">
        <v>11</v>
      </c>
      <c r="N61" t="s">
        <v>1559</v>
      </c>
      <c r="Q61" t="s">
        <v>11083</v>
      </c>
      <c r="U61">
        <v>26</v>
      </c>
      <c r="V61">
        <v>0</v>
      </c>
      <c r="W61">
        <v>60</v>
      </c>
      <c r="X61">
        <v>22.6</v>
      </c>
      <c r="Y61">
        <v>28.2</v>
      </c>
    </row>
    <row r="62" spans="1:25" x14ac:dyDescent="0.25">
      <c r="A62" t="s">
        <v>4954</v>
      </c>
      <c r="B62">
        <v>61</v>
      </c>
      <c r="C62">
        <v>61</v>
      </c>
      <c r="D62" t="s">
        <v>13</v>
      </c>
      <c r="E62" t="s">
        <v>4875</v>
      </c>
      <c r="F62" t="s">
        <v>3559</v>
      </c>
      <c r="G62" t="s">
        <v>37</v>
      </c>
      <c r="H62">
        <v>1</v>
      </c>
      <c r="I62">
        <v>399</v>
      </c>
      <c r="J62">
        <v>629</v>
      </c>
      <c r="K62" t="str">
        <f t="shared" si="0"/>
        <v>mine22535</v>
      </c>
      <c r="M62" t="s">
        <v>73</v>
      </c>
      <c r="N62" t="s">
        <v>1560</v>
      </c>
      <c r="Q62" t="s">
        <v>11083</v>
      </c>
      <c r="U62">
        <v>26</v>
      </c>
      <c r="V62">
        <v>0</v>
      </c>
      <c r="W62">
        <v>65</v>
      </c>
      <c r="X62">
        <v>22.5</v>
      </c>
      <c r="Y62">
        <v>35</v>
      </c>
    </row>
    <row r="63" spans="1:25" x14ac:dyDescent="0.25">
      <c r="A63" t="s">
        <v>4955</v>
      </c>
      <c r="B63">
        <v>62</v>
      </c>
      <c r="C63">
        <v>62</v>
      </c>
      <c r="D63" t="s">
        <v>13</v>
      </c>
      <c r="E63" t="s">
        <v>4875</v>
      </c>
      <c r="F63" t="s">
        <v>3559</v>
      </c>
      <c r="G63" t="s">
        <v>37</v>
      </c>
      <c r="H63">
        <v>1</v>
      </c>
      <c r="I63">
        <v>238</v>
      </c>
      <c r="J63">
        <v>541</v>
      </c>
      <c r="K63" t="str">
        <f t="shared" si="0"/>
        <v>mine132273</v>
      </c>
      <c r="M63" t="s">
        <v>73</v>
      </c>
      <c r="N63" t="s">
        <v>1821</v>
      </c>
      <c r="Q63" t="s">
        <v>3669</v>
      </c>
      <c r="R63" t="s">
        <v>2805</v>
      </c>
      <c r="U63">
        <v>26</v>
      </c>
      <c r="V63">
        <v>0</v>
      </c>
      <c r="W63">
        <v>70</v>
      </c>
      <c r="X63">
        <v>13.2</v>
      </c>
      <c r="Y63">
        <v>27.3</v>
      </c>
    </row>
    <row r="64" spans="1:25" x14ac:dyDescent="0.25">
      <c r="A64" t="s">
        <v>4956</v>
      </c>
      <c r="B64">
        <v>63</v>
      </c>
      <c r="C64">
        <v>63</v>
      </c>
      <c r="D64" t="s">
        <v>13</v>
      </c>
      <c r="E64" t="s">
        <v>4875</v>
      </c>
      <c r="F64" t="s">
        <v>3559</v>
      </c>
      <c r="G64" t="s">
        <v>37</v>
      </c>
      <c r="H64">
        <v>1</v>
      </c>
      <c r="I64">
        <v>579</v>
      </c>
      <c r="J64">
        <v>288</v>
      </c>
      <c r="K64" t="str">
        <f t="shared" si="0"/>
        <v>mine306158</v>
      </c>
      <c r="M64" t="s">
        <v>102</v>
      </c>
      <c r="N64" t="s">
        <v>1862</v>
      </c>
      <c r="Q64" t="s">
        <v>11083</v>
      </c>
      <c r="U64">
        <v>26</v>
      </c>
      <c r="V64">
        <v>0</v>
      </c>
      <c r="W64">
        <v>75</v>
      </c>
      <c r="X64">
        <v>30.6</v>
      </c>
      <c r="Y64">
        <v>15.8</v>
      </c>
    </row>
    <row r="65" spans="1:25" x14ac:dyDescent="0.25">
      <c r="A65" t="s">
        <v>4957</v>
      </c>
      <c r="B65">
        <v>64</v>
      </c>
      <c r="C65">
        <v>64</v>
      </c>
      <c r="D65" t="s">
        <v>13</v>
      </c>
      <c r="E65" t="s">
        <v>4875</v>
      </c>
      <c r="F65" t="s">
        <v>3559</v>
      </c>
      <c r="G65" t="s">
        <v>37</v>
      </c>
      <c r="H65">
        <v>1</v>
      </c>
      <c r="I65">
        <v>356</v>
      </c>
      <c r="J65">
        <v>579</v>
      </c>
      <c r="K65" t="str">
        <f t="shared" si="0"/>
        <v>mine194309</v>
      </c>
      <c r="M65" t="s">
        <v>133</v>
      </c>
      <c r="N65" t="s">
        <v>2395</v>
      </c>
      <c r="Q65" t="s">
        <v>11083</v>
      </c>
      <c r="U65">
        <v>26</v>
      </c>
      <c r="V65">
        <v>0</v>
      </c>
      <c r="W65">
        <v>85</v>
      </c>
      <c r="X65">
        <v>19.399999999999999</v>
      </c>
      <c r="Y65">
        <v>30.9</v>
      </c>
    </row>
    <row r="66" spans="1:25" x14ac:dyDescent="0.25">
      <c r="A66" t="s">
        <v>4958</v>
      </c>
      <c r="B66">
        <v>65</v>
      </c>
      <c r="C66">
        <v>65</v>
      </c>
      <c r="D66" t="s">
        <v>13</v>
      </c>
      <c r="E66" t="s">
        <v>4875</v>
      </c>
      <c r="F66" t="s">
        <v>3559</v>
      </c>
      <c r="G66" t="s">
        <v>37</v>
      </c>
      <c r="H66">
        <v>1</v>
      </c>
      <c r="I66">
        <v>225</v>
      </c>
      <c r="J66">
        <v>358</v>
      </c>
      <c r="K66" t="str">
        <f t="shared" ref="K66:K129" si="1">LEFT(A66,4)&amp;SUBSTITUTE(X66,".","")&amp;SUBSTITUTE(Y66,".","")</f>
        <v>mine126193</v>
      </c>
      <c r="M66" t="s">
        <v>215</v>
      </c>
      <c r="N66" t="s">
        <v>2655</v>
      </c>
      <c r="Q66" t="s">
        <v>11083</v>
      </c>
      <c r="U66">
        <v>26</v>
      </c>
      <c r="V66">
        <v>0</v>
      </c>
      <c r="W66">
        <v>95</v>
      </c>
      <c r="X66">
        <v>12.6</v>
      </c>
      <c r="Y66">
        <v>19.3</v>
      </c>
    </row>
    <row r="67" spans="1:25" x14ac:dyDescent="0.25">
      <c r="A67" t="s">
        <v>4959</v>
      </c>
      <c r="B67">
        <v>66</v>
      </c>
      <c r="C67">
        <v>66</v>
      </c>
      <c r="D67" t="s">
        <v>13</v>
      </c>
      <c r="E67" t="s">
        <v>4875</v>
      </c>
      <c r="F67" t="s">
        <v>3559</v>
      </c>
      <c r="G67" t="s">
        <v>37</v>
      </c>
      <c r="H67">
        <v>1</v>
      </c>
      <c r="I67">
        <v>239</v>
      </c>
      <c r="J67">
        <v>182</v>
      </c>
      <c r="K67" t="str">
        <f t="shared" si="1"/>
        <v>mine132103</v>
      </c>
      <c r="M67" t="s">
        <v>215</v>
      </c>
      <c r="N67" t="s">
        <v>2650</v>
      </c>
      <c r="Q67" t="s">
        <v>11083</v>
      </c>
      <c r="U67">
        <v>26</v>
      </c>
      <c r="V67">
        <v>0</v>
      </c>
      <c r="W67">
        <v>100</v>
      </c>
      <c r="X67">
        <v>13.2</v>
      </c>
      <c r="Y67">
        <v>10.3</v>
      </c>
    </row>
    <row r="68" spans="1:25" x14ac:dyDescent="0.25">
      <c r="A68" t="s">
        <v>4960</v>
      </c>
      <c r="B68">
        <v>67</v>
      </c>
      <c r="C68">
        <v>67</v>
      </c>
      <c r="D68" t="s">
        <v>13</v>
      </c>
      <c r="E68" t="s">
        <v>4875</v>
      </c>
      <c r="F68" t="s">
        <v>3559</v>
      </c>
      <c r="G68" t="s">
        <v>37</v>
      </c>
      <c r="H68">
        <v>1</v>
      </c>
      <c r="I68">
        <v>627</v>
      </c>
      <c r="J68">
        <v>147</v>
      </c>
      <c r="K68" t="str">
        <f t="shared" si="1"/>
        <v>mine33586</v>
      </c>
      <c r="M68" t="s">
        <v>215</v>
      </c>
      <c r="N68" t="s">
        <v>2667</v>
      </c>
      <c r="Q68" t="s">
        <v>11083</v>
      </c>
      <c r="U68">
        <v>26</v>
      </c>
      <c r="V68">
        <v>0</v>
      </c>
      <c r="W68">
        <v>100</v>
      </c>
      <c r="X68">
        <v>33.5</v>
      </c>
      <c r="Y68">
        <v>8.6</v>
      </c>
    </row>
    <row r="69" spans="1:25" x14ac:dyDescent="0.25">
      <c r="A69" t="s">
        <v>4961</v>
      </c>
      <c r="B69">
        <v>68</v>
      </c>
      <c r="C69">
        <v>68</v>
      </c>
      <c r="D69" t="s">
        <v>13</v>
      </c>
      <c r="E69" t="s">
        <v>4875</v>
      </c>
      <c r="F69" t="s">
        <v>3559</v>
      </c>
      <c r="G69" t="s">
        <v>24</v>
      </c>
      <c r="H69">
        <v>1</v>
      </c>
      <c r="I69">
        <v>450</v>
      </c>
      <c r="J69">
        <v>445</v>
      </c>
      <c r="K69" t="str">
        <f t="shared" si="1"/>
        <v>mine25225</v>
      </c>
      <c r="M69" t="s">
        <v>11</v>
      </c>
      <c r="N69" t="s">
        <v>1686</v>
      </c>
      <c r="Q69" t="s">
        <v>11083</v>
      </c>
      <c r="U69">
        <v>26</v>
      </c>
      <c r="V69">
        <v>0</v>
      </c>
      <c r="W69">
        <v>60</v>
      </c>
      <c r="X69">
        <v>25.2</v>
      </c>
      <c r="Y69">
        <v>25</v>
      </c>
    </row>
    <row r="70" spans="1:25" x14ac:dyDescent="0.25">
      <c r="A70" t="s">
        <v>4962</v>
      </c>
      <c r="B70">
        <v>69</v>
      </c>
      <c r="C70">
        <v>69</v>
      </c>
      <c r="D70" t="s">
        <v>13</v>
      </c>
      <c r="E70" t="s">
        <v>4875</v>
      </c>
      <c r="F70" t="s">
        <v>3559</v>
      </c>
      <c r="G70" t="s">
        <v>24</v>
      </c>
      <c r="H70">
        <v>1</v>
      </c>
      <c r="I70">
        <v>270</v>
      </c>
      <c r="J70">
        <v>349</v>
      </c>
      <c r="K70" t="str">
        <f t="shared" si="1"/>
        <v>mine155197</v>
      </c>
      <c r="M70" t="s">
        <v>102</v>
      </c>
      <c r="N70" t="s">
        <v>1691</v>
      </c>
      <c r="Q70" t="s">
        <v>11083</v>
      </c>
      <c r="U70">
        <v>26</v>
      </c>
      <c r="V70">
        <v>0</v>
      </c>
      <c r="W70">
        <v>75</v>
      </c>
      <c r="X70">
        <v>15.5</v>
      </c>
      <c r="Y70">
        <v>19.7</v>
      </c>
    </row>
    <row r="71" spans="1:25" x14ac:dyDescent="0.25">
      <c r="A71" t="s">
        <v>4963</v>
      </c>
      <c r="B71">
        <v>70</v>
      </c>
      <c r="C71">
        <v>70</v>
      </c>
      <c r="D71" t="s">
        <v>13</v>
      </c>
      <c r="E71" t="s">
        <v>4875</v>
      </c>
      <c r="F71" t="s">
        <v>3559</v>
      </c>
      <c r="G71" t="s">
        <v>24</v>
      </c>
      <c r="H71">
        <v>1</v>
      </c>
      <c r="I71">
        <v>310</v>
      </c>
      <c r="J71">
        <v>203</v>
      </c>
      <c r="K71" t="str">
        <f t="shared" si="1"/>
        <v>mine168114</v>
      </c>
      <c r="M71" t="s">
        <v>73</v>
      </c>
      <c r="N71" t="s">
        <v>1736</v>
      </c>
      <c r="Q71" t="s">
        <v>11083</v>
      </c>
      <c r="U71">
        <v>26</v>
      </c>
      <c r="V71">
        <v>0</v>
      </c>
      <c r="W71">
        <v>60</v>
      </c>
      <c r="X71">
        <v>16.8</v>
      </c>
      <c r="Y71">
        <v>11.4</v>
      </c>
    </row>
    <row r="72" spans="1:25" x14ac:dyDescent="0.25">
      <c r="A72" t="s">
        <v>4964</v>
      </c>
      <c r="B72">
        <v>71</v>
      </c>
      <c r="C72">
        <v>71</v>
      </c>
      <c r="D72" t="s">
        <v>13</v>
      </c>
      <c r="E72" t="s">
        <v>4875</v>
      </c>
      <c r="F72" t="s">
        <v>3559</v>
      </c>
      <c r="G72" t="s">
        <v>24</v>
      </c>
      <c r="H72">
        <v>1</v>
      </c>
      <c r="I72">
        <v>451</v>
      </c>
      <c r="J72">
        <v>269</v>
      </c>
      <c r="K72" t="str">
        <f t="shared" si="1"/>
        <v>mine243147</v>
      </c>
      <c r="M72" t="s">
        <v>73</v>
      </c>
      <c r="N72" t="s">
        <v>1753</v>
      </c>
      <c r="Q72" t="s">
        <v>11083</v>
      </c>
      <c r="U72">
        <v>26</v>
      </c>
      <c r="V72">
        <v>0</v>
      </c>
      <c r="W72">
        <v>65</v>
      </c>
      <c r="X72">
        <v>24.3</v>
      </c>
      <c r="Y72">
        <v>14.7</v>
      </c>
    </row>
    <row r="73" spans="1:25" x14ac:dyDescent="0.25">
      <c r="A73" t="s">
        <v>4965</v>
      </c>
      <c r="B73">
        <v>72</v>
      </c>
      <c r="C73">
        <v>72</v>
      </c>
      <c r="D73" t="s">
        <v>13</v>
      </c>
      <c r="E73" t="s">
        <v>4875</v>
      </c>
      <c r="F73" t="s">
        <v>3559</v>
      </c>
      <c r="G73" t="s">
        <v>24</v>
      </c>
      <c r="H73">
        <v>1</v>
      </c>
      <c r="I73">
        <v>581</v>
      </c>
      <c r="J73">
        <v>421</v>
      </c>
      <c r="K73" t="str">
        <f t="shared" si="1"/>
        <v>mine309227</v>
      </c>
      <c r="M73" t="s">
        <v>102</v>
      </c>
      <c r="N73" t="s">
        <v>1765</v>
      </c>
      <c r="Q73" t="s">
        <v>11083</v>
      </c>
      <c r="U73">
        <v>26</v>
      </c>
      <c r="V73">
        <v>0</v>
      </c>
      <c r="W73">
        <v>75</v>
      </c>
      <c r="X73">
        <v>30.9</v>
      </c>
      <c r="Y73">
        <v>22.7</v>
      </c>
    </row>
    <row r="74" spans="1:25" x14ac:dyDescent="0.25">
      <c r="A74" t="s">
        <v>4966</v>
      </c>
      <c r="B74">
        <v>73</v>
      </c>
      <c r="C74">
        <v>73</v>
      </c>
      <c r="D74" t="s">
        <v>13</v>
      </c>
      <c r="E74" t="s">
        <v>4875</v>
      </c>
      <c r="F74" t="s">
        <v>3559</v>
      </c>
      <c r="G74" t="s">
        <v>24</v>
      </c>
      <c r="H74">
        <v>1</v>
      </c>
      <c r="I74">
        <v>342</v>
      </c>
      <c r="J74">
        <v>226</v>
      </c>
      <c r="K74" t="str">
        <f t="shared" si="1"/>
        <v>mine184124</v>
      </c>
      <c r="M74" t="s">
        <v>133</v>
      </c>
      <c r="N74" t="s">
        <v>2494</v>
      </c>
      <c r="Q74" t="s">
        <v>11083</v>
      </c>
      <c r="U74">
        <v>26</v>
      </c>
      <c r="V74">
        <v>0</v>
      </c>
      <c r="W74">
        <v>90</v>
      </c>
      <c r="X74">
        <v>18.399999999999999</v>
      </c>
      <c r="Y74">
        <v>12.4</v>
      </c>
    </row>
    <row r="75" spans="1:25" x14ac:dyDescent="0.25">
      <c r="A75" t="s">
        <v>4967</v>
      </c>
      <c r="B75">
        <v>74</v>
      </c>
      <c r="C75">
        <v>74</v>
      </c>
      <c r="D75" t="s">
        <v>13</v>
      </c>
      <c r="E75" t="s">
        <v>4875</v>
      </c>
      <c r="F75" t="s">
        <v>3559</v>
      </c>
      <c r="G75" t="s">
        <v>24</v>
      </c>
      <c r="H75">
        <v>1</v>
      </c>
      <c r="I75">
        <v>222</v>
      </c>
      <c r="J75">
        <v>197</v>
      </c>
      <c r="K75" t="str">
        <f t="shared" si="1"/>
        <v>mine12211</v>
      </c>
      <c r="M75" t="s">
        <v>215</v>
      </c>
      <c r="N75" t="s">
        <v>2555</v>
      </c>
      <c r="Q75" t="s">
        <v>11083</v>
      </c>
      <c r="U75">
        <v>26</v>
      </c>
      <c r="V75">
        <v>0</v>
      </c>
      <c r="W75">
        <v>95</v>
      </c>
      <c r="X75">
        <v>12.2</v>
      </c>
      <c r="Y75">
        <v>11</v>
      </c>
    </row>
    <row r="76" spans="1:25" x14ac:dyDescent="0.25">
      <c r="A76" t="s">
        <v>4968</v>
      </c>
      <c r="B76">
        <v>75</v>
      </c>
      <c r="C76">
        <v>75</v>
      </c>
      <c r="D76" t="s">
        <v>13</v>
      </c>
      <c r="E76" t="s">
        <v>4875</v>
      </c>
      <c r="F76" t="s">
        <v>3559</v>
      </c>
      <c r="G76" t="s">
        <v>24</v>
      </c>
      <c r="H76">
        <v>1</v>
      </c>
      <c r="I76">
        <v>322</v>
      </c>
      <c r="J76">
        <v>512</v>
      </c>
      <c r="K76" t="str">
        <f t="shared" si="1"/>
        <v>mine175274</v>
      </c>
      <c r="M76" t="s">
        <v>215</v>
      </c>
      <c r="N76" t="s">
        <v>2567</v>
      </c>
      <c r="Q76" t="s">
        <v>11083</v>
      </c>
      <c r="U76">
        <v>26</v>
      </c>
      <c r="V76">
        <v>0</v>
      </c>
      <c r="W76">
        <v>95</v>
      </c>
      <c r="X76">
        <v>17.5</v>
      </c>
      <c r="Y76">
        <v>27.4</v>
      </c>
    </row>
    <row r="77" spans="1:25" x14ac:dyDescent="0.25">
      <c r="A77" t="s">
        <v>4969</v>
      </c>
      <c r="B77">
        <v>76</v>
      </c>
      <c r="C77">
        <v>76</v>
      </c>
      <c r="D77" t="s">
        <v>13</v>
      </c>
      <c r="E77" t="s">
        <v>4875</v>
      </c>
      <c r="F77" t="s">
        <v>3559</v>
      </c>
      <c r="G77" t="s">
        <v>28</v>
      </c>
      <c r="H77">
        <v>1</v>
      </c>
      <c r="I77">
        <v>147</v>
      </c>
      <c r="J77">
        <v>124</v>
      </c>
      <c r="K77" t="str">
        <f t="shared" si="1"/>
        <v>mine8976</v>
      </c>
      <c r="M77" t="s">
        <v>102</v>
      </c>
      <c r="N77" t="s">
        <v>1717</v>
      </c>
      <c r="Q77" t="s">
        <v>11083</v>
      </c>
      <c r="U77">
        <v>26</v>
      </c>
      <c r="V77">
        <v>0</v>
      </c>
      <c r="W77">
        <v>75</v>
      </c>
      <c r="X77">
        <v>8.9</v>
      </c>
      <c r="Y77">
        <v>7.6</v>
      </c>
    </row>
    <row r="78" spans="1:25" x14ac:dyDescent="0.25">
      <c r="A78" t="s">
        <v>4970</v>
      </c>
      <c r="B78">
        <v>77</v>
      </c>
      <c r="C78">
        <v>77</v>
      </c>
      <c r="D78" t="s">
        <v>13</v>
      </c>
      <c r="E78" t="s">
        <v>4875</v>
      </c>
      <c r="F78" t="s">
        <v>3559</v>
      </c>
      <c r="G78" t="s">
        <v>28</v>
      </c>
      <c r="H78">
        <v>1</v>
      </c>
      <c r="I78">
        <v>702</v>
      </c>
      <c r="J78">
        <v>169</v>
      </c>
      <c r="K78" t="str">
        <f t="shared" si="1"/>
        <v>mine37198</v>
      </c>
      <c r="M78" t="s">
        <v>73</v>
      </c>
      <c r="N78" t="s">
        <v>1790</v>
      </c>
      <c r="Q78" t="s">
        <v>11083</v>
      </c>
      <c r="U78">
        <v>26</v>
      </c>
      <c r="V78">
        <v>0</v>
      </c>
      <c r="W78">
        <v>60</v>
      </c>
      <c r="X78">
        <v>37.1</v>
      </c>
      <c r="Y78">
        <v>9.8000000000000007</v>
      </c>
    </row>
    <row r="79" spans="1:25" x14ac:dyDescent="0.25">
      <c r="A79" t="s">
        <v>4971</v>
      </c>
      <c r="B79">
        <v>78</v>
      </c>
      <c r="C79">
        <v>78</v>
      </c>
      <c r="D79" t="s">
        <v>13</v>
      </c>
      <c r="E79" t="s">
        <v>4875</v>
      </c>
      <c r="F79" t="s">
        <v>3559</v>
      </c>
      <c r="G79" t="s">
        <v>28</v>
      </c>
      <c r="H79">
        <v>1</v>
      </c>
      <c r="I79">
        <v>548</v>
      </c>
      <c r="J79">
        <v>677</v>
      </c>
      <c r="K79" t="str">
        <f t="shared" si="1"/>
        <v>mine294358</v>
      </c>
      <c r="M79" t="s">
        <v>133</v>
      </c>
      <c r="N79" t="s">
        <v>2452</v>
      </c>
      <c r="Q79" t="s">
        <v>11083</v>
      </c>
      <c r="U79">
        <v>26</v>
      </c>
      <c r="V79">
        <v>0</v>
      </c>
      <c r="W79">
        <v>85</v>
      </c>
      <c r="X79">
        <v>29.4</v>
      </c>
      <c r="Y79">
        <v>35.799999999999997</v>
      </c>
    </row>
    <row r="80" spans="1:25" x14ac:dyDescent="0.25">
      <c r="A80" t="s">
        <v>4972</v>
      </c>
      <c r="B80">
        <v>79</v>
      </c>
      <c r="C80">
        <v>79</v>
      </c>
      <c r="D80" t="s">
        <v>13</v>
      </c>
      <c r="E80" t="s">
        <v>4875</v>
      </c>
      <c r="F80" t="s">
        <v>3559</v>
      </c>
      <c r="G80" t="s">
        <v>28</v>
      </c>
      <c r="H80">
        <v>1</v>
      </c>
      <c r="I80">
        <v>546</v>
      </c>
      <c r="J80">
        <v>402</v>
      </c>
      <c r="K80" t="str">
        <f t="shared" si="1"/>
        <v>mine29218</v>
      </c>
      <c r="M80" t="s">
        <v>215</v>
      </c>
      <c r="N80" t="s">
        <v>2732</v>
      </c>
      <c r="Q80" t="s">
        <v>11083</v>
      </c>
      <c r="U80">
        <v>26</v>
      </c>
      <c r="V80">
        <v>0</v>
      </c>
      <c r="W80">
        <v>100</v>
      </c>
      <c r="X80">
        <v>29</v>
      </c>
      <c r="Y80">
        <v>21.8</v>
      </c>
    </row>
    <row r="81" spans="1:25" x14ac:dyDescent="0.25">
      <c r="A81" t="s">
        <v>4973</v>
      </c>
      <c r="B81">
        <v>80</v>
      </c>
      <c r="C81">
        <v>80</v>
      </c>
      <c r="D81" t="s">
        <v>13</v>
      </c>
      <c r="E81" t="s">
        <v>4875</v>
      </c>
      <c r="F81" t="s">
        <v>3559</v>
      </c>
      <c r="G81" t="s">
        <v>28</v>
      </c>
      <c r="H81">
        <v>1</v>
      </c>
      <c r="I81">
        <v>286</v>
      </c>
      <c r="J81">
        <v>419</v>
      </c>
      <c r="K81" t="str">
        <f t="shared" si="1"/>
        <v>mine155226</v>
      </c>
      <c r="M81" t="s">
        <v>215</v>
      </c>
      <c r="N81" t="s">
        <v>2741</v>
      </c>
      <c r="Q81" t="s">
        <v>11083</v>
      </c>
      <c r="U81">
        <v>26</v>
      </c>
      <c r="V81">
        <v>0</v>
      </c>
      <c r="W81">
        <v>100</v>
      </c>
      <c r="X81">
        <v>15.5</v>
      </c>
      <c r="Y81">
        <v>22.6</v>
      </c>
    </row>
    <row r="82" spans="1:25" x14ac:dyDescent="0.25">
      <c r="A82" t="s">
        <v>4974</v>
      </c>
      <c r="B82">
        <v>81</v>
      </c>
      <c r="C82">
        <v>81</v>
      </c>
      <c r="D82" t="s">
        <v>13</v>
      </c>
      <c r="E82" t="s">
        <v>4875</v>
      </c>
      <c r="F82" t="s">
        <v>3559</v>
      </c>
      <c r="G82" t="s">
        <v>19</v>
      </c>
      <c r="H82">
        <v>1</v>
      </c>
      <c r="I82">
        <v>624</v>
      </c>
      <c r="J82">
        <v>546</v>
      </c>
      <c r="K82" t="str">
        <f t="shared" si="1"/>
        <v>mine348305</v>
      </c>
      <c r="M82" t="s">
        <v>11</v>
      </c>
      <c r="N82" t="s">
        <v>1605</v>
      </c>
      <c r="Q82" t="s">
        <v>11083</v>
      </c>
      <c r="U82">
        <v>26</v>
      </c>
      <c r="V82">
        <v>0</v>
      </c>
      <c r="W82">
        <v>60</v>
      </c>
      <c r="X82">
        <v>34.799999999999997</v>
      </c>
      <c r="Y82">
        <v>30.5</v>
      </c>
    </row>
    <row r="83" spans="1:25" x14ac:dyDescent="0.25">
      <c r="A83" t="s">
        <v>4975</v>
      </c>
      <c r="B83">
        <v>82</v>
      </c>
      <c r="C83">
        <v>82</v>
      </c>
      <c r="D83" t="s">
        <v>13</v>
      </c>
      <c r="E83" t="s">
        <v>4875</v>
      </c>
      <c r="F83" t="s">
        <v>3559</v>
      </c>
      <c r="G83" t="s">
        <v>19</v>
      </c>
      <c r="H83">
        <v>1</v>
      </c>
      <c r="I83">
        <v>659</v>
      </c>
      <c r="J83">
        <v>459</v>
      </c>
      <c r="K83" t="str">
        <f t="shared" si="1"/>
        <v>mine347245</v>
      </c>
      <c r="M83" t="s">
        <v>73</v>
      </c>
      <c r="N83" t="s">
        <v>1975</v>
      </c>
      <c r="Q83" t="s">
        <v>3669</v>
      </c>
      <c r="R83" t="s">
        <v>2819</v>
      </c>
      <c r="U83">
        <v>26</v>
      </c>
      <c r="V83">
        <v>0</v>
      </c>
      <c r="W83">
        <v>70</v>
      </c>
      <c r="X83">
        <v>34.700000000000003</v>
      </c>
      <c r="Y83">
        <v>24.5</v>
      </c>
    </row>
    <row r="84" spans="1:25" x14ac:dyDescent="0.25">
      <c r="A84" t="s">
        <v>4976</v>
      </c>
      <c r="B84">
        <v>83</v>
      </c>
      <c r="C84">
        <v>83</v>
      </c>
      <c r="D84" t="s">
        <v>13</v>
      </c>
      <c r="E84" t="s">
        <v>4875</v>
      </c>
      <c r="F84" t="s">
        <v>3559</v>
      </c>
      <c r="G84" t="s">
        <v>19</v>
      </c>
      <c r="H84">
        <v>1</v>
      </c>
      <c r="I84">
        <v>499</v>
      </c>
      <c r="J84">
        <v>692</v>
      </c>
      <c r="K84" t="str">
        <f t="shared" si="1"/>
        <v>mine269365</v>
      </c>
      <c r="M84" t="s">
        <v>102</v>
      </c>
      <c r="N84" t="s">
        <v>2057</v>
      </c>
      <c r="Q84" t="s">
        <v>11083</v>
      </c>
      <c r="U84">
        <v>26</v>
      </c>
      <c r="V84">
        <v>0</v>
      </c>
      <c r="W84">
        <v>75</v>
      </c>
      <c r="X84">
        <v>26.9</v>
      </c>
      <c r="Y84">
        <v>36.5</v>
      </c>
    </row>
    <row r="85" spans="1:25" x14ac:dyDescent="0.25">
      <c r="A85" t="s">
        <v>4977</v>
      </c>
      <c r="B85">
        <v>84</v>
      </c>
      <c r="C85">
        <v>84</v>
      </c>
      <c r="D85" t="s">
        <v>13</v>
      </c>
      <c r="E85" t="s">
        <v>4875</v>
      </c>
      <c r="F85" t="s">
        <v>3559</v>
      </c>
      <c r="G85" t="s">
        <v>19</v>
      </c>
      <c r="H85">
        <v>1</v>
      </c>
      <c r="I85">
        <v>671</v>
      </c>
      <c r="J85">
        <v>574</v>
      </c>
      <c r="K85" t="str">
        <f t="shared" si="1"/>
        <v>mine354306</v>
      </c>
      <c r="M85" t="s">
        <v>102</v>
      </c>
      <c r="N85" t="s">
        <v>2048</v>
      </c>
      <c r="Q85" t="s">
        <v>3669</v>
      </c>
      <c r="R85" t="s">
        <v>2815</v>
      </c>
      <c r="U85">
        <v>26</v>
      </c>
      <c r="V85">
        <v>0</v>
      </c>
      <c r="W85">
        <v>80</v>
      </c>
      <c r="X85">
        <v>35.4</v>
      </c>
      <c r="Y85">
        <v>30.6</v>
      </c>
    </row>
    <row r="86" spans="1:25" x14ac:dyDescent="0.25">
      <c r="A86" t="s">
        <v>4978</v>
      </c>
      <c r="B86">
        <v>85</v>
      </c>
      <c r="C86">
        <v>85</v>
      </c>
      <c r="D86" t="s">
        <v>13</v>
      </c>
      <c r="E86" t="s">
        <v>4875</v>
      </c>
      <c r="F86" t="s">
        <v>3559</v>
      </c>
      <c r="G86" t="s">
        <v>19</v>
      </c>
      <c r="H86">
        <v>1</v>
      </c>
      <c r="I86">
        <v>678</v>
      </c>
      <c r="J86">
        <v>259</v>
      </c>
      <c r="K86" t="str">
        <f t="shared" si="1"/>
        <v>mine361143</v>
      </c>
      <c r="M86" t="s">
        <v>102</v>
      </c>
      <c r="N86" t="s">
        <v>2054</v>
      </c>
      <c r="Q86" t="s">
        <v>11083</v>
      </c>
      <c r="U86">
        <v>26</v>
      </c>
      <c r="V86">
        <v>0</v>
      </c>
      <c r="W86">
        <v>80</v>
      </c>
      <c r="X86">
        <v>36.1</v>
      </c>
      <c r="Y86">
        <v>14.3</v>
      </c>
    </row>
    <row r="87" spans="1:25" x14ac:dyDescent="0.25">
      <c r="A87" t="s">
        <v>4979</v>
      </c>
      <c r="B87">
        <v>86</v>
      </c>
      <c r="C87">
        <v>86</v>
      </c>
      <c r="D87" t="s">
        <v>13</v>
      </c>
      <c r="E87" t="s">
        <v>4875</v>
      </c>
      <c r="F87" t="s">
        <v>3559</v>
      </c>
      <c r="G87" t="s">
        <v>19</v>
      </c>
      <c r="H87">
        <v>1</v>
      </c>
      <c r="I87">
        <v>541</v>
      </c>
      <c r="J87">
        <v>73</v>
      </c>
      <c r="K87" t="str">
        <f t="shared" si="1"/>
        <v>mine2944</v>
      </c>
      <c r="M87" t="s">
        <v>133</v>
      </c>
      <c r="N87" t="s">
        <v>2285</v>
      </c>
      <c r="Q87" t="s">
        <v>11083</v>
      </c>
      <c r="U87">
        <v>26</v>
      </c>
      <c r="V87">
        <v>0</v>
      </c>
      <c r="W87">
        <v>85</v>
      </c>
      <c r="X87">
        <v>29</v>
      </c>
      <c r="Y87">
        <v>4.4000000000000004</v>
      </c>
    </row>
    <row r="88" spans="1:25" x14ac:dyDescent="0.25">
      <c r="A88" t="s">
        <v>4980</v>
      </c>
      <c r="B88">
        <v>87</v>
      </c>
      <c r="C88">
        <v>87</v>
      </c>
      <c r="D88" t="s">
        <v>13</v>
      </c>
      <c r="E88" t="s">
        <v>4875</v>
      </c>
      <c r="F88" t="s">
        <v>3559</v>
      </c>
      <c r="G88" t="s">
        <v>19</v>
      </c>
      <c r="H88">
        <v>1</v>
      </c>
      <c r="I88">
        <v>176</v>
      </c>
      <c r="J88">
        <v>279</v>
      </c>
      <c r="K88" t="str">
        <f t="shared" si="1"/>
        <v>mine10153</v>
      </c>
      <c r="M88" t="s">
        <v>133</v>
      </c>
      <c r="N88" t="s">
        <v>2425</v>
      </c>
      <c r="Q88" t="s">
        <v>3669</v>
      </c>
      <c r="R88" t="s">
        <v>2825</v>
      </c>
      <c r="U88">
        <v>26</v>
      </c>
      <c r="V88">
        <v>0</v>
      </c>
      <c r="W88">
        <v>90</v>
      </c>
      <c r="X88">
        <v>10</v>
      </c>
      <c r="Y88">
        <v>15.3</v>
      </c>
    </row>
    <row r="89" spans="1:25" x14ac:dyDescent="0.25">
      <c r="A89" t="s">
        <v>4981</v>
      </c>
      <c r="B89">
        <v>88</v>
      </c>
      <c r="C89">
        <v>88</v>
      </c>
      <c r="D89" t="s">
        <v>13</v>
      </c>
      <c r="E89" t="s">
        <v>4875</v>
      </c>
      <c r="F89" t="s">
        <v>3559</v>
      </c>
      <c r="G89" t="s">
        <v>33</v>
      </c>
      <c r="H89">
        <v>1</v>
      </c>
      <c r="I89">
        <v>624</v>
      </c>
      <c r="J89">
        <v>546</v>
      </c>
      <c r="K89" t="str">
        <f t="shared" si="1"/>
        <v>mine348305</v>
      </c>
      <c r="M89" t="s">
        <v>11</v>
      </c>
      <c r="N89" t="s">
        <v>1605</v>
      </c>
      <c r="Q89" t="s">
        <v>11083</v>
      </c>
      <c r="U89">
        <v>26</v>
      </c>
      <c r="V89">
        <v>0</v>
      </c>
      <c r="W89">
        <v>60</v>
      </c>
      <c r="X89">
        <v>34.799999999999997</v>
      </c>
      <c r="Y89">
        <v>30.5</v>
      </c>
    </row>
    <row r="90" spans="1:25" x14ac:dyDescent="0.25">
      <c r="A90" t="s">
        <v>4982</v>
      </c>
      <c r="B90">
        <v>89</v>
      </c>
      <c r="C90">
        <v>89</v>
      </c>
      <c r="D90" t="s">
        <v>13</v>
      </c>
      <c r="E90" t="s">
        <v>4875</v>
      </c>
      <c r="F90" t="s">
        <v>3559</v>
      </c>
      <c r="G90" t="s">
        <v>33</v>
      </c>
      <c r="H90">
        <v>1</v>
      </c>
      <c r="I90">
        <v>535</v>
      </c>
      <c r="J90">
        <v>123</v>
      </c>
      <c r="K90" t="str">
        <f t="shared" si="1"/>
        <v>mine29976</v>
      </c>
      <c r="M90" t="s">
        <v>102</v>
      </c>
      <c r="N90" t="s">
        <v>1617</v>
      </c>
      <c r="Q90" t="s">
        <v>11083</v>
      </c>
      <c r="U90">
        <v>26</v>
      </c>
      <c r="V90">
        <v>0</v>
      </c>
      <c r="W90">
        <v>75</v>
      </c>
      <c r="X90">
        <v>29.9</v>
      </c>
      <c r="Y90">
        <v>7.6</v>
      </c>
    </row>
    <row r="91" spans="1:25" x14ac:dyDescent="0.25">
      <c r="A91" t="s">
        <v>4983</v>
      </c>
      <c r="B91">
        <v>90</v>
      </c>
      <c r="C91">
        <v>90</v>
      </c>
      <c r="D91" t="s">
        <v>13</v>
      </c>
      <c r="E91" t="s">
        <v>4875</v>
      </c>
      <c r="F91" t="s">
        <v>3559</v>
      </c>
      <c r="G91" t="s">
        <v>33</v>
      </c>
      <c r="H91">
        <v>1</v>
      </c>
      <c r="I91">
        <v>315</v>
      </c>
      <c r="J91">
        <v>673</v>
      </c>
      <c r="K91" t="str">
        <f t="shared" si="1"/>
        <v>mine17357</v>
      </c>
      <c r="M91" t="s">
        <v>73</v>
      </c>
      <c r="N91" t="s">
        <v>1924</v>
      </c>
      <c r="Q91" t="s">
        <v>11083</v>
      </c>
      <c r="U91">
        <v>26</v>
      </c>
      <c r="V91">
        <v>0</v>
      </c>
      <c r="W91">
        <v>60</v>
      </c>
      <c r="X91">
        <v>17</v>
      </c>
      <c r="Y91">
        <v>35.700000000000003</v>
      </c>
    </row>
    <row r="92" spans="1:25" x14ac:dyDescent="0.25">
      <c r="A92" t="s">
        <v>4984</v>
      </c>
      <c r="B92">
        <v>91</v>
      </c>
      <c r="C92">
        <v>91</v>
      </c>
      <c r="D92" t="s">
        <v>13</v>
      </c>
      <c r="E92" t="s">
        <v>4875</v>
      </c>
      <c r="F92" t="s">
        <v>3559</v>
      </c>
      <c r="G92" t="s">
        <v>33</v>
      </c>
      <c r="H92">
        <v>1</v>
      </c>
      <c r="I92">
        <v>444</v>
      </c>
      <c r="J92">
        <v>681</v>
      </c>
      <c r="K92" t="str">
        <f t="shared" si="1"/>
        <v>mine241359</v>
      </c>
      <c r="M92" t="s">
        <v>73</v>
      </c>
      <c r="N92" t="s">
        <v>912</v>
      </c>
      <c r="Q92" t="s">
        <v>11083</v>
      </c>
      <c r="U92">
        <v>26</v>
      </c>
      <c r="V92">
        <v>0</v>
      </c>
      <c r="W92">
        <v>65</v>
      </c>
      <c r="X92">
        <v>24.1</v>
      </c>
      <c r="Y92">
        <v>35.9</v>
      </c>
    </row>
    <row r="93" spans="1:25" x14ac:dyDescent="0.25">
      <c r="A93" t="s">
        <v>4985</v>
      </c>
      <c r="B93">
        <v>92</v>
      </c>
      <c r="C93">
        <v>92</v>
      </c>
      <c r="D93" t="s">
        <v>13</v>
      </c>
      <c r="E93" t="s">
        <v>4875</v>
      </c>
      <c r="F93" t="s">
        <v>3559</v>
      </c>
      <c r="G93" t="s">
        <v>33</v>
      </c>
      <c r="H93">
        <v>1</v>
      </c>
      <c r="I93">
        <v>626</v>
      </c>
      <c r="J93">
        <v>586</v>
      </c>
      <c r="K93" t="str">
        <f t="shared" si="1"/>
        <v>mine33431</v>
      </c>
      <c r="M93" t="s">
        <v>102</v>
      </c>
      <c r="N93" t="s">
        <v>2197</v>
      </c>
      <c r="Q93" t="s">
        <v>11083</v>
      </c>
      <c r="U93">
        <v>26</v>
      </c>
      <c r="V93">
        <v>0</v>
      </c>
      <c r="W93">
        <v>70</v>
      </c>
      <c r="X93">
        <v>33.4</v>
      </c>
      <c r="Y93">
        <v>31</v>
      </c>
    </row>
    <row r="94" spans="1:25" x14ac:dyDescent="0.25">
      <c r="A94" t="s">
        <v>4986</v>
      </c>
      <c r="B94">
        <v>93</v>
      </c>
      <c r="C94">
        <v>93</v>
      </c>
      <c r="D94" t="s">
        <v>13</v>
      </c>
      <c r="E94" t="s">
        <v>4875</v>
      </c>
      <c r="F94" t="s">
        <v>3559</v>
      </c>
      <c r="G94" t="s">
        <v>33</v>
      </c>
      <c r="H94">
        <v>1</v>
      </c>
      <c r="I94">
        <v>109</v>
      </c>
      <c r="J94">
        <v>349</v>
      </c>
      <c r="K94" t="str">
        <f t="shared" si="1"/>
        <v>mine6519</v>
      </c>
      <c r="M94" t="s">
        <v>102</v>
      </c>
      <c r="N94" t="s">
        <v>2192</v>
      </c>
      <c r="Q94" t="s">
        <v>11083</v>
      </c>
      <c r="U94">
        <v>26</v>
      </c>
      <c r="V94">
        <v>0</v>
      </c>
      <c r="W94">
        <v>75</v>
      </c>
      <c r="X94">
        <v>6.5</v>
      </c>
      <c r="Y94">
        <v>19</v>
      </c>
    </row>
    <row r="95" spans="1:25" x14ac:dyDescent="0.25">
      <c r="A95" t="s">
        <v>4987</v>
      </c>
      <c r="B95">
        <v>94</v>
      </c>
      <c r="C95">
        <v>94</v>
      </c>
      <c r="D95" t="s">
        <v>13</v>
      </c>
      <c r="E95" t="s">
        <v>4875</v>
      </c>
      <c r="F95" t="s">
        <v>3559</v>
      </c>
      <c r="G95" t="s">
        <v>33</v>
      </c>
      <c r="H95">
        <v>1</v>
      </c>
      <c r="I95">
        <v>417</v>
      </c>
      <c r="J95">
        <v>214</v>
      </c>
      <c r="K95" t="str">
        <f t="shared" si="1"/>
        <v>mine225118</v>
      </c>
      <c r="M95" t="s">
        <v>102</v>
      </c>
      <c r="N95" t="s">
        <v>2260</v>
      </c>
      <c r="Q95" t="s">
        <v>3669</v>
      </c>
      <c r="R95" t="s">
        <v>2805</v>
      </c>
      <c r="U95">
        <v>26</v>
      </c>
      <c r="V95">
        <v>0</v>
      </c>
      <c r="W95">
        <v>80</v>
      </c>
      <c r="X95">
        <v>22.5</v>
      </c>
      <c r="Y95">
        <v>11.8</v>
      </c>
    </row>
    <row r="96" spans="1:25" x14ac:dyDescent="0.25">
      <c r="A96" t="s">
        <v>4988</v>
      </c>
      <c r="B96">
        <v>95</v>
      </c>
      <c r="C96">
        <v>95</v>
      </c>
      <c r="D96" t="s">
        <v>13</v>
      </c>
      <c r="E96" t="s">
        <v>4875</v>
      </c>
      <c r="F96" t="s">
        <v>3559</v>
      </c>
      <c r="G96" t="s">
        <v>33</v>
      </c>
      <c r="H96">
        <v>1</v>
      </c>
      <c r="I96">
        <v>481</v>
      </c>
      <c r="J96">
        <v>548</v>
      </c>
      <c r="K96" t="str">
        <f t="shared" si="1"/>
        <v>mine25729</v>
      </c>
      <c r="M96" t="s">
        <v>102</v>
      </c>
      <c r="N96" t="s">
        <v>2256</v>
      </c>
      <c r="Q96" t="s">
        <v>11083</v>
      </c>
      <c r="U96">
        <v>26</v>
      </c>
      <c r="V96">
        <v>0</v>
      </c>
      <c r="W96">
        <v>80</v>
      </c>
      <c r="X96">
        <v>25.7</v>
      </c>
      <c r="Y96">
        <v>29</v>
      </c>
    </row>
    <row r="97" spans="1:25" x14ac:dyDescent="0.25">
      <c r="A97" t="s">
        <v>4989</v>
      </c>
      <c r="B97">
        <v>96</v>
      </c>
      <c r="C97">
        <v>96</v>
      </c>
      <c r="D97" t="s">
        <v>13</v>
      </c>
      <c r="E97" t="s">
        <v>4875</v>
      </c>
      <c r="F97" t="s">
        <v>3559</v>
      </c>
      <c r="G97" t="s">
        <v>33</v>
      </c>
      <c r="H97">
        <v>1</v>
      </c>
      <c r="I97">
        <v>612</v>
      </c>
      <c r="J97">
        <v>174</v>
      </c>
      <c r="K97" t="str">
        <f t="shared" si="1"/>
        <v>mine32497</v>
      </c>
      <c r="M97" t="s">
        <v>133</v>
      </c>
      <c r="N97" t="s">
        <v>2330</v>
      </c>
      <c r="Q97" t="s">
        <v>11083</v>
      </c>
      <c r="U97">
        <v>26</v>
      </c>
      <c r="V97">
        <v>0</v>
      </c>
      <c r="W97">
        <v>85</v>
      </c>
      <c r="X97">
        <v>32.4</v>
      </c>
      <c r="Y97">
        <v>9.6999999999999993</v>
      </c>
    </row>
    <row r="98" spans="1:25" x14ac:dyDescent="0.25">
      <c r="A98" t="s">
        <v>4990</v>
      </c>
      <c r="B98">
        <v>97</v>
      </c>
      <c r="C98">
        <v>97</v>
      </c>
      <c r="D98" t="s">
        <v>13</v>
      </c>
      <c r="E98" t="s">
        <v>4875</v>
      </c>
      <c r="F98" t="s">
        <v>3559</v>
      </c>
      <c r="G98" t="s">
        <v>33</v>
      </c>
      <c r="H98">
        <v>1</v>
      </c>
      <c r="I98">
        <v>131</v>
      </c>
      <c r="J98">
        <v>277</v>
      </c>
      <c r="K98" t="str">
        <f t="shared" si="1"/>
        <v>mine78152</v>
      </c>
      <c r="M98" t="s">
        <v>215</v>
      </c>
      <c r="N98" t="s">
        <v>2598</v>
      </c>
      <c r="Q98" t="s">
        <v>11083</v>
      </c>
      <c r="U98">
        <v>26</v>
      </c>
      <c r="V98">
        <v>0</v>
      </c>
      <c r="W98">
        <v>95</v>
      </c>
      <c r="X98">
        <v>7.8</v>
      </c>
      <c r="Y98">
        <v>15.2</v>
      </c>
    </row>
    <row r="99" spans="1:25" x14ac:dyDescent="0.25">
      <c r="A99" t="s">
        <v>4991</v>
      </c>
      <c r="B99">
        <v>98</v>
      </c>
      <c r="C99">
        <v>98</v>
      </c>
      <c r="D99" t="s">
        <v>13</v>
      </c>
      <c r="E99" t="s">
        <v>4875</v>
      </c>
      <c r="F99" t="s">
        <v>3559</v>
      </c>
      <c r="G99" t="s">
        <v>4992</v>
      </c>
      <c r="H99">
        <v>0</v>
      </c>
      <c r="I99">
        <v>493</v>
      </c>
      <c r="J99">
        <v>305</v>
      </c>
      <c r="K99" t="str">
        <f t="shared" si="1"/>
        <v>mine264166</v>
      </c>
      <c r="M99" t="s">
        <v>1067</v>
      </c>
      <c r="N99" t="s">
        <v>1435</v>
      </c>
      <c r="Q99" t="s">
        <v>11083</v>
      </c>
      <c r="U99">
        <v>28</v>
      </c>
      <c r="V99">
        <v>0</v>
      </c>
      <c r="W99">
        <v>30</v>
      </c>
      <c r="X99">
        <v>26.4</v>
      </c>
      <c r="Y99">
        <v>16.600000000000001</v>
      </c>
    </row>
    <row r="100" spans="1:25" x14ac:dyDescent="0.25">
      <c r="A100" t="s">
        <v>4993</v>
      </c>
      <c r="B100">
        <v>99</v>
      </c>
      <c r="C100">
        <v>99</v>
      </c>
      <c r="D100" t="s">
        <v>13</v>
      </c>
      <c r="E100" t="s">
        <v>4875</v>
      </c>
      <c r="F100" t="s">
        <v>3559</v>
      </c>
      <c r="G100" t="s">
        <v>4994</v>
      </c>
      <c r="H100">
        <v>0</v>
      </c>
      <c r="I100">
        <v>493</v>
      </c>
      <c r="J100">
        <v>305</v>
      </c>
      <c r="K100" t="str">
        <f t="shared" si="1"/>
        <v>mine264166</v>
      </c>
      <c r="M100" t="s">
        <v>1067</v>
      </c>
      <c r="N100" t="s">
        <v>1435</v>
      </c>
      <c r="Q100" t="s">
        <v>11083</v>
      </c>
      <c r="U100">
        <v>30</v>
      </c>
      <c r="V100">
        <v>0</v>
      </c>
      <c r="W100">
        <v>30</v>
      </c>
      <c r="X100">
        <v>26.4</v>
      </c>
      <c r="Y100">
        <v>16.600000000000001</v>
      </c>
    </row>
    <row r="101" spans="1:25" x14ac:dyDescent="0.25">
      <c r="A101" t="s">
        <v>4995</v>
      </c>
      <c r="B101">
        <v>100</v>
      </c>
      <c r="C101">
        <v>100</v>
      </c>
      <c r="D101" t="s">
        <v>13</v>
      </c>
      <c r="E101" t="s">
        <v>4875</v>
      </c>
      <c r="F101" t="s">
        <v>3559</v>
      </c>
      <c r="G101" t="s">
        <v>4996</v>
      </c>
      <c r="H101">
        <v>0</v>
      </c>
      <c r="I101">
        <v>259</v>
      </c>
      <c r="J101">
        <v>410</v>
      </c>
      <c r="K101" t="str">
        <f t="shared" si="1"/>
        <v>mine141221</v>
      </c>
      <c r="M101" t="s">
        <v>1067</v>
      </c>
      <c r="N101" t="s">
        <v>1255</v>
      </c>
      <c r="Q101" t="s">
        <v>11083</v>
      </c>
      <c r="U101">
        <v>31</v>
      </c>
      <c r="V101">
        <v>0</v>
      </c>
      <c r="W101">
        <v>35</v>
      </c>
      <c r="X101">
        <v>14.1</v>
      </c>
      <c r="Y101">
        <v>22.1</v>
      </c>
    </row>
    <row r="102" spans="1:25" x14ac:dyDescent="0.25">
      <c r="A102" t="s">
        <v>4997</v>
      </c>
      <c r="B102">
        <v>101</v>
      </c>
      <c r="C102">
        <v>101</v>
      </c>
      <c r="D102" t="s">
        <v>13</v>
      </c>
      <c r="E102" t="s">
        <v>4875</v>
      </c>
      <c r="F102" t="s">
        <v>3559</v>
      </c>
      <c r="G102" t="s">
        <v>4998</v>
      </c>
      <c r="H102">
        <v>0</v>
      </c>
      <c r="I102">
        <v>551</v>
      </c>
      <c r="J102">
        <v>510</v>
      </c>
      <c r="K102" t="str">
        <f t="shared" si="1"/>
        <v>mine292272</v>
      </c>
      <c r="M102" t="s">
        <v>1067</v>
      </c>
      <c r="N102" t="s">
        <v>1144</v>
      </c>
      <c r="Q102" t="s">
        <v>11083</v>
      </c>
      <c r="U102">
        <v>31</v>
      </c>
      <c r="V102">
        <v>0</v>
      </c>
      <c r="W102">
        <v>35</v>
      </c>
      <c r="X102">
        <v>29.2</v>
      </c>
      <c r="Y102">
        <v>27.2</v>
      </c>
    </row>
    <row r="103" spans="1:25" x14ac:dyDescent="0.25">
      <c r="A103" t="s">
        <v>4999</v>
      </c>
      <c r="B103">
        <v>102</v>
      </c>
      <c r="C103">
        <v>102</v>
      </c>
      <c r="D103" t="s">
        <v>13</v>
      </c>
      <c r="E103" t="s">
        <v>4875</v>
      </c>
      <c r="F103" t="s">
        <v>3559</v>
      </c>
      <c r="G103" t="s">
        <v>5000</v>
      </c>
      <c r="H103">
        <v>0</v>
      </c>
      <c r="I103">
        <v>475</v>
      </c>
      <c r="J103">
        <v>775</v>
      </c>
      <c r="K103" t="str">
        <f t="shared" si="1"/>
        <v>mine253407</v>
      </c>
      <c r="L103" t="s">
        <v>3620</v>
      </c>
      <c r="M103" t="s">
        <v>1067</v>
      </c>
      <c r="N103" t="s">
        <v>1454</v>
      </c>
      <c r="Q103" t="s">
        <v>11083</v>
      </c>
      <c r="U103">
        <v>31</v>
      </c>
      <c r="V103">
        <v>0</v>
      </c>
      <c r="W103">
        <v>35</v>
      </c>
      <c r="X103">
        <v>25.3</v>
      </c>
      <c r="Y103">
        <v>40.700000000000003</v>
      </c>
    </row>
    <row r="104" spans="1:25" x14ac:dyDescent="0.25">
      <c r="A104" t="s">
        <v>5001</v>
      </c>
      <c r="B104">
        <v>103</v>
      </c>
      <c r="C104">
        <v>103</v>
      </c>
      <c r="D104" t="s">
        <v>13</v>
      </c>
      <c r="E104" t="s">
        <v>4875</v>
      </c>
      <c r="F104" t="s">
        <v>3559</v>
      </c>
      <c r="G104" t="s">
        <v>5002</v>
      </c>
      <c r="H104">
        <v>0</v>
      </c>
      <c r="I104">
        <v>475</v>
      </c>
      <c r="J104">
        <v>775</v>
      </c>
      <c r="K104" t="str">
        <f t="shared" si="1"/>
        <v>mine253407</v>
      </c>
      <c r="M104" t="s">
        <v>1067</v>
      </c>
      <c r="N104" t="s">
        <v>1454</v>
      </c>
      <c r="Q104" t="s">
        <v>11083</v>
      </c>
      <c r="U104">
        <v>32</v>
      </c>
      <c r="V104">
        <v>0</v>
      </c>
      <c r="W104">
        <v>35</v>
      </c>
      <c r="X104">
        <v>25.3</v>
      </c>
      <c r="Y104">
        <v>40.700000000000003</v>
      </c>
    </row>
    <row r="105" spans="1:25" x14ac:dyDescent="0.25">
      <c r="A105" t="s">
        <v>5003</v>
      </c>
      <c r="B105">
        <v>104</v>
      </c>
      <c r="C105">
        <v>104</v>
      </c>
      <c r="D105" t="s">
        <v>13</v>
      </c>
      <c r="E105" t="s">
        <v>4875</v>
      </c>
      <c r="F105" t="s">
        <v>3559</v>
      </c>
      <c r="G105" t="s">
        <v>5004</v>
      </c>
      <c r="H105">
        <v>0</v>
      </c>
      <c r="I105">
        <v>551</v>
      </c>
      <c r="J105">
        <v>510</v>
      </c>
      <c r="K105" t="str">
        <f t="shared" si="1"/>
        <v>mine292272</v>
      </c>
      <c r="M105" t="s">
        <v>1067</v>
      </c>
      <c r="N105" t="s">
        <v>1144</v>
      </c>
      <c r="Q105" t="s">
        <v>11083</v>
      </c>
      <c r="U105">
        <v>33</v>
      </c>
      <c r="V105">
        <v>0</v>
      </c>
      <c r="W105">
        <v>35</v>
      </c>
      <c r="X105">
        <v>29.2</v>
      </c>
      <c r="Y105">
        <v>27.2</v>
      </c>
    </row>
    <row r="106" spans="1:25" x14ac:dyDescent="0.25">
      <c r="A106" t="s">
        <v>5005</v>
      </c>
      <c r="B106">
        <v>105</v>
      </c>
      <c r="C106">
        <v>105</v>
      </c>
      <c r="D106" t="s">
        <v>13</v>
      </c>
      <c r="E106" t="s">
        <v>4875</v>
      </c>
      <c r="F106" t="s">
        <v>3559</v>
      </c>
      <c r="G106" t="s">
        <v>5006</v>
      </c>
      <c r="H106">
        <v>0</v>
      </c>
      <c r="I106">
        <v>259</v>
      </c>
      <c r="J106">
        <v>410</v>
      </c>
      <c r="K106" t="str">
        <f t="shared" si="1"/>
        <v>mine141221</v>
      </c>
      <c r="M106" t="s">
        <v>1067</v>
      </c>
      <c r="N106" t="s">
        <v>1255</v>
      </c>
      <c r="Q106" t="s">
        <v>11083</v>
      </c>
      <c r="U106">
        <v>33</v>
      </c>
      <c r="V106">
        <v>0</v>
      </c>
      <c r="W106">
        <v>35</v>
      </c>
      <c r="X106">
        <v>14.1</v>
      </c>
      <c r="Y106">
        <v>22.1</v>
      </c>
    </row>
    <row r="107" spans="1:25" x14ac:dyDescent="0.25">
      <c r="A107" t="s">
        <v>5007</v>
      </c>
      <c r="B107">
        <v>106</v>
      </c>
      <c r="C107">
        <v>106</v>
      </c>
      <c r="D107" t="s">
        <v>13</v>
      </c>
      <c r="E107" t="s">
        <v>4875</v>
      </c>
      <c r="F107" t="s">
        <v>3559</v>
      </c>
      <c r="G107" t="s">
        <v>5008</v>
      </c>
      <c r="H107">
        <v>0</v>
      </c>
      <c r="I107">
        <v>475</v>
      </c>
      <c r="J107">
        <v>775</v>
      </c>
      <c r="K107" t="str">
        <f t="shared" si="1"/>
        <v>mine253407</v>
      </c>
      <c r="M107" t="s">
        <v>1067</v>
      </c>
      <c r="N107" t="s">
        <v>1454</v>
      </c>
      <c r="Q107" t="s">
        <v>11083</v>
      </c>
      <c r="U107">
        <v>34</v>
      </c>
      <c r="V107">
        <v>0</v>
      </c>
      <c r="W107">
        <v>35</v>
      </c>
      <c r="X107">
        <v>25.3</v>
      </c>
      <c r="Y107">
        <v>40.700000000000003</v>
      </c>
    </row>
    <row r="108" spans="1:25" x14ac:dyDescent="0.25">
      <c r="A108" t="s">
        <v>5009</v>
      </c>
      <c r="B108">
        <v>107</v>
      </c>
      <c r="C108">
        <v>107</v>
      </c>
      <c r="D108" t="s">
        <v>13</v>
      </c>
      <c r="E108" t="s">
        <v>4875</v>
      </c>
      <c r="F108" t="s">
        <v>3559</v>
      </c>
      <c r="G108" t="s">
        <v>5010</v>
      </c>
      <c r="H108">
        <v>0</v>
      </c>
      <c r="I108">
        <v>259</v>
      </c>
      <c r="J108">
        <v>410</v>
      </c>
      <c r="K108" t="str">
        <f t="shared" si="1"/>
        <v>mine141221</v>
      </c>
      <c r="M108" t="s">
        <v>1067</v>
      </c>
      <c r="N108" t="s">
        <v>1255</v>
      </c>
      <c r="Q108" t="s">
        <v>11083</v>
      </c>
      <c r="U108">
        <v>34</v>
      </c>
      <c r="V108">
        <v>0</v>
      </c>
      <c r="W108">
        <v>35</v>
      </c>
      <c r="X108">
        <v>14.1</v>
      </c>
      <c r="Y108">
        <v>22.1</v>
      </c>
    </row>
    <row r="109" spans="1:25" x14ac:dyDescent="0.25">
      <c r="A109" t="s">
        <v>5011</v>
      </c>
      <c r="B109">
        <v>108</v>
      </c>
      <c r="C109">
        <v>108</v>
      </c>
      <c r="D109" t="s">
        <v>13</v>
      </c>
      <c r="E109" t="s">
        <v>4875</v>
      </c>
      <c r="F109" t="s">
        <v>3559</v>
      </c>
      <c r="G109" t="s">
        <v>5012</v>
      </c>
      <c r="H109">
        <v>0</v>
      </c>
      <c r="I109">
        <v>551</v>
      </c>
      <c r="J109">
        <v>510</v>
      </c>
      <c r="K109" t="str">
        <f t="shared" si="1"/>
        <v>mine292272</v>
      </c>
      <c r="M109" t="s">
        <v>1067</v>
      </c>
      <c r="N109" t="s">
        <v>1144</v>
      </c>
      <c r="Q109" t="s">
        <v>11083</v>
      </c>
      <c r="U109">
        <v>35</v>
      </c>
      <c r="V109">
        <v>0</v>
      </c>
      <c r="W109">
        <v>35</v>
      </c>
      <c r="X109">
        <v>29.2</v>
      </c>
      <c r="Y109">
        <v>27.2</v>
      </c>
    </row>
    <row r="110" spans="1:25" x14ac:dyDescent="0.25">
      <c r="A110" t="s">
        <v>5013</v>
      </c>
      <c r="B110">
        <v>109</v>
      </c>
      <c r="C110">
        <v>109</v>
      </c>
      <c r="D110" t="s">
        <v>13</v>
      </c>
      <c r="E110" t="s">
        <v>4875</v>
      </c>
      <c r="F110" t="s">
        <v>3559</v>
      </c>
      <c r="G110" t="s">
        <v>5014</v>
      </c>
      <c r="H110">
        <v>0</v>
      </c>
      <c r="I110">
        <v>541</v>
      </c>
      <c r="J110">
        <v>426</v>
      </c>
      <c r="K110" t="str">
        <f t="shared" si="1"/>
        <v>mine286228</v>
      </c>
      <c r="M110" t="s">
        <v>1067</v>
      </c>
      <c r="N110" t="s">
        <v>1317</v>
      </c>
      <c r="Q110" t="s">
        <v>11083</v>
      </c>
      <c r="U110">
        <v>36</v>
      </c>
      <c r="V110">
        <v>0</v>
      </c>
      <c r="W110">
        <v>40</v>
      </c>
      <c r="X110">
        <v>28.6</v>
      </c>
      <c r="Y110">
        <v>22.8</v>
      </c>
    </row>
    <row r="111" spans="1:25" x14ac:dyDescent="0.25">
      <c r="A111" t="s">
        <v>5015</v>
      </c>
      <c r="B111">
        <v>110</v>
      </c>
      <c r="C111">
        <v>110</v>
      </c>
      <c r="D111" t="s">
        <v>13</v>
      </c>
      <c r="E111" t="s">
        <v>4875</v>
      </c>
      <c r="F111" t="s">
        <v>3559</v>
      </c>
      <c r="G111" t="s">
        <v>5016</v>
      </c>
      <c r="H111">
        <v>0</v>
      </c>
      <c r="I111">
        <v>541</v>
      </c>
      <c r="J111">
        <v>426</v>
      </c>
      <c r="K111" t="str">
        <f t="shared" si="1"/>
        <v>mine286228</v>
      </c>
      <c r="M111" t="s">
        <v>1067</v>
      </c>
      <c r="N111" t="s">
        <v>1317</v>
      </c>
      <c r="Q111" t="s">
        <v>11083</v>
      </c>
      <c r="U111">
        <v>37</v>
      </c>
      <c r="V111">
        <v>0</v>
      </c>
      <c r="W111">
        <v>40</v>
      </c>
      <c r="X111">
        <v>28.6</v>
      </c>
      <c r="Y111">
        <v>22.8</v>
      </c>
    </row>
    <row r="112" spans="1:25" x14ac:dyDescent="0.25">
      <c r="A112" t="s">
        <v>5017</v>
      </c>
      <c r="B112">
        <v>111</v>
      </c>
      <c r="C112">
        <v>111</v>
      </c>
      <c r="D112" t="s">
        <v>13</v>
      </c>
      <c r="E112" t="s">
        <v>4875</v>
      </c>
      <c r="F112" t="s">
        <v>3559</v>
      </c>
      <c r="G112" t="s">
        <v>5018</v>
      </c>
      <c r="H112">
        <v>0</v>
      </c>
      <c r="I112">
        <v>449</v>
      </c>
      <c r="J112">
        <v>371</v>
      </c>
      <c r="K112" t="str">
        <f t="shared" si="1"/>
        <v>mine242199</v>
      </c>
      <c r="M112" t="s">
        <v>1067</v>
      </c>
      <c r="N112" t="s">
        <v>1501</v>
      </c>
      <c r="Q112" t="s">
        <v>11083</v>
      </c>
      <c r="U112">
        <v>38</v>
      </c>
      <c r="V112">
        <v>0</v>
      </c>
      <c r="W112">
        <v>40</v>
      </c>
      <c r="X112">
        <v>24.2</v>
      </c>
      <c r="Y112">
        <v>19.899999999999999</v>
      </c>
    </row>
    <row r="113" spans="1:25" x14ac:dyDescent="0.25">
      <c r="A113" t="s">
        <v>5019</v>
      </c>
      <c r="B113">
        <v>112</v>
      </c>
      <c r="C113">
        <v>112</v>
      </c>
      <c r="D113" t="s">
        <v>13</v>
      </c>
      <c r="E113" t="s">
        <v>4875</v>
      </c>
      <c r="F113" t="s">
        <v>3559</v>
      </c>
      <c r="G113" t="s">
        <v>5020</v>
      </c>
      <c r="H113">
        <v>0</v>
      </c>
      <c r="I113">
        <v>449</v>
      </c>
      <c r="J113">
        <v>371</v>
      </c>
      <c r="K113" t="str">
        <f t="shared" si="1"/>
        <v>mine242199</v>
      </c>
      <c r="M113" t="s">
        <v>1067</v>
      </c>
      <c r="N113" t="s">
        <v>1501</v>
      </c>
      <c r="Q113" t="s">
        <v>11083</v>
      </c>
      <c r="U113">
        <v>39</v>
      </c>
      <c r="V113">
        <v>0</v>
      </c>
      <c r="W113">
        <v>40</v>
      </c>
      <c r="X113">
        <v>24.2</v>
      </c>
      <c r="Y113">
        <v>19.899999999999999</v>
      </c>
    </row>
    <row r="114" spans="1:25" x14ac:dyDescent="0.25">
      <c r="A114" t="s">
        <v>5021</v>
      </c>
      <c r="B114">
        <v>113</v>
      </c>
      <c r="C114">
        <v>113</v>
      </c>
      <c r="D114" t="s">
        <v>13</v>
      </c>
      <c r="E114" t="s">
        <v>4875</v>
      </c>
      <c r="F114" t="s">
        <v>3559</v>
      </c>
      <c r="G114" t="s">
        <v>5022</v>
      </c>
      <c r="H114">
        <v>0</v>
      </c>
      <c r="I114">
        <v>541</v>
      </c>
      <c r="J114">
        <v>426</v>
      </c>
      <c r="K114" t="str">
        <f t="shared" si="1"/>
        <v>mine286228</v>
      </c>
      <c r="M114" t="s">
        <v>1067</v>
      </c>
      <c r="N114" t="s">
        <v>1317</v>
      </c>
      <c r="Q114" t="s">
        <v>11083</v>
      </c>
      <c r="U114">
        <v>40</v>
      </c>
      <c r="V114">
        <v>0</v>
      </c>
      <c r="W114">
        <v>40</v>
      </c>
      <c r="X114">
        <v>28.6</v>
      </c>
      <c r="Y114">
        <v>22.8</v>
      </c>
    </row>
    <row r="115" spans="1:25" x14ac:dyDescent="0.25">
      <c r="A115" t="s">
        <v>5023</v>
      </c>
      <c r="B115">
        <v>114</v>
      </c>
      <c r="C115">
        <v>114</v>
      </c>
      <c r="D115" t="s">
        <v>13</v>
      </c>
      <c r="E115" t="s">
        <v>4875</v>
      </c>
      <c r="F115" t="s">
        <v>3559</v>
      </c>
      <c r="G115" t="s">
        <v>5024</v>
      </c>
      <c r="H115">
        <v>0</v>
      </c>
      <c r="I115">
        <v>569</v>
      </c>
      <c r="J115">
        <v>475</v>
      </c>
      <c r="K115" t="str">
        <f t="shared" si="1"/>
        <v>mine302253</v>
      </c>
      <c r="M115" t="s">
        <v>1067</v>
      </c>
      <c r="N115" t="s">
        <v>1195</v>
      </c>
      <c r="Q115" t="s">
        <v>11083</v>
      </c>
      <c r="U115">
        <v>41</v>
      </c>
      <c r="V115">
        <v>0</v>
      </c>
      <c r="W115">
        <v>45</v>
      </c>
      <c r="X115">
        <v>30.2</v>
      </c>
      <c r="Y115">
        <v>25.3</v>
      </c>
    </row>
    <row r="116" spans="1:25" x14ac:dyDescent="0.25">
      <c r="A116" t="s">
        <v>5025</v>
      </c>
      <c r="B116">
        <v>115</v>
      </c>
      <c r="C116">
        <v>115</v>
      </c>
      <c r="D116" t="s">
        <v>13</v>
      </c>
      <c r="E116" t="s">
        <v>4875</v>
      </c>
      <c r="F116" t="s">
        <v>3559</v>
      </c>
      <c r="G116" t="s">
        <v>5026</v>
      </c>
      <c r="H116">
        <v>0</v>
      </c>
      <c r="I116">
        <v>569</v>
      </c>
      <c r="J116">
        <v>475</v>
      </c>
      <c r="K116" t="str">
        <f t="shared" si="1"/>
        <v>mine302253</v>
      </c>
      <c r="M116" t="s">
        <v>1067</v>
      </c>
      <c r="N116" t="s">
        <v>1195</v>
      </c>
      <c r="Q116" t="s">
        <v>11083</v>
      </c>
      <c r="U116">
        <v>43</v>
      </c>
      <c r="V116">
        <v>0</v>
      </c>
      <c r="W116">
        <v>45</v>
      </c>
      <c r="X116">
        <v>30.2</v>
      </c>
      <c r="Y116">
        <v>25.3</v>
      </c>
    </row>
    <row r="117" spans="1:25" x14ac:dyDescent="0.25">
      <c r="A117" t="s">
        <v>5027</v>
      </c>
      <c r="B117">
        <v>116</v>
      </c>
      <c r="C117">
        <v>116</v>
      </c>
      <c r="D117" t="s">
        <v>13</v>
      </c>
      <c r="E117" t="s">
        <v>4875</v>
      </c>
      <c r="F117" t="s">
        <v>3559</v>
      </c>
      <c r="G117" t="s">
        <v>5028</v>
      </c>
      <c r="H117">
        <v>0</v>
      </c>
      <c r="I117">
        <v>226</v>
      </c>
      <c r="J117">
        <v>355</v>
      </c>
      <c r="K117" t="str">
        <f t="shared" si="1"/>
        <v>mine126191</v>
      </c>
      <c r="M117" t="s">
        <v>1067</v>
      </c>
      <c r="N117" t="s">
        <v>1448</v>
      </c>
      <c r="Q117" t="s">
        <v>11083</v>
      </c>
      <c r="U117">
        <v>44</v>
      </c>
      <c r="V117">
        <v>0</v>
      </c>
      <c r="W117">
        <v>45</v>
      </c>
      <c r="X117">
        <v>12.6</v>
      </c>
      <c r="Y117">
        <v>19.100000000000001</v>
      </c>
    </row>
    <row r="118" spans="1:25" x14ac:dyDescent="0.25">
      <c r="A118" t="s">
        <v>5029</v>
      </c>
      <c r="B118">
        <v>117</v>
      </c>
      <c r="C118">
        <v>117</v>
      </c>
      <c r="D118" t="s">
        <v>13</v>
      </c>
      <c r="E118" t="s">
        <v>4875</v>
      </c>
      <c r="F118" t="s">
        <v>3559</v>
      </c>
      <c r="G118" t="s">
        <v>5030</v>
      </c>
      <c r="H118">
        <v>0</v>
      </c>
      <c r="I118">
        <v>226</v>
      </c>
      <c r="J118">
        <v>355</v>
      </c>
      <c r="K118" t="str">
        <f t="shared" si="1"/>
        <v>mine126191</v>
      </c>
      <c r="M118" t="s">
        <v>1067</v>
      </c>
      <c r="N118" t="s">
        <v>1448</v>
      </c>
      <c r="Q118" t="s">
        <v>11083</v>
      </c>
      <c r="U118">
        <v>45</v>
      </c>
      <c r="V118">
        <v>0</v>
      </c>
      <c r="W118">
        <v>45</v>
      </c>
      <c r="X118">
        <v>12.6</v>
      </c>
      <c r="Y118">
        <v>19.100000000000001</v>
      </c>
    </row>
    <row r="119" spans="1:25" x14ac:dyDescent="0.25">
      <c r="A119" t="s">
        <v>5031</v>
      </c>
      <c r="B119">
        <v>118</v>
      </c>
      <c r="C119">
        <v>118</v>
      </c>
      <c r="D119" t="s">
        <v>13</v>
      </c>
      <c r="E119" t="s">
        <v>4875</v>
      </c>
      <c r="F119" t="s">
        <v>3559</v>
      </c>
      <c r="G119" t="s">
        <v>5032</v>
      </c>
      <c r="H119">
        <v>0</v>
      </c>
      <c r="I119">
        <v>437</v>
      </c>
      <c r="J119">
        <v>456</v>
      </c>
      <c r="K119" t="str">
        <f t="shared" si="1"/>
        <v>mine233243</v>
      </c>
      <c r="M119" t="s">
        <v>1067</v>
      </c>
      <c r="N119" t="s">
        <v>1477</v>
      </c>
      <c r="Q119" t="s">
        <v>11083</v>
      </c>
      <c r="U119">
        <v>46</v>
      </c>
      <c r="V119">
        <v>0</v>
      </c>
      <c r="W119">
        <v>50</v>
      </c>
      <c r="X119">
        <v>23.3</v>
      </c>
      <c r="Y119">
        <v>24.3</v>
      </c>
    </row>
    <row r="120" spans="1:25" x14ac:dyDescent="0.25">
      <c r="A120" t="s">
        <v>5033</v>
      </c>
      <c r="B120">
        <v>119</v>
      </c>
      <c r="C120">
        <v>119</v>
      </c>
      <c r="D120" t="s">
        <v>13</v>
      </c>
      <c r="E120" t="s">
        <v>4875</v>
      </c>
      <c r="F120" t="s">
        <v>3559</v>
      </c>
      <c r="G120" t="s">
        <v>5034</v>
      </c>
      <c r="H120">
        <v>0</v>
      </c>
      <c r="I120">
        <v>437</v>
      </c>
      <c r="J120">
        <v>456</v>
      </c>
      <c r="K120" t="str">
        <f t="shared" si="1"/>
        <v>mine233243</v>
      </c>
      <c r="M120" t="s">
        <v>1067</v>
      </c>
      <c r="N120" t="s">
        <v>1477</v>
      </c>
      <c r="Q120" t="s">
        <v>11083</v>
      </c>
      <c r="U120">
        <v>47</v>
      </c>
      <c r="V120">
        <v>0</v>
      </c>
      <c r="W120">
        <v>50</v>
      </c>
      <c r="X120">
        <v>23.3</v>
      </c>
      <c r="Y120">
        <v>24.3</v>
      </c>
    </row>
    <row r="121" spans="1:25" x14ac:dyDescent="0.25">
      <c r="A121" t="s">
        <v>5035</v>
      </c>
      <c r="B121">
        <v>120</v>
      </c>
      <c r="C121">
        <v>120</v>
      </c>
      <c r="D121" t="s">
        <v>13</v>
      </c>
      <c r="E121" t="s">
        <v>4875</v>
      </c>
      <c r="F121" t="s">
        <v>3559</v>
      </c>
      <c r="G121" t="s">
        <v>5036</v>
      </c>
      <c r="H121">
        <v>0</v>
      </c>
      <c r="I121">
        <v>437</v>
      </c>
      <c r="J121">
        <v>456</v>
      </c>
      <c r="K121" t="str">
        <f t="shared" si="1"/>
        <v>mine233243</v>
      </c>
      <c r="M121" t="s">
        <v>1067</v>
      </c>
      <c r="N121" t="s">
        <v>1477</v>
      </c>
      <c r="Q121" t="s">
        <v>11083</v>
      </c>
      <c r="U121">
        <v>49</v>
      </c>
      <c r="V121">
        <v>0</v>
      </c>
      <c r="W121">
        <v>50</v>
      </c>
      <c r="X121">
        <v>23.3</v>
      </c>
      <c r="Y121">
        <v>24.3</v>
      </c>
    </row>
    <row r="122" spans="1:25" x14ac:dyDescent="0.25">
      <c r="A122" t="s">
        <v>5037</v>
      </c>
      <c r="B122">
        <v>121</v>
      </c>
      <c r="C122">
        <v>121</v>
      </c>
      <c r="D122" t="s">
        <v>13</v>
      </c>
      <c r="E122" t="s">
        <v>4875</v>
      </c>
      <c r="F122" t="s">
        <v>3559</v>
      </c>
      <c r="G122" t="s">
        <v>5038</v>
      </c>
      <c r="H122">
        <v>0</v>
      </c>
      <c r="I122">
        <v>437</v>
      </c>
      <c r="J122">
        <v>456</v>
      </c>
      <c r="K122" t="str">
        <f t="shared" si="1"/>
        <v>mine233243</v>
      </c>
      <c r="M122" t="s">
        <v>1067</v>
      </c>
      <c r="N122" t="s">
        <v>1477</v>
      </c>
      <c r="Q122" t="s">
        <v>11083</v>
      </c>
      <c r="U122">
        <v>50</v>
      </c>
      <c r="V122">
        <v>0</v>
      </c>
      <c r="W122">
        <v>50</v>
      </c>
      <c r="X122">
        <v>23.3</v>
      </c>
      <c r="Y122">
        <v>24.3</v>
      </c>
    </row>
    <row r="123" spans="1:25" x14ac:dyDescent="0.25">
      <c r="A123" t="s">
        <v>5039</v>
      </c>
      <c r="B123">
        <v>122</v>
      </c>
      <c r="C123">
        <v>122</v>
      </c>
      <c r="D123" t="s">
        <v>13</v>
      </c>
      <c r="E123" t="s">
        <v>4875</v>
      </c>
      <c r="F123" t="s">
        <v>3559</v>
      </c>
      <c r="G123" t="s">
        <v>38</v>
      </c>
      <c r="H123">
        <v>1</v>
      </c>
      <c r="I123">
        <v>238</v>
      </c>
      <c r="J123">
        <v>541</v>
      </c>
      <c r="K123" t="str">
        <f t="shared" si="1"/>
        <v>mine132273</v>
      </c>
      <c r="M123" t="s">
        <v>73</v>
      </c>
      <c r="N123" t="s">
        <v>1821</v>
      </c>
      <c r="Q123" t="s">
        <v>3669</v>
      </c>
      <c r="R123" t="s">
        <v>2805</v>
      </c>
      <c r="U123">
        <v>50</v>
      </c>
      <c r="V123">
        <v>0</v>
      </c>
      <c r="W123">
        <v>70</v>
      </c>
      <c r="X123">
        <v>13.2</v>
      </c>
      <c r="Y123">
        <v>27.3</v>
      </c>
    </row>
    <row r="124" spans="1:25" x14ac:dyDescent="0.25">
      <c r="A124" t="s">
        <v>5040</v>
      </c>
      <c r="B124">
        <v>123</v>
      </c>
      <c r="C124">
        <v>123</v>
      </c>
      <c r="D124" t="s">
        <v>13</v>
      </c>
      <c r="E124" t="s">
        <v>4875</v>
      </c>
      <c r="F124" t="s">
        <v>3559</v>
      </c>
      <c r="G124" t="s">
        <v>20</v>
      </c>
      <c r="H124">
        <v>1</v>
      </c>
      <c r="I124">
        <v>659</v>
      </c>
      <c r="J124">
        <v>459</v>
      </c>
      <c r="K124" t="str">
        <f t="shared" si="1"/>
        <v>mine347245</v>
      </c>
      <c r="M124" t="s">
        <v>73</v>
      </c>
      <c r="N124" t="s">
        <v>1975</v>
      </c>
      <c r="Q124" t="s">
        <v>3669</v>
      </c>
      <c r="R124" t="s">
        <v>2819</v>
      </c>
      <c r="U124">
        <v>50</v>
      </c>
      <c r="V124">
        <v>0</v>
      </c>
      <c r="W124">
        <v>70</v>
      </c>
      <c r="X124">
        <v>34.700000000000003</v>
      </c>
      <c r="Y124">
        <v>24.5</v>
      </c>
    </row>
    <row r="125" spans="1:25" x14ac:dyDescent="0.25">
      <c r="A125" t="s">
        <v>5041</v>
      </c>
      <c r="B125">
        <v>124</v>
      </c>
      <c r="C125">
        <v>124</v>
      </c>
      <c r="D125" t="s">
        <v>13</v>
      </c>
      <c r="E125" t="s">
        <v>4875</v>
      </c>
      <c r="F125" t="s">
        <v>3559</v>
      </c>
      <c r="G125" t="s">
        <v>20</v>
      </c>
      <c r="H125">
        <v>1</v>
      </c>
      <c r="I125">
        <v>671</v>
      </c>
      <c r="J125">
        <v>574</v>
      </c>
      <c r="K125" t="str">
        <f t="shared" si="1"/>
        <v>mine354306</v>
      </c>
      <c r="M125" t="s">
        <v>102</v>
      </c>
      <c r="N125" t="s">
        <v>2048</v>
      </c>
      <c r="Q125" t="s">
        <v>3669</v>
      </c>
      <c r="R125" t="s">
        <v>2815</v>
      </c>
      <c r="U125">
        <v>50</v>
      </c>
      <c r="V125">
        <v>0</v>
      </c>
      <c r="W125">
        <v>80</v>
      </c>
      <c r="X125">
        <v>35.4</v>
      </c>
      <c r="Y125">
        <v>30.6</v>
      </c>
    </row>
    <row r="126" spans="1:25" x14ac:dyDescent="0.25">
      <c r="A126" t="s">
        <v>5042</v>
      </c>
      <c r="B126">
        <v>125</v>
      </c>
      <c r="C126">
        <v>125</v>
      </c>
      <c r="D126" t="s">
        <v>13</v>
      </c>
      <c r="E126" t="s">
        <v>4875</v>
      </c>
      <c r="F126" t="s">
        <v>3559</v>
      </c>
      <c r="G126" t="s">
        <v>20</v>
      </c>
      <c r="H126">
        <v>1</v>
      </c>
      <c r="I126">
        <v>176</v>
      </c>
      <c r="J126">
        <v>279</v>
      </c>
      <c r="K126" t="str">
        <f t="shared" si="1"/>
        <v>mine10153</v>
      </c>
      <c r="M126" t="s">
        <v>133</v>
      </c>
      <c r="N126" t="s">
        <v>2425</v>
      </c>
      <c r="Q126" t="s">
        <v>3669</v>
      </c>
      <c r="R126" t="s">
        <v>2825</v>
      </c>
      <c r="U126">
        <v>50</v>
      </c>
      <c r="V126">
        <v>0</v>
      </c>
      <c r="W126">
        <v>90</v>
      </c>
      <c r="X126">
        <v>10</v>
      </c>
      <c r="Y126">
        <v>15.3</v>
      </c>
    </row>
    <row r="127" spans="1:25" x14ac:dyDescent="0.25">
      <c r="A127" t="s">
        <v>5043</v>
      </c>
      <c r="B127">
        <v>126</v>
      </c>
      <c r="C127">
        <v>126</v>
      </c>
      <c r="D127" t="s">
        <v>13</v>
      </c>
      <c r="E127" t="s">
        <v>4875</v>
      </c>
      <c r="F127" t="s">
        <v>3559</v>
      </c>
      <c r="G127" t="s">
        <v>34</v>
      </c>
      <c r="H127">
        <v>1</v>
      </c>
      <c r="I127">
        <v>417</v>
      </c>
      <c r="J127">
        <v>214</v>
      </c>
      <c r="K127" t="str">
        <f t="shared" si="1"/>
        <v>mine225118</v>
      </c>
      <c r="M127" t="s">
        <v>102</v>
      </c>
      <c r="N127" t="s">
        <v>2260</v>
      </c>
      <c r="Q127" t="s">
        <v>3669</v>
      </c>
      <c r="R127" t="s">
        <v>2805</v>
      </c>
      <c r="U127">
        <v>50</v>
      </c>
      <c r="V127">
        <v>0</v>
      </c>
      <c r="W127">
        <v>80</v>
      </c>
      <c r="X127">
        <v>22.5</v>
      </c>
      <c r="Y127">
        <v>11.8</v>
      </c>
    </row>
    <row r="128" spans="1:25" x14ac:dyDescent="0.25">
      <c r="A128" t="s">
        <v>5044</v>
      </c>
      <c r="B128">
        <v>127</v>
      </c>
      <c r="C128">
        <v>127</v>
      </c>
      <c r="D128" t="s">
        <v>13</v>
      </c>
      <c r="E128" t="s">
        <v>4875</v>
      </c>
      <c r="F128" t="s">
        <v>3559</v>
      </c>
      <c r="G128" t="s">
        <v>5045</v>
      </c>
      <c r="H128">
        <v>0</v>
      </c>
      <c r="I128">
        <v>529</v>
      </c>
      <c r="J128">
        <v>403</v>
      </c>
      <c r="K128" t="str">
        <f t="shared" si="1"/>
        <v>mine28218</v>
      </c>
      <c r="M128" t="s">
        <v>1067</v>
      </c>
      <c r="N128" t="s">
        <v>1440</v>
      </c>
      <c r="Q128" t="s">
        <v>3749</v>
      </c>
      <c r="R128" t="s">
        <v>2816</v>
      </c>
      <c r="U128">
        <v>50</v>
      </c>
      <c r="V128">
        <v>1</v>
      </c>
      <c r="W128">
        <v>50</v>
      </c>
      <c r="X128">
        <v>28</v>
      </c>
      <c r="Y128">
        <v>21.8</v>
      </c>
    </row>
    <row r="129" spans="1:25" x14ac:dyDescent="0.25">
      <c r="A129" t="s">
        <v>5046</v>
      </c>
      <c r="B129">
        <v>128</v>
      </c>
      <c r="C129">
        <v>128</v>
      </c>
      <c r="D129" t="s">
        <v>13</v>
      </c>
      <c r="E129" t="s">
        <v>4875</v>
      </c>
      <c r="F129" t="s">
        <v>3559</v>
      </c>
      <c r="G129" t="s">
        <v>5047</v>
      </c>
      <c r="H129">
        <v>0</v>
      </c>
      <c r="I129">
        <v>516</v>
      </c>
      <c r="J129">
        <v>373</v>
      </c>
      <c r="K129" t="str">
        <f t="shared" si="1"/>
        <v>mine276199</v>
      </c>
      <c r="M129" t="s">
        <v>1067</v>
      </c>
      <c r="N129" t="s">
        <v>1501</v>
      </c>
      <c r="Q129" t="s">
        <v>3749</v>
      </c>
      <c r="R129" t="s">
        <v>2806</v>
      </c>
      <c r="U129">
        <v>50</v>
      </c>
      <c r="V129">
        <v>1</v>
      </c>
      <c r="W129">
        <v>50</v>
      </c>
      <c r="X129">
        <v>27.6</v>
      </c>
      <c r="Y129">
        <v>19.899999999999999</v>
      </c>
    </row>
    <row r="130" spans="1:25" x14ac:dyDescent="0.25">
      <c r="A130" t="s">
        <v>5048</v>
      </c>
      <c r="B130">
        <v>129</v>
      </c>
      <c r="C130">
        <v>129</v>
      </c>
      <c r="D130" t="s">
        <v>13</v>
      </c>
      <c r="E130" t="s">
        <v>4875</v>
      </c>
      <c r="F130" t="s">
        <v>3559</v>
      </c>
      <c r="G130" t="s">
        <v>5049</v>
      </c>
      <c r="H130">
        <v>0</v>
      </c>
      <c r="I130">
        <v>529</v>
      </c>
      <c r="J130">
        <v>403</v>
      </c>
      <c r="K130" t="str">
        <f t="shared" ref="K130:K193" si="2">LEFT(A130,4)&amp;SUBSTITUTE(X130,".","")&amp;SUBSTITUTE(Y130,".","")</f>
        <v>mine28218</v>
      </c>
      <c r="M130" t="s">
        <v>1067</v>
      </c>
      <c r="N130" t="s">
        <v>1440</v>
      </c>
      <c r="Q130" t="s">
        <v>3749</v>
      </c>
      <c r="R130" t="s">
        <v>2816</v>
      </c>
      <c r="U130">
        <v>50</v>
      </c>
      <c r="V130">
        <v>1</v>
      </c>
      <c r="W130">
        <v>50</v>
      </c>
      <c r="X130">
        <v>28</v>
      </c>
      <c r="Y130">
        <v>21.8</v>
      </c>
    </row>
    <row r="131" spans="1:25" x14ac:dyDescent="0.25">
      <c r="A131" t="s">
        <v>5050</v>
      </c>
      <c r="B131">
        <v>130</v>
      </c>
      <c r="C131">
        <v>130</v>
      </c>
      <c r="D131" t="s">
        <v>13</v>
      </c>
      <c r="E131" t="s">
        <v>4875</v>
      </c>
      <c r="F131" t="s">
        <v>3559</v>
      </c>
      <c r="G131" t="s">
        <v>3768</v>
      </c>
      <c r="H131">
        <v>0</v>
      </c>
      <c r="I131">
        <v>444</v>
      </c>
      <c r="J131">
        <v>404</v>
      </c>
      <c r="K131" t="str">
        <f t="shared" si="2"/>
        <v>mine237216</v>
      </c>
      <c r="L131" t="s">
        <v>3620</v>
      </c>
      <c r="M131" t="s">
        <v>1067</v>
      </c>
      <c r="N131" t="s">
        <v>1118</v>
      </c>
      <c r="Q131" t="s">
        <v>3749</v>
      </c>
      <c r="R131" t="s">
        <v>2823</v>
      </c>
      <c r="U131">
        <v>50</v>
      </c>
      <c r="V131">
        <v>1</v>
      </c>
      <c r="W131">
        <v>50</v>
      </c>
      <c r="X131">
        <v>23.7</v>
      </c>
      <c r="Y131">
        <v>21.6</v>
      </c>
    </row>
    <row r="132" spans="1:25" x14ac:dyDescent="0.25">
      <c r="A132" t="s">
        <v>5051</v>
      </c>
      <c r="B132">
        <v>131</v>
      </c>
      <c r="C132">
        <v>131</v>
      </c>
      <c r="D132" t="s">
        <v>13</v>
      </c>
      <c r="E132" t="s">
        <v>4875</v>
      </c>
      <c r="F132" t="s">
        <v>3559</v>
      </c>
      <c r="G132" t="s">
        <v>3768</v>
      </c>
      <c r="H132">
        <v>0</v>
      </c>
      <c r="I132">
        <v>474</v>
      </c>
      <c r="J132">
        <v>291</v>
      </c>
      <c r="K132" t="str">
        <f t="shared" si="2"/>
        <v>mine252158</v>
      </c>
      <c r="L132" t="s">
        <v>3620</v>
      </c>
      <c r="M132" t="s">
        <v>1067</v>
      </c>
      <c r="N132" t="s">
        <v>1421</v>
      </c>
      <c r="Q132" t="s">
        <v>3749</v>
      </c>
      <c r="R132" t="s">
        <v>2809</v>
      </c>
      <c r="U132">
        <v>50</v>
      </c>
      <c r="V132">
        <v>1</v>
      </c>
      <c r="W132">
        <v>50</v>
      </c>
      <c r="X132">
        <v>25.2</v>
      </c>
      <c r="Y132">
        <v>15.8</v>
      </c>
    </row>
    <row r="133" spans="1:25" x14ac:dyDescent="0.25">
      <c r="A133" t="s">
        <v>5052</v>
      </c>
      <c r="B133">
        <v>132</v>
      </c>
      <c r="C133">
        <v>132</v>
      </c>
      <c r="D133" t="s">
        <v>13</v>
      </c>
      <c r="E133" t="s">
        <v>4875</v>
      </c>
      <c r="F133" t="s">
        <v>3559</v>
      </c>
      <c r="G133" t="s">
        <v>3768</v>
      </c>
      <c r="H133">
        <v>0</v>
      </c>
      <c r="I133">
        <v>529</v>
      </c>
      <c r="J133">
        <v>403</v>
      </c>
      <c r="K133" t="str">
        <f t="shared" si="2"/>
        <v>mine28218</v>
      </c>
      <c r="L133" t="s">
        <v>3620</v>
      </c>
      <c r="M133" t="s">
        <v>1067</v>
      </c>
      <c r="N133" t="s">
        <v>1440</v>
      </c>
      <c r="Q133" t="s">
        <v>3749</v>
      </c>
      <c r="R133" t="s">
        <v>2816</v>
      </c>
      <c r="U133">
        <v>50</v>
      </c>
      <c r="V133">
        <v>1</v>
      </c>
      <c r="W133">
        <v>50</v>
      </c>
      <c r="X133">
        <v>28</v>
      </c>
      <c r="Y133">
        <v>21.8</v>
      </c>
    </row>
    <row r="134" spans="1:25" x14ac:dyDescent="0.25">
      <c r="A134" t="s">
        <v>5053</v>
      </c>
      <c r="B134">
        <v>133</v>
      </c>
      <c r="C134">
        <v>133</v>
      </c>
      <c r="D134" t="s">
        <v>13</v>
      </c>
      <c r="E134" t="s">
        <v>4875</v>
      </c>
      <c r="F134" t="s">
        <v>3559</v>
      </c>
      <c r="G134" t="s">
        <v>3768</v>
      </c>
      <c r="H134">
        <v>0</v>
      </c>
      <c r="I134">
        <v>315</v>
      </c>
      <c r="J134">
        <v>194</v>
      </c>
      <c r="K134" t="str">
        <f t="shared" si="2"/>
        <v>mine172105</v>
      </c>
      <c r="L134" t="s">
        <v>3620</v>
      </c>
      <c r="M134" t="s">
        <v>1067</v>
      </c>
      <c r="N134" t="s">
        <v>1471</v>
      </c>
      <c r="Q134" t="s">
        <v>3749</v>
      </c>
      <c r="R134" t="s">
        <v>2809</v>
      </c>
      <c r="U134">
        <v>50</v>
      </c>
      <c r="V134">
        <v>1</v>
      </c>
      <c r="W134">
        <v>50</v>
      </c>
      <c r="X134">
        <v>17.2</v>
      </c>
      <c r="Y134">
        <v>10.5</v>
      </c>
    </row>
    <row r="135" spans="1:25" x14ac:dyDescent="0.25">
      <c r="A135" t="s">
        <v>5054</v>
      </c>
      <c r="B135">
        <v>134</v>
      </c>
      <c r="C135">
        <v>134</v>
      </c>
      <c r="D135" t="s">
        <v>13</v>
      </c>
      <c r="E135" t="s">
        <v>4875</v>
      </c>
      <c r="F135" t="s">
        <v>3559</v>
      </c>
      <c r="G135" t="s">
        <v>3768</v>
      </c>
      <c r="H135">
        <v>0</v>
      </c>
      <c r="I135">
        <v>428</v>
      </c>
      <c r="J135">
        <v>456</v>
      </c>
      <c r="K135" t="str">
        <f t="shared" si="2"/>
        <v>mine231243</v>
      </c>
      <c r="L135" t="s">
        <v>3620</v>
      </c>
      <c r="M135" t="s">
        <v>1067</v>
      </c>
      <c r="N135" t="s">
        <v>1477</v>
      </c>
      <c r="Q135" t="s">
        <v>3749</v>
      </c>
      <c r="R135" t="s">
        <v>2822</v>
      </c>
      <c r="U135">
        <v>50</v>
      </c>
      <c r="V135">
        <v>1</v>
      </c>
      <c r="W135">
        <v>50</v>
      </c>
      <c r="X135">
        <v>23.1</v>
      </c>
      <c r="Y135">
        <v>24.3</v>
      </c>
    </row>
    <row r="136" spans="1:25" x14ac:dyDescent="0.25">
      <c r="A136" t="s">
        <v>5055</v>
      </c>
      <c r="B136">
        <v>135</v>
      </c>
      <c r="C136">
        <v>135</v>
      </c>
      <c r="D136" t="s">
        <v>13</v>
      </c>
      <c r="E136" t="s">
        <v>4875</v>
      </c>
      <c r="F136" t="s">
        <v>3559</v>
      </c>
      <c r="G136" t="s">
        <v>3768</v>
      </c>
      <c r="H136">
        <v>0</v>
      </c>
      <c r="I136">
        <v>316</v>
      </c>
      <c r="J136">
        <v>371</v>
      </c>
      <c r="K136" t="str">
        <f t="shared" si="2"/>
        <v>mine173201</v>
      </c>
      <c r="L136" t="s">
        <v>3620</v>
      </c>
      <c r="M136" t="s">
        <v>1067</v>
      </c>
      <c r="N136" t="s">
        <v>1486</v>
      </c>
      <c r="Q136" t="s">
        <v>3749</v>
      </c>
      <c r="R136" t="s">
        <v>2808</v>
      </c>
      <c r="U136">
        <v>50</v>
      </c>
      <c r="V136">
        <v>1</v>
      </c>
      <c r="W136">
        <v>50</v>
      </c>
      <c r="X136">
        <v>17.3</v>
      </c>
      <c r="Y136">
        <v>20.100000000000001</v>
      </c>
    </row>
    <row r="137" spans="1:25" x14ac:dyDescent="0.25">
      <c r="A137" t="s">
        <v>5056</v>
      </c>
      <c r="B137">
        <v>136</v>
      </c>
      <c r="C137">
        <v>136</v>
      </c>
      <c r="D137" t="s">
        <v>13</v>
      </c>
      <c r="E137" t="s">
        <v>4875</v>
      </c>
      <c r="F137" t="s">
        <v>3559</v>
      </c>
      <c r="G137" t="s">
        <v>3768</v>
      </c>
      <c r="H137">
        <v>0</v>
      </c>
      <c r="I137">
        <v>516</v>
      </c>
      <c r="J137">
        <v>373</v>
      </c>
      <c r="K137" t="str">
        <f t="shared" si="2"/>
        <v>mine276199</v>
      </c>
      <c r="L137" t="s">
        <v>3620</v>
      </c>
      <c r="M137" t="s">
        <v>1067</v>
      </c>
      <c r="N137" t="s">
        <v>1501</v>
      </c>
      <c r="Q137" t="s">
        <v>3749</v>
      </c>
      <c r="R137" t="s">
        <v>2806</v>
      </c>
      <c r="U137">
        <v>50</v>
      </c>
      <c r="V137">
        <v>1</v>
      </c>
      <c r="W137">
        <v>50</v>
      </c>
      <c r="X137">
        <v>27.6</v>
      </c>
      <c r="Y137">
        <v>19.899999999999999</v>
      </c>
    </row>
    <row r="138" spans="1:25" x14ac:dyDescent="0.25">
      <c r="A138" t="s">
        <v>5057</v>
      </c>
      <c r="B138">
        <v>137</v>
      </c>
      <c r="C138">
        <v>137</v>
      </c>
      <c r="D138" t="s">
        <v>13</v>
      </c>
      <c r="E138" t="s">
        <v>4875</v>
      </c>
      <c r="F138" t="s">
        <v>3559</v>
      </c>
      <c r="G138" t="s">
        <v>5058</v>
      </c>
      <c r="H138">
        <v>0</v>
      </c>
      <c r="I138">
        <v>444</v>
      </c>
      <c r="J138">
        <v>404</v>
      </c>
      <c r="K138" t="str">
        <f t="shared" si="2"/>
        <v>mine237216</v>
      </c>
      <c r="M138" t="s">
        <v>1067</v>
      </c>
      <c r="N138" t="s">
        <v>1118</v>
      </c>
      <c r="Q138" t="s">
        <v>3749</v>
      </c>
      <c r="R138" t="s">
        <v>2823</v>
      </c>
      <c r="U138">
        <v>50</v>
      </c>
      <c r="V138">
        <v>1</v>
      </c>
      <c r="W138">
        <v>50</v>
      </c>
      <c r="X138">
        <v>23.7</v>
      </c>
      <c r="Y138">
        <v>21.6</v>
      </c>
    </row>
    <row r="139" spans="1:25" x14ac:dyDescent="0.25">
      <c r="A139" t="s">
        <v>5059</v>
      </c>
      <c r="B139">
        <v>138</v>
      </c>
      <c r="C139">
        <v>138</v>
      </c>
      <c r="D139" t="s">
        <v>13</v>
      </c>
      <c r="E139" t="s">
        <v>4875</v>
      </c>
      <c r="F139" t="s">
        <v>3559</v>
      </c>
      <c r="G139" t="s">
        <v>5058</v>
      </c>
      <c r="H139">
        <v>0</v>
      </c>
      <c r="I139">
        <v>474</v>
      </c>
      <c r="J139">
        <v>291</v>
      </c>
      <c r="K139" t="str">
        <f t="shared" si="2"/>
        <v>mine252158</v>
      </c>
      <c r="M139" t="s">
        <v>1067</v>
      </c>
      <c r="N139" t="s">
        <v>1421</v>
      </c>
      <c r="Q139" t="s">
        <v>3749</v>
      </c>
      <c r="R139" t="s">
        <v>2809</v>
      </c>
      <c r="U139">
        <v>50</v>
      </c>
      <c r="V139">
        <v>1</v>
      </c>
      <c r="W139">
        <v>50</v>
      </c>
      <c r="X139">
        <v>25.2</v>
      </c>
      <c r="Y139">
        <v>15.8</v>
      </c>
    </row>
    <row r="140" spans="1:25" x14ac:dyDescent="0.25">
      <c r="A140" t="s">
        <v>5060</v>
      </c>
      <c r="B140">
        <v>139</v>
      </c>
      <c r="C140">
        <v>139</v>
      </c>
      <c r="D140" t="s">
        <v>13</v>
      </c>
      <c r="E140" t="s">
        <v>4875</v>
      </c>
      <c r="F140" t="s">
        <v>3559</v>
      </c>
      <c r="G140" t="s">
        <v>5058</v>
      </c>
      <c r="H140">
        <v>0</v>
      </c>
      <c r="I140">
        <v>529</v>
      </c>
      <c r="J140">
        <v>403</v>
      </c>
      <c r="K140" t="str">
        <f t="shared" si="2"/>
        <v>mine28218</v>
      </c>
      <c r="M140" t="s">
        <v>1067</v>
      </c>
      <c r="N140" t="s">
        <v>1440</v>
      </c>
      <c r="Q140" t="s">
        <v>3749</v>
      </c>
      <c r="R140" t="s">
        <v>2816</v>
      </c>
      <c r="U140">
        <v>50</v>
      </c>
      <c r="V140">
        <v>1</v>
      </c>
      <c r="W140">
        <v>50</v>
      </c>
      <c r="X140">
        <v>28</v>
      </c>
      <c r="Y140">
        <v>21.8</v>
      </c>
    </row>
    <row r="141" spans="1:25" x14ac:dyDescent="0.25">
      <c r="A141" t="s">
        <v>5061</v>
      </c>
      <c r="B141">
        <v>140</v>
      </c>
      <c r="C141">
        <v>140</v>
      </c>
      <c r="D141" t="s">
        <v>13</v>
      </c>
      <c r="E141" t="s">
        <v>4875</v>
      </c>
      <c r="F141" t="s">
        <v>3559</v>
      </c>
      <c r="G141" t="s">
        <v>5058</v>
      </c>
      <c r="H141">
        <v>0</v>
      </c>
      <c r="I141">
        <v>315</v>
      </c>
      <c r="J141">
        <v>194</v>
      </c>
      <c r="K141" t="str">
        <f t="shared" si="2"/>
        <v>mine172105</v>
      </c>
      <c r="M141" t="s">
        <v>1067</v>
      </c>
      <c r="N141" t="s">
        <v>1471</v>
      </c>
      <c r="Q141" t="s">
        <v>3749</v>
      </c>
      <c r="R141" t="s">
        <v>2809</v>
      </c>
      <c r="U141">
        <v>50</v>
      </c>
      <c r="V141">
        <v>1</v>
      </c>
      <c r="W141">
        <v>50</v>
      </c>
      <c r="X141">
        <v>17.2</v>
      </c>
      <c r="Y141">
        <v>10.5</v>
      </c>
    </row>
    <row r="142" spans="1:25" x14ac:dyDescent="0.25">
      <c r="A142" t="s">
        <v>5062</v>
      </c>
      <c r="B142">
        <v>141</v>
      </c>
      <c r="C142">
        <v>141</v>
      </c>
      <c r="D142" t="s">
        <v>13</v>
      </c>
      <c r="E142" t="s">
        <v>4875</v>
      </c>
      <c r="F142" t="s">
        <v>3559</v>
      </c>
      <c r="G142" t="s">
        <v>5058</v>
      </c>
      <c r="H142">
        <v>0</v>
      </c>
      <c r="I142">
        <v>428</v>
      </c>
      <c r="J142">
        <v>456</v>
      </c>
      <c r="K142" t="str">
        <f t="shared" si="2"/>
        <v>mine231243</v>
      </c>
      <c r="M142" t="s">
        <v>1067</v>
      </c>
      <c r="N142" t="s">
        <v>1477</v>
      </c>
      <c r="Q142" t="s">
        <v>3749</v>
      </c>
      <c r="R142" t="s">
        <v>2822</v>
      </c>
      <c r="U142">
        <v>50</v>
      </c>
      <c r="V142">
        <v>1</v>
      </c>
      <c r="W142">
        <v>50</v>
      </c>
      <c r="X142">
        <v>23.1</v>
      </c>
      <c r="Y142">
        <v>24.3</v>
      </c>
    </row>
    <row r="143" spans="1:25" x14ac:dyDescent="0.25">
      <c r="A143" t="s">
        <v>5063</v>
      </c>
      <c r="B143">
        <v>142</v>
      </c>
      <c r="C143">
        <v>142</v>
      </c>
      <c r="D143" t="s">
        <v>13</v>
      </c>
      <c r="E143" t="s">
        <v>4875</v>
      </c>
      <c r="F143" t="s">
        <v>3559</v>
      </c>
      <c r="G143" t="s">
        <v>5058</v>
      </c>
      <c r="H143">
        <v>0</v>
      </c>
      <c r="I143">
        <v>316</v>
      </c>
      <c r="J143">
        <v>371</v>
      </c>
      <c r="K143" t="str">
        <f t="shared" si="2"/>
        <v>mine173201</v>
      </c>
      <c r="M143" t="s">
        <v>1067</v>
      </c>
      <c r="N143" t="s">
        <v>1486</v>
      </c>
      <c r="Q143" t="s">
        <v>3749</v>
      </c>
      <c r="R143" t="s">
        <v>2808</v>
      </c>
      <c r="U143">
        <v>50</v>
      </c>
      <c r="V143">
        <v>1</v>
      </c>
      <c r="W143">
        <v>50</v>
      </c>
      <c r="X143">
        <v>17.3</v>
      </c>
      <c r="Y143">
        <v>20.100000000000001</v>
      </c>
    </row>
    <row r="144" spans="1:25" x14ac:dyDescent="0.25">
      <c r="A144" t="s">
        <v>5064</v>
      </c>
      <c r="B144">
        <v>143</v>
      </c>
      <c r="C144">
        <v>143</v>
      </c>
      <c r="D144" t="s">
        <v>13</v>
      </c>
      <c r="E144" t="s">
        <v>4875</v>
      </c>
      <c r="F144" t="s">
        <v>3559</v>
      </c>
      <c r="G144" t="s">
        <v>5058</v>
      </c>
      <c r="H144">
        <v>0</v>
      </c>
      <c r="I144">
        <v>516</v>
      </c>
      <c r="J144">
        <v>373</v>
      </c>
      <c r="K144" t="str">
        <f t="shared" si="2"/>
        <v>mine276199</v>
      </c>
      <c r="M144" t="s">
        <v>1067</v>
      </c>
      <c r="N144" t="s">
        <v>1501</v>
      </c>
      <c r="Q144" t="s">
        <v>3749</v>
      </c>
      <c r="R144" t="s">
        <v>2806</v>
      </c>
      <c r="U144">
        <v>50</v>
      </c>
      <c r="V144">
        <v>1</v>
      </c>
      <c r="W144">
        <v>50</v>
      </c>
      <c r="X144">
        <v>27.6</v>
      </c>
      <c r="Y144">
        <v>19.899999999999999</v>
      </c>
    </row>
    <row r="145" spans="1:25" x14ac:dyDescent="0.25">
      <c r="A145" t="s">
        <v>5065</v>
      </c>
      <c r="B145">
        <v>144</v>
      </c>
      <c r="C145">
        <v>144</v>
      </c>
      <c r="D145" t="s">
        <v>13</v>
      </c>
      <c r="E145" t="s">
        <v>4875</v>
      </c>
      <c r="F145" t="s">
        <v>3559</v>
      </c>
      <c r="G145" t="s">
        <v>5066</v>
      </c>
      <c r="H145">
        <v>0</v>
      </c>
      <c r="I145">
        <v>316</v>
      </c>
      <c r="J145">
        <v>371</v>
      </c>
      <c r="K145" t="str">
        <f t="shared" si="2"/>
        <v>mine173201</v>
      </c>
      <c r="M145" t="s">
        <v>1067</v>
      </c>
      <c r="N145" t="s">
        <v>1486</v>
      </c>
      <c r="Q145" t="s">
        <v>3749</v>
      </c>
      <c r="R145" t="s">
        <v>2808</v>
      </c>
      <c r="U145">
        <v>50</v>
      </c>
      <c r="V145">
        <v>2</v>
      </c>
      <c r="W145">
        <v>50</v>
      </c>
      <c r="X145">
        <v>17.3</v>
      </c>
      <c r="Y145">
        <v>20.100000000000001</v>
      </c>
    </row>
    <row r="146" spans="1:25" x14ac:dyDescent="0.25">
      <c r="A146" t="s">
        <v>5067</v>
      </c>
      <c r="B146">
        <v>145</v>
      </c>
      <c r="C146">
        <v>145</v>
      </c>
      <c r="D146" t="s">
        <v>13</v>
      </c>
      <c r="E146" t="s">
        <v>4875</v>
      </c>
      <c r="F146" t="s">
        <v>3559</v>
      </c>
      <c r="G146" t="s">
        <v>5068</v>
      </c>
      <c r="H146">
        <v>0</v>
      </c>
      <c r="I146">
        <v>474</v>
      </c>
      <c r="J146">
        <v>291</v>
      </c>
      <c r="K146" t="str">
        <f t="shared" si="2"/>
        <v>mine252158</v>
      </c>
      <c r="M146" t="s">
        <v>1067</v>
      </c>
      <c r="N146" t="s">
        <v>1421</v>
      </c>
      <c r="Q146" t="s">
        <v>3749</v>
      </c>
      <c r="R146" t="s">
        <v>2809</v>
      </c>
      <c r="U146">
        <v>50</v>
      </c>
      <c r="V146">
        <v>2</v>
      </c>
      <c r="W146">
        <v>50</v>
      </c>
      <c r="X146">
        <v>25.2</v>
      </c>
      <c r="Y146">
        <v>15.8</v>
      </c>
    </row>
    <row r="147" spans="1:25" x14ac:dyDescent="0.25">
      <c r="A147" t="s">
        <v>5069</v>
      </c>
      <c r="B147">
        <v>146</v>
      </c>
      <c r="C147">
        <v>146</v>
      </c>
      <c r="D147" t="s">
        <v>13</v>
      </c>
      <c r="E147" t="s">
        <v>4875</v>
      </c>
      <c r="F147" t="s">
        <v>3559</v>
      </c>
      <c r="G147" t="s">
        <v>5070</v>
      </c>
      <c r="H147">
        <v>0</v>
      </c>
      <c r="I147">
        <v>444</v>
      </c>
      <c r="J147">
        <v>404</v>
      </c>
      <c r="K147" t="str">
        <f t="shared" si="2"/>
        <v>mine237216</v>
      </c>
      <c r="M147" t="s">
        <v>1067</v>
      </c>
      <c r="N147" t="s">
        <v>1118</v>
      </c>
      <c r="Q147" t="s">
        <v>3749</v>
      </c>
      <c r="R147" t="s">
        <v>2823</v>
      </c>
      <c r="U147">
        <v>50</v>
      </c>
      <c r="V147">
        <v>2</v>
      </c>
      <c r="W147">
        <v>50</v>
      </c>
      <c r="X147">
        <v>23.7</v>
      </c>
      <c r="Y147">
        <v>21.6</v>
      </c>
    </row>
    <row r="148" spans="1:25" x14ac:dyDescent="0.25">
      <c r="A148" t="s">
        <v>5071</v>
      </c>
      <c r="B148">
        <v>147</v>
      </c>
      <c r="C148">
        <v>147</v>
      </c>
      <c r="D148" t="s">
        <v>13</v>
      </c>
      <c r="E148" t="s">
        <v>4875</v>
      </c>
      <c r="F148" t="s">
        <v>3559</v>
      </c>
      <c r="G148" t="s">
        <v>5072</v>
      </c>
      <c r="H148">
        <v>0</v>
      </c>
      <c r="I148">
        <v>474</v>
      </c>
      <c r="J148">
        <v>291</v>
      </c>
      <c r="K148" t="str">
        <f t="shared" si="2"/>
        <v>mine252158</v>
      </c>
      <c r="M148" t="s">
        <v>1067</v>
      </c>
      <c r="N148" t="s">
        <v>1421</v>
      </c>
      <c r="Q148" t="s">
        <v>3749</v>
      </c>
      <c r="R148" t="s">
        <v>2809</v>
      </c>
      <c r="U148">
        <v>50</v>
      </c>
      <c r="V148">
        <v>2</v>
      </c>
      <c r="W148">
        <v>50</v>
      </c>
      <c r="X148">
        <v>25.2</v>
      </c>
      <c r="Y148">
        <v>15.8</v>
      </c>
    </row>
    <row r="149" spans="1:25" x14ac:dyDescent="0.25">
      <c r="A149" t="s">
        <v>5073</v>
      </c>
      <c r="B149">
        <v>148</v>
      </c>
      <c r="C149">
        <v>148</v>
      </c>
      <c r="D149" t="s">
        <v>13</v>
      </c>
      <c r="E149" t="s">
        <v>4875</v>
      </c>
      <c r="F149" t="s">
        <v>3559</v>
      </c>
      <c r="G149" t="s">
        <v>5074</v>
      </c>
      <c r="H149">
        <v>0</v>
      </c>
      <c r="I149">
        <v>474</v>
      </c>
      <c r="J149">
        <v>291</v>
      </c>
      <c r="K149" t="str">
        <f t="shared" si="2"/>
        <v>mine252158</v>
      </c>
      <c r="M149" t="s">
        <v>1067</v>
      </c>
      <c r="N149" t="s">
        <v>1421</v>
      </c>
      <c r="Q149" t="s">
        <v>3749</v>
      </c>
      <c r="R149" t="s">
        <v>2809</v>
      </c>
      <c r="U149">
        <v>50</v>
      </c>
      <c r="V149">
        <v>2</v>
      </c>
      <c r="W149">
        <v>50</v>
      </c>
      <c r="X149">
        <v>25.2</v>
      </c>
      <c r="Y149">
        <v>15.8</v>
      </c>
    </row>
    <row r="150" spans="1:25" x14ac:dyDescent="0.25">
      <c r="A150" t="s">
        <v>5075</v>
      </c>
      <c r="B150">
        <v>149</v>
      </c>
      <c r="C150">
        <v>149</v>
      </c>
      <c r="D150" t="s">
        <v>13</v>
      </c>
      <c r="E150" t="s">
        <v>4875</v>
      </c>
      <c r="F150" t="s">
        <v>3559</v>
      </c>
      <c r="G150" t="s">
        <v>5076</v>
      </c>
      <c r="H150">
        <v>0</v>
      </c>
      <c r="I150">
        <v>316</v>
      </c>
      <c r="J150">
        <v>371</v>
      </c>
      <c r="K150" t="str">
        <f t="shared" si="2"/>
        <v>mine173201</v>
      </c>
      <c r="M150" t="s">
        <v>1067</v>
      </c>
      <c r="N150" t="s">
        <v>1486</v>
      </c>
      <c r="Q150" t="s">
        <v>3749</v>
      </c>
      <c r="R150" t="s">
        <v>2808</v>
      </c>
      <c r="U150">
        <v>50</v>
      </c>
      <c r="V150">
        <v>2</v>
      </c>
      <c r="W150">
        <v>50</v>
      </c>
      <c r="X150">
        <v>17.3</v>
      </c>
      <c r="Y150">
        <v>20.100000000000001</v>
      </c>
    </row>
    <row r="151" spans="1:25" x14ac:dyDescent="0.25">
      <c r="A151" t="s">
        <v>5077</v>
      </c>
      <c r="B151">
        <v>150</v>
      </c>
      <c r="C151">
        <v>150</v>
      </c>
      <c r="D151" t="s">
        <v>13</v>
      </c>
      <c r="E151" t="s">
        <v>4875</v>
      </c>
      <c r="F151" t="s">
        <v>3559</v>
      </c>
      <c r="G151" t="s">
        <v>5078</v>
      </c>
      <c r="H151">
        <v>0</v>
      </c>
      <c r="I151">
        <v>316</v>
      </c>
      <c r="J151">
        <v>371</v>
      </c>
      <c r="K151" t="str">
        <f t="shared" si="2"/>
        <v>mine173201</v>
      </c>
      <c r="M151" t="s">
        <v>1067</v>
      </c>
      <c r="N151" t="s">
        <v>1486</v>
      </c>
      <c r="Q151" t="s">
        <v>3749</v>
      </c>
      <c r="R151" t="s">
        <v>2808</v>
      </c>
      <c r="U151">
        <v>50</v>
      </c>
      <c r="V151">
        <v>2</v>
      </c>
      <c r="W151">
        <v>50</v>
      </c>
      <c r="X151">
        <v>17.3</v>
      </c>
      <c r="Y151">
        <v>20.100000000000001</v>
      </c>
    </row>
    <row r="152" spans="1:25" x14ac:dyDescent="0.25">
      <c r="A152" t="s">
        <v>5079</v>
      </c>
      <c r="B152">
        <v>151</v>
      </c>
      <c r="C152">
        <v>151</v>
      </c>
      <c r="D152" t="s">
        <v>13</v>
      </c>
      <c r="E152" t="s">
        <v>4875</v>
      </c>
      <c r="F152" t="s">
        <v>3559</v>
      </c>
      <c r="G152" t="s">
        <v>5080</v>
      </c>
      <c r="H152">
        <v>0</v>
      </c>
      <c r="I152">
        <v>444</v>
      </c>
      <c r="J152">
        <v>404</v>
      </c>
      <c r="K152" t="str">
        <f t="shared" si="2"/>
        <v>mine237216</v>
      </c>
      <c r="M152" t="s">
        <v>1067</v>
      </c>
      <c r="N152" t="s">
        <v>1118</v>
      </c>
      <c r="Q152" t="s">
        <v>3749</v>
      </c>
      <c r="R152" t="s">
        <v>2823</v>
      </c>
      <c r="U152">
        <v>50</v>
      </c>
      <c r="V152">
        <v>2</v>
      </c>
      <c r="W152">
        <v>50</v>
      </c>
      <c r="X152">
        <v>23.7</v>
      </c>
      <c r="Y152">
        <v>21.6</v>
      </c>
    </row>
    <row r="153" spans="1:25" x14ac:dyDescent="0.25">
      <c r="A153" t="s">
        <v>5081</v>
      </c>
      <c r="B153">
        <v>152</v>
      </c>
      <c r="C153">
        <v>152</v>
      </c>
      <c r="D153" t="s">
        <v>13</v>
      </c>
      <c r="E153" t="s">
        <v>4875</v>
      </c>
      <c r="F153" t="s">
        <v>3559</v>
      </c>
      <c r="G153" t="s">
        <v>3793</v>
      </c>
      <c r="H153">
        <v>0</v>
      </c>
      <c r="I153">
        <v>444</v>
      </c>
      <c r="J153">
        <v>404</v>
      </c>
      <c r="K153" t="str">
        <f t="shared" si="2"/>
        <v>mine237216</v>
      </c>
      <c r="L153" t="s">
        <v>3620</v>
      </c>
      <c r="M153" t="s">
        <v>1067</v>
      </c>
      <c r="N153" t="s">
        <v>1118</v>
      </c>
      <c r="Q153" t="s">
        <v>3749</v>
      </c>
      <c r="R153" t="s">
        <v>2823</v>
      </c>
      <c r="U153">
        <v>50</v>
      </c>
      <c r="V153">
        <v>2</v>
      </c>
      <c r="W153">
        <v>50</v>
      </c>
      <c r="X153">
        <v>23.7</v>
      </c>
      <c r="Y153">
        <v>21.6</v>
      </c>
    </row>
    <row r="154" spans="1:25" x14ac:dyDescent="0.25">
      <c r="A154" t="s">
        <v>5082</v>
      </c>
      <c r="B154">
        <v>153</v>
      </c>
      <c r="C154">
        <v>153</v>
      </c>
      <c r="D154" t="s">
        <v>13</v>
      </c>
      <c r="E154" t="s">
        <v>4875</v>
      </c>
      <c r="F154" t="s">
        <v>3559</v>
      </c>
      <c r="G154" t="s">
        <v>3793</v>
      </c>
      <c r="H154">
        <v>0</v>
      </c>
      <c r="I154">
        <v>474</v>
      </c>
      <c r="J154">
        <v>291</v>
      </c>
      <c r="K154" t="str">
        <f t="shared" si="2"/>
        <v>mine252158</v>
      </c>
      <c r="L154" t="s">
        <v>3620</v>
      </c>
      <c r="M154" t="s">
        <v>1067</v>
      </c>
      <c r="N154" t="s">
        <v>1421</v>
      </c>
      <c r="Q154" t="s">
        <v>3749</v>
      </c>
      <c r="R154" t="s">
        <v>2809</v>
      </c>
      <c r="U154">
        <v>50</v>
      </c>
      <c r="V154">
        <v>2</v>
      </c>
      <c r="W154">
        <v>50</v>
      </c>
      <c r="X154">
        <v>25.2</v>
      </c>
      <c r="Y154">
        <v>15.8</v>
      </c>
    </row>
    <row r="155" spans="1:25" x14ac:dyDescent="0.25">
      <c r="A155" t="s">
        <v>5083</v>
      </c>
      <c r="B155">
        <v>154</v>
      </c>
      <c r="C155">
        <v>154</v>
      </c>
      <c r="D155" t="s">
        <v>13</v>
      </c>
      <c r="E155" t="s">
        <v>4875</v>
      </c>
      <c r="F155" t="s">
        <v>3559</v>
      </c>
      <c r="G155" t="s">
        <v>3793</v>
      </c>
      <c r="H155">
        <v>0</v>
      </c>
      <c r="I155">
        <v>529</v>
      </c>
      <c r="J155">
        <v>403</v>
      </c>
      <c r="K155" t="str">
        <f t="shared" si="2"/>
        <v>mine28218</v>
      </c>
      <c r="L155" t="s">
        <v>3620</v>
      </c>
      <c r="M155" t="s">
        <v>1067</v>
      </c>
      <c r="N155" t="s">
        <v>1440</v>
      </c>
      <c r="Q155" t="s">
        <v>3749</v>
      </c>
      <c r="R155" t="s">
        <v>2816</v>
      </c>
      <c r="U155">
        <v>50</v>
      </c>
      <c r="V155">
        <v>2</v>
      </c>
      <c r="W155">
        <v>50</v>
      </c>
      <c r="X155">
        <v>28</v>
      </c>
      <c r="Y155">
        <v>21.8</v>
      </c>
    </row>
    <row r="156" spans="1:25" x14ac:dyDescent="0.25">
      <c r="A156" t="s">
        <v>5084</v>
      </c>
      <c r="B156">
        <v>155</v>
      </c>
      <c r="C156">
        <v>155</v>
      </c>
      <c r="D156" t="s">
        <v>13</v>
      </c>
      <c r="E156" t="s">
        <v>4875</v>
      </c>
      <c r="F156" t="s">
        <v>3559</v>
      </c>
      <c r="G156" t="s">
        <v>3793</v>
      </c>
      <c r="H156">
        <v>0</v>
      </c>
      <c r="I156">
        <v>315</v>
      </c>
      <c r="J156">
        <v>194</v>
      </c>
      <c r="K156" t="str">
        <f t="shared" si="2"/>
        <v>mine172105</v>
      </c>
      <c r="L156" t="s">
        <v>3620</v>
      </c>
      <c r="M156" t="s">
        <v>1067</v>
      </c>
      <c r="N156" t="s">
        <v>1471</v>
      </c>
      <c r="Q156" t="s">
        <v>3749</v>
      </c>
      <c r="R156" t="s">
        <v>2809</v>
      </c>
      <c r="U156">
        <v>50</v>
      </c>
      <c r="V156">
        <v>2</v>
      </c>
      <c r="W156">
        <v>50</v>
      </c>
      <c r="X156">
        <v>17.2</v>
      </c>
      <c r="Y156">
        <v>10.5</v>
      </c>
    </row>
    <row r="157" spans="1:25" x14ac:dyDescent="0.25">
      <c r="A157" t="s">
        <v>5085</v>
      </c>
      <c r="B157">
        <v>156</v>
      </c>
      <c r="C157">
        <v>156</v>
      </c>
      <c r="D157" t="s">
        <v>13</v>
      </c>
      <c r="E157" t="s">
        <v>4875</v>
      </c>
      <c r="F157" t="s">
        <v>3559</v>
      </c>
      <c r="G157" t="s">
        <v>3793</v>
      </c>
      <c r="H157">
        <v>0</v>
      </c>
      <c r="I157">
        <v>428</v>
      </c>
      <c r="J157">
        <v>456</v>
      </c>
      <c r="K157" t="str">
        <f t="shared" si="2"/>
        <v>mine231243</v>
      </c>
      <c r="L157" t="s">
        <v>3620</v>
      </c>
      <c r="M157" t="s">
        <v>1067</v>
      </c>
      <c r="N157" t="s">
        <v>1477</v>
      </c>
      <c r="Q157" t="s">
        <v>3749</v>
      </c>
      <c r="R157" t="s">
        <v>2822</v>
      </c>
      <c r="U157">
        <v>50</v>
      </c>
      <c r="V157">
        <v>2</v>
      </c>
      <c r="W157">
        <v>50</v>
      </c>
      <c r="X157">
        <v>23.1</v>
      </c>
      <c r="Y157">
        <v>24.3</v>
      </c>
    </row>
    <row r="158" spans="1:25" x14ac:dyDescent="0.25">
      <c r="A158" t="s">
        <v>5086</v>
      </c>
      <c r="B158">
        <v>157</v>
      </c>
      <c r="C158">
        <v>157</v>
      </c>
      <c r="D158" t="s">
        <v>13</v>
      </c>
      <c r="E158" t="s">
        <v>4875</v>
      </c>
      <c r="F158" t="s">
        <v>3559</v>
      </c>
      <c r="G158" t="s">
        <v>3793</v>
      </c>
      <c r="H158">
        <v>0</v>
      </c>
      <c r="I158">
        <v>316</v>
      </c>
      <c r="J158">
        <v>371</v>
      </c>
      <c r="K158" t="str">
        <f t="shared" si="2"/>
        <v>mine173201</v>
      </c>
      <c r="L158" t="s">
        <v>3620</v>
      </c>
      <c r="M158" t="s">
        <v>1067</v>
      </c>
      <c r="N158" t="s">
        <v>1486</v>
      </c>
      <c r="Q158" t="s">
        <v>3749</v>
      </c>
      <c r="R158" t="s">
        <v>2808</v>
      </c>
      <c r="U158">
        <v>50</v>
      </c>
      <c r="V158">
        <v>2</v>
      </c>
      <c r="W158">
        <v>50</v>
      </c>
      <c r="X158">
        <v>17.3</v>
      </c>
      <c r="Y158">
        <v>20.100000000000001</v>
      </c>
    </row>
    <row r="159" spans="1:25" x14ac:dyDescent="0.25">
      <c r="A159" t="s">
        <v>5087</v>
      </c>
      <c r="B159">
        <v>158</v>
      </c>
      <c r="C159">
        <v>158</v>
      </c>
      <c r="D159" t="s">
        <v>13</v>
      </c>
      <c r="E159" t="s">
        <v>4875</v>
      </c>
      <c r="F159" t="s">
        <v>3559</v>
      </c>
      <c r="G159" t="s">
        <v>3793</v>
      </c>
      <c r="H159">
        <v>0</v>
      </c>
      <c r="I159">
        <v>516</v>
      </c>
      <c r="J159">
        <v>373</v>
      </c>
      <c r="K159" t="str">
        <f t="shared" si="2"/>
        <v>mine276199</v>
      </c>
      <c r="L159" t="s">
        <v>3620</v>
      </c>
      <c r="M159" t="s">
        <v>1067</v>
      </c>
      <c r="N159" t="s">
        <v>1501</v>
      </c>
      <c r="Q159" t="s">
        <v>3749</v>
      </c>
      <c r="R159" t="s">
        <v>2806</v>
      </c>
      <c r="U159">
        <v>50</v>
      </c>
      <c r="V159">
        <v>2</v>
      </c>
      <c r="W159">
        <v>50</v>
      </c>
      <c r="X159">
        <v>27.6</v>
      </c>
      <c r="Y159">
        <v>19.899999999999999</v>
      </c>
    </row>
    <row r="160" spans="1:25" x14ac:dyDescent="0.25">
      <c r="A160" t="s">
        <v>5088</v>
      </c>
      <c r="B160">
        <v>159</v>
      </c>
      <c r="C160">
        <v>159</v>
      </c>
      <c r="D160" t="s">
        <v>13</v>
      </c>
      <c r="E160" t="s">
        <v>4875</v>
      </c>
      <c r="F160" t="s">
        <v>3559</v>
      </c>
      <c r="G160" t="s">
        <v>5089</v>
      </c>
      <c r="H160">
        <v>0</v>
      </c>
      <c r="I160">
        <v>520</v>
      </c>
      <c r="J160">
        <v>502</v>
      </c>
      <c r="K160" t="str">
        <f t="shared" si="2"/>
        <v>mine293281</v>
      </c>
      <c r="M160" t="s">
        <v>11</v>
      </c>
      <c r="N160" t="s">
        <v>1532</v>
      </c>
      <c r="Q160" t="s">
        <v>11083</v>
      </c>
      <c r="U160">
        <v>50</v>
      </c>
      <c r="V160">
        <v>3</v>
      </c>
      <c r="W160">
        <v>50</v>
      </c>
      <c r="X160">
        <v>29.3</v>
      </c>
      <c r="Y160">
        <v>28.1</v>
      </c>
    </row>
    <row r="161" spans="1:25" x14ac:dyDescent="0.25">
      <c r="A161" t="s">
        <v>5090</v>
      </c>
      <c r="B161">
        <v>160</v>
      </c>
      <c r="C161">
        <v>160</v>
      </c>
      <c r="D161" t="s">
        <v>13</v>
      </c>
      <c r="E161" t="s">
        <v>4875</v>
      </c>
      <c r="F161" t="s">
        <v>3559</v>
      </c>
      <c r="G161" t="s">
        <v>5091</v>
      </c>
      <c r="H161">
        <v>0</v>
      </c>
      <c r="I161">
        <v>315</v>
      </c>
      <c r="J161">
        <v>194</v>
      </c>
      <c r="K161" t="str">
        <f t="shared" si="2"/>
        <v>mine172105</v>
      </c>
      <c r="M161" t="s">
        <v>1067</v>
      </c>
      <c r="N161" t="s">
        <v>1471</v>
      </c>
      <c r="Q161" t="s">
        <v>3749</v>
      </c>
      <c r="R161" t="s">
        <v>2809</v>
      </c>
      <c r="U161">
        <v>50</v>
      </c>
      <c r="V161">
        <v>3</v>
      </c>
      <c r="W161">
        <v>50</v>
      </c>
      <c r="X161">
        <v>17.2</v>
      </c>
      <c r="Y161">
        <v>10.5</v>
      </c>
    </row>
    <row r="162" spans="1:25" x14ac:dyDescent="0.25">
      <c r="A162" t="s">
        <v>5092</v>
      </c>
      <c r="B162">
        <v>161</v>
      </c>
      <c r="C162">
        <v>161</v>
      </c>
      <c r="D162" t="s">
        <v>13</v>
      </c>
      <c r="E162" t="s">
        <v>4875</v>
      </c>
      <c r="F162" t="s">
        <v>3559</v>
      </c>
      <c r="G162" t="s">
        <v>5093</v>
      </c>
      <c r="H162">
        <v>0</v>
      </c>
      <c r="I162">
        <v>520</v>
      </c>
      <c r="J162">
        <v>502</v>
      </c>
      <c r="K162" t="str">
        <f t="shared" si="2"/>
        <v>mine293281</v>
      </c>
      <c r="M162" t="s">
        <v>11</v>
      </c>
      <c r="N162" t="s">
        <v>1532</v>
      </c>
      <c r="Q162" t="s">
        <v>11083</v>
      </c>
      <c r="U162">
        <v>50</v>
      </c>
      <c r="V162">
        <v>3</v>
      </c>
      <c r="W162">
        <v>50</v>
      </c>
      <c r="X162">
        <v>29.3</v>
      </c>
      <c r="Y162">
        <v>28.1</v>
      </c>
    </row>
    <row r="163" spans="1:25" x14ac:dyDescent="0.25">
      <c r="A163" t="s">
        <v>5094</v>
      </c>
      <c r="B163">
        <v>162</v>
      </c>
      <c r="C163">
        <v>162</v>
      </c>
      <c r="D163" t="s">
        <v>13</v>
      </c>
      <c r="E163" t="s">
        <v>4875</v>
      </c>
      <c r="F163" t="s">
        <v>3559</v>
      </c>
      <c r="G163" t="s">
        <v>5095</v>
      </c>
      <c r="H163">
        <v>0</v>
      </c>
      <c r="I163">
        <v>428</v>
      </c>
      <c r="J163">
        <v>456</v>
      </c>
      <c r="K163" t="str">
        <f t="shared" si="2"/>
        <v>mine231243</v>
      </c>
      <c r="M163" t="s">
        <v>1067</v>
      </c>
      <c r="N163" t="s">
        <v>1477</v>
      </c>
      <c r="Q163" t="s">
        <v>3749</v>
      </c>
      <c r="R163" t="s">
        <v>2822</v>
      </c>
      <c r="U163">
        <v>50</v>
      </c>
      <c r="V163">
        <v>3</v>
      </c>
      <c r="W163">
        <v>50</v>
      </c>
      <c r="X163">
        <v>23.1</v>
      </c>
      <c r="Y163">
        <v>24.3</v>
      </c>
    </row>
    <row r="164" spans="1:25" x14ac:dyDescent="0.25">
      <c r="A164" t="s">
        <v>5096</v>
      </c>
      <c r="B164">
        <v>163</v>
      </c>
      <c r="C164">
        <v>163</v>
      </c>
      <c r="D164" t="s">
        <v>13</v>
      </c>
      <c r="E164" t="s">
        <v>4875</v>
      </c>
      <c r="F164" t="s">
        <v>3559</v>
      </c>
      <c r="G164" t="s">
        <v>5097</v>
      </c>
      <c r="H164">
        <v>0</v>
      </c>
      <c r="I164">
        <v>542</v>
      </c>
      <c r="J164">
        <v>262</v>
      </c>
      <c r="K164" t="str">
        <f t="shared" si="2"/>
        <v>mine304151</v>
      </c>
      <c r="M164" t="s">
        <v>11</v>
      </c>
      <c r="N164" t="s">
        <v>1662</v>
      </c>
      <c r="Q164" t="s">
        <v>11083</v>
      </c>
      <c r="U164">
        <v>51</v>
      </c>
      <c r="V164">
        <v>0</v>
      </c>
      <c r="W164">
        <v>55</v>
      </c>
      <c r="X164">
        <v>30.4</v>
      </c>
      <c r="Y164">
        <v>15.1</v>
      </c>
    </row>
    <row r="165" spans="1:25" x14ac:dyDescent="0.25">
      <c r="A165" t="s">
        <v>5098</v>
      </c>
      <c r="B165">
        <v>164</v>
      </c>
      <c r="C165">
        <v>164</v>
      </c>
      <c r="D165" t="s">
        <v>13</v>
      </c>
      <c r="E165" t="s">
        <v>4875</v>
      </c>
      <c r="F165" t="s">
        <v>3559</v>
      </c>
      <c r="G165" t="s">
        <v>5099</v>
      </c>
      <c r="H165">
        <v>0</v>
      </c>
      <c r="I165">
        <v>492</v>
      </c>
      <c r="J165">
        <v>570</v>
      </c>
      <c r="K165" t="str">
        <f t="shared" si="2"/>
        <v>mine274318</v>
      </c>
      <c r="M165" t="s">
        <v>11</v>
      </c>
      <c r="N165" t="s">
        <v>1667</v>
      </c>
      <c r="Q165" t="s">
        <v>11083</v>
      </c>
      <c r="U165">
        <v>51</v>
      </c>
      <c r="V165">
        <v>0</v>
      </c>
      <c r="W165">
        <v>55</v>
      </c>
      <c r="X165">
        <v>27.4</v>
      </c>
      <c r="Y165">
        <v>31.8</v>
      </c>
    </row>
    <row r="166" spans="1:25" x14ac:dyDescent="0.25">
      <c r="A166" t="s">
        <v>5100</v>
      </c>
      <c r="B166">
        <v>165</v>
      </c>
      <c r="C166">
        <v>165</v>
      </c>
      <c r="D166" t="s">
        <v>13</v>
      </c>
      <c r="E166" t="s">
        <v>4875</v>
      </c>
      <c r="F166" t="s">
        <v>3559</v>
      </c>
      <c r="G166" t="s">
        <v>5101</v>
      </c>
      <c r="H166">
        <v>0</v>
      </c>
      <c r="I166">
        <v>492</v>
      </c>
      <c r="J166">
        <v>570</v>
      </c>
      <c r="K166" t="str">
        <f t="shared" si="2"/>
        <v>mine274318</v>
      </c>
      <c r="M166" t="s">
        <v>11</v>
      </c>
      <c r="N166" t="s">
        <v>1667</v>
      </c>
      <c r="Q166" t="s">
        <v>11083</v>
      </c>
      <c r="U166">
        <v>52</v>
      </c>
      <c r="V166">
        <v>0</v>
      </c>
      <c r="W166">
        <v>55</v>
      </c>
      <c r="X166">
        <v>27.4</v>
      </c>
      <c r="Y166">
        <v>31.8</v>
      </c>
    </row>
    <row r="167" spans="1:25" x14ac:dyDescent="0.25">
      <c r="A167" t="s">
        <v>5102</v>
      </c>
      <c r="B167">
        <v>166</v>
      </c>
      <c r="C167">
        <v>166</v>
      </c>
      <c r="D167" t="s">
        <v>13</v>
      </c>
      <c r="E167" t="s">
        <v>4875</v>
      </c>
      <c r="F167" t="s">
        <v>3559</v>
      </c>
      <c r="G167" t="s">
        <v>5103</v>
      </c>
      <c r="H167">
        <v>0</v>
      </c>
      <c r="I167">
        <v>559</v>
      </c>
      <c r="J167">
        <v>216</v>
      </c>
      <c r="K167" t="str">
        <f t="shared" si="2"/>
        <v>mine314125</v>
      </c>
      <c r="L167" t="s">
        <v>3620</v>
      </c>
      <c r="M167" t="s">
        <v>11</v>
      </c>
      <c r="N167" t="s">
        <v>1553</v>
      </c>
      <c r="Q167" t="s">
        <v>11083</v>
      </c>
      <c r="U167">
        <v>53</v>
      </c>
      <c r="V167">
        <v>0</v>
      </c>
      <c r="W167">
        <v>55</v>
      </c>
      <c r="X167">
        <v>31.4</v>
      </c>
      <c r="Y167">
        <v>12.5</v>
      </c>
    </row>
    <row r="168" spans="1:25" x14ac:dyDescent="0.25">
      <c r="A168" t="s">
        <v>5104</v>
      </c>
      <c r="B168">
        <v>167</v>
      </c>
      <c r="C168">
        <v>167</v>
      </c>
      <c r="D168" t="s">
        <v>13</v>
      </c>
      <c r="E168" t="s">
        <v>4875</v>
      </c>
      <c r="F168" t="s">
        <v>3559</v>
      </c>
      <c r="G168" t="s">
        <v>5105</v>
      </c>
      <c r="H168">
        <v>0</v>
      </c>
      <c r="I168">
        <v>542</v>
      </c>
      <c r="J168">
        <v>262</v>
      </c>
      <c r="K168" t="str">
        <f t="shared" si="2"/>
        <v>mine304151</v>
      </c>
      <c r="M168" t="s">
        <v>11</v>
      </c>
      <c r="N168" t="s">
        <v>1662</v>
      </c>
      <c r="Q168" t="s">
        <v>11083</v>
      </c>
      <c r="U168">
        <v>53</v>
      </c>
      <c r="V168">
        <v>0</v>
      </c>
      <c r="W168">
        <v>55</v>
      </c>
      <c r="X168">
        <v>30.4</v>
      </c>
      <c r="Y168">
        <v>15.1</v>
      </c>
    </row>
    <row r="169" spans="1:25" x14ac:dyDescent="0.25">
      <c r="A169" t="s">
        <v>5106</v>
      </c>
      <c r="B169">
        <v>168</v>
      </c>
      <c r="C169">
        <v>168</v>
      </c>
      <c r="D169" t="s">
        <v>13</v>
      </c>
      <c r="E169" t="s">
        <v>4875</v>
      </c>
      <c r="F169" t="s">
        <v>3559</v>
      </c>
      <c r="G169" t="s">
        <v>5107</v>
      </c>
      <c r="H169">
        <v>0</v>
      </c>
      <c r="I169">
        <v>559</v>
      </c>
      <c r="J169">
        <v>216</v>
      </c>
      <c r="K169" t="str">
        <f t="shared" si="2"/>
        <v>mine314125</v>
      </c>
      <c r="M169" t="s">
        <v>11</v>
      </c>
      <c r="N169" t="s">
        <v>1553</v>
      </c>
      <c r="Q169" t="s">
        <v>11083</v>
      </c>
      <c r="U169">
        <v>53</v>
      </c>
      <c r="V169">
        <v>0</v>
      </c>
      <c r="W169">
        <v>55</v>
      </c>
      <c r="X169">
        <v>31.4</v>
      </c>
      <c r="Y169">
        <v>12.5</v>
      </c>
    </row>
    <row r="170" spans="1:25" x14ac:dyDescent="0.25">
      <c r="A170" t="s">
        <v>5108</v>
      </c>
      <c r="B170">
        <v>169</v>
      </c>
      <c r="C170">
        <v>169</v>
      </c>
      <c r="D170" t="s">
        <v>13</v>
      </c>
      <c r="E170" t="s">
        <v>4875</v>
      </c>
      <c r="F170" t="s">
        <v>3559</v>
      </c>
      <c r="G170" t="s">
        <v>5109</v>
      </c>
      <c r="H170">
        <v>0</v>
      </c>
      <c r="I170">
        <v>492</v>
      </c>
      <c r="J170">
        <v>570</v>
      </c>
      <c r="K170" t="str">
        <f t="shared" si="2"/>
        <v>mine274318</v>
      </c>
      <c r="M170" t="s">
        <v>11</v>
      </c>
      <c r="N170" t="s">
        <v>1667</v>
      </c>
      <c r="Q170" t="s">
        <v>11083</v>
      </c>
      <c r="U170">
        <v>54</v>
      </c>
      <c r="V170">
        <v>0</v>
      </c>
      <c r="W170">
        <v>55</v>
      </c>
      <c r="X170">
        <v>27.4</v>
      </c>
      <c r="Y170">
        <v>31.8</v>
      </c>
    </row>
    <row r="171" spans="1:25" x14ac:dyDescent="0.25">
      <c r="A171" t="s">
        <v>5110</v>
      </c>
      <c r="B171">
        <v>170</v>
      </c>
      <c r="C171">
        <v>170</v>
      </c>
      <c r="D171" t="s">
        <v>13</v>
      </c>
      <c r="E171" t="s">
        <v>4875</v>
      </c>
      <c r="F171" t="s">
        <v>3559</v>
      </c>
      <c r="G171" t="s">
        <v>5111</v>
      </c>
      <c r="H171">
        <v>0</v>
      </c>
      <c r="I171">
        <v>559</v>
      </c>
      <c r="J171">
        <v>216</v>
      </c>
      <c r="K171" t="str">
        <f t="shared" si="2"/>
        <v>mine314125</v>
      </c>
      <c r="M171" t="s">
        <v>11</v>
      </c>
      <c r="N171" t="s">
        <v>1553</v>
      </c>
      <c r="Q171" t="s">
        <v>11083</v>
      </c>
      <c r="U171">
        <v>54</v>
      </c>
      <c r="V171">
        <v>0</v>
      </c>
      <c r="W171">
        <v>55</v>
      </c>
      <c r="X171">
        <v>31.4</v>
      </c>
      <c r="Y171">
        <v>12.5</v>
      </c>
    </row>
    <row r="172" spans="1:25" x14ac:dyDescent="0.25">
      <c r="A172" t="s">
        <v>5112</v>
      </c>
      <c r="B172">
        <v>171</v>
      </c>
      <c r="C172">
        <v>171</v>
      </c>
      <c r="D172" t="s">
        <v>13</v>
      </c>
      <c r="E172" t="s">
        <v>4875</v>
      </c>
      <c r="F172" t="s">
        <v>3559</v>
      </c>
      <c r="G172" t="s">
        <v>5113</v>
      </c>
      <c r="H172">
        <v>0</v>
      </c>
      <c r="I172">
        <v>492</v>
      </c>
      <c r="J172">
        <v>570</v>
      </c>
      <c r="K172" t="str">
        <f t="shared" si="2"/>
        <v>mine274318</v>
      </c>
      <c r="M172" t="s">
        <v>11</v>
      </c>
      <c r="N172" t="s">
        <v>1667</v>
      </c>
      <c r="Q172" t="s">
        <v>11083</v>
      </c>
      <c r="U172">
        <v>54</v>
      </c>
      <c r="V172">
        <v>0</v>
      </c>
      <c r="W172">
        <v>55</v>
      </c>
      <c r="X172">
        <v>27.4</v>
      </c>
      <c r="Y172">
        <v>31.8</v>
      </c>
    </row>
    <row r="173" spans="1:25" x14ac:dyDescent="0.25">
      <c r="A173" t="s">
        <v>5114</v>
      </c>
      <c r="B173">
        <v>172</v>
      </c>
      <c r="C173">
        <v>172</v>
      </c>
      <c r="D173" t="s">
        <v>13</v>
      </c>
      <c r="E173" t="s">
        <v>4875</v>
      </c>
      <c r="F173" t="s">
        <v>3559</v>
      </c>
      <c r="G173" t="s">
        <v>5115</v>
      </c>
      <c r="H173">
        <v>0</v>
      </c>
      <c r="I173">
        <v>542</v>
      </c>
      <c r="J173">
        <v>262</v>
      </c>
      <c r="K173" t="str">
        <f t="shared" si="2"/>
        <v>mine304151</v>
      </c>
      <c r="M173" t="s">
        <v>11</v>
      </c>
      <c r="N173" t="s">
        <v>1662</v>
      </c>
      <c r="Q173" t="s">
        <v>11083</v>
      </c>
      <c r="U173">
        <v>55</v>
      </c>
      <c r="V173">
        <v>0</v>
      </c>
      <c r="W173">
        <v>55</v>
      </c>
      <c r="X173">
        <v>30.4</v>
      </c>
      <c r="Y173">
        <v>15.1</v>
      </c>
    </row>
    <row r="174" spans="1:25" x14ac:dyDescent="0.25">
      <c r="A174" t="s">
        <v>5116</v>
      </c>
      <c r="B174">
        <v>173</v>
      </c>
      <c r="C174">
        <v>173</v>
      </c>
      <c r="D174" t="s">
        <v>13</v>
      </c>
      <c r="E174" t="s">
        <v>4875</v>
      </c>
      <c r="F174" t="s">
        <v>3559</v>
      </c>
      <c r="G174" t="s">
        <v>5117</v>
      </c>
      <c r="H174">
        <v>0</v>
      </c>
      <c r="I174">
        <v>542</v>
      </c>
      <c r="J174">
        <v>262</v>
      </c>
      <c r="K174" t="str">
        <f t="shared" si="2"/>
        <v>mine304151</v>
      </c>
      <c r="M174" t="s">
        <v>11</v>
      </c>
      <c r="N174" t="s">
        <v>1662</v>
      </c>
      <c r="Q174" t="s">
        <v>11083</v>
      </c>
      <c r="U174">
        <v>55</v>
      </c>
      <c r="V174">
        <v>0</v>
      </c>
      <c r="W174">
        <v>55</v>
      </c>
      <c r="X174">
        <v>30.4</v>
      </c>
      <c r="Y174">
        <v>15.1</v>
      </c>
    </row>
    <row r="175" spans="1:25" x14ac:dyDescent="0.25">
      <c r="A175" t="s">
        <v>5118</v>
      </c>
      <c r="B175">
        <v>174</v>
      </c>
      <c r="C175">
        <v>174</v>
      </c>
      <c r="D175" t="s">
        <v>13</v>
      </c>
      <c r="E175" t="s">
        <v>4875</v>
      </c>
      <c r="F175" t="s">
        <v>3559</v>
      </c>
      <c r="G175" t="s">
        <v>5119</v>
      </c>
      <c r="H175">
        <v>0</v>
      </c>
      <c r="I175">
        <v>542</v>
      </c>
      <c r="J175">
        <v>262</v>
      </c>
      <c r="K175" t="str">
        <f t="shared" si="2"/>
        <v>mine304151</v>
      </c>
      <c r="M175" t="s">
        <v>11</v>
      </c>
      <c r="N175" t="s">
        <v>1662</v>
      </c>
      <c r="Q175" t="s">
        <v>11083</v>
      </c>
      <c r="U175">
        <v>55</v>
      </c>
      <c r="V175">
        <v>0</v>
      </c>
      <c r="W175">
        <v>55</v>
      </c>
      <c r="X175">
        <v>30.4</v>
      </c>
      <c r="Y175">
        <v>15.1</v>
      </c>
    </row>
    <row r="176" spans="1:25" x14ac:dyDescent="0.25">
      <c r="A176" t="s">
        <v>5120</v>
      </c>
      <c r="B176">
        <v>175</v>
      </c>
      <c r="C176">
        <v>175</v>
      </c>
      <c r="D176" t="s">
        <v>13</v>
      </c>
      <c r="E176" t="s">
        <v>4875</v>
      </c>
      <c r="F176" t="s">
        <v>3559</v>
      </c>
      <c r="G176" t="s">
        <v>5121</v>
      </c>
      <c r="H176">
        <v>0</v>
      </c>
      <c r="I176">
        <v>450</v>
      </c>
      <c r="J176">
        <v>445</v>
      </c>
      <c r="K176" t="str">
        <f t="shared" si="2"/>
        <v>mine25225</v>
      </c>
      <c r="M176" t="s">
        <v>11</v>
      </c>
      <c r="N176" t="s">
        <v>1686</v>
      </c>
      <c r="Q176" t="s">
        <v>11083</v>
      </c>
      <c r="U176">
        <v>57</v>
      </c>
      <c r="V176">
        <v>0</v>
      </c>
      <c r="W176">
        <v>60</v>
      </c>
      <c r="X176">
        <v>25.2</v>
      </c>
      <c r="Y176">
        <v>25</v>
      </c>
    </row>
    <row r="177" spans="1:25" x14ac:dyDescent="0.25">
      <c r="A177" t="s">
        <v>5122</v>
      </c>
      <c r="B177">
        <v>176</v>
      </c>
      <c r="C177">
        <v>176</v>
      </c>
      <c r="D177" t="s">
        <v>13</v>
      </c>
      <c r="E177" t="s">
        <v>4875</v>
      </c>
      <c r="F177" t="s">
        <v>3559</v>
      </c>
      <c r="G177" t="s">
        <v>5123</v>
      </c>
      <c r="H177">
        <v>0</v>
      </c>
      <c r="I177">
        <v>330</v>
      </c>
      <c r="J177">
        <v>514</v>
      </c>
      <c r="K177" t="str">
        <f t="shared" si="2"/>
        <v>mine186287</v>
      </c>
      <c r="M177" t="s">
        <v>11</v>
      </c>
      <c r="N177" t="s">
        <v>1672</v>
      </c>
      <c r="Q177" t="s">
        <v>11083</v>
      </c>
      <c r="U177">
        <v>57</v>
      </c>
      <c r="V177">
        <v>0</v>
      </c>
      <c r="W177">
        <v>60</v>
      </c>
      <c r="X177">
        <v>18.600000000000001</v>
      </c>
      <c r="Y177">
        <v>28.7</v>
      </c>
    </row>
    <row r="178" spans="1:25" x14ac:dyDescent="0.25">
      <c r="A178" t="s">
        <v>5124</v>
      </c>
      <c r="B178">
        <v>177</v>
      </c>
      <c r="C178">
        <v>177</v>
      </c>
      <c r="D178" t="s">
        <v>13</v>
      </c>
      <c r="E178" t="s">
        <v>4875</v>
      </c>
      <c r="F178" t="s">
        <v>3559</v>
      </c>
      <c r="G178" t="s">
        <v>5125</v>
      </c>
      <c r="H178">
        <v>0</v>
      </c>
      <c r="I178">
        <v>624</v>
      </c>
      <c r="J178">
        <v>546</v>
      </c>
      <c r="K178" t="str">
        <f t="shared" si="2"/>
        <v>mine348305</v>
      </c>
      <c r="M178" t="s">
        <v>11</v>
      </c>
      <c r="N178" t="s">
        <v>1605</v>
      </c>
      <c r="Q178" t="s">
        <v>11083</v>
      </c>
      <c r="U178">
        <v>57</v>
      </c>
      <c r="V178">
        <v>0</v>
      </c>
      <c r="W178">
        <v>60</v>
      </c>
      <c r="X178">
        <v>34.799999999999997</v>
      </c>
      <c r="Y178">
        <v>30.5</v>
      </c>
    </row>
    <row r="179" spans="1:25" x14ac:dyDescent="0.25">
      <c r="A179" t="s">
        <v>5126</v>
      </c>
      <c r="B179">
        <v>178</v>
      </c>
      <c r="C179">
        <v>178</v>
      </c>
      <c r="D179" t="s">
        <v>13</v>
      </c>
      <c r="E179" t="s">
        <v>4875</v>
      </c>
      <c r="F179" t="s">
        <v>3559</v>
      </c>
      <c r="G179" t="s">
        <v>4491</v>
      </c>
      <c r="H179">
        <v>0</v>
      </c>
      <c r="I179">
        <v>450</v>
      </c>
      <c r="J179">
        <v>445</v>
      </c>
      <c r="K179" t="str">
        <f t="shared" si="2"/>
        <v>mine25225</v>
      </c>
      <c r="L179" t="s">
        <v>3859</v>
      </c>
      <c r="M179" t="s">
        <v>11</v>
      </c>
      <c r="N179" t="s">
        <v>1686</v>
      </c>
      <c r="O179" t="s">
        <v>3860</v>
      </c>
      <c r="P179" t="s">
        <v>4492</v>
      </c>
      <c r="Q179" t="s">
        <v>11083</v>
      </c>
      <c r="U179">
        <v>57</v>
      </c>
      <c r="V179">
        <v>0</v>
      </c>
      <c r="W179">
        <v>60</v>
      </c>
      <c r="X179">
        <v>25.2</v>
      </c>
      <c r="Y179">
        <v>25</v>
      </c>
    </row>
    <row r="180" spans="1:25" x14ac:dyDescent="0.25">
      <c r="A180" t="s">
        <v>5127</v>
      </c>
      <c r="B180">
        <v>179</v>
      </c>
      <c r="C180">
        <v>179</v>
      </c>
      <c r="D180" t="s">
        <v>13</v>
      </c>
      <c r="E180" t="s">
        <v>4875</v>
      </c>
      <c r="F180" t="s">
        <v>3559</v>
      </c>
      <c r="G180" t="s">
        <v>5128</v>
      </c>
      <c r="H180">
        <v>0</v>
      </c>
      <c r="I180">
        <v>450</v>
      </c>
      <c r="J180">
        <v>445</v>
      </c>
      <c r="K180" t="str">
        <f t="shared" si="2"/>
        <v>mine25225</v>
      </c>
      <c r="L180" t="s">
        <v>3620</v>
      </c>
      <c r="M180" t="s">
        <v>11</v>
      </c>
      <c r="N180" t="s">
        <v>1686</v>
      </c>
      <c r="Q180" t="s">
        <v>11083</v>
      </c>
      <c r="U180">
        <v>58</v>
      </c>
      <c r="V180">
        <v>0</v>
      </c>
      <c r="W180">
        <v>60</v>
      </c>
      <c r="X180">
        <v>25.2</v>
      </c>
      <c r="Y180">
        <v>25</v>
      </c>
    </row>
    <row r="181" spans="1:25" x14ac:dyDescent="0.25">
      <c r="A181" t="s">
        <v>5129</v>
      </c>
      <c r="B181">
        <v>180</v>
      </c>
      <c r="C181">
        <v>180</v>
      </c>
      <c r="D181" t="s">
        <v>13</v>
      </c>
      <c r="E181" t="s">
        <v>4875</v>
      </c>
      <c r="F181" t="s">
        <v>3559</v>
      </c>
      <c r="G181" t="s">
        <v>5130</v>
      </c>
      <c r="H181">
        <v>0</v>
      </c>
      <c r="I181">
        <v>330</v>
      </c>
      <c r="J181">
        <v>514</v>
      </c>
      <c r="K181" t="str">
        <f t="shared" si="2"/>
        <v>mine186287</v>
      </c>
      <c r="M181" t="s">
        <v>11</v>
      </c>
      <c r="N181" t="s">
        <v>1672</v>
      </c>
      <c r="Q181" t="s">
        <v>11083</v>
      </c>
      <c r="U181">
        <v>58</v>
      </c>
      <c r="V181">
        <v>0</v>
      </c>
      <c r="W181">
        <v>60</v>
      </c>
      <c r="X181">
        <v>18.600000000000001</v>
      </c>
      <c r="Y181">
        <v>28.7</v>
      </c>
    </row>
    <row r="182" spans="1:25" x14ac:dyDescent="0.25">
      <c r="A182" t="s">
        <v>5131</v>
      </c>
      <c r="B182">
        <v>181</v>
      </c>
      <c r="C182">
        <v>181</v>
      </c>
      <c r="D182" t="s">
        <v>13</v>
      </c>
      <c r="E182" t="s">
        <v>4875</v>
      </c>
      <c r="F182" t="s">
        <v>3559</v>
      </c>
      <c r="G182" t="s">
        <v>4499</v>
      </c>
      <c r="H182">
        <v>0</v>
      </c>
      <c r="I182">
        <v>395</v>
      </c>
      <c r="J182">
        <v>501</v>
      </c>
      <c r="K182" t="str">
        <f t="shared" si="2"/>
        <v>mine226282</v>
      </c>
      <c r="L182" t="s">
        <v>3859</v>
      </c>
      <c r="M182" t="s">
        <v>11</v>
      </c>
      <c r="N182" t="s">
        <v>1559</v>
      </c>
      <c r="O182" t="s">
        <v>3860</v>
      </c>
      <c r="P182" t="s">
        <v>4492</v>
      </c>
      <c r="Q182" t="s">
        <v>11083</v>
      </c>
      <c r="U182">
        <v>58</v>
      </c>
      <c r="V182">
        <v>0</v>
      </c>
      <c r="W182">
        <v>60</v>
      </c>
      <c r="X182">
        <v>22.6</v>
      </c>
      <c r="Y182">
        <v>28.2</v>
      </c>
    </row>
    <row r="183" spans="1:25" x14ac:dyDescent="0.25">
      <c r="A183" t="s">
        <v>5132</v>
      </c>
      <c r="B183">
        <v>182</v>
      </c>
      <c r="C183">
        <v>182</v>
      </c>
      <c r="D183" t="s">
        <v>13</v>
      </c>
      <c r="E183" t="s">
        <v>4875</v>
      </c>
      <c r="F183" t="s">
        <v>3559</v>
      </c>
      <c r="G183" t="s">
        <v>5133</v>
      </c>
      <c r="H183">
        <v>0</v>
      </c>
      <c r="I183">
        <v>450</v>
      </c>
      <c r="J183">
        <v>445</v>
      </c>
      <c r="K183" t="str">
        <f t="shared" si="2"/>
        <v>mine25225</v>
      </c>
      <c r="M183" t="s">
        <v>11</v>
      </c>
      <c r="N183" t="s">
        <v>1686</v>
      </c>
      <c r="Q183" t="s">
        <v>11083</v>
      </c>
      <c r="U183">
        <v>59</v>
      </c>
      <c r="V183">
        <v>0</v>
      </c>
      <c r="W183">
        <v>60</v>
      </c>
      <c r="X183">
        <v>25.2</v>
      </c>
      <c r="Y183">
        <v>25</v>
      </c>
    </row>
    <row r="184" spans="1:25" x14ac:dyDescent="0.25">
      <c r="A184" t="s">
        <v>5134</v>
      </c>
      <c r="B184">
        <v>183</v>
      </c>
      <c r="C184">
        <v>183</v>
      </c>
      <c r="D184" t="s">
        <v>13</v>
      </c>
      <c r="E184" t="s">
        <v>4875</v>
      </c>
      <c r="F184" t="s">
        <v>3559</v>
      </c>
      <c r="G184" t="s">
        <v>5135</v>
      </c>
      <c r="H184">
        <v>0</v>
      </c>
      <c r="I184">
        <v>395</v>
      </c>
      <c r="J184">
        <v>501</v>
      </c>
      <c r="K184" t="str">
        <f t="shared" si="2"/>
        <v>mine226282</v>
      </c>
      <c r="M184" t="s">
        <v>11</v>
      </c>
      <c r="N184" t="s">
        <v>1559</v>
      </c>
      <c r="Q184" t="s">
        <v>11083</v>
      </c>
      <c r="U184">
        <v>59</v>
      </c>
      <c r="V184">
        <v>0</v>
      </c>
      <c r="W184">
        <v>60</v>
      </c>
      <c r="X184">
        <v>22.6</v>
      </c>
      <c r="Y184">
        <v>28.2</v>
      </c>
    </row>
    <row r="185" spans="1:25" x14ac:dyDescent="0.25">
      <c r="A185" t="s">
        <v>5136</v>
      </c>
      <c r="B185">
        <v>184</v>
      </c>
      <c r="C185">
        <v>184</v>
      </c>
      <c r="D185" t="s">
        <v>13</v>
      </c>
      <c r="E185" t="s">
        <v>4875</v>
      </c>
      <c r="F185" t="s">
        <v>3559</v>
      </c>
      <c r="G185" t="s">
        <v>5137</v>
      </c>
      <c r="H185">
        <v>0</v>
      </c>
      <c r="I185">
        <v>624</v>
      </c>
      <c r="J185">
        <v>546</v>
      </c>
      <c r="K185" t="str">
        <f t="shared" si="2"/>
        <v>mine348305</v>
      </c>
      <c r="M185" t="s">
        <v>11</v>
      </c>
      <c r="N185" t="s">
        <v>1605</v>
      </c>
      <c r="Q185" t="s">
        <v>11083</v>
      </c>
      <c r="U185">
        <v>59</v>
      </c>
      <c r="V185">
        <v>0</v>
      </c>
      <c r="W185">
        <v>60</v>
      </c>
      <c r="X185">
        <v>34.799999999999997</v>
      </c>
      <c r="Y185">
        <v>30.5</v>
      </c>
    </row>
    <row r="186" spans="1:25" x14ac:dyDescent="0.25">
      <c r="A186" t="s">
        <v>5138</v>
      </c>
      <c r="B186">
        <v>185</v>
      </c>
      <c r="C186">
        <v>185</v>
      </c>
      <c r="D186" t="s">
        <v>13</v>
      </c>
      <c r="E186" t="s">
        <v>4875</v>
      </c>
      <c r="F186" t="s">
        <v>3559</v>
      </c>
      <c r="G186" t="s">
        <v>5139</v>
      </c>
      <c r="H186">
        <v>0</v>
      </c>
      <c r="I186">
        <v>423</v>
      </c>
      <c r="J186">
        <v>95</v>
      </c>
      <c r="K186" t="str">
        <f t="shared" si="2"/>
        <v>mine23759</v>
      </c>
      <c r="M186" t="s">
        <v>11</v>
      </c>
      <c r="N186" t="s">
        <v>1633</v>
      </c>
      <c r="Q186" t="s">
        <v>3749</v>
      </c>
      <c r="R186" t="s">
        <v>2829</v>
      </c>
      <c r="U186">
        <v>60</v>
      </c>
      <c r="V186">
        <v>0</v>
      </c>
      <c r="W186">
        <v>60</v>
      </c>
      <c r="X186">
        <v>23.7</v>
      </c>
      <c r="Y186">
        <v>5.9</v>
      </c>
    </row>
    <row r="187" spans="1:25" x14ac:dyDescent="0.25">
      <c r="A187" t="s">
        <v>5140</v>
      </c>
      <c r="B187">
        <v>186</v>
      </c>
      <c r="C187">
        <v>186</v>
      </c>
      <c r="D187" t="s">
        <v>13</v>
      </c>
      <c r="E187" t="s">
        <v>4875</v>
      </c>
      <c r="F187" t="s">
        <v>3559</v>
      </c>
      <c r="G187" t="s">
        <v>5141</v>
      </c>
      <c r="H187">
        <v>0</v>
      </c>
      <c r="I187">
        <v>395</v>
      </c>
      <c r="J187">
        <v>501</v>
      </c>
      <c r="K187" t="str">
        <f t="shared" si="2"/>
        <v>mine226282</v>
      </c>
      <c r="M187" t="s">
        <v>11</v>
      </c>
      <c r="N187" t="s">
        <v>1559</v>
      </c>
      <c r="Q187" t="s">
        <v>11083</v>
      </c>
      <c r="U187">
        <v>60</v>
      </c>
      <c r="V187">
        <v>0</v>
      </c>
      <c r="W187">
        <v>60</v>
      </c>
      <c r="X187">
        <v>22.6</v>
      </c>
      <c r="Y187">
        <v>28.2</v>
      </c>
    </row>
    <row r="188" spans="1:25" x14ac:dyDescent="0.25">
      <c r="A188" t="s">
        <v>5142</v>
      </c>
      <c r="B188">
        <v>187</v>
      </c>
      <c r="C188">
        <v>187</v>
      </c>
      <c r="D188" t="s">
        <v>13</v>
      </c>
      <c r="E188" t="s">
        <v>4875</v>
      </c>
      <c r="F188" t="s">
        <v>3559</v>
      </c>
      <c r="G188" t="s">
        <v>5141</v>
      </c>
      <c r="H188">
        <v>0</v>
      </c>
      <c r="I188">
        <v>624</v>
      </c>
      <c r="J188">
        <v>546</v>
      </c>
      <c r="K188" t="str">
        <f t="shared" si="2"/>
        <v>mine348305</v>
      </c>
      <c r="M188" t="s">
        <v>11</v>
      </c>
      <c r="N188" t="s">
        <v>1605</v>
      </c>
      <c r="Q188" t="s">
        <v>11083</v>
      </c>
      <c r="U188">
        <v>60</v>
      </c>
      <c r="V188">
        <v>0</v>
      </c>
      <c r="W188">
        <v>60</v>
      </c>
      <c r="X188">
        <v>34.799999999999997</v>
      </c>
      <c r="Y188">
        <v>30.5</v>
      </c>
    </row>
    <row r="189" spans="1:25" x14ac:dyDescent="0.25">
      <c r="A189" t="s">
        <v>5143</v>
      </c>
      <c r="B189">
        <v>188</v>
      </c>
      <c r="C189">
        <v>188</v>
      </c>
      <c r="D189" t="s">
        <v>13</v>
      </c>
      <c r="E189" t="s">
        <v>4875</v>
      </c>
      <c r="F189" t="s">
        <v>3559</v>
      </c>
      <c r="G189" t="s">
        <v>5141</v>
      </c>
      <c r="H189">
        <v>0</v>
      </c>
      <c r="I189">
        <v>330</v>
      </c>
      <c r="J189">
        <v>514</v>
      </c>
      <c r="K189" t="str">
        <f t="shared" si="2"/>
        <v>mine186287</v>
      </c>
      <c r="M189" t="s">
        <v>11</v>
      </c>
      <c r="N189" t="s">
        <v>1672</v>
      </c>
      <c r="Q189" t="s">
        <v>11083</v>
      </c>
      <c r="U189">
        <v>60</v>
      </c>
      <c r="V189">
        <v>0</v>
      </c>
      <c r="W189">
        <v>60</v>
      </c>
      <c r="X189">
        <v>18.600000000000001</v>
      </c>
      <c r="Y189">
        <v>28.7</v>
      </c>
    </row>
    <row r="190" spans="1:25" x14ac:dyDescent="0.25">
      <c r="A190" t="s">
        <v>5144</v>
      </c>
      <c r="B190">
        <v>189</v>
      </c>
      <c r="C190">
        <v>189</v>
      </c>
      <c r="D190" t="s">
        <v>13</v>
      </c>
      <c r="E190" t="s">
        <v>4875</v>
      </c>
      <c r="F190" t="s">
        <v>3559</v>
      </c>
      <c r="G190" t="s">
        <v>5141</v>
      </c>
      <c r="H190">
        <v>0</v>
      </c>
      <c r="I190">
        <v>450</v>
      </c>
      <c r="J190">
        <v>445</v>
      </c>
      <c r="K190" t="str">
        <f t="shared" si="2"/>
        <v>mine25225</v>
      </c>
      <c r="M190" t="s">
        <v>11</v>
      </c>
      <c r="N190" t="s">
        <v>1686</v>
      </c>
      <c r="Q190" t="s">
        <v>11083</v>
      </c>
      <c r="U190">
        <v>60</v>
      </c>
      <c r="V190">
        <v>0</v>
      </c>
      <c r="W190">
        <v>60</v>
      </c>
      <c r="X190">
        <v>25.2</v>
      </c>
      <c r="Y190">
        <v>25</v>
      </c>
    </row>
    <row r="191" spans="1:25" x14ac:dyDescent="0.25">
      <c r="A191" t="s">
        <v>5145</v>
      </c>
      <c r="B191">
        <v>190</v>
      </c>
      <c r="C191">
        <v>190</v>
      </c>
      <c r="D191" t="s">
        <v>13</v>
      </c>
      <c r="E191" t="s">
        <v>4875</v>
      </c>
      <c r="F191" t="s">
        <v>3559</v>
      </c>
      <c r="G191" t="s">
        <v>5146</v>
      </c>
      <c r="H191">
        <v>0</v>
      </c>
      <c r="I191">
        <v>450</v>
      </c>
      <c r="J191">
        <v>445</v>
      </c>
      <c r="K191" t="str">
        <f t="shared" si="2"/>
        <v>mine25225</v>
      </c>
      <c r="M191" t="s">
        <v>11</v>
      </c>
      <c r="N191" t="s">
        <v>1686</v>
      </c>
      <c r="Q191" t="s">
        <v>11083</v>
      </c>
      <c r="U191">
        <v>60</v>
      </c>
      <c r="V191">
        <v>0</v>
      </c>
      <c r="W191">
        <v>60</v>
      </c>
      <c r="X191">
        <v>25.2</v>
      </c>
      <c r="Y191">
        <v>25</v>
      </c>
    </row>
    <row r="192" spans="1:25" x14ac:dyDescent="0.25">
      <c r="A192" t="s">
        <v>5147</v>
      </c>
      <c r="B192">
        <v>191</v>
      </c>
      <c r="C192">
        <v>191</v>
      </c>
      <c r="D192" t="s">
        <v>13</v>
      </c>
      <c r="E192" t="s">
        <v>4875</v>
      </c>
      <c r="F192" t="s">
        <v>3559</v>
      </c>
      <c r="G192" t="s">
        <v>5148</v>
      </c>
      <c r="H192">
        <v>0</v>
      </c>
      <c r="I192">
        <v>450</v>
      </c>
      <c r="J192">
        <v>445</v>
      </c>
      <c r="K192" t="str">
        <f t="shared" si="2"/>
        <v>mine25225</v>
      </c>
      <c r="M192" t="s">
        <v>11</v>
      </c>
      <c r="N192" t="s">
        <v>1686</v>
      </c>
      <c r="Q192" t="s">
        <v>11083</v>
      </c>
      <c r="U192">
        <v>60</v>
      </c>
      <c r="V192">
        <v>0</v>
      </c>
      <c r="W192">
        <v>60</v>
      </c>
      <c r="X192">
        <v>25.2</v>
      </c>
      <c r="Y192">
        <v>25</v>
      </c>
    </row>
    <row r="193" spans="1:25" x14ac:dyDescent="0.25">
      <c r="A193" t="s">
        <v>5149</v>
      </c>
      <c r="B193">
        <v>192</v>
      </c>
      <c r="C193">
        <v>192</v>
      </c>
      <c r="D193" t="s">
        <v>13</v>
      </c>
      <c r="E193" t="s">
        <v>4875</v>
      </c>
      <c r="F193" t="s">
        <v>3559</v>
      </c>
      <c r="G193" t="s">
        <v>4533</v>
      </c>
      <c r="H193">
        <v>0</v>
      </c>
      <c r="I193">
        <v>624</v>
      </c>
      <c r="J193">
        <v>546</v>
      </c>
      <c r="K193" t="str">
        <f t="shared" si="2"/>
        <v>mine348305</v>
      </c>
      <c r="L193" t="s">
        <v>3859</v>
      </c>
      <c r="M193" t="s">
        <v>11</v>
      </c>
      <c r="N193" t="s">
        <v>1605</v>
      </c>
      <c r="O193" t="s">
        <v>3860</v>
      </c>
      <c r="P193" t="s">
        <v>4492</v>
      </c>
      <c r="Q193" t="s">
        <v>11083</v>
      </c>
      <c r="U193">
        <v>60</v>
      </c>
      <c r="V193">
        <v>0</v>
      </c>
      <c r="W193">
        <v>60</v>
      </c>
      <c r="X193">
        <v>34.799999999999997</v>
      </c>
      <c r="Y193">
        <v>30.5</v>
      </c>
    </row>
    <row r="194" spans="1:25" x14ac:dyDescent="0.25">
      <c r="A194" t="s">
        <v>5150</v>
      </c>
      <c r="B194">
        <v>193</v>
      </c>
      <c r="C194">
        <v>193</v>
      </c>
      <c r="D194" t="s">
        <v>13</v>
      </c>
      <c r="E194" t="s">
        <v>4875</v>
      </c>
      <c r="F194" t="s">
        <v>3559</v>
      </c>
      <c r="G194" t="s">
        <v>4535</v>
      </c>
      <c r="H194">
        <v>0</v>
      </c>
      <c r="I194">
        <v>310</v>
      </c>
      <c r="J194">
        <v>203</v>
      </c>
      <c r="K194" t="str">
        <f t="shared" ref="K194:K257" si="3">LEFT(A194,4)&amp;SUBSTITUTE(X194,".","")&amp;SUBSTITUTE(Y194,".","")</f>
        <v>mine168114</v>
      </c>
      <c r="L194" t="s">
        <v>3859</v>
      </c>
      <c r="M194" t="s">
        <v>73</v>
      </c>
      <c r="N194" t="s">
        <v>1736</v>
      </c>
      <c r="O194" t="s">
        <v>3860</v>
      </c>
      <c r="P194" t="s">
        <v>4536</v>
      </c>
      <c r="Q194" t="s">
        <v>11083</v>
      </c>
      <c r="U194">
        <v>60</v>
      </c>
      <c r="V194">
        <v>0</v>
      </c>
      <c r="W194">
        <v>60</v>
      </c>
      <c r="X194">
        <v>16.8</v>
      </c>
      <c r="Y194">
        <v>11.4</v>
      </c>
    </row>
    <row r="195" spans="1:25" x14ac:dyDescent="0.25">
      <c r="A195" t="s">
        <v>5151</v>
      </c>
      <c r="B195">
        <v>194</v>
      </c>
      <c r="C195">
        <v>194</v>
      </c>
      <c r="D195" t="s">
        <v>13</v>
      </c>
      <c r="E195" t="s">
        <v>4875</v>
      </c>
      <c r="F195" t="s">
        <v>3559</v>
      </c>
      <c r="G195" t="s">
        <v>4538</v>
      </c>
      <c r="H195">
        <v>0</v>
      </c>
      <c r="I195">
        <v>315</v>
      </c>
      <c r="J195">
        <v>673</v>
      </c>
      <c r="K195" t="str">
        <f t="shared" si="3"/>
        <v>mine17357</v>
      </c>
      <c r="L195" t="s">
        <v>3859</v>
      </c>
      <c r="M195" t="s">
        <v>73</v>
      </c>
      <c r="N195" t="s">
        <v>1924</v>
      </c>
      <c r="O195" t="s">
        <v>3860</v>
      </c>
      <c r="P195" t="s">
        <v>4536</v>
      </c>
      <c r="Q195" t="s">
        <v>11083</v>
      </c>
      <c r="U195">
        <v>60</v>
      </c>
      <c r="V195">
        <v>0</v>
      </c>
      <c r="W195">
        <v>60</v>
      </c>
      <c r="X195">
        <v>17</v>
      </c>
      <c r="Y195">
        <v>35.700000000000003</v>
      </c>
    </row>
    <row r="196" spans="1:25" x14ac:dyDescent="0.25">
      <c r="A196" t="s">
        <v>5152</v>
      </c>
      <c r="B196">
        <v>195</v>
      </c>
      <c r="C196">
        <v>195</v>
      </c>
      <c r="D196" t="s">
        <v>13</v>
      </c>
      <c r="E196" t="s">
        <v>4875</v>
      </c>
      <c r="F196" t="s">
        <v>3559</v>
      </c>
      <c r="G196" t="s">
        <v>4540</v>
      </c>
      <c r="H196">
        <v>0</v>
      </c>
      <c r="I196">
        <v>310</v>
      </c>
      <c r="J196">
        <v>203</v>
      </c>
      <c r="K196" t="str">
        <f t="shared" si="3"/>
        <v>mine168114</v>
      </c>
      <c r="L196" t="s">
        <v>3859</v>
      </c>
      <c r="M196" t="s">
        <v>73</v>
      </c>
      <c r="N196" t="s">
        <v>1736</v>
      </c>
      <c r="O196" t="s">
        <v>3860</v>
      </c>
      <c r="P196" t="s">
        <v>4536</v>
      </c>
      <c r="Q196" t="s">
        <v>11083</v>
      </c>
      <c r="U196">
        <v>60</v>
      </c>
      <c r="V196">
        <v>0</v>
      </c>
      <c r="W196">
        <v>60</v>
      </c>
      <c r="X196">
        <v>16.8</v>
      </c>
      <c r="Y196">
        <v>11.4</v>
      </c>
    </row>
    <row r="197" spans="1:25" x14ac:dyDescent="0.25">
      <c r="A197" t="s">
        <v>5153</v>
      </c>
      <c r="B197">
        <v>196</v>
      </c>
      <c r="C197">
        <v>196</v>
      </c>
      <c r="D197" t="s">
        <v>13</v>
      </c>
      <c r="E197" t="s">
        <v>4875</v>
      </c>
      <c r="F197" t="s">
        <v>3559</v>
      </c>
      <c r="G197" t="s">
        <v>5154</v>
      </c>
      <c r="H197">
        <v>0</v>
      </c>
      <c r="I197">
        <v>330</v>
      </c>
      <c r="J197">
        <v>514</v>
      </c>
      <c r="K197" t="str">
        <f t="shared" si="3"/>
        <v>mine186287</v>
      </c>
      <c r="M197" t="s">
        <v>11</v>
      </c>
      <c r="N197" t="s">
        <v>1672</v>
      </c>
      <c r="Q197" t="s">
        <v>11083</v>
      </c>
      <c r="U197">
        <v>60</v>
      </c>
      <c r="V197">
        <v>1</v>
      </c>
      <c r="W197">
        <v>60</v>
      </c>
      <c r="X197">
        <v>18.600000000000001</v>
      </c>
      <c r="Y197">
        <v>28.7</v>
      </c>
    </row>
    <row r="198" spans="1:25" x14ac:dyDescent="0.25">
      <c r="A198" t="s">
        <v>5155</v>
      </c>
      <c r="B198">
        <v>197</v>
      </c>
      <c r="C198">
        <v>197</v>
      </c>
      <c r="D198" t="s">
        <v>13</v>
      </c>
      <c r="E198" t="s">
        <v>4875</v>
      </c>
      <c r="F198" t="s">
        <v>3559</v>
      </c>
      <c r="G198" t="s">
        <v>4549</v>
      </c>
      <c r="H198">
        <v>0</v>
      </c>
      <c r="I198">
        <v>330</v>
      </c>
      <c r="J198">
        <v>514</v>
      </c>
      <c r="K198" t="str">
        <f t="shared" si="3"/>
        <v>mine186287</v>
      </c>
      <c r="L198" t="s">
        <v>3859</v>
      </c>
      <c r="M198" t="s">
        <v>11</v>
      </c>
      <c r="N198" t="s">
        <v>1672</v>
      </c>
      <c r="O198" t="s">
        <v>3860</v>
      </c>
      <c r="P198" t="s">
        <v>4492</v>
      </c>
      <c r="Q198" t="s">
        <v>11083</v>
      </c>
      <c r="U198">
        <v>60</v>
      </c>
      <c r="V198">
        <v>1</v>
      </c>
      <c r="W198">
        <v>60</v>
      </c>
      <c r="X198">
        <v>18.600000000000001</v>
      </c>
      <c r="Y198">
        <v>28.7</v>
      </c>
    </row>
    <row r="199" spans="1:25" x14ac:dyDescent="0.25">
      <c r="A199" t="s">
        <v>5156</v>
      </c>
      <c r="B199">
        <v>198</v>
      </c>
      <c r="C199">
        <v>198</v>
      </c>
      <c r="D199" t="s">
        <v>13</v>
      </c>
      <c r="E199" t="s">
        <v>4875</v>
      </c>
      <c r="F199" t="s">
        <v>3559</v>
      </c>
      <c r="G199" t="s">
        <v>4551</v>
      </c>
      <c r="H199">
        <v>0</v>
      </c>
      <c r="I199">
        <v>702</v>
      </c>
      <c r="J199">
        <v>169</v>
      </c>
      <c r="K199" t="str">
        <f t="shared" si="3"/>
        <v>mine37198</v>
      </c>
      <c r="L199" t="s">
        <v>3859</v>
      </c>
      <c r="M199" t="s">
        <v>73</v>
      </c>
      <c r="N199" t="s">
        <v>1790</v>
      </c>
      <c r="O199" t="s">
        <v>3860</v>
      </c>
      <c r="P199" t="s">
        <v>4536</v>
      </c>
      <c r="Q199" t="s">
        <v>11083</v>
      </c>
      <c r="U199">
        <v>60</v>
      </c>
      <c r="V199">
        <v>1</v>
      </c>
      <c r="W199">
        <v>60</v>
      </c>
      <c r="X199">
        <v>37.1</v>
      </c>
      <c r="Y199">
        <v>9.8000000000000007</v>
      </c>
    </row>
    <row r="200" spans="1:25" x14ac:dyDescent="0.25">
      <c r="A200" t="s">
        <v>5157</v>
      </c>
      <c r="B200">
        <v>199</v>
      </c>
      <c r="C200">
        <v>199</v>
      </c>
      <c r="D200" t="s">
        <v>13</v>
      </c>
      <c r="E200" t="s">
        <v>4875</v>
      </c>
      <c r="F200" t="s">
        <v>3559</v>
      </c>
      <c r="G200" t="s">
        <v>4553</v>
      </c>
      <c r="H200">
        <v>0</v>
      </c>
      <c r="I200">
        <v>702</v>
      </c>
      <c r="J200">
        <v>169</v>
      </c>
      <c r="K200" t="str">
        <f t="shared" si="3"/>
        <v>mine37198</v>
      </c>
      <c r="L200" t="s">
        <v>3859</v>
      </c>
      <c r="M200" t="s">
        <v>73</v>
      </c>
      <c r="N200" t="s">
        <v>1790</v>
      </c>
      <c r="O200" t="s">
        <v>3860</v>
      </c>
      <c r="P200" t="s">
        <v>4536</v>
      </c>
      <c r="Q200" t="s">
        <v>11083</v>
      </c>
      <c r="U200">
        <v>60</v>
      </c>
      <c r="V200">
        <v>1</v>
      </c>
      <c r="W200">
        <v>60</v>
      </c>
      <c r="X200">
        <v>37.1</v>
      </c>
      <c r="Y200">
        <v>9.8000000000000007</v>
      </c>
    </row>
    <row r="201" spans="1:25" x14ac:dyDescent="0.25">
      <c r="A201" t="s">
        <v>5158</v>
      </c>
      <c r="B201">
        <v>200</v>
      </c>
      <c r="C201">
        <v>200</v>
      </c>
      <c r="D201" t="s">
        <v>13</v>
      </c>
      <c r="E201" t="s">
        <v>4875</v>
      </c>
      <c r="F201" t="s">
        <v>3559</v>
      </c>
      <c r="G201" t="s">
        <v>5159</v>
      </c>
      <c r="H201">
        <v>0</v>
      </c>
      <c r="I201">
        <v>474</v>
      </c>
      <c r="J201">
        <v>144</v>
      </c>
      <c r="K201" t="str">
        <f t="shared" si="3"/>
        <v>mine25181</v>
      </c>
      <c r="M201" t="s">
        <v>73</v>
      </c>
      <c r="N201" t="s">
        <v>1753</v>
      </c>
      <c r="Q201" t="s">
        <v>3749</v>
      </c>
      <c r="R201" t="s">
        <v>2830</v>
      </c>
      <c r="U201">
        <v>60</v>
      </c>
      <c r="V201">
        <v>2</v>
      </c>
      <c r="W201">
        <v>60</v>
      </c>
      <c r="X201">
        <v>25.1</v>
      </c>
      <c r="Y201">
        <v>8.1</v>
      </c>
    </row>
    <row r="202" spans="1:25" x14ac:dyDescent="0.25">
      <c r="A202" t="s">
        <v>5160</v>
      </c>
      <c r="B202">
        <v>201</v>
      </c>
      <c r="C202">
        <v>201</v>
      </c>
      <c r="D202" t="s">
        <v>13</v>
      </c>
      <c r="E202" t="s">
        <v>4875</v>
      </c>
      <c r="F202" t="s">
        <v>3559</v>
      </c>
      <c r="G202" t="s">
        <v>5161</v>
      </c>
      <c r="H202">
        <v>0</v>
      </c>
      <c r="I202">
        <v>310</v>
      </c>
      <c r="J202">
        <v>203</v>
      </c>
      <c r="K202" t="str">
        <f t="shared" si="3"/>
        <v>mine168114</v>
      </c>
      <c r="M202" t="s">
        <v>73</v>
      </c>
      <c r="N202" t="s">
        <v>1736</v>
      </c>
      <c r="Q202" t="s">
        <v>11083</v>
      </c>
      <c r="U202">
        <v>60</v>
      </c>
      <c r="V202">
        <v>2</v>
      </c>
      <c r="W202">
        <v>60</v>
      </c>
      <c r="X202">
        <v>16.8</v>
      </c>
      <c r="Y202">
        <v>11.4</v>
      </c>
    </row>
    <row r="203" spans="1:25" x14ac:dyDescent="0.25">
      <c r="A203" t="s">
        <v>5162</v>
      </c>
      <c r="B203">
        <v>202</v>
      </c>
      <c r="C203">
        <v>202</v>
      </c>
      <c r="D203" t="s">
        <v>13</v>
      </c>
      <c r="E203" t="s">
        <v>4875</v>
      </c>
      <c r="F203" t="s">
        <v>3559</v>
      </c>
      <c r="G203" t="s">
        <v>5163</v>
      </c>
      <c r="H203">
        <v>0</v>
      </c>
      <c r="I203">
        <v>451</v>
      </c>
      <c r="J203">
        <v>269</v>
      </c>
      <c r="K203" t="str">
        <f t="shared" si="3"/>
        <v>mine243147</v>
      </c>
      <c r="M203" t="s">
        <v>73</v>
      </c>
      <c r="N203" t="s">
        <v>1753</v>
      </c>
      <c r="Q203" t="s">
        <v>11083</v>
      </c>
      <c r="U203">
        <v>61</v>
      </c>
      <c r="V203">
        <v>0</v>
      </c>
      <c r="W203">
        <v>65</v>
      </c>
      <c r="X203">
        <v>24.3</v>
      </c>
      <c r="Y203">
        <v>14.7</v>
      </c>
    </row>
    <row r="204" spans="1:25" x14ac:dyDescent="0.25">
      <c r="A204" t="s">
        <v>5164</v>
      </c>
      <c r="B204">
        <v>203</v>
      </c>
      <c r="C204">
        <v>203</v>
      </c>
      <c r="D204" t="s">
        <v>13</v>
      </c>
      <c r="E204" t="s">
        <v>4875</v>
      </c>
      <c r="F204" t="s">
        <v>3559</v>
      </c>
      <c r="G204" t="s">
        <v>5165</v>
      </c>
      <c r="H204">
        <v>0</v>
      </c>
      <c r="I204">
        <v>451</v>
      </c>
      <c r="J204">
        <v>269</v>
      </c>
      <c r="K204" t="str">
        <f t="shared" si="3"/>
        <v>mine243147</v>
      </c>
      <c r="M204" t="s">
        <v>73</v>
      </c>
      <c r="N204" t="s">
        <v>1753</v>
      </c>
      <c r="Q204" t="s">
        <v>11083</v>
      </c>
      <c r="U204">
        <v>62</v>
      </c>
      <c r="V204">
        <v>0</v>
      </c>
      <c r="W204">
        <v>65</v>
      </c>
      <c r="X204">
        <v>24.3</v>
      </c>
      <c r="Y204">
        <v>14.7</v>
      </c>
    </row>
    <row r="205" spans="1:25" x14ac:dyDescent="0.25">
      <c r="A205" t="s">
        <v>5166</v>
      </c>
      <c r="B205">
        <v>204</v>
      </c>
      <c r="C205">
        <v>204</v>
      </c>
      <c r="D205" t="s">
        <v>13</v>
      </c>
      <c r="E205" t="s">
        <v>4875</v>
      </c>
      <c r="F205" t="s">
        <v>3559</v>
      </c>
      <c r="G205" t="s">
        <v>4568</v>
      </c>
      <c r="H205">
        <v>0</v>
      </c>
      <c r="I205">
        <v>451</v>
      </c>
      <c r="J205">
        <v>269</v>
      </c>
      <c r="K205" t="str">
        <f t="shared" si="3"/>
        <v>mine243147</v>
      </c>
      <c r="L205" t="s">
        <v>3859</v>
      </c>
      <c r="M205" t="s">
        <v>73</v>
      </c>
      <c r="N205" t="s">
        <v>1753</v>
      </c>
      <c r="O205" t="s">
        <v>3860</v>
      </c>
      <c r="P205" t="s">
        <v>4560</v>
      </c>
      <c r="Q205" t="s">
        <v>11083</v>
      </c>
      <c r="U205">
        <v>62</v>
      </c>
      <c r="V205">
        <v>0</v>
      </c>
      <c r="W205">
        <v>65</v>
      </c>
      <c r="X205">
        <v>24.3</v>
      </c>
      <c r="Y205">
        <v>14.7</v>
      </c>
    </row>
    <row r="206" spans="1:25" x14ac:dyDescent="0.25">
      <c r="A206" t="s">
        <v>5167</v>
      </c>
      <c r="B206">
        <v>205</v>
      </c>
      <c r="C206">
        <v>205</v>
      </c>
      <c r="D206" t="s">
        <v>13</v>
      </c>
      <c r="E206" t="s">
        <v>4875</v>
      </c>
      <c r="F206" t="s">
        <v>3559</v>
      </c>
      <c r="G206" t="s">
        <v>5168</v>
      </c>
      <c r="H206">
        <v>0</v>
      </c>
      <c r="I206">
        <v>444</v>
      </c>
      <c r="J206">
        <v>681</v>
      </c>
      <c r="K206" t="str">
        <f t="shared" si="3"/>
        <v>mine241359</v>
      </c>
      <c r="M206" t="s">
        <v>73</v>
      </c>
      <c r="N206" t="s">
        <v>912</v>
      </c>
      <c r="Q206" t="s">
        <v>11083</v>
      </c>
      <c r="U206">
        <v>63</v>
      </c>
      <c r="V206">
        <v>0</v>
      </c>
      <c r="W206">
        <v>65</v>
      </c>
      <c r="X206">
        <v>24.1</v>
      </c>
      <c r="Y206">
        <v>35.9</v>
      </c>
    </row>
    <row r="207" spans="1:25" x14ac:dyDescent="0.25">
      <c r="A207" t="s">
        <v>5169</v>
      </c>
      <c r="B207">
        <v>206</v>
      </c>
      <c r="C207">
        <v>206</v>
      </c>
      <c r="D207" t="s">
        <v>13</v>
      </c>
      <c r="E207" t="s">
        <v>4875</v>
      </c>
      <c r="F207" t="s">
        <v>3559</v>
      </c>
      <c r="G207" t="s">
        <v>5170</v>
      </c>
      <c r="H207">
        <v>0</v>
      </c>
      <c r="I207">
        <v>270</v>
      </c>
      <c r="J207">
        <v>84</v>
      </c>
      <c r="K207" t="str">
        <f t="shared" si="3"/>
        <v>mine14951</v>
      </c>
      <c r="M207" t="s">
        <v>73</v>
      </c>
      <c r="N207" t="s">
        <v>1926</v>
      </c>
      <c r="Q207" t="s">
        <v>3749</v>
      </c>
      <c r="R207" t="s">
        <v>2829</v>
      </c>
      <c r="U207">
        <v>63</v>
      </c>
      <c r="V207">
        <v>0</v>
      </c>
      <c r="W207">
        <v>65</v>
      </c>
      <c r="X207">
        <v>14.9</v>
      </c>
      <c r="Y207">
        <v>5.0999999999999996</v>
      </c>
    </row>
    <row r="208" spans="1:25" x14ac:dyDescent="0.25">
      <c r="A208" t="s">
        <v>5171</v>
      </c>
      <c r="B208">
        <v>207</v>
      </c>
      <c r="C208">
        <v>207</v>
      </c>
      <c r="D208" t="s">
        <v>13</v>
      </c>
      <c r="E208" t="s">
        <v>4875</v>
      </c>
      <c r="F208" t="s">
        <v>3559</v>
      </c>
      <c r="G208" t="s">
        <v>4574</v>
      </c>
      <c r="H208">
        <v>0</v>
      </c>
      <c r="I208">
        <v>399</v>
      </c>
      <c r="J208">
        <v>629</v>
      </c>
      <c r="K208" t="str">
        <f t="shared" si="3"/>
        <v>mine22535</v>
      </c>
      <c r="L208" t="s">
        <v>3859</v>
      </c>
      <c r="M208" t="s">
        <v>73</v>
      </c>
      <c r="N208" t="s">
        <v>1560</v>
      </c>
      <c r="O208" t="s">
        <v>3860</v>
      </c>
      <c r="P208" t="s">
        <v>4560</v>
      </c>
      <c r="Q208" t="s">
        <v>11083</v>
      </c>
      <c r="U208">
        <v>63</v>
      </c>
      <c r="V208">
        <v>0</v>
      </c>
      <c r="W208">
        <v>65</v>
      </c>
      <c r="X208">
        <v>22.5</v>
      </c>
      <c r="Y208">
        <v>35</v>
      </c>
    </row>
    <row r="209" spans="1:25" x14ac:dyDescent="0.25">
      <c r="A209" t="s">
        <v>5172</v>
      </c>
      <c r="B209">
        <v>208</v>
      </c>
      <c r="C209">
        <v>208</v>
      </c>
      <c r="D209" t="s">
        <v>13</v>
      </c>
      <c r="E209" t="s">
        <v>4875</v>
      </c>
      <c r="F209" t="s">
        <v>3559</v>
      </c>
      <c r="G209" t="s">
        <v>5173</v>
      </c>
      <c r="H209">
        <v>0</v>
      </c>
      <c r="I209">
        <v>597</v>
      </c>
      <c r="J209">
        <v>407</v>
      </c>
      <c r="K209" t="str">
        <f t="shared" si="3"/>
        <v>mine316217</v>
      </c>
      <c r="M209" t="s">
        <v>73</v>
      </c>
      <c r="N209" t="s">
        <v>1931</v>
      </c>
      <c r="Q209" t="s">
        <v>11083</v>
      </c>
      <c r="U209">
        <v>64</v>
      </c>
      <c r="V209">
        <v>0</v>
      </c>
      <c r="W209">
        <v>65</v>
      </c>
      <c r="X209">
        <v>31.6</v>
      </c>
      <c r="Y209">
        <v>21.7</v>
      </c>
    </row>
    <row r="210" spans="1:25" x14ac:dyDescent="0.25">
      <c r="A210" t="s">
        <v>5174</v>
      </c>
      <c r="B210">
        <v>209</v>
      </c>
      <c r="C210">
        <v>209</v>
      </c>
      <c r="D210" t="s">
        <v>13</v>
      </c>
      <c r="E210" t="s">
        <v>4875</v>
      </c>
      <c r="F210" t="s">
        <v>3559</v>
      </c>
      <c r="G210" t="s">
        <v>3858</v>
      </c>
      <c r="H210">
        <v>0</v>
      </c>
      <c r="I210">
        <v>444</v>
      </c>
      <c r="J210">
        <v>681</v>
      </c>
      <c r="K210" t="str">
        <f t="shared" si="3"/>
        <v>mine241359</v>
      </c>
      <c r="L210" t="s">
        <v>3859</v>
      </c>
      <c r="M210" t="s">
        <v>73</v>
      </c>
      <c r="N210" t="s">
        <v>912</v>
      </c>
      <c r="O210" t="s">
        <v>3860</v>
      </c>
      <c r="P210" t="s">
        <v>3861</v>
      </c>
      <c r="Q210" t="s">
        <v>11083</v>
      </c>
      <c r="U210">
        <v>64</v>
      </c>
      <c r="V210">
        <v>0</v>
      </c>
      <c r="W210">
        <v>65</v>
      </c>
      <c r="X210">
        <v>24.1</v>
      </c>
      <c r="Y210">
        <v>35.9</v>
      </c>
    </row>
    <row r="211" spans="1:25" x14ac:dyDescent="0.25">
      <c r="A211" t="s">
        <v>5175</v>
      </c>
      <c r="B211">
        <v>210</v>
      </c>
      <c r="C211">
        <v>210</v>
      </c>
      <c r="D211" t="s">
        <v>13</v>
      </c>
      <c r="E211" t="s">
        <v>4875</v>
      </c>
      <c r="F211" t="s">
        <v>3559</v>
      </c>
      <c r="G211" t="s">
        <v>5176</v>
      </c>
      <c r="H211">
        <v>0</v>
      </c>
      <c r="I211">
        <v>597</v>
      </c>
      <c r="J211">
        <v>407</v>
      </c>
      <c r="K211" t="str">
        <f t="shared" si="3"/>
        <v>mine316217</v>
      </c>
      <c r="M211" t="s">
        <v>73</v>
      </c>
      <c r="N211" t="s">
        <v>1931</v>
      </c>
      <c r="Q211" t="s">
        <v>11083</v>
      </c>
      <c r="U211">
        <v>65</v>
      </c>
      <c r="V211">
        <v>0</v>
      </c>
      <c r="W211">
        <v>65</v>
      </c>
      <c r="X211">
        <v>31.6</v>
      </c>
      <c r="Y211">
        <v>21.7</v>
      </c>
    </row>
    <row r="212" spans="1:25" x14ac:dyDescent="0.25">
      <c r="A212" t="s">
        <v>5177</v>
      </c>
      <c r="B212">
        <v>211</v>
      </c>
      <c r="C212">
        <v>211</v>
      </c>
      <c r="D212" t="s">
        <v>13</v>
      </c>
      <c r="E212" t="s">
        <v>4875</v>
      </c>
      <c r="F212" t="s">
        <v>3559</v>
      </c>
      <c r="G212" t="s">
        <v>3867</v>
      </c>
      <c r="H212">
        <v>0</v>
      </c>
      <c r="I212">
        <v>597</v>
      </c>
      <c r="J212">
        <v>407</v>
      </c>
      <c r="K212" t="str">
        <f t="shared" si="3"/>
        <v>mine316217</v>
      </c>
      <c r="L212" t="s">
        <v>3859</v>
      </c>
      <c r="M212" t="s">
        <v>73</v>
      </c>
      <c r="N212" t="s">
        <v>1931</v>
      </c>
      <c r="O212" t="s">
        <v>3860</v>
      </c>
      <c r="Q212" t="s">
        <v>11083</v>
      </c>
      <c r="U212">
        <v>65</v>
      </c>
      <c r="V212">
        <v>0</v>
      </c>
      <c r="W212">
        <v>65</v>
      </c>
      <c r="X212">
        <v>31.6</v>
      </c>
      <c r="Y212">
        <v>21.7</v>
      </c>
    </row>
    <row r="213" spans="1:25" x14ac:dyDescent="0.25">
      <c r="A213" t="s">
        <v>5178</v>
      </c>
      <c r="B213">
        <v>212</v>
      </c>
      <c r="C213">
        <v>212</v>
      </c>
      <c r="D213" t="s">
        <v>13</v>
      </c>
      <c r="E213" t="s">
        <v>4875</v>
      </c>
      <c r="F213" t="s">
        <v>3559</v>
      </c>
      <c r="G213" t="s">
        <v>81</v>
      </c>
      <c r="H213">
        <v>0</v>
      </c>
      <c r="I213">
        <v>659</v>
      </c>
      <c r="J213">
        <v>459</v>
      </c>
      <c r="K213" t="str">
        <f t="shared" si="3"/>
        <v>mine347245</v>
      </c>
      <c r="L213" t="s">
        <v>3859</v>
      </c>
      <c r="M213" t="s">
        <v>73</v>
      </c>
      <c r="N213" t="s">
        <v>1975</v>
      </c>
      <c r="O213" t="s">
        <v>3886</v>
      </c>
      <c r="Q213" t="s">
        <v>3669</v>
      </c>
      <c r="R213" t="s">
        <v>2819</v>
      </c>
      <c r="U213">
        <v>66</v>
      </c>
      <c r="V213">
        <v>0</v>
      </c>
      <c r="W213">
        <v>70</v>
      </c>
      <c r="X213">
        <v>34.700000000000003</v>
      </c>
      <c r="Y213">
        <v>24.5</v>
      </c>
    </row>
    <row r="214" spans="1:25" x14ac:dyDescent="0.25">
      <c r="A214" t="s">
        <v>5179</v>
      </c>
      <c r="B214">
        <v>213</v>
      </c>
      <c r="C214">
        <v>213</v>
      </c>
      <c r="D214" t="s">
        <v>13</v>
      </c>
      <c r="E214" t="s">
        <v>4875</v>
      </c>
      <c r="F214" t="s">
        <v>3559</v>
      </c>
      <c r="G214" t="s">
        <v>5180</v>
      </c>
      <c r="H214">
        <v>0</v>
      </c>
      <c r="I214">
        <v>79</v>
      </c>
      <c r="J214">
        <v>556</v>
      </c>
      <c r="K214" t="str">
        <f t="shared" si="3"/>
        <v>mine49295</v>
      </c>
      <c r="M214" t="s">
        <v>73</v>
      </c>
      <c r="N214" t="s">
        <v>1997</v>
      </c>
      <c r="Q214" t="s">
        <v>3749</v>
      </c>
      <c r="R214" t="s">
        <v>2831</v>
      </c>
      <c r="U214">
        <v>66</v>
      </c>
      <c r="V214">
        <v>0</v>
      </c>
      <c r="W214">
        <v>70</v>
      </c>
      <c r="X214">
        <v>4.9000000000000004</v>
      </c>
      <c r="Y214">
        <v>29.5</v>
      </c>
    </row>
    <row r="215" spans="1:25" x14ac:dyDescent="0.25">
      <c r="A215" t="s">
        <v>5181</v>
      </c>
      <c r="B215">
        <v>214</v>
      </c>
      <c r="C215">
        <v>214</v>
      </c>
      <c r="D215" t="s">
        <v>13</v>
      </c>
      <c r="E215" t="s">
        <v>4875</v>
      </c>
      <c r="F215" t="s">
        <v>3559</v>
      </c>
      <c r="G215" t="s">
        <v>5182</v>
      </c>
      <c r="H215">
        <v>0</v>
      </c>
      <c r="I215">
        <v>715</v>
      </c>
      <c r="J215">
        <v>374</v>
      </c>
      <c r="K215" t="str">
        <f t="shared" si="3"/>
        <v>mine376199</v>
      </c>
      <c r="M215" t="s">
        <v>73</v>
      </c>
      <c r="N215" t="s">
        <v>1934</v>
      </c>
      <c r="Q215" t="s">
        <v>11083</v>
      </c>
      <c r="U215">
        <v>68</v>
      </c>
      <c r="V215">
        <v>0</v>
      </c>
      <c r="W215">
        <v>70</v>
      </c>
      <c r="X215">
        <v>37.6</v>
      </c>
      <c r="Y215">
        <v>19.899999999999999</v>
      </c>
    </row>
    <row r="216" spans="1:25" x14ac:dyDescent="0.25">
      <c r="A216" t="s">
        <v>5183</v>
      </c>
      <c r="B216">
        <v>215</v>
      </c>
      <c r="C216">
        <v>215</v>
      </c>
      <c r="D216" t="s">
        <v>13</v>
      </c>
      <c r="E216" t="s">
        <v>4875</v>
      </c>
      <c r="F216" t="s">
        <v>3559</v>
      </c>
      <c r="G216" t="s">
        <v>5184</v>
      </c>
      <c r="H216">
        <v>0</v>
      </c>
      <c r="I216">
        <v>560</v>
      </c>
      <c r="J216">
        <v>162</v>
      </c>
      <c r="K216" t="str">
        <f t="shared" si="3"/>
        <v>mine29892</v>
      </c>
      <c r="M216" t="s">
        <v>73</v>
      </c>
      <c r="N216" t="s">
        <v>1955</v>
      </c>
      <c r="Q216" t="s">
        <v>3749</v>
      </c>
      <c r="R216" t="s">
        <v>2832</v>
      </c>
      <c r="U216">
        <v>68</v>
      </c>
      <c r="V216">
        <v>0</v>
      </c>
      <c r="W216">
        <v>70</v>
      </c>
      <c r="X216">
        <v>29.8</v>
      </c>
      <c r="Y216">
        <v>9.1999999999999993</v>
      </c>
    </row>
    <row r="217" spans="1:25" x14ac:dyDescent="0.25">
      <c r="A217" t="s">
        <v>5185</v>
      </c>
      <c r="B217">
        <v>216</v>
      </c>
      <c r="C217">
        <v>216</v>
      </c>
      <c r="D217" t="s">
        <v>13</v>
      </c>
      <c r="E217" t="s">
        <v>4875</v>
      </c>
      <c r="F217" t="s">
        <v>3559</v>
      </c>
      <c r="G217" t="s">
        <v>3875</v>
      </c>
      <c r="H217">
        <v>0</v>
      </c>
      <c r="I217">
        <v>203</v>
      </c>
      <c r="J217">
        <v>308</v>
      </c>
      <c r="K217" t="str">
        <f t="shared" si="3"/>
        <v>mine114166</v>
      </c>
      <c r="L217" t="s">
        <v>3859</v>
      </c>
      <c r="M217" t="s">
        <v>73</v>
      </c>
      <c r="N217" t="s">
        <v>1821</v>
      </c>
      <c r="O217" t="s">
        <v>3860</v>
      </c>
      <c r="P217" t="s">
        <v>3861</v>
      </c>
      <c r="Q217" t="s">
        <v>11083</v>
      </c>
      <c r="U217">
        <v>68</v>
      </c>
      <c r="V217">
        <v>0</v>
      </c>
      <c r="W217">
        <v>70</v>
      </c>
      <c r="X217">
        <v>11.4</v>
      </c>
      <c r="Y217">
        <v>16.600000000000001</v>
      </c>
    </row>
    <row r="218" spans="1:25" x14ac:dyDescent="0.25">
      <c r="A218" t="s">
        <v>5186</v>
      </c>
      <c r="B218">
        <v>217</v>
      </c>
      <c r="C218">
        <v>217</v>
      </c>
      <c r="D218" t="s">
        <v>13</v>
      </c>
      <c r="E218" t="s">
        <v>4875</v>
      </c>
      <c r="F218" t="s">
        <v>3559</v>
      </c>
      <c r="G218" t="s">
        <v>5187</v>
      </c>
      <c r="H218">
        <v>0</v>
      </c>
      <c r="I218">
        <v>203</v>
      </c>
      <c r="J218">
        <v>308</v>
      </c>
      <c r="K218" t="str">
        <f t="shared" si="3"/>
        <v>mine114166</v>
      </c>
      <c r="M218" t="s">
        <v>73</v>
      </c>
      <c r="N218" t="s">
        <v>1821</v>
      </c>
      <c r="Q218" t="s">
        <v>11083</v>
      </c>
      <c r="U218">
        <v>70</v>
      </c>
      <c r="V218">
        <v>0</v>
      </c>
      <c r="W218">
        <v>70</v>
      </c>
      <c r="X218">
        <v>11.4</v>
      </c>
      <c r="Y218">
        <v>16.600000000000001</v>
      </c>
    </row>
    <row r="219" spans="1:25" x14ac:dyDescent="0.25">
      <c r="A219" t="s">
        <v>5188</v>
      </c>
      <c r="B219">
        <v>218</v>
      </c>
      <c r="C219">
        <v>218</v>
      </c>
      <c r="D219" t="s">
        <v>13</v>
      </c>
      <c r="E219" t="s">
        <v>4875</v>
      </c>
      <c r="F219" t="s">
        <v>3559</v>
      </c>
      <c r="G219" t="s">
        <v>5189</v>
      </c>
      <c r="H219">
        <v>0</v>
      </c>
      <c r="I219">
        <v>505</v>
      </c>
      <c r="J219">
        <v>228</v>
      </c>
      <c r="K219" t="str">
        <f t="shared" si="3"/>
        <v>mine269126</v>
      </c>
      <c r="M219" t="s">
        <v>73</v>
      </c>
      <c r="N219" t="s">
        <v>1783</v>
      </c>
      <c r="Q219" t="s">
        <v>3749</v>
      </c>
      <c r="R219" t="s">
        <v>2833</v>
      </c>
      <c r="U219">
        <v>70</v>
      </c>
      <c r="V219">
        <v>0</v>
      </c>
      <c r="W219">
        <v>70</v>
      </c>
      <c r="X219">
        <v>26.9</v>
      </c>
      <c r="Y219">
        <v>12.6</v>
      </c>
    </row>
    <row r="220" spans="1:25" x14ac:dyDescent="0.25">
      <c r="A220" t="s">
        <v>5190</v>
      </c>
      <c r="B220">
        <v>219</v>
      </c>
      <c r="C220">
        <v>219</v>
      </c>
      <c r="D220" t="s">
        <v>13</v>
      </c>
      <c r="E220" t="s">
        <v>4875</v>
      </c>
      <c r="F220" t="s">
        <v>3559</v>
      </c>
      <c r="G220" t="s">
        <v>3881</v>
      </c>
      <c r="H220">
        <v>0</v>
      </c>
      <c r="I220">
        <v>715</v>
      </c>
      <c r="J220">
        <v>374</v>
      </c>
      <c r="K220" t="str">
        <f t="shared" si="3"/>
        <v>mine376199</v>
      </c>
      <c r="L220" t="s">
        <v>3859</v>
      </c>
      <c r="M220" t="s">
        <v>73</v>
      </c>
      <c r="N220" t="s">
        <v>1934</v>
      </c>
      <c r="O220" t="s">
        <v>3860</v>
      </c>
      <c r="P220" t="s">
        <v>3861</v>
      </c>
      <c r="Q220" t="s">
        <v>11083</v>
      </c>
      <c r="U220">
        <v>70</v>
      </c>
      <c r="V220">
        <v>0</v>
      </c>
      <c r="W220">
        <v>70</v>
      </c>
      <c r="X220">
        <v>37.6</v>
      </c>
      <c r="Y220">
        <v>19.899999999999999</v>
      </c>
    </row>
    <row r="221" spans="1:25" x14ac:dyDescent="0.25">
      <c r="A221" t="s">
        <v>5191</v>
      </c>
      <c r="B221">
        <v>220</v>
      </c>
      <c r="C221">
        <v>220</v>
      </c>
      <c r="D221" t="s">
        <v>13</v>
      </c>
      <c r="E221" t="s">
        <v>4875</v>
      </c>
      <c r="F221" t="s">
        <v>3559</v>
      </c>
      <c r="G221" t="s">
        <v>4630</v>
      </c>
      <c r="H221">
        <v>0</v>
      </c>
      <c r="I221">
        <v>626</v>
      </c>
      <c r="J221">
        <v>586</v>
      </c>
      <c r="K221" t="str">
        <f t="shared" si="3"/>
        <v>mine33431</v>
      </c>
      <c r="L221" t="s">
        <v>3859</v>
      </c>
      <c r="M221" t="s">
        <v>102</v>
      </c>
      <c r="N221" t="s">
        <v>2197</v>
      </c>
      <c r="O221" t="s">
        <v>3860</v>
      </c>
      <c r="P221" t="s">
        <v>3884</v>
      </c>
      <c r="Q221" t="s">
        <v>11083</v>
      </c>
      <c r="U221">
        <v>70</v>
      </c>
      <c r="V221">
        <v>0</v>
      </c>
      <c r="W221">
        <v>70</v>
      </c>
      <c r="X221">
        <v>33.4</v>
      </c>
      <c r="Y221">
        <v>31</v>
      </c>
    </row>
    <row r="222" spans="1:25" x14ac:dyDescent="0.25">
      <c r="A222" t="s">
        <v>5192</v>
      </c>
      <c r="B222">
        <v>221</v>
      </c>
      <c r="C222">
        <v>221</v>
      </c>
      <c r="D222" t="s">
        <v>13</v>
      </c>
      <c r="E222" t="s">
        <v>4875</v>
      </c>
      <c r="F222" t="s">
        <v>3559</v>
      </c>
      <c r="G222" t="s">
        <v>5193</v>
      </c>
      <c r="H222">
        <v>0</v>
      </c>
      <c r="I222">
        <v>238</v>
      </c>
      <c r="J222">
        <v>541</v>
      </c>
      <c r="K222" t="str">
        <f t="shared" si="3"/>
        <v>mine132273</v>
      </c>
      <c r="M222" t="s">
        <v>73</v>
      </c>
      <c r="N222" t="s">
        <v>1821</v>
      </c>
      <c r="Q222" t="s">
        <v>3669</v>
      </c>
      <c r="R222" t="s">
        <v>2805</v>
      </c>
      <c r="U222">
        <v>70</v>
      </c>
      <c r="V222">
        <v>1</v>
      </c>
      <c r="W222">
        <v>70</v>
      </c>
      <c r="X222">
        <v>13.2</v>
      </c>
      <c r="Y222">
        <v>27.3</v>
      </c>
    </row>
    <row r="223" spans="1:25" x14ac:dyDescent="0.25">
      <c r="A223" t="s">
        <v>5194</v>
      </c>
      <c r="B223">
        <v>222</v>
      </c>
      <c r="C223">
        <v>222</v>
      </c>
      <c r="D223" t="s">
        <v>13</v>
      </c>
      <c r="E223" t="s">
        <v>4875</v>
      </c>
      <c r="F223" t="s">
        <v>3559</v>
      </c>
      <c r="G223" t="s">
        <v>74</v>
      </c>
      <c r="H223">
        <v>0</v>
      </c>
      <c r="I223">
        <v>238</v>
      </c>
      <c r="J223">
        <v>541</v>
      </c>
      <c r="K223" t="str">
        <f t="shared" si="3"/>
        <v>mine132273</v>
      </c>
      <c r="L223" t="s">
        <v>3859</v>
      </c>
      <c r="M223" t="s">
        <v>73</v>
      </c>
      <c r="N223" t="s">
        <v>1821</v>
      </c>
      <c r="O223" t="s">
        <v>3886</v>
      </c>
      <c r="Q223" t="s">
        <v>3669</v>
      </c>
      <c r="R223" t="s">
        <v>2805</v>
      </c>
      <c r="U223">
        <v>70</v>
      </c>
      <c r="V223">
        <v>1</v>
      </c>
      <c r="W223">
        <v>70</v>
      </c>
      <c r="X223">
        <v>13.2</v>
      </c>
      <c r="Y223">
        <v>27.3</v>
      </c>
    </row>
    <row r="224" spans="1:25" x14ac:dyDescent="0.25">
      <c r="A224" t="s">
        <v>5195</v>
      </c>
      <c r="B224">
        <v>223</v>
      </c>
      <c r="C224">
        <v>223</v>
      </c>
      <c r="D224" t="s">
        <v>13</v>
      </c>
      <c r="E224" t="s">
        <v>4875</v>
      </c>
      <c r="F224" t="s">
        <v>3559</v>
      </c>
      <c r="G224" t="s">
        <v>5196</v>
      </c>
      <c r="H224">
        <v>0</v>
      </c>
      <c r="I224">
        <v>640</v>
      </c>
      <c r="J224">
        <v>429</v>
      </c>
      <c r="K224" t="str">
        <f t="shared" si="3"/>
        <v>mine339231</v>
      </c>
      <c r="M224" t="s">
        <v>102</v>
      </c>
      <c r="N224" t="s">
        <v>2069</v>
      </c>
      <c r="Q224" t="s">
        <v>3749</v>
      </c>
      <c r="R224" t="s">
        <v>2830</v>
      </c>
      <c r="U224">
        <v>70</v>
      </c>
      <c r="V224">
        <v>2</v>
      </c>
      <c r="W224">
        <v>70</v>
      </c>
      <c r="X224">
        <v>33.9</v>
      </c>
      <c r="Y224">
        <v>23.1</v>
      </c>
    </row>
    <row r="225" spans="1:25" x14ac:dyDescent="0.25">
      <c r="A225" t="s">
        <v>5197</v>
      </c>
      <c r="B225">
        <v>224</v>
      </c>
      <c r="C225">
        <v>224</v>
      </c>
      <c r="D225" t="s">
        <v>13</v>
      </c>
      <c r="E225" t="s">
        <v>4875</v>
      </c>
      <c r="F225" t="s">
        <v>3559</v>
      </c>
      <c r="G225" t="s">
        <v>97</v>
      </c>
      <c r="H225">
        <v>0</v>
      </c>
      <c r="I225">
        <v>238</v>
      </c>
      <c r="J225">
        <v>541</v>
      </c>
      <c r="K225" t="str">
        <f t="shared" si="3"/>
        <v>mine132273</v>
      </c>
      <c r="L225" t="s">
        <v>3859</v>
      </c>
      <c r="M225" t="s">
        <v>73</v>
      </c>
      <c r="N225" t="s">
        <v>1821</v>
      </c>
      <c r="O225" t="s">
        <v>3886</v>
      </c>
      <c r="Q225" t="s">
        <v>3669</v>
      </c>
      <c r="R225" t="s">
        <v>2819</v>
      </c>
      <c r="U225">
        <v>70</v>
      </c>
      <c r="V225">
        <v>2</v>
      </c>
      <c r="W225">
        <v>70</v>
      </c>
      <c r="X225">
        <v>13.2</v>
      </c>
      <c r="Y225">
        <v>27.3</v>
      </c>
    </row>
    <row r="226" spans="1:25" x14ac:dyDescent="0.25">
      <c r="A226" t="s">
        <v>5198</v>
      </c>
      <c r="B226">
        <v>225</v>
      </c>
      <c r="C226">
        <v>225</v>
      </c>
      <c r="D226" t="s">
        <v>13</v>
      </c>
      <c r="E226" t="s">
        <v>4875</v>
      </c>
      <c r="F226" t="s">
        <v>3559</v>
      </c>
      <c r="G226" t="s">
        <v>97</v>
      </c>
      <c r="H226">
        <v>0</v>
      </c>
      <c r="I226">
        <v>659</v>
      </c>
      <c r="J226">
        <v>459</v>
      </c>
      <c r="K226" t="str">
        <f t="shared" si="3"/>
        <v>mine347245</v>
      </c>
      <c r="L226" t="s">
        <v>3859</v>
      </c>
      <c r="M226" t="s">
        <v>73</v>
      </c>
      <c r="N226" t="s">
        <v>1975</v>
      </c>
      <c r="O226" t="s">
        <v>3886</v>
      </c>
      <c r="Q226" t="s">
        <v>3669</v>
      </c>
      <c r="R226" t="s">
        <v>2805</v>
      </c>
      <c r="U226">
        <v>70</v>
      </c>
      <c r="V226">
        <v>2</v>
      </c>
      <c r="W226">
        <v>70</v>
      </c>
      <c r="X226">
        <v>34.700000000000003</v>
      </c>
      <c r="Y226">
        <v>24.5</v>
      </c>
    </row>
    <row r="227" spans="1:25" x14ac:dyDescent="0.25">
      <c r="A227" t="s">
        <v>5199</v>
      </c>
      <c r="B227">
        <v>226</v>
      </c>
      <c r="C227">
        <v>226</v>
      </c>
      <c r="D227" t="s">
        <v>13</v>
      </c>
      <c r="E227" t="s">
        <v>4875</v>
      </c>
      <c r="F227" t="s">
        <v>3559</v>
      </c>
      <c r="G227" t="s">
        <v>3899</v>
      </c>
      <c r="H227">
        <v>0</v>
      </c>
      <c r="I227">
        <v>270</v>
      </c>
      <c r="J227">
        <v>349</v>
      </c>
      <c r="K227" t="str">
        <f t="shared" si="3"/>
        <v>mine155197</v>
      </c>
      <c r="L227" t="s">
        <v>3859</v>
      </c>
      <c r="M227" t="s">
        <v>102</v>
      </c>
      <c r="N227" t="s">
        <v>1691</v>
      </c>
      <c r="O227" t="s">
        <v>3860</v>
      </c>
      <c r="P227" t="s">
        <v>3900</v>
      </c>
      <c r="Q227" t="s">
        <v>11083</v>
      </c>
      <c r="U227">
        <v>71</v>
      </c>
      <c r="V227">
        <v>0</v>
      </c>
      <c r="W227">
        <v>75</v>
      </c>
      <c r="X227">
        <v>15.5</v>
      </c>
      <c r="Y227">
        <v>19.7</v>
      </c>
    </row>
    <row r="228" spans="1:25" x14ac:dyDescent="0.25">
      <c r="A228" t="s">
        <v>5200</v>
      </c>
      <c r="B228">
        <v>227</v>
      </c>
      <c r="C228">
        <v>227</v>
      </c>
      <c r="D228" t="s">
        <v>13</v>
      </c>
      <c r="E228" t="s">
        <v>4875</v>
      </c>
      <c r="F228" t="s">
        <v>3559</v>
      </c>
      <c r="G228" t="s">
        <v>5201</v>
      </c>
      <c r="H228">
        <v>0</v>
      </c>
      <c r="I228">
        <v>109</v>
      </c>
      <c r="J228">
        <v>349</v>
      </c>
      <c r="K228" t="str">
        <f t="shared" si="3"/>
        <v>mine6519</v>
      </c>
      <c r="M228" t="s">
        <v>102</v>
      </c>
      <c r="N228" t="s">
        <v>2192</v>
      </c>
      <c r="Q228" t="s">
        <v>11083</v>
      </c>
      <c r="U228">
        <v>72</v>
      </c>
      <c r="V228">
        <v>0</v>
      </c>
      <c r="W228">
        <v>75</v>
      </c>
      <c r="X228">
        <v>6.5</v>
      </c>
      <c r="Y228">
        <v>19</v>
      </c>
    </row>
    <row r="229" spans="1:25" x14ac:dyDescent="0.25">
      <c r="A229" t="s">
        <v>5202</v>
      </c>
      <c r="B229">
        <v>228</v>
      </c>
      <c r="C229">
        <v>228</v>
      </c>
      <c r="D229" t="s">
        <v>13</v>
      </c>
      <c r="E229" t="s">
        <v>4875</v>
      </c>
      <c r="F229" t="s">
        <v>3559</v>
      </c>
      <c r="G229" t="s">
        <v>5203</v>
      </c>
      <c r="H229">
        <v>0</v>
      </c>
      <c r="I229">
        <v>497</v>
      </c>
      <c r="J229">
        <v>241</v>
      </c>
      <c r="K229" t="str">
        <f t="shared" si="3"/>
        <v>mine265132</v>
      </c>
      <c r="M229" t="s">
        <v>102</v>
      </c>
      <c r="N229" t="s">
        <v>2219</v>
      </c>
      <c r="Q229" t="s">
        <v>3749</v>
      </c>
      <c r="R229" t="s">
        <v>2832</v>
      </c>
      <c r="T229">
        <v>1050</v>
      </c>
      <c r="U229">
        <v>72</v>
      </c>
      <c r="V229">
        <v>0</v>
      </c>
      <c r="W229">
        <v>75</v>
      </c>
      <c r="X229">
        <v>26.5</v>
      </c>
      <c r="Y229">
        <v>13.2</v>
      </c>
    </row>
    <row r="230" spans="1:25" x14ac:dyDescent="0.25">
      <c r="A230" t="s">
        <v>5204</v>
      </c>
      <c r="B230">
        <v>229</v>
      </c>
      <c r="C230">
        <v>229</v>
      </c>
      <c r="D230" t="s">
        <v>13</v>
      </c>
      <c r="E230" t="s">
        <v>4875</v>
      </c>
      <c r="F230" t="s">
        <v>3559</v>
      </c>
      <c r="G230" t="s">
        <v>3904</v>
      </c>
      <c r="H230">
        <v>0</v>
      </c>
      <c r="I230">
        <v>147</v>
      </c>
      <c r="J230">
        <v>124</v>
      </c>
      <c r="K230" t="str">
        <f t="shared" si="3"/>
        <v>mine8976</v>
      </c>
      <c r="L230" t="s">
        <v>3859</v>
      </c>
      <c r="M230" t="s">
        <v>102</v>
      </c>
      <c r="N230" t="s">
        <v>1717</v>
      </c>
      <c r="O230" t="s">
        <v>3860</v>
      </c>
      <c r="P230" t="s">
        <v>3905</v>
      </c>
      <c r="Q230" t="s">
        <v>11083</v>
      </c>
      <c r="U230">
        <v>72</v>
      </c>
      <c r="V230">
        <v>0</v>
      </c>
      <c r="W230">
        <v>75</v>
      </c>
      <c r="X230">
        <v>8.9</v>
      </c>
      <c r="Y230">
        <v>7.6</v>
      </c>
    </row>
    <row r="231" spans="1:25" x14ac:dyDescent="0.25">
      <c r="A231" t="s">
        <v>5205</v>
      </c>
      <c r="B231">
        <v>230</v>
      </c>
      <c r="C231">
        <v>230</v>
      </c>
      <c r="D231" t="s">
        <v>13</v>
      </c>
      <c r="E231" t="s">
        <v>4875</v>
      </c>
      <c r="F231" t="s">
        <v>3559</v>
      </c>
      <c r="G231" t="s">
        <v>4658</v>
      </c>
      <c r="H231">
        <v>0</v>
      </c>
      <c r="I231">
        <v>535</v>
      </c>
      <c r="J231">
        <v>123</v>
      </c>
      <c r="K231" t="str">
        <f t="shared" si="3"/>
        <v>mine29976</v>
      </c>
      <c r="L231" t="s">
        <v>3859</v>
      </c>
      <c r="M231" t="s">
        <v>102</v>
      </c>
      <c r="N231" t="s">
        <v>1617</v>
      </c>
      <c r="O231" t="s">
        <v>3860</v>
      </c>
      <c r="P231" t="s">
        <v>3900</v>
      </c>
      <c r="Q231" t="s">
        <v>11083</v>
      </c>
      <c r="U231">
        <v>72</v>
      </c>
      <c r="V231">
        <v>0</v>
      </c>
      <c r="W231">
        <v>75</v>
      </c>
      <c r="X231">
        <v>29.9</v>
      </c>
      <c r="Y231">
        <v>7.6</v>
      </c>
    </row>
    <row r="232" spans="1:25" x14ac:dyDescent="0.25">
      <c r="A232" t="s">
        <v>5206</v>
      </c>
      <c r="B232">
        <v>231</v>
      </c>
      <c r="C232">
        <v>231</v>
      </c>
      <c r="D232" t="s">
        <v>13</v>
      </c>
      <c r="E232" t="s">
        <v>4875</v>
      </c>
      <c r="F232" t="s">
        <v>3559</v>
      </c>
      <c r="G232" t="s">
        <v>5207</v>
      </c>
      <c r="H232">
        <v>0</v>
      </c>
      <c r="I232">
        <v>109</v>
      </c>
      <c r="J232">
        <v>349</v>
      </c>
      <c r="K232" t="str">
        <f t="shared" si="3"/>
        <v>mine6519</v>
      </c>
      <c r="M232" t="s">
        <v>102</v>
      </c>
      <c r="N232" t="s">
        <v>2192</v>
      </c>
      <c r="Q232" t="s">
        <v>11083</v>
      </c>
      <c r="U232">
        <v>73</v>
      </c>
      <c r="V232">
        <v>0</v>
      </c>
      <c r="W232">
        <v>75</v>
      </c>
      <c r="X232">
        <v>6.5</v>
      </c>
      <c r="Y232">
        <v>19</v>
      </c>
    </row>
    <row r="233" spans="1:25" x14ac:dyDescent="0.25">
      <c r="A233" t="s">
        <v>5208</v>
      </c>
      <c r="B233">
        <v>232</v>
      </c>
      <c r="C233">
        <v>232</v>
      </c>
      <c r="D233" t="s">
        <v>13</v>
      </c>
      <c r="E233" t="s">
        <v>4875</v>
      </c>
      <c r="F233" t="s">
        <v>3559</v>
      </c>
      <c r="G233" t="s">
        <v>4662</v>
      </c>
      <c r="H233">
        <v>0</v>
      </c>
      <c r="I233">
        <v>535</v>
      </c>
      <c r="J233">
        <v>123</v>
      </c>
      <c r="K233" t="str">
        <f t="shared" si="3"/>
        <v>mine29976</v>
      </c>
      <c r="L233" t="s">
        <v>3859</v>
      </c>
      <c r="M233" t="s">
        <v>102</v>
      </c>
      <c r="N233" t="s">
        <v>1617</v>
      </c>
      <c r="O233" t="s">
        <v>3860</v>
      </c>
      <c r="P233" t="s">
        <v>3905</v>
      </c>
      <c r="Q233" t="s">
        <v>11083</v>
      </c>
      <c r="U233">
        <v>73</v>
      </c>
      <c r="V233">
        <v>0</v>
      </c>
      <c r="W233">
        <v>75</v>
      </c>
      <c r="X233">
        <v>29.9</v>
      </c>
      <c r="Y233">
        <v>7.6</v>
      </c>
    </row>
    <row r="234" spans="1:25" x14ac:dyDescent="0.25">
      <c r="A234" t="s">
        <v>5209</v>
      </c>
      <c r="B234">
        <v>233</v>
      </c>
      <c r="C234">
        <v>233</v>
      </c>
      <c r="D234" t="s">
        <v>13</v>
      </c>
      <c r="E234" t="s">
        <v>4875</v>
      </c>
      <c r="F234" t="s">
        <v>3559</v>
      </c>
      <c r="G234" t="s">
        <v>3907</v>
      </c>
      <c r="H234">
        <v>0</v>
      </c>
      <c r="I234">
        <v>581</v>
      </c>
      <c r="J234">
        <v>421</v>
      </c>
      <c r="K234" t="str">
        <f t="shared" si="3"/>
        <v>mine309227</v>
      </c>
      <c r="L234" t="s">
        <v>3859</v>
      </c>
      <c r="M234" t="s">
        <v>102</v>
      </c>
      <c r="N234" t="s">
        <v>1765</v>
      </c>
      <c r="O234" t="s">
        <v>3860</v>
      </c>
      <c r="P234" t="s">
        <v>3900</v>
      </c>
      <c r="Q234" t="s">
        <v>11083</v>
      </c>
      <c r="U234">
        <v>73</v>
      </c>
      <c r="V234">
        <v>0</v>
      </c>
      <c r="W234">
        <v>75</v>
      </c>
      <c r="X234">
        <v>30.9</v>
      </c>
      <c r="Y234">
        <v>22.7</v>
      </c>
    </row>
    <row r="235" spans="1:25" x14ac:dyDescent="0.25">
      <c r="A235" t="s">
        <v>5210</v>
      </c>
      <c r="B235">
        <v>234</v>
      </c>
      <c r="C235">
        <v>234</v>
      </c>
      <c r="D235" t="s">
        <v>13</v>
      </c>
      <c r="E235" t="s">
        <v>4875</v>
      </c>
      <c r="F235" t="s">
        <v>3559</v>
      </c>
      <c r="G235" t="s">
        <v>4664</v>
      </c>
      <c r="H235">
        <v>0</v>
      </c>
      <c r="I235">
        <v>499</v>
      </c>
      <c r="J235">
        <v>692</v>
      </c>
      <c r="K235" t="str">
        <f t="shared" si="3"/>
        <v>mine269365</v>
      </c>
      <c r="M235" t="s">
        <v>102</v>
      </c>
      <c r="N235" t="s">
        <v>2057</v>
      </c>
      <c r="Q235" t="s">
        <v>11083</v>
      </c>
      <c r="U235">
        <v>73</v>
      </c>
      <c r="V235">
        <v>0</v>
      </c>
      <c r="W235">
        <v>75</v>
      </c>
      <c r="X235">
        <v>26.9</v>
      </c>
      <c r="Y235">
        <v>36.5</v>
      </c>
    </row>
    <row r="236" spans="1:25" x14ac:dyDescent="0.25">
      <c r="A236" t="s">
        <v>5211</v>
      </c>
      <c r="B236">
        <v>235</v>
      </c>
      <c r="C236">
        <v>235</v>
      </c>
      <c r="D236" t="s">
        <v>13</v>
      </c>
      <c r="E236" t="s">
        <v>4875</v>
      </c>
      <c r="F236" t="s">
        <v>3559</v>
      </c>
      <c r="G236" t="s">
        <v>5212</v>
      </c>
      <c r="H236">
        <v>0</v>
      </c>
      <c r="I236">
        <v>499</v>
      </c>
      <c r="J236">
        <v>692</v>
      </c>
      <c r="K236" t="str">
        <f t="shared" si="3"/>
        <v>mine269365</v>
      </c>
      <c r="M236" t="s">
        <v>102</v>
      </c>
      <c r="N236" t="s">
        <v>2057</v>
      </c>
      <c r="Q236" t="s">
        <v>11083</v>
      </c>
      <c r="U236">
        <v>74</v>
      </c>
      <c r="V236">
        <v>0</v>
      </c>
      <c r="W236">
        <v>75</v>
      </c>
      <c r="X236">
        <v>26.9</v>
      </c>
      <c r="Y236">
        <v>36.5</v>
      </c>
    </row>
    <row r="237" spans="1:25" x14ac:dyDescent="0.25">
      <c r="A237" t="s">
        <v>5213</v>
      </c>
      <c r="B237">
        <v>236</v>
      </c>
      <c r="C237">
        <v>236</v>
      </c>
      <c r="D237" t="s">
        <v>13</v>
      </c>
      <c r="E237" t="s">
        <v>4875</v>
      </c>
      <c r="F237" t="s">
        <v>3559</v>
      </c>
      <c r="G237" t="s">
        <v>5214</v>
      </c>
      <c r="H237">
        <v>0</v>
      </c>
      <c r="I237">
        <v>364</v>
      </c>
      <c r="J237">
        <v>385</v>
      </c>
      <c r="K237" t="str">
        <f t="shared" si="3"/>
        <v>mine197205</v>
      </c>
      <c r="M237" t="s">
        <v>102</v>
      </c>
      <c r="N237" t="s">
        <v>2237</v>
      </c>
      <c r="Q237" t="s">
        <v>3749</v>
      </c>
      <c r="R237" t="s">
        <v>2831</v>
      </c>
      <c r="U237">
        <v>74</v>
      </c>
      <c r="V237">
        <v>0</v>
      </c>
      <c r="W237">
        <v>75</v>
      </c>
      <c r="X237">
        <v>19.7</v>
      </c>
      <c r="Y237">
        <v>20.5</v>
      </c>
    </row>
    <row r="238" spans="1:25" x14ac:dyDescent="0.25">
      <c r="A238" t="s">
        <v>5215</v>
      </c>
      <c r="B238">
        <v>237</v>
      </c>
      <c r="C238">
        <v>237</v>
      </c>
      <c r="D238" t="s">
        <v>13</v>
      </c>
      <c r="E238" t="s">
        <v>4875</v>
      </c>
      <c r="F238" t="s">
        <v>3559</v>
      </c>
      <c r="G238" t="s">
        <v>4674</v>
      </c>
      <c r="H238">
        <v>0</v>
      </c>
      <c r="I238">
        <v>579</v>
      </c>
      <c r="J238">
        <v>288</v>
      </c>
      <c r="K238" t="str">
        <f t="shared" si="3"/>
        <v>mine306158</v>
      </c>
      <c r="L238" t="s">
        <v>3859</v>
      </c>
      <c r="M238" t="s">
        <v>102</v>
      </c>
      <c r="N238" t="s">
        <v>1862</v>
      </c>
      <c r="O238" t="s">
        <v>3860</v>
      </c>
      <c r="P238" t="s">
        <v>3905</v>
      </c>
      <c r="Q238" t="s">
        <v>11083</v>
      </c>
      <c r="U238">
        <v>75</v>
      </c>
      <c r="V238">
        <v>0</v>
      </c>
      <c r="W238">
        <v>75</v>
      </c>
      <c r="X238">
        <v>30.6</v>
      </c>
      <c r="Y238">
        <v>15.8</v>
      </c>
    </row>
    <row r="239" spans="1:25" x14ac:dyDescent="0.25">
      <c r="A239" t="s">
        <v>5216</v>
      </c>
      <c r="B239">
        <v>238</v>
      </c>
      <c r="C239">
        <v>238</v>
      </c>
      <c r="D239" t="s">
        <v>13</v>
      </c>
      <c r="E239" t="s">
        <v>4875</v>
      </c>
      <c r="F239" t="s">
        <v>3559</v>
      </c>
      <c r="G239" t="s">
        <v>4676</v>
      </c>
      <c r="H239">
        <v>0</v>
      </c>
      <c r="I239">
        <v>109</v>
      </c>
      <c r="J239">
        <v>349</v>
      </c>
      <c r="K239" t="str">
        <f t="shared" si="3"/>
        <v>mine6519</v>
      </c>
      <c r="M239" t="s">
        <v>102</v>
      </c>
      <c r="N239" t="s">
        <v>2192</v>
      </c>
      <c r="Q239" t="s">
        <v>11083</v>
      </c>
      <c r="U239">
        <v>75</v>
      </c>
      <c r="V239">
        <v>0</v>
      </c>
      <c r="W239">
        <v>75</v>
      </c>
      <c r="X239">
        <v>6.5</v>
      </c>
      <c r="Y239">
        <v>19</v>
      </c>
    </row>
    <row r="240" spans="1:25" x14ac:dyDescent="0.25">
      <c r="A240" t="s">
        <v>5217</v>
      </c>
      <c r="B240">
        <v>239</v>
      </c>
      <c r="C240">
        <v>239</v>
      </c>
      <c r="D240" t="s">
        <v>13</v>
      </c>
      <c r="E240" t="s">
        <v>4875</v>
      </c>
      <c r="F240" t="s">
        <v>3559</v>
      </c>
      <c r="G240" t="s">
        <v>103</v>
      </c>
      <c r="H240">
        <v>0</v>
      </c>
      <c r="I240">
        <v>417</v>
      </c>
      <c r="J240">
        <v>214</v>
      </c>
      <c r="K240" t="str">
        <f t="shared" si="3"/>
        <v>mine225118</v>
      </c>
      <c r="L240" t="s">
        <v>3859</v>
      </c>
      <c r="M240" t="s">
        <v>102</v>
      </c>
      <c r="N240" t="s">
        <v>2260</v>
      </c>
      <c r="O240" t="s">
        <v>3886</v>
      </c>
      <c r="Q240" t="s">
        <v>3669</v>
      </c>
      <c r="R240" t="s">
        <v>2805</v>
      </c>
      <c r="U240">
        <v>76</v>
      </c>
      <c r="V240">
        <v>0</v>
      </c>
      <c r="W240">
        <v>80</v>
      </c>
      <c r="X240">
        <v>22.5</v>
      </c>
      <c r="Y240">
        <v>11.8</v>
      </c>
    </row>
    <row r="241" spans="1:25" x14ac:dyDescent="0.25">
      <c r="A241" t="s">
        <v>5218</v>
      </c>
      <c r="B241">
        <v>240</v>
      </c>
      <c r="C241">
        <v>240</v>
      </c>
      <c r="D241" t="s">
        <v>13</v>
      </c>
      <c r="E241" t="s">
        <v>4875</v>
      </c>
      <c r="F241" t="s">
        <v>3559</v>
      </c>
      <c r="G241" t="s">
        <v>110</v>
      </c>
      <c r="H241">
        <v>0</v>
      </c>
      <c r="I241">
        <v>671</v>
      </c>
      <c r="J241">
        <v>574</v>
      </c>
      <c r="K241" t="str">
        <f t="shared" si="3"/>
        <v>mine354306</v>
      </c>
      <c r="L241" t="s">
        <v>3859</v>
      </c>
      <c r="M241" t="s">
        <v>102</v>
      </c>
      <c r="N241" t="s">
        <v>2048</v>
      </c>
      <c r="O241" t="s">
        <v>3886</v>
      </c>
      <c r="Q241" t="s">
        <v>3669</v>
      </c>
      <c r="R241" t="s">
        <v>2815</v>
      </c>
      <c r="U241">
        <v>76</v>
      </c>
      <c r="V241">
        <v>0</v>
      </c>
      <c r="W241">
        <v>80</v>
      </c>
      <c r="X241">
        <v>35.4</v>
      </c>
      <c r="Y241">
        <v>30.6</v>
      </c>
    </row>
    <row r="242" spans="1:25" x14ac:dyDescent="0.25">
      <c r="A242" t="s">
        <v>5219</v>
      </c>
      <c r="B242">
        <v>241</v>
      </c>
      <c r="C242">
        <v>241</v>
      </c>
      <c r="D242" t="s">
        <v>13</v>
      </c>
      <c r="E242" t="s">
        <v>4875</v>
      </c>
      <c r="F242" t="s">
        <v>3559</v>
      </c>
      <c r="G242" t="s">
        <v>5220</v>
      </c>
      <c r="H242">
        <v>0</v>
      </c>
      <c r="I242">
        <v>372</v>
      </c>
      <c r="J242">
        <v>548</v>
      </c>
      <c r="K242" t="str">
        <f t="shared" si="3"/>
        <v>mine199288</v>
      </c>
      <c r="M242" t="s">
        <v>102</v>
      </c>
      <c r="N242" t="s">
        <v>2157</v>
      </c>
      <c r="Q242" t="s">
        <v>3749</v>
      </c>
      <c r="R242" t="s">
        <v>2829</v>
      </c>
      <c r="U242">
        <v>76</v>
      </c>
      <c r="V242">
        <v>0</v>
      </c>
      <c r="W242">
        <v>80</v>
      </c>
      <c r="X242">
        <v>19.899999999999999</v>
      </c>
      <c r="Y242">
        <v>28.8</v>
      </c>
    </row>
    <row r="243" spans="1:25" x14ac:dyDescent="0.25">
      <c r="A243" t="s">
        <v>5221</v>
      </c>
      <c r="B243">
        <v>242</v>
      </c>
      <c r="C243">
        <v>242</v>
      </c>
      <c r="D243" t="s">
        <v>13</v>
      </c>
      <c r="E243" t="s">
        <v>4875</v>
      </c>
      <c r="F243" t="s">
        <v>3559</v>
      </c>
      <c r="G243" t="s">
        <v>5222</v>
      </c>
      <c r="H243">
        <v>0</v>
      </c>
      <c r="I243">
        <v>481</v>
      </c>
      <c r="J243">
        <v>548</v>
      </c>
      <c r="K243" t="str">
        <f t="shared" si="3"/>
        <v>mine25729</v>
      </c>
      <c r="M243" t="s">
        <v>102</v>
      </c>
      <c r="N243" t="s">
        <v>2256</v>
      </c>
      <c r="Q243" t="s">
        <v>11083</v>
      </c>
      <c r="U243">
        <v>76</v>
      </c>
      <c r="V243">
        <v>0</v>
      </c>
      <c r="W243">
        <v>80</v>
      </c>
      <c r="X243">
        <v>25.7</v>
      </c>
      <c r="Y243">
        <v>29</v>
      </c>
    </row>
    <row r="244" spans="1:25" x14ac:dyDescent="0.25">
      <c r="A244" t="s">
        <v>5223</v>
      </c>
      <c r="B244">
        <v>243</v>
      </c>
      <c r="C244">
        <v>243</v>
      </c>
      <c r="D244" t="s">
        <v>13</v>
      </c>
      <c r="E244" t="s">
        <v>4875</v>
      </c>
      <c r="F244" t="s">
        <v>3559</v>
      </c>
      <c r="G244" t="s">
        <v>5224</v>
      </c>
      <c r="H244">
        <v>0</v>
      </c>
      <c r="I244">
        <v>678</v>
      </c>
      <c r="J244">
        <v>259</v>
      </c>
      <c r="K244" t="str">
        <f t="shared" si="3"/>
        <v>mine361143</v>
      </c>
      <c r="M244" t="s">
        <v>102</v>
      </c>
      <c r="N244" t="s">
        <v>2054</v>
      </c>
      <c r="Q244" t="s">
        <v>11083</v>
      </c>
      <c r="U244">
        <v>77</v>
      </c>
      <c r="V244">
        <v>0</v>
      </c>
      <c r="W244">
        <v>80</v>
      </c>
      <c r="X244">
        <v>36.1</v>
      </c>
      <c r="Y244">
        <v>14.3</v>
      </c>
    </row>
    <row r="245" spans="1:25" x14ac:dyDescent="0.25">
      <c r="A245" t="s">
        <v>5225</v>
      </c>
      <c r="B245">
        <v>244</v>
      </c>
      <c r="C245">
        <v>244</v>
      </c>
      <c r="D245" t="s">
        <v>13</v>
      </c>
      <c r="E245" t="s">
        <v>4875</v>
      </c>
      <c r="F245" t="s">
        <v>3559</v>
      </c>
      <c r="G245" t="s">
        <v>5226</v>
      </c>
      <c r="H245">
        <v>0</v>
      </c>
      <c r="I245">
        <v>529</v>
      </c>
      <c r="J245">
        <v>627</v>
      </c>
      <c r="K245" t="str">
        <f t="shared" si="3"/>
        <v>mine281331</v>
      </c>
      <c r="M245" t="s">
        <v>102</v>
      </c>
      <c r="N245" t="s">
        <v>2057</v>
      </c>
      <c r="Q245" t="s">
        <v>3749</v>
      </c>
      <c r="R245" t="s">
        <v>2832</v>
      </c>
      <c r="U245">
        <v>78</v>
      </c>
      <c r="V245">
        <v>0</v>
      </c>
      <c r="W245">
        <v>80</v>
      </c>
      <c r="X245">
        <v>28.1</v>
      </c>
      <c r="Y245">
        <v>33.1</v>
      </c>
    </row>
    <row r="246" spans="1:25" x14ac:dyDescent="0.25">
      <c r="A246" t="s">
        <v>5227</v>
      </c>
      <c r="B246">
        <v>245</v>
      </c>
      <c r="C246">
        <v>245</v>
      </c>
      <c r="D246" t="s">
        <v>13</v>
      </c>
      <c r="E246" t="s">
        <v>4875</v>
      </c>
      <c r="F246" t="s">
        <v>3559</v>
      </c>
      <c r="G246" t="s">
        <v>5228</v>
      </c>
      <c r="H246">
        <v>0</v>
      </c>
      <c r="I246">
        <v>678</v>
      </c>
      <c r="J246">
        <v>259</v>
      </c>
      <c r="K246" t="str">
        <f t="shared" si="3"/>
        <v>mine361143</v>
      </c>
      <c r="M246" t="s">
        <v>102</v>
      </c>
      <c r="N246" t="s">
        <v>2054</v>
      </c>
      <c r="Q246" t="s">
        <v>11083</v>
      </c>
      <c r="U246">
        <v>78</v>
      </c>
      <c r="V246">
        <v>0</v>
      </c>
      <c r="W246">
        <v>80</v>
      </c>
      <c r="X246">
        <v>36.1</v>
      </c>
      <c r="Y246">
        <v>14.3</v>
      </c>
    </row>
    <row r="247" spans="1:25" x14ac:dyDescent="0.25">
      <c r="A247" t="s">
        <v>5229</v>
      </c>
      <c r="B247">
        <v>246</v>
      </c>
      <c r="C247">
        <v>246</v>
      </c>
      <c r="D247" t="s">
        <v>13</v>
      </c>
      <c r="E247" t="s">
        <v>4875</v>
      </c>
      <c r="F247" t="s">
        <v>3559</v>
      </c>
      <c r="G247" t="s">
        <v>4696</v>
      </c>
      <c r="H247">
        <v>0</v>
      </c>
      <c r="I247">
        <v>481</v>
      </c>
      <c r="J247">
        <v>548</v>
      </c>
      <c r="K247" t="str">
        <f t="shared" si="3"/>
        <v>mine25729</v>
      </c>
      <c r="M247" t="s">
        <v>102</v>
      </c>
      <c r="N247" t="s">
        <v>2256</v>
      </c>
      <c r="Q247" t="s">
        <v>11083</v>
      </c>
      <c r="U247">
        <v>78</v>
      </c>
      <c r="V247">
        <v>0</v>
      </c>
      <c r="W247">
        <v>80</v>
      </c>
      <c r="X247">
        <v>25.7</v>
      </c>
      <c r="Y247">
        <v>29</v>
      </c>
    </row>
    <row r="248" spans="1:25" x14ac:dyDescent="0.25">
      <c r="A248" t="s">
        <v>5230</v>
      </c>
      <c r="B248">
        <v>247</v>
      </c>
      <c r="C248">
        <v>247</v>
      </c>
      <c r="D248" t="s">
        <v>13</v>
      </c>
      <c r="E248" t="s">
        <v>4875</v>
      </c>
      <c r="F248" t="s">
        <v>3559</v>
      </c>
      <c r="G248" t="s">
        <v>5231</v>
      </c>
      <c r="H248">
        <v>0</v>
      </c>
      <c r="I248">
        <v>678</v>
      </c>
      <c r="J248">
        <v>259</v>
      </c>
      <c r="K248" t="str">
        <f t="shared" si="3"/>
        <v>mine361143</v>
      </c>
      <c r="M248" t="s">
        <v>102</v>
      </c>
      <c r="N248" t="s">
        <v>2054</v>
      </c>
      <c r="Q248" t="s">
        <v>11083</v>
      </c>
      <c r="U248">
        <v>80</v>
      </c>
      <c r="V248">
        <v>0</v>
      </c>
      <c r="W248">
        <v>80</v>
      </c>
      <c r="X248">
        <v>36.1</v>
      </c>
      <c r="Y248">
        <v>14.3</v>
      </c>
    </row>
    <row r="249" spans="1:25" x14ac:dyDescent="0.25">
      <c r="A249" t="s">
        <v>5232</v>
      </c>
      <c r="B249">
        <v>248</v>
      </c>
      <c r="C249">
        <v>248</v>
      </c>
      <c r="D249" t="s">
        <v>13</v>
      </c>
      <c r="E249" t="s">
        <v>4875</v>
      </c>
      <c r="F249" t="s">
        <v>3559</v>
      </c>
      <c r="G249" t="s">
        <v>5233</v>
      </c>
      <c r="H249">
        <v>0</v>
      </c>
      <c r="I249">
        <v>291</v>
      </c>
      <c r="J249">
        <v>401</v>
      </c>
      <c r="K249" t="str">
        <f t="shared" si="3"/>
        <v>mine16216</v>
      </c>
      <c r="M249" t="s">
        <v>102</v>
      </c>
      <c r="N249" t="s">
        <v>2298</v>
      </c>
      <c r="Q249" t="s">
        <v>3749</v>
      </c>
      <c r="R249" t="s">
        <v>2829</v>
      </c>
      <c r="U249">
        <v>80</v>
      </c>
      <c r="V249">
        <v>0</v>
      </c>
      <c r="W249">
        <v>80</v>
      </c>
      <c r="X249">
        <v>16</v>
      </c>
      <c r="Y249">
        <v>21.6</v>
      </c>
    </row>
    <row r="250" spans="1:25" x14ac:dyDescent="0.25">
      <c r="A250" t="s">
        <v>5234</v>
      </c>
      <c r="B250">
        <v>249</v>
      </c>
      <c r="C250">
        <v>249</v>
      </c>
      <c r="D250" t="s">
        <v>13</v>
      </c>
      <c r="E250" t="s">
        <v>4875</v>
      </c>
      <c r="F250" t="s">
        <v>3559</v>
      </c>
      <c r="G250" t="s">
        <v>126</v>
      </c>
      <c r="H250">
        <v>0</v>
      </c>
      <c r="I250">
        <v>671</v>
      </c>
      <c r="J250">
        <v>574</v>
      </c>
      <c r="K250" t="str">
        <f t="shared" si="3"/>
        <v>mine354306</v>
      </c>
      <c r="L250" t="s">
        <v>3859</v>
      </c>
      <c r="M250" t="s">
        <v>102</v>
      </c>
      <c r="N250" t="s">
        <v>2048</v>
      </c>
      <c r="O250" t="s">
        <v>3886</v>
      </c>
      <c r="Q250" t="s">
        <v>3669</v>
      </c>
      <c r="R250" t="s">
        <v>2815</v>
      </c>
      <c r="U250">
        <v>80</v>
      </c>
      <c r="V250">
        <v>2</v>
      </c>
      <c r="W250">
        <v>80</v>
      </c>
      <c r="X250">
        <v>35.4</v>
      </c>
      <c r="Y250">
        <v>30.6</v>
      </c>
    </row>
    <row r="251" spans="1:25" x14ac:dyDescent="0.25">
      <c r="A251" t="s">
        <v>5235</v>
      </c>
      <c r="B251">
        <v>250</v>
      </c>
      <c r="C251">
        <v>250</v>
      </c>
      <c r="D251" t="s">
        <v>13</v>
      </c>
      <c r="E251" t="s">
        <v>4875</v>
      </c>
      <c r="F251" t="s">
        <v>3559</v>
      </c>
      <c r="G251" t="s">
        <v>126</v>
      </c>
      <c r="H251">
        <v>0</v>
      </c>
      <c r="I251">
        <v>417</v>
      </c>
      <c r="J251">
        <v>214</v>
      </c>
      <c r="K251" t="str">
        <f t="shared" si="3"/>
        <v>mine225118</v>
      </c>
      <c r="L251" t="s">
        <v>3859</v>
      </c>
      <c r="M251" t="s">
        <v>102</v>
      </c>
      <c r="N251" t="s">
        <v>2260</v>
      </c>
      <c r="O251" t="s">
        <v>3886</v>
      </c>
      <c r="Q251" t="s">
        <v>3669</v>
      </c>
      <c r="R251" t="s">
        <v>2805</v>
      </c>
      <c r="U251">
        <v>80</v>
      </c>
      <c r="V251">
        <v>2</v>
      </c>
      <c r="W251">
        <v>80</v>
      </c>
      <c r="X251">
        <v>22.5</v>
      </c>
      <c r="Y251">
        <v>11.8</v>
      </c>
    </row>
    <row r="252" spans="1:25" x14ac:dyDescent="0.25">
      <c r="A252" t="s">
        <v>5236</v>
      </c>
      <c r="B252">
        <v>251</v>
      </c>
      <c r="C252">
        <v>251</v>
      </c>
      <c r="D252" t="s">
        <v>13</v>
      </c>
      <c r="E252" t="s">
        <v>4875</v>
      </c>
      <c r="F252" t="s">
        <v>3559</v>
      </c>
      <c r="G252" t="s">
        <v>5237</v>
      </c>
      <c r="H252">
        <v>0</v>
      </c>
      <c r="I252">
        <v>612</v>
      </c>
      <c r="J252">
        <v>174</v>
      </c>
      <c r="K252" t="str">
        <f t="shared" si="3"/>
        <v>mine32497</v>
      </c>
      <c r="M252" t="s">
        <v>133</v>
      </c>
      <c r="N252" t="s">
        <v>2330</v>
      </c>
      <c r="Q252" t="s">
        <v>11083</v>
      </c>
      <c r="U252">
        <v>81</v>
      </c>
      <c r="V252">
        <v>0</v>
      </c>
      <c r="W252">
        <v>85</v>
      </c>
      <c r="X252">
        <v>32.4</v>
      </c>
      <c r="Y252">
        <v>9.6999999999999993</v>
      </c>
    </row>
    <row r="253" spans="1:25" x14ac:dyDescent="0.25">
      <c r="A253" t="s">
        <v>5238</v>
      </c>
      <c r="B253">
        <v>252</v>
      </c>
      <c r="C253">
        <v>252</v>
      </c>
      <c r="D253" t="s">
        <v>13</v>
      </c>
      <c r="E253" t="s">
        <v>4875</v>
      </c>
      <c r="F253" t="s">
        <v>3559</v>
      </c>
      <c r="G253" t="s">
        <v>5239</v>
      </c>
      <c r="H253">
        <v>0</v>
      </c>
      <c r="I253">
        <v>612</v>
      </c>
      <c r="J253">
        <v>174</v>
      </c>
      <c r="K253" t="str">
        <f t="shared" si="3"/>
        <v>mine32497</v>
      </c>
      <c r="M253" t="s">
        <v>133</v>
      </c>
      <c r="N253" t="s">
        <v>2330</v>
      </c>
      <c r="Q253" t="s">
        <v>11083</v>
      </c>
      <c r="U253">
        <v>81</v>
      </c>
      <c r="V253">
        <v>0</v>
      </c>
      <c r="W253">
        <v>85</v>
      </c>
      <c r="X253">
        <v>32.4</v>
      </c>
      <c r="Y253">
        <v>9.6999999999999993</v>
      </c>
    </row>
    <row r="254" spans="1:25" x14ac:dyDescent="0.25">
      <c r="A254" t="s">
        <v>5240</v>
      </c>
      <c r="B254">
        <v>253</v>
      </c>
      <c r="C254">
        <v>253</v>
      </c>
      <c r="D254" t="s">
        <v>13</v>
      </c>
      <c r="E254" t="s">
        <v>4875</v>
      </c>
      <c r="F254" t="s">
        <v>3559</v>
      </c>
      <c r="G254" t="s">
        <v>4714</v>
      </c>
      <c r="H254">
        <v>0</v>
      </c>
      <c r="I254">
        <v>612</v>
      </c>
      <c r="J254">
        <v>174</v>
      </c>
      <c r="K254" t="str">
        <f t="shared" si="3"/>
        <v>mine32497</v>
      </c>
      <c r="L254" t="s">
        <v>3859</v>
      </c>
      <c r="M254" t="s">
        <v>133</v>
      </c>
      <c r="N254" t="s">
        <v>2330</v>
      </c>
      <c r="O254" t="s">
        <v>3860</v>
      </c>
      <c r="P254" t="s">
        <v>3936</v>
      </c>
      <c r="Q254" t="s">
        <v>11083</v>
      </c>
      <c r="U254">
        <v>81</v>
      </c>
      <c r="V254">
        <v>0</v>
      </c>
      <c r="W254">
        <v>85</v>
      </c>
      <c r="X254">
        <v>32.4</v>
      </c>
      <c r="Y254">
        <v>9.6999999999999993</v>
      </c>
    </row>
    <row r="255" spans="1:25" x14ac:dyDescent="0.25">
      <c r="A255" t="s">
        <v>5241</v>
      </c>
      <c r="B255">
        <v>254</v>
      </c>
      <c r="C255">
        <v>254</v>
      </c>
      <c r="D255" t="s">
        <v>13</v>
      </c>
      <c r="E255" t="s">
        <v>4875</v>
      </c>
      <c r="F255" t="s">
        <v>3559</v>
      </c>
      <c r="G255" t="s">
        <v>5242</v>
      </c>
      <c r="H255">
        <v>0</v>
      </c>
      <c r="I255">
        <v>356</v>
      </c>
      <c r="J255">
        <v>579</v>
      </c>
      <c r="K255" t="str">
        <f t="shared" si="3"/>
        <v>mine194309</v>
      </c>
      <c r="M255" t="s">
        <v>133</v>
      </c>
      <c r="N255" t="s">
        <v>2395</v>
      </c>
      <c r="Q255" t="s">
        <v>11083</v>
      </c>
      <c r="U255">
        <v>82</v>
      </c>
      <c r="V255">
        <v>0</v>
      </c>
      <c r="W255">
        <v>85</v>
      </c>
      <c r="X255">
        <v>19.399999999999999</v>
      </c>
      <c r="Y255">
        <v>30.9</v>
      </c>
    </row>
    <row r="256" spans="1:25" x14ac:dyDescent="0.25">
      <c r="A256" t="s">
        <v>5243</v>
      </c>
      <c r="B256">
        <v>255</v>
      </c>
      <c r="C256">
        <v>255</v>
      </c>
      <c r="D256" t="s">
        <v>13</v>
      </c>
      <c r="E256" t="s">
        <v>4875</v>
      </c>
      <c r="F256" t="s">
        <v>3559</v>
      </c>
      <c r="G256" t="s">
        <v>3940</v>
      </c>
      <c r="H256">
        <v>0</v>
      </c>
      <c r="I256">
        <v>356</v>
      </c>
      <c r="J256">
        <v>579</v>
      </c>
      <c r="K256" t="str">
        <f t="shared" si="3"/>
        <v>mine194309</v>
      </c>
      <c r="L256" t="s">
        <v>3859</v>
      </c>
      <c r="M256" t="s">
        <v>133</v>
      </c>
      <c r="N256" t="s">
        <v>2395</v>
      </c>
      <c r="O256" t="s">
        <v>3860</v>
      </c>
      <c r="P256" t="s">
        <v>3936</v>
      </c>
      <c r="Q256" t="s">
        <v>11083</v>
      </c>
      <c r="U256">
        <v>83</v>
      </c>
      <c r="V256">
        <v>0</v>
      </c>
      <c r="W256">
        <v>85</v>
      </c>
      <c r="X256">
        <v>19.399999999999999</v>
      </c>
      <c r="Y256">
        <v>30.9</v>
      </c>
    </row>
    <row r="257" spans="1:25" x14ac:dyDescent="0.25">
      <c r="A257" t="s">
        <v>5244</v>
      </c>
      <c r="B257">
        <v>256</v>
      </c>
      <c r="C257">
        <v>256</v>
      </c>
      <c r="D257" t="s">
        <v>13</v>
      </c>
      <c r="E257" t="s">
        <v>4875</v>
      </c>
      <c r="F257" t="s">
        <v>3559</v>
      </c>
      <c r="G257" t="s">
        <v>5245</v>
      </c>
      <c r="H257">
        <v>0</v>
      </c>
      <c r="I257">
        <v>548</v>
      </c>
      <c r="J257">
        <v>677</v>
      </c>
      <c r="K257" t="str">
        <f t="shared" si="3"/>
        <v>mine294358</v>
      </c>
      <c r="M257" t="s">
        <v>133</v>
      </c>
      <c r="N257" t="s">
        <v>2452</v>
      </c>
      <c r="Q257" t="s">
        <v>11083</v>
      </c>
      <c r="U257">
        <v>85</v>
      </c>
      <c r="V257">
        <v>0</v>
      </c>
      <c r="W257">
        <v>85</v>
      </c>
      <c r="X257">
        <v>29.4</v>
      </c>
      <c r="Y257">
        <v>35.799999999999997</v>
      </c>
    </row>
    <row r="258" spans="1:25" x14ac:dyDescent="0.25">
      <c r="A258" t="s">
        <v>5246</v>
      </c>
      <c r="B258">
        <v>257</v>
      </c>
      <c r="C258">
        <v>257</v>
      </c>
      <c r="D258" t="s">
        <v>13</v>
      </c>
      <c r="E258" t="s">
        <v>4875</v>
      </c>
      <c r="F258" t="s">
        <v>3559</v>
      </c>
      <c r="G258" t="s">
        <v>4748</v>
      </c>
      <c r="H258">
        <v>0</v>
      </c>
      <c r="I258">
        <v>541</v>
      </c>
      <c r="J258">
        <v>73</v>
      </c>
      <c r="K258" t="str">
        <f t="shared" ref="K258:K321" si="4">LEFT(A258,4)&amp;SUBSTITUTE(X258,".","")&amp;SUBSTITUTE(Y258,".","")</f>
        <v>mine2944</v>
      </c>
      <c r="L258" t="s">
        <v>3859</v>
      </c>
      <c r="M258" t="s">
        <v>133</v>
      </c>
      <c r="N258" t="s">
        <v>2285</v>
      </c>
      <c r="O258" t="s">
        <v>3860</v>
      </c>
      <c r="P258" t="s">
        <v>4719</v>
      </c>
      <c r="Q258" t="s">
        <v>11083</v>
      </c>
      <c r="U258">
        <v>85</v>
      </c>
      <c r="V258">
        <v>0</v>
      </c>
      <c r="W258">
        <v>85</v>
      </c>
      <c r="X258">
        <v>29</v>
      </c>
      <c r="Y258">
        <v>4.4000000000000004</v>
      </c>
    </row>
    <row r="259" spans="1:25" x14ac:dyDescent="0.25">
      <c r="A259" t="s">
        <v>5247</v>
      </c>
      <c r="B259">
        <v>258</v>
      </c>
      <c r="C259">
        <v>258</v>
      </c>
      <c r="D259" t="s">
        <v>13</v>
      </c>
      <c r="E259" t="s">
        <v>4875</v>
      </c>
      <c r="F259" t="s">
        <v>3559</v>
      </c>
      <c r="G259" t="s">
        <v>4750</v>
      </c>
      <c r="H259">
        <v>0</v>
      </c>
      <c r="I259">
        <v>548</v>
      </c>
      <c r="J259">
        <v>677</v>
      </c>
      <c r="K259" t="str">
        <f t="shared" si="4"/>
        <v>mine294358</v>
      </c>
      <c r="L259" t="s">
        <v>3859</v>
      </c>
      <c r="M259" t="s">
        <v>133</v>
      </c>
      <c r="N259" t="s">
        <v>2452</v>
      </c>
      <c r="O259" t="s">
        <v>3860</v>
      </c>
      <c r="P259" t="s">
        <v>4722</v>
      </c>
      <c r="Q259" t="s">
        <v>11083</v>
      </c>
      <c r="U259">
        <v>85</v>
      </c>
      <c r="V259">
        <v>0</v>
      </c>
      <c r="W259">
        <v>85</v>
      </c>
      <c r="X259">
        <v>29.4</v>
      </c>
      <c r="Y259">
        <v>35.799999999999997</v>
      </c>
    </row>
    <row r="260" spans="1:25" x14ac:dyDescent="0.25">
      <c r="A260" t="s">
        <v>5248</v>
      </c>
      <c r="B260">
        <v>259</v>
      </c>
      <c r="C260">
        <v>259</v>
      </c>
      <c r="D260" t="s">
        <v>13</v>
      </c>
      <c r="E260" t="s">
        <v>4875</v>
      </c>
      <c r="F260" t="s">
        <v>3559</v>
      </c>
      <c r="G260" t="s">
        <v>5249</v>
      </c>
      <c r="H260">
        <v>0</v>
      </c>
      <c r="I260">
        <v>460</v>
      </c>
      <c r="J260">
        <v>174</v>
      </c>
      <c r="K260" t="str">
        <f t="shared" si="4"/>
        <v>mine24597</v>
      </c>
      <c r="M260" t="s">
        <v>133</v>
      </c>
      <c r="N260" t="s">
        <v>2536</v>
      </c>
      <c r="Q260" t="s">
        <v>11083</v>
      </c>
      <c r="U260">
        <v>86</v>
      </c>
      <c r="V260">
        <v>0</v>
      </c>
      <c r="W260">
        <v>90</v>
      </c>
      <c r="X260">
        <v>24.5</v>
      </c>
      <c r="Y260">
        <v>9.6999999999999993</v>
      </c>
    </row>
    <row r="261" spans="1:25" x14ac:dyDescent="0.25">
      <c r="A261" t="s">
        <v>5250</v>
      </c>
      <c r="B261">
        <v>260</v>
      </c>
      <c r="C261">
        <v>260</v>
      </c>
      <c r="D261" t="s">
        <v>13</v>
      </c>
      <c r="E261" t="s">
        <v>4875</v>
      </c>
      <c r="F261" t="s">
        <v>3559</v>
      </c>
      <c r="G261" t="s">
        <v>5251</v>
      </c>
      <c r="H261">
        <v>0</v>
      </c>
      <c r="I261">
        <v>342</v>
      </c>
      <c r="J261">
        <v>226</v>
      </c>
      <c r="K261" t="str">
        <f t="shared" si="4"/>
        <v>mine184124</v>
      </c>
      <c r="M261" t="s">
        <v>133</v>
      </c>
      <c r="N261" t="s">
        <v>2494</v>
      </c>
      <c r="Q261" t="s">
        <v>11083</v>
      </c>
      <c r="U261">
        <v>89</v>
      </c>
      <c r="V261">
        <v>0</v>
      </c>
      <c r="W261">
        <v>90</v>
      </c>
      <c r="X261">
        <v>18.399999999999999</v>
      </c>
      <c r="Y261">
        <v>12.4</v>
      </c>
    </row>
    <row r="262" spans="1:25" x14ac:dyDescent="0.25">
      <c r="A262" t="s">
        <v>5252</v>
      </c>
      <c r="B262">
        <v>261</v>
      </c>
      <c r="C262">
        <v>261</v>
      </c>
      <c r="D262" t="s">
        <v>13</v>
      </c>
      <c r="E262" t="s">
        <v>4875</v>
      </c>
      <c r="F262" t="s">
        <v>3559</v>
      </c>
      <c r="G262" t="s">
        <v>143</v>
      </c>
      <c r="H262">
        <v>0</v>
      </c>
      <c r="I262">
        <v>176</v>
      </c>
      <c r="J262">
        <v>279</v>
      </c>
      <c r="K262" t="str">
        <f t="shared" si="4"/>
        <v>mine10153</v>
      </c>
      <c r="L262" t="s">
        <v>3859</v>
      </c>
      <c r="M262" t="s">
        <v>133</v>
      </c>
      <c r="N262" t="s">
        <v>2425</v>
      </c>
      <c r="O262" t="s">
        <v>3886</v>
      </c>
      <c r="Q262" t="s">
        <v>3669</v>
      </c>
      <c r="R262" t="s">
        <v>2825</v>
      </c>
      <c r="U262">
        <v>90</v>
      </c>
      <c r="V262">
        <v>0</v>
      </c>
      <c r="W262">
        <v>90</v>
      </c>
      <c r="X262">
        <v>10</v>
      </c>
      <c r="Y262">
        <v>15.3</v>
      </c>
    </row>
    <row r="263" spans="1:25" x14ac:dyDescent="0.25">
      <c r="A263" t="s">
        <v>5253</v>
      </c>
      <c r="B263">
        <v>262</v>
      </c>
      <c r="C263">
        <v>262</v>
      </c>
      <c r="D263" t="s">
        <v>13</v>
      </c>
      <c r="E263" t="s">
        <v>4875</v>
      </c>
      <c r="F263" t="s">
        <v>3559</v>
      </c>
      <c r="G263" t="s">
        <v>5254</v>
      </c>
      <c r="H263">
        <v>0</v>
      </c>
      <c r="I263">
        <v>222</v>
      </c>
      <c r="J263">
        <v>197</v>
      </c>
      <c r="K263" t="str">
        <f t="shared" si="4"/>
        <v>mine12211</v>
      </c>
      <c r="M263" t="s">
        <v>215</v>
      </c>
      <c r="N263" t="s">
        <v>2555</v>
      </c>
      <c r="Q263" t="s">
        <v>11083</v>
      </c>
      <c r="U263">
        <v>91</v>
      </c>
      <c r="V263">
        <v>0</v>
      </c>
      <c r="W263">
        <v>95</v>
      </c>
      <c r="X263">
        <v>12.2</v>
      </c>
      <c r="Y263">
        <v>11</v>
      </c>
    </row>
    <row r="264" spans="1:25" x14ac:dyDescent="0.25">
      <c r="A264" t="s">
        <v>5255</v>
      </c>
      <c r="B264">
        <v>263</v>
      </c>
      <c r="C264">
        <v>263</v>
      </c>
      <c r="D264" t="s">
        <v>13</v>
      </c>
      <c r="E264" t="s">
        <v>4875</v>
      </c>
      <c r="F264" t="s">
        <v>3559</v>
      </c>
      <c r="G264" t="s">
        <v>5256</v>
      </c>
      <c r="H264">
        <v>0</v>
      </c>
      <c r="I264">
        <v>322</v>
      </c>
      <c r="J264">
        <v>512</v>
      </c>
      <c r="K264" t="str">
        <f t="shared" si="4"/>
        <v>mine175274</v>
      </c>
      <c r="M264" t="s">
        <v>215</v>
      </c>
      <c r="N264" t="s">
        <v>2567</v>
      </c>
      <c r="Q264" t="s">
        <v>11083</v>
      </c>
      <c r="U264">
        <v>92</v>
      </c>
      <c r="V264">
        <v>0</v>
      </c>
      <c r="W264">
        <v>95</v>
      </c>
      <c r="X264">
        <v>17.5</v>
      </c>
      <c r="Y264">
        <v>27.4</v>
      </c>
    </row>
    <row r="265" spans="1:25" x14ac:dyDescent="0.25">
      <c r="A265" t="s">
        <v>5257</v>
      </c>
      <c r="B265">
        <v>264</v>
      </c>
      <c r="C265">
        <v>264</v>
      </c>
      <c r="D265" t="s">
        <v>13</v>
      </c>
      <c r="E265" t="s">
        <v>4875</v>
      </c>
      <c r="F265" t="s">
        <v>3559</v>
      </c>
      <c r="G265" t="s">
        <v>5258</v>
      </c>
      <c r="H265">
        <v>0</v>
      </c>
      <c r="I265">
        <v>131</v>
      </c>
      <c r="J265">
        <v>277</v>
      </c>
      <c r="K265" t="str">
        <f t="shared" si="4"/>
        <v>mine78152</v>
      </c>
      <c r="M265" t="s">
        <v>215</v>
      </c>
      <c r="N265" t="s">
        <v>2598</v>
      </c>
      <c r="Q265" t="s">
        <v>11083</v>
      </c>
      <c r="U265">
        <v>93</v>
      </c>
      <c r="V265">
        <v>0</v>
      </c>
      <c r="W265">
        <v>95</v>
      </c>
      <c r="X265">
        <v>7.8</v>
      </c>
      <c r="Y265">
        <v>15.2</v>
      </c>
    </row>
    <row r="266" spans="1:25" x14ac:dyDescent="0.25">
      <c r="A266" t="s">
        <v>5259</v>
      </c>
      <c r="B266">
        <v>265</v>
      </c>
      <c r="C266">
        <v>265</v>
      </c>
      <c r="D266" t="s">
        <v>13</v>
      </c>
      <c r="E266" t="s">
        <v>4875</v>
      </c>
      <c r="F266" t="s">
        <v>3559</v>
      </c>
      <c r="G266" t="s">
        <v>5260</v>
      </c>
      <c r="H266">
        <v>0</v>
      </c>
      <c r="I266">
        <v>620</v>
      </c>
      <c r="J266">
        <v>99</v>
      </c>
      <c r="K266" t="str">
        <f t="shared" si="4"/>
        <v>mine3357</v>
      </c>
      <c r="M266" t="s">
        <v>215</v>
      </c>
      <c r="N266" t="s">
        <v>2714</v>
      </c>
      <c r="Q266" t="s">
        <v>11083</v>
      </c>
      <c r="U266">
        <v>94</v>
      </c>
      <c r="V266">
        <v>0</v>
      </c>
      <c r="W266">
        <v>95</v>
      </c>
      <c r="X266">
        <v>33</v>
      </c>
      <c r="Y266">
        <v>5.7</v>
      </c>
    </row>
    <row r="267" spans="1:25" x14ac:dyDescent="0.25">
      <c r="A267" t="s">
        <v>5261</v>
      </c>
      <c r="B267">
        <v>266</v>
      </c>
      <c r="C267">
        <v>266</v>
      </c>
      <c r="D267" t="s">
        <v>13</v>
      </c>
      <c r="E267" t="s">
        <v>4875</v>
      </c>
      <c r="F267" t="s">
        <v>3559</v>
      </c>
      <c r="G267" t="s">
        <v>5262</v>
      </c>
      <c r="H267">
        <v>0</v>
      </c>
      <c r="I267">
        <v>225</v>
      </c>
      <c r="J267">
        <v>358</v>
      </c>
      <c r="K267" t="str">
        <f t="shared" si="4"/>
        <v>mine126193</v>
      </c>
      <c r="M267" t="s">
        <v>215</v>
      </c>
      <c r="N267" t="s">
        <v>2655</v>
      </c>
      <c r="Q267" t="s">
        <v>11083</v>
      </c>
      <c r="U267">
        <v>95</v>
      </c>
      <c r="V267">
        <v>0</v>
      </c>
      <c r="W267">
        <v>95</v>
      </c>
      <c r="X267">
        <v>12.6</v>
      </c>
      <c r="Y267">
        <v>19.3</v>
      </c>
    </row>
    <row r="268" spans="1:25" x14ac:dyDescent="0.25">
      <c r="A268" t="s">
        <v>5263</v>
      </c>
      <c r="B268">
        <v>267</v>
      </c>
      <c r="C268">
        <v>267</v>
      </c>
      <c r="D268" t="s">
        <v>13</v>
      </c>
      <c r="E268" t="s">
        <v>4875</v>
      </c>
      <c r="F268" t="s">
        <v>3559</v>
      </c>
      <c r="G268" t="s">
        <v>5264</v>
      </c>
      <c r="H268">
        <v>0</v>
      </c>
      <c r="I268">
        <v>627</v>
      </c>
      <c r="J268">
        <v>147</v>
      </c>
      <c r="K268" t="str">
        <f t="shared" si="4"/>
        <v>mine33586</v>
      </c>
      <c r="M268" t="s">
        <v>215</v>
      </c>
      <c r="N268" t="s">
        <v>2667</v>
      </c>
      <c r="Q268" t="s">
        <v>11083</v>
      </c>
      <c r="U268">
        <v>96</v>
      </c>
      <c r="V268">
        <v>0</v>
      </c>
      <c r="W268">
        <v>100</v>
      </c>
      <c r="X268">
        <v>33.5</v>
      </c>
      <c r="Y268">
        <v>8.6</v>
      </c>
    </row>
    <row r="269" spans="1:25" x14ac:dyDescent="0.25">
      <c r="A269" t="s">
        <v>5265</v>
      </c>
      <c r="B269">
        <v>268</v>
      </c>
      <c r="C269">
        <v>268</v>
      </c>
      <c r="D269" t="s">
        <v>13</v>
      </c>
      <c r="E269" t="s">
        <v>4875</v>
      </c>
      <c r="F269" t="s">
        <v>3559</v>
      </c>
      <c r="G269" t="s">
        <v>5266</v>
      </c>
      <c r="H269">
        <v>0</v>
      </c>
      <c r="I269">
        <v>239</v>
      </c>
      <c r="J269">
        <v>182</v>
      </c>
      <c r="K269" t="str">
        <f t="shared" si="4"/>
        <v>mine132103</v>
      </c>
      <c r="M269" t="s">
        <v>215</v>
      </c>
      <c r="N269" t="s">
        <v>2650</v>
      </c>
      <c r="Q269" t="s">
        <v>11083</v>
      </c>
      <c r="U269">
        <v>96</v>
      </c>
      <c r="V269">
        <v>0</v>
      </c>
      <c r="W269">
        <v>100</v>
      </c>
      <c r="X269">
        <v>13.2</v>
      </c>
      <c r="Y269">
        <v>10.3</v>
      </c>
    </row>
    <row r="270" spans="1:25" x14ac:dyDescent="0.25">
      <c r="A270" t="s">
        <v>5267</v>
      </c>
      <c r="B270">
        <v>269</v>
      </c>
      <c r="C270">
        <v>269</v>
      </c>
      <c r="D270" t="s">
        <v>13</v>
      </c>
      <c r="E270" t="s">
        <v>4875</v>
      </c>
      <c r="F270" t="s">
        <v>3559</v>
      </c>
      <c r="G270" t="s">
        <v>5268</v>
      </c>
      <c r="H270">
        <v>0</v>
      </c>
      <c r="I270">
        <v>237</v>
      </c>
      <c r="J270">
        <v>153</v>
      </c>
      <c r="K270" t="str">
        <f t="shared" si="4"/>
        <v>mine13389</v>
      </c>
      <c r="M270" t="s">
        <v>215</v>
      </c>
      <c r="N270" t="s">
        <v>3684</v>
      </c>
      <c r="Q270" t="s">
        <v>11083</v>
      </c>
      <c r="U270">
        <v>97</v>
      </c>
      <c r="V270">
        <v>0</v>
      </c>
      <c r="W270">
        <v>100</v>
      </c>
      <c r="X270">
        <v>13.3</v>
      </c>
      <c r="Y270">
        <v>8.9</v>
      </c>
    </row>
    <row r="271" spans="1:25" x14ac:dyDescent="0.25">
      <c r="A271" t="s">
        <v>5269</v>
      </c>
      <c r="B271">
        <v>270</v>
      </c>
      <c r="C271">
        <v>270</v>
      </c>
      <c r="D271" t="s">
        <v>13</v>
      </c>
      <c r="E271" t="s">
        <v>4875</v>
      </c>
      <c r="F271" t="s">
        <v>3559</v>
      </c>
      <c r="G271" t="s">
        <v>5270</v>
      </c>
      <c r="H271">
        <v>0</v>
      </c>
      <c r="I271">
        <v>546</v>
      </c>
      <c r="J271">
        <v>402</v>
      </c>
      <c r="K271" t="str">
        <f t="shared" si="4"/>
        <v>mine29218</v>
      </c>
      <c r="M271" t="s">
        <v>215</v>
      </c>
      <c r="N271" t="s">
        <v>2732</v>
      </c>
      <c r="Q271" t="s">
        <v>11083</v>
      </c>
      <c r="U271">
        <v>98</v>
      </c>
      <c r="V271">
        <v>0</v>
      </c>
      <c r="W271">
        <v>100</v>
      </c>
      <c r="X271">
        <v>29</v>
      </c>
      <c r="Y271">
        <v>21.8</v>
      </c>
    </row>
    <row r="272" spans="1:25" x14ac:dyDescent="0.25">
      <c r="A272" t="s">
        <v>5271</v>
      </c>
      <c r="B272">
        <v>271</v>
      </c>
      <c r="C272">
        <v>271</v>
      </c>
      <c r="D272" t="s">
        <v>13</v>
      </c>
      <c r="E272" t="s">
        <v>4875</v>
      </c>
      <c r="F272" t="s">
        <v>3559</v>
      </c>
      <c r="G272" t="s">
        <v>5272</v>
      </c>
      <c r="H272">
        <v>0</v>
      </c>
      <c r="I272">
        <v>286</v>
      </c>
      <c r="J272">
        <v>419</v>
      </c>
      <c r="K272" t="str">
        <f t="shared" si="4"/>
        <v>mine155226</v>
      </c>
      <c r="M272" t="s">
        <v>215</v>
      </c>
      <c r="N272" t="s">
        <v>2741</v>
      </c>
      <c r="Q272" t="s">
        <v>11083</v>
      </c>
      <c r="U272">
        <v>99</v>
      </c>
      <c r="V272">
        <v>0</v>
      </c>
      <c r="W272">
        <v>100</v>
      </c>
      <c r="X272">
        <v>15.5</v>
      </c>
      <c r="Y272">
        <v>22.6</v>
      </c>
    </row>
    <row r="273" spans="1:25" x14ac:dyDescent="0.25">
      <c r="A273" t="s">
        <v>5273</v>
      </c>
      <c r="B273">
        <v>272</v>
      </c>
      <c r="C273">
        <v>272</v>
      </c>
      <c r="D273" t="s">
        <v>13</v>
      </c>
      <c r="E273" t="s">
        <v>4875</v>
      </c>
      <c r="F273" t="s">
        <v>3559</v>
      </c>
      <c r="G273" t="s">
        <v>5274</v>
      </c>
      <c r="H273">
        <v>0</v>
      </c>
      <c r="I273">
        <v>286</v>
      </c>
      <c r="J273">
        <v>419</v>
      </c>
      <c r="K273" t="str">
        <f t="shared" si="4"/>
        <v>mine155226</v>
      </c>
      <c r="M273" t="s">
        <v>215</v>
      </c>
      <c r="N273" t="s">
        <v>2741</v>
      </c>
      <c r="Q273" t="s">
        <v>11083</v>
      </c>
      <c r="U273">
        <v>100</v>
      </c>
      <c r="V273">
        <v>0</v>
      </c>
      <c r="W273">
        <v>100</v>
      </c>
      <c r="X273">
        <v>15.5</v>
      </c>
      <c r="Y273">
        <v>22.6</v>
      </c>
    </row>
    <row r="274" spans="1:25" x14ac:dyDescent="0.25">
      <c r="A274" t="s">
        <v>5275</v>
      </c>
      <c r="B274">
        <v>273</v>
      </c>
      <c r="C274">
        <v>273</v>
      </c>
      <c r="D274" t="s">
        <v>13</v>
      </c>
      <c r="E274" t="s">
        <v>4875</v>
      </c>
      <c r="F274" t="s">
        <v>3978</v>
      </c>
      <c r="G274" t="s">
        <v>5276</v>
      </c>
      <c r="H274">
        <v>0</v>
      </c>
      <c r="I274">
        <v>547</v>
      </c>
      <c r="J274">
        <v>579</v>
      </c>
      <c r="K274" t="str">
        <f t="shared" si="4"/>
        <v>mine306321</v>
      </c>
      <c r="L274" t="s">
        <v>3859</v>
      </c>
      <c r="M274" t="s">
        <v>11</v>
      </c>
      <c r="N274" t="s">
        <v>1667</v>
      </c>
      <c r="O274" t="s">
        <v>3976</v>
      </c>
      <c r="P274" t="s">
        <v>3977</v>
      </c>
      <c r="Q274" t="s">
        <v>3749</v>
      </c>
      <c r="R274" t="s">
        <v>2831</v>
      </c>
      <c r="U274">
        <v>51</v>
      </c>
      <c r="V274">
        <v>0</v>
      </c>
      <c r="W274">
        <v>55</v>
      </c>
      <c r="X274">
        <v>30.6</v>
      </c>
      <c r="Y274">
        <v>32.1</v>
      </c>
    </row>
    <row r="275" spans="1:25" x14ac:dyDescent="0.25">
      <c r="A275" t="s">
        <v>5277</v>
      </c>
      <c r="B275">
        <v>274</v>
      </c>
      <c r="C275">
        <v>274</v>
      </c>
      <c r="D275" t="s">
        <v>13</v>
      </c>
      <c r="E275" t="s">
        <v>4875</v>
      </c>
      <c r="F275" t="s">
        <v>3978</v>
      </c>
      <c r="G275" t="s">
        <v>5278</v>
      </c>
      <c r="H275">
        <v>0</v>
      </c>
      <c r="I275">
        <v>547</v>
      </c>
      <c r="J275">
        <v>579</v>
      </c>
      <c r="K275" t="str">
        <f t="shared" si="4"/>
        <v>mine306321</v>
      </c>
      <c r="L275" t="s">
        <v>3859</v>
      </c>
      <c r="M275" t="s">
        <v>11</v>
      </c>
      <c r="N275" t="s">
        <v>1667</v>
      </c>
      <c r="O275" t="s">
        <v>3976</v>
      </c>
      <c r="P275" t="s">
        <v>3977</v>
      </c>
      <c r="Q275" t="s">
        <v>3749</v>
      </c>
      <c r="R275" t="s">
        <v>2831</v>
      </c>
      <c r="U275">
        <v>53</v>
      </c>
      <c r="V275">
        <v>0</v>
      </c>
      <c r="W275">
        <v>55</v>
      </c>
      <c r="X275">
        <v>30.6</v>
      </c>
      <c r="Y275">
        <v>32.1</v>
      </c>
    </row>
    <row r="276" spans="1:25" x14ac:dyDescent="0.25">
      <c r="A276" t="s">
        <v>5279</v>
      </c>
      <c r="B276">
        <v>275</v>
      </c>
      <c r="C276">
        <v>275</v>
      </c>
      <c r="D276" t="s">
        <v>13</v>
      </c>
      <c r="E276" t="s">
        <v>4875</v>
      </c>
      <c r="F276" t="s">
        <v>3978</v>
      </c>
      <c r="G276" t="s">
        <v>5280</v>
      </c>
      <c r="H276">
        <v>0</v>
      </c>
      <c r="I276">
        <v>547</v>
      </c>
      <c r="J276">
        <v>579</v>
      </c>
      <c r="K276" t="str">
        <f t="shared" si="4"/>
        <v>mine306321</v>
      </c>
      <c r="L276" t="s">
        <v>3859</v>
      </c>
      <c r="M276" t="s">
        <v>11</v>
      </c>
      <c r="N276" t="s">
        <v>1667</v>
      </c>
      <c r="O276" t="s">
        <v>3976</v>
      </c>
      <c r="P276" t="s">
        <v>3977</v>
      </c>
      <c r="Q276" t="s">
        <v>3749</v>
      </c>
      <c r="R276" t="s">
        <v>2831</v>
      </c>
      <c r="U276">
        <v>55</v>
      </c>
      <c r="V276">
        <v>0</v>
      </c>
      <c r="W276">
        <v>55</v>
      </c>
      <c r="X276">
        <v>30.6</v>
      </c>
      <c r="Y276">
        <v>32.1</v>
      </c>
    </row>
    <row r="277" spans="1:25" x14ac:dyDescent="0.25">
      <c r="A277" t="s">
        <v>5281</v>
      </c>
      <c r="B277">
        <v>276</v>
      </c>
      <c r="C277">
        <v>276</v>
      </c>
      <c r="D277" t="s">
        <v>13</v>
      </c>
      <c r="E277" t="s">
        <v>4875</v>
      </c>
      <c r="F277" t="s">
        <v>3978</v>
      </c>
      <c r="G277" t="s">
        <v>5282</v>
      </c>
      <c r="H277">
        <v>0</v>
      </c>
      <c r="I277">
        <v>366</v>
      </c>
      <c r="J277">
        <v>201</v>
      </c>
      <c r="K277" t="str">
        <f t="shared" si="4"/>
        <v>mine206116</v>
      </c>
      <c r="L277" t="s">
        <v>3859</v>
      </c>
      <c r="M277" t="s">
        <v>11</v>
      </c>
      <c r="N277" t="s">
        <v>1600</v>
      </c>
      <c r="O277" t="s">
        <v>3976</v>
      </c>
      <c r="P277" t="s">
        <v>3977</v>
      </c>
      <c r="Q277" t="s">
        <v>3749</v>
      </c>
      <c r="R277" t="s">
        <v>2830</v>
      </c>
      <c r="U277">
        <v>57</v>
      </c>
      <c r="V277">
        <v>0</v>
      </c>
      <c r="W277">
        <v>60</v>
      </c>
      <c r="X277">
        <v>20.6</v>
      </c>
      <c r="Y277">
        <v>11.6</v>
      </c>
    </row>
    <row r="278" spans="1:25" x14ac:dyDescent="0.25">
      <c r="A278" t="s">
        <v>5283</v>
      </c>
      <c r="B278">
        <v>277</v>
      </c>
      <c r="C278">
        <v>277</v>
      </c>
      <c r="D278" t="s">
        <v>13</v>
      </c>
      <c r="E278" t="s">
        <v>4875</v>
      </c>
      <c r="F278" t="s">
        <v>3978</v>
      </c>
      <c r="G278" t="s">
        <v>5284</v>
      </c>
      <c r="H278">
        <v>0</v>
      </c>
      <c r="I278">
        <v>366</v>
      </c>
      <c r="J278">
        <v>201</v>
      </c>
      <c r="K278" t="str">
        <f t="shared" si="4"/>
        <v>mine206116</v>
      </c>
      <c r="L278" t="s">
        <v>3859</v>
      </c>
      <c r="M278" t="s">
        <v>11</v>
      </c>
      <c r="N278" t="s">
        <v>1600</v>
      </c>
      <c r="O278" t="s">
        <v>3976</v>
      </c>
      <c r="P278" t="s">
        <v>3977</v>
      </c>
      <c r="Q278" t="s">
        <v>3749</v>
      </c>
      <c r="R278" t="s">
        <v>2830</v>
      </c>
      <c r="U278">
        <v>59</v>
      </c>
      <c r="V278">
        <v>0</v>
      </c>
      <c r="W278">
        <v>60</v>
      </c>
      <c r="X278">
        <v>20.6</v>
      </c>
      <c r="Y278">
        <v>11.6</v>
      </c>
    </row>
    <row r="279" spans="1:25" x14ac:dyDescent="0.25">
      <c r="A279" t="s">
        <v>5285</v>
      </c>
      <c r="B279">
        <v>278</v>
      </c>
      <c r="C279">
        <v>278</v>
      </c>
      <c r="D279" t="s">
        <v>13</v>
      </c>
      <c r="E279" t="s">
        <v>4875</v>
      </c>
      <c r="F279" t="s">
        <v>3978</v>
      </c>
      <c r="G279" t="s">
        <v>5286</v>
      </c>
      <c r="H279">
        <v>0</v>
      </c>
      <c r="I279">
        <v>561</v>
      </c>
      <c r="J279">
        <v>235</v>
      </c>
      <c r="K279" t="str">
        <f t="shared" si="4"/>
        <v>mine296129</v>
      </c>
      <c r="L279" t="s">
        <v>3859</v>
      </c>
      <c r="M279" t="s">
        <v>73</v>
      </c>
      <c r="N279" t="s">
        <v>1760</v>
      </c>
      <c r="O279" t="s">
        <v>3976</v>
      </c>
      <c r="P279" t="s">
        <v>3977</v>
      </c>
      <c r="Q279" t="s">
        <v>3749</v>
      </c>
      <c r="R279" t="s">
        <v>2833</v>
      </c>
      <c r="U279">
        <v>61</v>
      </c>
      <c r="V279">
        <v>0</v>
      </c>
      <c r="W279">
        <v>65</v>
      </c>
      <c r="X279">
        <v>29.6</v>
      </c>
      <c r="Y279">
        <v>12.9</v>
      </c>
    </row>
    <row r="280" spans="1:25" x14ac:dyDescent="0.25">
      <c r="A280" t="s">
        <v>5287</v>
      </c>
      <c r="B280">
        <v>279</v>
      </c>
      <c r="C280">
        <v>279</v>
      </c>
      <c r="D280" t="s">
        <v>13</v>
      </c>
      <c r="E280" t="s">
        <v>4875</v>
      </c>
      <c r="F280" t="s">
        <v>3978</v>
      </c>
      <c r="G280" t="s">
        <v>5288</v>
      </c>
      <c r="H280">
        <v>0</v>
      </c>
      <c r="I280">
        <v>287</v>
      </c>
      <c r="J280">
        <v>463</v>
      </c>
      <c r="K280" t="str">
        <f t="shared" si="4"/>
        <v>mine157248</v>
      </c>
      <c r="L280" t="s">
        <v>3859</v>
      </c>
      <c r="M280" t="s">
        <v>73</v>
      </c>
      <c r="N280" t="s">
        <v>1746</v>
      </c>
      <c r="O280" t="s">
        <v>3976</v>
      </c>
      <c r="P280" t="s">
        <v>3977</v>
      </c>
      <c r="Q280" t="s">
        <v>11083</v>
      </c>
      <c r="U280">
        <v>61</v>
      </c>
      <c r="V280">
        <v>0</v>
      </c>
      <c r="W280">
        <v>65</v>
      </c>
      <c r="X280">
        <v>15.7</v>
      </c>
      <c r="Y280">
        <v>24.8</v>
      </c>
    </row>
    <row r="281" spans="1:25" x14ac:dyDescent="0.25">
      <c r="A281" t="s">
        <v>5289</v>
      </c>
      <c r="B281">
        <v>280</v>
      </c>
      <c r="C281">
        <v>280</v>
      </c>
      <c r="D281" t="s">
        <v>13</v>
      </c>
      <c r="E281" t="s">
        <v>4875</v>
      </c>
      <c r="F281" t="s">
        <v>3978</v>
      </c>
      <c r="G281" t="s">
        <v>5290</v>
      </c>
      <c r="H281">
        <v>0</v>
      </c>
      <c r="I281">
        <v>393</v>
      </c>
      <c r="J281">
        <v>653</v>
      </c>
      <c r="K281" t="str">
        <f t="shared" si="4"/>
        <v>mine211343</v>
      </c>
      <c r="L281" t="s">
        <v>3859</v>
      </c>
      <c r="M281" t="s">
        <v>73</v>
      </c>
      <c r="N281" t="s">
        <v>1899</v>
      </c>
      <c r="O281" t="s">
        <v>3976</v>
      </c>
      <c r="P281" t="s">
        <v>3977</v>
      </c>
      <c r="Q281" t="s">
        <v>3749</v>
      </c>
      <c r="R281" t="s">
        <v>2834</v>
      </c>
      <c r="U281">
        <v>63</v>
      </c>
      <c r="V281">
        <v>0</v>
      </c>
      <c r="W281">
        <v>65</v>
      </c>
      <c r="X281">
        <v>21.1</v>
      </c>
      <c r="Y281">
        <v>34.299999999999997</v>
      </c>
    </row>
    <row r="282" spans="1:25" x14ac:dyDescent="0.25">
      <c r="A282" t="s">
        <v>5291</v>
      </c>
      <c r="B282">
        <v>281</v>
      </c>
      <c r="C282">
        <v>281</v>
      </c>
      <c r="D282" t="s">
        <v>13</v>
      </c>
      <c r="E282" t="s">
        <v>4875</v>
      </c>
      <c r="F282" t="s">
        <v>3978</v>
      </c>
      <c r="G282" t="s">
        <v>5292</v>
      </c>
      <c r="H282">
        <v>0</v>
      </c>
      <c r="I282">
        <v>561</v>
      </c>
      <c r="J282">
        <v>235</v>
      </c>
      <c r="K282" t="str">
        <f t="shared" si="4"/>
        <v>mine296129</v>
      </c>
      <c r="L282" t="s">
        <v>3859</v>
      </c>
      <c r="M282" t="s">
        <v>73</v>
      </c>
      <c r="N282" t="s">
        <v>1760</v>
      </c>
      <c r="O282" t="s">
        <v>3976</v>
      </c>
      <c r="P282" t="s">
        <v>3977</v>
      </c>
      <c r="Q282" t="s">
        <v>3749</v>
      </c>
      <c r="R282" t="s">
        <v>2833</v>
      </c>
      <c r="U282">
        <v>65</v>
      </c>
      <c r="V282">
        <v>0</v>
      </c>
      <c r="W282">
        <v>65</v>
      </c>
      <c r="X282">
        <v>29.6</v>
      </c>
      <c r="Y282">
        <v>12.9</v>
      </c>
    </row>
    <row r="283" spans="1:25" x14ac:dyDescent="0.25">
      <c r="A283" t="s">
        <v>5293</v>
      </c>
      <c r="B283">
        <v>282</v>
      </c>
      <c r="C283">
        <v>282</v>
      </c>
      <c r="D283" t="s">
        <v>13</v>
      </c>
      <c r="E283" t="s">
        <v>4875</v>
      </c>
      <c r="F283" t="s">
        <v>3978</v>
      </c>
      <c r="G283" t="s">
        <v>5294</v>
      </c>
      <c r="H283">
        <v>0</v>
      </c>
      <c r="I283">
        <v>683</v>
      </c>
      <c r="J283">
        <v>497</v>
      </c>
      <c r="K283" t="str">
        <f t="shared" si="4"/>
        <v>mine36263</v>
      </c>
      <c r="L283" t="s">
        <v>3859</v>
      </c>
      <c r="M283" t="s">
        <v>73</v>
      </c>
      <c r="N283" t="s">
        <v>1974</v>
      </c>
      <c r="O283" t="s">
        <v>3976</v>
      </c>
      <c r="P283" t="s">
        <v>3977</v>
      </c>
      <c r="Q283" t="s">
        <v>3749</v>
      </c>
      <c r="R283" t="s">
        <v>2832</v>
      </c>
      <c r="U283">
        <v>67</v>
      </c>
      <c r="V283">
        <v>0</v>
      </c>
      <c r="W283">
        <v>70</v>
      </c>
      <c r="X283">
        <v>36</v>
      </c>
      <c r="Y283">
        <v>26.3</v>
      </c>
    </row>
    <row r="284" spans="1:25" x14ac:dyDescent="0.25">
      <c r="A284" t="s">
        <v>5295</v>
      </c>
      <c r="B284">
        <v>283</v>
      </c>
      <c r="C284">
        <v>283</v>
      </c>
      <c r="D284" t="s">
        <v>13</v>
      </c>
      <c r="E284" t="s">
        <v>4875</v>
      </c>
      <c r="F284" t="s">
        <v>3978</v>
      </c>
      <c r="G284" t="s">
        <v>5296</v>
      </c>
      <c r="H284">
        <v>0</v>
      </c>
      <c r="I284">
        <v>683</v>
      </c>
      <c r="J284">
        <v>497</v>
      </c>
      <c r="K284" t="str">
        <f t="shared" si="4"/>
        <v>mine36263</v>
      </c>
      <c r="L284" t="s">
        <v>3859</v>
      </c>
      <c r="M284" t="s">
        <v>73</v>
      </c>
      <c r="N284" t="s">
        <v>1974</v>
      </c>
      <c r="O284" t="s">
        <v>3976</v>
      </c>
      <c r="P284" t="s">
        <v>3977</v>
      </c>
      <c r="Q284" t="s">
        <v>3749</v>
      </c>
      <c r="R284" t="s">
        <v>2832</v>
      </c>
      <c r="U284">
        <v>69</v>
      </c>
      <c r="V284">
        <v>0</v>
      </c>
      <c r="W284">
        <v>70</v>
      </c>
      <c r="X284">
        <v>36</v>
      </c>
      <c r="Y284">
        <v>26.3</v>
      </c>
    </row>
    <row r="285" spans="1:25" x14ac:dyDescent="0.25">
      <c r="A285" t="s">
        <v>5297</v>
      </c>
      <c r="B285">
        <v>284</v>
      </c>
      <c r="C285">
        <v>284</v>
      </c>
      <c r="D285" t="s">
        <v>13</v>
      </c>
      <c r="E285" t="s">
        <v>4875</v>
      </c>
      <c r="F285" t="s">
        <v>3978</v>
      </c>
      <c r="G285" t="s">
        <v>5298</v>
      </c>
      <c r="H285">
        <v>0</v>
      </c>
      <c r="I285">
        <v>588</v>
      </c>
      <c r="J285">
        <v>451</v>
      </c>
      <c r="K285" t="str">
        <f t="shared" si="4"/>
        <v>mine312241</v>
      </c>
      <c r="L285" t="s">
        <v>3859</v>
      </c>
      <c r="M285" t="s">
        <v>102</v>
      </c>
      <c r="N285" t="s">
        <v>2040</v>
      </c>
      <c r="O285" t="s">
        <v>3976</v>
      </c>
      <c r="P285" t="s">
        <v>3977</v>
      </c>
      <c r="Q285" t="s">
        <v>3749</v>
      </c>
      <c r="R285" t="s">
        <v>2831</v>
      </c>
      <c r="U285">
        <v>71</v>
      </c>
      <c r="V285">
        <v>0</v>
      </c>
      <c r="W285">
        <v>75</v>
      </c>
      <c r="X285">
        <v>31.2</v>
      </c>
      <c r="Y285">
        <v>24.1</v>
      </c>
    </row>
    <row r="286" spans="1:25" x14ac:dyDescent="0.25">
      <c r="A286" t="s">
        <v>5299</v>
      </c>
      <c r="B286">
        <v>285</v>
      </c>
      <c r="C286">
        <v>285</v>
      </c>
      <c r="D286" t="s">
        <v>13</v>
      </c>
      <c r="E286" t="s">
        <v>4875</v>
      </c>
      <c r="F286" t="s">
        <v>3978</v>
      </c>
      <c r="G286" t="s">
        <v>5300</v>
      </c>
      <c r="H286">
        <v>0</v>
      </c>
      <c r="I286">
        <v>554</v>
      </c>
      <c r="J286">
        <v>407</v>
      </c>
      <c r="K286" t="str">
        <f t="shared" si="4"/>
        <v>mine29622</v>
      </c>
      <c r="L286" t="s">
        <v>3859</v>
      </c>
      <c r="M286" t="s">
        <v>102</v>
      </c>
      <c r="N286" t="s">
        <v>2029</v>
      </c>
      <c r="O286" t="s">
        <v>3976</v>
      </c>
      <c r="P286" t="s">
        <v>3977</v>
      </c>
      <c r="Q286" t="s">
        <v>11083</v>
      </c>
      <c r="U286">
        <v>71</v>
      </c>
      <c r="V286">
        <v>0</v>
      </c>
      <c r="W286">
        <v>75</v>
      </c>
      <c r="X286">
        <v>29.6</v>
      </c>
      <c r="Y286">
        <v>22</v>
      </c>
    </row>
    <row r="287" spans="1:25" x14ac:dyDescent="0.25">
      <c r="A287" t="s">
        <v>5301</v>
      </c>
      <c r="B287">
        <v>286</v>
      </c>
      <c r="C287">
        <v>286</v>
      </c>
      <c r="D287" t="s">
        <v>13</v>
      </c>
      <c r="E287" t="s">
        <v>4875</v>
      </c>
      <c r="F287" t="s">
        <v>3978</v>
      </c>
      <c r="G287" t="s">
        <v>5302</v>
      </c>
      <c r="H287">
        <v>0</v>
      </c>
      <c r="I287">
        <v>309</v>
      </c>
      <c r="J287">
        <v>341</v>
      </c>
      <c r="K287" t="str">
        <f t="shared" si="4"/>
        <v>mine164181</v>
      </c>
      <c r="L287" t="s">
        <v>3859</v>
      </c>
      <c r="M287" t="s">
        <v>102</v>
      </c>
      <c r="N287" t="s">
        <v>2237</v>
      </c>
      <c r="O287" t="s">
        <v>3976</v>
      </c>
      <c r="P287" t="s">
        <v>3977</v>
      </c>
      <c r="Q287" t="s">
        <v>3749</v>
      </c>
      <c r="R287" t="s">
        <v>2832</v>
      </c>
      <c r="U287">
        <v>73</v>
      </c>
      <c r="V287">
        <v>0</v>
      </c>
      <c r="W287">
        <v>75</v>
      </c>
      <c r="X287">
        <v>16.399999999999999</v>
      </c>
      <c r="Y287">
        <v>18.100000000000001</v>
      </c>
    </row>
    <row r="288" spans="1:25" x14ac:dyDescent="0.25">
      <c r="A288" t="s">
        <v>5303</v>
      </c>
      <c r="B288">
        <v>287</v>
      </c>
      <c r="C288">
        <v>287</v>
      </c>
      <c r="D288" t="s">
        <v>13</v>
      </c>
      <c r="E288" t="s">
        <v>4875</v>
      </c>
      <c r="F288" t="s">
        <v>3978</v>
      </c>
      <c r="G288" t="s">
        <v>5304</v>
      </c>
      <c r="H288">
        <v>0</v>
      </c>
      <c r="I288">
        <v>588</v>
      </c>
      <c r="J288">
        <v>451</v>
      </c>
      <c r="K288" t="str">
        <f t="shared" si="4"/>
        <v>mine312241</v>
      </c>
      <c r="L288" t="s">
        <v>3859</v>
      </c>
      <c r="M288" t="s">
        <v>102</v>
      </c>
      <c r="N288" t="s">
        <v>2040</v>
      </c>
      <c r="O288" t="s">
        <v>3976</v>
      </c>
      <c r="P288" t="s">
        <v>3977</v>
      </c>
      <c r="Q288" t="s">
        <v>3749</v>
      </c>
      <c r="R288" t="s">
        <v>2831</v>
      </c>
      <c r="U288">
        <v>75</v>
      </c>
      <c r="V288">
        <v>0</v>
      </c>
      <c r="W288">
        <v>75</v>
      </c>
      <c r="X288">
        <v>31.2</v>
      </c>
      <c r="Y288">
        <v>24.1</v>
      </c>
    </row>
    <row r="289" spans="1:25" x14ac:dyDescent="0.25">
      <c r="A289" t="s">
        <v>5305</v>
      </c>
      <c r="B289">
        <v>288</v>
      </c>
      <c r="C289">
        <v>288</v>
      </c>
      <c r="D289" t="s">
        <v>13</v>
      </c>
      <c r="E289" t="s">
        <v>4875</v>
      </c>
      <c r="F289" t="s">
        <v>3978</v>
      </c>
      <c r="G289" t="s">
        <v>5306</v>
      </c>
      <c r="H289">
        <v>0</v>
      </c>
      <c r="I289">
        <v>471</v>
      </c>
      <c r="J289">
        <v>76</v>
      </c>
      <c r="K289" t="str">
        <f t="shared" si="4"/>
        <v>mine25145</v>
      </c>
      <c r="L289" t="s">
        <v>3859</v>
      </c>
      <c r="M289" t="s">
        <v>102</v>
      </c>
      <c r="N289" t="s">
        <v>2285</v>
      </c>
      <c r="O289" t="s">
        <v>3976</v>
      </c>
      <c r="P289" t="s">
        <v>3977</v>
      </c>
      <c r="Q289" t="s">
        <v>3749</v>
      </c>
      <c r="R289" t="s">
        <v>2833</v>
      </c>
      <c r="U289">
        <v>77</v>
      </c>
      <c r="V289">
        <v>0</v>
      </c>
      <c r="W289">
        <v>80</v>
      </c>
      <c r="X289">
        <v>25.1</v>
      </c>
      <c r="Y289">
        <v>4.5</v>
      </c>
    </row>
    <row r="290" spans="1:25" x14ac:dyDescent="0.25">
      <c r="A290" t="s">
        <v>5307</v>
      </c>
      <c r="B290">
        <v>289</v>
      </c>
      <c r="C290">
        <v>289</v>
      </c>
      <c r="D290" t="s">
        <v>13</v>
      </c>
      <c r="E290" t="s">
        <v>4875</v>
      </c>
      <c r="F290" t="s">
        <v>3978</v>
      </c>
      <c r="G290" t="s">
        <v>5308</v>
      </c>
      <c r="H290">
        <v>0</v>
      </c>
      <c r="I290">
        <v>614</v>
      </c>
      <c r="J290">
        <v>384</v>
      </c>
      <c r="K290" t="str">
        <f t="shared" si="4"/>
        <v>mine327205</v>
      </c>
      <c r="L290" t="s">
        <v>3859</v>
      </c>
      <c r="M290" t="s">
        <v>102</v>
      </c>
      <c r="N290" t="s">
        <v>2296</v>
      </c>
      <c r="O290" t="s">
        <v>3976</v>
      </c>
      <c r="P290" t="s">
        <v>3977</v>
      </c>
      <c r="Q290" t="s">
        <v>3749</v>
      </c>
      <c r="R290" t="s">
        <v>2830</v>
      </c>
      <c r="U290">
        <v>79</v>
      </c>
      <c r="V290">
        <v>0</v>
      </c>
      <c r="W290">
        <v>80</v>
      </c>
      <c r="X290">
        <v>32.700000000000003</v>
      </c>
      <c r="Y290">
        <v>20.5</v>
      </c>
    </row>
    <row r="291" spans="1:25" x14ac:dyDescent="0.25">
      <c r="A291" t="s">
        <v>5309</v>
      </c>
      <c r="B291">
        <v>290</v>
      </c>
      <c r="C291">
        <v>290</v>
      </c>
      <c r="D291" t="s">
        <v>13</v>
      </c>
      <c r="E291" t="s">
        <v>4875</v>
      </c>
      <c r="F291" t="s">
        <v>3978</v>
      </c>
      <c r="G291" t="s">
        <v>5310</v>
      </c>
      <c r="H291">
        <v>0</v>
      </c>
      <c r="I291">
        <v>471</v>
      </c>
      <c r="J291">
        <v>76</v>
      </c>
      <c r="K291" t="str">
        <f t="shared" si="4"/>
        <v>mine25145</v>
      </c>
      <c r="L291" t="s">
        <v>3859</v>
      </c>
      <c r="M291" t="s">
        <v>102</v>
      </c>
      <c r="N291" t="s">
        <v>2285</v>
      </c>
      <c r="O291" t="s">
        <v>3976</v>
      </c>
      <c r="P291" t="s">
        <v>3977</v>
      </c>
      <c r="Q291" t="s">
        <v>3749</v>
      </c>
      <c r="R291" t="s">
        <v>2833</v>
      </c>
      <c r="U291">
        <v>80</v>
      </c>
      <c r="V291">
        <v>0</v>
      </c>
      <c r="W291">
        <v>80</v>
      </c>
      <c r="X291">
        <v>25.1</v>
      </c>
      <c r="Y291">
        <v>4.5</v>
      </c>
    </row>
    <row r="292" spans="1:25" x14ac:dyDescent="0.25">
      <c r="A292" t="s">
        <v>5311</v>
      </c>
      <c r="B292">
        <v>291</v>
      </c>
      <c r="C292">
        <v>291</v>
      </c>
      <c r="D292" t="s">
        <v>13</v>
      </c>
      <c r="E292" t="s">
        <v>4875</v>
      </c>
      <c r="F292" t="s">
        <v>3978</v>
      </c>
      <c r="G292" t="s">
        <v>5312</v>
      </c>
      <c r="H292">
        <v>0</v>
      </c>
      <c r="I292">
        <v>614</v>
      </c>
      <c r="J292">
        <v>384</v>
      </c>
      <c r="K292" t="str">
        <f t="shared" si="4"/>
        <v>mine327205</v>
      </c>
      <c r="L292" t="s">
        <v>3859</v>
      </c>
      <c r="M292" t="s">
        <v>102</v>
      </c>
      <c r="N292" t="s">
        <v>2296</v>
      </c>
      <c r="O292" t="s">
        <v>3976</v>
      </c>
      <c r="P292" t="s">
        <v>3977</v>
      </c>
      <c r="Q292" t="s">
        <v>3749</v>
      </c>
      <c r="R292" t="s">
        <v>2830</v>
      </c>
      <c r="U292">
        <v>80</v>
      </c>
      <c r="V292">
        <v>1</v>
      </c>
      <c r="W292">
        <v>80</v>
      </c>
      <c r="X292">
        <v>32.700000000000003</v>
      </c>
      <c r="Y292">
        <v>20.5</v>
      </c>
    </row>
    <row r="293" spans="1:25" x14ac:dyDescent="0.25">
      <c r="A293" t="s">
        <v>5313</v>
      </c>
      <c r="B293">
        <v>292</v>
      </c>
      <c r="C293">
        <v>292</v>
      </c>
      <c r="D293" t="s">
        <v>13</v>
      </c>
      <c r="E293" t="s">
        <v>4875</v>
      </c>
      <c r="F293" t="s">
        <v>3978</v>
      </c>
      <c r="G293" t="s">
        <v>5314</v>
      </c>
      <c r="H293">
        <v>0</v>
      </c>
      <c r="I293">
        <v>517</v>
      </c>
      <c r="J293">
        <v>569</v>
      </c>
      <c r="K293" t="str">
        <f t="shared" si="4"/>
        <v>mine315313</v>
      </c>
      <c r="L293" t="s">
        <v>3859</v>
      </c>
      <c r="M293" t="s">
        <v>102</v>
      </c>
      <c r="N293" t="s">
        <v>1762</v>
      </c>
      <c r="O293" t="s">
        <v>3976</v>
      </c>
      <c r="P293" t="s">
        <v>3977</v>
      </c>
      <c r="Q293" t="s">
        <v>3749</v>
      </c>
      <c r="R293" t="s">
        <v>2834</v>
      </c>
      <c r="U293">
        <v>80</v>
      </c>
      <c r="V293">
        <v>1</v>
      </c>
      <c r="W293">
        <v>80</v>
      </c>
      <c r="X293">
        <v>31.5</v>
      </c>
      <c r="Y293">
        <v>31.3</v>
      </c>
    </row>
    <row r="294" spans="1:25" x14ac:dyDescent="0.25">
      <c r="A294" t="s">
        <v>5315</v>
      </c>
      <c r="B294">
        <v>293</v>
      </c>
      <c r="C294">
        <v>293</v>
      </c>
      <c r="D294" t="s">
        <v>13</v>
      </c>
      <c r="E294" t="s">
        <v>4875</v>
      </c>
      <c r="F294" t="s">
        <v>3978</v>
      </c>
      <c r="G294" t="s">
        <v>5316</v>
      </c>
      <c r="H294">
        <v>0</v>
      </c>
      <c r="I294">
        <v>314</v>
      </c>
      <c r="J294">
        <v>357</v>
      </c>
      <c r="K294" t="str">
        <f t="shared" si="4"/>
        <v>mine172193</v>
      </c>
      <c r="L294" t="s">
        <v>3859</v>
      </c>
      <c r="M294" t="s">
        <v>133</v>
      </c>
      <c r="N294" t="s">
        <v>2392</v>
      </c>
      <c r="O294" t="s">
        <v>3976</v>
      </c>
      <c r="P294" t="s">
        <v>3977</v>
      </c>
      <c r="Q294" t="s">
        <v>11083</v>
      </c>
      <c r="U294">
        <v>81</v>
      </c>
      <c r="V294">
        <v>0</v>
      </c>
      <c r="W294">
        <v>85</v>
      </c>
      <c r="X294">
        <v>17.2</v>
      </c>
      <c r="Y294">
        <v>19.3</v>
      </c>
    </row>
    <row r="295" spans="1:25" x14ac:dyDescent="0.25">
      <c r="A295" t="s">
        <v>5317</v>
      </c>
      <c r="B295">
        <v>294</v>
      </c>
      <c r="C295">
        <v>294</v>
      </c>
      <c r="D295" t="s">
        <v>13</v>
      </c>
      <c r="E295" t="s">
        <v>4875</v>
      </c>
      <c r="F295" t="s">
        <v>3978</v>
      </c>
      <c r="G295" t="s">
        <v>5318</v>
      </c>
      <c r="H295">
        <v>0</v>
      </c>
      <c r="I295">
        <v>613</v>
      </c>
      <c r="J295">
        <v>396</v>
      </c>
      <c r="K295" t="str">
        <f t="shared" si="4"/>
        <v>mine324212</v>
      </c>
      <c r="L295" t="s">
        <v>3859</v>
      </c>
      <c r="M295" t="s">
        <v>133</v>
      </c>
      <c r="N295" t="s">
        <v>2345</v>
      </c>
      <c r="O295" t="s">
        <v>3976</v>
      </c>
      <c r="P295" t="s">
        <v>3977</v>
      </c>
      <c r="Q295" t="s">
        <v>3749</v>
      </c>
      <c r="R295" t="s">
        <v>2829</v>
      </c>
      <c r="U295">
        <v>81</v>
      </c>
      <c r="V295">
        <v>0</v>
      </c>
      <c r="W295">
        <v>85</v>
      </c>
      <c r="X295">
        <v>32.4</v>
      </c>
      <c r="Y295">
        <v>21.2</v>
      </c>
    </row>
    <row r="296" spans="1:25" x14ac:dyDescent="0.25">
      <c r="A296" t="s">
        <v>5319</v>
      </c>
      <c r="B296">
        <v>295</v>
      </c>
      <c r="C296">
        <v>295</v>
      </c>
      <c r="D296" t="s">
        <v>13</v>
      </c>
      <c r="E296" t="s">
        <v>4875</v>
      </c>
      <c r="F296" t="s">
        <v>3978</v>
      </c>
      <c r="G296" t="s">
        <v>5320</v>
      </c>
      <c r="H296">
        <v>0</v>
      </c>
      <c r="I296">
        <v>302</v>
      </c>
      <c r="J296">
        <v>616</v>
      </c>
      <c r="K296" t="str">
        <f t="shared" si="4"/>
        <v>mine163327</v>
      </c>
      <c r="L296" t="s">
        <v>3859</v>
      </c>
      <c r="M296" t="s">
        <v>133</v>
      </c>
      <c r="N296" t="s">
        <v>2448</v>
      </c>
      <c r="O296" t="s">
        <v>3976</v>
      </c>
      <c r="P296" t="s">
        <v>3977</v>
      </c>
      <c r="Q296" t="s">
        <v>3749</v>
      </c>
      <c r="R296" t="s">
        <v>2832</v>
      </c>
      <c r="U296">
        <v>83</v>
      </c>
      <c r="V296">
        <v>0</v>
      </c>
      <c r="W296">
        <v>85</v>
      </c>
      <c r="X296">
        <v>16.3</v>
      </c>
      <c r="Y296">
        <v>32.700000000000003</v>
      </c>
    </row>
    <row r="297" spans="1:25" x14ac:dyDescent="0.25">
      <c r="A297" t="s">
        <v>5321</v>
      </c>
      <c r="B297">
        <v>296</v>
      </c>
      <c r="C297">
        <v>296</v>
      </c>
      <c r="D297" t="s">
        <v>13</v>
      </c>
      <c r="E297" t="s">
        <v>4875</v>
      </c>
      <c r="F297" t="s">
        <v>3978</v>
      </c>
      <c r="G297" t="s">
        <v>5322</v>
      </c>
      <c r="H297">
        <v>0</v>
      </c>
      <c r="I297">
        <v>613</v>
      </c>
      <c r="J297">
        <v>396</v>
      </c>
      <c r="K297" t="str">
        <f t="shared" si="4"/>
        <v>mine324212</v>
      </c>
      <c r="L297" t="s">
        <v>3859</v>
      </c>
      <c r="M297" t="s">
        <v>133</v>
      </c>
      <c r="N297" t="s">
        <v>2345</v>
      </c>
      <c r="O297" t="s">
        <v>3976</v>
      </c>
      <c r="P297" t="s">
        <v>3977</v>
      </c>
      <c r="Q297" t="s">
        <v>3749</v>
      </c>
      <c r="R297" t="s">
        <v>2829</v>
      </c>
      <c r="U297">
        <v>85</v>
      </c>
      <c r="V297">
        <v>0</v>
      </c>
      <c r="W297">
        <v>85</v>
      </c>
      <c r="X297">
        <v>32.4</v>
      </c>
      <c r="Y297">
        <v>21.2</v>
      </c>
    </row>
    <row r="298" spans="1:25" x14ac:dyDescent="0.25">
      <c r="A298" t="s">
        <v>5323</v>
      </c>
      <c r="B298">
        <v>297</v>
      </c>
      <c r="C298">
        <v>297</v>
      </c>
      <c r="D298" t="s">
        <v>13</v>
      </c>
      <c r="E298" t="s">
        <v>4875</v>
      </c>
      <c r="F298" t="s">
        <v>3978</v>
      </c>
      <c r="G298" t="s">
        <v>5324</v>
      </c>
      <c r="H298">
        <v>0</v>
      </c>
      <c r="I298">
        <v>715</v>
      </c>
      <c r="J298">
        <v>398</v>
      </c>
      <c r="K298" t="str">
        <f t="shared" si="4"/>
        <v>mine376213</v>
      </c>
      <c r="L298" t="s">
        <v>3859</v>
      </c>
      <c r="M298" t="s">
        <v>215</v>
      </c>
      <c r="N298" t="s">
        <v>2624</v>
      </c>
      <c r="O298" t="s">
        <v>3976</v>
      </c>
      <c r="P298" t="s">
        <v>3977</v>
      </c>
      <c r="Q298" t="s">
        <v>11083</v>
      </c>
      <c r="U298">
        <v>91</v>
      </c>
      <c r="V298">
        <v>0</v>
      </c>
      <c r="W298">
        <v>95</v>
      </c>
      <c r="X298">
        <v>37.6</v>
      </c>
      <c r="Y298">
        <v>21.3</v>
      </c>
    </row>
    <row r="299" spans="1:25" x14ac:dyDescent="0.25">
      <c r="A299" t="s">
        <v>5325</v>
      </c>
      <c r="B299">
        <v>298</v>
      </c>
      <c r="C299">
        <v>298</v>
      </c>
      <c r="D299" t="s">
        <v>13</v>
      </c>
      <c r="E299" t="s">
        <v>4875</v>
      </c>
      <c r="F299" t="s">
        <v>3978</v>
      </c>
      <c r="G299" t="s">
        <v>5326</v>
      </c>
      <c r="H299">
        <v>0</v>
      </c>
      <c r="I299">
        <v>118</v>
      </c>
      <c r="J299">
        <v>129</v>
      </c>
      <c r="K299" t="str">
        <f t="shared" si="4"/>
        <v>mine6973</v>
      </c>
      <c r="L299" t="s">
        <v>3859</v>
      </c>
      <c r="M299" t="s">
        <v>215</v>
      </c>
      <c r="N299" t="s">
        <v>2598</v>
      </c>
      <c r="O299" t="s">
        <v>3976</v>
      </c>
      <c r="P299" t="s">
        <v>3977</v>
      </c>
      <c r="Q299" t="s">
        <v>3749</v>
      </c>
      <c r="R299" t="s">
        <v>2834</v>
      </c>
      <c r="U299">
        <v>93</v>
      </c>
      <c r="V299">
        <v>0</v>
      </c>
      <c r="W299">
        <v>95</v>
      </c>
      <c r="X299">
        <v>6.9</v>
      </c>
      <c r="Y299">
        <v>7.3</v>
      </c>
    </row>
    <row r="300" spans="1:25" x14ac:dyDescent="0.25">
      <c r="A300" t="s">
        <v>5327</v>
      </c>
      <c r="B300">
        <v>299</v>
      </c>
      <c r="C300">
        <v>299</v>
      </c>
      <c r="D300" t="s">
        <v>13</v>
      </c>
      <c r="E300" t="s">
        <v>4875</v>
      </c>
      <c r="F300" t="s">
        <v>3978</v>
      </c>
      <c r="G300" t="s">
        <v>5328</v>
      </c>
      <c r="H300">
        <v>0</v>
      </c>
      <c r="I300">
        <v>164</v>
      </c>
      <c r="J300">
        <v>454</v>
      </c>
      <c r="K300" t="str">
        <f t="shared" si="4"/>
        <v>mine91241</v>
      </c>
      <c r="L300" t="s">
        <v>3859</v>
      </c>
      <c r="M300" t="s">
        <v>215</v>
      </c>
      <c r="N300" t="s">
        <v>3684</v>
      </c>
      <c r="O300" t="s">
        <v>3976</v>
      </c>
      <c r="P300" t="s">
        <v>3977</v>
      </c>
      <c r="Q300" t="s">
        <v>3749</v>
      </c>
      <c r="R300" t="s">
        <v>2833</v>
      </c>
      <c r="U300">
        <v>96</v>
      </c>
      <c r="V300">
        <v>0</v>
      </c>
      <c r="W300">
        <v>100</v>
      </c>
      <c r="X300">
        <v>9.1</v>
      </c>
      <c r="Y300">
        <v>24.1</v>
      </c>
    </row>
    <row r="301" spans="1:25" x14ac:dyDescent="0.25">
      <c r="A301" t="s">
        <v>5329</v>
      </c>
      <c r="B301">
        <v>300</v>
      </c>
      <c r="C301">
        <v>300</v>
      </c>
      <c r="D301" t="s">
        <v>13</v>
      </c>
      <c r="E301" t="s">
        <v>4875</v>
      </c>
      <c r="F301" t="s">
        <v>3978</v>
      </c>
      <c r="G301" t="s">
        <v>5330</v>
      </c>
      <c r="H301">
        <v>0</v>
      </c>
      <c r="I301">
        <v>652</v>
      </c>
      <c r="J301">
        <v>143</v>
      </c>
      <c r="K301" t="str">
        <f t="shared" si="4"/>
        <v>mine34482</v>
      </c>
      <c r="L301" t="s">
        <v>3859</v>
      </c>
      <c r="M301" t="s">
        <v>215</v>
      </c>
      <c r="N301" t="s">
        <v>2732</v>
      </c>
      <c r="O301" t="s">
        <v>3976</v>
      </c>
      <c r="P301" t="s">
        <v>3977</v>
      </c>
      <c r="Q301" t="s">
        <v>3749</v>
      </c>
      <c r="R301" t="s">
        <v>2831</v>
      </c>
      <c r="U301">
        <v>98</v>
      </c>
      <c r="V301">
        <v>0</v>
      </c>
      <c r="W301">
        <v>100</v>
      </c>
      <c r="X301">
        <v>34.4</v>
      </c>
      <c r="Y301">
        <v>8.1999999999999993</v>
      </c>
    </row>
    <row r="302" spans="1:25" x14ac:dyDescent="0.25">
      <c r="A302" t="s">
        <v>5331</v>
      </c>
      <c r="B302">
        <v>301</v>
      </c>
      <c r="C302">
        <v>301</v>
      </c>
      <c r="D302" t="s">
        <v>13</v>
      </c>
      <c r="E302" t="s">
        <v>4875</v>
      </c>
      <c r="F302" t="s">
        <v>3978</v>
      </c>
      <c r="G302" t="s">
        <v>5332</v>
      </c>
      <c r="H302">
        <v>0</v>
      </c>
      <c r="I302">
        <v>164</v>
      </c>
      <c r="J302">
        <v>454</v>
      </c>
      <c r="K302" t="str">
        <f t="shared" si="4"/>
        <v>mine91241</v>
      </c>
      <c r="L302" t="s">
        <v>3859</v>
      </c>
      <c r="M302" t="s">
        <v>215</v>
      </c>
      <c r="N302" t="s">
        <v>3684</v>
      </c>
      <c r="O302" t="s">
        <v>3976</v>
      </c>
      <c r="P302" t="s">
        <v>4031</v>
      </c>
      <c r="Q302" t="s">
        <v>3749</v>
      </c>
      <c r="R302" t="s">
        <v>2833</v>
      </c>
      <c r="U302">
        <v>100</v>
      </c>
      <c r="V302">
        <v>0</v>
      </c>
      <c r="W302">
        <v>100</v>
      </c>
      <c r="X302">
        <v>9.1</v>
      </c>
      <c r="Y302">
        <v>24.1</v>
      </c>
    </row>
    <row r="303" spans="1:25" x14ac:dyDescent="0.25">
      <c r="A303" t="s">
        <v>5333</v>
      </c>
      <c r="B303">
        <v>302</v>
      </c>
      <c r="C303">
        <v>302</v>
      </c>
      <c r="D303" t="s">
        <v>13</v>
      </c>
      <c r="E303" t="s">
        <v>4875</v>
      </c>
      <c r="F303" t="s">
        <v>3978</v>
      </c>
      <c r="G303" t="s">
        <v>5334</v>
      </c>
      <c r="H303">
        <v>0</v>
      </c>
      <c r="I303">
        <v>652</v>
      </c>
      <c r="J303">
        <v>143</v>
      </c>
      <c r="K303" t="str">
        <f t="shared" si="4"/>
        <v>mine34482</v>
      </c>
      <c r="L303" t="s">
        <v>3859</v>
      </c>
      <c r="M303" t="s">
        <v>215</v>
      </c>
      <c r="N303" t="s">
        <v>2732</v>
      </c>
      <c r="O303" t="s">
        <v>3976</v>
      </c>
      <c r="P303" t="s">
        <v>4031</v>
      </c>
      <c r="Q303" t="s">
        <v>3749</v>
      </c>
      <c r="R303" t="s">
        <v>2831</v>
      </c>
      <c r="U303">
        <v>100</v>
      </c>
      <c r="V303">
        <v>1</v>
      </c>
      <c r="W303">
        <v>100</v>
      </c>
      <c r="X303">
        <v>34.4</v>
      </c>
      <c r="Y303">
        <v>8.1999999999999993</v>
      </c>
    </row>
    <row r="304" spans="1:25" x14ac:dyDescent="0.25">
      <c r="A304" t="s">
        <v>5335</v>
      </c>
      <c r="B304">
        <v>303</v>
      </c>
      <c r="C304">
        <v>303</v>
      </c>
      <c r="D304" t="s">
        <v>13</v>
      </c>
      <c r="E304" t="s">
        <v>4875</v>
      </c>
      <c r="F304" t="s">
        <v>4036</v>
      </c>
      <c r="G304" t="s">
        <v>5336</v>
      </c>
      <c r="H304">
        <v>0</v>
      </c>
      <c r="I304">
        <v>172</v>
      </c>
      <c r="J304">
        <v>160</v>
      </c>
      <c r="K304" t="str">
        <f t="shared" si="4"/>
        <v>mine10294</v>
      </c>
      <c r="M304" t="s">
        <v>11</v>
      </c>
      <c r="N304" t="s">
        <v>1545</v>
      </c>
      <c r="Q304" t="s">
        <v>4037</v>
      </c>
      <c r="R304" t="s">
        <v>2830</v>
      </c>
      <c r="S304" t="s">
        <v>5337</v>
      </c>
      <c r="U304">
        <v>60</v>
      </c>
      <c r="V304">
        <v>3</v>
      </c>
      <c r="W304">
        <v>60</v>
      </c>
      <c r="X304">
        <v>10.199999999999999</v>
      </c>
      <c r="Y304">
        <v>9.4</v>
      </c>
    </row>
    <row r="305" spans="1:25" x14ac:dyDescent="0.25">
      <c r="A305" t="s">
        <v>5338</v>
      </c>
      <c r="B305">
        <v>304</v>
      </c>
      <c r="C305">
        <v>304</v>
      </c>
      <c r="D305" t="s">
        <v>13</v>
      </c>
      <c r="E305" t="s">
        <v>4875</v>
      </c>
      <c r="F305" t="s">
        <v>4036</v>
      </c>
      <c r="G305" t="s">
        <v>5339</v>
      </c>
      <c r="H305">
        <v>0</v>
      </c>
      <c r="I305">
        <v>159</v>
      </c>
      <c r="J305">
        <v>666</v>
      </c>
      <c r="K305" t="str">
        <f t="shared" si="4"/>
        <v>mine96369</v>
      </c>
      <c r="M305" t="s">
        <v>11</v>
      </c>
      <c r="N305" t="s">
        <v>1723</v>
      </c>
      <c r="Q305" t="s">
        <v>4037</v>
      </c>
      <c r="R305" t="s">
        <v>2830</v>
      </c>
      <c r="S305" t="s">
        <v>5340</v>
      </c>
      <c r="U305">
        <v>60</v>
      </c>
      <c r="V305">
        <v>1</v>
      </c>
      <c r="W305">
        <v>60</v>
      </c>
      <c r="X305">
        <v>9.6</v>
      </c>
      <c r="Y305">
        <v>36.9</v>
      </c>
    </row>
    <row r="306" spans="1:25" x14ac:dyDescent="0.25">
      <c r="A306" t="s">
        <v>5341</v>
      </c>
      <c r="B306">
        <v>305</v>
      </c>
      <c r="C306">
        <v>305</v>
      </c>
      <c r="D306" t="s">
        <v>13</v>
      </c>
      <c r="E306" t="s">
        <v>4875</v>
      </c>
      <c r="F306" t="s">
        <v>4036</v>
      </c>
      <c r="G306" t="s">
        <v>5342</v>
      </c>
      <c r="H306">
        <v>0</v>
      </c>
      <c r="I306">
        <v>159</v>
      </c>
      <c r="J306">
        <v>666</v>
      </c>
      <c r="K306" t="str">
        <f t="shared" si="4"/>
        <v>mine96369</v>
      </c>
      <c r="M306" t="s">
        <v>11</v>
      </c>
      <c r="N306" t="s">
        <v>1723</v>
      </c>
      <c r="Q306" t="s">
        <v>4037</v>
      </c>
      <c r="R306" t="s">
        <v>2830</v>
      </c>
      <c r="S306" t="s">
        <v>5340</v>
      </c>
      <c r="U306">
        <v>60</v>
      </c>
      <c r="V306">
        <v>1</v>
      </c>
      <c r="W306">
        <v>60</v>
      </c>
      <c r="X306">
        <v>9.6</v>
      </c>
      <c r="Y306">
        <v>36.9</v>
      </c>
    </row>
    <row r="307" spans="1:25" x14ac:dyDescent="0.25">
      <c r="A307" t="s">
        <v>5343</v>
      </c>
      <c r="B307">
        <v>306</v>
      </c>
      <c r="C307">
        <v>306</v>
      </c>
      <c r="D307" t="s">
        <v>13</v>
      </c>
      <c r="E307" t="s">
        <v>4875</v>
      </c>
      <c r="F307" t="s">
        <v>4036</v>
      </c>
      <c r="G307" t="s">
        <v>5344</v>
      </c>
      <c r="H307">
        <v>0</v>
      </c>
      <c r="I307">
        <v>648</v>
      </c>
      <c r="J307">
        <v>272</v>
      </c>
      <c r="K307" t="str">
        <f t="shared" si="4"/>
        <v>mine36154</v>
      </c>
      <c r="M307" t="s">
        <v>11</v>
      </c>
      <c r="N307" t="s">
        <v>1638</v>
      </c>
      <c r="Q307" t="s">
        <v>4037</v>
      </c>
      <c r="R307" t="s">
        <v>2834</v>
      </c>
      <c r="S307" t="s">
        <v>5345</v>
      </c>
      <c r="U307">
        <v>60</v>
      </c>
      <c r="V307">
        <v>1</v>
      </c>
      <c r="W307">
        <v>60</v>
      </c>
      <c r="X307">
        <v>36</v>
      </c>
      <c r="Y307">
        <v>15.4</v>
      </c>
    </row>
    <row r="308" spans="1:25" x14ac:dyDescent="0.25">
      <c r="A308" t="s">
        <v>5346</v>
      </c>
      <c r="B308">
        <v>307</v>
      </c>
      <c r="C308">
        <v>307</v>
      </c>
      <c r="D308" t="s">
        <v>13</v>
      </c>
      <c r="E308" t="s">
        <v>4875</v>
      </c>
      <c r="F308" t="s">
        <v>4036</v>
      </c>
      <c r="G308" t="s">
        <v>5347</v>
      </c>
      <c r="H308">
        <v>0</v>
      </c>
      <c r="I308">
        <v>672</v>
      </c>
      <c r="J308">
        <v>254</v>
      </c>
      <c r="K308" t="str">
        <f t="shared" si="4"/>
        <v>mine375145</v>
      </c>
      <c r="M308" t="s">
        <v>11</v>
      </c>
      <c r="N308" t="s">
        <v>1616</v>
      </c>
      <c r="Q308" t="s">
        <v>4037</v>
      </c>
      <c r="R308" t="s">
        <v>2833</v>
      </c>
      <c r="S308" t="s">
        <v>5345</v>
      </c>
      <c r="U308">
        <v>60</v>
      </c>
      <c r="V308">
        <v>1</v>
      </c>
      <c r="W308">
        <v>60</v>
      </c>
      <c r="X308">
        <v>37.5</v>
      </c>
      <c r="Y308">
        <v>14.5</v>
      </c>
    </row>
    <row r="309" spans="1:25" x14ac:dyDescent="0.25">
      <c r="A309" t="s">
        <v>5348</v>
      </c>
      <c r="B309">
        <v>308</v>
      </c>
      <c r="C309">
        <v>308</v>
      </c>
      <c r="D309" t="s">
        <v>13</v>
      </c>
      <c r="E309" t="s">
        <v>4875</v>
      </c>
      <c r="F309" t="s">
        <v>4036</v>
      </c>
      <c r="G309" t="s">
        <v>5349</v>
      </c>
      <c r="H309">
        <v>0</v>
      </c>
      <c r="I309">
        <v>672</v>
      </c>
      <c r="J309">
        <v>254</v>
      </c>
      <c r="K309" t="str">
        <f t="shared" si="4"/>
        <v>mine375145</v>
      </c>
      <c r="M309" t="s">
        <v>11</v>
      </c>
      <c r="N309" t="s">
        <v>1616</v>
      </c>
      <c r="Q309" t="s">
        <v>4037</v>
      </c>
      <c r="R309" t="s">
        <v>2833</v>
      </c>
      <c r="S309" t="s">
        <v>5345</v>
      </c>
      <c r="U309">
        <v>60</v>
      </c>
      <c r="V309">
        <v>1</v>
      </c>
      <c r="W309">
        <v>60</v>
      </c>
      <c r="X309">
        <v>37.5</v>
      </c>
      <c r="Y309">
        <v>14.5</v>
      </c>
    </row>
    <row r="310" spans="1:25" x14ac:dyDescent="0.25">
      <c r="A310" t="s">
        <v>5350</v>
      </c>
      <c r="B310">
        <v>309</v>
      </c>
      <c r="C310">
        <v>309</v>
      </c>
      <c r="D310" t="s">
        <v>13</v>
      </c>
      <c r="E310" t="s">
        <v>4875</v>
      </c>
      <c r="F310" t="s">
        <v>4036</v>
      </c>
      <c r="G310" t="s">
        <v>5351</v>
      </c>
      <c r="H310">
        <v>0</v>
      </c>
      <c r="I310">
        <v>87</v>
      </c>
      <c r="J310">
        <v>288</v>
      </c>
      <c r="K310" t="str">
        <f t="shared" si="4"/>
        <v>mine54163</v>
      </c>
      <c r="M310" t="s">
        <v>11</v>
      </c>
      <c r="N310" t="s">
        <v>1628</v>
      </c>
      <c r="Q310" t="s">
        <v>4037</v>
      </c>
      <c r="R310" t="s">
        <v>2833</v>
      </c>
      <c r="S310" t="s">
        <v>5345</v>
      </c>
      <c r="U310">
        <v>60</v>
      </c>
      <c r="V310">
        <v>3</v>
      </c>
      <c r="W310">
        <v>60</v>
      </c>
      <c r="X310">
        <v>5.4</v>
      </c>
      <c r="Y310">
        <v>16.3</v>
      </c>
    </row>
    <row r="311" spans="1:25" x14ac:dyDescent="0.25">
      <c r="A311" t="s">
        <v>5352</v>
      </c>
      <c r="B311">
        <v>310</v>
      </c>
      <c r="C311">
        <v>310</v>
      </c>
      <c r="D311" t="s">
        <v>13</v>
      </c>
      <c r="E311" t="s">
        <v>4875</v>
      </c>
      <c r="F311" t="s">
        <v>4036</v>
      </c>
      <c r="G311" t="s">
        <v>5353</v>
      </c>
      <c r="H311">
        <v>0</v>
      </c>
      <c r="I311">
        <v>289</v>
      </c>
      <c r="J311">
        <v>646</v>
      </c>
      <c r="K311" t="str">
        <f t="shared" si="4"/>
        <v>mine159339</v>
      </c>
      <c r="M311" t="s">
        <v>73</v>
      </c>
      <c r="N311" t="s">
        <v>1798</v>
      </c>
      <c r="Q311" t="s">
        <v>4037</v>
      </c>
      <c r="R311" t="s">
        <v>2834</v>
      </c>
      <c r="S311" t="s">
        <v>5354</v>
      </c>
      <c r="U311">
        <v>70</v>
      </c>
      <c r="V311">
        <v>1</v>
      </c>
      <c r="W311">
        <v>70</v>
      </c>
      <c r="X311">
        <v>15.9</v>
      </c>
      <c r="Y311">
        <v>33.9</v>
      </c>
    </row>
    <row r="312" spans="1:25" x14ac:dyDescent="0.25">
      <c r="A312" t="s">
        <v>5355</v>
      </c>
      <c r="B312">
        <v>311</v>
      </c>
      <c r="C312">
        <v>311</v>
      </c>
      <c r="D312" t="s">
        <v>13</v>
      </c>
      <c r="E312" t="s">
        <v>4875</v>
      </c>
      <c r="F312" t="s">
        <v>4036</v>
      </c>
      <c r="G312" t="s">
        <v>5356</v>
      </c>
      <c r="H312">
        <v>0</v>
      </c>
      <c r="I312">
        <v>289</v>
      </c>
      <c r="J312">
        <v>646</v>
      </c>
      <c r="K312" t="str">
        <f t="shared" si="4"/>
        <v>mine159339</v>
      </c>
      <c r="M312" t="s">
        <v>73</v>
      </c>
      <c r="N312" t="s">
        <v>1798</v>
      </c>
      <c r="Q312" t="s">
        <v>4037</v>
      </c>
      <c r="R312" t="s">
        <v>2834</v>
      </c>
      <c r="S312" t="s">
        <v>5354</v>
      </c>
      <c r="U312">
        <v>70</v>
      </c>
      <c r="V312">
        <v>1</v>
      </c>
      <c r="W312">
        <v>70</v>
      </c>
      <c r="X312">
        <v>15.9</v>
      </c>
      <c r="Y312">
        <v>33.9</v>
      </c>
    </row>
    <row r="313" spans="1:25" x14ac:dyDescent="0.25">
      <c r="A313" t="s">
        <v>5357</v>
      </c>
      <c r="B313">
        <v>312</v>
      </c>
      <c r="C313">
        <v>312</v>
      </c>
      <c r="D313" t="s">
        <v>13</v>
      </c>
      <c r="E313" t="s">
        <v>4875</v>
      </c>
      <c r="F313" t="s">
        <v>4036</v>
      </c>
      <c r="G313" t="s">
        <v>5358</v>
      </c>
      <c r="H313">
        <v>0</v>
      </c>
      <c r="I313">
        <v>517</v>
      </c>
      <c r="J313">
        <v>569</v>
      </c>
      <c r="K313" t="str">
        <f t="shared" si="4"/>
        <v>mine315313</v>
      </c>
      <c r="M313" t="s">
        <v>73</v>
      </c>
      <c r="N313" t="s">
        <v>1762</v>
      </c>
      <c r="Q313" t="s">
        <v>4037</v>
      </c>
      <c r="R313" t="s">
        <v>2829</v>
      </c>
      <c r="S313" t="s">
        <v>5354</v>
      </c>
      <c r="U313">
        <v>70</v>
      </c>
      <c r="V313">
        <v>3</v>
      </c>
      <c r="W313">
        <v>70</v>
      </c>
      <c r="X313">
        <v>31.5</v>
      </c>
      <c r="Y313">
        <v>31.3</v>
      </c>
    </row>
    <row r="314" spans="1:25" x14ac:dyDescent="0.25">
      <c r="A314" t="s">
        <v>5359</v>
      </c>
      <c r="B314">
        <v>313</v>
      </c>
      <c r="C314">
        <v>313</v>
      </c>
      <c r="D314" t="s">
        <v>13</v>
      </c>
      <c r="E314" t="s">
        <v>4875</v>
      </c>
      <c r="F314" t="s">
        <v>4036</v>
      </c>
      <c r="G314" t="s">
        <v>5360</v>
      </c>
      <c r="H314">
        <v>0</v>
      </c>
      <c r="I314">
        <v>407</v>
      </c>
      <c r="J314">
        <v>248</v>
      </c>
      <c r="K314" t="str">
        <f t="shared" si="4"/>
        <v>mine217135</v>
      </c>
      <c r="M314" t="s">
        <v>73</v>
      </c>
      <c r="N314" t="s">
        <v>1842</v>
      </c>
      <c r="Q314" t="s">
        <v>4037</v>
      </c>
      <c r="R314" t="s">
        <v>2834</v>
      </c>
      <c r="S314" t="s">
        <v>5354</v>
      </c>
      <c r="U314">
        <v>70</v>
      </c>
      <c r="V314">
        <v>3</v>
      </c>
      <c r="W314">
        <v>70</v>
      </c>
      <c r="X314">
        <v>21.7</v>
      </c>
      <c r="Y314">
        <v>13.5</v>
      </c>
    </row>
    <row r="315" spans="1:25" x14ac:dyDescent="0.25">
      <c r="A315" t="s">
        <v>5361</v>
      </c>
      <c r="B315">
        <v>314</v>
      </c>
      <c r="C315">
        <v>314</v>
      </c>
      <c r="D315" t="s">
        <v>13</v>
      </c>
      <c r="E315" t="s">
        <v>4875</v>
      </c>
      <c r="F315" t="s">
        <v>4036</v>
      </c>
      <c r="G315" t="s">
        <v>5362</v>
      </c>
      <c r="H315">
        <v>0</v>
      </c>
      <c r="I315">
        <v>380</v>
      </c>
      <c r="J315">
        <v>171</v>
      </c>
      <c r="K315" t="str">
        <f t="shared" si="4"/>
        <v>mine20496</v>
      </c>
      <c r="M315" t="s">
        <v>73</v>
      </c>
      <c r="N315" t="s">
        <v>1960</v>
      </c>
      <c r="Q315" t="s">
        <v>4037</v>
      </c>
      <c r="R315" t="s">
        <v>2831</v>
      </c>
      <c r="S315" t="s">
        <v>5363</v>
      </c>
      <c r="U315">
        <v>70</v>
      </c>
      <c r="V315">
        <v>1</v>
      </c>
      <c r="W315">
        <v>70</v>
      </c>
      <c r="X315">
        <v>20.399999999999999</v>
      </c>
      <c r="Y315">
        <v>9.6</v>
      </c>
    </row>
    <row r="316" spans="1:25" x14ac:dyDescent="0.25">
      <c r="A316" t="s">
        <v>5364</v>
      </c>
      <c r="B316">
        <v>315</v>
      </c>
      <c r="C316">
        <v>315</v>
      </c>
      <c r="D316" t="s">
        <v>13</v>
      </c>
      <c r="E316" t="s">
        <v>4875</v>
      </c>
      <c r="F316" t="s">
        <v>4036</v>
      </c>
      <c r="G316" t="s">
        <v>5365</v>
      </c>
      <c r="H316">
        <v>0</v>
      </c>
      <c r="I316">
        <v>194</v>
      </c>
      <c r="J316">
        <v>420</v>
      </c>
      <c r="K316" t="str">
        <f t="shared" si="4"/>
        <v>mine109225</v>
      </c>
      <c r="M316" t="s">
        <v>73</v>
      </c>
      <c r="N316" t="s">
        <v>1926</v>
      </c>
      <c r="Q316" t="s">
        <v>4037</v>
      </c>
      <c r="R316" t="s">
        <v>2832</v>
      </c>
      <c r="S316" t="s">
        <v>5363</v>
      </c>
      <c r="U316">
        <v>70</v>
      </c>
      <c r="V316">
        <v>2</v>
      </c>
      <c r="W316">
        <v>70</v>
      </c>
      <c r="X316">
        <v>10.9</v>
      </c>
      <c r="Y316">
        <v>22.5</v>
      </c>
    </row>
    <row r="317" spans="1:25" x14ac:dyDescent="0.25">
      <c r="A317" t="s">
        <v>5366</v>
      </c>
      <c r="B317">
        <v>316</v>
      </c>
      <c r="C317">
        <v>316</v>
      </c>
      <c r="D317" t="s">
        <v>13</v>
      </c>
      <c r="E317" t="s">
        <v>4875</v>
      </c>
      <c r="F317" t="s">
        <v>4036</v>
      </c>
      <c r="G317" t="s">
        <v>5367</v>
      </c>
      <c r="H317">
        <v>0</v>
      </c>
      <c r="I317">
        <v>449</v>
      </c>
      <c r="J317">
        <v>707</v>
      </c>
      <c r="K317" t="str">
        <f t="shared" si="4"/>
        <v>mine241371</v>
      </c>
      <c r="M317" t="s">
        <v>73</v>
      </c>
      <c r="N317" t="s">
        <v>2004</v>
      </c>
      <c r="Q317" t="s">
        <v>4037</v>
      </c>
      <c r="R317" t="s">
        <v>2833</v>
      </c>
      <c r="S317" t="s">
        <v>5363</v>
      </c>
      <c r="U317">
        <v>70</v>
      </c>
      <c r="V317">
        <v>2</v>
      </c>
      <c r="W317">
        <v>70</v>
      </c>
      <c r="X317">
        <v>24.1</v>
      </c>
      <c r="Y317">
        <v>37.1</v>
      </c>
    </row>
    <row r="318" spans="1:25" x14ac:dyDescent="0.25">
      <c r="A318" t="s">
        <v>5368</v>
      </c>
      <c r="B318">
        <v>317</v>
      </c>
      <c r="C318">
        <v>317</v>
      </c>
      <c r="D318" t="s">
        <v>13</v>
      </c>
      <c r="E318" t="s">
        <v>4875</v>
      </c>
      <c r="F318" t="s">
        <v>4036</v>
      </c>
      <c r="G318" t="s">
        <v>5369</v>
      </c>
      <c r="H318">
        <v>0</v>
      </c>
      <c r="I318">
        <v>194</v>
      </c>
      <c r="J318">
        <v>420</v>
      </c>
      <c r="K318" t="str">
        <f t="shared" si="4"/>
        <v>mine109225</v>
      </c>
      <c r="M318" t="s">
        <v>73</v>
      </c>
      <c r="N318" t="s">
        <v>1926</v>
      </c>
      <c r="Q318" t="s">
        <v>4037</v>
      </c>
      <c r="R318" t="s">
        <v>2832</v>
      </c>
      <c r="S318" t="s">
        <v>5363</v>
      </c>
      <c r="U318">
        <v>70</v>
      </c>
      <c r="V318">
        <v>2</v>
      </c>
      <c r="W318">
        <v>70</v>
      </c>
      <c r="X318">
        <v>10.9</v>
      </c>
      <c r="Y318">
        <v>22.5</v>
      </c>
    </row>
    <row r="319" spans="1:25" x14ac:dyDescent="0.25">
      <c r="A319" t="s">
        <v>5370</v>
      </c>
      <c r="B319">
        <v>318</v>
      </c>
      <c r="C319">
        <v>318</v>
      </c>
      <c r="D319" t="s">
        <v>13</v>
      </c>
      <c r="E319" t="s">
        <v>4875</v>
      </c>
      <c r="F319" t="s">
        <v>4036</v>
      </c>
      <c r="G319" t="s">
        <v>5371</v>
      </c>
      <c r="H319">
        <v>0</v>
      </c>
      <c r="I319">
        <v>449</v>
      </c>
      <c r="J319">
        <v>707</v>
      </c>
      <c r="K319" t="str">
        <f t="shared" si="4"/>
        <v>mine241371</v>
      </c>
      <c r="M319" t="s">
        <v>73</v>
      </c>
      <c r="N319" t="s">
        <v>2004</v>
      </c>
      <c r="Q319" t="s">
        <v>4037</v>
      </c>
      <c r="R319" t="s">
        <v>2833</v>
      </c>
      <c r="S319" t="s">
        <v>5363</v>
      </c>
      <c r="U319">
        <v>70</v>
      </c>
      <c r="V319">
        <v>2</v>
      </c>
      <c r="W319">
        <v>70</v>
      </c>
      <c r="X319">
        <v>24.1</v>
      </c>
      <c r="Y319">
        <v>37.1</v>
      </c>
    </row>
    <row r="320" spans="1:25" x14ac:dyDescent="0.25">
      <c r="A320" t="s">
        <v>5372</v>
      </c>
      <c r="B320">
        <v>319</v>
      </c>
      <c r="C320">
        <v>319</v>
      </c>
      <c r="D320" t="s">
        <v>13</v>
      </c>
      <c r="E320" t="s">
        <v>4875</v>
      </c>
      <c r="F320" t="s">
        <v>4036</v>
      </c>
      <c r="G320" t="s">
        <v>5373</v>
      </c>
      <c r="H320">
        <v>0</v>
      </c>
      <c r="I320">
        <v>618</v>
      </c>
      <c r="J320">
        <v>133</v>
      </c>
      <c r="K320" t="str">
        <f t="shared" si="4"/>
        <v>mine32877</v>
      </c>
      <c r="M320" t="s">
        <v>102</v>
      </c>
      <c r="N320" t="s">
        <v>2286</v>
      </c>
      <c r="Q320" t="s">
        <v>4037</v>
      </c>
      <c r="R320" t="s">
        <v>2834</v>
      </c>
      <c r="S320" t="s">
        <v>5374</v>
      </c>
      <c r="U320">
        <v>80</v>
      </c>
      <c r="V320">
        <v>1</v>
      </c>
      <c r="W320">
        <v>80</v>
      </c>
      <c r="X320">
        <v>32.799999999999997</v>
      </c>
      <c r="Y320">
        <v>7.7</v>
      </c>
    </row>
    <row r="321" spans="1:25" x14ac:dyDescent="0.25">
      <c r="A321" t="s">
        <v>5375</v>
      </c>
      <c r="B321">
        <v>320</v>
      </c>
      <c r="C321">
        <v>320</v>
      </c>
      <c r="D321" t="s">
        <v>13</v>
      </c>
      <c r="E321" t="s">
        <v>4875</v>
      </c>
      <c r="F321" t="s">
        <v>4036</v>
      </c>
      <c r="G321" t="s">
        <v>5376</v>
      </c>
      <c r="H321">
        <v>0</v>
      </c>
      <c r="I321">
        <v>574</v>
      </c>
      <c r="J321">
        <v>380</v>
      </c>
      <c r="K321" t="str">
        <f t="shared" si="4"/>
        <v>mine305206</v>
      </c>
      <c r="M321" t="s">
        <v>102</v>
      </c>
      <c r="N321" t="s">
        <v>2215</v>
      </c>
      <c r="Q321" t="s">
        <v>4037</v>
      </c>
      <c r="R321" t="s">
        <v>2831</v>
      </c>
      <c r="S321" t="s">
        <v>5374</v>
      </c>
      <c r="U321">
        <v>80</v>
      </c>
      <c r="V321">
        <v>1</v>
      </c>
      <c r="W321">
        <v>80</v>
      </c>
      <c r="X321">
        <v>30.5</v>
      </c>
      <c r="Y321">
        <v>20.6</v>
      </c>
    </row>
    <row r="322" spans="1:25" x14ac:dyDescent="0.25">
      <c r="A322" t="s">
        <v>5377</v>
      </c>
      <c r="B322">
        <v>321</v>
      </c>
      <c r="C322">
        <v>321</v>
      </c>
      <c r="D322" t="s">
        <v>13</v>
      </c>
      <c r="E322" t="s">
        <v>4875</v>
      </c>
      <c r="F322" t="s">
        <v>4036</v>
      </c>
      <c r="G322" t="s">
        <v>5378</v>
      </c>
      <c r="H322">
        <v>0</v>
      </c>
      <c r="I322">
        <v>574</v>
      </c>
      <c r="J322">
        <v>380</v>
      </c>
      <c r="K322" t="str">
        <f t="shared" ref="K322:K385" si="5">LEFT(A322,4)&amp;SUBSTITUTE(X322,".","")&amp;SUBSTITUTE(Y322,".","")</f>
        <v>mine305206</v>
      </c>
      <c r="M322" t="s">
        <v>102</v>
      </c>
      <c r="N322" t="s">
        <v>2215</v>
      </c>
      <c r="Q322" t="s">
        <v>4037</v>
      </c>
      <c r="R322" t="s">
        <v>2831</v>
      </c>
      <c r="S322" t="s">
        <v>5374</v>
      </c>
      <c r="U322">
        <v>80</v>
      </c>
      <c r="V322">
        <v>1</v>
      </c>
      <c r="W322">
        <v>80</v>
      </c>
      <c r="X322">
        <v>30.5</v>
      </c>
      <c r="Y322">
        <v>20.6</v>
      </c>
    </row>
    <row r="323" spans="1:25" x14ac:dyDescent="0.25">
      <c r="A323" t="s">
        <v>5379</v>
      </c>
      <c r="B323">
        <v>322</v>
      </c>
      <c r="C323">
        <v>322</v>
      </c>
      <c r="D323" t="s">
        <v>13</v>
      </c>
      <c r="E323" t="s">
        <v>4875</v>
      </c>
      <c r="F323" t="s">
        <v>4036</v>
      </c>
      <c r="G323" t="s">
        <v>5380</v>
      </c>
      <c r="H323">
        <v>0</v>
      </c>
      <c r="I323">
        <v>74</v>
      </c>
      <c r="J323">
        <v>642</v>
      </c>
      <c r="K323" t="str">
        <f t="shared" si="5"/>
        <v>mine4734</v>
      </c>
      <c r="M323" t="s">
        <v>102</v>
      </c>
      <c r="N323" t="s">
        <v>2046</v>
      </c>
      <c r="Q323" t="s">
        <v>4037</v>
      </c>
      <c r="R323" t="s">
        <v>2830</v>
      </c>
      <c r="S323" t="s">
        <v>5374</v>
      </c>
      <c r="U323">
        <v>80</v>
      </c>
      <c r="V323">
        <v>2</v>
      </c>
      <c r="W323">
        <v>80</v>
      </c>
      <c r="X323">
        <v>4.7</v>
      </c>
      <c r="Y323">
        <v>34</v>
      </c>
    </row>
    <row r="324" spans="1:25" x14ac:dyDescent="0.25">
      <c r="A324" t="s">
        <v>5381</v>
      </c>
      <c r="B324">
        <v>323</v>
      </c>
      <c r="C324">
        <v>323</v>
      </c>
      <c r="D324" t="s">
        <v>13</v>
      </c>
      <c r="E324" t="s">
        <v>4875</v>
      </c>
      <c r="F324" t="s">
        <v>4036</v>
      </c>
      <c r="G324" t="s">
        <v>5382</v>
      </c>
      <c r="H324">
        <v>0</v>
      </c>
      <c r="I324">
        <v>74</v>
      </c>
      <c r="J324">
        <v>642</v>
      </c>
      <c r="K324" t="str">
        <f t="shared" si="5"/>
        <v>mine4734</v>
      </c>
      <c r="M324" t="s">
        <v>102</v>
      </c>
      <c r="N324" t="s">
        <v>2046</v>
      </c>
      <c r="Q324" t="s">
        <v>4037</v>
      </c>
      <c r="R324" t="s">
        <v>2830</v>
      </c>
      <c r="S324" t="s">
        <v>5374</v>
      </c>
      <c r="U324">
        <v>80</v>
      </c>
      <c r="V324">
        <v>2</v>
      </c>
      <c r="W324">
        <v>80</v>
      </c>
      <c r="X324">
        <v>4.7</v>
      </c>
      <c r="Y324">
        <v>34</v>
      </c>
    </row>
    <row r="325" spans="1:25" x14ac:dyDescent="0.25">
      <c r="A325" t="s">
        <v>5383</v>
      </c>
      <c r="B325">
        <v>324</v>
      </c>
      <c r="C325">
        <v>324</v>
      </c>
      <c r="D325" t="s">
        <v>13</v>
      </c>
      <c r="E325" t="s">
        <v>4875</v>
      </c>
      <c r="F325" t="s">
        <v>4036</v>
      </c>
      <c r="G325" t="s">
        <v>5384</v>
      </c>
      <c r="H325">
        <v>0</v>
      </c>
      <c r="I325">
        <v>125</v>
      </c>
      <c r="J325">
        <v>572</v>
      </c>
      <c r="K325" t="str">
        <f t="shared" si="5"/>
        <v>mine75302</v>
      </c>
      <c r="M325" t="s">
        <v>102</v>
      </c>
      <c r="N325" t="s">
        <v>2244</v>
      </c>
      <c r="Q325" t="s">
        <v>4037</v>
      </c>
      <c r="R325" t="s">
        <v>2833</v>
      </c>
      <c r="S325" t="s">
        <v>5374</v>
      </c>
      <c r="U325">
        <v>80</v>
      </c>
      <c r="V325">
        <v>3</v>
      </c>
      <c r="W325">
        <v>80</v>
      </c>
      <c r="X325">
        <v>7.5</v>
      </c>
      <c r="Y325">
        <v>30.2</v>
      </c>
    </row>
    <row r="326" spans="1:25" x14ac:dyDescent="0.25">
      <c r="A326" t="s">
        <v>5385</v>
      </c>
      <c r="B326">
        <v>325</v>
      </c>
      <c r="C326">
        <v>325</v>
      </c>
      <c r="D326" t="s">
        <v>13</v>
      </c>
      <c r="E326" t="s">
        <v>4875</v>
      </c>
      <c r="F326" t="s">
        <v>4036</v>
      </c>
      <c r="G326" t="s">
        <v>5386</v>
      </c>
      <c r="H326">
        <v>0</v>
      </c>
      <c r="I326">
        <v>683</v>
      </c>
      <c r="J326">
        <v>219</v>
      </c>
      <c r="K326" t="str">
        <f t="shared" si="5"/>
        <v>mine361123</v>
      </c>
      <c r="M326" t="s">
        <v>102</v>
      </c>
      <c r="N326" t="s">
        <v>2094</v>
      </c>
      <c r="Q326" t="s">
        <v>4037</v>
      </c>
      <c r="R326" t="s">
        <v>2831</v>
      </c>
      <c r="S326" t="s">
        <v>5374</v>
      </c>
      <c r="U326">
        <v>80</v>
      </c>
      <c r="V326">
        <v>3</v>
      </c>
      <c r="W326">
        <v>80</v>
      </c>
      <c r="X326">
        <v>36.1</v>
      </c>
      <c r="Y326">
        <v>12.3</v>
      </c>
    </row>
    <row r="327" spans="1:25" x14ac:dyDescent="0.25">
      <c r="A327" t="s">
        <v>5387</v>
      </c>
      <c r="B327">
        <v>326</v>
      </c>
      <c r="C327">
        <v>326</v>
      </c>
      <c r="D327" t="s">
        <v>13</v>
      </c>
      <c r="E327" t="s">
        <v>4875</v>
      </c>
      <c r="F327" t="s">
        <v>4036</v>
      </c>
      <c r="G327" t="s">
        <v>5388</v>
      </c>
      <c r="H327">
        <v>0</v>
      </c>
      <c r="I327">
        <v>606</v>
      </c>
      <c r="J327">
        <v>661</v>
      </c>
      <c r="K327" t="str">
        <f t="shared" si="5"/>
        <v>mine321348</v>
      </c>
      <c r="M327" t="s">
        <v>133</v>
      </c>
      <c r="N327" t="s">
        <v>2416</v>
      </c>
      <c r="Q327" t="s">
        <v>4037</v>
      </c>
      <c r="R327" t="s">
        <v>2829</v>
      </c>
      <c r="S327" t="s">
        <v>5389</v>
      </c>
      <c r="T327">
        <v>2990</v>
      </c>
      <c r="U327">
        <v>90</v>
      </c>
      <c r="V327">
        <v>0</v>
      </c>
      <c r="W327">
        <v>90</v>
      </c>
      <c r="X327">
        <v>32.1</v>
      </c>
      <c r="Y327">
        <v>34.799999999999997</v>
      </c>
    </row>
    <row r="328" spans="1:25" x14ac:dyDescent="0.25">
      <c r="A328" t="s">
        <v>5390</v>
      </c>
      <c r="B328">
        <v>327</v>
      </c>
      <c r="C328">
        <v>327</v>
      </c>
      <c r="D328" t="s">
        <v>13</v>
      </c>
      <c r="E328" t="s">
        <v>4875</v>
      </c>
      <c r="F328" t="s">
        <v>4036</v>
      </c>
      <c r="G328" t="s">
        <v>5391</v>
      </c>
      <c r="H328">
        <v>0</v>
      </c>
      <c r="I328">
        <v>606</v>
      </c>
      <c r="J328">
        <v>661</v>
      </c>
      <c r="K328" t="str">
        <f t="shared" si="5"/>
        <v>mine321348</v>
      </c>
      <c r="M328" t="s">
        <v>133</v>
      </c>
      <c r="N328" t="s">
        <v>2416</v>
      </c>
      <c r="Q328" t="s">
        <v>4037</v>
      </c>
      <c r="R328" t="s">
        <v>2829</v>
      </c>
      <c r="S328" t="s">
        <v>5389</v>
      </c>
      <c r="T328">
        <v>3230</v>
      </c>
      <c r="U328">
        <v>90</v>
      </c>
      <c r="V328">
        <v>1</v>
      </c>
      <c r="W328">
        <v>90</v>
      </c>
      <c r="X328">
        <v>32.1</v>
      </c>
      <c r="Y328">
        <v>34.799999999999997</v>
      </c>
    </row>
    <row r="329" spans="1:25" x14ac:dyDescent="0.25">
      <c r="A329" t="s">
        <v>5392</v>
      </c>
      <c r="B329">
        <v>328</v>
      </c>
      <c r="C329">
        <v>328</v>
      </c>
      <c r="D329" t="s">
        <v>13</v>
      </c>
      <c r="E329" t="s">
        <v>4875</v>
      </c>
      <c r="F329" t="s">
        <v>4036</v>
      </c>
      <c r="G329" t="s">
        <v>5393</v>
      </c>
      <c r="H329">
        <v>0</v>
      </c>
      <c r="I329">
        <v>606</v>
      </c>
      <c r="J329">
        <v>661</v>
      </c>
      <c r="K329" t="str">
        <f t="shared" si="5"/>
        <v>mine321348</v>
      </c>
      <c r="M329" t="s">
        <v>133</v>
      </c>
      <c r="N329" t="s">
        <v>2416</v>
      </c>
      <c r="Q329" t="s">
        <v>4037</v>
      </c>
      <c r="R329" t="s">
        <v>2829</v>
      </c>
      <c r="S329" t="s">
        <v>5389</v>
      </c>
      <c r="T329">
        <v>3700</v>
      </c>
      <c r="U329">
        <v>90</v>
      </c>
      <c r="V329">
        <v>1</v>
      </c>
      <c r="W329">
        <v>90</v>
      </c>
      <c r="X329">
        <v>32.1</v>
      </c>
      <c r="Y329">
        <v>34.799999999999997</v>
      </c>
    </row>
    <row r="330" spans="1:25" x14ac:dyDescent="0.25">
      <c r="A330" t="s">
        <v>5394</v>
      </c>
      <c r="B330">
        <v>329</v>
      </c>
      <c r="C330">
        <v>329</v>
      </c>
      <c r="D330" t="s">
        <v>13</v>
      </c>
      <c r="E330" t="s">
        <v>4875</v>
      </c>
      <c r="F330" t="s">
        <v>4036</v>
      </c>
      <c r="G330" t="s">
        <v>163</v>
      </c>
      <c r="H330">
        <v>0</v>
      </c>
      <c r="I330">
        <v>606</v>
      </c>
      <c r="J330">
        <v>661</v>
      </c>
      <c r="K330" t="str">
        <f t="shared" si="5"/>
        <v>mine321348</v>
      </c>
      <c r="L330" t="s">
        <v>3859</v>
      </c>
      <c r="M330" t="s">
        <v>133</v>
      </c>
      <c r="N330" t="s">
        <v>2416</v>
      </c>
      <c r="O330" t="s">
        <v>3886</v>
      </c>
      <c r="Q330" t="s">
        <v>4037</v>
      </c>
      <c r="R330" t="s">
        <v>2829</v>
      </c>
      <c r="S330" t="s">
        <v>5389</v>
      </c>
      <c r="T330">
        <v>3700</v>
      </c>
      <c r="U330">
        <v>90</v>
      </c>
      <c r="V330">
        <v>2</v>
      </c>
      <c r="W330">
        <v>90</v>
      </c>
      <c r="X330">
        <v>32.1</v>
      </c>
      <c r="Y330">
        <v>34.799999999999997</v>
      </c>
    </row>
    <row r="331" spans="1:25" x14ac:dyDescent="0.25">
      <c r="A331" t="s">
        <v>5395</v>
      </c>
      <c r="B331">
        <v>330</v>
      </c>
      <c r="C331">
        <v>330</v>
      </c>
      <c r="D331" t="s">
        <v>13</v>
      </c>
      <c r="E331" t="s">
        <v>4875</v>
      </c>
      <c r="F331" t="s">
        <v>4036</v>
      </c>
      <c r="G331" t="s">
        <v>199</v>
      </c>
      <c r="H331">
        <v>0</v>
      </c>
      <c r="I331">
        <v>606</v>
      </c>
      <c r="J331">
        <v>661</v>
      </c>
      <c r="K331" t="str">
        <f t="shared" si="5"/>
        <v>mine321348</v>
      </c>
      <c r="L331" t="s">
        <v>3859</v>
      </c>
      <c r="M331" t="s">
        <v>133</v>
      </c>
      <c r="N331" t="s">
        <v>2416</v>
      </c>
      <c r="O331" t="s">
        <v>3886</v>
      </c>
      <c r="Q331" t="s">
        <v>4037</v>
      </c>
      <c r="R331" t="s">
        <v>2829</v>
      </c>
      <c r="S331" t="s">
        <v>5389</v>
      </c>
      <c r="T331">
        <v>3700</v>
      </c>
      <c r="U331">
        <v>90</v>
      </c>
      <c r="V331">
        <v>2</v>
      </c>
      <c r="W331">
        <v>90</v>
      </c>
      <c r="X331">
        <v>32.1</v>
      </c>
      <c r="Y331">
        <v>34.799999999999997</v>
      </c>
    </row>
    <row r="332" spans="1:25" x14ac:dyDescent="0.25">
      <c r="A332" t="s">
        <v>5396</v>
      </c>
      <c r="B332">
        <v>331</v>
      </c>
      <c r="C332">
        <v>331</v>
      </c>
      <c r="D332" t="s">
        <v>13</v>
      </c>
      <c r="E332" t="s">
        <v>4875</v>
      </c>
      <c r="F332" t="s">
        <v>4036</v>
      </c>
      <c r="G332" t="s">
        <v>5397</v>
      </c>
      <c r="H332">
        <v>0</v>
      </c>
      <c r="I332">
        <v>555</v>
      </c>
      <c r="J332">
        <v>415</v>
      </c>
      <c r="K332" t="str">
        <f t="shared" si="5"/>
        <v>mine296224</v>
      </c>
      <c r="M332" t="s">
        <v>133</v>
      </c>
      <c r="N332" t="s">
        <v>2460</v>
      </c>
      <c r="Q332" t="s">
        <v>4037</v>
      </c>
      <c r="R332" t="s">
        <v>2833</v>
      </c>
      <c r="S332" t="s">
        <v>5398</v>
      </c>
      <c r="T332">
        <v>3600</v>
      </c>
      <c r="U332">
        <v>90</v>
      </c>
      <c r="V332">
        <v>2</v>
      </c>
      <c r="W332">
        <v>90</v>
      </c>
      <c r="X332">
        <v>29.6</v>
      </c>
      <c r="Y332">
        <v>22.4</v>
      </c>
    </row>
    <row r="333" spans="1:25" x14ac:dyDescent="0.25">
      <c r="A333" t="s">
        <v>5399</v>
      </c>
      <c r="B333">
        <v>332</v>
      </c>
      <c r="C333">
        <v>332</v>
      </c>
      <c r="D333" t="s">
        <v>13</v>
      </c>
      <c r="E333" t="s">
        <v>4875</v>
      </c>
      <c r="F333" t="s">
        <v>4036</v>
      </c>
      <c r="G333" t="s">
        <v>172</v>
      </c>
      <c r="H333">
        <v>0</v>
      </c>
      <c r="I333">
        <v>555</v>
      </c>
      <c r="J333">
        <v>415</v>
      </c>
      <c r="K333" t="str">
        <f t="shared" si="5"/>
        <v>mine296224</v>
      </c>
      <c r="L333" t="s">
        <v>3859</v>
      </c>
      <c r="M333" t="s">
        <v>133</v>
      </c>
      <c r="N333" t="s">
        <v>2460</v>
      </c>
      <c r="O333" t="s">
        <v>3886</v>
      </c>
      <c r="Q333" t="s">
        <v>4037</v>
      </c>
      <c r="R333" t="s">
        <v>2833</v>
      </c>
      <c r="S333" t="s">
        <v>5398</v>
      </c>
      <c r="T333">
        <v>3850</v>
      </c>
      <c r="U333">
        <v>90</v>
      </c>
      <c r="V333">
        <v>3</v>
      </c>
      <c r="W333">
        <v>90</v>
      </c>
      <c r="X333">
        <v>29.6</v>
      </c>
      <c r="Y333">
        <v>22.4</v>
      </c>
    </row>
    <row r="334" spans="1:25" x14ac:dyDescent="0.25">
      <c r="A334" t="s">
        <v>5400</v>
      </c>
      <c r="B334">
        <v>333</v>
      </c>
      <c r="C334">
        <v>333</v>
      </c>
      <c r="D334" t="s">
        <v>13</v>
      </c>
      <c r="E334" t="s">
        <v>4875</v>
      </c>
      <c r="F334" t="s">
        <v>4036</v>
      </c>
      <c r="G334" t="s">
        <v>203</v>
      </c>
      <c r="H334">
        <v>0</v>
      </c>
      <c r="I334">
        <v>555</v>
      </c>
      <c r="J334">
        <v>415</v>
      </c>
      <c r="K334" t="str">
        <f t="shared" si="5"/>
        <v>mine296224</v>
      </c>
      <c r="L334" t="s">
        <v>3859</v>
      </c>
      <c r="M334" t="s">
        <v>133</v>
      </c>
      <c r="N334" t="s">
        <v>2460</v>
      </c>
      <c r="O334" t="s">
        <v>3886</v>
      </c>
      <c r="Q334" t="s">
        <v>4037</v>
      </c>
      <c r="R334" t="s">
        <v>2833</v>
      </c>
      <c r="S334" t="s">
        <v>5398</v>
      </c>
      <c r="T334">
        <v>3850</v>
      </c>
      <c r="U334">
        <v>90</v>
      </c>
      <c r="V334">
        <v>3</v>
      </c>
      <c r="W334">
        <v>90</v>
      </c>
      <c r="X334">
        <v>29.6</v>
      </c>
      <c r="Y334">
        <v>22.4</v>
      </c>
    </row>
    <row r="335" spans="1:25" x14ac:dyDescent="0.25">
      <c r="A335" t="s">
        <v>5401</v>
      </c>
      <c r="B335">
        <v>334</v>
      </c>
      <c r="C335">
        <v>334</v>
      </c>
      <c r="D335" t="s">
        <v>13</v>
      </c>
      <c r="E335" t="s">
        <v>4875</v>
      </c>
      <c r="F335" t="s">
        <v>4036</v>
      </c>
      <c r="G335" t="s">
        <v>5402</v>
      </c>
      <c r="H335">
        <v>0</v>
      </c>
      <c r="I335">
        <v>314</v>
      </c>
      <c r="J335">
        <v>549</v>
      </c>
      <c r="K335" t="str">
        <f t="shared" si="5"/>
        <v>mine169293</v>
      </c>
      <c r="M335" t="s">
        <v>133</v>
      </c>
      <c r="N335" t="s">
        <v>2482</v>
      </c>
      <c r="Q335" t="s">
        <v>4037</v>
      </c>
      <c r="R335" t="s">
        <v>2831</v>
      </c>
      <c r="S335" t="s">
        <v>5398</v>
      </c>
      <c r="T335">
        <v>3850</v>
      </c>
      <c r="U335">
        <v>90</v>
      </c>
      <c r="V335">
        <v>3</v>
      </c>
      <c r="W335">
        <v>90</v>
      </c>
      <c r="X335">
        <v>16.899999999999999</v>
      </c>
      <c r="Y335">
        <v>29.3</v>
      </c>
    </row>
    <row r="336" spans="1:25" x14ac:dyDescent="0.25">
      <c r="A336" t="s">
        <v>5403</v>
      </c>
      <c r="B336">
        <v>335</v>
      </c>
      <c r="C336">
        <v>335</v>
      </c>
      <c r="D336" t="s">
        <v>13</v>
      </c>
      <c r="E336" t="s">
        <v>4875</v>
      </c>
      <c r="F336" t="s">
        <v>4036</v>
      </c>
      <c r="G336" t="s">
        <v>190</v>
      </c>
      <c r="H336">
        <v>0</v>
      </c>
      <c r="I336">
        <v>314</v>
      </c>
      <c r="J336">
        <v>549</v>
      </c>
      <c r="K336" t="str">
        <f t="shared" si="5"/>
        <v>mine169293</v>
      </c>
      <c r="L336" t="s">
        <v>3859</v>
      </c>
      <c r="M336" t="s">
        <v>133</v>
      </c>
      <c r="N336" t="s">
        <v>2482</v>
      </c>
      <c r="O336" t="s">
        <v>3886</v>
      </c>
      <c r="Q336" t="s">
        <v>4037</v>
      </c>
      <c r="R336" t="s">
        <v>2831</v>
      </c>
      <c r="S336" t="s">
        <v>5398</v>
      </c>
      <c r="T336">
        <v>4000</v>
      </c>
      <c r="U336">
        <v>90</v>
      </c>
      <c r="V336">
        <v>4</v>
      </c>
      <c r="W336">
        <v>90</v>
      </c>
      <c r="X336">
        <v>16.899999999999999</v>
      </c>
      <c r="Y336">
        <v>29.3</v>
      </c>
    </row>
    <row r="337" spans="1:25" x14ac:dyDescent="0.25">
      <c r="A337" t="s">
        <v>5404</v>
      </c>
      <c r="B337">
        <v>336</v>
      </c>
      <c r="C337">
        <v>336</v>
      </c>
      <c r="D337" t="s">
        <v>13</v>
      </c>
      <c r="E337" t="s">
        <v>4875</v>
      </c>
      <c r="F337" t="s">
        <v>4036</v>
      </c>
      <c r="G337" t="s">
        <v>211</v>
      </c>
      <c r="H337">
        <v>0</v>
      </c>
      <c r="I337">
        <v>314</v>
      </c>
      <c r="J337">
        <v>549</v>
      </c>
      <c r="K337" t="str">
        <f t="shared" si="5"/>
        <v>mine169293</v>
      </c>
      <c r="L337" t="s">
        <v>3859</v>
      </c>
      <c r="M337" t="s">
        <v>133</v>
      </c>
      <c r="N337" t="s">
        <v>2482</v>
      </c>
      <c r="O337" t="s">
        <v>3886</v>
      </c>
      <c r="Q337" t="s">
        <v>4037</v>
      </c>
      <c r="R337" t="s">
        <v>2831</v>
      </c>
      <c r="S337" t="s">
        <v>5398</v>
      </c>
      <c r="T337">
        <v>4000</v>
      </c>
      <c r="U337">
        <v>90</v>
      </c>
      <c r="V337">
        <v>4</v>
      </c>
      <c r="W337">
        <v>90</v>
      </c>
      <c r="X337">
        <v>16.899999999999999</v>
      </c>
      <c r="Y337">
        <v>29.3</v>
      </c>
    </row>
    <row r="338" spans="1:25" x14ac:dyDescent="0.25">
      <c r="A338" t="s">
        <v>5405</v>
      </c>
      <c r="B338">
        <v>337</v>
      </c>
      <c r="C338">
        <v>337</v>
      </c>
      <c r="D338" t="s">
        <v>13</v>
      </c>
      <c r="E338" t="s">
        <v>4875</v>
      </c>
      <c r="F338" t="s">
        <v>4036</v>
      </c>
      <c r="G338" t="s">
        <v>5406</v>
      </c>
      <c r="H338">
        <v>0</v>
      </c>
      <c r="I338">
        <v>569</v>
      </c>
      <c r="J338">
        <v>341</v>
      </c>
      <c r="K338" t="str">
        <f t="shared" si="5"/>
        <v>mine302182</v>
      </c>
      <c r="M338" t="s">
        <v>133</v>
      </c>
      <c r="N338" t="s">
        <v>2538</v>
      </c>
      <c r="Q338" t="s">
        <v>4037</v>
      </c>
      <c r="R338" t="s">
        <v>2833</v>
      </c>
      <c r="S338" t="s">
        <v>5407</v>
      </c>
      <c r="T338">
        <v>3850</v>
      </c>
      <c r="U338">
        <v>90</v>
      </c>
      <c r="V338">
        <v>3</v>
      </c>
      <c r="W338">
        <v>90</v>
      </c>
      <c r="X338">
        <v>30.2</v>
      </c>
      <c r="Y338">
        <v>18.2</v>
      </c>
    </row>
    <row r="339" spans="1:25" x14ac:dyDescent="0.25">
      <c r="A339" t="s">
        <v>10589</v>
      </c>
      <c r="B339">
        <v>338</v>
      </c>
      <c r="C339">
        <v>338</v>
      </c>
      <c r="D339" t="s">
        <v>13</v>
      </c>
      <c r="E339" t="s">
        <v>4875</v>
      </c>
      <c r="F339" t="s">
        <v>4036</v>
      </c>
      <c r="G339" t="s">
        <v>10584</v>
      </c>
      <c r="H339">
        <v>0</v>
      </c>
      <c r="I339">
        <v>320</v>
      </c>
      <c r="J339">
        <v>699</v>
      </c>
      <c r="K339" t="str">
        <f t="shared" si="5"/>
        <v>mine177367</v>
      </c>
      <c r="M339" t="s">
        <v>215</v>
      </c>
      <c r="N339" s="1" t="s">
        <v>2697</v>
      </c>
      <c r="Q339" t="s">
        <v>4037</v>
      </c>
      <c r="R339" t="s">
        <v>2834</v>
      </c>
      <c r="S339" t="s">
        <v>10585</v>
      </c>
      <c r="T339">
        <v>4740</v>
      </c>
      <c r="U339">
        <v>100</v>
      </c>
      <c r="V339">
        <v>2</v>
      </c>
      <c r="W339">
        <v>100</v>
      </c>
      <c r="X339">
        <v>17.7</v>
      </c>
      <c r="Y339">
        <v>36.700000000000003</v>
      </c>
    </row>
    <row r="340" spans="1:25" x14ac:dyDescent="0.25">
      <c r="A340" t="s">
        <v>10590</v>
      </c>
      <c r="B340">
        <v>339</v>
      </c>
      <c r="C340">
        <v>339</v>
      </c>
      <c r="D340" t="s">
        <v>13</v>
      </c>
      <c r="E340" t="s">
        <v>4875</v>
      </c>
      <c r="F340" t="s">
        <v>4036</v>
      </c>
      <c r="G340" t="s">
        <v>10586</v>
      </c>
      <c r="H340">
        <v>0</v>
      </c>
      <c r="I340">
        <v>697</v>
      </c>
      <c r="J340">
        <v>529</v>
      </c>
      <c r="K340" t="str">
        <f t="shared" si="5"/>
        <v>mine36728</v>
      </c>
      <c r="M340" t="s">
        <v>215</v>
      </c>
      <c r="N340" s="1" t="s">
        <v>4274</v>
      </c>
      <c r="Q340" t="s">
        <v>4037</v>
      </c>
      <c r="R340" t="s">
        <v>2834</v>
      </c>
      <c r="S340" t="s">
        <v>10593</v>
      </c>
      <c r="T340">
        <v>4480</v>
      </c>
      <c r="U340">
        <v>100</v>
      </c>
      <c r="V340">
        <v>1</v>
      </c>
      <c r="W340">
        <v>100</v>
      </c>
      <c r="X340">
        <v>36.700000000000003</v>
      </c>
      <c r="Y340">
        <v>28</v>
      </c>
    </row>
    <row r="341" spans="1:25" x14ac:dyDescent="0.25">
      <c r="A341" t="s">
        <v>10591</v>
      </c>
      <c r="B341">
        <v>340</v>
      </c>
      <c r="C341">
        <v>340</v>
      </c>
      <c r="D341" t="s">
        <v>13</v>
      </c>
      <c r="E341" t="s">
        <v>4875</v>
      </c>
      <c r="F341" t="s">
        <v>4036</v>
      </c>
      <c r="G341" t="s">
        <v>10587</v>
      </c>
      <c r="H341">
        <v>0</v>
      </c>
      <c r="I341">
        <v>160</v>
      </c>
      <c r="J341">
        <v>277</v>
      </c>
      <c r="K341" t="str">
        <f t="shared" si="5"/>
        <v>mine93152</v>
      </c>
      <c r="M341" t="s">
        <v>215</v>
      </c>
      <c r="N341" s="1" t="s">
        <v>2792</v>
      </c>
      <c r="Q341" t="s">
        <v>4037</v>
      </c>
      <c r="R341" t="s">
        <v>2832</v>
      </c>
      <c r="S341" t="s">
        <v>10594</v>
      </c>
      <c r="T341">
        <v>4480</v>
      </c>
      <c r="U341">
        <v>100</v>
      </c>
      <c r="V341">
        <v>1</v>
      </c>
      <c r="W341">
        <v>100</v>
      </c>
      <c r="X341">
        <v>9.3000000000000007</v>
      </c>
      <c r="Y341">
        <v>15.2</v>
      </c>
    </row>
    <row r="342" spans="1:25" x14ac:dyDescent="0.25">
      <c r="A342" t="s">
        <v>10592</v>
      </c>
      <c r="B342">
        <v>341</v>
      </c>
      <c r="C342">
        <v>341</v>
      </c>
      <c r="D342" t="s">
        <v>13</v>
      </c>
      <c r="E342" t="s">
        <v>4875</v>
      </c>
      <c r="F342" t="s">
        <v>4036</v>
      </c>
      <c r="G342" t="s">
        <v>10588</v>
      </c>
      <c r="H342">
        <v>0</v>
      </c>
      <c r="I342">
        <v>160</v>
      </c>
      <c r="J342">
        <v>277</v>
      </c>
      <c r="K342" t="str">
        <f t="shared" si="5"/>
        <v>mine93152</v>
      </c>
      <c r="M342" t="s">
        <v>215</v>
      </c>
      <c r="N342" s="1" t="s">
        <v>2792</v>
      </c>
      <c r="Q342" t="s">
        <v>4037</v>
      </c>
      <c r="R342" t="s">
        <v>2832</v>
      </c>
      <c r="S342" t="s">
        <v>10594</v>
      </c>
      <c r="T342">
        <v>4540</v>
      </c>
      <c r="U342">
        <v>100</v>
      </c>
      <c r="V342">
        <v>1</v>
      </c>
      <c r="W342">
        <v>100</v>
      </c>
      <c r="X342">
        <v>9.3000000000000007</v>
      </c>
      <c r="Y342">
        <v>15.2</v>
      </c>
    </row>
    <row r="343" spans="1:25" x14ac:dyDescent="0.25">
      <c r="A343" t="s">
        <v>5408</v>
      </c>
      <c r="B343">
        <v>338</v>
      </c>
      <c r="C343">
        <v>1</v>
      </c>
      <c r="D343" t="s">
        <v>13</v>
      </c>
      <c r="E343" t="s">
        <v>5409</v>
      </c>
      <c r="F343" t="s">
        <v>3559</v>
      </c>
      <c r="G343" t="s">
        <v>3562</v>
      </c>
      <c r="H343">
        <v>1</v>
      </c>
      <c r="I343">
        <v>281</v>
      </c>
      <c r="J343">
        <v>171</v>
      </c>
      <c r="K343" t="str">
        <f t="shared" si="5"/>
        <v>quar15699</v>
      </c>
      <c r="M343" t="s">
        <v>1067</v>
      </c>
      <c r="N343" t="s">
        <v>1105</v>
      </c>
      <c r="Q343" t="s">
        <v>11083</v>
      </c>
      <c r="U343">
        <v>1</v>
      </c>
      <c r="V343">
        <v>0</v>
      </c>
      <c r="W343">
        <v>20</v>
      </c>
      <c r="X343">
        <v>15.6</v>
      </c>
      <c r="Y343">
        <v>9.9</v>
      </c>
    </row>
    <row r="344" spans="1:25" x14ac:dyDescent="0.25">
      <c r="A344" t="s">
        <v>5410</v>
      </c>
      <c r="B344">
        <v>339</v>
      </c>
      <c r="C344">
        <v>2</v>
      </c>
      <c r="D344" t="s">
        <v>13</v>
      </c>
      <c r="E344" t="s">
        <v>5409</v>
      </c>
      <c r="F344" t="s">
        <v>3559</v>
      </c>
      <c r="G344" t="s">
        <v>3562</v>
      </c>
      <c r="H344">
        <v>1</v>
      </c>
      <c r="I344">
        <v>454</v>
      </c>
      <c r="J344">
        <v>367</v>
      </c>
      <c r="K344" t="str">
        <f t="shared" si="5"/>
        <v>quar243195</v>
      </c>
      <c r="M344" t="s">
        <v>1067</v>
      </c>
      <c r="N344" t="s">
        <v>1435</v>
      </c>
      <c r="Q344" t="s">
        <v>11083</v>
      </c>
      <c r="U344">
        <v>1</v>
      </c>
      <c r="V344">
        <v>0</v>
      </c>
      <c r="W344">
        <v>30</v>
      </c>
      <c r="X344">
        <v>24.3</v>
      </c>
      <c r="Y344">
        <v>19.5</v>
      </c>
    </row>
    <row r="345" spans="1:25" x14ac:dyDescent="0.25">
      <c r="A345" t="s">
        <v>5411</v>
      </c>
      <c r="B345">
        <v>340</v>
      </c>
      <c r="C345">
        <v>3</v>
      </c>
      <c r="D345" t="s">
        <v>13</v>
      </c>
      <c r="E345" t="s">
        <v>5409</v>
      </c>
      <c r="F345" t="s">
        <v>3559</v>
      </c>
      <c r="G345" t="s">
        <v>3565</v>
      </c>
      <c r="H345">
        <v>1</v>
      </c>
      <c r="I345">
        <v>494</v>
      </c>
      <c r="J345">
        <v>455</v>
      </c>
      <c r="K345" t="str">
        <f t="shared" si="5"/>
        <v>quar264242</v>
      </c>
      <c r="M345" t="s">
        <v>1067</v>
      </c>
      <c r="N345" t="s">
        <v>1168</v>
      </c>
      <c r="Q345" t="s">
        <v>11083</v>
      </c>
      <c r="U345">
        <v>1</v>
      </c>
      <c r="V345">
        <v>0</v>
      </c>
      <c r="W345">
        <v>20</v>
      </c>
      <c r="X345">
        <v>26.4</v>
      </c>
      <c r="Y345">
        <v>24.2</v>
      </c>
    </row>
    <row r="346" spans="1:25" x14ac:dyDescent="0.25">
      <c r="A346" t="s">
        <v>5412</v>
      </c>
      <c r="B346">
        <v>341</v>
      </c>
      <c r="C346">
        <v>4</v>
      </c>
      <c r="D346" t="s">
        <v>13</v>
      </c>
      <c r="E346" t="s">
        <v>5409</v>
      </c>
      <c r="F346" t="s">
        <v>3559</v>
      </c>
      <c r="G346" t="s">
        <v>3565</v>
      </c>
      <c r="H346">
        <v>1</v>
      </c>
      <c r="I346">
        <v>596</v>
      </c>
      <c r="J346">
        <v>533</v>
      </c>
      <c r="K346" t="str">
        <f t="shared" si="5"/>
        <v>quar315283</v>
      </c>
      <c r="M346" t="s">
        <v>1067</v>
      </c>
      <c r="N346" t="s">
        <v>1163</v>
      </c>
      <c r="Q346" t="s">
        <v>11083</v>
      </c>
      <c r="U346">
        <v>1</v>
      </c>
      <c r="V346">
        <v>0</v>
      </c>
      <c r="W346">
        <v>30</v>
      </c>
      <c r="X346">
        <v>31.5</v>
      </c>
      <c r="Y346">
        <v>28.3</v>
      </c>
    </row>
    <row r="347" spans="1:25" x14ac:dyDescent="0.25">
      <c r="A347" t="s">
        <v>5413</v>
      </c>
      <c r="B347">
        <v>342</v>
      </c>
      <c r="C347">
        <v>5</v>
      </c>
      <c r="D347" t="s">
        <v>13</v>
      </c>
      <c r="E347" t="s">
        <v>5409</v>
      </c>
      <c r="F347" t="s">
        <v>3559</v>
      </c>
      <c r="G347" t="s">
        <v>3565</v>
      </c>
      <c r="H347">
        <v>1</v>
      </c>
      <c r="I347">
        <v>670</v>
      </c>
      <c r="J347">
        <v>554</v>
      </c>
      <c r="K347" t="str">
        <f t="shared" si="5"/>
        <v>quar355295</v>
      </c>
      <c r="M347" t="s">
        <v>1067</v>
      </c>
      <c r="N347" t="s">
        <v>1163</v>
      </c>
      <c r="Q347" t="s">
        <v>11083</v>
      </c>
      <c r="U347">
        <v>1</v>
      </c>
      <c r="V347">
        <v>0</v>
      </c>
      <c r="W347">
        <v>50</v>
      </c>
      <c r="X347">
        <v>35.5</v>
      </c>
      <c r="Y347">
        <v>29.5</v>
      </c>
    </row>
    <row r="348" spans="1:25" x14ac:dyDescent="0.25">
      <c r="A348" t="s">
        <v>5414</v>
      </c>
      <c r="B348">
        <v>343</v>
      </c>
      <c r="C348">
        <v>6</v>
      </c>
      <c r="D348" t="s">
        <v>13</v>
      </c>
      <c r="E348" t="s">
        <v>5409</v>
      </c>
      <c r="F348" t="s">
        <v>3559</v>
      </c>
      <c r="G348" t="s">
        <v>3565</v>
      </c>
      <c r="H348">
        <v>1</v>
      </c>
      <c r="I348">
        <v>427</v>
      </c>
      <c r="J348">
        <v>404</v>
      </c>
      <c r="K348" t="str">
        <f t="shared" si="5"/>
        <v>quar229217</v>
      </c>
      <c r="M348" t="s">
        <v>1067</v>
      </c>
      <c r="N348" t="s">
        <v>1308</v>
      </c>
      <c r="Q348" t="s">
        <v>11083</v>
      </c>
      <c r="U348">
        <v>1</v>
      </c>
      <c r="V348">
        <v>0</v>
      </c>
      <c r="W348">
        <v>25</v>
      </c>
      <c r="X348">
        <v>22.9</v>
      </c>
      <c r="Y348">
        <v>21.7</v>
      </c>
    </row>
    <row r="349" spans="1:25" x14ac:dyDescent="0.25">
      <c r="A349" t="s">
        <v>5415</v>
      </c>
      <c r="B349">
        <v>344</v>
      </c>
      <c r="C349">
        <v>7</v>
      </c>
      <c r="D349" t="s">
        <v>13</v>
      </c>
      <c r="E349" t="s">
        <v>5409</v>
      </c>
      <c r="F349" t="s">
        <v>3559</v>
      </c>
      <c r="G349" t="s">
        <v>3574</v>
      </c>
      <c r="H349">
        <v>1</v>
      </c>
      <c r="I349">
        <v>383</v>
      </c>
      <c r="J349">
        <v>517</v>
      </c>
      <c r="K349" t="str">
        <f t="shared" si="5"/>
        <v>quar205274</v>
      </c>
      <c r="M349" t="s">
        <v>1067</v>
      </c>
      <c r="N349" t="s">
        <v>1284</v>
      </c>
      <c r="Q349" t="s">
        <v>11083</v>
      </c>
      <c r="U349">
        <v>1</v>
      </c>
      <c r="V349">
        <v>0</v>
      </c>
      <c r="W349">
        <v>30</v>
      </c>
      <c r="X349">
        <v>20.5</v>
      </c>
      <c r="Y349">
        <v>27.4</v>
      </c>
    </row>
    <row r="350" spans="1:25" x14ac:dyDescent="0.25">
      <c r="A350" t="s">
        <v>5416</v>
      </c>
      <c r="B350">
        <v>345</v>
      </c>
      <c r="C350">
        <v>8</v>
      </c>
      <c r="D350" t="s">
        <v>13</v>
      </c>
      <c r="E350" t="s">
        <v>5409</v>
      </c>
      <c r="F350" t="s">
        <v>3559</v>
      </c>
      <c r="G350" t="s">
        <v>3574</v>
      </c>
      <c r="H350">
        <v>1</v>
      </c>
      <c r="I350">
        <v>336</v>
      </c>
      <c r="J350">
        <v>462</v>
      </c>
      <c r="K350" t="str">
        <f t="shared" si="5"/>
        <v>quar181246</v>
      </c>
      <c r="M350" t="s">
        <v>1067</v>
      </c>
      <c r="N350" t="s">
        <v>1294</v>
      </c>
      <c r="Q350" t="s">
        <v>11083</v>
      </c>
      <c r="U350">
        <v>1</v>
      </c>
      <c r="V350">
        <v>0</v>
      </c>
      <c r="W350">
        <v>50</v>
      </c>
      <c r="X350">
        <v>18.100000000000001</v>
      </c>
      <c r="Y350">
        <v>24.6</v>
      </c>
    </row>
    <row r="351" spans="1:25" x14ac:dyDescent="0.25">
      <c r="A351" t="s">
        <v>5417</v>
      </c>
      <c r="B351">
        <v>346</v>
      </c>
      <c r="C351">
        <v>9</v>
      </c>
      <c r="D351" t="s">
        <v>13</v>
      </c>
      <c r="E351" t="s">
        <v>5409</v>
      </c>
      <c r="F351" t="s">
        <v>3559</v>
      </c>
      <c r="G351" t="s">
        <v>3574</v>
      </c>
      <c r="H351">
        <v>1</v>
      </c>
      <c r="I351">
        <v>404</v>
      </c>
      <c r="J351">
        <v>527</v>
      </c>
      <c r="K351" t="str">
        <f t="shared" si="5"/>
        <v>quar21628</v>
      </c>
      <c r="M351" t="s">
        <v>1067</v>
      </c>
      <c r="N351" t="s">
        <v>1477</v>
      </c>
      <c r="Q351" t="s">
        <v>11083</v>
      </c>
      <c r="U351">
        <v>1</v>
      </c>
      <c r="V351">
        <v>0</v>
      </c>
      <c r="W351">
        <v>40</v>
      </c>
      <c r="X351">
        <v>21.6</v>
      </c>
      <c r="Y351">
        <v>28</v>
      </c>
    </row>
    <row r="352" spans="1:25" x14ac:dyDescent="0.25">
      <c r="A352" t="s">
        <v>5418</v>
      </c>
      <c r="B352">
        <v>347</v>
      </c>
      <c r="C352">
        <v>10</v>
      </c>
      <c r="D352" t="s">
        <v>13</v>
      </c>
      <c r="E352" t="s">
        <v>5409</v>
      </c>
      <c r="F352" t="s">
        <v>3559</v>
      </c>
      <c r="G352" t="s">
        <v>3581</v>
      </c>
      <c r="H352">
        <v>1</v>
      </c>
      <c r="I352">
        <v>494</v>
      </c>
      <c r="J352">
        <v>283</v>
      </c>
      <c r="K352" t="str">
        <f t="shared" si="5"/>
        <v>quar264157</v>
      </c>
      <c r="M352" t="s">
        <v>1067</v>
      </c>
      <c r="N352" t="s">
        <v>1129</v>
      </c>
      <c r="Q352" t="s">
        <v>11083</v>
      </c>
      <c r="U352">
        <v>1</v>
      </c>
      <c r="V352">
        <v>0</v>
      </c>
      <c r="W352">
        <v>30</v>
      </c>
      <c r="X352">
        <v>26.4</v>
      </c>
      <c r="Y352">
        <v>15.7</v>
      </c>
    </row>
    <row r="353" spans="1:25" x14ac:dyDescent="0.25">
      <c r="A353" t="s">
        <v>5419</v>
      </c>
      <c r="B353">
        <v>348</v>
      </c>
      <c r="C353">
        <v>11</v>
      </c>
      <c r="D353" t="s">
        <v>13</v>
      </c>
      <c r="E353" t="s">
        <v>5409</v>
      </c>
      <c r="F353" t="s">
        <v>3559</v>
      </c>
      <c r="G353" t="s">
        <v>3581</v>
      </c>
      <c r="H353">
        <v>1</v>
      </c>
      <c r="I353">
        <v>408</v>
      </c>
      <c r="J353">
        <v>661</v>
      </c>
      <c r="K353" t="str">
        <f t="shared" si="5"/>
        <v>quar21735</v>
      </c>
      <c r="M353" t="s">
        <v>1067</v>
      </c>
      <c r="N353" t="s">
        <v>1134</v>
      </c>
      <c r="Q353" t="s">
        <v>11083</v>
      </c>
      <c r="U353">
        <v>1</v>
      </c>
      <c r="V353">
        <v>0</v>
      </c>
      <c r="W353">
        <v>50</v>
      </c>
      <c r="X353">
        <v>21.7</v>
      </c>
      <c r="Y353">
        <v>35</v>
      </c>
    </row>
    <row r="354" spans="1:25" x14ac:dyDescent="0.25">
      <c r="A354" t="s">
        <v>5420</v>
      </c>
      <c r="B354">
        <v>349</v>
      </c>
      <c r="C354">
        <v>12</v>
      </c>
      <c r="D354" t="s">
        <v>13</v>
      </c>
      <c r="E354" t="s">
        <v>5409</v>
      </c>
      <c r="F354" t="s">
        <v>3559</v>
      </c>
      <c r="G354" t="s">
        <v>3581</v>
      </c>
      <c r="H354">
        <v>1</v>
      </c>
      <c r="I354">
        <v>235</v>
      </c>
      <c r="J354">
        <v>436</v>
      </c>
      <c r="K354" t="str">
        <f t="shared" si="5"/>
        <v>quar13234</v>
      </c>
      <c r="M354" t="s">
        <v>1067</v>
      </c>
      <c r="N354" t="s">
        <v>1201</v>
      </c>
      <c r="Q354" t="s">
        <v>11083</v>
      </c>
      <c r="U354">
        <v>1</v>
      </c>
      <c r="V354">
        <v>0</v>
      </c>
      <c r="W354">
        <v>25</v>
      </c>
      <c r="X354">
        <v>13</v>
      </c>
      <c r="Y354">
        <v>23.4</v>
      </c>
    </row>
    <row r="355" spans="1:25" x14ac:dyDescent="0.25">
      <c r="A355" t="s">
        <v>5421</v>
      </c>
      <c r="B355">
        <v>350</v>
      </c>
      <c r="C355">
        <v>13</v>
      </c>
      <c r="D355" t="s">
        <v>13</v>
      </c>
      <c r="E355" t="s">
        <v>5409</v>
      </c>
      <c r="F355" t="s">
        <v>3559</v>
      </c>
      <c r="G355" t="s">
        <v>3581</v>
      </c>
      <c r="H355">
        <v>1</v>
      </c>
      <c r="I355">
        <v>230</v>
      </c>
      <c r="J355">
        <v>486</v>
      </c>
      <c r="K355" t="str">
        <f t="shared" si="5"/>
        <v>quar128259</v>
      </c>
      <c r="M355" t="s">
        <v>1067</v>
      </c>
      <c r="N355" t="s">
        <v>1201</v>
      </c>
      <c r="Q355" t="s">
        <v>11083</v>
      </c>
      <c r="U355">
        <v>1</v>
      </c>
      <c r="V355">
        <v>0</v>
      </c>
      <c r="W355">
        <v>30</v>
      </c>
      <c r="X355">
        <v>12.8</v>
      </c>
      <c r="Y355">
        <v>25.9</v>
      </c>
    </row>
    <row r="356" spans="1:25" x14ac:dyDescent="0.25">
      <c r="A356" t="s">
        <v>5422</v>
      </c>
      <c r="B356">
        <v>351</v>
      </c>
      <c r="C356">
        <v>14</v>
      </c>
      <c r="D356" t="s">
        <v>13</v>
      </c>
      <c r="E356" t="s">
        <v>5409</v>
      </c>
      <c r="F356" t="s">
        <v>3559</v>
      </c>
      <c r="G356" t="s">
        <v>3581</v>
      </c>
      <c r="H356">
        <v>1</v>
      </c>
      <c r="I356">
        <v>532</v>
      </c>
      <c r="J356">
        <v>415</v>
      </c>
      <c r="K356" t="str">
        <f t="shared" si="5"/>
        <v>quar284221</v>
      </c>
      <c r="M356" t="s">
        <v>1067</v>
      </c>
      <c r="N356" t="s">
        <v>1195</v>
      </c>
      <c r="Q356" t="s">
        <v>11083</v>
      </c>
      <c r="U356">
        <v>1</v>
      </c>
      <c r="V356">
        <v>0</v>
      </c>
      <c r="W356">
        <v>45</v>
      </c>
      <c r="X356">
        <v>28.4</v>
      </c>
      <c r="Y356">
        <v>22.1</v>
      </c>
    </row>
    <row r="357" spans="1:25" x14ac:dyDescent="0.25">
      <c r="A357" t="s">
        <v>5423</v>
      </c>
      <c r="B357">
        <v>352</v>
      </c>
      <c r="C357">
        <v>15</v>
      </c>
      <c r="D357" t="s">
        <v>13</v>
      </c>
      <c r="E357" t="s">
        <v>5409</v>
      </c>
      <c r="F357" t="s">
        <v>3559</v>
      </c>
      <c r="G357" t="s">
        <v>3588</v>
      </c>
      <c r="H357">
        <v>1</v>
      </c>
      <c r="I357">
        <v>262</v>
      </c>
      <c r="J357">
        <v>423</v>
      </c>
      <c r="K357" t="str">
        <f t="shared" si="5"/>
        <v>quar146226</v>
      </c>
      <c r="M357" t="s">
        <v>1067</v>
      </c>
      <c r="N357" t="s">
        <v>1421</v>
      </c>
      <c r="Q357" t="s">
        <v>11083</v>
      </c>
      <c r="U357">
        <v>1</v>
      </c>
      <c r="V357">
        <v>0</v>
      </c>
      <c r="W357">
        <v>15</v>
      </c>
      <c r="X357">
        <v>14.6</v>
      </c>
      <c r="Y357">
        <v>22.6</v>
      </c>
    </row>
    <row r="358" spans="1:25" x14ac:dyDescent="0.25">
      <c r="A358" t="s">
        <v>5424</v>
      </c>
      <c r="B358">
        <v>353</v>
      </c>
      <c r="C358">
        <v>16</v>
      </c>
      <c r="D358" t="s">
        <v>13</v>
      </c>
      <c r="E358" t="s">
        <v>5409</v>
      </c>
      <c r="F358" t="s">
        <v>3559</v>
      </c>
      <c r="G358" t="s">
        <v>3588</v>
      </c>
      <c r="H358">
        <v>1</v>
      </c>
      <c r="I358">
        <v>344</v>
      </c>
      <c r="J358">
        <v>202</v>
      </c>
      <c r="K358" t="str">
        <f t="shared" si="5"/>
        <v>quar188113</v>
      </c>
      <c r="M358" t="s">
        <v>1067</v>
      </c>
      <c r="N358" t="s">
        <v>1471</v>
      </c>
      <c r="Q358" t="s">
        <v>11083</v>
      </c>
      <c r="U358">
        <v>1</v>
      </c>
      <c r="V358">
        <v>0</v>
      </c>
      <c r="W358">
        <v>30</v>
      </c>
      <c r="X358">
        <v>18.8</v>
      </c>
      <c r="Y358">
        <v>11.3</v>
      </c>
    </row>
    <row r="359" spans="1:25" x14ac:dyDescent="0.25">
      <c r="A359" t="s">
        <v>5425</v>
      </c>
      <c r="B359">
        <v>354</v>
      </c>
      <c r="C359">
        <v>17</v>
      </c>
      <c r="D359" t="s">
        <v>13</v>
      </c>
      <c r="E359" t="s">
        <v>5409</v>
      </c>
      <c r="F359" t="s">
        <v>3559</v>
      </c>
      <c r="G359" t="s">
        <v>3588</v>
      </c>
      <c r="H359">
        <v>1</v>
      </c>
      <c r="I359">
        <v>416</v>
      </c>
      <c r="J359">
        <v>558</v>
      </c>
      <c r="K359" t="str">
        <f t="shared" si="5"/>
        <v>quar224294</v>
      </c>
      <c r="M359" t="s">
        <v>1067</v>
      </c>
      <c r="N359" t="s">
        <v>1454</v>
      </c>
      <c r="Q359" t="s">
        <v>11083</v>
      </c>
      <c r="U359">
        <v>1</v>
      </c>
      <c r="V359">
        <v>0</v>
      </c>
      <c r="W359">
        <v>30</v>
      </c>
      <c r="X359">
        <v>22.4</v>
      </c>
      <c r="Y359">
        <v>29.4</v>
      </c>
    </row>
    <row r="360" spans="1:25" x14ac:dyDescent="0.25">
      <c r="A360" t="s">
        <v>5426</v>
      </c>
      <c r="B360">
        <v>355</v>
      </c>
      <c r="C360">
        <v>18</v>
      </c>
      <c r="D360" t="s">
        <v>13</v>
      </c>
      <c r="E360" t="s">
        <v>5409</v>
      </c>
      <c r="F360" t="s">
        <v>3559</v>
      </c>
      <c r="G360" t="s">
        <v>3588</v>
      </c>
      <c r="H360">
        <v>1</v>
      </c>
      <c r="I360">
        <v>332</v>
      </c>
      <c r="J360">
        <v>340</v>
      </c>
      <c r="K360" t="str">
        <f t="shared" si="5"/>
        <v>quar182184</v>
      </c>
      <c r="M360" t="s">
        <v>1067</v>
      </c>
      <c r="N360" t="s">
        <v>1457</v>
      </c>
      <c r="Q360" t="s">
        <v>11083</v>
      </c>
      <c r="U360">
        <v>1</v>
      </c>
      <c r="V360">
        <v>0</v>
      </c>
      <c r="W360">
        <v>35</v>
      </c>
      <c r="X360">
        <v>18.2</v>
      </c>
      <c r="Y360">
        <v>18.399999999999999</v>
      </c>
    </row>
    <row r="361" spans="1:25" x14ac:dyDescent="0.25">
      <c r="A361" t="s">
        <v>5427</v>
      </c>
      <c r="B361">
        <v>356</v>
      </c>
      <c r="C361">
        <v>19</v>
      </c>
      <c r="D361" t="s">
        <v>13</v>
      </c>
      <c r="E361" t="s">
        <v>5409</v>
      </c>
      <c r="F361" t="s">
        <v>3559</v>
      </c>
      <c r="G361" t="s">
        <v>3594</v>
      </c>
      <c r="H361">
        <v>1</v>
      </c>
      <c r="I361">
        <v>452</v>
      </c>
      <c r="J361">
        <v>346</v>
      </c>
      <c r="K361" t="str">
        <f t="shared" si="5"/>
        <v>quar244186</v>
      </c>
      <c r="M361" t="s">
        <v>1067</v>
      </c>
      <c r="N361" t="s">
        <v>1381</v>
      </c>
      <c r="Q361" t="s">
        <v>11083</v>
      </c>
      <c r="U361">
        <v>1</v>
      </c>
      <c r="V361">
        <v>0</v>
      </c>
      <c r="W361">
        <v>15</v>
      </c>
      <c r="X361">
        <v>24.4</v>
      </c>
      <c r="Y361">
        <v>18.600000000000001</v>
      </c>
    </row>
    <row r="362" spans="1:25" x14ac:dyDescent="0.25">
      <c r="A362" t="s">
        <v>5428</v>
      </c>
      <c r="B362">
        <v>357</v>
      </c>
      <c r="C362">
        <v>20</v>
      </c>
      <c r="D362" t="s">
        <v>13</v>
      </c>
      <c r="E362" t="s">
        <v>5409</v>
      </c>
      <c r="F362" t="s">
        <v>3559</v>
      </c>
      <c r="G362" t="s">
        <v>3594</v>
      </c>
      <c r="H362">
        <v>1</v>
      </c>
      <c r="I362">
        <v>437</v>
      </c>
      <c r="J362">
        <v>437</v>
      </c>
      <c r="K362" t="str">
        <f t="shared" si="5"/>
        <v>quar235232</v>
      </c>
      <c r="M362" t="s">
        <v>1067</v>
      </c>
      <c r="N362" t="s">
        <v>1369</v>
      </c>
      <c r="Q362" t="s">
        <v>11083</v>
      </c>
      <c r="U362">
        <v>1</v>
      </c>
      <c r="V362">
        <v>0</v>
      </c>
      <c r="W362">
        <v>30</v>
      </c>
      <c r="X362">
        <v>23.5</v>
      </c>
      <c r="Y362">
        <v>23.2</v>
      </c>
    </row>
    <row r="363" spans="1:25" x14ac:dyDescent="0.25">
      <c r="A363" t="s">
        <v>5429</v>
      </c>
      <c r="B363">
        <v>358</v>
      </c>
      <c r="C363">
        <v>21</v>
      </c>
      <c r="D363" t="s">
        <v>13</v>
      </c>
      <c r="E363" t="s">
        <v>5409</v>
      </c>
      <c r="F363" t="s">
        <v>3559</v>
      </c>
      <c r="G363" t="s">
        <v>3594</v>
      </c>
      <c r="H363">
        <v>1</v>
      </c>
      <c r="I363">
        <v>336</v>
      </c>
      <c r="J363">
        <v>540</v>
      </c>
      <c r="K363" t="str">
        <f t="shared" si="5"/>
        <v>quar183287</v>
      </c>
      <c r="M363" t="s">
        <v>1067</v>
      </c>
      <c r="N363" t="s">
        <v>1379</v>
      </c>
      <c r="Q363" t="s">
        <v>11083</v>
      </c>
      <c r="U363">
        <v>1</v>
      </c>
      <c r="V363">
        <v>0</v>
      </c>
      <c r="W363">
        <v>50</v>
      </c>
      <c r="X363">
        <v>18.3</v>
      </c>
      <c r="Y363">
        <v>28.7</v>
      </c>
    </row>
    <row r="364" spans="1:25" x14ac:dyDescent="0.25">
      <c r="A364" t="s">
        <v>5430</v>
      </c>
      <c r="B364">
        <v>359</v>
      </c>
      <c r="C364">
        <v>22</v>
      </c>
      <c r="D364" t="s">
        <v>13</v>
      </c>
      <c r="E364" t="s">
        <v>5409</v>
      </c>
      <c r="F364" t="s">
        <v>3559</v>
      </c>
      <c r="G364" t="s">
        <v>5431</v>
      </c>
      <c r="H364">
        <v>0</v>
      </c>
      <c r="I364">
        <v>262</v>
      </c>
      <c r="J364">
        <v>423</v>
      </c>
      <c r="K364" t="str">
        <f t="shared" si="5"/>
        <v>quar146226</v>
      </c>
      <c r="M364" t="s">
        <v>1067</v>
      </c>
      <c r="N364" t="s">
        <v>1421</v>
      </c>
      <c r="Q364" t="s">
        <v>11083</v>
      </c>
      <c r="U364">
        <v>11</v>
      </c>
      <c r="V364">
        <v>0</v>
      </c>
      <c r="W364">
        <v>15</v>
      </c>
      <c r="X364">
        <v>14.6</v>
      </c>
      <c r="Y364">
        <v>22.6</v>
      </c>
    </row>
    <row r="365" spans="1:25" x14ac:dyDescent="0.25">
      <c r="A365" t="s">
        <v>5432</v>
      </c>
      <c r="B365">
        <v>360</v>
      </c>
      <c r="C365">
        <v>23</v>
      </c>
      <c r="D365" t="s">
        <v>13</v>
      </c>
      <c r="E365" t="s">
        <v>5409</v>
      </c>
      <c r="F365" t="s">
        <v>3559</v>
      </c>
      <c r="G365" t="s">
        <v>5433</v>
      </c>
      <c r="H365">
        <v>0</v>
      </c>
      <c r="I365">
        <v>452</v>
      </c>
      <c r="J365">
        <v>346</v>
      </c>
      <c r="K365" t="str">
        <f t="shared" si="5"/>
        <v>quar244186</v>
      </c>
      <c r="M365" t="s">
        <v>1067</v>
      </c>
      <c r="N365" t="s">
        <v>1381</v>
      </c>
      <c r="Q365" t="s">
        <v>11083</v>
      </c>
      <c r="U365">
        <v>11</v>
      </c>
      <c r="V365">
        <v>0</v>
      </c>
      <c r="W365">
        <v>15</v>
      </c>
      <c r="X365">
        <v>24.4</v>
      </c>
      <c r="Y365">
        <v>18.600000000000001</v>
      </c>
    </row>
    <row r="366" spans="1:25" x14ac:dyDescent="0.25">
      <c r="A366" t="s">
        <v>5434</v>
      </c>
      <c r="B366">
        <v>361</v>
      </c>
      <c r="C366">
        <v>24</v>
      </c>
      <c r="D366" t="s">
        <v>13</v>
      </c>
      <c r="E366" t="s">
        <v>5409</v>
      </c>
      <c r="F366" t="s">
        <v>3559</v>
      </c>
      <c r="G366" t="s">
        <v>5435</v>
      </c>
      <c r="H366">
        <v>0</v>
      </c>
      <c r="I366">
        <v>262</v>
      </c>
      <c r="J366">
        <v>423</v>
      </c>
      <c r="K366" t="str">
        <f t="shared" si="5"/>
        <v>quar146226</v>
      </c>
      <c r="M366" t="s">
        <v>1067</v>
      </c>
      <c r="N366" t="s">
        <v>1421</v>
      </c>
      <c r="Q366" t="s">
        <v>11083</v>
      </c>
      <c r="U366">
        <v>12</v>
      </c>
      <c r="V366">
        <v>0</v>
      </c>
      <c r="W366">
        <v>15</v>
      </c>
      <c r="X366">
        <v>14.6</v>
      </c>
      <c r="Y366">
        <v>22.6</v>
      </c>
    </row>
    <row r="367" spans="1:25" x14ac:dyDescent="0.25">
      <c r="A367" t="s">
        <v>5436</v>
      </c>
      <c r="B367">
        <v>362</v>
      </c>
      <c r="C367">
        <v>25</v>
      </c>
      <c r="D367" t="s">
        <v>13</v>
      </c>
      <c r="E367" t="s">
        <v>5409</v>
      </c>
      <c r="F367" t="s">
        <v>3559</v>
      </c>
      <c r="G367" t="s">
        <v>5437</v>
      </c>
      <c r="H367">
        <v>0</v>
      </c>
      <c r="I367">
        <v>262</v>
      </c>
      <c r="J367">
        <v>423</v>
      </c>
      <c r="K367" t="str">
        <f t="shared" si="5"/>
        <v>quar146226</v>
      </c>
      <c r="M367" t="s">
        <v>1067</v>
      </c>
      <c r="N367" t="s">
        <v>1421</v>
      </c>
      <c r="Q367" t="s">
        <v>11083</v>
      </c>
      <c r="U367">
        <v>13</v>
      </c>
      <c r="V367">
        <v>0</v>
      </c>
      <c r="W367">
        <v>15</v>
      </c>
      <c r="X367">
        <v>14.6</v>
      </c>
      <c r="Y367">
        <v>22.6</v>
      </c>
    </row>
    <row r="368" spans="1:25" x14ac:dyDescent="0.25">
      <c r="A368" t="s">
        <v>5438</v>
      </c>
      <c r="B368">
        <v>363</v>
      </c>
      <c r="C368">
        <v>26</v>
      </c>
      <c r="D368" t="s">
        <v>13</v>
      </c>
      <c r="E368" t="s">
        <v>5409</v>
      </c>
      <c r="F368" t="s">
        <v>3559</v>
      </c>
      <c r="G368" t="s">
        <v>5439</v>
      </c>
      <c r="H368">
        <v>0</v>
      </c>
      <c r="I368">
        <v>452</v>
      </c>
      <c r="J368">
        <v>346</v>
      </c>
      <c r="K368" t="str">
        <f t="shared" si="5"/>
        <v>quar244186</v>
      </c>
      <c r="M368" t="s">
        <v>1067</v>
      </c>
      <c r="N368" t="s">
        <v>1381</v>
      </c>
      <c r="Q368" t="s">
        <v>11083</v>
      </c>
      <c r="U368">
        <v>14</v>
      </c>
      <c r="V368">
        <v>0</v>
      </c>
      <c r="W368">
        <v>15</v>
      </c>
      <c r="X368">
        <v>24.4</v>
      </c>
      <c r="Y368">
        <v>18.600000000000001</v>
      </c>
    </row>
    <row r="369" spans="1:25" x14ac:dyDescent="0.25">
      <c r="A369" t="s">
        <v>5440</v>
      </c>
      <c r="B369">
        <v>364</v>
      </c>
      <c r="C369">
        <v>27</v>
      </c>
      <c r="D369" t="s">
        <v>13</v>
      </c>
      <c r="E369" t="s">
        <v>5409</v>
      </c>
      <c r="F369" t="s">
        <v>3559</v>
      </c>
      <c r="G369" t="s">
        <v>5441</v>
      </c>
      <c r="H369">
        <v>0</v>
      </c>
      <c r="I369">
        <v>452</v>
      </c>
      <c r="J369">
        <v>346</v>
      </c>
      <c r="K369" t="str">
        <f t="shared" si="5"/>
        <v>quar244186</v>
      </c>
      <c r="M369" t="s">
        <v>1067</v>
      </c>
      <c r="N369" t="s">
        <v>1381</v>
      </c>
      <c r="Q369" t="s">
        <v>11083</v>
      </c>
      <c r="U369">
        <v>15</v>
      </c>
      <c r="V369">
        <v>0</v>
      </c>
      <c r="W369">
        <v>15</v>
      </c>
      <c r="X369">
        <v>24.4</v>
      </c>
      <c r="Y369">
        <v>18.600000000000001</v>
      </c>
    </row>
    <row r="370" spans="1:25" x14ac:dyDescent="0.25">
      <c r="A370" t="s">
        <v>5442</v>
      </c>
      <c r="B370">
        <v>365</v>
      </c>
      <c r="C370">
        <v>28</v>
      </c>
      <c r="D370" t="s">
        <v>13</v>
      </c>
      <c r="E370" t="s">
        <v>5409</v>
      </c>
      <c r="F370" t="s">
        <v>3559</v>
      </c>
      <c r="G370" t="s">
        <v>5443</v>
      </c>
      <c r="H370">
        <v>0</v>
      </c>
      <c r="I370">
        <v>494</v>
      </c>
      <c r="J370">
        <v>455</v>
      </c>
      <c r="K370" t="str">
        <f t="shared" si="5"/>
        <v>quar264242</v>
      </c>
      <c r="M370" t="s">
        <v>1067</v>
      </c>
      <c r="N370" t="s">
        <v>1168</v>
      </c>
      <c r="Q370" t="s">
        <v>11083</v>
      </c>
      <c r="U370">
        <v>17</v>
      </c>
      <c r="V370">
        <v>0</v>
      </c>
      <c r="W370">
        <v>20</v>
      </c>
      <c r="X370">
        <v>26.4</v>
      </c>
      <c r="Y370">
        <v>24.2</v>
      </c>
    </row>
    <row r="371" spans="1:25" x14ac:dyDescent="0.25">
      <c r="A371" t="s">
        <v>5444</v>
      </c>
      <c r="B371">
        <v>366</v>
      </c>
      <c r="C371">
        <v>29</v>
      </c>
      <c r="D371" t="s">
        <v>13</v>
      </c>
      <c r="E371" t="s">
        <v>5409</v>
      </c>
      <c r="F371" t="s">
        <v>3559</v>
      </c>
      <c r="G371" t="s">
        <v>5445</v>
      </c>
      <c r="H371">
        <v>0</v>
      </c>
      <c r="I371">
        <v>494</v>
      </c>
      <c r="J371">
        <v>455</v>
      </c>
      <c r="K371" t="str">
        <f t="shared" si="5"/>
        <v>quar264242</v>
      </c>
      <c r="M371" t="s">
        <v>1067</v>
      </c>
      <c r="N371" t="s">
        <v>1168</v>
      </c>
      <c r="Q371" t="s">
        <v>11083</v>
      </c>
      <c r="U371">
        <v>20</v>
      </c>
      <c r="V371">
        <v>0</v>
      </c>
      <c r="W371">
        <v>20</v>
      </c>
      <c r="X371">
        <v>26.4</v>
      </c>
      <c r="Y371">
        <v>24.2</v>
      </c>
    </row>
    <row r="372" spans="1:25" x14ac:dyDescent="0.25">
      <c r="A372" t="s">
        <v>5446</v>
      </c>
      <c r="B372">
        <v>367</v>
      </c>
      <c r="C372">
        <v>30</v>
      </c>
      <c r="D372" t="s">
        <v>13</v>
      </c>
      <c r="E372" t="s">
        <v>5409</v>
      </c>
      <c r="F372" t="s">
        <v>3559</v>
      </c>
      <c r="G372" t="s">
        <v>3652</v>
      </c>
      <c r="H372">
        <v>0</v>
      </c>
      <c r="I372">
        <v>281</v>
      </c>
      <c r="J372">
        <v>171</v>
      </c>
      <c r="K372" t="str">
        <f t="shared" si="5"/>
        <v>quar15699</v>
      </c>
      <c r="M372" t="s">
        <v>1067</v>
      </c>
      <c r="N372" t="s">
        <v>1105</v>
      </c>
      <c r="Q372" t="s">
        <v>11083</v>
      </c>
      <c r="U372">
        <v>20</v>
      </c>
      <c r="V372">
        <v>0</v>
      </c>
      <c r="W372">
        <v>20</v>
      </c>
      <c r="X372">
        <v>15.6</v>
      </c>
      <c r="Y372">
        <v>9.9</v>
      </c>
    </row>
    <row r="373" spans="1:25" x14ac:dyDescent="0.25">
      <c r="A373" t="s">
        <v>5447</v>
      </c>
      <c r="B373">
        <v>368</v>
      </c>
      <c r="C373">
        <v>31</v>
      </c>
      <c r="D373" t="s">
        <v>13</v>
      </c>
      <c r="E373" t="s">
        <v>5409</v>
      </c>
      <c r="F373" t="s">
        <v>3559</v>
      </c>
      <c r="G373" t="s">
        <v>5448</v>
      </c>
      <c r="H373">
        <v>0</v>
      </c>
      <c r="I373">
        <v>427</v>
      </c>
      <c r="J373">
        <v>404</v>
      </c>
      <c r="K373" t="str">
        <f t="shared" si="5"/>
        <v>quar229217</v>
      </c>
      <c r="M373" t="s">
        <v>1067</v>
      </c>
      <c r="N373" t="s">
        <v>1308</v>
      </c>
      <c r="Q373" t="s">
        <v>11083</v>
      </c>
      <c r="U373">
        <v>21</v>
      </c>
      <c r="V373">
        <v>0</v>
      </c>
      <c r="W373">
        <v>25</v>
      </c>
      <c r="X373">
        <v>22.9</v>
      </c>
      <c r="Y373">
        <v>21.7</v>
      </c>
    </row>
    <row r="374" spans="1:25" x14ac:dyDescent="0.25">
      <c r="A374" t="s">
        <v>5449</v>
      </c>
      <c r="B374">
        <v>369</v>
      </c>
      <c r="C374">
        <v>32</v>
      </c>
      <c r="D374" t="s">
        <v>13</v>
      </c>
      <c r="E374" t="s">
        <v>5409</v>
      </c>
      <c r="F374" t="s">
        <v>3559</v>
      </c>
      <c r="G374" t="s">
        <v>5450</v>
      </c>
      <c r="H374">
        <v>0</v>
      </c>
      <c r="I374">
        <v>427</v>
      </c>
      <c r="J374">
        <v>404</v>
      </c>
      <c r="K374" t="str">
        <f t="shared" si="5"/>
        <v>quar229217</v>
      </c>
      <c r="M374" t="s">
        <v>1067</v>
      </c>
      <c r="N374" t="s">
        <v>1308</v>
      </c>
      <c r="Q374" t="s">
        <v>11083</v>
      </c>
      <c r="U374">
        <v>22</v>
      </c>
      <c r="V374">
        <v>0</v>
      </c>
      <c r="W374">
        <v>25</v>
      </c>
      <c r="X374">
        <v>22.9</v>
      </c>
      <c r="Y374">
        <v>21.7</v>
      </c>
    </row>
    <row r="375" spans="1:25" x14ac:dyDescent="0.25">
      <c r="A375" t="s">
        <v>5451</v>
      </c>
      <c r="B375">
        <v>370</v>
      </c>
      <c r="C375">
        <v>33</v>
      </c>
      <c r="D375" t="s">
        <v>13</v>
      </c>
      <c r="E375" t="s">
        <v>5409</v>
      </c>
      <c r="F375" t="s">
        <v>3559</v>
      </c>
      <c r="G375" t="s">
        <v>5452</v>
      </c>
      <c r="H375">
        <v>0</v>
      </c>
      <c r="I375">
        <v>235</v>
      </c>
      <c r="J375">
        <v>436</v>
      </c>
      <c r="K375" t="str">
        <f t="shared" si="5"/>
        <v>quar13234</v>
      </c>
      <c r="M375" t="s">
        <v>1067</v>
      </c>
      <c r="N375" t="s">
        <v>1201</v>
      </c>
      <c r="Q375" t="s">
        <v>11083</v>
      </c>
      <c r="U375">
        <v>23</v>
      </c>
      <c r="V375">
        <v>0</v>
      </c>
      <c r="W375">
        <v>25</v>
      </c>
      <c r="X375">
        <v>13</v>
      </c>
      <c r="Y375">
        <v>23.4</v>
      </c>
    </row>
    <row r="376" spans="1:25" x14ac:dyDescent="0.25">
      <c r="A376" t="s">
        <v>5453</v>
      </c>
      <c r="B376">
        <v>371</v>
      </c>
      <c r="C376">
        <v>34</v>
      </c>
      <c r="D376" t="s">
        <v>13</v>
      </c>
      <c r="E376" t="s">
        <v>5409</v>
      </c>
      <c r="F376" t="s">
        <v>3559</v>
      </c>
      <c r="G376" t="s">
        <v>5454</v>
      </c>
      <c r="H376">
        <v>0</v>
      </c>
      <c r="I376">
        <v>427</v>
      </c>
      <c r="J376">
        <v>404</v>
      </c>
      <c r="K376" t="str">
        <f t="shared" si="5"/>
        <v>quar229217</v>
      </c>
      <c r="M376" t="s">
        <v>1067</v>
      </c>
      <c r="N376" t="s">
        <v>1308</v>
      </c>
      <c r="Q376" t="s">
        <v>11083</v>
      </c>
      <c r="U376">
        <v>23</v>
      </c>
      <c r="V376">
        <v>0</v>
      </c>
      <c r="W376">
        <v>25</v>
      </c>
      <c r="X376">
        <v>22.9</v>
      </c>
      <c r="Y376">
        <v>21.7</v>
      </c>
    </row>
    <row r="377" spans="1:25" x14ac:dyDescent="0.25">
      <c r="A377" t="s">
        <v>5455</v>
      </c>
      <c r="B377">
        <v>372</v>
      </c>
      <c r="C377">
        <v>35</v>
      </c>
      <c r="D377" t="s">
        <v>13</v>
      </c>
      <c r="E377" t="s">
        <v>5409</v>
      </c>
      <c r="F377" t="s">
        <v>3559</v>
      </c>
      <c r="G377" t="s">
        <v>5456</v>
      </c>
      <c r="H377">
        <v>0</v>
      </c>
      <c r="I377">
        <v>427</v>
      </c>
      <c r="J377">
        <v>404</v>
      </c>
      <c r="K377" t="str">
        <f t="shared" si="5"/>
        <v>quar229217</v>
      </c>
      <c r="M377" t="s">
        <v>1067</v>
      </c>
      <c r="N377" t="s">
        <v>1308</v>
      </c>
      <c r="Q377" t="s">
        <v>11083</v>
      </c>
      <c r="U377">
        <v>24</v>
      </c>
      <c r="V377">
        <v>0</v>
      </c>
      <c r="W377">
        <v>25</v>
      </c>
      <c r="X377">
        <v>22.9</v>
      </c>
      <c r="Y377">
        <v>21.7</v>
      </c>
    </row>
    <row r="378" spans="1:25" x14ac:dyDescent="0.25">
      <c r="A378" t="s">
        <v>5457</v>
      </c>
      <c r="B378">
        <v>373</v>
      </c>
      <c r="C378">
        <v>36</v>
      </c>
      <c r="D378" t="s">
        <v>13</v>
      </c>
      <c r="E378" t="s">
        <v>5409</v>
      </c>
      <c r="F378" t="s">
        <v>3559</v>
      </c>
      <c r="G378" t="s">
        <v>5458</v>
      </c>
      <c r="H378">
        <v>0</v>
      </c>
      <c r="I378">
        <v>235</v>
      </c>
      <c r="J378">
        <v>436</v>
      </c>
      <c r="K378" t="str">
        <f t="shared" si="5"/>
        <v>quar13234</v>
      </c>
      <c r="M378" t="s">
        <v>1067</v>
      </c>
      <c r="N378" t="s">
        <v>1201</v>
      </c>
      <c r="Q378" t="s">
        <v>11083</v>
      </c>
      <c r="U378">
        <v>24</v>
      </c>
      <c r="V378">
        <v>0</v>
      </c>
      <c r="W378">
        <v>25</v>
      </c>
      <c r="X378">
        <v>13</v>
      </c>
      <c r="Y378">
        <v>23.4</v>
      </c>
    </row>
    <row r="379" spans="1:25" x14ac:dyDescent="0.25">
      <c r="A379" t="s">
        <v>5459</v>
      </c>
      <c r="B379">
        <v>374</v>
      </c>
      <c r="C379">
        <v>37</v>
      </c>
      <c r="D379" t="s">
        <v>13</v>
      </c>
      <c r="E379" t="s">
        <v>5409</v>
      </c>
      <c r="F379" t="s">
        <v>3559</v>
      </c>
      <c r="G379" t="s">
        <v>5460</v>
      </c>
      <c r="H379">
        <v>0</v>
      </c>
      <c r="I379">
        <v>235</v>
      </c>
      <c r="J379">
        <v>436</v>
      </c>
      <c r="K379" t="str">
        <f t="shared" si="5"/>
        <v>quar13234</v>
      </c>
      <c r="M379" t="s">
        <v>1067</v>
      </c>
      <c r="N379" t="s">
        <v>1201</v>
      </c>
      <c r="Q379" t="s">
        <v>11083</v>
      </c>
      <c r="U379">
        <v>25</v>
      </c>
      <c r="V379">
        <v>0</v>
      </c>
      <c r="W379">
        <v>25</v>
      </c>
      <c r="X379">
        <v>13</v>
      </c>
      <c r="Y379">
        <v>23.4</v>
      </c>
    </row>
    <row r="380" spans="1:25" x14ac:dyDescent="0.25">
      <c r="A380" t="s">
        <v>5461</v>
      </c>
      <c r="B380">
        <v>375</v>
      </c>
      <c r="C380">
        <v>38</v>
      </c>
      <c r="D380" t="s">
        <v>13</v>
      </c>
      <c r="E380" t="s">
        <v>5409</v>
      </c>
      <c r="F380" t="s">
        <v>3559</v>
      </c>
      <c r="G380" t="s">
        <v>5462</v>
      </c>
      <c r="H380">
        <v>0</v>
      </c>
      <c r="I380">
        <v>416</v>
      </c>
      <c r="J380">
        <v>558</v>
      </c>
      <c r="K380" t="str">
        <f t="shared" si="5"/>
        <v>quar224294</v>
      </c>
      <c r="M380" t="s">
        <v>1067</v>
      </c>
      <c r="N380" t="s">
        <v>1454</v>
      </c>
      <c r="Q380" t="s">
        <v>11083</v>
      </c>
      <c r="U380">
        <v>26</v>
      </c>
      <c r="V380">
        <v>0</v>
      </c>
      <c r="W380">
        <v>30</v>
      </c>
      <c r="X380">
        <v>22.4</v>
      </c>
      <c r="Y380">
        <v>29.4</v>
      </c>
    </row>
    <row r="381" spans="1:25" x14ac:dyDescent="0.25">
      <c r="A381" t="s">
        <v>5463</v>
      </c>
      <c r="B381">
        <v>376</v>
      </c>
      <c r="C381">
        <v>39</v>
      </c>
      <c r="D381" t="s">
        <v>13</v>
      </c>
      <c r="E381" t="s">
        <v>5409</v>
      </c>
      <c r="F381" t="s">
        <v>3559</v>
      </c>
      <c r="G381" t="s">
        <v>15</v>
      </c>
      <c r="H381">
        <v>1</v>
      </c>
      <c r="I381">
        <v>454</v>
      </c>
      <c r="J381">
        <v>367</v>
      </c>
      <c r="K381" t="str">
        <f t="shared" si="5"/>
        <v>quar243195</v>
      </c>
      <c r="M381" t="s">
        <v>1067</v>
      </c>
      <c r="N381" t="s">
        <v>1435</v>
      </c>
      <c r="Q381" t="s">
        <v>11083</v>
      </c>
      <c r="U381">
        <v>26</v>
      </c>
      <c r="V381">
        <v>0</v>
      </c>
      <c r="W381">
        <v>30</v>
      </c>
      <c r="X381">
        <v>24.3</v>
      </c>
      <c r="Y381">
        <v>19.5</v>
      </c>
    </row>
    <row r="382" spans="1:25" x14ac:dyDescent="0.25">
      <c r="A382" t="s">
        <v>5464</v>
      </c>
      <c r="B382">
        <v>377</v>
      </c>
      <c r="C382">
        <v>40</v>
      </c>
      <c r="D382" t="s">
        <v>13</v>
      </c>
      <c r="E382" t="s">
        <v>5409</v>
      </c>
      <c r="F382" t="s">
        <v>3559</v>
      </c>
      <c r="G382" t="s">
        <v>15</v>
      </c>
      <c r="H382">
        <v>1</v>
      </c>
      <c r="I382">
        <v>457</v>
      </c>
      <c r="J382">
        <v>381</v>
      </c>
      <c r="K382" t="str">
        <f t="shared" si="5"/>
        <v>quar256215</v>
      </c>
      <c r="M382" t="s">
        <v>11</v>
      </c>
      <c r="N382" t="s">
        <v>1672</v>
      </c>
      <c r="Q382" t="s">
        <v>3669</v>
      </c>
      <c r="R382" t="s">
        <v>2810</v>
      </c>
      <c r="U382">
        <v>26</v>
      </c>
      <c r="V382">
        <v>0</v>
      </c>
      <c r="W382">
        <v>60</v>
      </c>
      <c r="X382">
        <v>25.6</v>
      </c>
      <c r="Y382">
        <v>21.5</v>
      </c>
    </row>
    <row r="383" spans="1:25" x14ac:dyDescent="0.25">
      <c r="A383" t="s">
        <v>5465</v>
      </c>
      <c r="B383">
        <v>378</v>
      </c>
      <c r="C383">
        <v>41</v>
      </c>
      <c r="D383" t="s">
        <v>13</v>
      </c>
      <c r="E383" t="s">
        <v>5409</v>
      </c>
      <c r="F383" t="s">
        <v>3559</v>
      </c>
      <c r="G383" t="s">
        <v>15</v>
      </c>
      <c r="H383">
        <v>1</v>
      </c>
      <c r="I383">
        <v>523</v>
      </c>
      <c r="J383">
        <v>314</v>
      </c>
      <c r="K383" t="str">
        <f t="shared" si="5"/>
        <v>quar291179</v>
      </c>
      <c r="M383" t="s">
        <v>11</v>
      </c>
      <c r="N383" t="s">
        <v>1686</v>
      </c>
      <c r="Q383" t="s">
        <v>3669</v>
      </c>
      <c r="R383" t="s">
        <v>2815</v>
      </c>
      <c r="U383">
        <v>26</v>
      </c>
      <c r="V383">
        <v>0</v>
      </c>
      <c r="W383">
        <v>60</v>
      </c>
      <c r="X383">
        <v>29.1</v>
      </c>
      <c r="Y383">
        <v>17.899999999999999</v>
      </c>
    </row>
    <row r="384" spans="1:25" x14ac:dyDescent="0.25">
      <c r="A384" t="s">
        <v>5466</v>
      </c>
      <c r="B384">
        <v>379</v>
      </c>
      <c r="C384">
        <v>42</v>
      </c>
      <c r="D384" t="s">
        <v>13</v>
      </c>
      <c r="E384" t="s">
        <v>5409</v>
      </c>
      <c r="F384" t="s">
        <v>3559</v>
      </c>
      <c r="G384" t="s">
        <v>15</v>
      </c>
      <c r="H384">
        <v>1</v>
      </c>
      <c r="I384">
        <v>344</v>
      </c>
      <c r="J384">
        <v>663</v>
      </c>
      <c r="K384" t="str">
        <f t="shared" si="5"/>
        <v>quar194369</v>
      </c>
      <c r="M384" t="s">
        <v>11</v>
      </c>
      <c r="N384" t="s">
        <v>1726</v>
      </c>
      <c r="Q384" t="s">
        <v>3669</v>
      </c>
      <c r="R384" t="s">
        <v>2819</v>
      </c>
      <c r="U384">
        <v>26</v>
      </c>
      <c r="V384">
        <v>0</v>
      </c>
      <c r="W384">
        <v>60</v>
      </c>
      <c r="X384">
        <v>19.399999999999999</v>
      </c>
      <c r="Y384">
        <v>36.9</v>
      </c>
    </row>
    <row r="385" spans="1:25" x14ac:dyDescent="0.25">
      <c r="A385" t="s">
        <v>5467</v>
      </c>
      <c r="B385">
        <v>380</v>
      </c>
      <c r="C385">
        <v>43</v>
      </c>
      <c r="D385" t="s">
        <v>13</v>
      </c>
      <c r="E385" t="s">
        <v>5409</v>
      </c>
      <c r="F385" t="s">
        <v>3559</v>
      </c>
      <c r="G385" t="s">
        <v>15</v>
      </c>
      <c r="H385">
        <v>1</v>
      </c>
      <c r="I385">
        <v>542</v>
      </c>
      <c r="J385">
        <v>109</v>
      </c>
      <c r="K385" t="str">
        <f t="shared" si="5"/>
        <v>quar28967</v>
      </c>
      <c r="M385" t="s">
        <v>73</v>
      </c>
      <c r="N385" t="s">
        <v>1955</v>
      </c>
      <c r="Q385" t="s">
        <v>3669</v>
      </c>
      <c r="R385" t="s">
        <v>2825</v>
      </c>
      <c r="U385">
        <v>26</v>
      </c>
      <c r="V385">
        <v>0</v>
      </c>
      <c r="W385">
        <v>70</v>
      </c>
      <c r="X385">
        <v>28.9</v>
      </c>
      <c r="Y385">
        <v>6.7</v>
      </c>
    </row>
    <row r="386" spans="1:25" x14ac:dyDescent="0.25">
      <c r="A386" t="s">
        <v>5468</v>
      </c>
      <c r="B386">
        <v>381</v>
      </c>
      <c r="C386">
        <v>44</v>
      </c>
      <c r="D386" t="s">
        <v>13</v>
      </c>
      <c r="E386" t="s">
        <v>5409</v>
      </c>
      <c r="F386" t="s">
        <v>3559</v>
      </c>
      <c r="G386" t="s">
        <v>15</v>
      </c>
      <c r="H386">
        <v>1</v>
      </c>
      <c r="I386">
        <v>174</v>
      </c>
      <c r="J386">
        <v>534</v>
      </c>
      <c r="K386" t="str">
        <f t="shared" ref="K386:K449" si="6">LEFT(A386,4)&amp;SUBSTITUTE(X386,".","")&amp;SUBSTITUTE(Y386,".","")</f>
        <v>quar99283</v>
      </c>
      <c r="M386" t="s">
        <v>102</v>
      </c>
      <c r="N386" t="s">
        <v>2120</v>
      </c>
      <c r="Q386" t="s">
        <v>11083</v>
      </c>
      <c r="U386">
        <v>26</v>
      </c>
      <c r="V386">
        <v>0</v>
      </c>
      <c r="W386">
        <v>70</v>
      </c>
      <c r="X386">
        <v>9.9</v>
      </c>
      <c r="Y386">
        <v>28.3</v>
      </c>
    </row>
    <row r="387" spans="1:25" x14ac:dyDescent="0.25">
      <c r="A387" t="s">
        <v>5469</v>
      </c>
      <c r="B387">
        <v>382</v>
      </c>
      <c r="C387">
        <v>45</v>
      </c>
      <c r="D387" t="s">
        <v>13</v>
      </c>
      <c r="E387" t="s">
        <v>5409</v>
      </c>
      <c r="F387" t="s">
        <v>3559</v>
      </c>
      <c r="G387" t="s">
        <v>15</v>
      </c>
      <c r="H387">
        <v>1</v>
      </c>
      <c r="I387">
        <v>426</v>
      </c>
      <c r="J387">
        <v>599</v>
      </c>
      <c r="K387" t="str">
        <f t="shared" si="6"/>
        <v>quar229317</v>
      </c>
      <c r="M387" t="s">
        <v>102</v>
      </c>
      <c r="N387" t="s">
        <v>2131</v>
      </c>
      <c r="Q387" t="s">
        <v>11083</v>
      </c>
      <c r="U387">
        <v>26</v>
      </c>
      <c r="V387">
        <v>0</v>
      </c>
      <c r="W387">
        <v>75</v>
      </c>
      <c r="X387">
        <v>22.9</v>
      </c>
      <c r="Y387">
        <v>31.7</v>
      </c>
    </row>
    <row r="388" spans="1:25" x14ac:dyDescent="0.25">
      <c r="A388" t="s">
        <v>5470</v>
      </c>
      <c r="B388">
        <v>383</v>
      </c>
      <c r="C388">
        <v>46</v>
      </c>
      <c r="D388" t="s">
        <v>13</v>
      </c>
      <c r="E388" t="s">
        <v>5409</v>
      </c>
      <c r="F388" t="s">
        <v>3559</v>
      </c>
      <c r="G388" t="s">
        <v>15</v>
      </c>
      <c r="H388">
        <v>1</v>
      </c>
      <c r="I388">
        <v>424</v>
      </c>
      <c r="J388">
        <v>335</v>
      </c>
      <c r="K388" t="str">
        <f t="shared" si="6"/>
        <v>quar228183</v>
      </c>
      <c r="M388" t="s">
        <v>102</v>
      </c>
      <c r="N388" t="s">
        <v>2115</v>
      </c>
      <c r="Q388" t="s">
        <v>11083</v>
      </c>
      <c r="U388">
        <v>26</v>
      </c>
      <c r="V388">
        <v>0</v>
      </c>
      <c r="W388">
        <v>80</v>
      </c>
      <c r="X388">
        <v>22.8</v>
      </c>
      <c r="Y388">
        <v>18.3</v>
      </c>
    </row>
    <row r="389" spans="1:25" x14ac:dyDescent="0.25">
      <c r="A389" t="s">
        <v>5471</v>
      </c>
      <c r="B389">
        <v>384</v>
      </c>
      <c r="C389">
        <v>47</v>
      </c>
      <c r="D389" t="s">
        <v>13</v>
      </c>
      <c r="E389" t="s">
        <v>5409</v>
      </c>
      <c r="F389" t="s">
        <v>3559</v>
      </c>
      <c r="G389" t="s">
        <v>15</v>
      </c>
      <c r="H389">
        <v>1</v>
      </c>
      <c r="I389">
        <v>624</v>
      </c>
      <c r="J389">
        <v>343</v>
      </c>
      <c r="K389" t="str">
        <f t="shared" si="6"/>
        <v>quar329185</v>
      </c>
      <c r="M389" t="s">
        <v>102</v>
      </c>
      <c r="N389" t="s">
        <v>2102</v>
      </c>
      <c r="Q389" t="s">
        <v>3669</v>
      </c>
      <c r="R389" t="s">
        <v>2821</v>
      </c>
      <c r="U389">
        <v>26</v>
      </c>
      <c r="V389">
        <v>0</v>
      </c>
      <c r="W389">
        <v>80</v>
      </c>
      <c r="X389">
        <v>32.9</v>
      </c>
      <c r="Y389">
        <v>18.5</v>
      </c>
    </row>
    <row r="390" spans="1:25" x14ac:dyDescent="0.25">
      <c r="A390" t="s">
        <v>5472</v>
      </c>
      <c r="B390">
        <v>385</v>
      </c>
      <c r="C390">
        <v>48</v>
      </c>
      <c r="D390" t="s">
        <v>13</v>
      </c>
      <c r="E390" t="s">
        <v>5409</v>
      </c>
      <c r="F390" t="s">
        <v>3559</v>
      </c>
      <c r="G390" t="s">
        <v>15</v>
      </c>
      <c r="H390">
        <v>1</v>
      </c>
      <c r="I390">
        <v>252</v>
      </c>
      <c r="J390">
        <v>339</v>
      </c>
      <c r="K390" t="str">
        <f t="shared" si="6"/>
        <v>quar139182</v>
      </c>
      <c r="M390" t="s">
        <v>133</v>
      </c>
      <c r="N390" t="s">
        <v>2522</v>
      </c>
      <c r="Q390" t="s">
        <v>11083</v>
      </c>
      <c r="U390">
        <v>26</v>
      </c>
      <c r="V390">
        <v>0</v>
      </c>
      <c r="W390">
        <v>90</v>
      </c>
      <c r="X390">
        <v>13.9</v>
      </c>
      <c r="Y390">
        <v>18.2</v>
      </c>
    </row>
    <row r="391" spans="1:25" x14ac:dyDescent="0.25">
      <c r="A391" t="s">
        <v>5473</v>
      </c>
      <c r="B391">
        <v>386</v>
      </c>
      <c r="C391">
        <v>49</v>
      </c>
      <c r="D391" t="s">
        <v>13</v>
      </c>
      <c r="E391" t="s">
        <v>5409</v>
      </c>
      <c r="F391" t="s">
        <v>3559</v>
      </c>
      <c r="G391" t="s">
        <v>15</v>
      </c>
      <c r="H391">
        <v>1</v>
      </c>
      <c r="I391">
        <v>314</v>
      </c>
      <c r="J391">
        <v>604</v>
      </c>
      <c r="K391" t="str">
        <f t="shared" si="6"/>
        <v>quar173322</v>
      </c>
      <c r="M391" t="s">
        <v>215</v>
      </c>
      <c r="N391" t="s">
        <v>3684</v>
      </c>
      <c r="Q391" t="s">
        <v>11083</v>
      </c>
      <c r="U391">
        <v>26</v>
      </c>
      <c r="V391">
        <v>0</v>
      </c>
      <c r="W391">
        <v>100</v>
      </c>
      <c r="X391">
        <v>17.3</v>
      </c>
      <c r="Y391">
        <v>32.200000000000003</v>
      </c>
    </row>
    <row r="392" spans="1:25" x14ac:dyDescent="0.25">
      <c r="A392" t="s">
        <v>5474</v>
      </c>
      <c r="B392">
        <v>387</v>
      </c>
      <c r="C392">
        <v>50</v>
      </c>
      <c r="D392" t="s">
        <v>13</v>
      </c>
      <c r="E392" t="s">
        <v>5409</v>
      </c>
      <c r="F392" t="s">
        <v>3559</v>
      </c>
      <c r="G392" t="s">
        <v>37</v>
      </c>
      <c r="H392">
        <v>1</v>
      </c>
      <c r="I392">
        <v>596</v>
      </c>
      <c r="J392">
        <v>533</v>
      </c>
      <c r="K392" t="str">
        <f t="shared" si="6"/>
        <v>quar315283</v>
      </c>
      <c r="M392" t="s">
        <v>1067</v>
      </c>
      <c r="N392" t="s">
        <v>1163</v>
      </c>
      <c r="Q392" t="s">
        <v>11083</v>
      </c>
      <c r="U392">
        <v>26</v>
      </c>
      <c r="V392">
        <v>0</v>
      </c>
      <c r="W392">
        <v>30</v>
      </c>
      <c r="X392">
        <v>31.5</v>
      </c>
      <c r="Y392">
        <v>28.3</v>
      </c>
    </row>
    <row r="393" spans="1:25" x14ac:dyDescent="0.25">
      <c r="A393" t="s">
        <v>5475</v>
      </c>
      <c r="B393">
        <v>388</v>
      </c>
      <c r="C393">
        <v>51</v>
      </c>
      <c r="D393" t="s">
        <v>13</v>
      </c>
      <c r="E393" t="s">
        <v>5409</v>
      </c>
      <c r="F393" t="s">
        <v>3559</v>
      </c>
      <c r="G393" t="s">
        <v>37</v>
      </c>
      <c r="H393">
        <v>1</v>
      </c>
      <c r="I393">
        <v>670</v>
      </c>
      <c r="J393">
        <v>554</v>
      </c>
      <c r="K393" t="str">
        <f t="shared" si="6"/>
        <v>quar355295</v>
      </c>
      <c r="M393" t="s">
        <v>1067</v>
      </c>
      <c r="N393" t="s">
        <v>1163</v>
      </c>
      <c r="Q393" t="s">
        <v>11083</v>
      </c>
      <c r="U393">
        <v>26</v>
      </c>
      <c r="V393">
        <v>0</v>
      </c>
      <c r="W393">
        <v>50</v>
      </c>
      <c r="X393">
        <v>35.5</v>
      </c>
      <c r="Y393">
        <v>29.5</v>
      </c>
    </row>
    <row r="394" spans="1:25" x14ac:dyDescent="0.25">
      <c r="A394" t="s">
        <v>5476</v>
      </c>
      <c r="B394">
        <v>389</v>
      </c>
      <c r="C394">
        <v>52</v>
      </c>
      <c r="D394" t="s">
        <v>13</v>
      </c>
      <c r="E394" t="s">
        <v>5409</v>
      </c>
      <c r="F394" t="s">
        <v>3559</v>
      </c>
      <c r="G394" t="s">
        <v>37</v>
      </c>
      <c r="H394">
        <v>1</v>
      </c>
      <c r="I394">
        <v>288</v>
      </c>
      <c r="J394">
        <v>220</v>
      </c>
      <c r="K394" t="str">
        <f t="shared" si="6"/>
        <v>quar166129</v>
      </c>
      <c r="M394" t="s">
        <v>11</v>
      </c>
      <c r="N394" t="s">
        <v>1545</v>
      </c>
      <c r="Q394" t="s">
        <v>11083</v>
      </c>
      <c r="U394">
        <v>26</v>
      </c>
      <c r="V394">
        <v>0</v>
      </c>
      <c r="W394">
        <v>55</v>
      </c>
      <c r="X394">
        <v>16.600000000000001</v>
      </c>
      <c r="Y394">
        <v>12.9</v>
      </c>
    </row>
    <row r="395" spans="1:25" x14ac:dyDescent="0.25">
      <c r="A395" t="s">
        <v>5477</v>
      </c>
      <c r="B395">
        <v>390</v>
      </c>
      <c r="C395">
        <v>53</v>
      </c>
      <c r="D395" t="s">
        <v>13</v>
      </c>
      <c r="E395" t="s">
        <v>5409</v>
      </c>
      <c r="F395" t="s">
        <v>3559</v>
      </c>
      <c r="G395" t="s">
        <v>37</v>
      </c>
      <c r="H395">
        <v>1</v>
      </c>
      <c r="I395">
        <v>217</v>
      </c>
      <c r="J395">
        <v>420</v>
      </c>
      <c r="K395" t="str">
        <f t="shared" si="6"/>
        <v>quar127236</v>
      </c>
      <c r="M395" t="s">
        <v>102</v>
      </c>
      <c r="N395" t="s">
        <v>1555</v>
      </c>
      <c r="Q395" t="s">
        <v>11083</v>
      </c>
      <c r="U395">
        <v>26</v>
      </c>
      <c r="V395">
        <v>0</v>
      </c>
      <c r="W395">
        <v>75</v>
      </c>
      <c r="X395">
        <v>12.7</v>
      </c>
      <c r="Y395">
        <v>23.6</v>
      </c>
    </row>
    <row r="396" spans="1:25" x14ac:dyDescent="0.25">
      <c r="A396" t="s">
        <v>5478</v>
      </c>
      <c r="B396">
        <v>391</v>
      </c>
      <c r="C396">
        <v>54</v>
      </c>
      <c r="D396" t="s">
        <v>13</v>
      </c>
      <c r="E396" t="s">
        <v>5409</v>
      </c>
      <c r="F396" t="s">
        <v>3559</v>
      </c>
      <c r="G396" t="s">
        <v>37</v>
      </c>
      <c r="H396">
        <v>1</v>
      </c>
      <c r="I396">
        <v>219</v>
      </c>
      <c r="J396">
        <v>237</v>
      </c>
      <c r="K396" t="str">
        <f t="shared" si="6"/>
        <v>quar12413</v>
      </c>
      <c r="M396" t="s">
        <v>133</v>
      </c>
      <c r="N396" t="s">
        <v>2386</v>
      </c>
      <c r="Q396" t="s">
        <v>11083</v>
      </c>
      <c r="U396">
        <v>26</v>
      </c>
      <c r="V396">
        <v>0</v>
      </c>
      <c r="W396">
        <v>85</v>
      </c>
      <c r="X396">
        <v>12.4</v>
      </c>
      <c r="Y396">
        <v>13</v>
      </c>
    </row>
    <row r="397" spans="1:25" x14ac:dyDescent="0.25">
      <c r="A397" t="s">
        <v>5479</v>
      </c>
      <c r="B397">
        <v>392</v>
      </c>
      <c r="C397">
        <v>55</v>
      </c>
      <c r="D397" t="s">
        <v>13</v>
      </c>
      <c r="E397" t="s">
        <v>5409</v>
      </c>
      <c r="F397" t="s">
        <v>3559</v>
      </c>
      <c r="G397" t="s">
        <v>24</v>
      </c>
      <c r="H397">
        <v>1</v>
      </c>
      <c r="I397">
        <v>383</v>
      </c>
      <c r="J397">
        <v>517</v>
      </c>
      <c r="K397" t="str">
        <f t="shared" si="6"/>
        <v>quar205274</v>
      </c>
      <c r="M397" t="s">
        <v>1067</v>
      </c>
      <c r="N397" t="s">
        <v>1284</v>
      </c>
      <c r="Q397" t="s">
        <v>11083</v>
      </c>
      <c r="U397">
        <v>26</v>
      </c>
      <c r="V397">
        <v>0</v>
      </c>
      <c r="W397">
        <v>30</v>
      </c>
      <c r="X397">
        <v>20.5</v>
      </c>
      <c r="Y397">
        <v>27.4</v>
      </c>
    </row>
    <row r="398" spans="1:25" x14ac:dyDescent="0.25">
      <c r="A398" t="s">
        <v>5480</v>
      </c>
      <c r="B398">
        <v>393</v>
      </c>
      <c r="C398">
        <v>56</v>
      </c>
      <c r="D398" t="s">
        <v>13</v>
      </c>
      <c r="E398" t="s">
        <v>5409</v>
      </c>
      <c r="F398" t="s">
        <v>3559</v>
      </c>
      <c r="G398" t="s">
        <v>24</v>
      </c>
      <c r="H398">
        <v>1</v>
      </c>
      <c r="I398">
        <v>336</v>
      </c>
      <c r="J398">
        <v>462</v>
      </c>
      <c r="K398" t="str">
        <f t="shared" si="6"/>
        <v>quar181246</v>
      </c>
      <c r="M398" t="s">
        <v>1067</v>
      </c>
      <c r="N398" t="s">
        <v>1294</v>
      </c>
      <c r="Q398" t="s">
        <v>11083</v>
      </c>
      <c r="U398">
        <v>26</v>
      </c>
      <c r="V398">
        <v>0</v>
      </c>
      <c r="W398">
        <v>50</v>
      </c>
      <c r="X398">
        <v>18.100000000000001</v>
      </c>
      <c r="Y398">
        <v>24.6</v>
      </c>
    </row>
    <row r="399" spans="1:25" x14ac:dyDescent="0.25">
      <c r="A399" t="s">
        <v>5481</v>
      </c>
      <c r="B399">
        <v>394</v>
      </c>
      <c r="C399">
        <v>57</v>
      </c>
      <c r="D399" t="s">
        <v>13</v>
      </c>
      <c r="E399" t="s">
        <v>5409</v>
      </c>
      <c r="F399" t="s">
        <v>3559</v>
      </c>
      <c r="G399" t="s">
        <v>24</v>
      </c>
      <c r="H399">
        <v>1</v>
      </c>
      <c r="I399">
        <v>571</v>
      </c>
      <c r="J399">
        <v>426</v>
      </c>
      <c r="K399" t="str">
        <f t="shared" si="6"/>
        <v>quar304229</v>
      </c>
      <c r="M399" t="s">
        <v>102</v>
      </c>
      <c r="N399" t="s">
        <v>2177</v>
      </c>
      <c r="Q399" t="s">
        <v>11083</v>
      </c>
      <c r="U399">
        <v>26</v>
      </c>
      <c r="V399">
        <v>0</v>
      </c>
      <c r="W399">
        <v>70</v>
      </c>
      <c r="X399">
        <v>30.4</v>
      </c>
      <c r="Y399">
        <v>22.9</v>
      </c>
    </row>
    <row r="400" spans="1:25" x14ac:dyDescent="0.25">
      <c r="A400" t="s">
        <v>5482</v>
      </c>
      <c r="B400">
        <v>395</v>
      </c>
      <c r="C400">
        <v>58</v>
      </c>
      <c r="D400" t="s">
        <v>13</v>
      </c>
      <c r="E400" t="s">
        <v>5409</v>
      </c>
      <c r="F400" t="s">
        <v>3559</v>
      </c>
      <c r="G400" t="s">
        <v>24</v>
      </c>
      <c r="H400">
        <v>1</v>
      </c>
      <c r="I400">
        <v>304</v>
      </c>
      <c r="J400">
        <v>210</v>
      </c>
      <c r="K400" t="str">
        <f t="shared" si="6"/>
        <v>quar165114</v>
      </c>
      <c r="M400" t="s">
        <v>102</v>
      </c>
      <c r="N400" t="s">
        <v>2139</v>
      </c>
      <c r="Q400" t="s">
        <v>11083</v>
      </c>
      <c r="U400">
        <v>26</v>
      </c>
      <c r="V400">
        <v>0</v>
      </c>
      <c r="W400">
        <v>80</v>
      </c>
      <c r="X400">
        <v>16.5</v>
      </c>
      <c r="Y400">
        <v>11.4</v>
      </c>
    </row>
    <row r="401" spans="1:25" x14ac:dyDescent="0.25">
      <c r="A401" t="s">
        <v>5483</v>
      </c>
      <c r="B401">
        <v>396</v>
      </c>
      <c r="C401">
        <v>59</v>
      </c>
      <c r="D401" t="s">
        <v>13</v>
      </c>
      <c r="E401" t="s">
        <v>5409</v>
      </c>
      <c r="F401" t="s">
        <v>3559</v>
      </c>
      <c r="G401" t="s">
        <v>24</v>
      </c>
      <c r="H401">
        <v>1</v>
      </c>
      <c r="I401">
        <v>275</v>
      </c>
      <c r="J401">
        <v>344</v>
      </c>
      <c r="K401" t="str">
        <f t="shared" si="6"/>
        <v>quar149185</v>
      </c>
      <c r="M401" t="s">
        <v>133</v>
      </c>
      <c r="N401" t="s">
        <v>2143</v>
      </c>
      <c r="Q401" t="s">
        <v>11083</v>
      </c>
      <c r="U401">
        <v>26</v>
      </c>
      <c r="V401">
        <v>0</v>
      </c>
      <c r="W401">
        <v>85</v>
      </c>
      <c r="X401">
        <v>14.9</v>
      </c>
      <c r="Y401">
        <v>18.5</v>
      </c>
    </row>
    <row r="402" spans="1:25" x14ac:dyDescent="0.25">
      <c r="A402" t="s">
        <v>5484</v>
      </c>
      <c r="B402">
        <v>397</v>
      </c>
      <c r="C402">
        <v>60</v>
      </c>
      <c r="D402" t="s">
        <v>13</v>
      </c>
      <c r="E402" t="s">
        <v>5409</v>
      </c>
      <c r="F402" t="s">
        <v>3559</v>
      </c>
      <c r="G402" t="s">
        <v>24</v>
      </c>
      <c r="H402">
        <v>1</v>
      </c>
      <c r="I402">
        <v>400</v>
      </c>
      <c r="J402">
        <v>634</v>
      </c>
      <c r="K402" t="str">
        <f t="shared" si="6"/>
        <v>quar214335</v>
      </c>
      <c r="M402" t="s">
        <v>133</v>
      </c>
      <c r="N402" t="s">
        <v>2485</v>
      </c>
      <c r="Q402" t="s">
        <v>11083</v>
      </c>
      <c r="U402">
        <v>26</v>
      </c>
      <c r="V402">
        <v>0</v>
      </c>
      <c r="W402">
        <v>90</v>
      </c>
      <c r="X402">
        <v>21.4</v>
      </c>
      <c r="Y402">
        <v>33.5</v>
      </c>
    </row>
    <row r="403" spans="1:25" x14ac:dyDescent="0.25">
      <c r="A403" t="s">
        <v>5485</v>
      </c>
      <c r="B403">
        <v>398</v>
      </c>
      <c r="C403">
        <v>61</v>
      </c>
      <c r="D403" t="s">
        <v>13</v>
      </c>
      <c r="E403" t="s">
        <v>5409</v>
      </c>
      <c r="F403" t="s">
        <v>3559</v>
      </c>
      <c r="G403" t="s">
        <v>24</v>
      </c>
      <c r="H403">
        <v>1</v>
      </c>
      <c r="I403">
        <v>555</v>
      </c>
      <c r="J403">
        <v>520</v>
      </c>
      <c r="K403" t="str">
        <f t="shared" si="6"/>
        <v>quar297278</v>
      </c>
      <c r="M403" t="s">
        <v>215</v>
      </c>
      <c r="N403" t="s">
        <v>2562</v>
      </c>
      <c r="Q403" t="s">
        <v>11083</v>
      </c>
      <c r="U403">
        <v>26</v>
      </c>
      <c r="V403">
        <v>0</v>
      </c>
      <c r="W403">
        <v>95</v>
      </c>
      <c r="X403">
        <v>29.7</v>
      </c>
      <c r="Y403">
        <v>27.8</v>
      </c>
    </row>
    <row r="404" spans="1:25" x14ac:dyDescent="0.25">
      <c r="A404" t="s">
        <v>5486</v>
      </c>
      <c r="B404">
        <v>399</v>
      </c>
      <c r="C404">
        <v>62</v>
      </c>
      <c r="D404" t="s">
        <v>13</v>
      </c>
      <c r="E404" t="s">
        <v>5409</v>
      </c>
      <c r="F404" t="s">
        <v>3559</v>
      </c>
      <c r="G404" t="s">
        <v>28</v>
      </c>
      <c r="H404">
        <v>1</v>
      </c>
      <c r="I404">
        <v>494</v>
      </c>
      <c r="J404">
        <v>283</v>
      </c>
      <c r="K404" t="str">
        <f t="shared" si="6"/>
        <v>quar264157</v>
      </c>
      <c r="M404" t="s">
        <v>1067</v>
      </c>
      <c r="N404" t="s">
        <v>1129</v>
      </c>
      <c r="Q404" t="s">
        <v>11083</v>
      </c>
      <c r="U404">
        <v>26</v>
      </c>
      <c r="V404">
        <v>0</v>
      </c>
      <c r="W404">
        <v>30</v>
      </c>
      <c r="X404">
        <v>26.4</v>
      </c>
      <c r="Y404">
        <v>15.7</v>
      </c>
    </row>
    <row r="405" spans="1:25" x14ac:dyDescent="0.25">
      <c r="A405" t="s">
        <v>5487</v>
      </c>
      <c r="B405">
        <v>400</v>
      </c>
      <c r="C405">
        <v>63</v>
      </c>
      <c r="D405" t="s">
        <v>13</v>
      </c>
      <c r="E405" t="s">
        <v>5409</v>
      </c>
      <c r="F405" t="s">
        <v>3559</v>
      </c>
      <c r="G405" t="s">
        <v>28</v>
      </c>
      <c r="H405">
        <v>1</v>
      </c>
      <c r="I405">
        <v>408</v>
      </c>
      <c r="J405">
        <v>661</v>
      </c>
      <c r="K405" t="str">
        <f t="shared" si="6"/>
        <v>quar21735</v>
      </c>
      <c r="M405" t="s">
        <v>1067</v>
      </c>
      <c r="N405" t="s">
        <v>1134</v>
      </c>
      <c r="Q405" t="s">
        <v>11083</v>
      </c>
      <c r="U405">
        <v>26</v>
      </c>
      <c r="V405">
        <v>0</v>
      </c>
      <c r="W405">
        <v>50</v>
      </c>
      <c r="X405">
        <v>21.7</v>
      </c>
      <c r="Y405">
        <v>35</v>
      </c>
    </row>
    <row r="406" spans="1:25" x14ac:dyDescent="0.25">
      <c r="A406" t="s">
        <v>5488</v>
      </c>
      <c r="B406">
        <v>401</v>
      </c>
      <c r="C406">
        <v>64</v>
      </c>
      <c r="D406" t="s">
        <v>13</v>
      </c>
      <c r="E406" t="s">
        <v>5409</v>
      </c>
      <c r="F406" t="s">
        <v>3559</v>
      </c>
      <c r="G406" t="s">
        <v>28</v>
      </c>
      <c r="H406">
        <v>1</v>
      </c>
      <c r="I406">
        <v>492</v>
      </c>
      <c r="J406">
        <v>336</v>
      </c>
      <c r="K406" t="str">
        <f t="shared" si="6"/>
        <v>quar276191</v>
      </c>
      <c r="M406" t="s">
        <v>11</v>
      </c>
      <c r="N406" t="s">
        <v>1728</v>
      </c>
      <c r="Q406" t="s">
        <v>11083</v>
      </c>
      <c r="U406">
        <v>26</v>
      </c>
      <c r="V406">
        <v>0</v>
      </c>
      <c r="W406">
        <v>60</v>
      </c>
      <c r="X406">
        <v>27.6</v>
      </c>
      <c r="Y406">
        <v>19.100000000000001</v>
      </c>
    </row>
    <row r="407" spans="1:25" x14ac:dyDescent="0.25">
      <c r="A407" t="s">
        <v>5489</v>
      </c>
      <c r="B407">
        <v>402</v>
      </c>
      <c r="C407">
        <v>65</v>
      </c>
      <c r="D407" t="s">
        <v>13</v>
      </c>
      <c r="E407" t="s">
        <v>5409</v>
      </c>
      <c r="F407" t="s">
        <v>3559</v>
      </c>
      <c r="G407" t="s">
        <v>28</v>
      </c>
      <c r="H407">
        <v>1</v>
      </c>
      <c r="I407">
        <v>645</v>
      </c>
      <c r="J407">
        <v>463</v>
      </c>
      <c r="K407" t="str">
        <f t="shared" si="6"/>
        <v>quar35926</v>
      </c>
      <c r="M407" t="s">
        <v>73</v>
      </c>
      <c r="N407" t="s">
        <v>1728</v>
      </c>
      <c r="Q407" t="s">
        <v>11083</v>
      </c>
      <c r="U407">
        <v>26</v>
      </c>
      <c r="V407">
        <v>0</v>
      </c>
      <c r="W407">
        <v>65</v>
      </c>
      <c r="X407">
        <v>35.9</v>
      </c>
      <c r="Y407">
        <v>26</v>
      </c>
    </row>
    <row r="408" spans="1:25" x14ac:dyDescent="0.25">
      <c r="A408" t="s">
        <v>5490</v>
      </c>
      <c r="B408">
        <v>403</v>
      </c>
      <c r="C408">
        <v>66</v>
      </c>
      <c r="D408" t="s">
        <v>13</v>
      </c>
      <c r="E408" t="s">
        <v>5409</v>
      </c>
      <c r="F408" t="s">
        <v>3559</v>
      </c>
      <c r="G408" t="s">
        <v>28</v>
      </c>
      <c r="H408">
        <v>1</v>
      </c>
      <c r="I408">
        <v>437</v>
      </c>
      <c r="J408">
        <v>239</v>
      </c>
      <c r="K408" t="str">
        <f t="shared" si="6"/>
        <v>quar234131</v>
      </c>
      <c r="M408" t="s">
        <v>73</v>
      </c>
      <c r="N408" t="s">
        <v>1783</v>
      </c>
      <c r="Q408" t="s">
        <v>11083</v>
      </c>
      <c r="U408">
        <v>26</v>
      </c>
      <c r="V408">
        <v>0</v>
      </c>
      <c r="W408">
        <v>65</v>
      </c>
      <c r="X408">
        <v>23.4</v>
      </c>
      <c r="Y408">
        <v>13.1</v>
      </c>
    </row>
    <row r="409" spans="1:25" x14ac:dyDescent="0.25">
      <c r="A409" t="s">
        <v>5491</v>
      </c>
      <c r="B409">
        <v>404</v>
      </c>
      <c r="C409">
        <v>67</v>
      </c>
      <c r="D409" t="s">
        <v>13</v>
      </c>
      <c r="E409" t="s">
        <v>5409</v>
      </c>
      <c r="F409" t="s">
        <v>3559</v>
      </c>
      <c r="G409" t="s">
        <v>28</v>
      </c>
      <c r="H409">
        <v>1</v>
      </c>
      <c r="I409">
        <v>405</v>
      </c>
      <c r="J409">
        <v>655</v>
      </c>
      <c r="K409" t="str">
        <f t="shared" si="6"/>
        <v>quar216348</v>
      </c>
      <c r="M409" t="s">
        <v>133</v>
      </c>
      <c r="N409" t="s">
        <v>2450</v>
      </c>
      <c r="Q409" t="s">
        <v>3669</v>
      </c>
      <c r="R409" t="s">
        <v>2805</v>
      </c>
      <c r="U409">
        <v>26</v>
      </c>
      <c r="V409">
        <v>0</v>
      </c>
      <c r="W409">
        <v>90</v>
      </c>
      <c r="X409">
        <v>21.6</v>
      </c>
      <c r="Y409">
        <v>34.799999999999997</v>
      </c>
    </row>
    <row r="410" spans="1:25" x14ac:dyDescent="0.25">
      <c r="A410" t="s">
        <v>5492</v>
      </c>
      <c r="B410">
        <v>405</v>
      </c>
      <c r="C410">
        <v>68</v>
      </c>
      <c r="D410" t="s">
        <v>13</v>
      </c>
      <c r="E410" t="s">
        <v>5409</v>
      </c>
      <c r="F410" t="s">
        <v>3559</v>
      </c>
      <c r="G410" t="s">
        <v>28</v>
      </c>
      <c r="H410">
        <v>1</v>
      </c>
      <c r="I410">
        <v>501</v>
      </c>
      <c r="J410">
        <v>218</v>
      </c>
      <c r="K410" t="str">
        <f t="shared" si="6"/>
        <v>quar267122</v>
      </c>
      <c r="M410" t="s">
        <v>215</v>
      </c>
      <c r="N410" t="s">
        <v>2732</v>
      </c>
      <c r="Q410" t="s">
        <v>3669</v>
      </c>
      <c r="R410" t="s">
        <v>2825</v>
      </c>
      <c r="U410">
        <v>26</v>
      </c>
      <c r="V410">
        <v>0</v>
      </c>
      <c r="W410">
        <v>100</v>
      </c>
      <c r="X410">
        <v>26.7</v>
      </c>
      <c r="Y410">
        <v>12.2</v>
      </c>
    </row>
    <row r="411" spans="1:25" x14ac:dyDescent="0.25">
      <c r="A411" t="s">
        <v>5493</v>
      </c>
      <c r="B411">
        <v>406</v>
      </c>
      <c r="C411">
        <v>69</v>
      </c>
      <c r="D411" t="s">
        <v>13</v>
      </c>
      <c r="E411" t="s">
        <v>5409</v>
      </c>
      <c r="F411" t="s">
        <v>3559</v>
      </c>
      <c r="G411" t="s">
        <v>19</v>
      </c>
      <c r="H411">
        <v>1</v>
      </c>
      <c r="I411">
        <v>344</v>
      </c>
      <c r="J411">
        <v>202</v>
      </c>
      <c r="K411" t="str">
        <f t="shared" si="6"/>
        <v>quar188113</v>
      </c>
      <c r="M411" t="s">
        <v>1067</v>
      </c>
      <c r="N411" t="s">
        <v>1471</v>
      </c>
      <c r="Q411" t="s">
        <v>11083</v>
      </c>
      <c r="U411">
        <v>26</v>
      </c>
      <c r="V411">
        <v>0</v>
      </c>
      <c r="W411">
        <v>30</v>
      </c>
      <c r="X411">
        <v>18.8</v>
      </c>
      <c r="Y411">
        <v>11.3</v>
      </c>
    </row>
    <row r="412" spans="1:25" x14ac:dyDescent="0.25">
      <c r="A412" t="s">
        <v>5494</v>
      </c>
      <c r="B412">
        <v>407</v>
      </c>
      <c r="C412">
        <v>70</v>
      </c>
      <c r="D412" t="s">
        <v>13</v>
      </c>
      <c r="E412" t="s">
        <v>5409</v>
      </c>
      <c r="F412" t="s">
        <v>3559</v>
      </c>
      <c r="G412" t="s">
        <v>19</v>
      </c>
      <c r="H412">
        <v>1</v>
      </c>
      <c r="I412">
        <v>410</v>
      </c>
      <c r="J412">
        <v>370</v>
      </c>
      <c r="K412" t="str">
        <f t="shared" si="6"/>
        <v>quar23421</v>
      </c>
      <c r="M412" t="s">
        <v>11</v>
      </c>
      <c r="N412" t="s">
        <v>1535</v>
      </c>
      <c r="Q412" t="s">
        <v>3669</v>
      </c>
      <c r="R412" t="s">
        <v>2825</v>
      </c>
      <c r="U412">
        <v>26</v>
      </c>
      <c r="V412">
        <v>0</v>
      </c>
      <c r="W412">
        <v>60</v>
      </c>
      <c r="X412">
        <v>23.4</v>
      </c>
      <c r="Y412">
        <v>21</v>
      </c>
    </row>
    <row r="413" spans="1:25" x14ac:dyDescent="0.25">
      <c r="A413" t="s">
        <v>5495</v>
      </c>
      <c r="B413">
        <v>408</v>
      </c>
      <c r="C413">
        <v>71</v>
      </c>
      <c r="D413" t="s">
        <v>13</v>
      </c>
      <c r="E413" t="s">
        <v>5409</v>
      </c>
      <c r="F413" t="s">
        <v>3559</v>
      </c>
      <c r="G413" t="s">
        <v>19</v>
      </c>
      <c r="H413">
        <v>1</v>
      </c>
      <c r="I413">
        <v>445</v>
      </c>
      <c r="J413">
        <v>559</v>
      </c>
      <c r="K413" t="str">
        <f t="shared" si="6"/>
        <v>quar251312</v>
      </c>
      <c r="M413" t="s">
        <v>11</v>
      </c>
      <c r="N413" t="s">
        <v>1598</v>
      </c>
      <c r="Q413" t="s">
        <v>3669</v>
      </c>
      <c r="R413" t="s">
        <v>2821</v>
      </c>
      <c r="U413">
        <v>26</v>
      </c>
      <c r="V413">
        <v>0</v>
      </c>
      <c r="W413">
        <v>60</v>
      </c>
      <c r="X413">
        <v>25.1</v>
      </c>
      <c r="Y413">
        <v>31.2</v>
      </c>
    </row>
    <row r="414" spans="1:25" x14ac:dyDescent="0.25">
      <c r="A414" t="s">
        <v>5496</v>
      </c>
      <c r="B414">
        <v>409</v>
      </c>
      <c r="C414">
        <v>72</v>
      </c>
      <c r="D414" t="s">
        <v>13</v>
      </c>
      <c r="E414" t="s">
        <v>5409</v>
      </c>
      <c r="F414" t="s">
        <v>3559</v>
      </c>
      <c r="G414" t="s">
        <v>19</v>
      </c>
      <c r="H414">
        <v>1</v>
      </c>
      <c r="I414">
        <v>548</v>
      </c>
      <c r="J414">
        <v>282</v>
      </c>
      <c r="K414" t="str">
        <f t="shared" si="6"/>
        <v>quar293152</v>
      </c>
      <c r="M414" t="s">
        <v>73</v>
      </c>
      <c r="N414" t="s">
        <v>1986</v>
      </c>
      <c r="Q414" t="s">
        <v>11083</v>
      </c>
      <c r="U414">
        <v>26</v>
      </c>
      <c r="V414">
        <v>0</v>
      </c>
      <c r="W414">
        <v>70</v>
      </c>
      <c r="X414">
        <v>29.3</v>
      </c>
      <c r="Y414">
        <v>15.2</v>
      </c>
    </row>
    <row r="415" spans="1:25" x14ac:dyDescent="0.25">
      <c r="A415" t="s">
        <v>5497</v>
      </c>
      <c r="B415">
        <v>410</v>
      </c>
      <c r="C415">
        <v>73</v>
      </c>
      <c r="D415" t="s">
        <v>13</v>
      </c>
      <c r="E415" t="s">
        <v>5409</v>
      </c>
      <c r="F415" t="s">
        <v>3559</v>
      </c>
      <c r="G415" t="s">
        <v>19</v>
      </c>
      <c r="H415">
        <v>1</v>
      </c>
      <c r="I415">
        <v>414</v>
      </c>
      <c r="J415">
        <v>541</v>
      </c>
      <c r="K415" t="str">
        <f t="shared" si="6"/>
        <v>quar223286</v>
      </c>
      <c r="M415" t="s">
        <v>102</v>
      </c>
      <c r="N415" t="s">
        <v>1977</v>
      </c>
      <c r="Q415" t="s">
        <v>11083</v>
      </c>
      <c r="U415">
        <v>26</v>
      </c>
      <c r="V415">
        <v>0</v>
      </c>
      <c r="W415">
        <v>80</v>
      </c>
      <c r="X415">
        <v>22.3</v>
      </c>
      <c r="Y415">
        <v>28.6</v>
      </c>
    </row>
    <row r="416" spans="1:25" x14ac:dyDescent="0.25">
      <c r="A416" t="s">
        <v>5498</v>
      </c>
      <c r="B416">
        <v>411</v>
      </c>
      <c r="C416">
        <v>74</v>
      </c>
      <c r="D416" t="s">
        <v>13</v>
      </c>
      <c r="E416" t="s">
        <v>5409</v>
      </c>
      <c r="F416" t="s">
        <v>3559</v>
      </c>
      <c r="G416" t="s">
        <v>19</v>
      </c>
      <c r="H416">
        <v>1</v>
      </c>
      <c r="I416">
        <v>392</v>
      </c>
      <c r="J416">
        <v>542</v>
      </c>
      <c r="K416" t="str">
        <f t="shared" si="6"/>
        <v>quar2129</v>
      </c>
      <c r="M416" t="s">
        <v>133</v>
      </c>
      <c r="N416" t="s">
        <v>2411</v>
      </c>
      <c r="Q416" t="s">
        <v>11083</v>
      </c>
      <c r="U416">
        <v>26</v>
      </c>
      <c r="V416">
        <v>0</v>
      </c>
      <c r="W416">
        <v>85</v>
      </c>
      <c r="X416">
        <v>21</v>
      </c>
      <c r="Y416">
        <v>29</v>
      </c>
    </row>
    <row r="417" spans="1:25" x14ac:dyDescent="0.25">
      <c r="A417" t="s">
        <v>5499</v>
      </c>
      <c r="B417">
        <v>412</v>
      </c>
      <c r="C417">
        <v>75</v>
      </c>
      <c r="D417" t="s">
        <v>13</v>
      </c>
      <c r="E417" t="s">
        <v>5409</v>
      </c>
      <c r="F417" t="s">
        <v>3559</v>
      </c>
      <c r="G417" t="s">
        <v>19</v>
      </c>
      <c r="H417">
        <v>1</v>
      </c>
      <c r="I417">
        <v>180</v>
      </c>
      <c r="J417">
        <v>198</v>
      </c>
      <c r="K417" t="str">
        <f t="shared" si="6"/>
        <v>quar103112</v>
      </c>
      <c r="M417" t="s">
        <v>215</v>
      </c>
      <c r="N417" t="s">
        <v>2797</v>
      </c>
      <c r="Q417" t="s">
        <v>3669</v>
      </c>
      <c r="R417" t="s">
        <v>2805</v>
      </c>
      <c r="U417">
        <v>26</v>
      </c>
      <c r="V417">
        <v>0</v>
      </c>
      <c r="W417">
        <v>100</v>
      </c>
      <c r="X417">
        <v>10.3</v>
      </c>
      <c r="Y417">
        <v>11.2</v>
      </c>
    </row>
    <row r="418" spans="1:25" x14ac:dyDescent="0.25">
      <c r="A418" t="s">
        <v>5500</v>
      </c>
      <c r="B418">
        <v>413</v>
      </c>
      <c r="C418">
        <v>76</v>
      </c>
      <c r="D418" t="s">
        <v>13</v>
      </c>
      <c r="E418" t="s">
        <v>5409</v>
      </c>
      <c r="F418" t="s">
        <v>3559</v>
      </c>
      <c r="G418" t="s">
        <v>33</v>
      </c>
      <c r="H418">
        <v>1</v>
      </c>
      <c r="I418">
        <v>437</v>
      </c>
      <c r="J418">
        <v>437</v>
      </c>
      <c r="K418" t="str">
        <f t="shared" si="6"/>
        <v>quar235232</v>
      </c>
      <c r="M418" t="s">
        <v>1067</v>
      </c>
      <c r="N418" t="s">
        <v>1369</v>
      </c>
      <c r="Q418" t="s">
        <v>11083</v>
      </c>
      <c r="U418">
        <v>26</v>
      </c>
      <c r="V418">
        <v>0</v>
      </c>
      <c r="W418">
        <v>30</v>
      </c>
      <c r="X418">
        <v>23.5</v>
      </c>
      <c r="Y418">
        <v>23.2</v>
      </c>
    </row>
    <row r="419" spans="1:25" x14ac:dyDescent="0.25">
      <c r="A419" t="s">
        <v>5501</v>
      </c>
      <c r="B419">
        <v>414</v>
      </c>
      <c r="C419">
        <v>77</v>
      </c>
      <c r="D419" t="s">
        <v>13</v>
      </c>
      <c r="E419" t="s">
        <v>5409</v>
      </c>
      <c r="F419" t="s">
        <v>3559</v>
      </c>
      <c r="G419" t="s">
        <v>33</v>
      </c>
      <c r="H419">
        <v>1</v>
      </c>
      <c r="I419">
        <v>216</v>
      </c>
      <c r="J419">
        <v>329</v>
      </c>
      <c r="K419" t="str">
        <f t="shared" si="6"/>
        <v>quar122178</v>
      </c>
      <c r="M419" t="s">
        <v>73</v>
      </c>
      <c r="N419" t="s">
        <v>1891</v>
      </c>
      <c r="Q419" t="s">
        <v>11083</v>
      </c>
      <c r="U419">
        <v>26</v>
      </c>
      <c r="V419">
        <v>0</v>
      </c>
      <c r="W419">
        <v>65</v>
      </c>
      <c r="X419">
        <v>12.2</v>
      </c>
      <c r="Y419">
        <v>17.8</v>
      </c>
    </row>
    <row r="420" spans="1:25" x14ac:dyDescent="0.25">
      <c r="A420" t="s">
        <v>5502</v>
      </c>
      <c r="B420">
        <v>415</v>
      </c>
      <c r="C420">
        <v>78</v>
      </c>
      <c r="D420" t="s">
        <v>13</v>
      </c>
      <c r="E420" t="s">
        <v>5409</v>
      </c>
      <c r="F420" t="s">
        <v>3559</v>
      </c>
      <c r="G420" t="s">
        <v>33</v>
      </c>
      <c r="H420">
        <v>1</v>
      </c>
      <c r="I420">
        <v>740</v>
      </c>
      <c r="J420">
        <v>58</v>
      </c>
      <c r="K420" t="str">
        <f t="shared" si="6"/>
        <v>quar39438</v>
      </c>
      <c r="M420" t="s">
        <v>102</v>
      </c>
      <c r="N420" t="s">
        <v>5503</v>
      </c>
      <c r="Q420" t="s">
        <v>11083</v>
      </c>
      <c r="U420">
        <v>26</v>
      </c>
      <c r="V420">
        <v>0</v>
      </c>
      <c r="W420">
        <v>75</v>
      </c>
      <c r="X420">
        <v>39.4</v>
      </c>
      <c r="Y420">
        <v>3.8</v>
      </c>
    </row>
    <row r="421" spans="1:25" x14ac:dyDescent="0.25">
      <c r="A421" t="s">
        <v>5504</v>
      </c>
      <c r="B421">
        <v>416</v>
      </c>
      <c r="C421">
        <v>79</v>
      </c>
      <c r="D421" t="s">
        <v>13</v>
      </c>
      <c r="E421" t="s">
        <v>5409</v>
      </c>
      <c r="F421" t="s">
        <v>3559</v>
      </c>
      <c r="G421" t="s">
        <v>33</v>
      </c>
      <c r="H421">
        <v>1</v>
      </c>
      <c r="I421">
        <v>594</v>
      </c>
      <c r="J421">
        <v>202</v>
      </c>
      <c r="K421" t="str">
        <f t="shared" si="6"/>
        <v>quar316114</v>
      </c>
      <c r="M421" t="s">
        <v>133</v>
      </c>
      <c r="N421" t="s">
        <v>2210</v>
      </c>
      <c r="Q421" t="s">
        <v>11083</v>
      </c>
      <c r="U421">
        <v>26</v>
      </c>
      <c r="V421">
        <v>0</v>
      </c>
      <c r="W421">
        <v>85</v>
      </c>
      <c r="X421">
        <v>31.6</v>
      </c>
      <c r="Y421">
        <v>11.4</v>
      </c>
    </row>
    <row r="422" spans="1:25" x14ac:dyDescent="0.25">
      <c r="A422" t="s">
        <v>5505</v>
      </c>
      <c r="B422">
        <v>417</v>
      </c>
      <c r="C422">
        <v>80</v>
      </c>
      <c r="D422" t="s">
        <v>13</v>
      </c>
      <c r="E422" t="s">
        <v>5409</v>
      </c>
      <c r="F422" t="s">
        <v>3559</v>
      </c>
      <c r="G422" t="s">
        <v>33</v>
      </c>
      <c r="H422">
        <v>1</v>
      </c>
      <c r="I422">
        <v>280</v>
      </c>
      <c r="J422">
        <v>373</v>
      </c>
      <c r="K422" t="str">
        <f t="shared" si="6"/>
        <v>quar154201</v>
      </c>
      <c r="M422" t="s">
        <v>102</v>
      </c>
      <c r="N422" t="s">
        <v>2239</v>
      </c>
      <c r="Q422" t="s">
        <v>11083</v>
      </c>
      <c r="U422">
        <v>26</v>
      </c>
      <c r="V422">
        <v>0</v>
      </c>
      <c r="W422">
        <v>75</v>
      </c>
      <c r="X422">
        <v>15.4</v>
      </c>
      <c r="Y422">
        <v>20.100000000000001</v>
      </c>
    </row>
    <row r="423" spans="1:25" x14ac:dyDescent="0.25">
      <c r="A423" t="s">
        <v>5506</v>
      </c>
      <c r="B423">
        <v>418</v>
      </c>
      <c r="C423">
        <v>81</v>
      </c>
      <c r="D423" t="s">
        <v>13</v>
      </c>
      <c r="E423" t="s">
        <v>5409</v>
      </c>
      <c r="F423" t="s">
        <v>3559</v>
      </c>
      <c r="G423" t="s">
        <v>33</v>
      </c>
      <c r="H423">
        <v>1</v>
      </c>
      <c r="I423">
        <v>426</v>
      </c>
      <c r="J423">
        <v>215</v>
      </c>
      <c r="K423" t="str">
        <f t="shared" si="6"/>
        <v>quar22712</v>
      </c>
      <c r="M423" t="s">
        <v>133</v>
      </c>
      <c r="N423" t="s">
        <v>2337</v>
      </c>
      <c r="Q423" t="s">
        <v>11083</v>
      </c>
      <c r="U423">
        <v>26</v>
      </c>
      <c r="V423">
        <v>0</v>
      </c>
      <c r="W423">
        <v>85</v>
      </c>
      <c r="X423">
        <v>22.7</v>
      </c>
      <c r="Y423">
        <v>12</v>
      </c>
    </row>
    <row r="424" spans="1:25" x14ac:dyDescent="0.25">
      <c r="A424" t="s">
        <v>5507</v>
      </c>
      <c r="B424">
        <v>419</v>
      </c>
      <c r="C424">
        <v>82</v>
      </c>
      <c r="D424" t="s">
        <v>13</v>
      </c>
      <c r="E424" t="s">
        <v>5409</v>
      </c>
      <c r="F424" t="s">
        <v>3559</v>
      </c>
      <c r="G424" t="s">
        <v>5508</v>
      </c>
      <c r="H424">
        <v>0</v>
      </c>
      <c r="I424">
        <v>416</v>
      </c>
      <c r="J424">
        <v>558</v>
      </c>
      <c r="K424" t="str">
        <f t="shared" si="6"/>
        <v>quar224294</v>
      </c>
      <c r="M424" t="s">
        <v>1067</v>
      </c>
      <c r="N424" t="s">
        <v>1454</v>
      </c>
      <c r="Q424" t="s">
        <v>11083</v>
      </c>
      <c r="U424">
        <v>27</v>
      </c>
      <c r="V424">
        <v>0</v>
      </c>
      <c r="W424">
        <v>30</v>
      </c>
      <c r="X424">
        <v>22.4</v>
      </c>
      <c r="Y424">
        <v>29.4</v>
      </c>
    </row>
    <row r="425" spans="1:25" x14ac:dyDescent="0.25">
      <c r="A425" t="s">
        <v>5509</v>
      </c>
      <c r="B425">
        <v>420</v>
      </c>
      <c r="C425">
        <v>83</v>
      </c>
      <c r="D425" t="s">
        <v>13</v>
      </c>
      <c r="E425" t="s">
        <v>5409</v>
      </c>
      <c r="F425" t="s">
        <v>3559</v>
      </c>
      <c r="G425" t="s">
        <v>3705</v>
      </c>
      <c r="H425">
        <v>0</v>
      </c>
      <c r="I425">
        <v>437</v>
      </c>
      <c r="J425">
        <v>437</v>
      </c>
      <c r="K425" t="str">
        <f t="shared" si="6"/>
        <v>quar235232</v>
      </c>
      <c r="M425" t="s">
        <v>1067</v>
      </c>
      <c r="N425" t="s">
        <v>1369</v>
      </c>
      <c r="Q425" t="s">
        <v>11083</v>
      </c>
      <c r="U425">
        <v>28</v>
      </c>
      <c r="V425">
        <v>0</v>
      </c>
      <c r="W425">
        <v>30</v>
      </c>
      <c r="X425">
        <v>23.5</v>
      </c>
      <c r="Y425">
        <v>23.2</v>
      </c>
    </row>
    <row r="426" spans="1:25" x14ac:dyDescent="0.25">
      <c r="A426" t="s">
        <v>5510</v>
      </c>
      <c r="B426">
        <v>421</v>
      </c>
      <c r="C426">
        <v>84</v>
      </c>
      <c r="D426" t="s">
        <v>13</v>
      </c>
      <c r="E426" t="s">
        <v>5409</v>
      </c>
      <c r="F426" t="s">
        <v>3559</v>
      </c>
      <c r="G426" t="s">
        <v>3707</v>
      </c>
      <c r="H426">
        <v>0</v>
      </c>
      <c r="I426">
        <v>454</v>
      </c>
      <c r="J426">
        <v>367</v>
      </c>
      <c r="K426" t="str">
        <f t="shared" si="6"/>
        <v>quar243195</v>
      </c>
      <c r="M426" t="s">
        <v>1067</v>
      </c>
      <c r="N426" t="s">
        <v>1435</v>
      </c>
      <c r="Q426" t="s">
        <v>11083</v>
      </c>
      <c r="U426">
        <v>28</v>
      </c>
      <c r="V426">
        <v>0</v>
      </c>
      <c r="W426">
        <v>30</v>
      </c>
      <c r="X426">
        <v>24.3</v>
      </c>
      <c r="Y426">
        <v>19.5</v>
      </c>
    </row>
    <row r="427" spans="1:25" x14ac:dyDescent="0.25">
      <c r="A427" t="s">
        <v>5511</v>
      </c>
      <c r="B427">
        <v>422</v>
      </c>
      <c r="C427">
        <v>85</v>
      </c>
      <c r="D427" t="s">
        <v>13</v>
      </c>
      <c r="E427" t="s">
        <v>5409</v>
      </c>
      <c r="F427" t="s">
        <v>3559</v>
      </c>
      <c r="G427" t="s">
        <v>3709</v>
      </c>
      <c r="H427">
        <v>0</v>
      </c>
      <c r="I427">
        <v>494</v>
      </c>
      <c r="J427">
        <v>283</v>
      </c>
      <c r="K427" t="str">
        <f t="shared" si="6"/>
        <v>quar264157</v>
      </c>
      <c r="M427" t="s">
        <v>1067</v>
      </c>
      <c r="N427" t="s">
        <v>1129</v>
      </c>
      <c r="Q427" t="s">
        <v>11083</v>
      </c>
      <c r="U427">
        <v>28</v>
      </c>
      <c r="V427">
        <v>0</v>
      </c>
      <c r="W427">
        <v>30</v>
      </c>
      <c r="X427">
        <v>26.4</v>
      </c>
      <c r="Y427">
        <v>15.7</v>
      </c>
    </row>
    <row r="428" spans="1:25" x14ac:dyDescent="0.25">
      <c r="A428" t="s">
        <v>5512</v>
      </c>
      <c r="B428">
        <v>423</v>
      </c>
      <c r="C428">
        <v>86</v>
      </c>
      <c r="D428" t="s">
        <v>13</v>
      </c>
      <c r="E428" t="s">
        <v>5409</v>
      </c>
      <c r="F428" t="s">
        <v>3559</v>
      </c>
      <c r="G428" t="s">
        <v>3711</v>
      </c>
      <c r="H428">
        <v>0</v>
      </c>
      <c r="I428">
        <v>596</v>
      </c>
      <c r="J428">
        <v>533</v>
      </c>
      <c r="K428" t="str">
        <f t="shared" si="6"/>
        <v>quar315283</v>
      </c>
      <c r="M428" t="s">
        <v>1067</v>
      </c>
      <c r="N428" t="s">
        <v>1163</v>
      </c>
      <c r="Q428" t="s">
        <v>11083</v>
      </c>
      <c r="U428">
        <v>28</v>
      </c>
      <c r="V428">
        <v>0</v>
      </c>
      <c r="W428">
        <v>30</v>
      </c>
      <c r="X428">
        <v>31.5</v>
      </c>
      <c r="Y428">
        <v>28.3</v>
      </c>
    </row>
    <row r="429" spans="1:25" x14ac:dyDescent="0.25">
      <c r="A429" t="s">
        <v>5513</v>
      </c>
      <c r="B429">
        <v>424</v>
      </c>
      <c r="C429">
        <v>87</v>
      </c>
      <c r="D429" t="s">
        <v>13</v>
      </c>
      <c r="E429" t="s">
        <v>5409</v>
      </c>
      <c r="F429" t="s">
        <v>3559</v>
      </c>
      <c r="G429" t="s">
        <v>3713</v>
      </c>
      <c r="H429">
        <v>0</v>
      </c>
      <c r="I429">
        <v>494</v>
      </c>
      <c r="J429">
        <v>283</v>
      </c>
      <c r="K429" t="str">
        <f t="shared" si="6"/>
        <v>quar264157</v>
      </c>
      <c r="M429" t="s">
        <v>1067</v>
      </c>
      <c r="N429" t="s">
        <v>1129</v>
      </c>
      <c r="Q429" t="s">
        <v>11083</v>
      </c>
      <c r="U429">
        <v>28</v>
      </c>
      <c r="V429">
        <v>0</v>
      </c>
      <c r="W429">
        <v>30</v>
      </c>
      <c r="X429">
        <v>26.4</v>
      </c>
      <c r="Y429">
        <v>15.7</v>
      </c>
    </row>
    <row r="430" spans="1:25" x14ac:dyDescent="0.25">
      <c r="A430" t="s">
        <v>5514</v>
      </c>
      <c r="B430">
        <v>425</v>
      </c>
      <c r="C430">
        <v>88</v>
      </c>
      <c r="D430" t="s">
        <v>13</v>
      </c>
      <c r="E430" t="s">
        <v>5409</v>
      </c>
      <c r="F430" t="s">
        <v>3559</v>
      </c>
      <c r="G430" t="s">
        <v>3715</v>
      </c>
      <c r="H430">
        <v>0</v>
      </c>
      <c r="I430">
        <v>383</v>
      </c>
      <c r="J430">
        <v>517</v>
      </c>
      <c r="K430" t="str">
        <f t="shared" si="6"/>
        <v>quar205274</v>
      </c>
      <c r="M430" t="s">
        <v>1067</v>
      </c>
      <c r="N430" t="s">
        <v>1284</v>
      </c>
      <c r="Q430" t="s">
        <v>11083</v>
      </c>
      <c r="U430">
        <v>28</v>
      </c>
      <c r="V430">
        <v>0</v>
      </c>
      <c r="W430">
        <v>30</v>
      </c>
      <c r="X430">
        <v>20.5</v>
      </c>
      <c r="Y430">
        <v>27.4</v>
      </c>
    </row>
    <row r="431" spans="1:25" x14ac:dyDescent="0.25">
      <c r="A431" t="s">
        <v>5515</v>
      </c>
      <c r="B431">
        <v>426</v>
      </c>
      <c r="C431">
        <v>89</v>
      </c>
      <c r="D431" t="s">
        <v>13</v>
      </c>
      <c r="E431" t="s">
        <v>5409</v>
      </c>
      <c r="F431" t="s">
        <v>3559</v>
      </c>
      <c r="G431" t="s">
        <v>3717</v>
      </c>
      <c r="H431">
        <v>0</v>
      </c>
      <c r="I431">
        <v>344</v>
      </c>
      <c r="J431">
        <v>202</v>
      </c>
      <c r="K431" t="str">
        <f t="shared" si="6"/>
        <v>quar188113</v>
      </c>
      <c r="M431" t="s">
        <v>1067</v>
      </c>
      <c r="N431" t="s">
        <v>1471</v>
      </c>
      <c r="Q431" t="s">
        <v>11083</v>
      </c>
      <c r="U431">
        <v>28</v>
      </c>
      <c r="V431">
        <v>0</v>
      </c>
      <c r="W431">
        <v>30</v>
      </c>
      <c r="X431">
        <v>18.8</v>
      </c>
      <c r="Y431">
        <v>11.3</v>
      </c>
    </row>
    <row r="432" spans="1:25" x14ac:dyDescent="0.25">
      <c r="A432" t="s">
        <v>5516</v>
      </c>
      <c r="B432">
        <v>427</v>
      </c>
      <c r="C432">
        <v>90</v>
      </c>
      <c r="D432" t="s">
        <v>13</v>
      </c>
      <c r="E432" t="s">
        <v>5409</v>
      </c>
      <c r="F432" t="s">
        <v>3559</v>
      </c>
      <c r="G432" t="s">
        <v>5517</v>
      </c>
      <c r="H432">
        <v>0</v>
      </c>
      <c r="I432">
        <v>230</v>
      </c>
      <c r="J432">
        <v>486</v>
      </c>
      <c r="K432" t="str">
        <f t="shared" si="6"/>
        <v>quar128259</v>
      </c>
      <c r="M432" t="s">
        <v>1067</v>
      </c>
      <c r="N432" t="s">
        <v>1201</v>
      </c>
      <c r="Q432" t="s">
        <v>11083</v>
      </c>
      <c r="U432">
        <v>29</v>
      </c>
      <c r="V432">
        <v>0</v>
      </c>
      <c r="W432">
        <v>30</v>
      </c>
      <c r="X432">
        <v>12.8</v>
      </c>
      <c r="Y432">
        <v>25.9</v>
      </c>
    </row>
    <row r="433" spans="1:25" x14ac:dyDescent="0.25">
      <c r="A433" t="s">
        <v>5518</v>
      </c>
      <c r="B433">
        <v>428</v>
      </c>
      <c r="C433">
        <v>91</v>
      </c>
      <c r="D433" t="s">
        <v>13</v>
      </c>
      <c r="E433" t="s">
        <v>5409</v>
      </c>
      <c r="F433" t="s">
        <v>3559</v>
      </c>
      <c r="G433" t="s">
        <v>5519</v>
      </c>
      <c r="H433">
        <v>0</v>
      </c>
      <c r="I433">
        <v>230</v>
      </c>
      <c r="J433">
        <v>486</v>
      </c>
      <c r="K433" t="str">
        <f t="shared" si="6"/>
        <v>quar128259</v>
      </c>
      <c r="M433" t="s">
        <v>1067</v>
      </c>
      <c r="N433" t="s">
        <v>1201</v>
      </c>
      <c r="Q433" t="s">
        <v>11083</v>
      </c>
      <c r="U433">
        <v>30</v>
      </c>
      <c r="V433">
        <v>0</v>
      </c>
      <c r="W433">
        <v>30</v>
      </c>
      <c r="X433">
        <v>12.8</v>
      </c>
      <c r="Y433">
        <v>25.9</v>
      </c>
    </row>
    <row r="434" spans="1:25" x14ac:dyDescent="0.25">
      <c r="A434" t="s">
        <v>5520</v>
      </c>
      <c r="B434">
        <v>429</v>
      </c>
      <c r="C434">
        <v>92</v>
      </c>
      <c r="D434" t="s">
        <v>13</v>
      </c>
      <c r="E434" t="s">
        <v>5409</v>
      </c>
      <c r="F434" t="s">
        <v>3559</v>
      </c>
      <c r="G434" t="s">
        <v>5521</v>
      </c>
      <c r="H434">
        <v>0</v>
      </c>
      <c r="I434">
        <v>494</v>
      </c>
      <c r="J434">
        <v>283</v>
      </c>
      <c r="K434" t="str">
        <f t="shared" si="6"/>
        <v>quar264157</v>
      </c>
      <c r="L434" t="s">
        <v>3620</v>
      </c>
      <c r="M434" t="s">
        <v>1067</v>
      </c>
      <c r="N434" t="s">
        <v>1129</v>
      </c>
      <c r="Q434" t="s">
        <v>11083</v>
      </c>
      <c r="U434">
        <v>30</v>
      </c>
      <c r="V434">
        <v>0</v>
      </c>
      <c r="W434">
        <v>30</v>
      </c>
      <c r="X434">
        <v>26.4</v>
      </c>
      <c r="Y434">
        <v>15.7</v>
      </c>
    </row>
    <row r="435" spans="1:25" x14ac:dyDescent="0.25">
      <c r="A435" t="s">
        <v>5522</v>
      </c>
      <c r="B435">
        <v>430</v>
      </c>
      <c r="C435">
        <v>93</v>
      </c>
      <c r="D435" t="s">
        <v>13</v>
      </c>
      <c r="E435" t="s">
        <v>5409</v>
      </c>
      <c r="F435" t="s">
        <v>3559</v>
      </c>
      <c r="G435" t="s">
        <v>5523</v>
      </c>
      <c r="H435">
        <v>0</v>
      </c>
      <c r="I435">
        <v>383</v>
      </c>
      <c r="J435">
        <v>517</v>
      </c>
      <c r="K435" t="str">
        <f t="shared" si="6"/>
        <v>quar205274</v>
      </c>
      <c r="L435" t="s">
        <v>3620</v>
      </c>
      <c r="M435" t="s">
        <v>1067</v>
      </c>
      <c r="N435" t="s">
        <v>1284</v>
      </c>
      <c r="Q435" t="s">
        <v>11083</v>
      </c>
      <c r="U435">
        <v>30</v>
      </c>
      <c r="V435">
        <v>0</v>
      </c>
      <c r="W435">
        <v>30</v>
      </c>
      <c r="X435">
        <v>20.5</v>
      </c>
      <c r="Y435">
        <v>27.4</v>
      </c>
    </row>
    <row r="436" spans="1:25" x14ac:dyDescent="0.25">
      <c r="A436" t="s">
        <v>5524</v>
      </c>
      <c r="B436">
        <v>431</v>
      </c>
      <c r="C436">
        <v>94</v>
      </c>
      <c r="D436" t="s">
        <v>13</v>
      </c>
      <c r="E436" t="s">
        <v>5409</v>
      </c>
      <c r="F436" t="s">
        <v>3559</v>
      </c>
      <c r="G436" t="s">
        <v>5525</v>
      </c>
      <c r="H436">
        <v>0</v>
      </c>
      <c r="I436">
        <v>454</v>
      </c>
      <c r="J436">
        <v>367</v>
      </c>
      <c r="K436" t="str">
        <f t="shared" si="6"/>
        <v>quar243195</v>
      </c>
      <c r="L436" t="s">
        <v>3620</v>
      </c>
      <c r="M436" t="s">
        <v>1067</v>
      </c>
      <c r="N436" t="s">
        <v>1435</v>
      </c>
      <c r="Q436" t="s">
        <v>11083</v>
      </c>
      <c r="U436">
        <v>30</v>
      </c>
      <c r="V436">
        <v>0</v>
      </c>
      <c r="W436">
        <v>30</v>
      </c>
      <c r="X436">
        <v>24.3</v>
      </c>
      <c r="Y436">
        <v>19.5</v>
      </c>
    </row>
    <row r="437" spans="1:25" x14ac:dyDescent="0.25">
      <c r="A437" t="s">
        <v>5526</v>
      </c>
      <c r="B437">
        <v>432</v>
      </c>
      <c r="C437">
        <v>95</v>
      </c>
      <c r="D437" t="s">
        <v>13</v>
      </c>
      <c r="E437" t="s">
        <v>5409</v>
      </c>
      <c r="F437" t="s">
        <v>3559</v>
      </c>
      <c r="G437" t="s">
        <v>5527</v>
      </c>
      <c r="H437">
        <v>0</v>
      </c>
      <c r="I437">
        <v>332</v>
      </c>
      <c r="J437">
        <v>340</v>
      </c>
      <c r="K437" t="str">
        <f t="shared" si="6"/>
        <v>quar182184</v>
      </c>
      <c r="M437" t="s">
        <v>1067</v>
      </c>
      <c r="N437" t="s">
        <v>1457</v>
      </c>
      <c r="Q437" t="s">
        <v>11083</v>
      </c>
      <c r="U437">
        <v>33</v>
      </c>
      <c r="V437">
        <v>0</v>
      </c>
      <c r="W437">
        <v>35</v>
      </c>
      <c r="X437">
        <v>18.2</v>
      </c>
      <c r="Y437">
        <v>18.399999999999999</v>
      </c>
    </row>
    <row r="438" spans="1:25" x14ac:dyDescent="0.25">
      <c r="A438" t="s">
        <v>5528</v>
      </c>
      <c r="B438">
        <v>433</v>
      </c>
      <c r="C438">
        <v>96</v>
      </c>
      <c r="D438" t="s">
        <v>13</v>
      </c>
      <c r="E438" t="s">
        <v>5409</v>
      </c>
      <c r="F438" t="s">
        <v>3559</v>
      </c>
      <c r="G438" t="s">
        <v>5529</v>
      </c>
      <c r="H438">
        <v>0</v>
      </c>
      <c r="I438">
        <v>404</v>
      </c>
      <c r="J438">
        <v>527</v>
      </c>
      <c r="K438" t="str">
        <f t="shared" si="6"/>
        <v>quar21628</v>
      </c>
      <c r="M438" t="s">
        <v>1067</v>
      </c>
      <c r="N438" t="s">
        <v>1477</v>
      </c>
      <c r="Q438" t="s">
        <v>11083</v>
      </c>
      <c r="U438">
        <v>40</v>
      </c>
      <c r="V438">
        <v>0</v>
      </c>
      <c r="W438">
        <v>40</v>
      </c>
      <c r="X438">
        <v>21.6</v>
      </c>
      <c r="Y438">
        <v>28</v>
      </c>
    </row>
    <row r="439" spans="1:25" x14ac:dyDescent="0.25">
      <c r="A439" t="s">
        <v>5530</v>
      </c>
      <c r="B439">
        <v>434</v>
      </c>
      <c r="C439">
        <v>97</v>
      </c>
      <c r="D439" t="s">
        <v>13</v>
      </c>
      <c r="E439" t="s">
        <v>5409</v>
      </c>
      <c r="F439" t="s">
        <v>3559</v>
      </c>
      <c r="G439" t="s">
        <v>5531</v>
      </c>
      <c r="H439">
        <v>0</v>
      </c>
      <c r="I439">
        <v>532</v>
      </c>
      <c r="J439">
        <v>415</v>
      </c>
      <c r="K439" t="str">
        <f t="shared" si="6"/>
        <v>quar284221</v>
      </c>
      <c r="M439" t="s">
        <v>1067</v>
      </c>
      <c r="N439" t="s">
        <v>1195</v>
      </c>
      <c r="Q439" t="s">
        <v>11083</v>
      </c>
      <c r="U439">
        <v>42</v>
      </c>
      <c r="V439">
        <v>0</v>
      </c>
      <c r="W439">
        <v>45</v>
      </c>
      <c r="X439">
        <v>28.4</v>
      </c>
      <c r="Y439">
        <v>22.1</v>
      </c>
    </row>
    <row r="440" spans="1:25" x14ac:dyDescent="0.25">
      <c r="A440" t="s">
        <v>5532</v>
      </c>
      <c r="B440">
        <v>435</v>
      </c>
      <c r="C440">
        <v>98</v>
      </c>
      <c r="D440" t="s">
        <v>13</v>
      </c>
      <c r="E440" t="s">
        <v>5409</v>
      </c>
      <c r="F440" t="s">
        <v>3559</v>
      </c>
      <c r="G440" t="s">
        <v>5533</v>
      </c>
      <c r="H440">
        <v>0</v>
      </c>
      <c r="I440">
        <v>532</v>
      </c>
      <c r="J440">
        <v>415</v>
      </c>
      <c r="K440" t="str">
        <f t="shared" si="6"/>
        <v>quar284221</v>
      </c>
      <c r="M440" t="s">
        <v>1067</v>
      </c>
      <c r="N440" t="s">
        <v>1195</v>
      </c>
      <c r="Q440" t="s">
        <v>11083</v>
      </c>
      <c r="U440">
        <v>45</v>
      </c>
      <c r="V440">
        <v>0</v>
      </c>
      <c r="W440">
        <v>45</v>
      </c>
      <c r="X440">
        <v>28.4</v>
      </c>
      <c r="Y440">
        <v>22.1</v>
      </c>
    </row>
    <row r="441" spans="1:25" x14ac:dyDescent="0.25">
      <c r="A441" t="s">
        <v>5534</v>
      </c>
      <c r="B441">
        <v>436</v>
      </c>
      <c r="C441">
        <v>99</v>
      </c>
      <c r="D441" t="s">
        <v>13</v>
      </c>
      <c r="E441" t="s">
        <v>5409</v>
      </c>
      <c r="F441" t="s">
        <v>3559</v>
      </c>
      <c r="G441" t="s">
        <v>5535</v>
      </c>
      <c r="H441">
        <v>0</v>
      </c>
      <c r="I441">
        <v>408</v>
      </c>
      <c r="J441">
        <v>661</v>
      </c>
      <c r="K441" t="str">
        <f t="shared" si="6"/>
        <v>quar21735</v>
      </c>
      <c r="L441" t="s">
        <v>3620</v>
      </c>
      <c r="M441" t="s">
        <v>1067</v>
      </c>
      <c r="N441" t="s">
        <v>1134</v>
      </c>
      <c r="Q441" t="s">
        <v>11083</v>
      </c>
      <c r="U441">
        <v>46</v>
      </c>
      <c r="V441">
        <v>0</v>
      </c>
      <c r="W441">
        <v>50</v>
      </c>
      <c r="X441">
        <v>21.7</v>
      </c>
      <c r="Y441">
        <v>35</v>
      </c>
    </row>
    <row r="442" spans="1:25" x14ac:dyDescent="0.25">
      <c r="A442" t="s">
        <v>5536</v>
      </c>
      <c r="B442">
        <v>437</v>
      </c>
      <c r="C442">
        <v>100</v>
      </c>
      <c r="D442" t="s">
        <v>13</v>
      </c>
      <c r="E442" t="s">
        <v>5409</v>
      </c>
      <c r="F442" t="s">
        <v>3559</v>
      </c>
      <c r="G442" t="s">
        <v>5537</v>
      </c>
      <c r="H442">
        <v>0</v>
      </c>
      <c r="I442">
        <v>336</v>
      </c>
      <c r="J442">
        <v>462</v>
      </c>
      <c r="K442" t="str">
        <f t="shared" si="6"/>
        <v>quar181246</v>
      </c>
      <c r="L442" t="s">
        <v>3620</v>
      </c>
      <c r="M442" t="s">
        <v>1067</v>
      </c>
      <c r="N442" t="s">
        <v>1294</v>
      </c>
      <c r="Q442" t="s">
        <v>11083</v>
      </c>
      <c r="U442">
        <v>46</v>
      </c>
      <c r="V442">
        <v>0</v>
      </c>
      <c r="W442">
        <v>50</v>
      </c>
      <c r="X442">
        <v>18.100000000000001</v>
      </c>
      <c r="Y442">
        <v>24.6</v>
      </c>
    </row>
    <row r="443" spans="1:25" x14ac:dyDescent="0.25">
      <c r="A443" t="s">
        <v>5538</v>
      </c>
      <c r="B443">
        <v>438</v>
      </c>
      <c r="C443">
        <v>101</v>
      </c>
      <c r="D443" t="s">
        <v>13</v>
      </c>
      <c r="E443" t="s">
        <v>5409</v>
      </c>
      <c r="F443" t="s">
        <v>3559</v>
      </c>
      <c r="G443" t="s">
        <v>5539</v>
      </c>
      <c r="H443">
        <v>0</v>
      </c>
      <c r="I443">
        <v>336</v>
      </c>
      <c r="J443">
        <v>540</v>
      </c>
      <c r="K443" t="str">
        <f t="shared" si="6"/>
        <v>quar183287</v>
      </c>
      <c r="L443" t="s">
        <v>3620</v>
      </c>
      <c r="M443" t="s">
        <v>1067</v>
      </c>
      <c r="N443" t="s">
        <v>1379</v>
      </c>
      <c r="Q443" t="s">
        <v>11083</v>
      </c>
      <c r="U443">
        <v>46</v>
      </c>
      <c r="V443">
        <v>0</v>
      </c>
      <c r="W443">
        <v>50</v>
      </c>
      <c r="X443">
        <v>18.3</v>
      </c>
      <c r="Y443">
        <v>28.7</v>
      </c>
    </row>
    <row r="444" spans="1:25" x14ac:dyDescent="0.25">
      <c r="A444" t="s">
        <v>5540</v>
      </c>
      <c r="B444">
        <v>439</v>
      </c>
      <c r="C444">
        <v>102</v>
      </c>
      <c r="D444" t="s">
        <v>13</v>
      </c>
      <c r="E444" t="s">
        <v>5409</v>
      </c>
      <c r="F444" t="s">
        <v>3559</v>
      </c>
      <c r="G444" t="s">
        <v>5541</v>
      </c>
      <c r="H444">
        <v>0</v>
      </c>
      <c r="I444">
        <v>670</v>
      </c>
      <c r="J444">
        <v>554</v>
      </c>
      <c r="K444" t="str">
        <f t="shared" si="6"/>
        <v>quar355295</v>
      </c>
      <c r="L444" t="s">
        <v>3620</v>
      </c>
      <c r="M444" t="s">
        <v>1067</v>
      </c>
      <c r="N444" t="s">
        <v>1163</v>
      </c>
      <c r="Q444" t="s">
        <v>11083</v>
      </c>
      <c r="U444">
        <v>50</v>
      </c>
      <c r="V444">
        <v>0</v>
      </c>
      <c r="W444">
        <v>50</v>
      </c>
      <c r="X444">
        <v>35.5</v>
      </c>
      <c r="Y444">
        <v>29.5</v>
      </c>
    </row>
    <row r="445" spans="1:25" x14ac:dyDescent="0.25">
      <c r="A445" t="s">
        <v>5542</v>
      </c>
      <c r="B445">
        <v>440</v>
      </c>
      <c r="C445">
        <v>103</v>
      </c>
      <c r="D445" t="s">
        <v>13</v>
      </c>
      <c r="E445" t="s">
        <v>5409</v>
      </c>
      <c r="F445" t="s">
        <v>3559</v>
      </c>
      <c r="G445" t="s">
        <v>16</v>
      </c>
      <c r="H445">
        <v>1</v>
      </c>
      <c r="I445">
        <v>453</v>
      </c>
      <c r="J445">
        <v>499</v>
      </c>
      <c r="K445" t="str">
        <f t="shared" si="6"/>
        <v>quar243269</v>
      </c>
      <c r="M445" t="s">
        <v>1067</v>
      </c>
      <c r="N445" t="s">
        <v>1089</v>
      </c>
      <c r="Q445" t="s">
        <v>3749</v>
      </c>
      <c r="R445" t="s">
        <v>2824</v>
      </c>
      <c r="U445">
        <v>50</v>
      </c>
      <c r="V445">
        <v>0</v>
      </c>
      <c r="W445">
        <v>50</v>
      </c>
      <c r="X445">
        <v>24.3</v>
      </c>
      <c r="Y445">
        <v>26.9</v>
      </c>
    </row>
    <row r="446" spans="1:25" x14ac:dyDescent="0.25">
      <c r="A446" t="s">
        <v>5543</v>
      </c>
      <c r="B446">
        <v>441</v>
      </c>
      <c r="C446">
        <v>104</v>
      </c>
      <c r="D446" t="s">
        <v>13</v>
      </c>
      <c r="E446" t="s">
        <v>5409</v>
      </c>
      <c r="F446" t="s">
        <v>3559</v>
      </c>
      <c r="G446" t="s">
        <v>16</v>
      </c>
      <c r="H446">
        <v>1</v>
      </c>
      <c r="I446">
        <v>518</v>
      </c>
      <c r="J446">
        <v>196</v>
      </c>
      <c r="K446" t="str">
        <f t="shared" si="6"/>
        <v>quar277109</v>
      </c>
      <c r="M446" t="s">
        <v>1067</v>
      </c>
      <c r="N446" t="s">
        <v>1583</v>
      </c>
      <c r="Q446" t="s">
        <v>3749</v>
      </c>
      <c r="R446" t="s">
        <v>2828</v>
      </c>
      <c r="U446">
        <v>50</v>
      </c>
      <c r="V446">
        <v>0</v>
      </c>
      <c r="W446">
        <v>50</v>
      </c>
      <c r="X446">
        <v>27.7</v>
      </c>
      <c r="Y446">
        <v>10.9</v>
      </c>
    </row>
    <row r="447" spans="1:25" x14ac:dyDescent="0.25">
      <c r="A447" t="s">
        <v>5544</v>
      </c>
      <c r="B447">
        <v>442</v>
      </c>
      <c r="C447">
        <v>105</v>
      </c>
      <c r="D447" t="s">
        <v>13</v>
      </c>
      <c r="E447" t="s">
        <v>5409</v>
      </c>
      <c r="F447" t="s">
        <v>3559</v>
      </c>
      <c r="G447" t="s">
        <v>16</v>
      </c>
      <c r="H447">
        <v>1</v>
      </c>
      <c r="I447">
        <v>457</v>
      </c>
      <c r="J447">
        <v>381</v>
      </c>
      <c r="K447" t="str">
        <f t="shared" si="6"/>
        <v>quar256215</v>
      </c>
      <c r="M447" t="s">
        <v>11</v>
      </c>
      <c r="N447" t="s">
        <v>1672</v>
      </c>
      <c r="Q447" t="s">
        <v>3669</v>
      </c>
      <c r="R447" t="s">
        <v>2810</v>
      </c>
      <c r="U447">
        <v>50</v>
      </c>
      <c r="V447">
        <v>0</v>
      </c>
      <c r="W447">
        <v>60</v>
      </c>
      <c r="X447">
        <v>25.6</v>
      </c>
      <c r="Y447">
        <v>21.5</v>
      </c>
    </row>
    <row r="448" spans="1:25" x14ac:dyDescent="0.25">
      <c r="A448" t="s">
        <v>5545</v>
      </c>
      <c r="B448">
        <v>443</v>
      </c>
      <c r="C448">
        <v>106</v>
      </c>
      <c r="D448" t="s">
        <v>13</v>
      </c>
      <c r="E448" t="s">
        <v>5409</v>
      </c>
      <c r="F448" t="s">
        <v>3559</v>
      </c>
      <c r="G448" t="s">
        <v>16</v>
      </c>
      <c r="H448">
        <v>1</v>
      </c>
      <c r="I448">
        <v>523</v>
      </c>
      <c r="J448">
        <v>314</v>
      </c>
      <c r="K448" t="str">
        <f t="shared" si="6"/>
        <v>quar291179</v>
      </c>
      <c r="M448" t="s">
        <v>11</v>
      </c>
      <c r="N448" t="s">
        <v>1686</v>
      </c>
      <c r="Q448" t="s">
        <v>3669</v>
      </c>
      <c r="R448" t="s">
        <v>2815</v>
      </c>
      <c r="U448">
        <v>50</v>
      </c>
      <c r="V448">
        <v>0</v>
      </c>
      <c r="W448">
        <v>60</v>
      </c>
      <c r="X448">
        <v>29.1</v>
      </c>
      <c r="Y448">
        <v>17.899999999999999</v>
      </c>
    </row>
    <row r="449" spans="1:25" x14ac:dyDescent="0.25">
      <c r="A449" t="s">
        <v>5546</v>
      </c>
      <c r="B449">
        <v>444</v>
      </c>
      <c r="C449">
        <v>107</v>
      </c>
      <c r="D449" t="s">
        <v>13</v>
      </c>
      <c r="E449" t="s">
        <v>5409</v>
      </c>
      <c r="F449" t="s">
        <v>3559</v>
      </c>
      <c r="G449" t="s">
        <v>16</v>
      </c>
      <c r="H449">
        <v>1</v>
      </c>
      <c r="I449">
        <v>344</v>
      </c>
      <c r="J449">
        <v>663</v>
      </c>
      <c r="K449" t="str">
        <f t="shared" si="6"/>
        <v>quar194369</v>
      </c>
      <c r="M449" t="s">
        <v>11</v>
      </c>
      <c r="N449" t="s">
        <v>1726</v>
      </c>
      <c r="Q449" t="s">
        <v>3669</v>
      </c>
      <c r="R449" t="s">
        <v>2819</v>
      </c>
      <c r="U449">
        <v>50</v>
      </c>
      <c r="V449">
        <v>0</v>
      </c>
      <c r="W449">
        <v>60</v>
      </c>
      <c r="X449">
        <v>19.399999999999999</v>
      </c>
      <c r="Y449">
        <v>36.9</v>
      </c>
    </row>
    <row r="450" spans="1:25" x14ac:dyDescent="0.25">
      <c r="A450" t="s">
        <v>5547</v>
      </c>
      <c r="B450">
        <v>445</v>
      </c>
      <c r="C450">
        <v>108</v>
      </c>
      <c r="D450" t="s">
        <v>13</v>
      </c>
      <c r="E450" t="s">
        <v>5409</v>
      </c>
      <c r="F450" t="s">
        <v>3559</v>
      </c>
      <c r="G450" t="s">
        <v>16</v>
      </c>
      <c r="H450">
        <v>1</v>
      </c>
      <c r="I450">
        <v>542</v>
      </c>
      <c r="J450">
        <v>109</v>
      </c>
      <c r="K450" t="str">
        <f t="shared" ref="K450:K513" si="7">LEFT(A450,4)&amp;SUBSTITUTE(X450,".","")&amp;SUBSTITUTE(Y450,".","")</f>
        <v>quar28967</v>
      </c>
      <c r="M450" t="s">
        <v>73</v>
      </c>
      <c r="N450" t="s">
        <v>1955</v>
      </c>
      <c r="Q450" t="s">
        <v>3669</v>
      </c>
      <c r="R450" t="s">
        <v>2825</v>
      </c>
      <c r="U450">
        <v>50</v>
      </c>
      <c r="V450">
        <v>0</v>
      </c>
      <c r="W450">
        <v>70</v>
      </c>
      <c r="X450">
        <v>28.9</v>
      </c>
      <c r="Y450">
        <v>6.7</v>
      </c>
    </row>
    <row r="451" spans="1:25" x14ac:dyDescent="0.25">
      <c r="A451" t="s">
        <v>5548</v>
      </c>
      <c r="B451">
        <v>446</v>
      </c>
      <c r="C451">
        <v>109</v>
      </c>
      <c r="D451" t="s">
        <v>13</v>
      </c>
      <c r="E451" t="s">
        <v>5409</v>
      </c>
      <c r="F451" t="s">
        <v>3559</v>
      </c>
      <c r="G451" t="s">
        <v>16</v>
      </c>
      <c r="H451">
        <v>1</v>
      </c>
      <c r="I451">
        <v>624</v>
      </c>
      <c r="J451">
        <v>343</v>
      </c>
      <c r="K451" t="str">
        <f t="shared" si="7"/>
        <v>quar329185</v>
      </c>
      <c r="M451" t="s">
        <v>102</v>
      </c>
      <c r="N451" t="s">
        <v>2102</v>
      </c>
      <c r="Q451" t="s">
        <v>3669</v>
      </c>
      <c r="R451" t="s">
        <v>2821</v>
      </c>
      <c r="U451">
        <v>50</v>
      </c>
      <c r="V451">
        <v>0</v>
      </c>
      <c r="W451">
        <v>80</v>
      </c>
      <c r="X451">
        <v>32.9</v>
      </c>
      <c r="Y451">
        <v>18.5</v>
      </c>
    </row>
    <row r="452" spans="1:25" x14ac:dyDescent="0.25">
      <c r="A452" t="s">
        <v>5549</v>
      </c>
      <c r="B452">
        <v>447</v>
      </c>
      <c r="C452">
        <v>110</v>
      </c>
      <c r="D452" t="s">
        <v>13</v>
      </c>
      <c r="E452" t="s">
        <v>5409</v>
      </c>
      <c r="F452" t="s">
        <v>3559</v>
      </c>
      <c r="G452" t="s">
        <v>38</v>
      </c>
      <c r="H452">
        <v>1</v>
      </c>
      <c r="I452">
        <v>518</v>
      </c>
      <c r="J452">
        <v>196</v>
      </c>
      <c r="K452" t="str">
        <f t="shared" si="7"/>
        <v>quar277109</v>
      </c>
      <c r="M452" t="s">
        <v>1067</v>
      </c>
      <c r="N452" t="s">
        <v>1583</v>
      </c>
      <c r="Q452" t="s">
        <v>3749</v>
      </c>
      <c r="R452" t="s">
        <v>2828</v>
      </c>
      <c r="U452">
        <v>50</v>
      </c>
      <c r="V452">
        <v>0</v>
      </c>
      <c r="W452">
        <v>50</v>
      </c>
      <c r="X452">
        <v>27.7</v>
      </c>
      <c r="Y452">
        <v>10.9</v>
      </c>
    </row>
    <row r="453" spans="1:25" x14ac:dyDescent="0.25">
      <c r="A453" t="s">
        <v>5550</v>
      </c>
      <c r="B453">
        <v>448</v>
      </c>
      <c r="C453">
        <v>111</v>
      </c>
      <c r="D453" t="s">
        <v>13</v>
      </c>
      <c r="E453" t="s">
        <v>5409</v>
      </c>
      <c r="F453" t="s">
        <v>3559</v>
      </c>
      <c r="G453" t="s">
        <v>25</v>
      </c>
      <c r="H453">
        <v>1</v>
      </c>
      <c r="I453">
        <v>518</v>
      </c>
      <c r="J453">
        <v>196</v>
      </c>
      <c r="K453" t="str">
        <f t="shared" si="7"/>
        <v>quar277109</v>
      </c>
      <c r="M453" t="s">
        <v>1067</v>
      </c>
      <c r="N453" t="s">
        <v>1583</v>
      </c>
      <c r="Q453" t="s">
        <v>3749</v>
      </c>
      <c r="R453" t="s">
        <v>2828</v>
      </c>
      <c r="U453">
        <v>50</v>
      </c>
      <c r="V453">
        <v>0</v>
      </c>
      <c r="W453">
        <v>50</v>
      </c>
      <c r="X453">
        <v>27.7</v>
      </c>
      <c r="Y453">
        <v>10.9</v>
      </c>
    </row>
    <row r="454" spans="1:25" x14ac:dyDescent="0.25">
      <c r="A454" t="s">
        <v>5551</v>
      </c>
      <c r="B454">
        <v>449</v>
      </c>
      <c r="C454">
        <v>112</v>
      </c>
      <c r="D454" t="s">
        <v>13</v>
      </c>
      <c r="E454" t="s">
        <v>5409</v>
      </c>
      <c r="F454" t="s">
        <v>3559</v>
      </c>
      <c r="G454" t="s">
        <v>29</v>
      </c>
      <c r="H454">
        <v>1</v>
      </c>
      <c r="I454">
        <v>518</v>
      </c>
      <c r="J454">
        <v>196</v>
      </c>
      <c r="K454" t="str">
        <f t="shared" si="7"/>
        <v>quar277109</v>
      </c>
      <c r="M454" t="s">
        <v>1067</v>
      </c>
      <c r="N454" t="s">
        <v>1583</v>
      </c>
      <c r="Q454" t="s">
        <v>3749</v>
      </c>
      <c r="R454" t="s">
        <v>2828</v>
      </c>
      <c r="U454">
        <v>50</v>
      </c>
      <c r="V454">
        <v>0</v>
      </c>
      <c r="W454">
        <v>50</v>
      </c>
      <c r="X454">
        <v>27.7</v>
      </c>
      <c r="Y454">
        <v>10.9</v>
      </c>
    </row>
    <row r="455" spans="1:25" x14ac:dyDescent="0.25">
      <c r="A455" t="s">
        <v>5552</v>
      </c>
      <c r="B455">
        <v>450</v>
      </c>
      <c r="C455">
        <v>113</v>
      </c>
      <c r="D455" t="s">
        <v>13</v>
      </c>
      <c r="E455" t="s">
        <v>5409</v>
      </c>
      <c r="F455" t="s">
        <v>3559</v>
      </c>
      <c r="G455" t="s">
        <v>29</v>
      </c>
      <c r="H455">
        <v>1</v>
      </c>
      <c r="I455">
        <v>405</v>
      </c>
      <c r="J455">
        <v>655</v>
      </c>
      <c r="K455" t="str">
        <f t="shared" si="7"/>
        <v>quar216348</v>
      </c>
      <c r="M455" t="s">
        <v>133</v>
      </c>
      <c r="N455" t="s">
        <v>2450</v>
      </c>
      <c r="Q455" t="s">
        <v>3669</v>
      </c>
      <c r="R455" t="s">
        <v>2805</v>
      </c>
      <c r="U455">
        <v>50</v>
      </c>
      <c r="V455">
        <v>0</v>
      </c>
      <c r="W455">
        <v>90</v>
      </c>
      <c r="X455">
        <v>21.6</v>
      </c>
      <c r="Y455">
        <v>34.799999999999997</v>
      </c>
    </row>
    <row r="456" spans="1:25" x14ac:dyDescent="0.25">
      <c r="A456" t="s">
        <v>5553</v>
      </c>
      <c r="B456">
        <v>451</v>
      </c>
      <c r="C456">
        <v>114</v>
      </c>
      <c r="D456" t="s">
        <v>13</v>
      </c>
      <c r="E456" t="s">
        <v>5409</v>
      </c>
      <c r="F456" t="s">
        <v>3559</v>
      </c>
      <c r="G456" t="s">
        <v>29</v>
      </c>
      <c r="H456">
        <v>1</v>
      </c>
      <c r="I456">
        <v>501</v>
      </c>
      <c r="J456">
        <v>218</v>
      </c>
      <c r="K456" t="str">
        <f t="shared" si="7"/>
        <v>quar267122</v>
      </c>
      <c r="M456" t="s">
        <v>215</v>
      </c>
      <c r="N456" t="s">
        <v>2732</v>
      </c>
      <c r="Q456" t="s">
        <v>3669</v>
      </c>
      <c r="R456" t="s">
        <v>2825</v>
      </c>
      <c r="U456">
        <v>50</v>
      </c>
      <c r="V456">
        <v>0</v>
      </c>
      <c r="W456">
        <v>100</v>
      </c>
      <c r="X456">
        <v>26.7</v>
      </c>
      <c r="Y456">
        <v>12.2</v>
      </c>
    </row>
    <row r="457" spans="1:25" x14ac:dyDescent="0.25">
      <c r="A457" t="s">
        <v>5554</v>
      </c>
      <c r="B457">
        <v>452</v>
      </c>
      <c r="C457">
        <v>115</v>
      </c>
      <c r="D457" t="s">
        <v>13</v>
      </c>
      <c r="E457" t="s">
        <v>5409</v>
      </c>
      <c r="F457" t="s">
        <v>3559</v>
      </c>
      <c r="G457" t="s">
        <v>20</v>
      </c>
      <c r="H457">
        <v>1</v>
      </c>
      <c r="I457">
        <v>410</v>
      </c>
      <c r="J457">
        <v>370</v>
      </c>
      <c r="K457" t="str">
        <f t="shared" si="7"/>
        <v>quar23421</v>
      </c>
      <c r="M457" t="s">
        <v>11</v>
      </c>
      <c r="N457" t="s">
        <v>1535</v>
      </c>
      <c r="Q457" t="s">
        <v>3669</v>
      </c>
      <c r="R457" t="s">
        <v>2825</v>
      </c>
      <c r="U457">
        <v>50</v>
      </c>
      <c r="V457">
        <v>0</v>
      </c>
      <c r="W457">
        <v>60</v>
      </c>
      <c r="X457">
        <v>23.4</v>
      </c>
      <c r="Y457">
        <v>21</v>
      </c>
    </row>
    <row r="458" spans="1:25" x14ac:dyDescent="0.25">
      <c r="A458" t="s">
        <v>5555</v>
      </c>
      <c r="B458">
        <v>453</v>
      </c>
      <c r="C458">
        <v>116</v>
      </c>
      <c r="D458" t="s">
        <v>13</v>
      </c>
      <c r="E458" t="s">
        <v>5409</v>
      </c>
      <c r="F458" t="s">
        <v>3559</v>
      </c>
      <c r="G458" t="s">
        <v>20</v>
      </c>
      <c r="H458">
        <v>1</v>
      </c>
      <c r="I458">
        <v>518</v>
      </c>
      <c r="J458">
        <v>196</v>
      </c>
      <c r="K458" t="str">
        <f t="shared" si="7"/>
        <v>quar277109</v>
      </c>
      <c r="M458" t="s">
        <v>1067</v>
      </c>
      <c r="N458" t="s">
        <v>1583</v>
      </c>
      <c r="Q458" t="s">
        <v>3749</v>
      </c>
      <c r="R458" t="s">
        <v>2828</v>
      </c>
      <c r="U458">
        <v>50</v>
      </c>
      <c r="V458">
        <v>0</v>
      </c>
      <c r="W458">
        <v>50</v>
      </c>
      <c r="X458">
        <v>27.7</v>
      </c>
      <c r="Y458">
        <v>10.9</v>
      </c>
    </row>
    <row r="459" spans="1:25" x14ac:dyDescent="0.25">
      <c r="A459" t="s">
        <v>5556</v>
      </c>
      <c r="B459">
        <v>454</v>
      </c>
      <c r="C459">
        <v>117</v>
      </c>
      <c r="D459" t="s">
        <v>13</v>
      </c>
      <c r="E459" t="s">
        <v>5409</v>
      </c>
      <c r="F459" t="s">
        <v>3559</v>
      </c>
      <c r="G459" t="s">
        <v>20</v>
      </c>
      <c r="H459">
        <v>1</v>
      </c>
      <c r="I459">
        <v>445</v>
      </c>
      <c r="J459">
        <v>559</v>
      </c>
      <c r="K459" t="str">
        <f t="shared" si="7"/>
        <v>quar251312</v>
      </c>
      <c r="M459" t="s">
        <v>11</v>
      </c>
      <c r="N459" t="s">
        <v>1598</v>
      </c>
      <c r="Q459" t="s">
        <v>3669</v>
      </c>
      <c r="R459" t="s">
        <v>2821</v>
      </c>
      <c r="U459">
        <v>50</v>
      </c>
      <c r="V459">
        <v>0</v>
      </c>
      <c r="W459">
        <v>60</v>
      </c>
      <c r="X459">
        <v>25.1</v>
      </c>
      <c r="Y459">
        <v>31.2</v>
      </c>
    </row>
    <row r="460" spans="1:25" x14ac:dyDescent="0.25">
      <c r="A460" t="s">
        <v>5557</v>
      </c>
      <c r="B460">
        <v>455</v>
      </c>
      <c r="C460">
        <v>118</v>
      </c>
      <c r="D460" t="s">
        <v>13</v>
      </c>
      <c r="E460" t="s">
        <v>5409</v>
      </c>
      <c r="F460" t="s">
        <v>3559</v>
      </c>
      <c r="G460" t="s">
        <v>20</v>
      </c>
      <c r="H460">
        <v>1</v>
      </c>
      <c r="I460">
        <v>180</v>
      </c>
      <c r="J460">
        <v>198</v>
      </c>
      <c r="K460" t="str">
        <f t="shared" si="7"/>
        <v>quar103112</v>
      </c>
      <c r="M460" t="s">
        <v>215</v>
      </c>
      <c r="N460" t="s">
        <v>2797</v>
      </c>
      <c r="Q460" t="s">
        <v>3669</v>
      </c>
      <c r="R460" t="s">
        <v>2805</v>
      </c>
      <c r="U460">
        <v>50</v>
      </c>
      <c r="V460">
        <v>0</v>
      </c>
      <c r="W460">
        <v>100</v>
      </c>
      <c r="X460">
        <v>10.3</v>
      </c>
      <c r="Y460">
        <v>11.2</v>
      </c>
    </row>
    <row r="461" spans="1:25" x14ac:dyDescent="0.25">
      <c r="A461" t="s">
        <v>5558</v>
      </c>
      <c r="B461">
        <v>456</v>
      </c>
      <c r="C461">
        <v>119</v>
      </c>
      <c r="D461" t="s">
        <v>13</v>
      </c>
      <c r="E461" t="s">
        <v>5409</v>
      </c>
      <c r="F461" t="s">
        <v>3559</v>
      </c>
      <c r="G461" t="s">
        <v>34</v>
      </c>
      <c r="H461">
        <v>1</v>
      </c>
      <c r="I461">
        <v>346</v>
      </c>
      <c r="J461">
        <v>535</v>
      </c>
      <c r="K461" t="str">
        <f t="shared" si="7"/>
        <v>quar189283</v>
      </c>
      <c r="M461" t="s">
        <v>1067</v>
      </c>
      <c r="N461" t="s">
        <v>1368</v>
      </c>
      <c r="Q461" t="s">
        <v>3749</v>
      </c>
      <c r="R461" t="s">
        <v>2811</v>
      </c>
      <c r="U461">
        <v>50</v>
      </c>
      <c r="V461">
        <v>0</v>
      </c>
      <c r="W461">
        <v>50</v>
      </c>
      <c r="X461">
        <v>18.899999999999999</v>
      </c>
      <c r="Y461">
        <v>28.3</v>
      </c>
    </row>
    <row r="462" spans="1:25" x14ac:dyDescent="0.25">
      <c r="A462" t="s">
        <v>5559</v>
      </c>
      <c r="B462">
        <v>457</v>
      </c>
      <c r="C462">
        <v>120</v>
      </c>
      <c r="D462" t="s">
        <v>13</v>
      </c>
      <c r="E462" t="s">
        <v>5409</v>
      </c>
      <c r="F462" t="s">
        <v>3559</v>
      </c>
      <c r="G462" t="s">
        <v>34</v>
      </c>
      <c r="H462">
        <v>1</v>
      </c>
      <c r="I462">
        <v>518</v>
      </c>
      <c r="J462">
        <v>196</v>
      </c>
      <c r="K462" t="str">
        <f t="shared" si="7"/>
        <v>quar277109</v>
      </c>
      <c r="M462" t="s">
        <v>1067</v>
      </c>
      <c r="N462" t="s">
        <v>1583</v>
      </c>
      <c r="Q462" t="s">
        <v>3749</v>
      </c>
      <c r="R462" t="s">
        <v>2828</v>
      </c>
      <c r="U462">
        <v>50</v>
      </c>
      <c r="V462">
        <v>0</v>
      </c>
      <c r="W462">
        <v>50</v>
      </c>
      <c r="X462">
        <v>27.7</v>
      </c>
      <c r="Y462">
        <v>10.9</v>
      </c>
    </row>
    <row r="463" spans="1:25" x14ac:dyDescent="0.25">
      <c r="A463" t="s">
        <v>5560</v>
      </c>
      <c r="B463">
        <v>458</v>
      </c>
      <c r="C463">
        <v>121</v>
      </c>
      <c r="D463" t="s">
        <v>13</v>
      </c>
      <c r="E463" t="s">
        <v>5409</v>
      </c>
      <c r="F463" t="s">
        <v>3559</v>
      </c>
      <c r="G463" t="s">
        <v>5561</v>
      </c>
      <c r="H463">
        <v>0</v>
      </c>
      <c r="I463">
        <v>438</v>
      </c>
      <c r="J463">
        <v>466</v>
      </c>
      <c r="K463" t="str">
        <f t="shared" si="7"/>
        <v>quar233247</v>
      </c>
      <c r="M463" t="s">
        <v>1067</v>
      </c>
      <c r="N463" t="s">
        <v>1501</v>
      </c>
      <c r="Q463" t="s">
        <v>3749</v>
      </c>
      <c r="R463" t="s">
        <v>2826</v>
      </c>
      <c r="U463">
        <v>50</v>
      </c>
      <c r="V463">
        <v>1</v>
      </c>
      <c r="W463">
        <v>50</v>
      </c>
      <c r="X463">
        <v>23.3</v>
      </c>
      <c r="Y463">
        <v>24.7</v>
      </c>
    </row>
    <row r="464" spans="1:25" x14ac:dyDescent="0.25">
      <c r="A464" t="s">
        <v>5562</v>
      </c>
      <c r="B464">
        <v>459</v>
      </c>
      <c r="C464">
        <v>122</v>
      </c>
      <c r="D464" t="s">
        <v>13</v>
      </c>
      <c r="E464" t="s">
        <v>5409</v>
      </c>
      <c r="F464" t="s">
        <v>3559</v>
      </c>
      <c r="G464" t="s">
        <v>5563</v>
      </c>
      <c r="H464">
        <v>0</v>
      </c>
      <c r="I464">
        <v>478</v>
      </c>
      <c r="J464">
        <v>434</v>
      </c>
      <c r="K464" t="str">
        <f t="shared" si="7"/>
        <v>quar255232</v>
      </c>
      <c r="M464" t="s">
        <v>1067</v>
      </c>
      <c r="N464" t="s">
        <v>1438</v>
      </c>
      <c r="Q464" t="s">
        <v>3749</v>
      </c>
      <c r="R464" t="s">
        <v>2811</v>
      </c>
      <c r="U464">
        <v>50</v>
      </c>
      <c r="V464">
        <v>1</v>
      </c>
      <c r="W464">
        <v>50</v>
      </c>
      <c r="X464">
        <v>25.5</v>
      </c>
      <c r="Y464">
        <v>23.2</v>
      </c>
    </row>
    <row r="465" spans="1:25" x14ac:dyDescent="0.25">
      <c r="A465" t="s">
        <v>5564</v>
      </c>
      <c r="B465">
        <v>460</v>
      </c>
      <c r="C465">
        <v>123</v>
      </c>
      <c r="D465" t="s">
        <v>13</v>
      </c>
      <c r="E465" t="s">
        <v>5409</v>
      </c>
      <c r="F465" t="s">
        <v>3559</v>
      </c>
      <c r="G465" t="s">
        <v>5565</v>
      </c>
      <c r="H465">
        <v>0</v>
      </c>
      <c r="I465">
        <v>355</v>
      </c>
      <c r="J465">
        <v>623</v>
      </c>
      <c r="K465" t="str">
        <f t="shared" si="7"/>
        <v>quar19333</v>
      </c>
      <c r="M465" t="s">
        <v>1067</v>
      </c>
      <c r="N465" t="s">
        <v>1153</v>
      </c>
      <c r="Q465" t="s">
        <v>3749</v>
      </c>
      <c r="R465" t="s">
        <v>2822</v>
      </c>
      <c r="U465">
        <v>50</v>
      </c>
      <c r="V465">
        <v>1</v>
      </c>
      <c r="W465">
        <v>50</v>
      </c>
      <c r="X465">
        <v>19.3</v>
      </c>
      <c r="Y465">
        <v>33</v>
      </c>
    </row>
    <row r="466" spans="1:25" x14ac:dyDescent="0.25">
      <c r="A466" t="s">
        <v>5566</v>
      </c>
      <c r="B466">
        <v>461</v>
      </c>
      <c r="C466">
        <v>124</v>
      </c>
      <c r="D466" t="s">
        <v>13</v>
      </c>
      <c r="E466" t="s">
        <v>5409</v>
      </c>
      <c r="F466" t="s">
        <v>3559</v>
      </c>
      <c r="G466" t="s">
        <v>3768</v>
      </c>
      <c r="H466">
        <v>0</v>
      </c>
      <c r="I466">
        <v>453</v>
      </c>
      <c r="J466">
        <v>499</v>
      </c>
      <c r="K466" t="str">
        <f t="shared" si="7"/>
        <v>quar243269</v>
      </c>
      <c r="L466" t="s">
        <v>3620</v>
      </c>
      <c r="M466" t="s">
        <v>1067</v>
      </c>
      <c r="N466" t="s">
        <v>1089</v>
      </c>
      <c r="Q466" t="s">
        <v>3749</v>
      </c>
      <c r="R466" t="s">
        <v>2824</v>
      </c>
      <c r="U466">
        <v>50</v>
      </c>
      <c r="V466">
        <v>1</v>
      </c>
      <c r="W466">
        <v>50</v>
      </c>
      <c r="X466">
        <v>24.3</v>
      </c>
      <c r="Y466">
        <v>26.9</v>
      </c>
    </row>
    <row r="467" spans="1:25" x14ac:dyDescent="0.25">
      <c r="A467" t="s">
        <v>5567</v>
      </c>
      <c r="B467">
        <v>462</v>
      </c>
      <c r="C467">
        <v>125</v>
      </c>
      <c r="D467" t="s">
        <v>13</v>
      </c>
      <c r="E467" t="s">
        <v>5409</v>
      </c>
      <c r="F467" t="s">
        <v>3559</v>
      </c>
      <c r="G467" t="s">
        <v>3768</v>
      </c>
      <c r="H467">
        <v>0</v>
      </c>
      <c r="I467">
        <v>319</v>
      </c>
      <c r="J467">
        <v>513</v>
      </c>
      <c r="K467" t="str">
        <f t="shared" si="7"/>
        <v>quar175275</v>
      </c>
      <c r="L467" t="s">
        <v>3620</v>
      </c>
      <c r="M467" t="s">
        <v>1067</v>
      </c>
      <c r="N467" t="s">
        <v>1156</v>
      </c>
      <c r="Q467" t="s">
        <v>3749</v>
      </c>
      <c r="R467" t="s">
        <v>2806</v>
      </c>
      <c r="U467">
        <v>50</v>
      </c>
      <c r="V467">
        <v>1</v>
      </c>
      <c r="W467">
        <v>50</v>
      </c>
      <c r="X467">
        <v>17.5</v>
      </c>
      <c r="Y467">
        <v>27.5</v>
      </c>
    </row>
    <row r="468" spans="1:25" x14ac:dyDescent="0.25">
      <c r="A468" t="s">
        <v>5568</v>
      </c>
      <c r="B468">
        <v>463</v>
      </c>
      <c r="C468">
        <v>126</v>
      </c>
      <c r="D468" t="s">
        <v>13</v>
      </c>
      <c r="E468" t="s">
        <v>5409</v>
      </c>
      <c r="F468" t="s">
        <v>3559</v>
      </c>
      <c r="G468" t="s">
        <v>3768</v>
      </c>
      <c r="H468">
        <v>0</v>
      </c>
      <c r="I468">
        <v>355</v>
      </c>
      <c r="J468">
        <v>623</v>
      </c>
      <c r="K468" t="str">
        <f t="shared" si="7"/>
        <v>quar19333</v>
      </c>
      <c r="L468" t="s">
        <v>3620</v>
      </c>
      <c r="M468" t="s">
        <v>1067</v>
      </c>
      <c r="N468" t="s">
        <v>1153</v>
      </c>
      <c r="Q468" t="s">
        <v>3749</v>
      </c>
      <c r="R468" t="s">
        <v>2822</v>
      </c>
      <c r="U468">
        <v>50</v>
      </c>
      <c r="V468">
        <v>1</v>
      </c>
      <c r="W468">
        <v>50</v>
      </c>
      <c r="X468">
        <v>19.3</v>
      </c>
      <c r="Y468">
        <v>33</v>
      </c>
    </row>
    <row r="469" spans="1:25" x14ac:dyDescent="0.25">
      <c r="A469" t="s">
        <v>5569</v>
      </c>
      <c r="B469">
        <v>464</v>
      </c>
      <c r="C469">
        <v>127</v>
      </c>
      <c r="D469" t="s">
        <v>13</v>
      </c>
      <c r="E469" t="s">
        <v>5409</v>
      </c>
      <c r="F469" t="s">
        <v>3559</v>
      </c>
      <c r="G469" t="s">
        <v>3768</v>
      </c>
      <c r="H469">
        <v>0</v>
      </c>
      <c r="I469">
        <v>309</v>
      </c>
      <c r="J469">
        <v>579</v>
      </c>
      <c r="K469" t="str">
        <f t="shared" si="7"/>
        <v>quar168306</v>
      </c>
      <c r="L469" t="s">
        <v>3620</v>
      </c>
      <c r="M469" t="s">
        <v>1067</v>
      </c>
      <c r="N469" t="s">
        <v>1298</v>
      </c>
      <c r="Q469" t="s">
        <v>3749</v>
      </c>
      <c r="R469" t="s">
        <v>2812</v>
      </c>
      <c r="U469">
        <v>50</v>
      </c>
      <c r="V469">
        <v>1</v>
      </c>
      <c r="W469">
        <v>50</v>
      </c>
      <c r="X469">
        <v>16.8</v>
      </c>
      <c r="Y469">
        <v>30.6</v>
      </c>
    </row>
    <row r="470" spans="1:25" x14ac:dyDescent="0.25">
      <c r="A470" t="s">
        <v>5570</v>
      </c>
      <c r="B470">
        <v>465</v>
      </c>
      <c r="C470">
        <v>128</v>
      </c>
      <c r="D470" t="s">
        <v>13</v>
      </c>
      <c r="E470" t="s">
        <v>5409</v>
      </c>
      <c r="F470" t="s">
        <v>3559</v>
      </c>
      <c r="G470" t="s">
        <v>3768</v>
      </c>
      <c r="H470">
        <v>0</v>
      </c>
      <c r="I470">
        <v>346</v>
      </c>
      <c r="J470">
        <v>535</v>
      </c>
      <c r="K470" t="str">
        <f t="shared" si="7"/>
        <v>quar189283</v>
      </c>
      <c r="L470" t="s">
        <v>3620</v>
      </c>
      <c r="M470" t="s">
        <v>1067</v>
      </c>
      <c r="N470" t="s">
        <v>1368</v>
      </c>
      <c r="Q470" t="s">
        <v>3749</v>
      </c>
      <c r="R470" t="s">
        <v>2811</v>
      </c>
      <c r="U470">
        <v>50</v>
      </c>
      <c r="V470">
        <v>1</v>
      </c>
      <c r="W470">
        <v>50</v>
      </c>
      <c r="X470">
        <v>18.899999999999999</v>
      </c>
      <c r="Y470">
        <v>28.3</v>
      </c>
    </row>
    <row r="471" spans="1:25" x14ac:dyDescent="0.25">
      <c r="A471" t="s">
        <v>5571</v>
      </c>
      <c r="B471">
        <v>466</v>
      </c>
      <c r="C471">
        <v>129</v>
      </c>
      <c r="D471" t="s">
        <v>13</v>
      </c>
      <c r="E471" t="s">
        <v>5409</v>
      </c>
      <c r="F471" t="s">
        <v>3559</v>
      </c>
      <c r="G471" t="s">
        <v>3768</v>
      </c>
      <c r="H471">
        <v>0</v>
      </c>
      <c r="I471">
        <v>478</v>
      </c>
      <c r="J471">
        <v>434</v>
      </c>
      <c r="K471" t="str">
        <f t="shared" si="7"/>
        <v>quar255232</v>
      </c>
      <c r="L471" t="s">
        <v>3620</v>
      </c>
      <c r="M471" t="s">
        <v>1067</v>
      </c>
      <c r="N471" t="s">
        <v>1438</v>
      </c>
      <c r="Q471" t="s">
        <v>3749</v>
      </c>
      <c r="R471" t="s">
        <v>2811</v>
      </c>
      <c r="U471">
        <v>50</v>
      </c>
      <c r="V471">
        <v>1</v>
      </c>
      <c r="W471">
        <v>50</v>
      </c>
      <c r="X471">
        <v>25.5</v>
      </c>
      <c r="Y471">
        <v>23.2</v>
      </c>
    </row>
    <row r="472" spans="1:25" x14ac:dyDescent="0.25">
      <c r="A472" t="s">
        <v>5572</v>
      </c>
      <c r="B472">
        <v>467</v>
      </c>
      <c r="C472">
        <v>130</v>
      </c>
      <c r="D472" t="s">
        <v>13</v>
      </c>
      <c r="E472" t="s">
        <v>5409</v>
      </c>
      <c r="F472" t="s">
        <v>3559</v>
      </c>
      <c r="G472" t="s">
        <v>3768</v>
      </c>
      <c r="H472">
        <v>0</v>
      </c>
      <c r="I472">
        <v>454</v>
      </c>
      <c r="J472">
        <v>367</v>
      </c>
      <c r="K472" t="str">
        <f t="shared" si="7"/>
        <v>quar243195</v>
      </c>
      <c r="L472" t="s">
        <v>3620</v>
      </c>
      <c r="M472" t="s">
        <v>1067</v>
      </c>
      <c r="N472" t="s">
        <v>1435</v>
      </c>
      <c r="Q472" t="s">
        <v>3749</v>
      </c>
      <c r="R472" t="s">
        <v>2807</v>
      </c>
      <c r="U472">
        <v>50</v>
      </c>
      <c r="V472">
        <v>1</v>
      </c>
      <c r="W472">
        <v>50</v>
      </c>
      <c r="X472">
        <v>24.3</v>
      </c>
      <c r="Y472">
        <v>19.5</v>
      </c>
    </row>
    <row r="473" spans="1:25" x14ac:dyDescent="0.25">
      <c r="A473" t="s">
        <v>5573</v>
      </c>
      <c r="B473">
        <v>468</v>
      </c>
      <c r="C473">
        <v>131</v>
      </c>
      <c r="D473" t="s">
        <v>13</v>
      </c>
      <c r="E473" t="s">
        <v>5409</v>
      </c>
      <c r="F473" t="s">
        <v>3559</v>
      </c>
      <c r="G473" t="s">
        <v>3768</v>
      </c>
      <c r="H473">
        <v>0</v>
      </c>
      <c r="I473">
        <v>438</v>
      </c>
      <c r="J473">
        <v>466</v>
      </c>
      <c r="K473" t="str">
        <f t="shared" si="7"/>
        <v>quar233247</v>
      </c>
      <c r="L473" t="s">
        <v>3620</v>
      </c>
      <c r="M473" t="s">
        <v>1067</v>
      </c>
      <c r="N473" t="s">
        <v>1501</v>
      </c>
      <c r="Q473" t="s">
        <v>3749</v>
      </c>
      <c r="R473" t="s">
        <v>2826</v>
      </c>
      <c r="U473">
        <v>50</v>
      </c>
      <c r="V473">
        <v>1</v>
      </c>
      <c r="W473">
        <v>50</v>
      </c>
      <c r="X473">
        <v>23.3</v>
      </c>
      <c r="Y473">
        <v>24.7</v>
      </c>
    </row>
    <row r="474" spans="1:25" x14ac:dyDescent="0.25">
      <c r="A474" t="s">
        <v>5574</v>
      </c>
      <c r="B474">
        <v>469</v>
      </c>
      <c r="C474">
        <v>132</v>
      </c>
      <c r="D474" t="s">
        <v>13</v>
      </c>
      <c r="E474" t="s">
        <v>5409</v>
      </c>
      <c r="F474" t="s">
        <v>3559</v>
      </c>
      <c r="G474" t="s">
        <v>3768</v>
      </c>
      <c r="H474">
        <v>0</v>
      </c>
      <c r="I474">
        <v>518</v>
      </c>
      <c r="J474">
        <v>196</v>
      </c>
      <c r="K474" t="str">
        <f t="shared" si="7"/>
        <v>quar277109</v>
      </c>
      <c r="L474" t="s">
        <v>3620</v>
      </c>
      <c r="M474" t="s">
        <v>1067</v>
      </c>
      <c r="N474" t="s">
        <v>1583</v>
      </c>
      <c r="Q474" t="s">
        <v>3749</v>
      </c>
      <c r="R474" t="s">
        <v>2828</v>
      </c>
      <c r="U474">
        <v>50</v>
      </c>
      <c r="V474">
        <v>1</v>
      </c>
      <c r="W474">
        <v>50</v>
      </c>
      <c r="X474">
        <v>27.7</v>
      </c>
      <c r="Y474">
        <v>10.9</v>
      </c>
    </row>
    <row r="475" spans="1:25" x14ac:dyDescent="0.25">
      <c r="A475" t="s">
        <v>5575</v>
      </c>
      <c r="B475">
        <v>470</v>
      </c>
      <c r="C475">
        <v>133</v>
      </c>
      <c r="D475" t="s">
        <v>13</v>
      </c>
      <c r="E475" t="s">
        <v>5409</v>
      </c>
      <c r="F475" t="s">
        <v>3559</v>
      </c>
      <c r="G475" t="s">
        <v>5576</v>
      </c>
      <c r="H475">
        <v>0</v>
      </c>
      <c r="I475">
        <v>309</v>
      </c>
      <c r="J475">
        <v>579</v>
      </c>
      <c r="K475" t="str">
        <f t="shared" si="7"/>
        <v>quar168306</v>
      </c>
      <c r="M475" t="s">
        <v>1067</v>
      </c>
      <c r="N475" t="s">
        <v>1298</v>
      </c>
      <c r="Q475" t="s">
        <v>3749</v>
      </c>
      <c r="R475" t="s">
        <v>2812</v>
      </c>
      <c r="U475">
        <v>50</v>
      </c>
      <c r="V475">
        <v>1</v>
      </c>
      <c r="W475">
        <v>50</v>
      </c>
      <c r="X475">
        <v>16.8</v>
      </c>
      <c r="Y475">
        <v>30.6</v>
      </c>
    </row>
    <row r="476" spans="1:25" x14ac:dyDescent="0.25">
      <c r="A476" t="s">
        <v>5577</v>
      </c>
      <c r="B476">
        <v>471</v>
      </c>
      <c r="C476">
        <v>134</v>
      </c>
      <c r="D476" t="s">
        <v>13</v>
      </c>
      <c r="E476" t="s">
        <v>5409</v>
      </c>
      <c r="F476" t="s">
        <v>3559</v>
      </c>
      <c r="G476" t="s">
        <v>5578</v>
      </c>
      <c r="H476">
        <v>0</v>
      </c>
      <c r="I476">
        <v>453</v>
      </c>
      <c r="J476">
        <v>499</v>
      </c>
      <c r="K476" t="str">
        <f t="shared" si="7"/>
        <v>quar243269</v>
      </c>
      <c r="M476" t="s">
        <v>1067</v>
      </c>
      <c r="N476" t="s">
        <v>1089</v>
      </c>
      <c r="Q476" t="s">
        <v>3749</v>
      </c>
      <c r="R476" t="s">
        <v>2824</v>
      </c>
      <c r="U476">
        <v>50</v>
      </c>
      <c r="V476">
        <v>1</v>
      </c>
      <c r="W476">
        <v>50</v>
      </c>
      <c r="X476">
        <v>24.3</v>
      </c>
      <c r="Y476">
        <v>26.9</v>
      </c>
    </row>
    <row r="477" spans="1:25" x14ac:dyDescent="0.25">
      <c r="A477" t="s">
        <v>5579</v>
      </c>
      <c r="B477">
        <v>472</v>
      </c>
      <c r="C477">
        <v>135</v>
      </c>
      <c r="D477" t="s">
        <v>13</v>
      </c>
      <c r="E477" t="s">
        <v>5409</v>
      </c>
      <c r="F477" t="s">
        <v>3559</v>
      </c>
      <c r="G477" t="s">
        <v>5580</v>
      </c>
      <c r="H477">
        <v>0</v>
      </c>
      <c r="I477">
        <v>309</v>
      </c>
      <c r="J477">
        <v>579</v>
      </c>
      <c r="K477" t="str">
        <f t="shared" si="7"/>
        <v>quar168306</v>
      </c>
      <c r="M477" t="s">
        <v>1067</v>
      </c>
      <c r="N477" t="s">
        <v>1298</v>
      </c>
      <c r="Q477" t="s">
        <v>3749</v>
      </c>
      <c r="R477" t="s">
        <v>2812</v>
      </c>
      <c r="U477">
        <v>50</v>
      </c>
      <c r="V477">
        <v>1</v>
      </c>
      <c r="W477">
        <v>50</v>
      </c>
      <c r="X477">
        <v>16.8</v>
      </c>
      <c r="Y477">
        <v>30.6</v>
      </c>
    </row>
    <row r="478" spans="1:25" x14ac:dyDescent="0.25">
      <c r="A478" t="s">
        <v>5581</v>
      </c>
      <c r="B478">
        <v>473</v>
      </c>
      <c r="C478">
        <v>136</v>
      </c>
      <c r="D478" t="s">
        <v>13</v>
      </c>
      <c r="E478" t="s">
        <v>5409</v>
      </c>
      <c r="F478" t="s">
        <v>3559</v>
      </c>
      <c r="G478" t="s">
        <v>5582</v>
      </c>
      <c r="H478">
        <v>0</v>
      </c>
      <c r="I478">
        <v>346</v>
      </c>
      <c r="J478">
        <v>535</v>
      </c>
      <c r="K478" t="str">
        <f t="shared" si="7"/>
        <v>quar189283</v>
      </c>
      <c r="M478" t="s">
        <v>1067</v>
      </c>
      <c r="N478" t="s">
        <v>1368</v>
      </c>
      <c r="Q478" t="s">
        <v>3749</v>
      </c>
      <c r="R478" t="s">
        <v>2811</v>
      </c>
      <c r="U478">
        <v>50</v>
      </c>
      <c r="V478">
        <v>1</v>
      </c>
      <c r="W478">
        <v>50</v>
      </c>
      <c r="X478">
        <v>18.899999999999999</v>
      </c>
      <c r="Y478">
        <v>28.3</v>
      </c>
    </row>
    <row r="479" spans="1:25" x14ac:dyDescent="0.25">
      <c r="A479" t="s">
        <v>5583</v>
      </c>
      <c r="B479">
        <v>474</v>
      </c>
      <c r="C479">
        <v>137</v>
      </c>
      <c r="D479" t="s">
        <v>13</v>
      </c>
      <c r="E479" t="s">
        <v>5409</v>
      </c>
      <c r="F479" t="s">
        <v>3559</v>
      </c>
      <c r="G479" t="s">
        <v>5584</v>
      </c>
      <c r="H479">
        <v>0</v>
      </c>
      <c r="I479">
        <v>454</v>
      </c>
      <c r="J479">
        <v>367</v>
      </c>
      <c r="K479" t="str">
        <f t="shared" si="7"/>
        <v>quar243195</v>
      </c>
      <c r="M479" t="s">
        <v>1067</v>
      </c>
      <c r="N479" t="s">
        <v>1435</v>
      </c>
      <c r="Q479" t="s">
        <v>3749</v>
      </c>
      <c r="R479" t="s">
        <v>2807</v>
      </c>
      <c r="U479">
        <v>50</v>
      </c>
      <c r="V479">
        <v>2</v>
      </c>
      <c r="W479">
        <v>50</v>
      </c>
      <c r="X479">
        <v>24.3</v>
      </c>
      <c r="Y479">
        <v>19.5</v>
      </c>
    </row>
    <row r="480" spans="1:25" x14ac:dyDescent="0.25">
      <c r="A480" t="s">
        <v>5585</v>
      </c>
      <c r="B480">
        <v>475</v>
      </c>
      <c r="C480">
        <v>138</v>
      </c>
      <c r="D480" t="s">
        <v>13</v>
      </c>
      <c r="E480" t="s">
        <v>5409</v>
      </c>
      <c r="F480" t="s">
        <v>3559</v>
      </c>
      <c r="G480" t="s">
        <v>3793</v>
      </c>
      <c r="H480">
        <v>0</v>
      </c>
      <c r="I480">
        <v>453</v>
      </c>
      <c r="J480">
        <v>499</v>
      </c>
      <c r="K480" t="str">
        <f t="shared" si="7"/>
        <v>quar243269</v>
      </c>
      <c r="L480" t="s">
        <v>3620</v>
      </c>
      <c r="M480" t="s">
        <v>1067</v>
      </c>
      <c r="N480" t="s">
        <v>1089</v>
      </c>
      <c r="Q480" t="s">
        <v>3749</v>
      </c>
      <c r="R480" t="s">
        <v>2824</v>
      </c>
      <c r="U480">
        <v>50</v>
      </c>
      <c r="V480">
        <v>2</v>
      </c>
      <c r="W480">
        <v>50</v>
      </c>
      <c r="X480">
        <v>24.3</v>
      </c>
      <c r="Y480">
        <v>26.9</v>
      </c>
    </row>
    <row r="481" spans="1:25" x14ac:dyDescent="0.25">
      <c r="A481" t="s">
        <v>5586</v>
      </c>
      <c r="B481">
        <v>476</v>
      </c>
      <c r="C481">
        <v>139</v>
      </c>
      <c r="D481" t="s">
        <v>13</v>
      </c>
      <c r="E481" t="s">
        <v>5409</v>
      </c>
      <c r="F481" t="s">
        <v>3559</v>
      </c>
      <c r="G481" t="s">
        <v>3793</v>
      </c>
      <c r="H481">
        <v>0</v>
      </c>
      <c r="I481">
        <v>319</v>
      </c>
      <c r="J481">
        <v>513</v>
      </c>
      <c r="K481" t="str">
        <f t="shared" si="7"/>
        <v>quar175275</v>
      </c>
      <c r="L481" t="s">
        <v>3620</v>
      </c>
      <c r="M481" t="s">
        <v>1067</v>
      </c>
      <c r="N481" t="s">
        <v>1156</v>
      </c>
      <c r="Q481" t="s">
        <v>3749</v>
      </c>
      <c r="R481" t="s">
        <v>2806</v>
      </c>
      <c r="U481">
        <v>50</v>
      </c>
      <c r="V481">
        <v>2</v>
      </c>
      <c r="W481">
        <v>50</v>
      </c>
      <c r="X481">
        <v>17.5</v>
      </c>
      <c r="Y481">
        <v>27.5</v>
      </c>
    </row>
    <row r="482" spans="1:25" x14ac:dyDescent="0.25">
      <c r="A482" t="s">
        <v>5587</v>
      </c>
      <c r="B482">
        <v>477</v>
      </c>
      <c r="C482">
        <v>140</v>
      </c>
      <c r="D482" t="s">
        <v>13</v>
      </c>
      <c r="E482" t="s">
        <v>5409</v>
      </c>
      <c r="F482" t="s">
        <v>3559</v>
      </c>
      <c r="G482" t="s">
        <v>3793</v>
      </c>
      <c r="H482">
        <v>0</v>
      </c>
      <c r="I482">
        <v>355</v>
      </c>
      <c r="J482">
        <v>623</v>
      </c>
      <c r="K482" t="str">
        <f t="shared" si="7"/>
        <v>quar19333</v>
      </c>
      <c r="L482" t="s">
        <v>3620</v>
      </c>
      <c r="M482" t="s">
        <v>1067</v>
      </c>
      <c r="N482" t="s">
        <v>1153</v>
      </c>
      <c r="Q482" t="s">
        <v>3749</v>
      </c>
      <c r="R482" t="s">
        <v>2822</v>
      </c>
      <c r="U482">
        <v>50</v>
      </c>
      <c r="V482">
        <v>2</v>
      </c>
      <c r="W482">
        <v>50</v>
      </c>
      <c r="X482">
        <v>19.3</v>
      </c>
      <c r="Y482">
        <v>33</v>
      </c>
    </row>
    <row r="483" spans="1:25" x14ac:dyDescent="0.25">
      <c r="A483" t="s">
        <v>5588</v>
      </c>
      <c r="B483">
        <v>478</v>
      </c>
      <c r="C483">
        <v>141</v>
      </c>
      <c r="D483" t="s">
        <v>13</v>
      </c>
      <c r="E483" t="s">
        <v>5409</v>
      </c>
      <c r="F483" t="s">
        <v>3559</v>
      </c>
      <c r="G483" t="s">
        <v>3793</v>
      </c>
      <c r="H483">
        <v>0</v>
      </c>
      <c r="I483">
        <v>309</v>
      </c>
      <c r="J483">
        <v>579</v>
      </c>
      <c r="K483" t="str">
        <f t="shared" si="7"/>
        <v>quar168306</v>
      </c>
      <c r="L483" t="s">
        <v>3620</v>
      </c>
      <c r="M483" t="s">
        <v>1067</v>
      </c>
      <c r="N483" t="s">
        <v>1298</v>
      </c>
      <c r="Q483" t="s">
        <v>3749</v>
      </c>
      <c r="R483" t="s">
        <v>2812</v>
      </c>
      <c r="U483">
        <v>50</v>
      </c>
      <c r="V483">
        <v>2</v>
      </c>
      <c r="W483">
        <v>50</v>
      </c>
      <c r="X483">
        <v>16.8</v>
      </c>
      <c r="Y483">
        <v>30.6</v>
      </c>
    </row>
    <row r="484" spans="1:25" x14ac:dyDescent="0.25">
      <c r="A484" t="s">
        <v>5589</v>
      </c>
      <c r="B484">
        <v>479</v>
      </c>
      <c r="C484">
        <v>142</v>
      </c>
      <c r="D484" t="s">
        <v>13</v>
      </c>
      <c r="E484" t="s">
        <v>5409</v>
      </c>
      <c r="F484" t="s">
        <v>3559</v>
      </c>
      <c r="G484" t="s">
        <v>3793</v>
      </c>
      <c r="H484">
        <v>0</v>
      </c>
      <c r="I484">
        <v>346</v>
      </c>
      <c r="J484">
        <v>535</v>
      </c>
      <c r="K484" t="str">
        <f t="shared" si="7"/>
        <v>quar189283</v>
      </c>
      <c r="L484" t="s">
        <v>3620</v>
      </c>
      <c r="M484" t="s">
        <v>1067</v>
      </c>
      <c r="N484" t="s">
        <v>1368</v>
      </c>
      <c r="Q484" t="s">
        <v>3749</v>
      </c>
      <c r="R484" t="s">
        <v>2811</v>
      </c>
      <c r="U484">
        <v>50</v>
      </c>
      <c r="V484">
        <v>2</v>
      </c>
      <c r="W484">
        <v>50</v>
      </c>
      <c r="X484">
        <v>18.899999999999999</v>
      </c>
      <c r="Y484">
        <v>28.3</v>
      </c>
    </row>
    <row r="485" spans="1:25" x14ac:dyDescent="0.25">
      <c r="A485" t="s">
        <v>5590</v>
      </c>
      <c r="B485">
        <v>480</v>
      </c>
      <c r="C485">
        <v>143</v>
      </c>
      <c r="D485" t="s">
        <v>13</v>
      </c>
      <c r="E485" t="s">
        <v>5409</v>
      </c>
      <c r="F485" t="s">
        <v>3559</v>
      </c>
      <c r="G485" t="s">
        <v>3793</v>
      </c>
      <c r="H485">
        <v>0</v>
      </c>
      <c r="I485">
        <v>478</v>
      </c>
      <c r="J485">
        <v>434</v>
      </c>
      <c r="K485" t="str">
        <f t="shared" si="7"/>
        <v>quar255232</v>
      </c>
      <c r="L485" t="s">
        <v>3620</v>
      </c>
      <c r="M485" t="s">
        <v>1067</v>
      </c>
      <c r="N485" t="s">
        <v>1438</v>
      </c>
      <c r="Q485" t="s">
        <v>3749</v>
      </c>
      <c r="R485" t="s">
        <v>2811</v>
      </c>
      <c r="U485">
        <v>50</v>
      </c>
      <c r="V485">
        <v>2</v>
      </c>
      <c r="W485">
        <v>50</v>
      </c>
      <c r="X485">
        <v>25.5</v>
      </c>
      <c r="Y485">
        <v>23.2</v>
      </c>
    </row>
    <row r="486" spans="1:25" x14ac:dyDescent="0.25">
      <c r="A486" t="s">
        <v>5591</v>
      </c>
      <c r="B486">
        <v>481</v>
      </c>
      <c r="C486">
        <v>144</v>
      </c>
      <c r="D486" t="s">
        <v>13</v>
      </c>
      <c r="E486" t="s">
        <v>5409</v>
      </c>
      <c r="F486" t="s">
        <v>3559</v>
      </c>
      <c r="G486" t="s">
        <v>3793</v>
      </c>
      <c r="H486">
        <v>0</v>
      </c>
      <c r="I486">
        <v>454</v>
      </c>
      <c r="J486">
        <v>367</v>
      </c>
      <c r="K486" t="str">
        <f t="shared" si="7"/>
        <v>quar243195</v>
      </c>
      <c r="L486" t="s">
        <v>3620</v>
      </c>
      <c r="M486" t="s">
        <v>1067</v>
      </c>
      <c r="N486" t="s">
        <v>1435</v>
      </c>
      <c r="Q486" t="s">
        <v>3749</v>
      </c>
      <c r="R486" t="s">
        <v>2807</v>
      </c>
      <c r="U486">
        <v>50</v>
      </c>
      <c r="V486">
        <v>2</v>
      </c>
      <c r="W486">
        <v>50</v>
      </c>
      <c r="X486">
        <v>24.3</v>
      </c>
      <c r="Y486">
        <v>19.5</v>
      </c>
    </row>
    <row r="487" spans="1:25" x14ac:dyDescent="0.25">
      <c r="A487" t="s">
        <v>5592</v>
      </c>
      <c r="B487">
        <v>482</v>
      </c>
      <c r="C487">
        <v>145</v>
      </c>
      <c r="D487" t="s">
        <v>13</v>
      </c>
      <c r="E487" t="s">
        <v>5409</v>
      </c>
      <c r="F487" t="s">
        <v>3559</v>
      </c>
      <c r="G487" t="s">
        <v>3793</v>
      </c>
      <c r="H487">
        <v>0</v>
      </c>
      <c r="I487">
        <v>438</v>
      </c>
      <c r="J487">
        <v>466</v>
      </c>
      <c r="K487" t="str">
        <f t="shared" si="7"/>
        <v>quar233247</v>
      </c>
      <c r="L487" t="s">
        <v>3620</v>
      </c>
      <c r="M487" t="s">
        <v>1067</v>
      </c>
      <c r="N487" t="s">
        <v>1501</v>
      </c>
      <c r="Q487" t="s">
        <v>3749</v>
      </c>
      <c r="R487" t="s">
        <v>2826</v>
      </c>
      <c r="U487">
        <v>50</v>
      </c>
      <c r="V487">
        <v>2</v>
      </c>
      <c r="W487">
        <v>50</v>
      </c>
      <c r="X487">
        <v>23.3</v>
      </c>
      <c r="Y487">
        <v>24.7</v>
      </c>
    </row>
    <row r="488" spans="1:25" x14ac:dyDescent="0.25">
      <c r="A488" t="s">
        <v>5593</v>
      </c>
      <c r="B488">
        <v>483</v>
      </c>
      <c r="C488">
        <v>146</v>
      </c>
      <c r="D488" t="s">
        <v>13</v>
      </c>
      <c r="E488" t="s">
        <v>5409</v>
      </c>
      <c r="F488" t="s">
        <v>3559</v>
      </c>
      <c r="G488" t="s">
        <v>3793</v>
      </c>
      <c r="H488">
        <v>0</v>
      </c>
      <c r="I488">
        <v>518</v>
      </c>
      <c r="J488">
        <v>196</v>
      </c>
      <c r="K488" t="str">
        <f t="shared" si="7"/>
        <v>quar277109</v>
      </c>
      <c r="L488" t="s">
        <v>3620</v>
      </c>
      <c r="M488" t="s">
        <v>1067</v>
      </c>
      <c r="N488" t="s">
        <v>1583</v>
      </c>
      <c r="Q488" t="s">
        <v>3749</v>
      </c>
      <c r="R488" t="s">
        <v>2828</v>
      </c>
      <c r="U488">
        <v>50</v>
      </c>
      <c r="V488">
        <v>2</v>
      </c>
      <c r="W488">
        <v>50</v>
      </c>
      <c r="X488">
        <v>27.7</v>
      </c>
      <c r="Y488">
        <v>10.9</v>
      </c>
    </row>
    <row r="489" spans="1:25" x14ac:dyDescent="0.25">
      <c r="A489" t="s">
        <v>5594</v>
      </c>
      <c r="B489">
        <v>484</v>
      </c>
      <c r="C489">
        <v>147</v>
      </c>
      <c r="D489" t="s">
        <v>13</v>
      </c>
      <c r="E489" t="s">
        <v>5409</v>
      </c>
      <c r="F489" t="s">
        <v>3559</v>
      </c>
      <c r="G489" t="s">
        <v>5595</v>
      </c>
      <c r="H489">
        <v>0</v>
      </c>
      <c r="I489">
        <v>319</v>
      </c>
      <c r="J489">
        <v>513</v>
      </c>
      <c r="K489" t="str">
        <f t="shared" si="7"/>
        <v>quar175275</v>
      </c>
      <c r="M489" t="s">
        <v>1067</v>
      </c>
      <c r="N489" t="s">
        <v>1156</v>
      </c>
      <c r="Q489" t="s">
        <v>3749</v>
      </c>
      <c r="R489" t="s">
        <v>2806</v>
      </c>
      <c r="U489">
        <v>50</v>
      </c>
      <c r="V489">
        <v>3</v>
      </c>
      <c r="W489">
        <v>50</v>
      </c>
      <c r="X489">
        <v>17.5</v>
      </c>
      <c r="Y489">
        <v>27.5</v>
      </c>
    </row>
    <row r="490" spans="1:25" x14ac:dyDescent="0.25">
      <c r="A490" t="s">
        <v>5596</v>
      </c>
      <c r="B490">
        <v>485</v>
      </c>
      <c r="C490">
        <v>148</v>
      </c>
      <c r="D490" t="s">
        <v>13</v>
      </c>
      <c r="E490" t="s">
        <v>5409</v>
      </c>
      <c r="F490" t="s">
        <v>3559</v>
      </c>
      <c r="G490" t="s">
        <v>5597</v>
      </c>
      <c r="H490">
        <v>0</v>
      </c>
      <c r="I490">
        <v>288</v>
      </c>
      <c r="J490">
        <v>220</v>
      </c>
      <c r="K490" t="str">
        <f t="shared" si="7"/>
        <v>quar166129</v>
      </c>
      <c r="M490" t="s">
        <v>11</v>
      </c>
      <c r="N490" t="s">
        <v>1545</v>
      </c>
      <c r="Q490" t="s">
        <v>11083</v>
      </c>
      <c r="U490">
        <v>51</v>
      </c>
      <c r="V490">
        <v>0</v>
      </c>
      <c r="W490">
        <v>55</v>
      </c>
      <c r="X490">
        <v>16.600000000000001</v>
      </c>
      <c r="Y490">
        <v>12.9</v>
      </c>
    </row>
    <row r="491" spans="1:25" x14ac:dyDescent="0.25">
      <c r="A491" t="s">
        <v>5598</v>
      </c>
      <c r="B491">
        <v>486</v>
      </c>
      <c r="C491">
        <v>149</v>
      </c>
      <c r="D491" t="s">
        <v>13</v>
      </c>
      <c r="E491" t="s">
        <v>5409</v>
      </c>
      <c r="F491" t="s">
        <v>3559</v>
      </c>
      <c r="G491" t="s">
        <v>5599</v>
      </c>
      <c r="H491">
        <v>0</v>
      </c>
      <c r="I491">
        <v>288</v>
      </c>
      <c r="J491">
        <v>220</v>
      </c>
      <c r="K491" t="str">
        <f t="shared" si="7"/>
        <v>quar166129</v>
      </c>
      <c r="M491" t="s">
        <v>11</v>
      </c>
      <c r="N491" t="s">
        <v>1545</v>
      </c>
      <c r="Q491" t="s">
        <v>11083</v>
      </c>
      <c r="U491">
        <v>52</v>
      </c>
      <c r="V491">
        <v>0</v>
      </c>
      <c r="W491">
        <v>55</v>
      </c>
      <c r="X491">
        <v>16.600000000000001</v>
      </c>
      <c r="Y491">
        <v>12.9</v>
      </c>
    </row>
    <row r="492" spans="1:25" x14ac:dyDescent="0.25">
      <c r="A492" t="s">
        <v>5600</v>
      </c>
      <c r="B492">
        <v>487</v>
      </c>
      <c r="C492">
        <v>150</v>
      </c>
      <c r="D492" t="s">
        <v>13</v>
      </c>
      <c r="E492" t="s">
        <v>5409</v>
      </c>
      <c r="F492" t="s">
        <v>3559</v>
      </c>
      <c r="G492" t="s">
        <v>5601</v>
      </c>
      <c r="H492">
        <v>0</v>
      </c>
      <c r="I492">
        <v>288</v>
      </c>
      <c r="J492">
        <v>220</v>
      </c>
      <c r="K492" t="str">
        <f t="shared" si="7"/>
        <v>quar166129</v>
      </c>
      <c r="M492" t="s">
        <v>11</v>
      </c>
      <c r="N492" t="s">
        <v>1545</v>
      </c>
      <c r="Q492" t="s">
        <v>11083</v>
      </c>
      <c r="U492">
        <v>55</v>
      </c>
      <c r="V492">
        <v>0</v>
      </c>
      <c r="W492">
        <v>55</v>
      </c>
      <c r="X492">
        <v>16.600000000000001</v>
      </c>
      <c r="Y492">
        <v>12.9</v>
      </c>
    </row>
    <row r="493" spans="1:25" x14ac:dyDescent="0.25">
      <c r="A493" t="s">
        <v>5602</v>
      </c>
      <c r="B493">
        <v>488</v>
      </c>
      <c r="C493">
        <v>151</v>
      </c>
      <c r="D493" t="s">
        <v>13</v>
      </c>
      <c r="E493" t="s">
        <v>5409</v>
      </c>
      <c r="F493" t="s">
        <v>3559</v>
      </c>
      <c r="G493" t="s">
        <v>5603</v>
      </c>
      <c r="H493">
        <v>0</v>
      </c>
      <c r="I493">
        <v>123</v>
      </c>
      <c r="J493">
        <v>125</v>
      </c>
      <c r="K493" t="str">
        <f t="shared" si="7"/>
        <v>quar7775</v>
      </c>
      <c r="M493" t="s">
        <v>11</v>
      </c>
      <c r="N493" t="s">
        <v>1616</v>
      </c>
      <c r="Q493" t="s">
        <v>3749</v>
      </c>
      <c r="R493" t="s">
        <v>2834</v>
      </c>
      <c r="U493">
        <v>56</v>
      </c>
      <c r="V493">
        <v>0</v>
      </c>
      <c r="W493">
        <v>60</v>
      </c>
      <c r="X493">
        <v>7.7</v>
      </c>
      <c r="Y493">
        <v>7.5</v>
      </c>
    </row>
    <row r="494" spans="1:25" x14ac:dyDescent="0.25">
      <c r="A494" t="s">
        <v>5604</v>
      </c>
      <c r="B494">
        <v>489</v>
      </c>
      <c r="C494">
        <v>152</v>
      </c>
      <c r="D494" t="s">
        <v>13</v>
      </c>
      <c r="E494" t="s">
        <v>5409</v>
      </c>
      <c r="F494" t="s">
        <v>3559</v>
      </c>
      <c r="G494" t="s">
        <v>12</v>
      </c>
      <c r="H494">
        <v>0</v>
      </c>
      <c r="I494">
        <v>457</v>
      </c>
      <c r="J494">
        <v>381</v>
      </c>
      <c r="K494" t="str">
        <f t="shared" si="7"/>
        <v>quar256215</v>
      </c>
      <c r="L494" t="s">
        <v>3859</v>
      </c>
      <c r="M494" t="s">
        <v>11</v>
      </c>
      <c r="N494" t="s">
        <v>1672</v>
      </c>
      <c r="O494" t="s">
        <v>3886</v>
      </c>
      <c r="Q494" t="s">
        <v>3669</v>
      </c>
      <c r="R494" t="s">
        <v>2810</v>
      </c>
      <c r="U494">
        <v>56</v>
      </c>
      <c r="V494">
        <v>0</v>
      </c>
      <c r="W494">
        <v>60</v>
      </c>
      <c r="X494">
        <v>25.6</v>
      </c>
      <c r="Y494">
        <v>21.5</v>
      </c>
    </row>
    <row r="495" spans="1:25" x14ac:dyDescent="0.25">
      <c r="A495" t="s">
        <v>5605</v>
      </c>
      <c r="B495">
        <v>490</v>
      </c>
      <c r="C495">
        <v>153</v>
      </c>
      <c r="D495" t="s">
        <v>13</v>
      </c>
      <c r="E495" t="s">
        <v>5409</v>
      </c>
      <c r="F495" t="s">
        <v>3559</v>
      </c>
      <c r="G495" t="s">
        <v>12</v>
      </c>
      <c r="H495">
        <v>0</v>
      </c>
      <c r="I495">
        <v>523</v>
      </c>
      <c r="J495">
        <v>314</v>
      </c>
      <c r="K495" t="str">
        <f t="shared" si="7"/>
        <v>quar291179</v>
      </c>
      <c r="L495" t="s">
        <v>3859</v>
      </c>
      <c r="M495" t="s">
        <v>11</v>
      </c>
      <c r="N495" t="s">
        <v>1686</v>
      </c>
      <c r="O495" t="s">
        <v>3886</v>
      </c>
      <c r="Q495" t="s">
        <v>3669</v>
      </c>
      <c r="R495" t="s">
        <v>2815</v>
      </c>
      <c r="U495">
        <v>56</v>
      </c>
      <c r="V495">
        <v>0</v>
      </c>
      <c r="W495">
        <v>60</v>
      </c>
      <c r="X495">
        <v>29.1</v>
      </c>
      <c r="Y495">
        <v>17.899999999999999</v>
      </c>
    </row>
    <row r="496" spans="1:25" x14ac:dyDescent="0.25">
      <c r="A496" t="s">
        <v>5606</v>
      </c>
      <c r="B496">
        <v>491</v>
      </c>
      <c r="C496">
        <v>154</v>
      </c>
      <c r="D496" t="s">
        <v>13</v>
      </c>
      <c r="E496" t="s">
        <v>5409</v>
      </c>
      <c r="F496" t="s">
        <v>3559</v>
      </c>
      <c r="G496" t="s">
        <v>12</v>
      </c>
      <c r="H496">
        <v>0</v>
      </c>
      <c r="I496">
        <v>344</v>
      </c>
      <c r="J496">
        <v>663</v>
      </c>
      <c r="K496" t="str">
        <f t="shared" si="7"/>
        <v>quar194369</v>
      </c>
      <c r="L496" t="s">
        <v>3859</v>
      </c>
      <c r="M496" t="s">
        <v>11</v>
      </c>
      <c r="N496" t="s">
        <v>1726</v>
      </c>
      <c r="O496" t="s">
        <v>3886</v>
      </c>
      <c r="Q496" t="s">
        <v>3669</v>
      </c>
      <c r="R496" t="s">
        <v>2819</v>
      </c>
      <c r="U496">
        <v>56</v>
      </c>
      <c r="V496">
        <v>0</v>
      </c>
      <c r="W496">
        <v>60</v>
      </c>
      <c r="X496">
        <v>19.399999999999999</v>
      </c>
      <c r="Y496">
        <v>36.9</v>
      </c>
    </row>
    <row r="497" spans="1:25" x14ac:dyDescent="0.25">
      <c r="A497" t="s">
        <v>5607</v>
      </c>
      <c r="B497">
        <v>492</v>
      </c>
      <c r="C497">
        <v>155</v>
      </c>
      <c r="D497" t="s">
        <v>13</v>
      </c>
      <c r="E497" t="s">
        <v>5409</v>
      </c>
      <c r="F497" t="s">
        <v>3559</v>
      </c>
      <c r="G497" t="s">
        <v>18</v>
      </c>
      <c r="H497">
        <v>0</v>
      </c>
      <c r="I497">
        <v>410</v>
      </c>
      <c r="J497">
        <v>370</v>
      </c>
      <c r="K497" t="str">
        <f t="shared" si="7"/>
        <v>quar23421</v>
      </c>
      <c r="L497" t="s">
        <v>3859</v>
      </c>
      <c r="M497" t="s">
        <v>11</v>
      </c>
      <c r="N497" t="s">
        <v>1535</v>
      </c>
      <c r="O497" t="s">
        <v>3886</v>
      </c>
      <c r="Q497" t="s">
        <v>3669</v>
      </c>
      <c r="R497" t="s">
        <v>2825</v>
      </c>
      <c r="U497">
        <v>56</v>
      </c>
      <c r="V497">
        <v>0</v>
      </c>
      <c r="W497">
        <v>60</v>
      </c>
      <c r="X497">
        <v>23.4</v>
      </c>
      <c r="Y497">
        <v>21</v>
      </c>
    </row>
    <row r="498" spans="1:25" x14ac:dyDescent="0.25">
      <c r="A498" t="s">
        <v>5608</v>
      </c>
      <c r="B498">
        <v>493</v>
      </c>
      <c r="C498">
        <v>156</v>
      </c>
      <c r="D498" t="s">
        <v>13</v>
      </c>
      <c r="E498" t="s">
        <v>5409</v>
      </c>
      <c r="F498" t="s">
        <v>3559</v>
      </c>
      <c r="G498" t="s">
        <v>18</v>
      </c>
      <c r="H498">
        <v>0</v>
      </c>
      <c r="I498">
        <v>445</v>
      </c>
      <c r="J498">
        <v>559</v>
      </c>
      <c r="K498" t="str">
        <f t="shared" si="7"/>
        <v>quar251312</v>
      </c>
      <c r="L498" t="s">
        <v>3859</v>
      </c>
      <c r="M498" t="s">
        <v>11</v>
      </c>
      <c r="N498" t="s">
        <v>1598</v>
      </c>
      <c r="O498" t="s">
        <v>3886</v>
      </c>
      <c r="Q498" t="s">
        <v>3669</v>
      </c>
      <c r="R498" t="s">
        <v>2821</v>
      </c>
      <c r="U498">
        <v>56</v>
      </c>
      <c r="V498">
        <v>0</v>
      </c>
      <c r="W498">
        <v>60</v>
      </c>
      <c r="X498">
        <v>25.1</v>
      </c>
      <c r="Y498">
        <v>31.2</v>
      </c>
    </row>
    <row r="499" spans="1:25" x14ac:dyDescent="0.25">
      <c r="A499" t="s">
        <v>5609</v>
      </c>
      <c r="B499">
        <v>494</v>
      </c>
      <c r="C499">
        <v>157</v>
      </c>
      <c r="D499" t="s">
        <v>13</v>
      </c>
      <c r="E499" t="s">
        <v>5409</v>
      </c>
      <c r="F499" t="s">
        <v>3559</v>
      </c>
      <c r="G499" t="s">
        <v>5610</v>
      </c>
      <c r="H499">
        <v>0</v>
      </c>
      <c r="I499">
        <v>492</v>
      </c>
      <c r="J499">
        <v>336</v>
      </c>
      <c r="K499" t="str">
        <f t="shared" si="7"/>
        <v>quar276191</v>
      </c>
      <c r="M499" t="s">
        <v>11</v>
      </c>
      <c r="N499" t="s">
        <v>1728</v>
      </c>
      <c r="Q499" t="s">
        <v>11083</v>
      </c>
      <c r="U499">
        <v>56</v>
      </c>
      <c r="V499">
        <v>0</v>
      </c>
      <c r="W499">
        <v>60</v>
      </c>
      <c r="X499">
        <v>27.6</v>
      </c>
      <c r="Y499">
        <v>19.100000000000001</v>
      </c>
    </row>
    <row r="500" spans="1:25" x14ac:dyDescent="0.25">
      <c r="A500" t="s">
        <v>5611</v>
      </c>
      <c r="B500">
        <v>495</v>
      </c>
      <c r="C500">
        <v>158</v>
      </c>
      <c r="D500" t="s">
        <v>13</v>
      </c>
      <c r="E500" t="s">
        <v>5409</v>
      </c>
      <c r="F500" t="s">
        <v>3559</v>
      </c>
      <c r="G500" t="s">
        <v>5612</v>
      </c>
      <c r="H500">
        <v>0</v>
      </c>
      <c r="I500">
        <v>492</v>
      </c>
      <c r="J500">
        <v>336</v>
      </c>
      <c r="K500" t="str">
        <f t="shared" si="7"/>
        <v>quar276191</v>
      </c>
      <c r="M500" t="s">
        <v>11</v>
      </c>
      <c r="N500" t="s">
        <v>1728</v>
      </c>
      <c r="Q500" t="s">
        <v>11083</v>
      </c>
      <c r="U500">
        <v>56</v>
      </c>
      <c r="V500">
        <v>0</v>
      </c>
      <c r="W500">
        <v>60</v>
      </c>
      <c r="X500">
        <v>27.6</v>
      </c>
      <c r="Y500">
        <v>19.100000000000001</v>
      </c>
    </row>
    <row r="501" spans="1:25" x14ac:dyDescent="0.25">
      <c r="A501" t="s">
        <v>5613</v>
      </c>
      <c r="B501">
        <v>496</v>
      </c>
      <c r="C501">
        <v>159</v>
      </c>
      <c r="D501" t="s">
        <v>13</v>
      </c>
      <c r="E501" t="s">
        <v>5409</v>
      </c>
      <c r="F501" t="s">
        <v>3559</v>
      </c>
      <c r="G501" t="s">
        <v>5614</v>
      </c>
      <c r="H501">
        <v>0</v>
      </c>
      <c r="I501">
        <v>492</v>
      </c>
      <c r="J501">
        <v>336</v>
      </c>
      <c r="K501" t="str">
        <f t="shared" si="7"/>
        <v>quar276191</v>
      </c>
      <c r="M501" t="s">
        <v>11</v>
      </c>
      <c r="N501" t="s">
        <v>1728</v>
      </c>
      <c r="Q501" t="s">
        <v>11083</v>
      </c>
      <c r="U501">
        <v>58</v>
      </c>
      <c r="V501">
        <v>0</v>
      </c>
      <c r="W501">
        <v>60</v>
      </c>
      <c r="X501">
        <v>27.6</v>
      </c>
      <c r="Y501">
        <v>19.100000000000001</v>
      </c>
    </row>
    <row r="502" spans="1:25" x14ac:dyDescent="0.25">
      <c r="A502" t="s">
        <v>5615</v>
      </c>
      <c r="B502">
        <v>497</v>
      </c>
      <c r="C502">
        <v>160</v>
      </c>
      <c r="D502" t="s">
        <v>13</v>
      </c>
      <c r="E502" t="s">
        <v>5409</v>
      </c>
      <c r="F502" t="s">
        <v>3559</v>
      </c>
      <c r="G502" t="s">
        <v>5616</v>
      </c>
      <c r="H502">
        <v>0</v>
      </c>
      <c r="I502">
        <v>123</v>
      </c>
      <c r="J502">
        <v>125</v>
      </c>
      <c r="K502" t="str">
        <f t="shared" si="7"/>
        <v>quar7775</v>
      </c>
      <c r="M502" t="s">
        <v>11</v>
      </c>
      <c r="N502" t="s">
        <v>1616</v>
      </c>
      <c r="Q502" t="s">
        <v>3749</v>
      </c>
      <c r="R502" t="s">
        <v>2834</v>
      </c>
      <c r="U502">
        <v>58</v>
      </c>
      <c r="V502">
        <v>0</v>
      </c>
      <c r="W502">
        <v>60</v>
      </c>
      <c r="X502">
        <v>7.7</v>
      </c>
      <c r="Y502">
        <v>7.5</v>
      </c>
    </row>
    <row r="503" spans="1:25" x14ac:dyDescent="0.25">
      <c r="A503" t="s">
        <v>5617</v>
      </c>
      <c r="B503">
        <v>498</v>
      </c>
      <c r="C503">
        <v>161</v>
      </c>
      <c r="D503" t="s">
        <v>13</v>
      </c>
      <c r="E503" t="s">
        <v>5409</v>
      </c>
      <c r="F503" t="s">
        <v>3559</v>
      </c>
      <c r="G503" t="s">
        <v>40</v>
      </c>
      <c r="H503">
        <v>0</v>
      </c>
      <c r="I503">
        <v>457</v>
      </c>
      <c r="J503">
        <v>381</v>
      </c>
      <c r="K503" t="str">
        <f t="shared" si="7"/>
        <v>quar256215</v>
      </c>
      <c r="L503" t="s">
        <v>3859</v>
      </c>
      <c r="M503" t="s">
        <v>11</v>
      </c>
      <c r="N503" t="s">
        <v>1672</v>
      </c>
      <c r="O503" t="s">
        <v>3886</v>
      </c>
      <c r="Q503" t="s">
        <v>3669</v>
      </c>
      <c r="R503" t="s">
        <v>2810</v>
      </c>
      <c r="U503">
        <v>58</v>
      </c>
      <c r="V503">
        <v>0</v>
      </c>
      <c r="W503">
        <v>60</v>
      </c>
      <c r="X503">
        <v>25.6</v>
      </c>
      <c r="Y503">
        <v>21.5</v>
      </c>
    </row>
    <row r="504" spans="1:25" x14ac:dyDescent="0.25">
      <c r="A504" t="s">
        <v>5618</v>
      </c>
      <c r="B504">
        <v>499</v>
      </c>
      <c r="C504">
        <v>162</v>
      </c>
      <c r="D504" t="s">
        <v>13</v>
      </c>
      <c r="E504" t="s">
        <v>5409</v>
      </c>
      <c r="F504" t="s">
        <v>3559</v>
      </c>
      <c r="G504" t="s">
        <v>40</v>
      </c>
      <c r="H504">
        <v>0</v>
      </c>
      <c r="I504">
        <v>523</v>
      </c>
      <c r="J504">
        <v>314</v>
      </c>
      <c r="K504" t="str">
        <f t="shared" si="7"/>
        <v>quar291179</v>
      </c>
      <c r="L504" t="s">
        <v>3859</v>
      </c>
      <c r="M504" t="s">
        <v>11</v>
      </c>
      <c r="N504" t="s">
        <v>1686</v>
      </c>
      <c r="O504" t="s">
        <v>3886</v>
      </c>
      <c r="Q504" t="s">
        <v>3669</v>
      </c>
      <c r="R504" t="s">
        <v>2815</v>
      </c>
      <c r="U504">
        <v>58</v>
      </c>
      <c r="V504">
        <v>0</v>
      </c>
      <c r="W504">
        <v>60</v>
      </c>
      <c r="X504">
        <v>29.1</v>
      </c>
      <c r="Y504">
        <v>17.899999999999999</v>
      </c>
    </row>
    <row r="505" spans="1:25" x14ac:dyDescent="0.25">
      <c r="A505" t="s">
        <v>5619</v>
      </c>
      <c r="B505">
        <v>500</v>
      </c>
      <c r="C505">
        <v>163</v>
      </c>
      <c r="D505" t="s">
        <v>13</v>
      </c>
      <c r="E505" t="s">
        <v>5409</v>
      </c>
      <c r="F505" t="s">
        <v>3559</v>
      </c>
      <c r="G505" t="s">
        <v>40</v>
      </c>
      <c r="H505">
        <v>0</v>
      </c>
      <c r="I505">
        <v>344</v>
      </c>
      <c r="J505">
        <v>663</v>
      </c>
      <c r="K505" t="str">
        <f t="shared" si="7"/>
        <v>quar194369</v>
      </c>
      <c r="L505" t="s">
        <v>3859</v>
      </c>
      <c r="M505" t="s">
        <v>11</v>
      </c>
      <c r="N505" t="s">
        <v>1726</v>
      </c>
      <c r="O505" t="s">
        <v>3886</v>
      </c>
      <c r="Q505" t="s">
        <v>3669</v>
      </c>
      <c r="R505" t="s">
        <v>2819</v>
      </c>
      <c r="U505">
        <v>58</v>
      </c>
      <c r="V505">
        <v>0</v>
      </c>
      <c r="W505">
        <v>60</v>
      </c>
      <c r="X505">
        <v>19.399999999999999</v>
      </c>
      <c r="Y505">
        <v>36.9</v>
      </c>
    </row>
    <row r="506" spans="1:25" x14ac:dyDescent="0.25">
      <c r="A506" t="s">
        <v>5620</v>
      </c>
      <c r="B506">
        <v>501</v>
      </c>
      <c r="C506">
        <v>164</v>
      </c>
      <c r="D506" t="s">
        <v>13</v>
      </c>
      <c r="E506" t="s">
        <v>5409</v>
      </c>
      <c r="F506" t="s">
        <v>3559</v>
      </c>
      <c r="G506" t="s">
        <v>43</v>
      </c>
      <c r="H506">
        <v>0</v>
      </c>
      <c r="I506">
        <v>410</v>
      </c>
      <c r="J506">
        <v>370</v>
      </c>
      <c r="K506" t="str">
        <f t="shared" si="7"/>
        <v>quar23421</v>
      </c>
      <c r="L506" t="s">
        <v>3859</v>
      </c>
      <c r="M506" t="s">
        <v>11</v>
      </c>
      <c r="N506" t="s">
        <v>1535</v>
      </c>
      <c r="O506" t="s">
        <v>3886</v>
      </c>
      <c r="Q506" t="s">
        <v>3669</v>
      </c>
      <c r="R506" t="s">
        <v>2825</v>
      </c>
      <c r="U506">
        <v>58</v>
      </c>
      <c r="V506">
        <v>0</v>
      </c>
      <c r="W506">
        <v>60</v>
      </c>
      <c r="X506">
        <v>23.4</v>
      </c>
      <c r="Y506">
        <v>21</v>
      </c>
    </row>
    <row r="507" spans="1:25" x14ac:dyDescent="0.25">
      <c r="A507" t="s">
        <v>5621</v>
      </c>
      <c r="B507">
        <v>502</v>
      </c>
      <c r="C507">
        <v>165</v>
      </c>
      <c r="D507" t="s">
        <v>13</v>
      </c>
      <c r="E507" t="s">
        <v>5409</v>
      </c>
      <c r="F507" t="s">
        <v>3559</v>
      </c>
      <c r="G507" t="s">
        <v>43</v>
      </c>
      <c r="H507">
        <v>0</v>
      </c>
      <c r="I507">
        <v>445</v>
      </c>
      <c r="J507">
        <v>559</v>
      </c>
      <c r="K507" t="str">
        <f t="shared" si="7"/>
        <v>quar251312</v>
      </c>
      <c r="L507" t="s">
        <v>3859</v>
      </c>
      <c r="M507" t="s">
        <v>11</v>
      </c>
      <c r="N507" t="s">
        <v>1598</v>
      </c>
      <c r="O507" t="s">
        <v>3886</v>
      </c>
      <c r="Q507" t="s">
        <v>3669</v>
      </c>
      <c r="R507" t="s">
        <v>2821</v>
      </c>
      <c r="U507">
        <v>58</v>
      </c>
      <c r="V507">
        <v>0</v>
      </c>
      <c r="W507">
        <v>60</v>
      </c>
      <c r="X507">
        <v>25.1</v>
      </c>
      <c r="Y507">
        <v>31.2</v>
      </c>
    </row>
    <row r="508" spans="1:25" x14ac:dyDescent="0.25">
      <c r="A508" t="s">
        <v>5622</v>
      </c>
      <c r="B508">
        <v>503</v>
      </c>
      <c r="C508">
        <v>166</v>
      </c>
      <c r="D508" t="s">
        <v>13</v>
      </c>
      <c r="E508" t="s">
        <v>5409</v>
      </c>
      <c r="F508" t="s">
        <v>3559</v>
      </c>
      <c r="G508" t="s">
        <v>5623</v>
      </c>
      <c r="H508">
        <v>0</v>
      </c>
      <c r="I508">
        <v>492</v>
      </c>
      <c r="J508">
        <v>336</v>
      </c>
      <c r="K508" t="str">
        <f t="shared" si="7"/>
        <v>quar276191</v>
      </c>
      <c r="M508" t="s">
        <v>11</v>
      </c>
      <c r="N508" t="s">
        <v>1728</v>
      </c>
      <c r="Q508" t="s">
        <v>11083</v>
      </c>
      <c r="U508">
        <v>59</v>
      </c>
      <c r="V508">
        <v>0</v>
      </c>
      <c r="W508">
        <v>60</v>
      </c>
      <c r="X508">
        <v>27.6</v>
      </c>
      <c r="Y508">
        <v>19.100000000000001</v>
      </c>
    </row>
    <row r="509" spans="1:25" x14ac:dyDescent="0.25">
      <c r="A509" t="s">
        <v>5624</v>
      </c>
      <c r="B509">
        <v>504</v>
      </c>
      <c r="C509">
        <v>167</v>
      </c>
      <c r="D509" t="s">
        <v>13</v>
      </c>
      <c r="E509" t="s">
        <v>5409</v>
      </c>
      <c r="F509" t="s">
        <v>3559</v>
      </c>
      <c r="G509" t="s">
        <v>4506</v>
      </c>
      <c r="H509">
        <v>0</v>
      </c>
      <c r="I509">
        <v>492</v>
      </c>
      <c r="J509">
        <v>336</v>
      </c>
      <c r="K509" t="str">
        <f t="shared" si="7"/>
        <v>quar276191</v>
      </c>
      <c r="L509" t="s">
        <v>3859</v>
      </c>
      <c r="M509" t="s">
        <v>11</v>
      </c>
      <c r="N509" t="s">
        <v>1728</v>
      </c>
      <c r="O509" t="s">
        <v>3860</v>
      </c>
      <c r="P509" t="s">
        <v>4492</v>
      </c>
      <c r="Q509" t="s">
        <v>11083</v>
      </c>
      <c r="U509">
        <v>59</v>
      </c>
      <c r="V509">
        <v>0</v>
      </c>
      <c r="W509">
        <v>60</v>
      </c>
      <c r="X509">
        <v>27.6</v>
      </c>
      <c r="Y509">
        <v>19.100000000000001</v>
      </c>
    </row>
    <row r="510" spans="1:25" x14ac:dyDescent="0.25">
      <c r="A510" t="s">
        <v>5625</v>
      </c>
      <c r="B510">
        <v>505</v>
      </c>
      <c r="C510">
        <v>168</v>
      </c>
      <c r="D510" t="s">
        <v>13</v>
      </c>
      <c r="E510" t="s">
        <v>5409</v>
      </c>
      <c r="F510" t="s">
        <v>3559</v>
      </c>
      <c r="G510" t="s">
        <v>53</v>
      </c>
      <c r="H510">
        <v>0</v>
      </c>
      <c r="I510">
        <v>457</v>
      </c>
      <c r="J510">
        <v>381</v>
      </c>
      <c r="K510" t="str">
        <f t="shared" si="7"/>
        <v>quar256215</v>
      </c>
      <c r="L510" t="s">
        <v>3859</v>
      </c>
      <c r="M510" t="s">
        <v>11</v>
      </c>
      <c r="N510" t="s">
        <v>1672</v>
      </c>
      <c r="O510" t="s">
        <v>3886</v>
      </c>
      <c r="Q510" t="s">
        <v>3669</v>
      </c>
      <c r="R510" t="s">
        <v>2810</v>
      </c>
      <c r="U510">
        <v>60</v>
      </c>
      <c r="V510">
        <v>0</v>
      </c>
      <c r="W510">
        <v>60</v>
      </c>
      <c r="X510">
        <v>25.6</v>
      </c>
      <c r="Y510">
        <v>21.5</v>
      </c>
    </row>
    <row r="511" spans="1:25" x14ac:dyDescent="0.25">
      <c r="A511" t="s">
        <v>5626</v>
      </c>
      <c r="B511">
        <v>506</v>
      </c>
      <c r="C511">
        <v>169</v>
      </c>
      <c r="D511" t="s">
        <v>13</v>
      </c>
      <c r="E511" t="s">
        <v>5409</v>
      </c>
      <c r="F511" t="s">
        <v>3559</v>
      </c>
      <c r="G511" t="s">
        <v>53</v>
      </c>
      <c r="H511">
        <v>0</v>
      </c>
      <c r="I511">
        <v>523</v>
      </c>
      <c r="J511">
        <v>314</v>
      </c>
      <c r="K511" t="str">
        <f t="shared" si="7"/>
        <v>quar291179</v>
      </c>
      <c r="L511" t="s">
        <v>3859</v>
      </c>
      <c r="M511" t="s">
        <v>11</v>
      </c>
      <c r="N511" t="s">
        <v>1686</v>
      </c>
      <c r="O511" t="s">
        <v>3886</v>
      </c>
      <c r="Q511" t="s">
        <v>3669</v>
      </c>
      <c r="R511" t="s">
        <v>2815</v>
      </c>
      <c r="U511">
        <v>60</v>
      </c>
      <c r="V511">
        <v>0</v>
      </c>
      <c r="W511">
        <v>60</v>
      </c>
      <c r="X511">
        <v>29.1</v>
      </c>
      <c r="Y511">
        <v>17.899999999999999</v>
      </c>
    </row>
    <row r="512" spans="1:25" x14ac:dyDescent="0.25">
      <c r="A512" t="s">
        <v>5627</v>
      </c>
      <c r="B512">
        <v>507</v>
      </c>
      <c r="C512">
        <v>170</v>
      </c>
      <c r="D512" t="s">
        <v>13</v>
      </c>
      <c r="E512" t="s">
        <v>5409</v>
      </c>
      <c r="F512" t="s">
        <v>3559</v>
      </c>
      <c r="G512" t="s">
        <v>53</v>
      </c>
      <c r="H512">
        <v>0</v>
      </c>
      <c r="I512">
        <v>344</v>
      </c>
      <c r="J512">
        <v>663</v>
      </c>
      <c r="K512" t="str">
        <f t="shared" si="7"/>
        <v>quar194369</v>
      </c>
      <c r="L512" t="s">
        <v>3859</v>
      </c>
      <c r="M512" t="s">
        <v>11</v>
      </c>
      <c r="N512" t="s">
        <v>1726</v>
      </c>
      <c r="O512" t="s">
        <v>3886</v>
      </c>
      <c r="Q512" t="s">
        <v>3669</v>
      </c>
      <c r="R512" t="s">
        <v>2819</v>
      </c>
      <c r="U512">
        <v>60</v>
      </c>
      <c r="V512">
        <v>0</v>
      </c>
      <c r="W512">
        <v>60</v>
      </c>
      <c r="X512">
        <v>19.399999999999999</v>
      </c>
      <c r="Y512">
        <v>36.9</v>
      </c>
    </row>
    <row r="513" spans="1:25" x14ac:dyDescent="0.25">
      <c r="A513" t="s">
        <v>5628</v>
      </c>
      <c r="B513">
        <v>508</v>
      </c>
      <c r="C513">
        <v>171</v>
      </c>
      <c r="D513" t="s">
        <v>13</v>
      </c>
      <c r="E513" t="s">
        <v>5409</v>
      </c>
      <c r="F513" t="s">
        <v>3559</v>
      </c>
      <c r="G513" t="s">
        <v>56</v>
      </c>
      <c r="H513">
        <v>0</v>
      </c>
      <c r="I513">
        <v>410</v>
      </c>
      <c r="J513">
        <v>370</v>
      </c>
      <c r="K513" t="str">
        <f t="shared" si="7"/>
        <v>quar23421</v>
      </c>
      <c r="L513" t="s">
        <v>3859</v>
      </c>
      <c r="M513" t="s">
        <v>11</v>
      </c>
      <c r="N513" t="s">
        <v>1535</v>
      </c>
      <c r="O513" t="s">
        <v>3886</v>
      </c>
      <c r="Q513" t="s">
        <v>3669</v>
      </c>
      <c r="R513" t="s">
        <v>2825</v>
      </c>
      <c r="U513">
        <v>60</v>
      </c>
      <c r="V513">
        <v>0</v>
      </c>
      <c r="W513">
        <v>60</v>
      </c>
      <c r="X513">
        <v>23.4</v>
      </c>
      <c r="Y513">
        <v>21</v>
      </c>
    </row>
    <row r="514" spans="1:25" x14ac:dyDescent="0.25">
      <c r="A514" t="s">
        <v>5629</v>
      </c>
      <c r="B514">
        <v>509</v>
      </c>
      <c r="C514">
        <v>172</v>
      </c>
      <c r="D514" t="s">
        <v>13</v>
      </c>
      <c r="E514" t="s">
        <v>5409</v>
      </c>
      <c r="F514" t="s">
        <v>3559</v>
      </c>
      <c r="G514" t="s">
        <v>56</v>
      </c>
      <c r="H514">
        <v>0</v>
      </c>
      <c r="I514">
        <v>445</v>
      </c>
      <c r="J514">
        <v>559</v>
      </c>
      <c r="K514" t="str">
        <f t="shared" ref="K514:K577" si="8">LEFT(A514,4)&amp;SUBSTITUTE(X514,".","")&amp;SUBSTITUTE(Y514,".","")</f>
        <v>quar251312</v>
      </c>
      <c r="L514" t="s">
        <v>3859</v>
      </c>
      <c r="M514" t="s">
        <v>11</v>
      </c>
      <c r="N514" t="s">
        <v>1598</v>
      </c>
      <c r="O514" t="s">
        <v>3886</v>
      </c>
      <c r="Q514" t="s">
        <v>3669</v>
      </c>
      <c r="R514" t="s">
        <v>2821</v>
      </c>
      <c r="U514">
        <v>60</v>
      </c>
      <c r="V514">
        <v>0</v>
      </c>
      <c r="W514">
        <v>60</v>
      </c>
      <c r="X514">
        <v>25.1</v>
      </c>
      <c r="Y514">
        <v>31.2</v>
      </c>
    </row>
    <row r="515" spans="1:25" x14ac:dyDescent="0.25">
      <c r="A515" t="s">
        <v>5630</v>
      </c>
      <c r="B515">
        <v>510</v>
      </c>
      <c r="C515">
        <v>173</v>
      </c>
      <c r="D515" t="s">
        <v>13</v>
      </c>
      <c r="E515" t="s">
        <v>5409</v>
      </c>
      <c r="F515" t="s">
        <v>3559</v>
      </c>
      <c r="G515" t="s">
        <v>5631</v>
      </c>
      <c r="H515">
        <v>0</v>
      </c>
      <c r="I515">
        <v>492</v>
      </c>
      <c r="J515">
        <v>336</v>
      </c>
      <c r="K515" t="str">
        <f t="shared" si="8"/>
        <v>quar276191</v>
      </c>
      <c r="M515" t="s">
        <v>11</v>
      </c>
      <c r="N515" t="s">
        <v>1728</v>
      </c>
      <c r="Q515" t="s">
        <v>11083</v>
      </c>
      <c r="U515">
        <v>60</v>
      </c>
      <c r="V515">
        <v>1</v>
      </c>
      <c r="W515">
        <v>60</v>
      </c>
      <c r="X515">
        <v>27.6</v>
      </c>
      <c r="Y515">
        <v>19.100000000000001</v>
      </c>
    </row>
    <row r="516" spans="1:25" x14ac:dyDescent="0.25">
      <c r="A516" t="s">
        <v>5632</v>
      </c>
      <c r="B516">
        <v>511</v>
      </c>
      <c r="C516">
        <v>174</v>
      </c>
      <c r="D516" t="s">
        <v>13</v>
      </c>
      <c r="E516" t="s">
        <v>5409</v>
      </c>
      <c r="F516" t="s">
        <v>3559</v>
      </c>
      <c r="G516" t="s">
        <v>68</v>
      </c>
      <c r="H516">
        <v>0</v>
      </c>
      <c r="I516">
        <v>410</v>
      </c>
      <c r="J516">
        <v>370</v>
      </c>
      <c r="K516" t="str">
        <f t="shared" si="8"/>
        <v>quar23421</v>
      </c>
      <c r="L516" t="s">
        <v>3859</v>
      </c>
      <c r="M516" t="s">
        <v>11</v>
      </c>
      <c r="N516" t="s">
        <v>1535</v>
      </c>
      <c r="O516" t="s">
        <v>3886</v>
      </c>
      <c r="Q516" t="s">
        <v>3669</v>
      </c>
      <c r="R516" t="s">
        <v>2825</v>
      </c>
      <c r="U516">
        <v>60</v>
      </c>
      <c r="V516">
        <v>1</v>
      </c>
      <c r="W516">
        <v>60</v>
      </c>
      <c r="X516">
        <v>23.4</v>
      </c>
      <c r="Y516">
        <v>21</v>
      </c>
    </row>
    <row r="517" spans="1:25" x14ac:dyDescent="0.25">
      <c r="A517" t="s">
        <v>5633</v>
      </c>
      <c r="B517">
        <v>512</v>
      </c>
      <c r="C517">
        <v>175</v>
      </c>
      <c r="D517" t="s">
        <v>13</v>
      </c>
      <c r="E517" t="s">
        <v>5409</v>
      </c>
      <c r="F517" t="s">
        <v>3559</v>
      </c>
      <c r="G517" t="s">
        <v>68</v>
      </c>
      <c r="H517">
        <v>0</v>
      </c>
      <c r="I517">
        <v>445</v>
      </c>
      <c r="J517">
        <v>559</v>
      </c>
      <c r="K517" t="str">
        <f t="shared" si="8"/>
        <v>quar251312</v>
      </c>
      <c r="L517" t="s">
        <v>3859</v>
      </c>
      <c r="M517" t="s">
        <v>11</v>
      </c>
      <c r="N517" t="s">
        <v>1598</v>
      </c>
      <c r="O517" t="s">
        <v>3886</v>
      </c>
      <c r="Q517" t="s">
        <v>3669</v>
      </c>
      <c r="R517" t="s">
        <v>2821</v>
      </c>
      <c r="U517">
        <v>60</v>
      </c>
      <c r="V517">
        <v>1</v>
      </c>
      <c r="W517">
        <v>60</v>
      </c>
      <c r="X517">
        <v>25.1</v>
      </c>
      <c r="Y517">
        <v>31.2</v>
      </c>
    </row>
    <row r="518" spans="1:25" x14ac:dyDescent="0.25">
      <c r="A518" t="s">
        <v>5634</v>
      </c>
      <c r="B518">
        <v>513</v>
      </c>
      <c r="C518">
        <v>176</v>
      </c>
      <c r="D518" t="s">
        <v>13</v>
      </c>
      <c r="E518" t="s">
        <v>5409</v>
      </c>
      <c r="F518" t="s">
        <v>3559</v>
      </c>
      <c r="G518" t="s">
        <v>68</v>
      </c>
      <c r="H518">
        <v>0</v>
      </c>
      <c r="I518">
        <v>457</v>
      </c>
      <c r="J518">
        <v>381</v>
      </c>
      <c r="K518" t="str">
        <f t="shared" si="8"/>
        <v>quar256215</v>
      </c>
      <c r="L518" t="s">
        <v>3859</v>
      </c>
      <c r="M518" t="s">
        <v>11</v>
      </c>
      <c r="N518" t="s">
        <v>1672</v>
      </c>
      <c r="O518" t="s">
        <v>3886</v>
      </c>
      <c r="Q518" t="s">
        <v>3669</v>
      </c>
      <c r="R518" t="s">
        <v>2810</v>
      </c>
      <c r="U518">
        <v>60</v>
      </c>
      <c r="V518">
        <v>1</v>
      </c>
      <c r="W518">
        <v>60</v>
      </c>
      <c r="X518">
        <v>25.6</v>
      </c>
      <c r="Y518">
        <v>21.5</v>
      </c>
    </row>
    <row r="519" spans="1:25" x14ac:dyDescent="0.25">
      <c r="A519" t="s">
        <v>5635</v>
      </c>
      <c r="B519">
        <v>514</v>
      </c>
      <c r="C519">
        <v>177</v>
      </c>
      <c r="D519" t="s">
        <v>13</v>
      </c>
      <c r="E519" t="s">
        <v>5409</v>
      </c>
      <c r="F519" t="s">
        <v>3559</v>
      </c>
      <c r="G519" t="s">
        <v>68</v>
      </c>
      <c r="H519">
        <v>0</v>
      </c>
      <c r="I519">
        <v>523</v>
      </c>
      <c r="J519">
        <v>314</v>
      </c>
      <c r="K519" t="str">
        <f t="shared" si="8"/>
        <v>quar291179</v>
      </c>
      <c r="L519" t="s">
        <v>3859</v>
      </c>
      <c r="M519" t="s">
        <v>11</v>
      </c>
      <c r="N519" t="s">
        <v>1686</v>
      </c>
      <c r="O519" t="s">
        <v>3886</v>
      </c>
      <c r="Q519" t="s">
        <v>3669</v>
      </c>
      <c r="R519" t="s">
        <v>2815</v>
      </c>
      <c r="U519">
        <v>60</v>
      </c>
      <c r="V519">
        <v>1</v>
      </c>
      <c r="W519">
        <v>60</v>
      </c>
      <c r="X519">
        <v>29.1</v>
      </c>
      <c r="Y519">
        <v>17.899999999999999</v>
      </c>
    </row>
    <row r="520" spans="1:25" x14ac:dyDescent="0.25">
      <c r="A520" t="s">
        <v>5636</v>
      </c>
      <c r="B520">
        <v>515</v>
      </c>
      <c r="C520">
        <v>178</v>
      </c>
      <c r="D520" t="s">
        <v>13</v>
      </c>
      <c r="E520" t="s">
        <v>5409</v>
      </c>
      <c r="F520" t="s">
        <v>3559</v>
      </c>
      <c r="G520" t="s">
        <v>68</v>
      </c>
      <c r="H520">
        <v>0</v>
      </c>
      <c r="I520">
        <v>344</v>
      </c>
      <c r="J520">
        <v>663</v>
      </c>
      <c r="K520" t="str">
        <f t="shared" si="8"/>
        <v>quar194369</v>
      </c>
      <c r="L520" t="s">
        <v>3859</v>
      </c>
      <c r="M520" t="s">
        <v>11</v>
      </c>
      <c r="N520" t="s">
        <v>1726</v>
      </c>
      <c r="O520" t="s">
        <v>3886</v>
      </c>
      <c r="Q520" t="s">
        <v>3669</v>
      </c>
      <c r="R520" t="s">
        <v>2819</v>
      </c>
      <c r="U520">
        <v>60</v>
      </c>
      <c r="V520">
        <v>1</v>
      </c>
      <c r="W520">
        <v>60</v>
      </c>
      <c r="X520">
        <v>19.399999999999999</v>
      </c>
      <c r="Y520">
        <v>36.9</v>
      </c>
    </row>
    <row r="521" spans="1:25" x14ac:dyDescent="0.25">
      <c r="A521" t="s">
        <v>5637</v>
      </c>
      <c r="B521">
        <v>516</v>
      </c>
      <c r="C521">
        <v>179</v>
      </c>
      <c r="D521" t="s">
        <v>13</v>
      </c>
      <c r="E521" t="s">
        <v>5409</v>
      </c>
      <c r="F521" t="s">
        <v>3559</v>
      </c>
      <c r="G521" t="s">
        <v>5638</v>
      </c>
      <c r="H521">
        <v>0</v>
      </c>
      <c r="I521">
        <v>437</v>
      </c>
      <c r="J521">
        <v>239</v>
      </c>
      <c r="K521" t="str">
        <f t="shared" si="8"/>
        <v>quar234131</v>
      </c>
      <c r="M521" t="s">
        <v>73</v>
      </c>
      <c r="N521" t="s">
        <v>1783</v>
      </c>
      <c r="Q521" t="s">
        <v>11083</v>
      </c>
      <c r="U521">
        <v>61</v>
      </c>
      <c r="V521">
        <v>0</v>
      </c>
      <c r="W521">
        <v>65</v>
      </c>
      <c r="X521">
        <v>23.4</v>
      </c>
      <c r="Y521">
        <v>13.1</v>
      </c>
    </row>
    <row r="522" spans="1:25" x14ac:dyDescent="0.25">
      <c r="A522" t="s">
        <v>5639</v>
      </c>
      <c r="B522">
        <v>517</v>
      </c>
      <c r="C522">
        <v>180</v>
      </c>
      <c r="D522" t="s">
        <v>13</v>
      </c>
      <c r="E522" t="s">
        <v>5409</v>
      </c>
      <c r="F522" t="s">
        <v>3559</v>
      </c>
      <c r="G522" t="s">
        <v>5640</v>
      </c>
      <c r="H522">
        <v>0</v>
      </c>
      <c r="I522">
        <v>437</v>
      </c>
      <c r="J522">
        <v>239</v>
      </c>
      <c r="K522" t="str">
        <f t="shared" si="8"/>
        <v>quar234131</v>
      </c>
      <c r="M522" t="s">
        <v>73</v>
      </c>
      <c r="N522" t="s">
        <v>1783</v>
      </c>
      <c r="Q522" t="s">
        <v>11083</v>
      </c>
      <c r="U522">
        <v>61</v>
      </c>
      <c r="V522">
        <v>0</v>
      </c>
      <c r="W522">
        <v>65</v>
      </c>
      <c r="X522">
        <v>23.4</v>
      </c>
      <c r="Y522">
        <v>13.1</v>
      </c>
    </row>
    <row r="523" spans="1:25" x14ac:dyDescent="0.25">
      <c r="A523" t="s">
        <v>5641</v>
      </c>
      <c r="B523">
        <v>518</v>
      </c>
      <c r="C523">
        <v>181</v>
      </c>
      <c r="D523" t="s">
        <v>13</v>
      </c>
      <c r="E523" t="s">
        <v>5409</v>
      </c>
      <c r="F523" t="s">
        <v>3559</v>
      </c>
      <c r="G523" t="s">
        <v>4559</v>
      </c>
      <c r="H523">
        <v>0</v>
      </c>
      <c r="I523">
        <v>437</v>
      </c>
      <c r="J523">
        <v>239</v>
      </c>
      <c r="K523" t="str">
        <f t="shared" si="8"/>
        <v>quar234131</v>
      </c>
      <c r="L523" t="s">
        <v>3859</v>
      </c>
      <c r="M523" t="s">
        <v>73</v>
      </c>
      <c r="N523" t="s">
        <v>1783</v>
      </c>
      <c r="O523" t="s">
        <v>3860</v>
      </c>
      <c r="P523" t="s">
        <v>4560</v>
      </c>
      <c r="Q523" t="s">
        <v>11083</v>
      </c>
      <c r="U523">
        <v>61</v>
      </c>
      <c r="V523">
        <v>0</v>
      </c>
      <c r="W523">
        <v>65</v>
      </c>
      <c r="X523">
        <v>23.4</v>
      </c>
      <c r="Y523">
        <v>13.1</v>
      </c>
    </row>
    <row r="524" spans="1:25" x14ac:dyDescent="0.25">
      <c r="A524" t="s">
        <v>5642</v>
      </c>
      <c r="B524">
        <v>519</v>
      </c>
      <c r="C524">
        <v>182</v>
      </c>
      <c r="D524" t="s">
        <v>13</v>
      </c>
      <c r="E524" t="s">
        <v>5409</v>
      </c>
      <c r="F524" t="s">
        <v>3559</v>
      </c>
      <c r="G524" t="s">
        <v>5643</v>
      </c>
      <c r="H524">
        <v>0</v>
      </c>
      <c r="I524">
        <v>437</v>
      </c>
      <c r="J524">
        <v>239</v>
      </c>
      <c r="K524" t="str">
        <f t="shared" si="8"/>
        <v>quar234131</v>
      </c>
      <c r="M524" t="s">
        <v>73</v>
      </c>
      <c r="N524" t="s">
        <v>1783</v>
      </c>
      <c r="Q524" t="s">
        <v>11083</v>
      </c>
      <c r="U524">
        <v>62</v>
      </c>
      <c r="V524">
        <v>0</v>
      </c>
      <c r="W524">
        <v>65</v>
      </c>
      <c r="X524">
        <v>23.4</v>
      </c>
      <c r="Y524">
        <v>13.1</v>
      </c>
    </row>
    <row r="525" spans="1:25" x14ac:dyDescent="0.25">
      <c r="A525" t="s">
        <v>5644</v>
      </c>
      <c r="B525">
        <v>520</v>
      </c>
      <c r="C525">
        <v>183</v>
      </c>
      <c r="D525" t="s">
        <v>13</v>
      </c>
      <c r="E525" t="s">
        <v>5409</v>
      </c>
      <c r="F525" t="s">
        <v>3559</v>
      </c>
      <c r="G525" t="s">
        <v>5645</v>
      </c>
      <c r="H525">
        <v>0</v>
      </c>
      <c r="I525">
        <v>216</v>
      </c>
      <c r="J525">
        <v>329</v>
      </c>
      <c r="K525" t="str">
        <f t="shared" si="8"/>
        <v>quar122178</v>
      </c>
      <c r="M525" t="s">
        <v>73</v>
      </c>
      <c r="N525" t="s">
        <v>1891</v>
      </c>
      <c r="Q525" t="s">
        <v>11083</v>
      </c>
      <c r="U525">
        <v>63</v>
      </c>
      <c r="V525">
        <v>0</v>
      </c>
      <c r="W525">
        <v>65</v>
      </c>
      <c r="X525">
        <v>12.2</v>
      </c>
      <c r="Y525">
        <v>17.8</v>
      </c>
    </row>
    <row r="526" spans="1:25" x14ac:dyDescent="0.25">
      <c r="A526" t="s">
        <v>5646</v>
      </c>
      <c r="B526">
        <v>521</v>
      </c>
      <c r="C526">
        <v>184</v>
      </c>
      <c r="D526" t="s">
        <v>13</v>
      </c>
      <c r="E526" t="s">
        <v>5409</v>
      </c>
      <c r="F526" t="s">
        <v>3559</v>
      </c>
      <c r="G526" t="s">
        <v>4584</v>
      </c>
      <c r="H526">
        <v>0</v>
      </c>
      <c r="I526">
        <v>216</v>
      </c>
      <c r="J526">
        <v>329</v>
      </c>
      <c r="K526" t="str">
        <f t="shared" si="8"/>
        <v>quar122178</v>
      </c>
      <c r="L526" t="s">
        <v>3859</v>
      </c>
      <c r="M526" t="s">
        <v>73</v>
      </c>
      <c r="N526" t="s">
        <v>1891</v>
      </c>
      <c r="O526" t="s">
        <v>3860</v>
      </c>
      <c r="P526" t="s">
        <v>4560</v>
      </c>
      <c r="Q526" t="s">
        <v>11083</v>
      </c>
      <c r="U526">
        <v>64</v>
      </c>
      <c r="V526">
        <v>0</v>
      </c>
      <c r="W526">
        <v>65</v>
      </c>
      <c r="X526">
        <v>12.2</v>
      </c>
      <c r="Y526">
        <v>17.8</v>
      </c>
    </row>
    <row r="527" spans="1:25" x14ac:dyDescent="0.25">
      <c r="A527" t="s">
        <v>5647</v>
      </c>
      <c r="B527">
        <v>522</v>
      </c>
      <c r="C527">
        <v>185</v>
      </c>
      <c r="D527" t="s">
        <v>13</v>
      </c>
      <c r="E527" t="s">
        <v>5409</v>
      </c>
      <c r="F527" t="s">
        <v>3559</v>
      </c>
      <c r="G527" t="s">
        <v>4592</v>
      </c>
      <c r="H527">
        <v>0</v>
      </c>
      <c r="I527">
        <v>645</v>
      </c>
      <c r="J527">
        <v>463</v>
      </c>
      <c r="K527" t="str">
        <f t="shared" si="8"/>
        <v>quar35926</v>
      </c>
      <c r="L527" t="s">
        <v>3859</v>
      </c>
      <c r="M527" t="s">
        <v>73</v>
      </c>
      <c r="N527" t="s">
        <v>1728</v>
      </c>
      <c r="O527" t="s">
        <v>3860</v>
      </c>
      <c r="P527" t="s">
        <v>4560</v>
      </c>
      <c r="Q527" t="s">
        <v>11083</v>
      </c>
      <c r="U527">
        <v>65</v>
      </c>
      <c r="V527">
        <v>0</v>
      </c>
      <c r="W527">
        <v>65</v>
      </c>
      <c r="X527">
        <v>35.9</v>
      </c>
      <c r="Y527">
        <v>26</v>
      </c>
    </row>
    <row r="528" spans="1:25" x14ac:dyDescent="0.25">
      <c r="A528" t="s">
        <v>5648</v>
      </c>
      <c r="B528">
        <v>523</v>
      </c>
      <c r="C528">
        <v>186</v>
      </c>
      <c r="D528" t="s">
        <v>13</v>
      </c>
      <c r="E528" t="s">
        <v>5409</v>
      </c>
      <c r="F528" t="s">
        <v>3559</v>
      </c>
      <c r="G528" t="s">
        <v>5649</v>
      </c>
      <c r="H528">
        <v>0</v>
      </c>
      <c r="I528">
        <v>542</v>
      </c>
      <c r="J528">
        <v>109</v>
      </c>
      <c r="K528" t="str">
        <f t="shared" si="8"/>
        <v>quar28967</v>
      </c>
      <c r="M528" t="s">
        <v>73</v>
      </c>
      <c r="N528" t="s">
        <v>1955</v>
      </c>
      <c r="Q528" t="s">
        <v>11083</v>
      </c>
      <c r="R528" t="s">
        <v>2825</v>
      </c>
      <c r="U528">
        <v>66</v>
      </c>
      <c r="V528">
        <v>0</v>
      </c>
      <c r="W528">
        <v>70</v>
      </c>
      <c r="X528">
        <v>28.9</v>
      </c>
      <c r="Y528">
        <v>6.7</v>
      </c>
    </row>
    <row r="529" spans="1:25" x14ac:dyDescent="0.25">
      <c r="A529" t="s">
        <v>5650</v>
      </c>
      <c r="B529">
        <v>524</v>
      </c>
      <c r="C529">
        <v>187</v>
      </c>
      <c r="D529" t="s">
        <v>13</v>
      </c>
      <c r="E529" t="s">
        <v>5409</v>
      </c>
      <c r="F529" t="s">
        <v>3559</v>
      </c>
      <c r="G529" t="s">
        <v>88</v>
      </c>
      <c r="H529">
        <v>0</v>
      </c>
      <c r="I529">
        <v>542</v>
      </c>
      <c r="J529">
        <v>109</v>
      </c>
      <c r="K529" t="str">
        <f t="shared" si="8"/>
        <v>quar28967</v>
      </c>
      <c r="L529" t="s">
        <v>3859</v>
      </c>
      <c r="M529" t="s">
        <v>73</v>
      </c>
      <c r="N529" t="s">
        <v>1955</v>
      </c>
      <c r="O529" t="s">
        <v>3886</v>
      </c>
      <c r="Q529" t="s">
        <v>3669</v>
      </c>
      <c r="R529" t="s">
        <v>2825</v>
      </c>
      <c r="U529">
        <v>66</v>
      </c>
      <c r="V529">
        <v>0</v>
      </c>
      <c r="W529">
        <v>70</v>
      </c>
      <c r="X529">
        <v>28.9</v>
      </c>
      <c r="Y529">
        <v>6.7</v>
      </c>
    </row>
    <row r="530" spans="1:25" x14ac:dyDescent="0.25">
      <c r="A530" t="s">
        <v>5651</v>
      </c>
      <c r="B530">
        <v>525</v>
      </c>
      <c r="C530">
        <v>188</v>
      </c>
      <c r="D530" t="s">
        <v>13</v>
      </c>
      <c r="E530" t="s">
        <v>5409</v>
      </c>
      <c r="F530" t="s">
        <v>3559</v>
      </c>
      <c r="G530" t="s">
        <v>5652</v>
      </c>
      <c r="H530">
        <v>0</v>
      </c>
      <c r="I530">
        <v>548</v>
      </c>
      <c r="J530">
        <v>282</v>
      </c>
      <c r="K530" t="str">
        <f t="shared" si="8"/>
        <v>quar293152</v>
      </c>
      <c r="M530" t="s">
        <v>73</v>
      </c>
      <c r="N530" t="s">
        <v>1986</v>
      </c>
      <c r="Q530" t="s">
        <v>11083</v>
      </c>
      <c r="U530">
        <v>66</v>
      </c>
      <c r="V530">
        <v>0</v>
      </c>
      <c r="W530">
        <v>70</v>
      </c>
      <c r="X530">
        <v>29.3</v>
      </c>
      <c r="Y530">
        <v>15.2</v>
      </c>
    </row>
    <row r="531" spans="1:25" x14ac:dyDescent="0.25">
      <c r="A531" t="s">
        <v>5653</v>
      </c>
      <c r="B531">
        <v>526</v>
      </c>
      <c r="C531">
        <v>189</v>
      </c>
      <c r="D531" t="s">
        <v>13</v>
      </c>
      <c r="E531" t="s">
        <v>5409</v>
      </c>
      <c r="F531" t="s">
        <v>3559</v>
      </c>
      <c r="G531" t="s">
        <v>4608</v>
      </c>
      <c r="H531">
        <v>0</v>
      </c>
      <c r="I531">
        <v>548</v>
      </c>
      <c r="J531">
        <v>282</v>
      </c>
      <c r="K531" t="str">
        <f t="shared" si="8"/>
        <v>quar293152</v>
      </c>
      <c r="L531" t="s">
        <v>3859</v>
      </c>
      <c r="M531" t="s">
        <v>73</v>
      </c>
      <c r="N531" t="s">
        <v>1986</v>
      </c>
      <c r="O531" t="s">
        <v>3860</v>
      </c>
      <c r="P531" t="s">
        <v>3861</v>
      </c>
      <c r="Q531" t="s">
        <v>11083</v>
      </c>
      <c r="U531">
        <v>66</v>
      </c>
      <c r="V531">
        <v>0</v>
      </c>
      <c r="W531">
        <v>70</v>
      </c>
      <c r="X531">
        <v>29.3</v>
      </c>
      <c r="Y531">
        <v>15.2</v>
      </c>
    </row>
    <row r="532" spans="1:25" x14ac:dyDescent="0.25">
      <c r="A532" t="s">
        <v>5654</v>
      </c>
      <c r="B532">
        <v>527</v>
      </c>
      <c r="C532">
        <v>190</v>
      </c>
      <c r="D532" t="s">
        <v>13</v>
      </c>
      <c r="E532" t="s">
        <v>5409</v>
      </c>
      <c r="F532" t="s">
        <v>3559</v>
      </c>
      <c r="G532" t="s">
        <v>5655</v>
      </c>
      <c r="H532">
        <v>0</v>
      </c>
      <c r="I532">
        <v>548</v>
      </c>
      <c r="J532">
        <v>282</v>
      </c>
      <c r="K532" t="str">
        <f t="shared" si="8"/>
        <v>quar293152</v>
      </c>
      <c r="M532" t="s">
        <v>73</v>
      </c>
      <c r="N532" t="s">
        <v>1986</v>
      </c>
      <c r="Q532" t="s">
        <v>11083</v>
      </c>
      <c r="U532">
        <v>67</v>
      </c>
      <c r="V532">
        <v>0</v>
      </c>
      <c r="W532">
        <v>70</v>
      </c>
      <c r="X532">
        <v>29.3</v>
      </c>
      <c r="Y532">
        <v>15.2</v>
      </c>
    </row>
    <row r="533" spans="1:25" x14ac:dyDescent="0.25">
      <c r="A533" t="s">
        <v>5656</v>
      </c>
      <c r="B533">
        <v>528</v>
      </c>
      <c r="C533">
        <v>191</v>
      </c>
      <c r="D533" t="s">
        <v>13</v>
      </c>
      <c r="E533" t="s">
        <v>5409</v>
      </c>
      <c r="F533" t="s">
        <v>3559</v>
      </c>
      <c r="G533" t="s">
        <v>5657</v>
      </c>
      <c r="H533">
        <v>0</v>
      </c>
      <c r="I533">
        <v>548</v>
      </c>
      <c r="J533">
        <v>282</v>
      </c>
      <c r="K533" t="str">
        <f t="shared" si="8"/>
        <v>quar293152</v>
      </c>
      <c r="M533" t="s">
        <v>73</v>
      </c>
      <c r="N533" t="s">
        <v>1986</v>
      </c>
      <c r="Q533" t="s">
        <v>11083</v>
      </c>
      <c r="U533">
        <v>69</v>
      </c>
      <c r="V533">
        <v>0</v>
      </c>
      <c r="W533">
        <v>70</v>
      </c>
      <c r="X533">
        <v>29.3</v>
      </c>
      <c r="Y533">
        <v>15.2</v>
      </c>
    </row>
    <row r="534" spans="1:25" x14ac:dyDescent="0.25">
      <c r="A534" t="s">
        <v>5658</v>
      </c>
      <c r="B534">
        <v>529</v>
      </c>
      <c r="C534">
        <v>192</v>
      </c>
      <c r="D534" t="s">
        <v>13</v>
      </c>
      <c r="E534" t="s">
        <v>5409</v>
      </c>
      <c r="F534" t="s">
        <v>3559</v>
      </c>
      <c r="G534" t="s">
        <v>5659</v>
      </c>
      <c r="H534">
        <v>0</v>
      </c>
      <c r="I534">
        <v>394</v>
      </c>
      <c r="J534">
        <v>536</v>
      </c>
      <c r="K534" t="str">
        <f t="shared" si="8"/>
        <v>quar212288</v>
      </c>
      <c r="M534" t="s">
        <v>73</v>
      </c>
      <c r="N534" t="s">
        <v>1842</v>
      </c>
      <c r="Q534" t="s">
        <v>3749</v>
      </c>
      <c r="R534" t="s">
        <v>2829</v>
      </c>
      <c r="U534">
        <v>69</v>
      </c>
      <c r="V534">
        <v>0</v>
      </c>
      <c r="W534">
        <v>70</v>
      </c>
      <c r="X534">
        <v>21.2</v>
      </c>
      <c r="Y534">
        <v>28.8</v>
      </c>
    </row>
    <row r="535" spans="1:25" x14ac:dyDescent="0.25">
      <c r="A535" t="s">
        <v>5660</v>
      </c>
      <c r="B535">
        <v>530</v>
      </c>
      <c r="C535">
        <v>193</v>
      </c>
      <c r="D535" t="s">
        <v>13</v>
      </c>
      <c r="E535" t="s">
        <v>5409</v>
      </c>
      <c r="F535" t="s">
        <v>3559</v>
      </c>
      <c r="G535" t="s">
        <v>3883</v>
      </c>
      <c r="H535">
        <v>0</v>
      </c>
      <c r="I535">
        <v>174</v>
      </c>
      <c r="J535">
        <v>534</v>
      </c>
      <c r="K535" t="str">
        <f t="shared" si="8"/>
        <v>quar99283</v>
      </c>
      <c r="L535" t="s">
        <v>3859</v>
      </c>
      <c r="M535" t="s">
        <v>102</v>
      </c>
      <c r="N535" t="s">
        <v>2120</v>
      </c>
      <c r="O535" t="s">
        <v>3860</v>
      </c>
      <c r="P535" t="s">
        <v>3884</v>
      </c>
      <c r="Q535" t="s">
        <v>11083</v>
      </c>
      <c r="U535">
        <v>70</v>
      </c>
      <c r="V535">
        <v>0</v>
      </c>
      <c r="W535">
        <v>70</v>
      </c>
      <c r="X535">
        <v>9.9</v>
      </c>
      <c r="Y535">
        <v>28.3</v>
      </c>
    </row>
    <row r="536" spans="1:25" x14ac:dyDescent="0.25">
      <c r="A536" t="s">
        <v>5661</v>
      </c>
      <c r="B536">
        <v>531</v>
      </c>
      <c r="C536">
        <v>194</v>
      </c>
      <c r="D536" t="s">
        <v>13</v>
      </c>
      <c r="E536" t="s">
        <v>5409</v>
      </c>
      <c r="F536" t="s">
        <v>3559</v>
      </c>
      <c r="G536" t="s">
        <v>4628</v>
      </c>
      <c r="H536">
        <v>0</v>
      </c>
      <c r="I536">
        <v>571</v>
      </c>
      <c r="J536">
        <v>426</v>
      </c>
      <c r="K536" t="str">
        <f t="shared" si="8"/>
        <v>quar304229</v>
      </c>
      <c r="L536" t="s">
        <v>3859</v>
      </c>
      <c r="M536" t="s">
        <v>102</v>
      </c>
      <c r="N536" t="s">
        <v>2177</v>
      </c>
      <c r="O536" t="s">
        <v>3860</v>
      </c>
      <c r="P536" t="s">
        <v>3884</v>
      </c>
      <c r="Q536" t="s">
        <v>11083</v>
      </c>
      <c r="U536">
        <v>70</v>
      </c>
      <c r="V536">
        <v>0</v>
      </c>
      <c r="W536">
        <v>70</v>
      </c>
      <c r="X536">
        <v>30.4</v>
      </c>
      <c r="Y536">
        <v>22.9</v>
      </c>
    </row>
    <row r="537" spans="1:25" x14ac:dyDescent="0.25">
      <c r="A537" t="s">
        <v>5662</v>
      </c>
      <c r="B537">
        <v>532</v>
      </c>
      <c r="C537">
        <v>195</v>
      </c>
      <c r="D537" t="s">
        <v>13</v>
      </c>
      <c r="E537" t="s">
        <v>5409</v>
      </c>
      <c r="F537" t="s">
        <v>3559</v>
      </c>
      <c r="G537" t="s">
        <v>4632</v>
      </c>
      <c r="H537">
        <v>0</v>
      </c>
      <c r="I537">
        <v>571</v>
      </c>
      <c r="J537">
        <v>426</v>
      </c>
      <c r="K537" t="str">
        <f t="shared" si="8"/>
        <v>quar304229</v>
      </c>
      <c r="M537" t="s">
        <v>102</v>
      </c>
      <c r="N537" t="s">
        <v>2177</v>
      </c>
      <c r="Q537" t="s">
        <v>11083</v>
      </c>
      <c r="U537">
        <v>70</v>
      </c>
      <c r="V537">
        <v>0</v>
      </c>
      <c r="W537">
        <v>70</v>
      </c>
      <c r="X537">
        <v>30.4</v>
      </c>
      <c r="Y537">
        <v>22.9</v>
      </c>
    </row>
    <row r="538" spans="1:25" x14ac:dyDescent="0.25">
      <c r="A538" t="s">
        <v>5663</v>
      </c>
      <c r="B538">
        <v>533</v>
      </c>
      <c r="C538">
        <v>196</v>
      </c>
      <c r="D538" t="s">
        <v>13</v>
      </c>
      <c r="E538" t="s">
        <v>5409</v>
      </c>
      <c r="F538" t="s">
        <v>3559</v>
      </c>
      <c r="G538" t="s">
        <v>4636</v>
      </c>
      <c r="H538">
        <v>0</v>
      </c>
      <c r="I538">
        <v>571</v>
      </c>
      <c r="J538">
        <v>426</v>
      </c>
      <c r="K538" t="str">
        <f t="shared" si="8"/>
        <v>quar304229</v>
      </c>
      <c r="L538" t="s">
        <v>3859</v>
      </c>
      <c r="M538" t="s">
        <v>102</v>
      </c>
      <c r="N538" t="s">
        <v>2177</v>
      </c>
      <c r="O538" t="s">
        <v>3860</v>
      </c>
      <c r="P538" t="s">
        <v>3884</v>
      </c>
      <c r="Q538" t="s">
        <v>11083</v>
      </c>
      <c r="U538">
        <v>70</v>
      </c>
      <c r="V538">
        <v>1</v>
      </c>
      <c r="W538">
        <v>70</v>
      </c>
      <c r="X538">
        <v>30.4</v>
      </c>
      <c r="Y538">
        <v>22.9</v>
      </c>
    </row>
    <row r="539" spans="1:25" x14ac:dyDescent="0.25">
      <c r="A539" t="s">
        <v>5664</v>
      </c>
      <c r="B539">
        <v>534</v>
      </c>
      <c r="C539">
        <v>197</v>
      </c>
      <c r="D539" t="s">
        <v>13</v>
      </c>
      <c r="E539" t="s">
        <v>5409</v>
      </c>
      <c r="F539" t="s">
        <v>3559</v>
      </c>
      <c r="G539" t="s">
        <v>3888</v>
      </c>
      <c r="H539">
        <v>0</v>
      </c>
      <c r="I539">
        <v>174</v>
      </c>
      <c r="J539">
        <v>534</v>
      </c>
      <c r="K539" t="str">
        <f t="shared" si="8"/>
        <v>quar99283</v>
      </c>
      <c r="L539" t="s">
        <v>3859</v>
      </c>
      <c r="M539" t="s">
        <v>102</v>
      </c>
      <c r="N539" t="s">
        <v>2120</v>
      </c>
      <c r="O539" t="s">
        <v>3860</v>
      </c>
      <c r="P539" t="s">
        <v>3884</v>
      </c>
      <c r="Q539" t="s">
        <v>11083</v>
      </c>
      <c r="U539">
        <v>70</v>
      </c>
      <c r="V539">
        <v>1</v>
      </c>
      <c r="W539">
        <v>70</v>
      </c>
      <c r="X539">
        <v>9.9</v>
      </c>
      <c r="Y539">
        <v>28.3</v>
      </c>
    </row>
    <row r="540" spans="1:25" x14ac:dyDescent="0.25">
      <c r="A540" t="s">
        <v>5665</v>
      </c>
      <c r="B540">
        <v>535</v>
      </c>
      <c r="C540">
        <v>198</v>
      </c>
      <c r="D540" t="s">
        <v>13</v>
      </c>
      <c r="E540" t="s">
        <v>5409</v>
      </c>
      <c r="F540" t="s">
        <v>3559</v>
      </c>
      <c r="G540" t="s">
        <v>97</v>
      </c>
      <c r="H540">
        <v>0</v>
      </c>
      <c r="I540">
        <v>542</v>
      </c>
      <c r="J540">
        <v>109</v>
      </c>
      <c r="K540" t="str">
        <f t="shared" si="8"/>
        <v>quar28967</v>
      </c>
      <c r="L540" t="s">
        <v>3859</v>
      </c>
      <c r="M540" t="s">
        <v>73</v>
      </c>
      <c r="N540" t="s">
        <v>1955</v>
      </c>
      <c r="O540" t="s">
        <v>3886</v>
      </c>
      <c r="Q540" t="s">
        <v>3669</v>
      </c>
      <c r="R540" t="s">
        <v>2825</v>
      </c>
      <c r="U540">
        <v>70</v>
      </c>
      <c r="V540">
        <v>2</v>
      </c>
      <c r="W540">
        <v>70</v>
      </c>
      <c r="X540">
        <v>28.9</v>
      </c>
      <c r="Y540">
        <v>6.7</v>
      </c>
    </row>
    <row r="541" spans="1:25" x14ac:dyDescent="0.25">
      <c r="A541" t="s">
        <v>5666</v>
      </c>
      <c r="B541">
        <v>536</v>
      </c>
      <c r="C541">
        <v>199</v>
      </c>
      <c r="D541" t="s">
        <v>13</v>
      </c>
      <c r="E541" t="s">
        <v>5409</v>
      </c>
      <c r="F541" t="s">
        <v>3559</v>
      </c>
      <c r="G541" t="s">
        <v>5667</v>
      </c>
      <c r="H541">
        <v>0</v>
      </c>
      <c r="I541">
        <v>571</v>
      </c>
      <c r="J541">
        <v>426</v>
      </c>
      <c r="K541" t="str">
        <f t="shared" si="8"/>
        <v>quar304229</v>
      </c>
      <c r="M541" t="s">
        <v>102</v>
      </c>
      <c r="N541" t="s">
        <v>2177</v>
      </c>
      <c r="Q541" t="s">
        <v>11083</v>
      </c>
      <c r="U541">
        <v>70</v>
      </c>
      <c r="V541">
        <v>2</v>
      </c>
      <c r="W541">
        <v>70</v>
      </c>
      <c r="X541">
        <v>30.4</v>
      </c>
      <c r="Y541">
        <v>22.9</v>
      </c>
    </row>
    <row r="542" spans="1:25" x14ac:dyDescent="0.25">
      <c r="A542" t="s">
        <v>5668</v>
      </c>
      <c r="B542">
        <v>537</v>
      </c>
      <c r="C542">
        <v>200</v>
      </c>
      <c r="D542" t="s">
        <v>13</v>
      </c>
      <c r="E542" t="s">
        <v>5409</v>
      </c>
      <c r="F542" t="s">
        <v>3559</v>
      </c>
      <c r="G542" t="s">
        <v>5669</v>
      </c>
      <c r="H542">
        <v>0</v>
      </c>
      <c r="I542">
        <v>571</v>
      </c>
      <c r="J542">
        <v>426</v>
      </c>
      <c r="K542" t="str">
        <f t="shared" si="8"/>
        <v>quar304229</v>
      </c>
      <c r="M542" t="s">
        <v>133</v>
      </c>
      <c r="N542" t="s">
        <v>2177</v>
      </c>
      <c r="Q542" t="s">
        <v>11083</v>
      </c>
      <c r="U542">
        <v>70</v>
      </c>
      <c r="V542">
        <v>2</v>
      </c>
      <c r="W542">
        <v>70</v>
      </c>
      <c r="X542">
        <v>30.4</v>
      </c>
      <c r="Y542">
        <v>22.9</v>
      </c>
    </row>
    <row r="543" spans="1:25" x14ac:dyDescent="0.25">
      <c r="A543" t="s">
        <v>5670</v>
      </c>
      <c r="B543">
        <v>538</v>
      </c>
      <c r="C543">
        <v>201</v>
      </c>
      <c r="D543" t="s">
        <v>13</v>
      </c>
      <c r="E543" t="s">
        <v>5409</v>
      </c>
      <c r="F543" t="s">
        <v>3559</v>
      </c>
      <c r="G543" t="s">
        <v>5671</v>
      </c>
      <c r="H543">
        <v>0</v>
      </c>
      <c r="I543">
        <v>426</v>
      </c>
      <c r="J543">
        <v>599</v>
      </c>
      <c r="K543" t="str">
        <f t="shared" si="8"/>
        <v>quar229317</v>
      </c>
      <c r="M543" t="s">
        <v>102</v>
      </c>
      <c r="N543" t="s">
        <v>2131</v>
      </c>
      <c r="Q543" t="s">
        <v>11083</v>
      </c>
      <c r="U543">
        <v>71</v>
      </c>
      <c r="V543">
        <v>0</v>
      </c>
      <c r="W543">
        <v>75</v>
      </c>
      <c r="X543">
        <v>22.9</v>
      </c>
      <c r="Y543">
        <v>31.7</v>
      </c>
    </row>
    <row r="544" spans="1:25" x14ac:dyDescent="0.25">
      <c r="A544" t="s">
        <v>5672</v>
      </c>
      <c r="B544">
        <v>539</v>
      </c>
      <c r="C544">
        <v>202</v>
      </c>
      <c r="D544" t="s">
        <v>13</v>
      </c>
      <c r="E544" t="s">
        <v>5409</v>
      </c>
      <c r="F544" t="s">
        <v>3559</v>
      </c>
      <c r="G544" t="s">
        <v>5673</v>
      </c>
      <c r="H544">
        <v>0</v>
      </c>
      <c r="I544">
        <v>426</v>
      </c>
      <c r="J544">
        <v>599</v>
      </c>
      <c r="K544" t="str">
        <f t="shared" si="8"/>
        <v>quar229317</v>
      </c>
      <c r="M544" t="s">
        <v>102</v>
      </c>
      <c r="N544" t="s">
        <v>2131</v>
      </c>
      <c r="Q544" t="s">
        <v>11083</v>
      </c>
      <c r="U544">
        <v>71</v>
      </c>
      <c r="V544">
        <v>0</v>
      </c>
      <c r="W544">
        <v>75</v>
      </c>
      <c r="X544">
        <v>22.9</v>
      </c>
      <c r="Y544">
        <v>31.7</v>
      </c>
    </row>
    <row r="545" spans="1:25" x14ac:dyDescent="0.25">
      <c r="A545" t="s">
        <v>5674</v>
      </c>
      <c r="B545">
        <v>540</v>
      </c>
      <c r="C545">
        <v>203</v>
      </c>
      <c r="D545" t="s">
        <v>13</v>
      </c>
      <c r="E545" t="s">
        <v>5409</v>
      </c>
      <c r="F545" t="s">
        <v>3559</v>
      </c>
      <c r="G545" t="s">
        <v>4650</v>
      </c>
      <c r="H545">
        <v>0</v>
      </c>
      <c r="I545">
        <v>217</v>
      </c>
      <c r="J545">
        <v>420</v>
      </c>
      <c r="K545" t="str">
        <f t="shared" si="8"/>
        <v>quar127236</v>
      </c>
      <c r="L545" t="s">
        <v>3859</v>
      </c>
      <c r="M545" t="s">
        <v>102</v>
      </c>
      <c r="N545" t="s">
        <v>1555</v>
      </c>
      <c r="O545" t="s">
        <v>3860</v>
      </c>
      <c r="P545" t="s">
        <v>3905</v>
      </c>
      <c r="Q545" t="s">
        <v>11083</v>
      </c>
      <c r="U545">
        <v>71</v>
      </c>
      <c r="V545">
        <v>0</v>
      </c>
      <c r="W545">
        <v>75</v>
      </c>
      <c r="X545">
        <v>12.7</v>
      </c>
      <c r="Y545">
        <v>23.6</v>
      </c>
    </row>
    <row r="546" spans="1:25" x14ac:dyDescent="0.25">
      <c r="A546" t="s">
        <v>5675</v>
      </c>
      <c r="B546">
        <v>541</v>
      </c>
      <c r="C546">
        <v>204</v>
      </c>
      <c r="D546" t="s">
        <v>13</v>
      </c>
      <c r="E546" t="s">
        <v>5409</v>
      </c>
      <c r="F546" t="s">
        <v>3559</v>
      </c>
      <c r="G546" t="s">
        <v>3911</v>
      </c>
      <c r="H546">
        <v>0</v>
      </c>
      <c r="I546">
        <v>740</v>
      </c>
      <c r="J546">
        <v>58</v>
      </c>
      <c r="K546" t="str">
        <f t="shared" si="8"/>
        <v>quar39438</v>
      </c>
      <c r="L546" t="s">
        <v>3859</v>
      </c>
      <c r="M546" t="s">
        <v>102</v>
      </c>
      <c r="N546" t="s">
        <v>5503</v>
      </c>
      <c r="O546" t="s">
        <v>3860</v>
      </c>
      <c r="P546" t="s">
        <v>3905</v>
      </c>
      <c r="Q546" t="s">
        <v>11083</v>
      </c>
      <c r="U546">
        <v>74</v>
      </c>
      <c r="V546">
        <v>0</v>
      </c>
      <c r="W546">
        <v>75</v>
      </c>
      <c r="X546">
        <v>39.4</v>
      </c>
      <c r="Y546">
        <v>3.8</v>
      </c>
    </row>
    <row r="547" spans="1:25" x14ac:dyDescent="0.25">
      <c r="A547" t="s">
        <v>5676</v>
      </c>
      <c r="B547">
        <v>542</v>
      </c>
      <c r="C547">
        <v>205</v>
      </c>
      <c r="D547" t="s">
        <v>13</v>
      </c>
      <c r="E547" t="s">
        <v>5409</v>
      </c>
      <c r="F547" t="s">
        <v>3559</v>
      </c>
      <c r="G547" t="s">
        <v>5677</v>
      </c>
      <c r="H547">
        <v>0</v>
      </c>
      <c r="I547">
        <v>280</v>
      </c>
      <c r="J547">
        <v>373</v>
      </c>
      <c r="K547" t="str">
        <f t="shared" si="8"/>
        <v>quar154201</v>
      </c>
      <c r="M547" t="s">
        <v>102</v>
      </c>
      <c r="N547" t="s">
        <v>2239</v>
      </c>
      <c r="Q547" t="s">
        <v>11083</v>
      </c>
      <c r="U547">
        <v>75</v>
      </c>
      <c r="V547">
        <v>0</v>
      </c>
      <c r="W547">
        <v>75</v>
      </c>
      <c r="X547">
        <v>15.4</v>
      </c>
      <c r="Y547">
        <v>20.100000000000001</v>
      </c>
    </row>
    <row r="548" spans="1:25" x14ac:dyDescent="0.25">
      <c r="A548" t="s">
        <v>5678</v>
      </c>
      <c r="B548">
        <v>543</v>
      </c>
      <c r="C548">
        <v>206</v>
      </c>
      <c r="D548" t="s">
        <v>13</v>
      </c>
      <c r="E548" t="s">
        <v>5409</v>
      </c>
      <c r="F548" t="s">
        <v>3559</v>
      </c>
      <c r="G548" t="s">
        <v>3915</v>
      </c>
      <c r="H548">
        <v>0</v>
      </c>
      <c r="I548">
        <v>740</v>
      </c>
      <c r="J548">
        <v>58</v>
      </c>
      <c r="K548" t="str">
        <f t="shared" si="8"/>
        <v>quar39438</v>
      </c>
      <c r="L548" t="s">
        <v>3859</v>
      </c>
      <c r="M548" t="s">
        <v>102</v>
      </c>
      <c r="N548" t="s">
        <v>5503</v>
      </c>
      <c r="O548" t="s">
        <v>3860</v>
      </c>
      <c r="P548" t="s">
        <v>3900</v>
      </c>
      <c r="Q548" t="s">
        <v>11083</v>
      </c>
      <c r="U548">
        <v>75</v>
      </c>
      <c r="V548">
        <v>0</v>
      </c>
      <c r="W548">
        <v>75</v>
      </c>
      <c r="X548">
        <v>39.4</v>
      </c>
      <c r="Y548">
        <v>3.8</v>
      </c>
    </row>
    <row r="549" spans="1:25" x14ac:dyDescent="0.25">
      <c r="A549" t="s">
        <v>5679</v>
      </c>
      <c r="B549">
        <v>544</v>
      </c>
      <c r="C549">
        <v>207</v>
      </c>
      <c r="D549" t="s">
        <v>13</v>
      </c>
      <c r="E549" t="s">
        <v>5409</v>
      </c>
      <c r="F549" t="s">
        <v>3559</v>
      </c>
      <c r="G549" t="s">
        <v>5680</v>
      </c>
      <c r="H549">
        <v>0</v>
      </c>
      <c r="I549">
        <v>424</v>
      </c>
      <c r="J549">
        <v>335</v>
      </c>
      <c r="K549" t="str">
        <f t="shared" si="8"/>
        <v>quar228183</v>
      </c>
      <c r="M549" t="s">
        <v>102</v>
      </c>
      <c r="N549" t="s">
        <v>2115</v>
      </c>
      <c r="Q549" t="s">
        <v>11083</v>
      </c>
      <c r="U549">
        <v>76</v>
      </c>
      <c r="V549">
        <v>0</v>
      </c>
      <c r="W549">
        <v>80</v>
      </c>
      <c r="X549">
        <v>22.8</v>
      </c>
      <c r="Y549">
        <v>18.3</v>
      </c>
    </row>
    <row r="550" spans="1:25" x14ac:dyDescent="0.25">
      <c r="A550" t="s">
        <v>5681</v>
      </c>
      <c r="B550">
        <v>545</v>
      </c>
      <c r="C550">
        <v>208</v>
      </c>
      <c r="D550" t="s">
        <v>13</v>
      </c>
      <c r="E550" t="s">
        <v>5409</v>
      </c>
      <c r="F550" t="s">
        <v>3559</v>
      </c>
      <c r="G550" t="s">
        <v>5682</v>
      </c>
      <c r="H550">
        <v>0</v>
      </c>
      <c r="I550">
        <v>304</v>
      </c>
      <c r="J550">
        <v>210</v>
      </c>
      <c r="K550" t="str">
        <f t="shared" si="8"/>
        <v>quar165114</v>
      </c>
      <c r="M550" t="s">
        <v>102</v>
      </c>
      <c r="N550" t="s">
        <v>2139</v>
      </c>
      <c r="Q550" t="s">
        <v>11083</v>
      </c>
      <c r="U550">
        <v>76</v>
      </c>
      <c r="V550">
        <v>0</v>
      </c>
      <c r="W550">
        <v>80</v>
      </c>
      <c r="X550">
        <v>16.5</v>
      </c>
      <c r="Y550">
        <v>11.4</v>
      </c>
    </row>
    <row r="551" spans="1:25" x14ac:dyDescent="0.25">
      <c r="A551" t="s">
        <v>5683</v>
      </c>
      <c r="B551">
        <v>546</v>
      </c>
      <c r="C551">
        <v>209</v>
      </c>
      <c r="D551" t="s">
        <v>13</v>
      </c>
      <c r="E551" t="s">
        <v>5409</v>
      </c>
      <c r="F551" t="s">
        <v>3559</v>
      </c>
      <c r="G551" t="s">
        <v>4686</v>
      </c>
      <c r="H551">
        <v>0</v>
      </c>
      <c r="I551">
        <v>414</v>
      </c>
      <c r="J551">
        <v>541</v>
      </c>
      <c r="K551" t="str">
        <f t="shared" si="8"/>
        <v>quar223286</v>
      </c>
      <c r="L551" t="s">
        <v>3859</v>
      </c>
      <c r="M551" t="s">
        <v>102</v>
      </c>
      <c r="N551" t="s">
        <v>1977</v>
      </c>
      <c r="O551" t="s">
        <v>3860</v>
      </c>
      <c r="P551" t="s">
        <v>3900</v>
      </c>
      <c r="Q551" t="s">
        <v>11083</v>
      </c>
      <c r="U551">
        <v>77</v>
      </c>
      <c r="V551">
        <v>0</v>
      </c>
      <c r="W551">
        <v>80</v>
      </c>
      <c r="X551">
        <v>22.3</v>
      </c>
      <c r="Y551">
        <v>28.6</v>
      </c>
    </row>
    <row r="552" spans="1:25" x14ac:dyDescent="0.25">
      <c r="A552" t="s">
        <v>5684</v>
      </c>
      <c r="B552">
        <v>547</v>
      </c>
      <c r="C552">
        <v>210</v>
      </c>
      <c r="D552" t="s">
        <v>13</v>
      </c>
      <c r="E552" t="s">
        <v>5409</v>
      </c>
      <c r="F552" t="s">
        <v>3559</v>
      </c>
      <c r="G552" t="s">
        <v>5685</v>
      </c>
      <c r="H552">
        <v>0</v>
      </c>
      <c r="I552">
        <v>304</v>
      </c>
      <c r="J552">
        <v>210</v>
      </c>
      <c r="K552" t="str">
        <f t="shared" si="8"/>
        <v>quar165114</v>
      </c>
      <c r="M552" t="s">
        <v>102</v>
      </c>
      <c r="N552" t="s">
        <v>2139</v>
      </c>
      <c r="Q552" t="s">
        <v>11083</v>
      </c>
      <c r="U552">
        <v>79</v>
      </c>
      <c r="V552">
        <v>0</v>
      </c>
      <c r="W552">
        <v>80</v>
      </c>
      <c r="X552">
        <v>16.5</v>
      </c>
      <c r="Y552">
        <v>11.4</v>
      </c>
    </row>
    <row r="553" spans="1:25" x14ac:dyDescent="0.25">
      <c r="A553" t="s">
        <v>5686</v>
      </c>
      <c r="B553">
        <v>548</v>
      </c>
      <c r="C553">
        <v>211</v>
      </c>
      <c r="D553" t="s">
        <v>13</v>
      </c>
      <c r="E553" t="s">
        <v>5409</v>
      </c>
      <c r="F553" t="s">
        <v>3559</v>
      </c>
      <c r="G553" t="s">
        <v>117</v>
      </c>
      <c r="H553">
        <v>0</v>
      </c>
      <c r="I553">
        <v>624</v>
      </c>
      <c r="J553">
        <v>343</v>
      </c>
      <c r="K553" t="str">
        <f t="shared" si="8"/>
        <v>quar329185</v>
      </c>
      <c r="L553" t="s">
        <v>3859</v>
      </c>
      <c r="M553" t="s">
        <v>102</v>
      </c>
      <c r="N553" t="s">
        <v>2102</v>
      </c>
      <c r="O553" t="s">
        <v>3886</v>
      </c>
      <c r="Q553" t="s">
        <v>3669</v>
      </c>
      <c r="R553" t="s">
        <v>2821</v>
      </c>
      <c r="U553">
        <v>80</v>
      </c>
      <c r="V553">
        <v>0</v>
      </c>
      <c r="W553">
        <v>80</v>
      </c>
      <c r="X553">
        <v>32.9</v>
      </c>
      <c r="Y553">
        <v>18.5</v>
      </c>
    </row>
    <row r="554" spans="1:25" x14ac:dyDescent="0.25">
      <c r="A554" t="s">
        <v>5687</v>
      </c>
      <c r="B554">
        <v>549</v>
      </c>
      <c r="C554">
        <v>212</v>
      </c>
      <c r="D554" t="s">
        <v>13</v>
      </c>
      <c r="E554" t="s">
        <v>5409</v>
      </c>
      <c r="F554" t="s">
        <v>3559</v>
      </c>
      <c r="G554" t="s">
        <v>126</v>
      </c>
      <c r="H554">
        <v>0</v>
      </c>
      <c r="I554">
        <v>624</v>
      </c>
      <c r="J554">
        <v>343</v>
      </c>
      <c r="K554" t="str">
        <f t="shared" si="8"/>
        <v>quar329185</v>
      </c>
      <c r="L554" t="s">
        <v>3859</v>
      </c>
      <c r="M554" t="s">
        <v>102</v>
      </c>
      <c r="N554" t="s">
        <v>2102</v>
      </c>
      <c r="O554" t="s">
        <v>3886</v>
      </c>
      <c r="Q554" t="s">
        <v>3669</v>
      </c>
      <c r="R554" t="s">
        <v>2821</v>
      </c>
      <c r="U554">
        <v>80</v>
      </c>
      <c r="V554">
        <v>2</v>
      </c>
      <c r="W554">
        <v>80</v>
      </c>
      <c r="X554">
        <v>32.9</v>
      </c>
      <c r="Y554">
        <v>18.5</v>
      </c>
    </row>
    <row r="555" spans="1:25" x14ac:dyDescent="0.25">
      <c r="A555" t="s">
        <v>5688</v>
      </c>
      <c r="B555">
        <v>550</v>
      </c>
      <c r="C555">
        <v>213</v>
      </c>
      <c r="D555" t="s">
        <v>13</v>
      </c>
      <c r="E555" t="s">
        <v>5409</v>
      </c>
      <c r="F555" t="s">
        <v>3559</v>
      </c>
      <c r="G555" t="s">
        <v>5689</v>
      </c>
      <c r="H555">
        <v>0</v>
      </c>
      <c r="I555">
        <v>426</v>
      </c>
      <c r="J555">
        <v>215</v>
      </c>
      <c r="K555" t="str">
        <f t="shared" si="8"/>
        <v>quar22712</v>
      </c>
      <c r="M555" t="s">
        <v>133</v>
      </c>
      <c r="N555" t="s">
        <v>2337</v>
      </c>
      <c r="Q555" t="s">
        <v>11083</v>
      </c>
      <c r="U555">
        <v>81</v>
      </c>
      <c r="V555">
        <v>0</v>
      </c>
      <c r="W555">
        <v>85</v>
      </c>
      <c r="X555">
        <v>22.7</v>
      </c>
      <c r="Y555">
        <v>12</v>
      </c>
    </row>
    <row r="556" spans="1:25" x14ac:dyDescent="0.25">
      <c r="A556" t="s">
        <v>5690</v>
      </c>
      <c r="B556">
        <v>551</v>
      </c>
      <c r="C556">
        <v>214</v>
      </c>
      <c r="D556" t="s">
        <v>13</v>
      </c>
      <c r="E556" t="s">
        <v>5409</v>
      </c>
      <c r="F556" t="s">
        <v>3559</v>
      </c>
      <c r="G556" t="s">
        <v>5691</v>
      </c>
      <c r="H556">
        <v>0</v>
      </c>
      <c r="I556">
        <v>426</v>
      </c>
      <c r="J556">
        <v>215</v>
      </c>
      <c r="K556" t="str">
        <f t="shared" si="8"/>
        <v>quar22712</v>
      </c>
      <c r="M556" t="s">
        <v>133</v>
      </c>
      <c r="N556" t="s">
        <v>2337</v>
      </c>
      <c r="Q556" t="s">
        <v>11083</v>
      </c>
      <c r="U556">
        <v>81</v>
      </c>
      <c r="V556">
        <v>0</v>
      </c>
      <c r="W556">
        <v>85</v>
      </c>
      <c r="X556">
        <v>22.7</v>
      </c>
      <c r="Y556">
        <v>12</v>
      </c>
    </row>
    <row r="557" spans="1:25" x14ac:dyDescent="0.25">
      <c r="A557" t="s">
        <v>5692</v>
      </c>
      <c r="B557">
        <v>552</v>
      </c>
      <c r="C557">
        <v>215</v>
      </c>
      <c r="D557" t="s">
        <v>13</v>
      </c>
      <c r="E557" t="s">
        <v>5409</v>
      </c>
      <c r="F557" t="s">
        <v>3559</v>
      </c>
      <c r="G557" t="s">
        <v>4716</v>
      </c>
      <c r="H557">
        <v>0</v>
      </c>
      <c r="I557">
        <v>219</v>
      </c>
      <c r="J557">
        <v>237</v>
      </c>
      <c r="K557" t="str">
        <f t="shared" si="8"/>
        <v>quar12413</v>
      </c>
      <c r="L557" t="s">
        <v>3859</v>
      </c>
      <c r="M557" t="s">
        <v>133</v>
      </c>
      <c r="N557" t="s">
        <v>2386</v>
      </c>
      <c r="O557" t="s">
        <v>3860</v>
      </c>
      <c r="P557" t="s">
        <v>3936</v>
      </c>
      <c r="Q557" t="s">
        <v>11083</v>
      </c>
      <c r="U557">
        <v>81</v>
      </c>
      <c r="V557">
        <v>0</v>
      </c>
      <c r="W557">
        <v>85</v>
      </c>
      <c r="X557">
        <v>12.4</v>
      </c>
      <c r="Y557">
        <v>13</v>
      </c>
    </row>
    <row r="558" spans="1:25" x14ac:dyDescent="0.25">
      <c r="A558" t="s">
        <v>5693</v>
      </c>
      <c r="B558">
        <v>553</v>
      </c>
      <c r="C558">
        <v>216</v>
      </c>
      <c r="D558" t="s">
        <v>13</v>
      </c>
      <c r="E558" t="s">
        <v>5409</v>
      </c>
      <c r="F558" t="s">
        <v>3559</v>
      </c>
      <c r="G558" t="s">
        <v>4718</v>
      </c>
      <c r="H558">
        <v>0</v>
      </c>
      <c r="I558">
        <v>594</v>
      </c>
      <c r="J558">
        <v>202</v>
      </c>
      <c r="K558" t="str">
        <f t="shared" si="8"/>
        <v>quar316114</v>
      </c>
      <c r="L558" t="s">
        <v>3859</v>
      </c>
      <c r="M558" t="s">
        <v>133</v>
      </c>
      <c r="N558" t="s">
        <v>2210</v>
      </c>
      <c r="O558" t="s">
        <v>3860</v>
      </c>
      <c r="P558" t="s">
        <v>4719</v>
      </c>
      <c r="Q558" t="s">
        <v>11083</v>
      </c>
      <c r="U558">
        <v>81</v>
      </c>
      <c r="V558">
        <v>0</v>
      </c>
      <c r="W558">
        <v>85</v>
      </c>
      <c r="X558">
        <v>31.6</v>
      </c>
      <c r="Y558">
        <v>11.4</v>
      </c>
    </row>
    <row r="559" spans="1:25" x14ac:dyDescent="0.25">
      <c r="A559" t="s">
        <v>5694</v>
      </c>
      <c r="B559">
        <v>554</v>
      </c>
      <c r="C559">
        <v>217</v>
      </c>
      <c r="D559" t="s">
        <v>13</v>
      </c>
      <c r="E559" t="s">
        <v>5409</v>
      </c>
      <c r="F559" t="s">
        <v>3559</v>
      </c>
      <c r="G559" t="s">
        <v>4721</v>
      </c>
      <c r="H559">
        <v>0</v>
      </c>
      <c r="I559">
        <v>426</v>
      </c>
      <c r="J559">
        <v>215</v>
      </c>
      <c r="K559" t="str">
        <f t="shared" si="8"/>
        <v>quar22712</v>
      </c>
      <c r="L559" t="s">
        <v>3859</v>
      </c>
      <c r="M559" t="s">
        <v>133</v>
      </c>
      <c r="N559" t="s">
        <v>2337</v>
      </c>
      <c r="O559" t="s">
        <v>3860</v>
      </c>
      <c r="P559" t="s">
        <v>4722</v>
      </c>
      <c r="Q559" t="s">
        <v>11083</v>
      </c>
      <c r="U559">
        <v>82</v>
      </c>
      <c r="V559">
        <v>0</v>
      </c>
      <c r="W559">
        <v>85</v>
      </c>
      <c r="X559">
        <v>22.7</v>
      </c>
      <c r="Y559">
        <v>12</v>
      </c>
    </row>
    <row r="560" spans="1:25" x14ac:dyDescent="0.25">
      <c r="A560" t="s">
        <v>5695</v>
      </c>
      <c r="B560">
        <v>555</v>
      </c>
      <c r="C560">
        <v>218</v>
      </c>
      <c r="D560" t="s">
        <v>13</v>
      </c>
      <c r="E560" t="s">
        <v>5409</v>
      </c>
      <c r="F560" t="s">
        <v>3559</v>
      </c>
      <c r="G560" t="s">
        <v>5696</v>
      </c>
      <c r="H560">
        <v>0</v>
      </c>
      <c r="I560">
        <v>219</v>
      </c>
      <c r="J560">
        <v>237</v>
      </c>
      <c r="K560" t="str">
        <f t="shared" si="8"/>
        <v>quar12413</v>
      </c>
      <c r="M560" t="s">
        <v>133</v>
      </c>
      <c r="N560" t="s">
        <v>2386</v>
      </c>
      <c r="Q560" t="s">
        <v>11083</v>
      </c>
      <c r="U560">
        <v>82</v>
      </c>
      <c r="V560">
        <v>0</v>
      </c>
      <c r="W560">
        <v>85</v>
      </c>
      <c r="X560">
        <v>12.4</v>
      </c>
      <c r="Y560">
        <v>13</v>
      </c>
    </row>
    <row r="561" spans="1:25" x14ac:dyDescent="0.25">
      <c r="A561" t="s">
        <v>5697</v>
      </c>
      <c r="B561">
        <v>556</v>
      </c>
      <c r="C561">
        <v>219</v>
      </c>
      <c r="D561" t="s">
        <v>13</v>
      </c>
      <c r="E561" t="s">
        <v>5409</v>
      </c>
      <c r="F561" t="s">
        <v>3559</v>
      </c>
      <c r="G561" t="s">
        <v>3935</v>
      </c>
      <c r="H561">
        <v>0</v>
      </c>
      <c r="I561">
        <v>392</v>
      </c>
      <c r="J561">
        <v>542</v>
      </c>
      <c r="K561" t="str">
        <f t="shared" si="8"/>
        <v>quar2129</v>
      </c>
      <c r="L561" t="s">
        <v>3859</v>
      </c>
      <c r="M561" t="s">
        <v>133</v>
      </c>
      <c r="N561" t="s">
        <v>2411</v>
      </c>
      <c r="O561" t="s">
        <v>3860</v>
      </c>
      <c r="P561" t="s">
        <v>3936</v>
      </c>
      <c r="Q561" t="s">
        <v>11083</v>
      </c>
      <c r="U561">
        <v>82</v>
      </c>
      <c r="V561">
        <v>0</v>
      </c>
      <c r="W561">
        <v>85</v>
      </c>
      <c r="X561">
        <v>21</v>
      </c>
      <c r="Y561">
        <v>29</v>
      </c>
    </row>
    <row r="562" spans="1:25" x14ac:dyDescent="0.25">
      <c r="A562" t="s">
        <v>5698</v>
      </c>
      <c r="B562">
        <v>557</v>
      </c>
      <c r="C562">
        <v>220</v>
      </c>
      <c r="D562" t="s">
        <v>13</v>
      </c>
      <c r="E562" t="s">
        <v>5409</v>
      </c>
      <c r="F562" t="s">
        <v>3559</v>
      </c>
      <c r="G562" t="s">
        <v>3938</v>
      </c>
      <c r="H562">
        <v>0</v>
      </c>
      <c r="I562">
        <v>426</v>
      </c>
      <c r="J562">
        <v>215</v>
      </c>
      <c r="K562" t="str">
        <f t="shared" si="8"/>
        <v>quar22712</v>
      </c>
      <c r="M562" t="s">
        <v>133</v>
      </c>
      <c r="N562" t="s">
        <v>2337</v>
      </c>
      <c r="Q562" t="s">
        <v>11083</v>
      </c>
      <c r="U562">
        <v>82</v>
      </c>
      <c r="V562">
        <v>0</v>
      </c>
      <c r="W562">
        <v>85</v>
      </c>
      <c r="X562">
        <v>22.7</v>
      </c>
      <c r="Y562">
        <v>12</v>
      </c>
    </row>
    <row r="563" spans="1:25" x14ac:dyDescent="0.25">
      <c r="A563" t="s">
        <v>5699</v>
      </c>
      <c r="B563">
        <v>558</v>
      </c>
      <c r="C563">
        <v>221</v>
      </c>
      <c r="D563" t="s">
        <v>13</v>
      </c>
      <c r="E563" t="s">
        <v>5409</v>
      </c>
      <c r="F563" t="s">
        <v>3559</v>
      </c>
      <c r="G563" t="s">
        <v>4728</v>
      </c>
      <c r="H563">
        <v>0</v>
      </c>
      <c r="I563">
        <v>275</v>
      </c>
      <c r="J563">
        <v>344</v>
      </c>
      <c r="K563" t="str">
        <f t="shared" si="8"/>
        <v>quar149185</v>
      </c>
      <c r="L563" t="s">
        <v>3859</v>
      </c>
      <c r="M563" t="s">
        <v>133</v>
      </c>
      <c r="N563" t="s">
        <v>2143</v>
      </c>
      <c r="O563" t="s">
        <v>3860</v>
      </c>
      <c r="P563" t="s">
        <v>4719</v>
      </c>
      <c r="Q563" t="s">
        <v>11083</v>
      </c>
      <c r="U563">
        <v>82</v>
      </c>
      <c r="V563">
        <v>0</v>
      </c>
      <c r="W563">
        <v>85</v>
      </c>
      <c r="X563">
        <v>14.9</v>
      </c>
      <c r="Y563">
        <v>18.5</v>
      </c>
    </row>
    <row r="564" spans="1:25" x14ac:dyDescent="0.25">
      <c r="A564" t="s">
        <v>5700</v>
      </c>
      <c r="B564">
        <v>559</v>
      </c>
      <c r="C564">
        <v>222</v>
      </c>
      <c r="D564" t="s">
        <v>13</v>
      </c>
      <c r="E564" t="s">
        <v>5409</v>
      </c>
      <c r="F564" t="s">
        <v>3559</v>
      </c>
      <c r="G564" t="s">
        <v>4730</v>
      </c>
      <c r="H564">
        <v>0</v>
      </c>
      <c r="I564">
        <v>219</v>
      </c>
      <c r="J564">
        <v>237</v>
      </c>
      <c r="K564" t="str">
        <f t="shared" si="8"/>
        <v>quar12413</v>
      </c>
      <c r="L564" t="s">
        <v>3859</v>
      </c>
      <c r="M564" t="s">
        <v>133</v>
      </c>
      <c r="N564" t="s">
        <v>2386</v>
      </c>
      <c r="O564" t="s">
        <v>3860</v>
      </c>
      <c r="P564" t="s">
        <v>4722</v>
      </c>
      <c r="Q564" t="s">
        <v>11083</v>
      </c>
      <c r="U564">
        <v>82</v>
      </c>
      <c r="V564">
        <v>0</v>
      </c>
      <c r="W564">
        <v>85</v>
      </c>
      <c r="X564">
        <v>12.4</v>
      </c>
      <c r="Y564">
        <v>13</v>
      </c>
    </row>
    <row r="565" spans="1:25" x14ac:dyDescent="0.25">
      <c r="A565" t="s">
        <v>5701</v>
      </c>
      <c r="B565">
        <v>560</v>
      </c>
      <c r="C565">
        <v>223</v>
      </c>
      <c r="D565" t="s">
        <v>13</v>
      </c>
      <c r="E565" t="s">
        <v>5409</v>
      </c>
      <c r="F565" t="s">
        <v>3559</v>
      </c>
      <c r="G565" t="s">
        <v>5702</v>
      </c>
      <c r="H565">
        <v>0</v>
      </c>
      <c r="I565">
        <v>392</v>
      </c>
      <c r="J565">
        <v>542</v>
      </c>
      <c r="K565" t="str">
        <f t="shared" si="8"/>
        <v>quar2129</v>
      </c>
      <c r="M565" t="s">
        <v>133</v>
      </c>
      <c r="N565" t="s">
        <v>2411</v>
      </c>
      <c r="Q565" t="s">
        <v>11083</v>
      </c>
      <c r="U565">
        <v>83</v>
      </c>
      <c r="V565">
        <v>0</v>
      </c>
      <c r="W565">
        <v>85</v>
      </c>
      <c r="X565">
        <v>21</v>
      </c>
      <c r="Y565">
        <v>29</v>
      </c>
    </row>
    <row r="566" spans="1:25" x14ac:dyDescent="0.25">
      <c r="A566" t="s">
        <v>5703</v>
      </c>
      <c r="B566">
        <v>561</v>
      </c>
      <c r="C566">
        <v>224</v>
      </c>
      <c r="D566" t="s">
        <v>13</v>
      </c>
      <c r="E566" t="s">
        <v>5409</v>
      </c>
      <c r="F566" t="s">
        <v>3559</v>
      </c>
      <c r="G566" t="s">
        <v>4736</v>
      </c>
      <c r="H566">
        <v>0</v>
      </c>
      <c r="I566">
        <v>275</v>
      </c>
      <c r="J566">
        <v>344</v>
      </c>
      <c r="K566" t="str">
        <f t="shared" si="8"/>
        <v>quar149185</v>
      </c>
      <c r="L566" t="s">
        <v>3859</v>
      </c>
      <c r="M566" t="s">
        <v>133</v>
      </c>
      <c r="N566" t="s">
        <v>2143</v>
      </c>
      <c r="O566" t="s">
        <v>3860</v>
      </c>
      <c r="P566" t="s">
        <v>4719</v>
      </c>
      <c r="Q566" t="s">
        <v>11083</v>
      </c>
      <c r="U566">
        <v>83</v>
      </c>
      <c r="V566">
        <v>0</v>
      </c>
      <c r="W566">
        <v>85</v>
      </c>
      <c r="X566">
        <v>14.9</v>
      </c>
      <c r="Y566">
        <v>18.5</v>
      </c>
    </row>
    <row r="567" spans="1:25" x14ac:dyDescent="0.25">
      <c r="A567" t="s">
        <v>5704</v>
      </c>
      <c r="B567">
        <v>562</v>
      </c>
      <c r="C567">
        <v>225</v>
      </c>
      <c r="D567" t="s">
        <v>13</v>
      </c>
      <c r="E567" t="s">
        <v>5409</v>
      </c>
      <c r="F567" t="s">
        <v>3559</v>
      </c>
      <c r="G567" t="s">
        <v>4738</v>
      </c>
      <c r="H567">
        <v>0</v>
      </c>
      <c r="I567">
        <v>392</v>
      </c>
      <c r="J567">
        <v>542</v>
      </c>
      <c r="K567" t="str">
        <f t="shared" si="8"/>
        <v>quar2129</v>
      </c>
      <c r="L567" t="s">
        <v>3859</v>
      </c>
      <c r="M567" t="s">
        <v>133</v>
      </c>
      <c r="N567" t="s">
        <v>2411</v>
      </c>
      <c r="O567" t="s">
        <v>3860</v>
      </c>
      <c r="P567" t="s">
        <v>4722</v>
      </c>
      <c r="Q567" t="s">
        <v>11083</v>
      </c>
      <c r="U567">
        <v>83</v>
      </c>
      <c r="V567">
        <v>0</v>
      </c>
      <c r="W567">
        <v>85</v>
      </c>
      <c r="X567">
        <v>21</v>
      </c>
      <c r="Y567">
        <v>29</v>
      </c>
    </row>
    <row r="568" spans="1:25" x14ac:dyDescent="0.25">
      <c r="A568" t="s">
        <v>5705</v>
      </c>
      <c r="B568">
        <v>563</v>
      </c>
      <c r="C568">
        <v>226</v>
      </c>
      <c r="D568" t="s">
        <v>13</v>
      </c>
      <c r="E568" t="s">
        <v>5409</v>
      </c>
      <c r="F568" t="s">
        <v>3559</v>
      </c>
      <c r="G568" t="s">
        <v>5706</v>
      </c>
      <c r="H568">
        <v>0</v>
      </c>
      <c r="I568">
        <v>392</v>
      </c>
      <c r="J568">
        <v>542</v>
      </c>
      <c r="K568" t="str">
        <f t="shared" si="8"/>
        <v>quar2129</v>
      </c>
      <c r="M568" t="s">
        <v>133</v>
      </c>
      <c r="N568" t="s">
        <v>2411</v>
      </c>
      <c r="Q568" t="s">
        <v>11083</v>
      </c>
      <c r="U568">
        <v>84</v>
      </c>
      <c r="V568">
        <v>0</v>
      </c>
      <c r="W568">
        <v>85</v>
      </c>
      <c r="X568">
        <v>21</v>
      </c>
      <c r="Y568">
        <v>29</v>
      </c>
    </row>
    <row r="569" spans="1:25" x14ac:dyDescent="0.25">
      <c r="A569" t="s">
        <v>5707</v>
      </c>
      <c r="B569">
        <v>564</v>
      </c>
      <c r="C569">
        <v>227</v>
      </c>
      <c r="D569" t="s">
        <v>13</v>
      </c>
      <c r="E569" t="s">
        <v>5409</v>
      </c>
      <c r="F569" t="s">
        <v>3559</v>
      </c>
      <c r="G569" t="s">
        <v>4744</v>
      </c>
      <c r="H569">
        <v>0</v>
      </c>
      <c r="I569">
        <v>594</v>
      </c>
      <c r="J569">
        <v>202</v>
      </c>
      <c r="K569" t="str">
        <f t="shared" si="8"/>
        <v>quar316114</v>
      </c>
      <c r="L569" t="s">
        <v>3859</v>
      </c>
      <c r="M569" t="s">
        <v>133</v>
      </c>
      <c r="N569" t="s">
        <v>2210</v>
      </c>
      <c r="O569" t="s">
        <v>3860</v>
      </c>
      <c r="P569" t="s">
        <v>4719</v>
      </c>
      <c r="Q569" t="s">
        <v>11083</v>
      </c>
      <c r="U569">
        <v>84</v>
      </c>
      <c r="V569">
        <v>0</v>
      </c>
      <c r="W569">
        <v>85</v>
      </c>
      <c r="X569">
        <v>31.6</v>
      </c>
      <c r="Y569">
        <v>11.4</v>
      </c>
    </row>
    <row r="570" spans="1:25" x14ac:dyDescent="0.25">
      <c r="A570" t="s">
        <v>5708</v>
      </c>
      <c r="B570">
        <v>565</v>
      </c>
      <c r="C570">
        <v>228</v>
      </c>
      <c r="D570" t="s">
        <v>13</v>
      </c>
      <c r="E570" t="s">
        <v>5409</v>
      </c>
      <c r="F570" t="s">
        <v>3559</v>
      </c>
      <c r="G570" t="s">
        <v>5709</v>
      </c>
      <c r="H570">
        <v>0</v>
      </c>
      <c r="I570">
        <v>252</v>
      </c>
      <c r="J570">
        <v>339</v>
      </c>
      <c r="K570" t="str">
        <f t="shared" si="8"/>
        <v>quar139182</v>
      </c>
      <c r="M570" t="s">
        <v>133</v>
      </c>
      <c r="N570" t="s">
        <v>2522</v>
      </c>
      <c r="Q570" t="s">
        <v>11083</v>
      </c>
      <c r="U570">
        <v>86</v>
      </c>
      <c r="V570">
        <v>0</v>
      </c>
      <c r="W570">
        <v>90</v>
      </c>
      <c r="X570">
        <v>13.9</v>
      </c>
      <c r="Y570">
        <v>18.2</v>
      </c>
    </row>
    <row r="571" spans="1:25" x14ac:dyDescent="0.25">
      <c r="A571" t="s">
        <v>5710</v>
      </c>
      <c r="B571">
        <v>566</v>
      </c>
      <c r="C571">
        <v>229</v>
      </c>
      <c r="D571" t="s">
        <v>13</v>
      </c>
      <c r="E571" t="s">
        <v>5409</v>
      </c>
      <c r="F571" t="s">
        <v>3559</v>
      </c>
      <c r="G571" t="s">
        <v>134</v>
      </c>
      <c r="H571">
        <v>0</v>
      </c>
      <c r="I571">
        <v>405</v>
      </c>
      <c r="J571">
        <v>655</v>
      </c>
      <c r="K571" t="str">
        <f t="shared" si="8"/>
        <v>quar216348</v>
      </c>
      <c r="L571" t="s">
        <v>3859</v>
      </c>
      <c r="M571" t="s">
        <v>133</v>
      </c>
      <c r="N571" t="s">
        <v>2450</v>
      </c>
      <c r="O571" t="s">
        <v>3886</v>
      </c>
      <c r="Q571" t="s">
        <v>3669</v>
      </c>
      <c r="R571" t="s">
        <v>2805</v>
      </c>
      <c r="U571">
        <v>86</v>
      </c>
      <c r="V571">
        <v>0</v>
      </c>
      <c r="W571">
        <v>90</v>
      </c>
      <c r="X571">
        <v>21.6</v>
      </c>
      <c r="Y571">
        <v>34.799999999999997</v>
      </c>
    </row>
    <row r="572" spans="1:25" x14ac:dyDescent="0.25">
      <c r="A572" t="s">
        <v>5711</v>
      </c>
      <c r="B572">
        <v>567</v>
      </c>
      <c r="C572">
        <v>230</v>
      </c>
      <c r="D572" t="s">
        <v>13</v>
      </c>
      <c r="E572" t="s">
        <v>5409</v>
      </c>
      <c r="F572" t="s">
        <v>3559</v>
      </c>
      <c r="G572" t="s">
        <v>5712</v>
      </c>
      <c r="H572">
        <v>0</v>
      </c>
      <c r="I572">
        <v>252</v>
      </c>
      <c r="J572">
        <v>339</v>
      </c>
      <c r="K572" t="str">
        <f t="shared" si="8"/>
        <v>quar139182</v>
      </c>
      <c r="M572" t="s">
        <v>133</v>
      </c>
      <c r="N572" t="s">
        <v>2522</v>
      </c>
      <c r="Q572" t="s">
        <v>11083</v>
      </c>
      <c r="U572">
        <v>87</v>
      </c>
      <c r="V572">
        <v>0</v>
      </c>
      <c r="W572">
        <v>90</v>
      </c>
      <c r="X572">
        <v>13.9</v>
      </c>
      <c r="Y572">
        <v>18.2</v>
      </c>
    </row>
    <row r="573" spans="1:25" x14ac:dyDescent="0.25">
      <c r="A573" t="s">
        <v>5713</v>
      </c>
      <c r="B573">
        <v>568</v>
      </c>
      <c r="C573">
        <v>231</v>
      </c>
      <c r="D573" t="s">
        <v>13</v>
      </c>
      <c r="E573" t="s">
        <v>5409</v>
      </c>
      <c r="F573" t="s">
        <v>3559</v>
      </c>
      <c r="G573" t="s">
        <v>4757</v>
      </c>
      <c r="H573">
        <v>0</v>
      </c>
      <c r="I573">
        <v>252</v>
      </c>
      <c r="J573">
        <v>339</v>
      </c>
      <c r="K573" t="str">
        <f t="shared" si="8"/>
        <v>quar139182</v>
      </c>
      <c r="L573" t="s">
        <v>3859</v>
      </c>
      <c r="M573" t="s">
        <v>133</v>
      </c>
      <c r="N573" t="s">
        <v>2522</v>
      </c>
      <c r="O573" t="s">
        <v>3860</v>
      </c>
      <c r="P573" t="s">
        <v>4722</v>
      </c>
      <c r="Q573" t="s">
        <v>11083</v>
      </c>
      <c r="U573">
        <v>87</v>
      </c>
      <c r="V573">
        <v>0</v>
      </c>
      <c r="W573">
        <v>90</v>
      </c>
      <c r="X573">
        <v>13.9</v>
      </c>
      <c r="Y573">
        <v>18.2</v>
      </c>
    </row>
    <row r="574" spans="1:25" x14ac:dyDescent="0.25">
      <c r="A574" t="s">
        <v>5714</v>
      </c>
      <c r="B574">
        <v>569</v>
      </c>
      <c r="C574">
        <v>232</v>
      </c>
      <c r="D574" t="s">
        <v>13</v>
      </c>
      <c r="E574" t="s">
        <v>5409</v>
      </c>
      <c r="F574" t="s">
        <v>3559</v>
      </c>
      <c r="G574" t="s">
        <v>5715</v>
      </c>
      <c r="H574">
        <v>0</v>
      </c>
      <c r="I574">
        <v>252</v>
      </c>
      <c r="J574">
        <v>339</v>
      </c>
      <c r="K574" t="str">
        <f t="shared" si="8"/>
        <v>quar139182</v>
      </c>
      <c r="M574" t="s">
        <v>133</v>
      </c>
      <c r="N574" t="s">
        <v>2522</v>
      </c>
      <c r="Q574" t="s">
        <v>11083</v>
      </c>
      <c r="U574">
        <v>88</v>
      </c>
      <c r="V574">
        <v>0</v>
      </c>
      <c r="W574">
        <v>90</v>
      </c>
      <c r="X574">
        <v>13.9</v>
      </c>
      <c r="Y574">
        <v>18.2</v>
      </c>
    </row>
    <row r="575" spans="1:25" x14ac:dyDescent="0.25">
      <c r="A575" t="s">
        <v>5716</v>
      </c>
      <c r="B575">
        <v>570</v>
      </c>
      <c r="C575">
        <v>233</v>
      </c>
      <c r="D575" t="s">
        <v>13</v>
      </c>
      <c r="E575" t="s">
        <v>5409</v>
      </c>
      <c r="F575" t="s">
        <v>3559</v>
      </c>
      <c r="G575" t="s">
        <v>5717</v>
      </c>
      <c r="H575">
        <v>0</v>
      </c>
      <c r="I575">
        <v>400</v>
      </c>
      <c r="J575">
        <v>634</v>
      </c>
      <c r="K575" t="str">
        <f t="shared" si="8"/>
        <v>quar214335</v>
      </c>
      <c r="M575" t="s">
        <v>133</v>
      </c>
      <c r="N575" t="s">
        <v>2485</v>
      </c>
      <c r="Q575" t="s">
        <v>11083</v>
      </c>
      <c r="U575">
        <v>90</v>
      </c>
      <c r="V575">
        <v>0</v>
      </c>
      <c r="W575">
        <v>90</v>
      </c>
      <c r="X575">
        <v>21.4</v>
      </c>
      <c r="Y575">
        <v>33.5</v>
      </c>
    </row>
    <row r="576" spans="1:25" x14ac:dyDescent="0.25">
      <c r="A576" t="s">
        <v>5718</v>
      </c>
      <c r="B576">
        <v>571</v>
      </c>
      <c r="C576">
        <v>234</v>
      </c>
      <c r="D576" t="s">
        <v>13</v>
      </c>
      <c r="E576" t="s">
        <v>5409</v>
      </c>
      <c r="F576" t="s">
        <v>3559</v>
      </c>
      <c r="G576" t="s">
        <v>154</v>
      </c>
      <c r="H576">
        <v>0</v>
      </c>
      <c r="I576">
        <v>405</v>
      </c>
      <c r="J576">
        <v>655</v>
      </c>
      <c r="K576" t="str">
        <f t="shared" si="8"/>
        <v>quar216348</v>
      </c>
      <c r="L576" t="s">
        <v>3859</v>
      </c>
      <c r="M576" t="s">
        <v>133</v>
      </c>
      <c r="N576" t="s">
        <v>2450</v>
      </c>
      <c r="O576" t="s">
        <v>3886</v>
      </c>
      <c r="Q576" t="s">
        <v>3669</v>
      </c>
      <c r="R576" t="s">
        <v>2805</v>
      </c>
      <c r="U576">
        <v>90</v>
      </c>
      <c r="V576">
        <v>2</v>
      </c>
      <c r="W576">
        <v>90</v>
      </c>
      <c r="X576">
        <v>21.6</v>
      </c>
      <c r="Y576">
        <v>34.799999999999997</v>
      </c>
    </row>
    <row r="577" spans="1:25" x14ac:dyDescent="0.25">
      <c r="A577" t="s">
        <v>5719</v>
      </c>
      <c r="B577">
        <v>572</v>
      </c>
      <c r="C577">
        <v>235</v>
      </c>
      <c r="D577" t="s">
        <v>13</v>
      </c>
      <c r="E577" t="s">
        <v>5409</v>
      </c>
      <c r="F577" t="s">
        <v>3559</v>
      </c>
      <c r="G577" t="s">
        <v>5720</v>
      </c>
      <c r="H577">
        <v>0</v>
      </c>
      <c r="I577">
        <v>555</v>
      </c>
      <c r="J577">
        <v>520</v>
      </c>
      <c r="K577" t="str">
        <f t="shared" si="8"/>
        <v>quar297278</v>
      </c>
      <c r="M577" t="s">
        <v>215</v>
      </c>
      <c r="N577" t="s">
        <v>2562</v>
      </c>
      <c r="Q577" t="s">
        <v>11083</v>
      </c>
      <c r="U577">
        <v>92</v>
      </c>
      <c r="V577">
        <v>0</v>
      </c>
      <c r="W577">
        <v>95</v>
      </c>
      <c r="X577">
        <v>29.7</v>
      </c>
      <c r="Y577">
        <v>27.8</v>
      </c>
    </row>
    <row r="578" spans="1:25" x14ac:dyDescent="0.25">
      <c r="A578" t="s">
        <v>5721</v>
      </c>
      <c r="B578">
        <v>573</v>
      </c>
      <c r="C578">
        <v>236</v>
      </c>
      <c r="D578" t="s">
        <v>13</v>
      </c>
      <c r="E578" t="s">
        <v>5409</v>
      </c>
      <c r="F578" t="s">
        <v>3559</v>
      </c>
      <c r="G578" t="s">
        <v>216</v>
      </c>
      <c r="H578">
        <v>0</v>
      </c>
      <c r="I578">
        <v>501</v>
      </c>
      <c r="J578">
        <v>218</v>
      </c>
      <c r="K578" t="str">
        <f t="shared" ref="K578:K611" si="9">LEFT(A578,4)&amp;SUBSTITUTE(X578,".","")&amp;SUBSTITUTE(Y578,".","")</f>
        <v>quar267122</v>
      </c>
      <c r="L578" t="s">
        <v>3859</v>
      </c>
      <c r="M578" t="s">
        <v>215</v>
      </c>
      <c r="N578" t="s">
        <v>2732</v>
      </c>
      <c r="O578" t="s">
        <v>3886</v>
      </c>
      <c r="Q578" t="s">
        <v>3669</v>
      </c>
      <c r="R578" t="s">
        <v>2825</v>
      </c>
      <c r="U578">
        <v>96</v>
      </c>
      <c r="V578">
        <v>0</v>
      </c>
      <c r="W578">
        <v>100</v>
      </c>
      <c r="X578">
        <v>26.7</v>
      </c>
      <c r="Y578">
        <v>12.2</v>
      </c>
    </row>
    <row r="579" spans="1:25" x14ac:dyDescent="0.25">
      <c r="A579" t="s">
        <v>5722</v>
      </c>
      <c r="B579">
        <v>574</v>
      </c>
      <c r="C579">
        <v>237</v>
      </c>
      <c r="D579" t="s">
        <v>13</v>
      </c>
      <c r="E579" t="s">
        <v>5409</v>
      </c>
      <c r="F579" t="s">
        <v>3559</v>
      </c>
      <c r="G579" t="s">
        <v>5723</v>
      </c>
      <c r="H579">
        <v>0</v>
      </c>
      <c r="I579">
        <v>314</v>
      </c>
      <c r="J579">
        <v>604</v>
      </c>
      <c r="K579" t="str">
        <f t="shared" si="9"/>
        <v>quar173322</v>
      </c>
      <c r="M579" t="s">
        <v>215</v>
      </c>
      <c r="N579" t="s">
        <v>3684</v>
      </c>
      <c r="Q579" t="s">
        <v>11083</v>
      </c>
      <c r="U579">
        <v>97</v>
      </c>
      <c r="V579">
        <v>0</v>
      </c>
      <c r="W579">
        <v>100</v>
      </c>
      <c r="X579">
        <v>17.3</v>
      </c>
      <c r="Y579">
        <v>32.200000000000003</v>
      </c>
    </row>
    <row r="580" spans="1:25" x14ac:dyDescent="0.25">
      <c r="A580" t="s">
        <v>5724</v>
      </c>
      <c r="B580">
        <v>575</v>
      </c>
      <c r="C580">
        <v>238</v>
      </c>
      <c r="D580" t="s">
        <v>13</v>
      </c>
      <c r="E580" t="s">
        <v>5409</v>
      </c>
      <c r="F580" t="s">
        <v>3559</v>
      </c>
      <c r="G580" t="s">
        <v>227</v>
      </c>
      <c r="H580">
        <v>0</v>
      </c>
      <c r="I580">
        <v>180</v>
      </c>
      <c r="J580">
        <v>198</v>
      </c>
      <c r="K580" t="str">
        <f t="shared" si="9"/>
        <v>quar103112</v>
      </c>
      <c r="L580" t="s">
        <v>3859</v>
      </c>
      <c r="M580" t="s">
        <v>215</v>
      </c>
      <c r="N580" t="s">
        <v>2797</v>
      </c>
      <c r="O580" t="s">
        <v>3886</v>
      </c>
      <c r="Q580" t="s">
        <v>3669</v>
      </c>
      <c r="R580" t="s">
        <v>2819</v>
      </c>
      <c r="U580">
        <v>100</v>
      </c>
      <c r="V580">
        <v>0</v>
      </c>
      <c r="W580">
        <v>100</v>
      </c>
      <c r="X580">
        <v>10.3</v>
      </c>
      <c r="Y580">
        <v>11.2</v>
      </c>
    </row>
    <row r="581" spans="1:25" x14ac:dyDescent="0.25">
      <c r="A581" t="s">
        <v>5725</v>
      </c>
      <c r="B581">
        <v>576</v>
      </c>
      <c r="C581">
        <v>239</v>
      </c>
      <c r="D581" t="s">
        <v>13</v>
      </c>
      <c r="E581" t="s">
        <v>5409</v>
      </c>
      <c r="F581" t="s">
        <v>3978</v>
      </c>
      <c r="G581" t="s">
        <v>5726</v>
      </c>
      <c r="H581">
        <v>0</v>
      </c>
      <c r="I581">
        <v>638</v>
      </c>
      <c r="J581">
        <v>374</v>
      </c>
      <c r="K581" t="str">
        <f t="shared" si="9"/>
        <v>quar355213</v>
      </c>
      <c r="L581" t="s">
        <v>3859</v>
      </c>
      <c r="M581" t="s">
        <v>11</v>
      </c>
      <c r="N581" t="s">
        <v>1543</v>
      </c>
      <c r="O581" t="s">
        <v>3976</v>
      </c>
      <c r="P581" t="s">
        <v>3977</v>
      </c>
      <c r="Q581" t="s">
        <v>11083</v>
      </c>
      <c r="U581">
        <v>51</v>
      </c>
      <c r="V581">
        <v>0</v>
      </c>
      <c r="W581">
        <v>55</v>
      </c>
      <c r="X581">
        <v>35.5</v>
      </c>
      <c r="Y581">
        <v>21.3</v>
      </c>
    </row>
    <row r="582" spans="1:25" x14ac:dyDescent="0.25">
      <c r="A582" t="s">
        <v>5727</v>
      </c>
      <c r="B582">
        <v>577</v>
      </c>
      <c r="C582">
        <v>240</v>
      </c>
      <c r="D582" t="s">
        <v>13</v>
      </c>
      <c r="E582" t="s">
        <v>5409</v>
      </c>
      <c r="F582" t="s">
        <v>3978</v>
      </c>
      <c r="G582" t="s">
        <v>5728</v>
      </c>
      <c r="H582">
        <v>0</v>
      </c>
      <c r="I582">
        <v>279</v>
      </c>
      <c r="J582">
        <v>576</v>
      </c>
      <c r="K582" t="str">
        <f t="shared" si="9"/>
        <v>quar154306</v>
      </c>
      <c r="L582" t="s">
        <v>3859</v>
      </c>
      <c r="M582" t="s">
        <v>102</v>
      </c>
      <c r="N582" t="s">
        <v>2226</v>
      </c>
      <c r="O582" t="s">
        <v>3976</v>
      </c>
      <c r="P582" t="s">
        <v>3977</v>
      </c>
      <c r="Q582" t="s">
        <v>11083</v>
      </c>
      <c r="U582">
        <v>80</v>
      </c>
      <c r="V582">
        <v>0</v>
      </c>
      <c r="W582">
        <v>80</v>
      </c>
      <c r="X582">
        <v>15.4</v>
      </c>
      <c r="Y582">
        <v>30.6</v>
      </c>
    </row>
    <row r="583" spans="1:25" x14ac:dyDescent="0.25">
      <c r="A583" t="s">
        <v>5729</v>
      </c>
      <c r="B583">
        <v>578</v>
      </c>
      <c r="C583">
        <v>241</v>
      </c>
      <c r="D583" t="s">
        <v>13</v>
      </c>
      <c r="E583" t="s">
        <v>5409</v>
      </c>
      <c r="F583" t="s">
        <v>3978</v>
      </c>
      <c r="G583" t="s">
        <v>5730</v>
      </c>
      <c r="H583">
        <v>0</v>
      </c>
      <c r="I583">
        <v>231</v>
      </c>
      <c r="J583">
        <v>410</v>
      </c>
      <c r="K583" t="str">
        <f t="shared" si="9"/>
        <v>quar127218</v>
      </c>
      <c r="L583" t="s">
        <v>3859</v>
      </c>
      <c r="M583" t="s">
        <v>133</v>
      </c>
      <c r="N583" t="s">
        <v>2409</v>
      </c>
      <c r="O583" t="s">
        <v>3976</v>
      </c>
      <c r="P583" t="s">
        <v>3977</v>
      </c>
      <c r="Q583" t="s">
        <v>3749</v>
      </c>
      <c r="R583" t="s">
        <v>2830</v>
      </c>
      <c r="U583">
        <v>87</v>
      </c>
      <c r="V583">
        <v>0</v>
      </c>
      <c r="W583">
        <v>90</v>
      </c>
      <c r="X583">
        <v>12.7</v>
      </c>
      <c r="Y583">
        <v>21.8</v>
      </c>
    </row>
    <row r="584" spans="1:25" x14ac:dyDescent="0.25">
      <c r="A584" t="s">
        <v>5731</v>
      </c>
      <c r="B584">
        <v>579</v>
      </c>
      <c r="C584">
        <v>242</v>
      </c>
      <c r="D584" t="s">
        <v>13</v>
      </c>
      <c r="E584" t="s">
        <v>5409</v>
      </c>
      <c r="F584" t="s">
        <v>3978</v>
      </c>
      <c r="G584" t="s">
        <v>5732</v>
      </c>
      <c r="H584">
        <v>0</v>
      </c>
      <c r="I584">
        <v>140</v>
      </c>
      <c r="J584">
        <v>695</v>
      </c>
      <c r="K584" t="str">
        <f t="shared" si="9"/>
        <v>quar8367</v>
      </c>
      <c r="L584" t="s">
        <v>3859</v>
      </c>
      <c r="M584" t="s">
        <v>133</v>
      </c>
      <c r="N584" t="s">
        <v>3514</v>
      </c>
      <c r="O584" t="s">
        <v>3976</v>
      </c>
      <c r="P584" t="s">
        <v>3977</v>
      </c>
      <c r="Q584" t="s">
        <v>3749</v>
      </c>
      <c r="R584" t="s">
        <v>2834</v>
      </c>
      <c r="U584">
        <v>89</v>
      </c>
      <c r="V584">
        <v>0</v>
      </c>
      <c r="W584">
        <v>90</v>
      </c>
      <c r="X584">
        <v>8</v>
      </c>
      <c r="Y584">
        <v>36.700000000000003</v>
      </c>
    </row>
    <row r="585" spans="1:25" x14ac:dyDescent="0.25">
      <c r="A585" t="s">
        <v>5733</v>
      </c>
      <c r="B585">
        <v>580</v>
      </c>
      <c r="C585">
        <v>243</v>
      </c>
      <c r="D585" t="s">
        <v>13</v>
      </c>
      <c r="E585" t="s">
        <v>5409</v>
      </c>
      <c r="F585" t="s">
        <v>3978</v>
      </c>
      <c r="G585" t="s">
        <v>5734</v>
      </c>
      <c r="H585">
        <v>0</v>
      </c>
      <c r="I585">
        <v>468</v>
      </c>
      <c r="J585">
        <v>453</v>
      </c>
      <c r="K585" t="str">
        <f t="shared" si="9"/>
        <v>quar252242</v>
      </c>
      <c r="L585" t="s">
        <v>3859</v>
      </c>
      <c r="M585" t="s">
        <v>133</v>
      </c>
      <c r="N585" t="s">
        <v>2365</v>
      </c>
      <c r="O585" t="s">
        <v>3976</v>
      </c>
      <c r="P585" t="s">
        <v>3977</v>
      </c>
      <c r="Q585" t="s">
        <v>11083</v>
      </c>
      <c r="U585">
        <v>90</v>
      </c>
      <c r="V585">
        <v>0</v>
      </c>
      <c r="W585">
        <v>90</v>
      </c>
      <c r="X585">
        <v>25.2</v>
      </c>
      <c r="Y585">
        <v>24.2</v>
      </c>
    </row>
    <row r="586" spans="1:25" x14ac:dyDescent="0.25">
      <c r="A586" t="s">
        <v>5735</v>
      </c>
      <c r="B586">
        <v>581</v>
      </c>
      <c r="C586">
        <v>244</v>
      </c>
      <c r="D586" t="s">
        <v>13</v>
      </c>
      <c r="E586" t="s">
        <v>5409</v>
      </c>
      <c r="F586" t="s">
        <v>3978</v>
      </c>
      <c r="G586" t="s">
        <v>5736</v>
      </c>
      <c r="H586">
        <v>0</v>
      </c>
      <c r="I586">
        <v>231</v>
      </c>
      <c r="J586">
        <v>410</v>
      </c>
      <c r="K586" t="str">
        <f t="shared" si="9"/>
        <v>quar127218</v>
      </c>
      <c r="L586" t="s">
        <v>3859</v>
      </c>
      <c r="M586" t="s">
        <v>133</v>
      </c>
      <c r="N586" t="s">
        <v>2409</v>
      </c>
      <c r="O586" t="s">
        <v>3976</v>
      </c>
      <c r="P586" t="s">
        <v>3977</v>
      </c>
      <c r="Q586" t="s">
        <v>3749</v>
      </c>
      <c r="R586" t="s">
        <v>2830</v>
      </c>
      <c r="U586">
        <v>90</v>
      </c>
      <c r="V586">
        <v>0</v>
      </c>
      <c r="W586">
        <v>90</v>
      </c>
      <c r="X586">
        <v>12.7</v>
      </c>
      <c r="Y586">
        <v>21.8</v>
      </c>
    </row>
    <row r="587" spans="1:25" x14ac:dyDescent="0.25">
      <c r="A587" t="s">
        <v>5737</v>
      </c>
      <c r="B587">
        <v>582</v>
      </c>
      <c r="C587">
        <v>245</v>
      </c>
      <c r="D587" t="s">
        <v>13</v>
      </c>
      <c r="E587" t="s">
        <v>5409</v>
      </c>
      <c r="F587" t="s">
        <v>3978</v>
      </c>
      <c r="G587" t="s">
        <v>5738</v>
      </c>
      <c r="H587">
        <v>0</v>
      </c>
      <c r="I587">
        <v>140</v>
      </c>
      <c r="J587">
        <v>695</v>
      </c>
      <c r="K587" t="str">
        <f t="shared" si="9"/>
        <v>quar8367</v>
      </c>
      <c r="L587" t="s">
        <v>3859</v>
      </c>
      <c r="M587" t="s">
        <v>133</v>
      </c>
      <c r="N587" t="s">
        <v>3514</v>
      </c>
      <c r="O587" t="s">
        <v>3976</v>
      </c>
      <c r="P587" t="s">
        <v>3977</v>
      </c>
      <c r="Q587" t="s">
        <v>3749</v>
      </c>
      <c r="R587" t="s">
        <v>2834</v>
      </c>
      <c r="U587">
        <v>90</v>
      </c>
      <c r="V587">
        <v>1</v>
      </c>
      <c r="W587">
        <v>90</v>
      </c>
      <c r="X587">
        <v>8</v>
      </c>
      <c r="Y587">
        <v>36.700000000000003</v>
      </c>
    </row>
    <row r="588" spans="1:25" x14ac:dyDescent="0.25">
      <c r="A588" t="s">
        <v>5739</v>
      </c>
      <c r="B588">
        <v>583</v>
      </c>
      <c r="C588">
        <v>246</v>
      </c>
      <c r="D588" t="s">
        <v>13</v>
      </c>
      <c r="E588" t="s">
        <v>5409</v>
      </c>
      <c r="F588" t="s">
        <v>3978</v>
      </c>
      <c r="G588" t="s">
        <v>5740</v>
      </c>
      <c r="H588">
        <v>0</v>
      </c>
      <c r="I588">
        <v>609</v>
      </c>
      <c r="J588">
        <v>462</v>
      </c>
      <c r="K588" t="str">
        <f t="shared" si="9"/>
        <v>quar32325</v>
      </c>
      <c r="L588" t="s">
        <v>3859</v>
      </c>
      <c r="M588" t="s">
        <v>133</v>
      </c>
      <c r="N588" t="s">
        <v>2381</v>
      </c>
      <c r="O588" t="s">
        <v>3976</v>
      </c>
      <c r="P588" t="s">
        <v>3977</v>
      </c>
      <c r="Q588" t="s">
        <v>3749</v>
      </c>
      <c r="R588" t="s">
        <v>2831</v>
      </c>
      <c r="U588">
        <v>90</v>
      </c>
      <c r="V588">
        <v>1</v>
      </c>
      <c r="W588">
        <v>90</v>
      </c>
      <c r="X588">
        <v>32.299999999999997</v>
      </c>
      <c r="Y588">
        <v>25</v>
      </c>
    </row>
    <row r="589" spans="1:25" x14ac:dyDescent="0.25">
      <c r="A589" t="s">
        <v>5741</v>
      </c>
      <c r="B589">
        <v>584</v>
      </c>
      <c r="C589">
        <v>247</v>
      </c>
      <c r="D589" t="s">
        <v>13</v>
      </c>
      <c r="E589" t="s">
        <v>5409</v>
      </c>
      <c r="F589" t="s">
        <v>3978</v>
      </c>
      <c r="G589" t="s">
        <v>5742</v>
      </c>
      <c r="H589">
        <v>0</v>
      </c>
      <c r="I589">
        <v>673</v>
      </c>
      <c r="J589">
        <v>334</v>
      </c>
      <c r="K589" t="str">
        <f t="shared" si="9"/>
        <v>quar356181</v>
      </c>
      <c r="L589" t="s">
        <v>3859</v>
      </c>
      <c r="M589" t="s">
        <v>215</v>
      </c>
      <c r="N589" t="s">
        <v>2782</v>
      </c>
      <c r="O589" t="s">
        <v>3976</v>
      </c>
      <c r="P589" t="s">
        <v>4031</v>
      </c>
      <c r="Q589" t="s">
        <v>11083</v>
      </c>
      <c r="U589">
        <v>100</v>
      </c>
      <c r="V589">
        <v>0</v>
      </c>
      <c r="W589">
        <v>100</v>
      </c>
      <c r="X589">
        <v>35.6</v>
      </c>
      <c r="Y589">
        <v>18.100000000000001</v>
      </c>
    </row>
    <row r="590" spans="1:25" x14ac:dyDescent="0.25">
      <c r="A590" t="s">
        <v>5743</v>
      </c>
      <c r="B590">
        <v>585</v>
      </c>
      <c r="C590">
        <v>248</v>
      </c>
      <c r="D590" t="s">
        <v>13</v>
      </c>
      <c r="E590" t="s">
        <v>5409</v>
      </c>
      <c r="F590" t="s">
        <v>3978</v>
      </c>
      <c r="G590" t="s">
        <v>5744</v>
      </c>
      <c r="H590">
        <v>0</v>
      </c>
      <c r="I590">
        <v>465</v>
      </c>
      <c r="J590">
        <v>319</v>
      </c>
      <c r="K590" t="str">
        <f t="shared" si="9"/>
        <v>quar249172</v>
      </c>
      <c r="L590" t="s">
        <v>3859</v>
      </c>
      <c r="M590" t="s">
        <v>215</v>
      </c>
      <c r="N590" t="s">
        <v>2784</v>
      </c>
      <c r="O590" t="s">
        <v>3976</v>
      </c>
      <c r="P590" t="s">
        <v>4031</v>
      </c>
      <c r="Q590" t="s">
        <v>3749</v>
      </c>
      <c r="R590" t="s">
        <v>2829</v>
      </c>
      <c r="U590">
        <v>100</v>
      </c>
      <c r="V590">
        <v>1</v>
      </c>
      <c r="W590">
        <v>100</v>
      </c>
      <c r="X590">
        <v>24.9</v>
      </c>
      <c r="Y590">
        <v>17.2</v>
      </c>
    </row>
    <row r="591" spans="1:25" x14ac:dyDescent="0.25">
      <c r="A591" t="s">
        <v>5745</v>
      </c>
      <c r="B591">
        <v>586</v>
      </c>
      <c r="C591">
        <v>249</v>
      </c>
      <c r="D591" t="s">
        <v>13</v>
      </c>
      <c r="E591" t="s">
        <v>5409</v>
      </c>
      <c r="F591" t="s">
        <v>4036</v>
      </c>
      <c r="G591" t="s">
        <v>5746</v>
      </c>
      <c r="H591">
        <v>0</v>
      </c>
      <c r="I591">
        <v>673</v>
      </c>
      <c r="J591">
        <v>310</v>
      </c>
      <c r="K591" t="str">
        <f t="shared" si="9"/>
        <v>quar373176</v>
      </c>
      <c r="M591" t="s">
        <v>11</v>
      </c>
      <c r="N591" t="s">
        <v>1532</v>
      </c>
      <c r="Q591" t="s">
        <v>4037</v>
      </c>
      <c r="R591" t="s">
        <v>2829</v>
      </c>
      <c r="S591" t="s">
        <v>5337</v>
      </c>
      <c r="U591">
        <v>60</v>
      </c>
      <c r="V591">
        <v>1</v>
      </c>
      <c r="W591">
        <v>60</v>
      </c>
      <c r="X591">
        <v>37.299999999999997</v>
      </c>
      <c r="Y591">
        <v>17.600000000000001</v>
      </c>
    </row>
    <row r="592" spans="1:25" x14ac:dyDescent="0.25">
      <c r="A592" t="s">
        <v>5747</v>
      </c>
      <c r="B592">
        <v>587</v>
      </c>
      <c r="C592">
        <v>250</v>
      </c>
      <c r="D592" t="s">
        <v>13</v>
      </c>
      <c r="E592" t="s">
        <v>5409</v>
      </c>
      <c r="F592" t="s">
        <v>4036</v>
      </c>
      <c r="G592" t="s">
        <v>5748</v>
      </c>
      <c r="H592">
        <v>0</v>
      </c>
      <c r="I592">
        <v>673</v>
      </c>
      <c r="J592">
        <v>310</v>
      </c>
      <c r="K592" t="str">
        <f t="shared" si="9"/>
        <v>quar373176</v>
      </c>
      <c r="M592" t="s">
        <v>11</v>
      </c>
      <c r="N592" t="s">
        <v>1532</v>
      </c>
      <c r="Q592" t="s">
        <v>4037</v>
      </c>
      <c r="R592" t="s">
        <v>2829</v>
      </c>
      <c r="S592" t="s">
        <v>5337</v>
      </c>
      <c r="U592">
        <v>60</v>
      </c>
      <c r="V592">
        <v>1</v>
      </c>
      <c r="W592">
        <v>60</v>
      </c>
      <c r="X592">
        <v>37.299999999999997</v>
      </c>
      <c r="Y592">
        <v>17.600000000000001</v>
      </c>
    </row>
    <row r="593" spans="1:25" x14ac:dyDescent="0.25">
      <c r="A593" t="s">
        <v>5749</v>
      </c>
      <c r="B593">
        <v>588</v>
      </c>
      <c r="C593">
        <v>251</v>
      </c>
      <c r="D593" t="s">
        <v>13</v>
      </c>
      <c r="E593" t="s">
        <v>5409</v>
      </c>
      <c r="F593" t="s">
        <v>4036</v>
      </c>
      <c r="G593" t="s">
        <v>5750</v>
      </c>
      <c r="H593">
        <v>0</v>
      </c>
      <c r="I593">
        <v>194</v>
      </c>
      <c r="J593">
        <v>281</v>
      </c>
      <c r="K593" t="str">
        <f t="shared" si="9"/>
        <v>quar115159</v>
      </c>
      <c r="M593" t="s">
        <v>11</v>
      </c>
      <c r="N593" t="s">
        <v>1691</v>
      </c>
      <c r="Q593" t="s">
        <v>4037</v>
      </c>
      <c r="R593" t="s">
        <v>2832</v>
      </c>
      <c r="S593" t="s">
        <v>5340</v>
      </c>
      <c r="U593">
        <v>60</v>
      </c>
      <c r="V593">
        <v>1</v>
      </c>
      <c r="W593">
        <v>60</v>
      </c>
      <c r="X593">
        <v>11.5</v>
      </c>
      <c r="Y593">
        <v>15.9</v>
      </c>
    </row>
    <row r="594" spans="1:25" x14ac:dyDescent="0.25">
      <c r="A594" t="s">
        <v>5751</v>
      </c>
      <c r="B594">
        <v>589</v>
      </c>
      <c r="C594">
        <v>252</v>
      </c>
      <c r="D594" t="s">
        <v>13</v>
      </c>
      <c r="E594" t="s">
        <v>5409</v>
      </c>
      <c r="F594" t="s">
        <v>4036</v>
      </c>
      <c r="G594" t="s">
        <v>5752</v>
      </c>
      <c r="H594">
        <v>0</v>
      </c>
      <c r="I594">
        <v>287</v>
      </c>
      <c r="J594">
        <v>543</v>
      </c>
      <c r="K594" t="str">
        <f t="shared" si="9"/>
        <v>quar165302</v>
      </c>
      <c r="M594" t="s">
        <v>11</v>
      </c>
      <c r="N594" t="s">
        <v>1695</v>
      </c>
      <c r="Q594" t="s">
        <v>4037</v>
      </c>
      <c r="R594" t="s">
        <v>2833</v>
      </c>
      <c r="S594" t="s">
        <v>5340</v>
      </c>
      <c r="U594">
        <v>60</v>
      </c>
      <c r="V594">
        <v>3</v>
      </c>
      <c r="W594">
        <v>60</v>
      </c>
      <c r="X594">
        <v>16.5</v>
      </c>
      <c r="Y594">
        <v>30.2</v>
      </c>
    </row>
    <row r="595" spans="1:25" x14ac:dyDescent="0.25">
      <c r="A595" t="s">
        <v>5753</v>
      </c>
      <c r="B595">
        <v>590</v>
      </c>
      <c r="C595">
        <v>253</v>
      </c>
      <c r="D595" t="s">
        <v>13</v>
      </c>
      <c r="E595" t="s">
        <v>5409</v>
      </c>
      <c r="F595" t="s">
        <v>4036</v>
      </c>
      <c r="G595" t="s">
        <v>5754</v>
      </c>
      <c r="H595">
        <v>0</v>
      </c>
      <c r="I595">
        <v>651</v>
      </c>
      <c r="J595">
        <v>681</v>
      </c>
      <c r="K595" t="str">
        <f t="shared" si="9"/>
        <v>quar364377</v>
      </c>
      <c r="M595" t="s">
        <v>11</v>
      </c>
      <c r="N595" t="s">
        <v>1605</v>
      </c>
      <c r="Q595" t="s">
        <v>4037</v>
      </c>
      <c r="R595" t="s">
        <v>2831</v>
      </c>
      <c r="S595" t="s">
        <v>5345</v>
      </c>
      <c r="U595">
        <v>60</v>
      </c>
      <c r="V595">
        <v>1</v>
      </c>
      <c r="W595">
        <v>60</v>
      </c>
      <c r="X595">
        <v>36.4</v>
      </c>
      <c r="Y595">
        <v>37.700000000000003</v>
      </c>
    </row>
    <row r="596" spans="1:25" x14ac:dyDescent="0.25">
      <c r="A596" t="s">
        <v>5755</v>
      </c>
      <c r="B596">
        <v>591</v>
      </c>
      <c r="C596">
        <v>254</v>
      </c>
      <c r="D596" t="s">
        <v>13</v>
      </c>
      <c r="E596" t="s">
        <v>5409</v>
      </c>
      <c r="F596" t="s">
        <v>4036</v>
      </c>
      <c r="G596" t="s">
        <v>5756</v>
      </c>
      <c r="H596">
        <v>0</v>
      </c>
      <c r="I596">
        <v>648</v>
      </c>
      <c r="J596">
        <v>590</v>
      </c>
      <c r="K596" t="str">
        <f t="shared" si="9"/>
        <v>quar344313</v>
      </c>
      <c r="M596" t="s">
        <v>102</v>
      </c>
      <c r="N596" t="s">
        <v>2303</v>
      </c>
      <c r="Q596" t="s">
        <v>4037</v>
      </c>
      <c r="R596" t="s">
        <v>2832</v>
      </c>
      <c r="S596" t="s">
        <v>5374</v>
      </c>
      <c r="U596">
        <v>80</v>
      </c>
      <c r="V596">
        <v>2</v>
      </c>
      <c r="W596">
        <v>80</v>
      </c>
      <c r="X596">
        <v>34.4</v>
      </c>
      <c r="Y596">
        <v>31.3</v>
      </c>
    </row>
    <row r="597" spans="1:25" x14ac:dyDescent="0.25">
      <c r="A597" t="s">
        <v>5757</v>
      </c>
      <c r="B597">
        <v>592</v>
      </c>
      <c r="C597">
        <v>255</v>
      </c>
      <c r="D597" t="s">
        <v>13</v>
      </c>
      <c r="E597" t="s">
        <v>5409</v>
      </c>
      <c r="F597" t="s">
        <v>4036</v>
      </c>
      <c r="G597" t="s">
        <v>5758</v>
      </c>
      <c r="H597">
        <v>0</v>
      </c>
      <c r="I597">
        <v>368</v>
      </c>
      <c r="J597">
        <v>151</v>
      </c>
      <c r="K597" t="str">
        <f t="shared" si="9"/>
        <v>quar20185</v>
      </c>
      <c r="M597" t="s">
        <v>102</v>
      </c>
      <c r="N597" t="s">
        <v>2139</v>
      </c>
      <c r="Q597" t="s">
        <v>4037</v>
      </c>
      <c r="R597" t="s">
        <v>2834</v>
      </c>
      <c r="S597" t="s">
        <v>5374</v>
      </c>
      <c r="U597">
        <v>80</v>
      </c>
      <c r="V597">
        <v>2</v>
      </c>
      <c r="W597">
        <v>80</v>
      </c>
      <c r="X597">
        <v>20.100000000000001</v>
      </c>
      <c r="Y597">
        <v>8.5</v>
      </c>
    </row>
    <row r="598" spans="1:25" x14ac:dyDescent="0.25">
      <c r="A598" t="s">
        <v>5759</v>
      </c>
      <c r="B598">
        <v>593</v>
      </c>
      <c r="C598">
        <v>256</v>
      </c>
      <c r="D598" t="s">
        <v>13</v>
      </c>
      <c r="E598" t="s">
        <v>5409</v>
      </c>
      <c r="F598" t="s">
        <v>4036</v>
      </c>
      <c r="G598" t="s">
        <v>5760</v>
      </c>
      <c r="H598">
        <v>0</v>
      </c>
      <c r="I598">
        <v>676</v>
      </c>
      <c r="J598">
        <v>148</v>
      </c>
      <c r="K598" t="str">
        <f t="shared" si="9"/>
        <v>quar35686</v>
      </c>
      <c r="M598" t="s">
        <v>102</v>
      </c>
      <c r="N598" t="s">
        <v>2210</v>
      </c>
      <c r="Q598" t="s">
        <v>4037</v>
      </c>
      <c r="R598" t="s">
        <v>2830</v>
      </c>
      <c r="S598" t="s">
        <v>5374</v>
      </c>
      <c r="U598">
        <v>80</v>
      </c>
      <c r="V598">
        <v>3</v>
      </c>
      <c r="W598">
        <v>80</v>
      </c>
      <c r="X598">
        <v>35.6</v>
      </c>
      <c r="Y598">
        <v>8.6</v>
      </c>
    </row>
    <row r="599" spans="1:25" x14ac:dyDescent="0.25">
      <c r="A599" t="s">
        <v>5761</v>
      </c>
      <c r="B599">
        <v>594</v>
      </c>
      <c r="C599">
        <v>257</v>
      </c>
      <c r="D599" t="s">
        <v>13</v>
      </c>
      <c r="E599" t="s">
        <v>5409</v>
      </c>
      <c r="F599" t="s">
        <v>4036</v>
      </c>
      <c r="G599" t="s">
        <v>5762</v>
      </c>
      <c r="H599">
        <v>0</v>
      </c>
      <c r="I599">
        <v>602</v>
      </c>
      <c r="J599">
        <v>322</v>
      </c>
      <c r="K599" t="str">
        <f t="shared" si="9"/>
        <v>quar319173</v>
      </c>
      <c r="M599" t="s">
        <v>133</v>
      </c>
      <c r="N599" t="s">
        <v>2438</v>
      </c>
      <c r="Q599" t="s">
        <v>4037</v>
      </c>
      <c r="R599" t="s">
        <v>2832</v>
      </c>
      <c r="S599" t="s">
        <v>5389</v>
      </c>
      <c r="T599">
        <v>3600</v>
      </c>
      <c r="U599">
        <v>90</v>
      </c>
      <c r="V599">
        <v>2</v>
      </c>
      <c r="W599">
        <v>90</v>
      </c>
      <c r="X599">
        <v>31.9</v>
      </c>
      <c r="Y599">
        <v>17.3</v>
      </c>
    </row>
    <row r="600" spans="1:25" x14ac:dyDescent="0.25">
      <c r="A600" t="s">
        <v>5763</v>
      </c>
      <c r="B600">
        <v>595</v>
      </c>
      <c r="C600">
        <v>258</v>
      </c>
      <c r="D600" t="s">
        <v>13</v>
      </c>
      <c r="E600" t="s">
        <v>5409</v>
      </c>
      <c r="F600" t="s">
        <v>4036</v>
      </c>
      <c r="G600" t="s">
        <v>5764</v>
      </c>
      <c r="H600">
        <v>0</v>
      </c>
      <c r="I600">
        <v>201</v>
      </c>
      <c r="J600">
        <v>398</v>
      </c>
      <c r="K600" t="str">
        <f t="shared" si="9"/>
        <v>quar111214</v>
      </c>
      <c r="M600" t="s">
        <v>133</v>
      </c>
      <c r="N600" t="s">
        <v>2354</v>
      </c>
      <c r="Q600" t="s">
        <v>4037</v>
      </c>
      <c r="R600" t="s">
        <v>2834</v>
      </c>
      <c r="S600" t="s">
        <v>5389</v>
      </c>
      <c r="T600">
        <v>3600</v>
      </c>
      <c r="U600">
        <v>90</v>
      </c>
      <c r="V600">
        <v>2</v>
      </c>
      <c r="W600">
        <v>90</v>
      </c>
      <c r="X600">
        <v>11.1</v>
      </c>
      <c r="Y600">
        <v>21.4</v>
      </c>
    </row>
    <row r="601" spans="1:25" x14ac:dyDescent="0.25">
      <c r="A601" t="s">
        <v>5765</v>
      </c>
      <c r="B601">
        <v>596</v>
      </c>
      <c r="C601">
        <v>259</v>
      </c>
      <c r="D601" t="s">
        <v>13</v>
      </c>
      <c r="E601" t="s">
        <v>5409</v>
      </c>
      <c r="F601" t="s">
        <v>4036</v>
      </c>
      <c r="G601" t="s">
        <v>5766</v>
      </c>
      <c r="H601">
        <v>0</v>
      </c>
      <c r="I601">
        <v>602</v>
      </c>
      <c r="J601">
        <v>322</v>
      </c>
      <c r="K601" t="str">
        <f t="shared" si="9"/>
        <v>quar319173</v>
      </c>
      <c r="M601" t="s">
        <v>133</v>
      </c>
      <c r="N601" t="s">
        <v>2438</v>
      </c>
      <c r="Q601" t="s">
        <v>4037</v>
      </c>
      <c r="R601" t="s">
        <v>2832</v>
      </c>
      <c r="S601" t="s">
        <v>5389</v>
      </c>
      <c r="T601">
        <v>3625</v>
      </c>
      <c r="U601">
        <v>90</v>
      </c>
      <c r="V601">
        <v>2</v>
      </c>
      <c r="W601">
        <v>90</v>
      </c>
      <c r="X601">
        <v>31.9</v>
      </c>
      <c r="Y601">
        <v>17.3</v>
      </c>
    </row>
    <row r="602" spans="1:25" x14ac:dyDescent="0.25">
      <c r="A602" t="s">
        <v>5767</v>
      </c>
      <c r="B602">
        <v>597</v>
      </c>
      <c r="C602">
        <v>260</v>
      </c>
      <c r="D602" t="s">
        <v>13</v>
      </c>
      <c r="E602" t="s">
        <v>5409</v>
      </c>
      <c r="F602" t="s">
        <v>4036</v>
      </c>
      <c r="G602" t="s">
        <v>5768</v>
      </c>
      <c r="H602">
        <v>0</v>
      </c>
      <c r="I602">
        <v>457</v>
      </c>
      <c r="J602">
        <v>237</v>
      </c>
      <c r="K602" t="str">
        <f t="shared" si="9"/>
        <v>quar24413</v>
      </c>
      <c r="M602" t="s">
        <v>133</v>
      </c>
      <c r="N602" t="s">
        <v>2375</v>
      </c>
      <c r="Q602" t="s">
        <v>4037</v>
      </c>
      <c r="R602" t="s">
        <v>2832</v>
      </c>
      <c r="S602" t="s">
        <v>5389</v>
      </c>
      <c r="T602">
        <v>3850</v>
      </c>
      <c r="U602">
        <v>90</v>
      </c>
      <c r="V602">
        <v>3</v>
      </c>
      <c r="W602">
        <v>90</v>
      </c>
      <c r="X602">
        <v>24.4</v>
      </c>
      <c r="Y602">
        <v>13</v>
      </c>
    </row>
    <row r="603" spans="1:25" x14ac:dyDescent="0.25">
      <c r="A603" t="s">
        <v>5769</v>
      </c>
      <c r="B603">
        <v>598</v>
      </c>
      <c r="C603">
        <v>261</v>
      </c>
      <c r="D603" t="s">
        <v>13</v>
      </c>
      <c r="E603" t="s">
        <v>5409</v>
      </c>
      <c r="F603" t="s">
        <v>4036</v>
      </c>
      <c r="G603" t="s">
        <v>181</v>
      </c>
      <c r="H603">
        <v>0</v>
      </c>
      <c r="I603">
        <v>201</v>
      </c>
      <c r="J603">
        <v>398</v>
      </c>
      <c r="K603" t="str">
        <f t="shared" si="9"/>
        <v>quar111214</v>
      </c>
      <c r="L603" t="s">
        <v>3859</v>
      </c>
      <c r="M603" t="s">
        <v>133</v>
      </c>
      <c r="N603" t="s">
        <v>2354</v>
      </c>
      <c r="O603" t="s">
        <v>3886</v>
      </c>
      <c r="Q603" t="s">
        <v>4037</v>
      </c>
      <c r="R603" t="s">
        <v>2834</v>
      </c>
      <c r="S603" t="s">
        <v>5389</v>
      </c>
      <c r="T603">
        <v>4000</v>
      </c>
      <c r="U603">
        <v>90</v>
      </c>
      <c r="V603">
        <v>3</v>
      </c>
      <c r="W603">
        <v>90</v>
      </c>
      <c r="X603">
        <v>11.1</v>
      </c>
      <c r="Y603">
        <v>21.4</v>
      </c>
    </row>
    <row r="604" spans="1:25" x14ac:dyDescent="0.25">
      <c r="A604" t="s">
        <v>5770</v>
      </c>
      <c r="B604">
        <v>599</v>
      </c>
      <c r="C604">
        <v>262</v>
      </c>
      <c r="D604" t="s">
        <v>13</v>
      </c>
      <c r="E604" t="s">
        <v>5409</v>
      </c>
      <c r="F604" t="s">
        <v>4036</v>
      </c>
      <c r="G604" t="s">
        <v>207</v>
      </c>
      <c r="H604">
        <v>0</v>
      </c>
      <c r="I604">
        <v>201</v>
      </c>
      <c r="J604">
        <v>398</v>
      </c>
      <c r="K604" t="str">
        <f t="shared" si="9"/>
        <v>quar111214</v>
      </c>
      <c r="L604" t="s">
        <v>3859</v>
      </c>
      <c r="M604" t="s">
        <v>133</v>
      </c>
      <c r="N604" t="s">
        <v>2354</v>
      </c>
      <c r="O604" t="s">
        <v>3886</v>
      </c>
      <c r="Q604" t="s">
        <v>4037</v>
      </c>
      <c r="R604" t="s">
        <v>2834</v>
      </c>
      <c r="S604" t="s">
        <v>5389</v>
      </c>
      <c r="T604">
        <v>4000</v>
      </c>
      <c r="U604">
        <v>90</v>
      </c>
      <c r="V604">
        <v>3</v>
      </c>
      <c r="W604">
        <v>90</v>
      </c>
      <c r="X604">
        <v>11.1</v>
      </c>
      <c r="Y604">
        <v>21.4</v>
      </c>
    </row>
    <row r="605" spans="1:25" x14ac:dyDescent="0.25">
      <c r="A605" t="s">
        <v>5771</v>
      </c>
      <c r="B605">
        <v>600</v>
      </c>
      <c r="C605">
        <v>263</v>
      </c>
      <c r="D605" t="s">
        <v>13</v>
      </c>
      <c r="E605" t="s">
        <v>5409</v>
      </c>
      <c r="F605" t="s">
        <v>4036</v>
      </c>
      <c r="G605" t="s">
        <v>5772</v>
      </c>
      <c r="H605">
        <v>0</v>
      </c>
      <c r="I605">
        <v>167</v>
      </c>
      <c r="J605">
        <v>439</v>
      </c>
      <c r="K605" t="str">
        <f t="shared" si="9"/>
        <v>quar95233</v>
      </c>
      <c r="M605" t="s">
        <v>133</v>
      </c>
      <c r="N605" t="s">
        <v>2464</v>
      </c>
      <c r="Q605" t="s">
        <v>4037</v>
      </c>
      <c r="R605" t="s">
        <v>2830</v>
      </c>
      <c r="S605" t="s">
        <v>5398</v>
      </c>
      <c r="T605">
        <v>2990</v>
      </c>
      <c r="U605">
        <v>90</v>
      </c>
      <c r="V605">
        <v>1</v>
      </c>
      <c r="W605">
        <v>90</v>
      </c>
      <c r="X605">
        <v>9.5</v>
      </c>
      <c r="Y605">
        <v>23.3</v>
      </c>
    </row>
    <row r="606" spans="1:25" x14ac:dyDescent="0.25">
      <c r="A606" t="s">
        <v>5773</v>
      </c>
      <c r="B606">
        <v>601</v>
      </c>
      <c r="C606">
        <v>264</v>
      </c>
      <c r="D606" t="s">
        <v>13</v>
      </c>
      <c r="E606" t="s">
        <v>5409</v>
      </c>
      <c r="F606" t="s">
        <v>4036</v>
      </c>
      <c r="G606" t="s">
        <v>5388</v>
      </c>
      <c r="H606">
        <v>0</v>
      </c>
      <c r="I606">
        <v>167</v>
      </c>
      <c r="J606">
        <v>439</v>
      </c>
      <c r="K606" t="str">
        <f t="shared" si="9"/>
        <v>quar95233</v>
      </c>
      <c r="M606" t="s">
        <v>133</v>
      </c>
      <c r="N606" t="s">
        <v>2464</v>
      </c>
      <c r="Q606" t="s">
        <v>4037</v>
      </c>
      <c r="R606" t="s">
        <v>2830</v>
      </c>
      <c r="S606" t="s">
        <v>5398</v>
      </c>
      <c r="U606">
        <v>90</v>
      </c>
      <c r="V606">
        <v>0</v>
      </c>
      <c r="W606">
        <v>90</v>
      </c>
      <c r="X606">
        <v>9.5</v>
      </c>
      <c r="Y606">
        <v>23.3</v>
      </c>
    </row>
    <row r="607" spans="1:25" x14ac:dyDescent="0.25">
      <c r="A607" t="s">
        <v>5774</v>
      </c>
      <c r="B607">
        <v>602</v>
      </c>
      <c r="C607">
        <v>265</v>
      </c>
      <c r="D607" t="s">
        <v>13</v>
      </c>
      <c r="E607" t="s">
        <v>5409</v>
      </c>
      <c r="F607" t="s">
        <v>4036</v>
      </c>
      <c r="G607" t="s">
        <v>5388</v>
      </c>
      <c r="H607">
        <v>0</v>
      </c>
      <c r="I607">
        <v>243</v>
      </c>
      <c r="J607">
        <v>122</v>
      </c>
      <c r="K607" t="str">
        <f t="shared" si="9"/>
        <v>quar13572</v>
      </c>
      <c r="M607" t="s">
        <v>133</v>
      </c>
      <c r="N607" t="s">
        <v>2529</v>
      </c>
      <c r="Q607" t="s">
        <v>4037</v>
      </c>
      <c r="R607" t="s">
        <v>2831</v>
      </c>
      <c r="S607" t="s">
        <v>5407</v>
      </c>
      <c r="U607">
        <v>90</v>
      </c>
      <c r="V607">
        <v>0</v>
      </c>
      <c r="W607">
        <v>90</v>
      </c>
      <c r="X607">
        <v>13.5</v>
      </c>
      <c r="Y607">
        <v>7.2</v>
      </c>
    </row>
    <row r="608" spans="1:25" x14ac:dyDescent="0.25">
      <c r="A608" t="s">
        <v>5775</v>
      </c>
      <c r="B608">
        <v>603</v>
      </c>
      <c r="C608">
        <v>266</v>
      </c>
      <c r="D608" t="s">
        <v>13</v>
      </c>
      <c r="E608" t="s">
        <v>5409</v>
      </c>
      <c r="F608" t="s">
        <v>4036</v>
      </c>
      <c r="G608" t="s">
        <v>5776</v>
      </c>
      <c r="H608">
        <v>0</v>
      </c>
      <c r="I608">
        <v>243</v>
      </c>
      <c r="J608">
        <v>122</v>
      </c>
      <c r="K608" t="str">
        <f t="shared" si="9"/>
        <v>quar13572</v>
      </c>
      <c r="M608" t="s">
        <v>133</v>
      </c>
      <c r="N608" t="s">
        <v>2529</v>
      </c>
      <c r="Q608" t="s">
        <v>4037</v>
      </c>
      <c r="R608" t="s">
        <v>2831</v>
      </c>
      <c r="S608" t="s">
        <v>5407</v>
      </c>
      <c r="T608">
        <v>2990</v>
      </c>
      <c r="U608">
        <v>90</v>
      </c>
      <c r="V608">
        <v>0</v>
      </c>
      <c r="W608">
        <v>90</v>
      </c>
      <c r="X608">
        <v>13.5</v>
      </c>
      <c r="Y608">
        <v>7.2</v>
      </c>
    </row>
    <row r="609" spans="1:25" x14ac:dyDescent="0.25">
      <c r="A609" t="s">
        <v>10598</v>
      </c>
      <c r="B609">
        <v>604</v>
      </c>
      <c r="C609">
        <v>267</v>
      </c>
      <c r="D609" t="s">
        <v>13</v>
      </c>
      <c r="E609" t="s">
        <v>5409</v>
      </c>
      <c r="F609" t="s">
        <v>4036</v>
      </c>
      <c r="G609" t="s">
        <v>10595</v>
      </c>
      <c r="H609">
        <v>0</v>
      </c>
      <c r="I609">
        <v>703</v>
      </c>
      <c r="J609">
        <v>559</v>
      </c>
      <c r="K609" t="str">
        <f t="shared" si="9"/>
        <v>quar371296</v>
      </c>
      <c r="M609" t="s">
        <v>215</v>
      </c>
      <c r="N609" s="1" t="s">
        <v>2562</v>
      </c>
      <c r="Q609" t="s">
        <v>4037</v>
      </c>
      <c r="R609" t="s">
        <v>2833</v>
      </c>
      <c r="S609" t="s">
        <v>10585</v>
      </c>
      <c r="T609">
        <v>4480</v>
      </c>
      <c r="U609">
        <v>100</v>
      </c>
      <c r="V609">
        <v>1</v>
      </c>
      <c r="W609">
        <v>100</v>
      </c>
      <c r="X609">
        <v>37.1</v>
      </c>
      <c r="Y609">
        <v>29.6</v>
      </c>
    </row>
    <row r="610" spans="1:25" x14ac:dyDescent="0.25">
      <c r="A610" t="s">
        <v>10599</v>
      </c>
      <c r="B610">
        <v>605</v>
      </c>
      <c r="C610">
        <v>268</v>
      </c>
      <c r="D610" t="s">
        <v>13</v>
      </c>
      <c r="E610" t="s">
        <v>5409</v>
      </c>
      <c r="F610" t="s">
        <v>4036</v>
      </c>
      <c r="G610" t="s">
        <v>10596</v>
      </c>
      <c r="H610">
        <v>0</v>
      </c>
      <c r="I610">
        <v>214</v>
      </c>
      <c r="J610">
        <v>325</v>
      </c>
      <c r="K610" t="str">
        <f t="shared" si="9"/>
        <v>quar1217</v>
      </c>
      <c r="M610" t="s">
        <v>215</v>
      </c>
      <c r="N610" s="1" t="s">
        <v>2598</v>
      </c>
      <c r="Q610" t="s">
        <v>4037</v>
      </c>
      <c r="R610" t="s">
        <v>2833</v>
      </c>
      <c r="S610" t="s">
        <v>10585</v>
      </c>
      <c r="T610">
        <v>4740</v>
      </c>
      <c r="U610">
        <v>100</v>
      </c>
      <c r="V610">
        <v>2</v>
      </c>
      <c r="W610">
        <v>100</v>
      </c>
      <c r="X610">
        <v>12</v>
      </c>
      <c r="Y610">
        <v>17</v>
      </c>
    </row>
    <row r="611" spans="1:25" x14ac:dyDescent="0.25">
      <c r="A611" t="s">
        <v>10600</v>
      </c>
      <c r="B611">
        <v>606</v>
      </c>
      <c r="C611">
        <v>269</v>
      </c>
      <c r="D611" t="s">
        <v>13</v>
      </c>
      <c r="E611" t="s">
        <v>5409</v>
      </c>
      <c r="F611" t="s">
        <v>4036</v>
      </c>
      <c r="G611" t="s">
        <v>10597</v>
      </c>
      <c r="H611">
        <v>0</v>
      </c>
      <c r="I611">
        <v>253</v>
      </c>
      <c r="J611">
        <v>307</v>
      </c>
      <c r="K611" t="str">
        <f t="shared" si="9"/>
        <v>quar1316</v>
      </c>
      <c r="M611" t="s">
        <v>215</v>
      </c>
      <c r="N611" s="1" t="s">
        <v>2717</v>
      </c>
      <c r="Q611" t="s">
        <v>4037</v>
      </c>
      <c r="R611" t="s">
        <v>2830</v>
      </c>
      <c r="S611" t="s">
        <v>10594</v>
      </c>
      <c r="T611">
        <v>4740</v>
      </c>
      <c r="U611">
        <v>100</v>
      </c>
      <c r="V611">
        <v>2</v>
      </c>
      <c r="W611">
        <v>100</v>
      </c>
      <c r="X611">
        <v>13</v>
      </c>
      <c r="Y611">
        <v>16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F04A-8B6E-43A5-A76F-9CE290CE98B8}">
  <dimension ref="A1:V1003"/>
  <sheetViews>
    <sheetView topLeftCell="C1" workbookViewId="0">
      <pane ySplit="1" topLeftCell="A98" activePane="bottomLeft" state="frozen"/>
      <selection activeCell="D1" sqref="D1"/>
      <selection pane="bottomLeft" activeCell="M178" sqref="M178"/>
    </sheetView>
  </sheetViews>
  <sheetFormatPr defaultColWidth="9.140625" defaultRowHeight="15" x14ac:dyDescent="0.25"/>
  <cols>
    <col min="1" max="1" width="8.28515625" style="1" bestFit="1" customWidth="1"/>
    <col min="2" max="2" width="29.85546875" style="1" customWidth="1"/>
    <col min="3" max="3" width="15.42578125" style="1" bestFit="1" customWidth="1"/>
    <col min="4" max="4" width="19.28515625" style="1" bestFit="1" customWidth="1"/>
    <col min="5" max="5" width="9.42578125" style="5" bestFit="1" customWidth="1"/>
    <col min="6" max="6" width="9.140625" style="1"/>
    <col min="7" max="7" width="9.42578125" style="1" customWidth="1"/>
    <col min="8" max="8" width="26.85546875" style="1" bestFit="1" customWidth="1"/>
    <col min="9" max="9" width="20.28515625" style="1" customWidth="1"/>
    <col min="10" max="10" width="29.140625" style="1" customWidth="1"/>
    <col min="11" max="12" width="5.5703125" style="1" bestFit="1" customWidth="1"/>
    <col min="13" max="13" width="8.5703125" style="1" customWidth="1"/>
    <col min="14" max="14" width="12" style="1" customWidth="1"/>
    <col min="15" max="15" width="47.28515625" style="1" customWidth="1"/>
    <col min="16" max="16" width="8" style="1" bestFit="1" customWidth="1"/>
    <col min="17" max="17" width="6" style="1" bestFit="1" customWidth="1"/>
    <col min="18" max="18" width="5.7109375" style="1" bestFit="1" customWidth="1"/>
    <col min="19" max="19" width="10.5703125" style="1" bestFit="1" customWidth="1"/>
    <col min="20" max="20" width="19.28515625" style="1" customWidth="1"/>
    <col min="21" max="21" width="47.28515625" style="1" customWidth="1"/>
    <col min="22" max="22" width="27.28515625" style="1" customWidth="1"/>
    <col min="23" max="16384" width="9.140625" style="1"/>
  </cols>
  <sheetData>
    <row r="1" spans="1:22" x14ac:dyDescent="0.25">
      <c r="A1" s="5" t="s">
        <v>0</v>
      </c>
      <c r="B1" s="5" t="s">
        <v>3549</v>
      </c>
      <c r="C1" s="5" t="s">
        <v>2</v>
      </c>
      <c r="D1" s="5" t="s">
        <v>8305</v>
      </c>
      <c r="E1" s="5" t="s">
        <v>8306</v>
      </c>
      <c r="F1" s="5" t="s">
        <v>8307</v>
      </c>
      <c r="G1" s="5" t="s">
        <v>4</v>
      </c>
      <c r="H1" s="5" t="s">
        <v>1061</v>
      </c>
      <c r="I1" s="5" t="s">
        <v>2842</v>
      </c>
      <c r="J1" s="5" t="s">
        <v>3</v>
      </c>
      <c r="K1" s="5" t="s">
        <v>243</v>
      </c>
      <c r="L1" s="5" t="s">
        <v>244</v>
      </c>
      <c r="M1" s="5" t="s">
        <v>2840</v>
      </c>
      <c r="N1" s="5" t="s">
        <v>2841</v>
      </c>
      <c r="O1" s="5" t="s">
        <v>10669</v>
      </c>
      <c r="P1" s="5" t="s">
        <v>8301</v>
      </c>
      <c r="Q1" s="5" t="s">
        <v>8302</v>
      </c>
      <c r="R1" s="5" t="s">
        <v>8303</v>
      </c>
      <c r="S1" s="5" t="s">
        <v>8304</v>
      </c>
      <c r="T1" s="5" t="s">
        <v>5886</v>
      </c>
      <c r="U1" s="5" t="s">
        <v>10670</v>
      </c>
      <c r="V1" s="5" t="s">
        <v>10671</v>
      </c>
    </row>
    <row r="2" spans="1:22" x14ac:dyDescent="0.25">
      <c r="A2" s="5" t="s">
        <v>8308</v>
      </c>
      <c r="B2" s="7" t="s">
        <v>8310</v>
      </c>
      <c r="C2" s="5" t="s">
        <v>1067</v>
      </c>
      <c r="D2" s="5"/>
      <c r="F2" s="5"/>
      <c r="G2" s="7">
        <v>3</v>
      </c>
      <c r="H2" s="5" t="s">
        <v>8311</v>
      </c>
      <c r="I2" s="5" t="str">
        <f>A2&amp;LEFT(SUBSTITUTE(K2,".",""),2)&amp;LEFT(SUBSTITUTE(L2,".",""),2)</f>
        <v>fate12224</v>
      </c>
      <c r="J2" s="6" t="s">
        <v>8309</v>
      </c>
      <c r="K2" s="6">
        <v>22.8</v>
      </c>
      <c r="L2" s="6">
        <v>24.1</v>
      </c>
      <c r="M2" s="6">
        <v>427</v>
      </c>
      <c r="N2" s="6">
        <v>449</v>
      </c>
      <c r="P2" s="5" t="s">
        <v>8312</v>
      </c>
      <c r="Q2" s="5" t="s">
        <v>8313</v>
      </c>
      <c r="R2" s="5" t="s">
        <v>8314</v>
      </c>
      <c r="S2" s="5"/>
      <c r="T2" s="5"/>
    </row>
    <row r="3" spans="1:22" x14ac:dyDescent="0.25">
      <c r="A3" s="5" t="s">
        <v>8315</v>
      </c>
      <c r="B3" s="7" t="s">
        <v>8310</v>
      </c>
      <c r="C3" s="5" t="s">
        <v>1067</v>
      </c>
      <c r="D3" s="5"/>
      <c r="F3" s="5"/>
      <c r="G3" s="7">
        <v>4</v>
      </c>
      <c r="H3" s="5" t="s">
        <v>8311</v>
      </c>
      <c r="I3" s="5" t="str">
        <f t="shared" ref="I3:I66" si="0">A3&amp;LEFT(SUBSTITUTE(K3,".",""),2)&amp;LEFT(SUBSTITUTE(L3,".",""),2)</f>
        <v>fate22122</v>
      </c>
      <c r="J3" s="6" t="s">
        <v>8316</v>
      </c>
      <c r="K3" s="6">
        <v>21</v>
      </c>
      <c r="L3" s="6">
        <v>22</v>
      </c>
      <c r="M3" s="6">
        <v>396</v>
      </c>
      <c r="N3" s="6">
        <v>419</v>
      </c>
      <c r="P3" s="5" t="s">
        <v>8317</v>
      </c>
      <c r="Q3" s="5" t="s">
        <v>8318</v>
      </c>
      <c r="R3" s="5" t="s">
        <v>8319</v>
      </c>
      <c r="S3" s="5"/>
      <c r="T3" s="5"/>
    </row>
    <row r="4" spans="1:22" x14ac:dyDescent="0.25">
      <c r="A4" s="5" t="s">
        <v>8320</v>
      </c>
      <c r="B4" s="7" t="s">
        <v>8310</v>
      </c>
      <c r="C4" s="5" t="s">
        <v>1067</v>
      </c>
      <c r="D4" s="5"/>
      <c r="F4" s="5"/>
      <c r="G4" s="7">
        <v>5</v>
      </c>
      <c r="H4" s="5" t="s">
        <v>8311</v>
      </c>
      <c r="I4" s="5" t="str">
        <f t="shared" si="0"/>
        <v>fate32220</v>
      </c>
      <c r="J4" s="6" t="s">
        <v>8321</v>
      </c>
      <c r="K4" s="6">
        <v>22.2</v>
      </c>
      <c r="L4" s="6">
        <v>20.7</v>
      </c>
      <c r="M4" s="6">
        <v>416</v>
      </c>
      <c r="N4" s="6">
        <v>387</v>
      </c>
      <c r="P4" s="5" t="s">
        <v>8322</v>
      </c>
      <c r="Q4" s="5" t="s">
        <v>8323</v>
      </c>
      <c r="R4" s="5" t="s">
        <v>8324</v>
      </c>
      <c r="S4" s="5"/>
      <c r="T4" s="5"/>
    </row>
    <row r="5" spans="1:22" x14ac:dyDescent="0.25">
      <c r="A5" s="5" t="s">
        <v>8325</v>
      </c>
      <c r="B5" s="7" t="s">
        <v>8310</v>
      </c>
      <c r="C5" s="5" t="s">
        <v>1067</v>
      </c>
      <c r="D5" s="5"/>
      <c r="F5" s="5"/>
      <c r="G5" s="7">
        <v>5</v>
      </c>
      <c r="H5" s="5" t="s">
        <v>8311</v>
      </c>
      <c r="I5" s="5" t="str">
        <f t="shared" si="0"/>
        <v>fate42427</v>
      </c>
      <c r="J5" s="6" t="s">
        <v>8326</v>
      </c>
      <c r="K5" s="6">
        <v>24.8</v>
      </c>
      <c r="L5" s="6">
        <v>27.2</v>
      </c>
      <c r="M5" s="6">
        <v>462</v>
      </c>
      <c r="N5" s="6">
        <v>510</v>
      </c>
      <c r="O5" s="1" t="s">
        <v>11105</v>
      </c>
      <c r="P5" s="5" t="s">
        <v>8322</v>
      </c>
      <c r="Q5" s="5" t="s">
        <v>8323</v>
      </c>
      <c r="R5" s="5" t="s">
        <v>8324</v>
      </c>
      <c r="S5" s="5"/>
      <c r="T5" s="5"/>
    </row>
    <row r="6" spans="1:22" x14ac:dyDescent="0.25">
      <c r="A6" s="5" t="s">
        <v>8327</v>
      </c>
      <c r="B6" s="7" t="s">
        <v>8310</v>
      </c>
      <c r="C6" s="5" t="s">
        <v>1067</v>
      </c>
      <c r="D6" s="5"/>
      <c r="F6" s="5"/>
      <c r="G6" s="7">
        <v>6</v>
      </c>
      <c r="H6" s="5" t="s">
        <v>8311</v>
      </c>
      <c r="I6" s="5" t="str">
        <f t="shared" si="0"/>
        <v>fate52318</v>
      </c>
      <c r="J6" s="6" t="s">
        <v>8328</v>
      </c>
      <c r="K6" s="6">
        <v>23.8</v>
      </c>
      <c r="L6" s="6">
        <v>18.5</v>
      </c>
      <c r="M6" s="6">
        <v>442</v>
      </c>
      <c r="N6" s="6">
        <v>337</v>
      </c>
      <c r="O6" s="1" t="s">
        <v>11106</v>
      </c>
      <c r="P6" s="5" t="s">
        <v>8329</v>
      </c>
      <c r="Q6" s="5" t="s">
        <v>8330</v>
      </c>
      <c r="R6" s="5" t="s">
        <v>8331</v>
      </c>
      <c r="S6" s="5"/>
      <c r="T6" s="5"/>
    </row>
    <row r="7" spans="1:22" x14ac:dyDescent="0.25">
      <c r="A7" s="5" t="s">
        <v>8332</v>
      </c>
      <c r="B7" s="7" t="s">
        <v>8310</v>
      </c>
      <c r="C7" s="5" t="s">
        <v>1067</v>
      </c>
      <c r="D7" s="5"/>
      <c r="F7" s="5"/>
      <c r="G7" s="7">
        <v>7</v>
      </c>
      <c r="H7" s="5" t="s">
        <v>8311</v>
      </c>
      <c r="I7" s="5" t="str">
        <f t="shared" si="0"/>
        <v>fate62116</v>
      </c>
      <c r="J7" s="6" t="s">
        <v>8333</v>
      </c>
      <c r="K7" s="6">
        <v>21.3</v>
      </c>
      <c r="L7" s="6">
        <v>16.7</v>
      </c>
      <c r="M7" s="6">
        <v>399</v>
      </c>
      <c r="N7" s="6">
        <v>303</v>
      </c>
      <c r="P7" s="5" t="s">
        <v>8334</v>
      </c>
      <c r="Q7" s="5" t="s">
        <v>8335</v>
      </c>
      <c r="R7" s="5" t="s">
        <v>8336</v>
      </c>
      <c r="S7" s="5"/>
      <c r="T7" s="5"/>
    </row>
    <row r="8" spans="1:22" x14ac:dyDescent="0.25">
      <c r="A8" s="5" t="s">
        <v>8337</v>
      </c>
      <c r="B8" s="7" t="s">
        <v>8310</v>
      </c>
      <c r="C8" s="5" t="s">
        <v>1067</v>
      </c>
      <c r="D8" s="5"/>
      <c r="F8" s="5"/>
      <c r="G8" s="7">
        <v>7</v>
      </c>
      <c r="H8" s="5" t="s">
        <v>8311</v>
      </c>
      <c r="I8" s="5" t="str">
        <f t="shared" si="0"/>
        <v>fate71920</v>
      </c>
      <c r="J8" s="6" t="s">
        <v>8338</v>
      </c>
      <c r="K8" s="6">
        <v>19</v>
      </c>
      <c r="L8" s="6">
        <v>20</v>
      </c>
      <c r="M8" s="6">
        <v>357</v>
      </c>
      <c r="N8" s="6">
        <v>383</v>
      </c>
      <c r="P8" s="5" t="s">
        <v>8334</v>
      </c>
      <c r="Q8" s="5" t="s">
        <v>8335</v>
      </c>
      <c r="R8" s="5" t="s">
        <v>8336</v>
      </c>
      <c r="S8" s="5"/>
      <c r="T8" s="5"/>
    </row>
    <row r="9" spans="1:22" x14ac:dyDescent="0.25">
      <c r="A9" s="5" t="s">
        <v>8339</v>
      </c>
      <c r="B9" s="7" t="s">
        <v>8310</v>
      </c>
      <c r="C9" s="5" t="s">
        <v>1067</v>
      </c>
      <c r="D9" s="5"/>
      <c r="F9" s="5"/>
      <c r="G9" s="7">
        <v>12</v>
      </c>
      <c r="H9" s="5" t="s">
        <v>8311</v>
      </c>
      <c r="I9" s="5" t="str">
        <f t="shared" si="0"/>
        <v>fate81512</v>
      </c>
      <c r="J9" s="6" t="s">
        <v>8356</v>
      </c>
      <c r="K9" s="6">
        <v>15.8</v>
      </c>
      <c r="L9" s="6">
        <v>12.1</v>
      </c>
      <c r="M9" s="6">
        <v>292</v>
      </c>
      <c r="N9" s="6">
        <v>226</v>
      </c>
      <c r="P9" s="5" t="s">
        <v>8357</v>
      </c>
      <c r="Q9" s="5" t="s">
        <v>8358</v>
      </c>
      <c r="R9" s="5" t="s">
        <v>8359</v>
      </c>
      <c r="S9" s="5"/>
      <c r="T9" s="5"/>
    </row>
    <row r="10" spans="1:22" x14ac:dyDescent="0.25">
      <c r="A10" s="5" t="s">
        <v>8344</v>
      </c>
      <c r="B10" s="7" t="s">
        <v>8310</v>
      </c>
      <c r="C10" s="5" t="s">
        <v>1067</v>
      </c>
      <c r="D10" s="5"/>
      <c r="F10" s="5"/>
      <c r="G10" s="7">
        <v>13</v>
      </c>
      <c r="H10" s="5" t="s">
        <v>8311</v>
      </c>
      <c r="I10" s="5" t="str">
        <f t="shared" si="0"/>
        <v>fate91414</v>
      </c>
      <c r="J10" s="6" t="s">
        <v>8361</v>
      </c>
      <c r="K10" s="6">
        <v>14.1</v>
      </c>
      <c r="L10" s="6">
        <v>14.8</v>
      </c>
      <c r="M10" s="6">
        <v>256</v>
      </c>
      <c r="N10" s="6">
        <v>267</v>
      </c>
      <c r="P10" s="5" t="s">
        <v>8362</v>
      </c>
      <c r="Q10" s="5" t="s">
        <v>8363</v>
      </c>
      <c r="R10" s="5" t="s">
        <v>8364</v>
      </c>
      <c r="S10" s="5"/>
      <c r="T10" s="5"/>
    </row>
    <row r="11" spans="1:22" x14ac:dyDescent="0.25">
      <c r="A11" s="5" t="s">
        <v>8350</v>
      </c>
      <c r="B11" s="7" t="s">
        <v>8346</v>
      </c>
      <c r="C11" s="5" t="s">
        <v>1067</v>
      </c>
      <c r="D11" s="5"/>
      <c r="F11" s="5"/>
      <c r="G11" s="7">
        <v>9</v>
      </c>
      <c r="H11" s="5" t="s">
        <v>8311</v>
      </c>
      <c r="I11" s="5" t="str">
        <f t="shared" si="0"/>
        <v>fate102115</v>
      </c>
      <c r="J11" s="6" t="s">
        <v>8345</v>
      </c>
      <c r="K11" s="6">
        <v>21.1</v>
      </c>
      <c r="L11" s="6">
        <v>15.6</v>
      </c>
      <c r="M11" s="6">
        <v>394</v>
      </c>
      <c r="N11" s="6">
        <v>279</v>
      </c>
      <c r="O11" s="1" t="s">
        <v>11101</v>
      </c>
      <c r="P11" s="5" t="s">
        <v>8347</v>
      </c>
      <c r="Q11" s="5" t="s">
        <v>8348</v>
      </c>
      <c r="R11" s="5" t="s">
        <v>8349</v>
      </c>
      <c r="S11" s="5"/>
      <c r="T11" s="5"/>
    </row>
    <row r="12" spans="1:22" x14ac:dyDescent="0.25">
      <c r="A12" s="5" t="s">
        <v>8355</v>
      </c>
      <c r="B12" s="7" t="s">
        <v>8346</v>
      </c>
      <c r="C12" s="5" t="s">
        <v>1067</v>
      </c>
      <c r="D12" s="5"/>
      <c r="F12" s="5"/>
      <c r="G12" s="7">
        <v>14</v>
      </c>
      <c r="H12" s="5" t="s">
        <v>8311</v>
      </c>
      <c r="I12" s="5" t="str">
        <f t="shared" si="0"/>
        <v>fate11178</v>
      </c>
      <c r="J12" s="6" t="s">
        <v>8370</v>
      </c>
      <c r="K12" s="6">
        <v>17.7</v>
      </c>
      <c r="L12" s="6">
        <v>8</v>
      </c>
      <c r="M12" s="6">
        <v>337</v>
      </c>
      <c r="N12" s="6">
        <v>109</v>
      </c>
      <c r="O12" s="1" t="s">
        <v>11102</v>
      </c>
      <c r="P12" s="5" t="s">
        <v>8367</v>
      </c>
      <c r="Q12" s="5" t="s">
        <v>8324</v>
      </c>
      <c r="R12" s="5" t="s">
        <v>8368</v>
      </c>
      <c r="S12" s="5"/>
      <c r="T12" s="5"/>
    </row>
    <row r="13" spans="1:22" x14ac:dyDescent="0.25">
      <c r="A13" s="5" t="s">
        <v>8360</v>
      </c>
      <c r="B13" s="7" t="s">
        <v>10503</v>
      </c>
      <c r="C13" s="5" t="s">
        <v>1067</v>
      </c>
      <c r="D13" s="1" t="s">
        <v>10750</v>
      </c>
      <c r="F13" s="5"/>
      <c r="G13" s="7">
        <v>8</v>
      </c>
      <c r="H13" s="5" t="s">
        <v>8311</v>
      </c>
      <c r="I13" s="5" t="str">
        <f t="shared" si="0"/>
        <v>fate121817</v>
      </c>
      <c r="J13" s="6" t="s">
        <v>8340</v>
      </c>
      <c r="K13" s="6">
        <v>18.5</v>
      </c>
      <c r="L13" s="6">
        <v>17.2</v>
      </c>
      <c r="M13" s="6">
        <v>343</v>
      </c>
      <c r="N13" s="6">
        <v>316</v>
      </c>
      <c r="P13" s="5" t="s">
        <v>8341</v>
      </c>
      <c r="Q13" s="5" t="s">
        <v>8342</v>
      </c>
      <c r="R13" s="5" t="s">
        <v>8343</v>
      </c>
      <c r="S13" s="5"/>
      <c r="T13" s="5"/>
    </row>
    <row r="14" spans="1:22" x14ac:dyDescent="0.25">
      <c r="A14" s="5" t="s">
        <v>8365</v>
      </c>
      <c r="B14" s="7" t="s">
        <v>10503</v>
      </c>
      <c r="C14" s="5" t="s">
        <v>1067</v>
      </c>
      <c r="D14" s="1" t="s">
        <v>10751</v>
      </c>
      <c r="F14" s="5"/>
      <c r="G14" s="7">
        <v>10</v>
      </c>
      <c r="H14" s="5" t="s">
        <v>8311</v>
      </c>
      <c r="I14" s="5" t="str">
        <f t="shared" si="0"/>
        <v>fate131614</v>
      </c>
      <c r="J14" s="6" t="s">
        <v>8351</v>
      </c>
      <c r="K14" s="6">
        <v>16.3</v>
      </c>
      <c r="L14" s="6">
        <v>14.2</v>
      </c>
      <c r="M14" s="6">
        <v>303</v>
      </c>
      <c r="N14" s="6">
        <v>260</v>
      </c>
      <c r="P14" s="5" t="s">
        <v>8352</v>
      </c>
      <c r="Q14" s="5" t="s">
        <v>8353</v>
      </c>
      <c r="R14" s="5" t="s">
        <v>8354</v>
      </c>
      <c r="S14" s="5"/>
      <c r="T14" s="5"/>
    </row>
    <row r="15" spans="1:22" x14ac:dyDescent="0.25">
      <c r="A15" s="5" t="s">
        <v>8369</v>
      </c>
      <c r="B15" s="7" t="s">
        <v>8310</v>
      </c>
      <c r="C15" s="5" t="s">
        <v>1067</v>
      </c>
      <c r="D15" s="5"/>
      <c r="E15" s="5">
        <v>1</v>
      </c>
      <c r="F15" s="5">
        <v>1</v>
      </c>
      <c r="G15" s="7">
        <v>14</v>
      </c>
      <c r="H15" s="5" t="s">
        <v>8311</v>
      </c>
      <c r="I15" s="5" t="str">
        <f t="shared" si="0"/>
        <v>fate141799</v>
      </c>
      <c r="J15" s="6" t="s">
        <v>8372</v>
      </c>
      <c r="K15" s="6">
        <v>17.2</v>
      </c>
      <c r="L15" s="6">
        <v>9.9</v>
      </c>
      <c r="M15" s="6">
        <v>309</v>
      </c>
      <c r="N15" s="6">
        <v>170</v>
      </c>
      <c r="P15" s="5" t="s">
        <v>8373</v>
      </c>
      <c r="Q15" s="5" t="s">
        <v>8324</v>
      </c>
      <c r="R15" s="5" t="s">
        <v>8368</v>
      </c>
      <c r="S15" s="5"/>
      <c r="T15" s="5"/>
    </row>
    <row r="16" spans="1:22" x14ac:dyDescent="0.25">
      <c r="A16" s="5" t="s">
        <v>8371</v>
      </c>
      <c r="B16" s="7" t="s">
        <v>10503</v>
      </c>
      <c r="C16" s="5" t="s">
        <v>1067</v>
      </c>
      <c r="D16" s="1" t="s">
        <v>7280</v>
      </c>
      <c r="E16" s="5">
        <v>1</v>
      </c>
      <c r="F16" s="5">
        <v>2</v>
      </c>
      <c r="G16" s="7">
        <v>14</v>
      </c>
      <c r="H16" s="5" t="s">
        <v>8311</v>
      </c>
      <c r="I16" s="5" t="str">
        <f t="shared" si="0"/>
        <v>fate151799</v>
      </c>
      <c r="J16" s="6" t="s">
        <v>8366</v>
      </c>
      <c r="K16" s="6">
        <v>17.2</v>
      </c>
      <c r="L16" s="6">
        <v>9.9</v>
      </c>
      <c r="M16" s="6">
        <v>309</v>
      </c>
      <c r="N16" s="6">
        <v>170</v>
      </c>
      <c r="P16" s="5" t="s">
        <v>8367</v>
      </c>
      <c r="Q16" s="5" t="s">
        <v>8324</v>
      </c>
      <c r="R16" s="5" t="s">
        <v>8368</v>
      </c>
      <c r="S16" s="5"/>
      <c r="T16" s="5"/>
    </row>
    <row r="17" spans="1:20" x14ac:dyDescent="0.25">
      <c r="A17" s="5" t="s">
        <v>8374</v>
      </c>
      <c r="B17" s="7" t="s">
        <v>8310</v>
      </c>
      <c r="C17" s="5" t="s">
        <v>1067</v>
      </c>
      <c r="D17" s="5"/>
      <c r="F17" s="5"/>
      <c r="G17" s="7">
        <v>4</v>
      </c>
      <c r="H17" s="5" t="s">
        <v>8376</v>
      </c>
      <c r="I17" s="5" t="str">
        <f t="shared" si="0"/>
        <v>fate162422</v>
      </c>
      <c r="J17" s="6" t="s">
        <v>8378</v>
      </c>
      <c r="K17" s="6">
        <v>24.2</v>
      </c>
      <c r="L17" s="6">
        <v>22.4</v>
      </c>
      <c r="M17" s="6">
        <v>454</v>
      </c>
      <c r="N17" s="6">
        <v>420</v>
      </c>
      <c r="P17" s="5" t="s">
        <v>8317</v>
      </c>
      <c r="Q17" s="5" t="s">
        <v>8318</v>
      </c>
      <c r="R17" s="5" t="s">
        <v>8319</v>
      </c>
      <c r="S17" s="5"/>
      <c r="T17" s="5"/>
    </row>
    <row r="18" spans="1:20" x14ac:dyDescent="0.25">
      <c r="A18" s="5" t="s">
        <v>8377</v>
      </c>
      <c r="B18" s="7" t="s">
        <v>8310</v>
      </c>
      <c r="C18" s="5" t="s">
        <v>1067</v>
      </c>
      <c r="D18" s="5"/>
      <c r="F18" s="5"/>
      <c r="G18" s="7">
        <v>5</v>
      </c>
      <c r="H18" s="5" t="s">
        <v>8376</v>
      </c>
      <c r="I18" s="5" t="str">
        <f t="shared" si="0"/>
        <v>fate173018</v>
      </c>
      <c r="J18" s="6" t="s">
        <v>8380</v>
      </c>
      <c r="K18" s="6">
        <v>30.6</v>
      </c>
      <c r="L18" s="6">
        <v>18.899999999999999</v>
      </c>
      <c r="M18" s="6">
        <v>575</v>
      </c>
      <c r="N18" s="6">
        <v>353</v>
      </c>
      <c r="O18" s="1" t="s">
        <v>11103</v>
      </c>
      <c r="P18" s="5" t="s">
        <v>8322</v>
      </c>
      <c r="Q18" s="5" t="s">
        <v>8323</v>
      </c>
      <c r="R18" s="5" t="s">
        <v>8324</v>
      </c>
      <c r="S18" s="5"/>
      <c r="T18" s="5"/>
    </row>
    <row r="19" spans="1:20" x14ac:dyDescent="0.25">
      <c r="A19" s="5" t="s">
        <v>8379</v>
      </c>
      <c r="B19" s="7" t="s">
        <v>8310</v>
      </c>
      <c r="C19" s="5" t="s">
        <v>1067</v>
      </c>
      <c r="D19" s="5"/>
      <c r="F19" s="5"/>
      <c r="G19" s="7">
        <v>7</v>
      </c>
      <c r="H19" s="5" t="s">
        <v>8376</v>
      </c>
      <c r="I19" s="5" t="str">
        <f t="shared" si="0"/>
        <v>fate182617</v>
      </c>
      <c r="J19" s="6" t="s">
        <v>8382</v>
      </c>
      <c r="K19" s="6">
        <v>26.9</v>
      </c>
      <c r="L19" s="6">
        <v>17.399999999999999</v>
      </c>
      <c r="M19" s="6">
        <v>506</v>
      </c>
      <c r="N19" s="6">
        <v>320</v>
      </c>
      <c r="P19" s="5" t="s">
        <v>8334</v>
      </c>
      <c r="Q19" s="5" t="s">
        <v>8335</v>
      </c>
      <c r="R19" s="5" t="s">
        <v>8336</v>
      </c>
      <c r="S19" s="5"/>
      <c r="T19" s="5"/>
    </row>
    <row r="20" spans="1:20" x14ac:dyDescent="0.25">
      <c r="A20" s="5" t="s">
        <v>8381</v>
      </c>
      <c r="B20" s="7" t="s">
        <v>8310</v>
      </c>
      <c r="C20" s="5" t="s">
        <v>1067</v>
      </c>
      <c r="D20" s="5"/>
      <c r="F20" s="5"/>
      <c r="G20" s="7">
        <v>8</v>
      </c>
      <c r="H20" s="5" t="s">
        <v>8376</v>
      </c>
      <c r="I20" s="5" t="str">
        <f t="shared" si="0"/>
        <v>fate193515</v>
      </c>
      <c r="J20" s="6" t="s">
        <v>8384</v>
      </c>
      <c r="K20" s="6">
        <v>35.1</v>
      </c>
      <c r="L20" s="6">
        <v>15.7</v>
      </c>
      <c r="M20" s="6">
        <v>662</v>
      </c>
      <c r="N20" s="6">
        <v>287</v>
      </c>
      <c r="O20" s="1" t="s">
        <v>11107</v>
      </c>
      <c r="P20" s="5" t="s">
        <v>8341</v>
      </c>
      <c r="Q20" s="5" t="s">
        <v>8342</v>
      </c>
      <c r="R20" s="5" t="s">
        <v>8343</v>
      </c>
      <c r="S20" s="5"/>
      <c r="T20" s="5"/>
    </row>
    <row r="21" spans="1:20" x14ac:dyDescent="0.25">
      <c r="A21" s="5" t="s">
        <v>8383</v>
      </c>
      <c r="B21" s="7" t="s">
        <v>8310</v>
      </c>
      <c r="C21" s="5" t="s">
        <v>1067</v>
      </c>
      <c r="D21" s="5"/>
      <c r="F21" s="5"/>
      <c r="G21" s="7">
        <v>12</v>
      </c>
      <c r="H21" s="5" t="s">
        <v>8376</v>
      </c>
      <c r="I21" s="5" t="str">
        <f t="shared" si="0"/>
        <v>fate202234</v>
      </c>
      <c r="J21" s="6" t="s">
        <v>8400</v>
      </c>
      <c r="K21" s="6">
        <v>22</v>
      </c>
      <c r="L21" s="6">
        <v>34.9</v>
      </c>
      <c r="M21" s="6">
        <v>408</v>
      </c>
      <c r="N21" s="6">
        <v>660</v>
      </c>
      <c r="P21" s="5" t="s">
        <v>8357</v>
      </c>
      <c r="Q21" s="5" t="s">
        <v>8358</v>
      </c>
      <c r="R21" s="5" t="s">
        <v>8359</v>
      </c>
      <c r="S21" s="5"/>
      <c r="T21" s="5"/>
    </row>
    <row r="22" spans="1:20" x14ac:dyDescent="0.25">
      <c r="A22" s="5" t="s">
        <v>8385</v>
      </c>
      <c r="B22" s="7" t="s">
        <v>8346</v>
      </c>
      <c r="C22" s="5" t="s">
        <v>1067</v>
      </c>
      <c r="D22" s="5"/>
      <c r="F22" s="5"/>
      <c r="G22" s="7">
        <v>11</v>
      </c>
      <c r="H22" s="5" t="s">
        <v>8376</v>
      </c>
      <c r="I22" s="5" t="str">
        <f t="shared" si="0"/>
        <v>fate212038</v>
      </c>
      <c r="J22" s="6" t="s">
        <v>8395</v>
      </c>
      <c r="K22" s="6">
        <v>20.9</v>
      </c>
      <c r="L22" s="6">
        <v>38.700000000000003</v>
      </c>
      <c r="M22" s="6">
        <v>392</v>
      </c>
      <c r="N22" s="6">
        <v>730</v>
      </c>
      <c r="O22" s="1" t="s">
        <v>11108</v>
      </c>
      <c r="P22" s="5" t="s">
        <v>8396</v>
      </c>
      <c r="Q22" s="5" t="s">
        <v>8397</v>
      </c>
      <c r="R22" s="5" t="s">
        <v>8398</v>
      </c>
      <c r="S22" s="5"/>
      <c r="T22" s="5"/>
    </row>
    <row r="23" spans="1:20" x14ac:dyDescent="0.25">
      <c r="A23" s="5" t="s">
        <v>8388</v>
      </c>
      <c r="B23" s="7" t="s">
        <v>10503</v>
      </c>
      <c r="C23" s="5" t="s">
        <v>1067</v>
      </c>
      <c r="D23" s="1" t="s">
        <v>10752</v>
      </c>
      <c r="F23" s="5"/>
      <c r="G23" s="7">
        <v>3</v>
      </c>
      <c r="H23" s="5" t="s">
        <v>8376</v>
      </c>
      <c r="I23" s="5" t="str">
        <f t="shared" si="0"/>
        <v>fate222525</v>
      </c>
      <c r="J23" s="6" t="s">
        <v>8375</v>
      </c>
      <c r="K23" s="6">
        <v>25.8</v>
      </c>
      <c r="L23" s="6">
        <v>25.5</v>
      </c>
      <c r="M23" s="6">
        <v>485</v>
      </c>
      <c r="N23" s="6">
        <v>475</v>
      </c>
      <c r="P23" s="5" t="s">
        <v>8312</v>
      </c>
      <c r="Q23" s="5" t="s">
        <v>8313</v>
      </c>
      <c r="R23" s="5" t="s">
        <v>8314</v>
      </c>
      <c r="S23" s="5"/>
      <c r="T23" s="5"/>
    </row>
    <row r="24" spans="1:20" x14ac:dyDescent="0.25">
      <c r="A24" s="5" t="s">
        <v>8390</v>
      </c>
      <c r="B24" s="7" t="s">
        <v>10503</v>
      </c>
      <c r="C24" s="5" t="s">
        <v>1067</v>
      </c>
      <c r="D24" s="1" t="s">
        <v>10760</v>
      </c>
      <c r="F24" s="5"/>
      <c r="G24" s="7">
        <v>10</v>
      </c>
      <c r="H24" s="5" t="s">
        <v>8376</v>
      </c>
      <c r="I24" s="5" t="str">
        <f t="shared" si="0"/>
        <v>fate232138</v>
      </c>
      <c r="J24" s="6" t="s">
        <v>8391</v>
      </c>
      <c r="K24" s="6">
        <v>21.1</v>
      </c>
      <c r="L24" s="6">
        <v>38.5</v>
      </c>
      <c r="M24" s="6">
        <v>389</v>
      </c>
      <c r="N24" s="6">
        <v>730</v>
      </c>
      <c r="O24" s="1" t="s">
        <v>11104</v>
      </c>
      <c r="P24" s="5" t="s">
        <v>8352</v>
      </c>
      <c r="Q24" s="5" t="s">
        <v>8353</v>
      </c>
      <c r="R24" s="5" t="s">
        <v>8354</v>
      </c>
      <c r="S24" s="5"/>
      <c r="T24" s="5"/>
    </row>
    <row r="25" spans="1:20" x14ac:dyDescent="0.25">
      <c r="A25" s="5" t="s">
        <v>8392</v>
      </c>
      <c r="B25" s="7" t="s">
        <v>10503</v>
      </c>
      <c r="C25" s="5" t="s">
        <v>1067</v>
      </c>
      <c r="D25" s="1" t="s">
        <v>10754</v>
      </c>
      <c r="F25" s="5"/>
      <c r="G25" s="7">
        <v>10</v>
      </c>
      <c r="H25" s="5" t="s">
        <v>8376</v>
      </c>
      <c r="I25" s="5" t="str">
        <f t="shared" si="0"/>
        <v>fate242033</v>
      </c>
      <c r="J25" s="6" t="s">
        <v>8393</v>
      </c>
      <c r="K25" s="6">
        <v>20.5</v>
      </c>
      <c r="L25" s="6">
        <v>33</v>
      </c>
      <c r="M25" s="6">
        <v>379</v>
      </c>
      <c r="N25" s="6">
        <v>632</v>
      </c>
      <c r="P25" s="5" t="s">
        <v>8352</v>
      </c>
      <c r="Q25" s="5" t="s">
        <v>8353</v>
      </c>
      <c r="R25" s="5" t="s">
        <v>8354</v>
      </c>
      <c r="S25" s="5"/>
      <c r="T25" s="5"/>
    </row>
    <row r="26" spans="1:20" x14ac:dyDescent="0.25">
      <c r="A26" s="5" t="s">
        <v>8394</v>
      </c>
      <c r="B26" s="7" t="s">
        <v>10503</v>
      </c>
      <c r="C26" s="5" t="s">
        <v>1067</v>
      </c>
      <c r="D26" s="1" t="s">
        <v>10755</v>
      </c>
      <c r="F26" s="5"/>
      <c r="G26" s="7">
        <v>13</v>
      </c>
      <c r="H26" s="5" t="s">
        <v>8376</v>
      </c>
      <c r="I26" s="5" t="str">
        <f t="shared" si="0"/>
        <v>fate251937</v>
      </c>
      <c r="J26" s="6" t="s">
        <v>8402</v>
      </c>
      <c r="K26" s="6">
        <v>19.7</v>
      </c>
      <c r="L26" s="6">
        <v>37.299999999999997</v>
      </c>
      <c r="M26" s="6">
        <v>368</v>
      </c>
      <c r="N26" s="6">
        <v>704</v>
      </c>
      <c r="P26" s="5" t="s">
        <v>8362</v>
      </c>
      <c r="Q26" s="5" t="s">
        <v>8363</v>
      </c>
      <c r="R26" s="5" t="s">
        <v>8364</v>
      </c>
      <c r="S26" s="5"/>
      <c r="T26" s="5"/>
    </row>
    <row r="27" spans="1:20" x14ac:dyDescent="0.25">
      <c r="A27" s="5" t="s">
        <v>8399</v>
      </c>
      <c r="B27" s="7" t="s">
        <v>8310</v>
      </c>
      <c r="C27" s="5" t="s">
        <v>1067</v>
      </c>
      <c r="D27" s="5"/>
      <c r="E27" s="5">
        <v>2</v>
      </c>
      <c r="F27" s="5">
        <v>1</v>
      </c>
      <c r="G27" s="7">
        <v>9</v>
      </c>
      <c r="H27" s="5" t="s">
        <v>8376</v>
      </c>
      <c r="I27" s="5" t="str">
        <f t="shared" si="0"/>
        <v>fate263115</v>
      </c>
      <c r="J27" s="6" t="s">
        <v>8386</v>
      </c>
      <c r="K27" s="6">
        <v>31.4</v>
      </c>
      <c r="L27" s="6">
        <v>15.1</v>
      </c>
      <c r="M27" s="6">
        <v>595</v>
      </c>
      <c r="N27" s="6">
        <v>276</v>
      </c>
      <c r="P27" s="5" t="s">
        <v>8387</v>
      </c>
      <c r="Q27" s="5" t="s">
        <v>8348</v>
      </c>
      <c r="R27" s="5" t="s">
        <v>8349</v>
      </c>
      <c r="S27" s="5"/>
      <c r="T27" s="5"/>
    </row>
    <row r="28" spans="1:20" x14ac:dyDescent="0.25">
      <c r="A28" s="5" t="s">
        <v>8401</v>
      </c>
      <c r="B28" s="7" t="s">
        <v>10503</v>
      </c>
      <c r="C28" s="5" t="s">
        <v>1067</v>
      </c>
      <c r="D28" s="1" t="s">
        <v>10753</v>
      </c>
      <c r="E28" s="5">
        <v>2</v>
      </c>
      <c r="F28" s="5">
        <v>2</v>
      </c>
      <c r="G28" s="7">
        <v>9</v>
      </c>
      <c r="H28" s="5" t="s">
        <v>8376</v>
      </c>
      <c r="I28" s="5" t="str">
        <f t="shared" si="0"/>
        <v>fate273113</v>
      </c>
      <c r="J28" s="6" t="s">
        <v>8389</v>
      </c>
      <c r="K28" s="6">
        <v>31.8</v>
      </c>
      <c r="L28" s="6">
        <v>13.2</v>
      </c>
      <c r="M28" s="6">
        <v>604</v>
      </c>
      <c r="N28" s="6">
        <v>240</v>
      </c>
      <c r="P28" s="5" t="s">
        <v>8347</v>
      </c>
      <c r="Q28" s="5" t="s">
        <v>8348</v>
      </c>
      <c r="R28" s="5" t="s">
        <v>8349</v>
      </c>
      <c r="S28" s="5"/>
      <c r="T28" s="5"/>
    </row>
    <row r="29" spans="1:20" x14ac:dyDescent="0.25">
      <c r="A29" s="5" t="s">
        <v>8403</v>
      </c>
      <c r="B29" s="7" t="s">
        <v>8346</v>
      </c>
      <c r="C29" s="5" t="s">
        <v>1067</v>
      </c>
      <c r="F29" s="5"/>
      <c r="G29" s="7">
        <v>30</v>
      </c>
      <c r="H29" s="5" t="s">
        <v>8404</v>
      </c>
      <c r="I29" s="5" t="str">
        <f t="shared" si="0"/>
        <v>fate283233</v>
      </c>
      <c r="J29" s="6" t="s">
        <v>11121</v>
      </c>
      <c r="K29" s="6">
        <v>32.6</v>
      </c>
      <c r="L29" s="6">
        <v>33.1</v>
      </c>
      <c r="M29" s="6">
        <v>628</v>
      </c>
      <c r="N29" s="6">
        <v>625</v>
      </c>
      <c r="P29" s="5" t="s">
        <v>8405</v>
      </c>
      <c r="Q29" s="5" t="s">
        <v>8406</v>
      </c>
      <c r="R29" s="5" t="s">
        <v>8407</v>
      </c>
      <c r="S29" s="5"/>
      <c r="T29" s="5"/>
    </row>
    <row r="30" spans="1:20" x14ac:dyDescent="0.25">
      <c r="A30" s="5" t="s">
        <v>8408</v>
      </c>
      <c r="B30" s="7" t="s">
        <v>8310</v>
      </c>
      <c r="C30" s="5" t="s">
        <v>1067</v>
      </c>
      <c r="D30" s="5"/>
      <c r="F30" s="5"/>
      <c r="G30" s="7">
        <v>30</v>
      </c>
      <c r="H30" s="5" t="s">
        <v>8404</v>
      </c>
      <c r="I30" s="5" t="str">
        <f t="shared" si="0"/>
        <v>fate292833</v>
      </c>
      <c r="J30" s="6" t="s">
        <v>476</v>
      </c>
      <c r="K30" s="6">
        <v>28.7</v>
      </c>
      <c r="L30" s="6">
        <v>33.9</v>
      </c>
      <c r="M30" s="6">
        <v>540</v>
      </c>
      <c r="N30" s="6">
        <v>643</v>
      </c>
      <c r="P30" s="5" t="s">
        <v>8405</v>
      </c>
      <c r="Q30" s="5" t="s">
        <v>8406</v>
      </c>
      <c r="R30" s="5" t="s">
        <v>8407</v>
      </c>
      <c r="S30" s="5"/>
      <c r="T30" s="5"/>
    </row>
    <row r="31" spans="1:20" x14ac:dyDescent="0.25">
      <c r="A31" s="5" t="s">
        <v>8410</v>
      </c>
      <c r="B31" s="7" t="s">
        <v>8310</v>
      </c>
      <c r="C31" s="5" t="s">
        <v>1067</v>
      </c>
      <c r="D31" s="5"/>
      <c r="F31" s="5"/>
      <c r="G31" s="7">
        <v>30</v>
      </c>
      <c r="H31" s="5" t="s">
        <v>8404</v>
      </c>
      <c r="I31" s="5" t="str">
        <f t="shared" si="0"/>
        <v>fate302935</v>
      </c>
      <c r="J31" s="6" t="s">
        <v>8409</v>
      </c>
      <c r="K31" s="6">
        <v>29.8</v>
      </c>
      <c r="L31" s="6">
        <v>35.6</v>
      </c>
      <c r="M31" s="6">
        <v>566</v>
      </c>
      <c r="N31" s="6">
        <v>674</v>
      </c>
      <c r="P31" s="5" t="s">
        <v>8405</v>
      </c>
      <c r="Q31" s="5" t="s">
        <v>8406</v>
      </c>
      <c r="R31" s="5" t="s">
        <v>8407</v>
      </c>
      <c r="S31" s="5"/>
      <c r="T31" s="5"/>
    </row>
    <row r="32" spans="1:20" x14ac:dyDescent="0.25">
      <c r="A32" s="5" t="s">
        <v>8415</v>
      </c>
      <c r="B32" s="7" t="s">
        <v>8310</v>
      </c>
      <c r="C32" s="5" t="s">
        <v>1067</v>
      </c>
      <c r="D32" s="5"/>
      <c r="F32" s="5"/>
      <c r="G32" s="7">
        <v>31</v>
      </c>
      <c r="H32" s="5" t="s">
        <v>8404</v>
      </c>
      <c r="I32" s="5" t="str">
        <f t="shared" si="0"/>
        <v>fate312728</v>
      </c>
      <c r="J32" s="6" t="s">
        <v>8411</v>
      </c>
      <c r="K32" s="6">
        <v>27.5</v>
      </c>
      <c r="L32" s="6">
        <v>28.8</v>
      </c>
      <c r="M32" s="6">
        <v>520</v>
      </c>
      <c r="N32" s="6">
        <v>537</v>
      </c>
      <c r="P32" s="5" t="s">
        <v>8412</v>
      </c>
      <c r="Q32" s="5" t="s">
        <v>8413</v>
      </c>
      <c r="R32" s="5" t="s">
        <v>8414</v>
      </c>
      <c r="S32" s="5"/>
      <c r="T32" s="5"/>
    </row>
    <row r="33" spans="1:20" x14ac:dyDescent="0.25">
      <c r="A33" s="5" t="s">
        <v>8420</v>
      </c>
      <c r="B33" s="7" t="s">
        <v>8310</v>
      </c>
      <c r="C33" s="5" t="s">
        <v>1067</v>
      </c>
      <c r="D33" s="5"/>
      <c r="F33" s="5"/>
      <c r="G33" s="7">
        <v>32</v>
      </c>
      <c r="H33" s="5" t="s">
        <v>8404</v>
      </c>
      <c r="I33" s="5" t="str">
        <f t="shared" si="0"/>
        <v>fate321833</v>
      </c>
      <c r="J33" s="6" t="s">
        <v>8421</v>
      </c>
      <c r="K33" s="6">
        <v>18.899999999999999</v>
      </c>
      <c r="L33" s="6">
        <v>33.9</v>
      </c>
      <c r="M33" s="6">
        <v>352</v>
      </c>
      <c r="N33" s="6">
        <v>643</v>
      </c>
      <c r="P33" s="5" t="s">
        <v>8417</v>
      </c>
      <c r="Q33" s="5" t="s">
        <v>8418</v>
      </c>
      <c r="R33" s="5" t="s">
        <v>8419</v>
      </c>
      <c r="S33" s="5"/>
      <c r="T33" s="5"/>
    </row>
    <row r="34" spans="1:20" x14ac:dyDescent="0.25">
      <c r="A34" s="5" t="s">
        <v>8422</v>
      </c>
      <c r="B34" s="7" t="s">
        <v>8310</v>
      </c>
      <c r="C34" s="5" t="s">
        <v>1067</v>
      </c>
      <c r="D34" s="5"/>
      <c r="F34" s="5"/>
      <c r="G34" s="7">
        <v>32</v>
      </c>
      <c r="H34" s="5" t="s">
        <v>8404</v>
      </c>
      <c r="I34" s="5" t="str">
        <f t="shared" si="0"/>
        <v>fate331724</v>
      </c>
      <c r="J34" s="6" t="s">
        <v>8428</v>
      </c>
      <c r="K34" s="6">
        <v>17.3</v>
      </c>
      <c r="L34" s="6">
        <v>24.7</v>
      </c>
      <c r="M34" s="6">
        <v>318</v>
      </c>
      <c r="N34" s="6">
        <v>460</v>
      </c>
      <c r="P34" s="5" t="s">
        <v>8417</v>
      </c>
      <c r="Q34" s="5" t="s">
        <v>8418</v>
      </c>
      <c r="R34" s="5" t="s">
        <v>8419</v>
      </c>
      <c r="S34" s="5"/>
      <c r="T34" s="5"/>
    </row>
    <row r="35" spans="1:20" x14ac:dyDescent="0.25">
      <c r="A35" s="5" t="s">
        <v>8425</v>
      </c>
      <c r="B35" s="7" t="s">
        <v>8310</v>
      </c>
      <c r="C35" s="5" t="s">
        <v>1067</v>
      </c>
      <c r="D35" s="5"/>
      <c r="F35" s="5"/>
      <c r="G35" s="7">
        <v>32</v>
      </c>
      <c r="H35" s="5" t="s">
        <v>8404</v>
      </c>
      <c r="I35" s="5" t="str">
        <f t="shared" si="0"/>
        <v>fate342420</v>
      </c>
      <c r="J35" s="6" t="s">
        <v>8434</v>
      </c>
      <c r="K35" s="6">
        <v>24</v>
      </c>
      <c r="L35" s="6">
        <v>20.5</v>
      </c>
      <c r="M35" s="6">
        <v>450</v>
      </c>
      <c r="N35" s="6">
        <v>381</v>
      </c>
      <c r="P35" s="5" t="s">
        <v>8417</v>
      </c>
      <c r="Q35" s="5" t="s">
        <v>8418</v>
      </c>
      <c r="R35" s="5" t="s">
        <v>8419</v>
      </c>
      <c r="S35" s="5"/>
      <c r="T35" s="5"/>
    </row>
    <row r="36" spans="1:20" x14ac:dyDescent="0.25">
      <c r="A36" s="5" t="s">
        <v>8427</v>
      </c>
      <c r="B36" s="7" t="s">
        <v>8310</v>
      </c>
      <c r="C36" s="5" t="s">
        <v>1067</v>
      </c>
      <c r="D36" s="5"/>
      <c r="F36" s="5"/>
      <c r="G36" s="7">
        <v>33</v>
      </c>
      <c r="H36" s="5" t="s">
        <v>8404</v>
      </c>
      <c r="I36" s="5" t="str">
        <f t="shared" si="0"/>
        <v>fate351527</v>
      </c>
      <c r="J36" s="6" t="s">
        <v>8436</v>
      </c>
      <c r="K36" s="6">
        <v>15.7</v>
      </c>
      <c r="L36" s="6">
        <v>27.5</v>
      </c>
      <c r="M36" s="6">
        <v>291</v>
      </c>
      <c r="N36" s="6">
        <v>513</v>
      </c>
      <c r="P36" s="5" t="s">
        <v>8437</v>
      </c>
      <c r="Q36" s="5" t="s">
        <v>8438</v>
      </c>
      <c r="R36" s="5" t="s">
        <v>8439</v>
      </c>
      <c r="S36" s="5"/>
      <c r="T36" s="5"/>
    </row>
    <row r="37" spans="1:20" x14ac:dyDescent="0.25">
      <c r="A37" s="5" t="s">
        <v>8429</v>
      </c>
      <c r="B37" s="7" t="s">
        <v>8310</v>
      </c>
      <c r="C37" s="5" t="s">
        <v>1067</v>
      </c>
      <c r="D37" s="5"/>
      <c r="F37" s="5"/>
      <c r="G37" s="7">
        <v>33</v>
      </c>
      <c r="H37" s="5" t="s">
        <v>8404</v>
      </c>
      <c r="I37" s="5" t="str">
        <f t="shared" si="0"/>
        <v>fate361731</v>
      </c>
      <c r="J37" s="6" t="s">
        <v>8445</v>
      </c>
      <c r="K37" s="6">
        <v>17.600000000000001</v>
      </c>
      <c r="L37" s="6">
        <v>31.5</v>
      </c>
      <c r="M37" s="6">
        <v>319</v>
      </c>
      <c r="N37" s="6">
        <v>594</v>
      </c>
      <c r="O37" s="1" t="s">
        <v>11132</v>
      </c>
      <c r="P37" s="5" t="s">
        <v>8437</v>
      </c>
      <c r="Q37" s="5" t="s">
        <v>8438</v>
      </c>
      <c r="R37" s="5" t="s">
        <v>8439</v>
      </c>
      <c r="S37" s="5"/>
      <c r="T37" s="5"/>
    </row>
    <row r="38" spans="1:20" x14ac:dyDescent="0.25">
      <c r="A38" s="5" t="s">
        <v>8431</v>
      </c>
      <c r="B38" s="7" t="s">
        <v>8310</v>
      </c>
      <c r="C38" s="5" t="s">
        <v>1067</v>
      </c>
      <c r="D38" s="5"/>
      <c r="F38" s="5"/>
      <c r="G38" s="7">
        <v>33</v>
      </c>
      <c r="H38" s="5" t="s">
        <v>8404</v>
      </c>
      <c r="I38" s="5" t="str">
        <f t="shared" si="0"/>
        <v>fate373127</v>
      </c>
      <c r="J38" s="6" t="s">
        <v>8454</v>
      </c>
      <c r="K38" s="6">
        <v>31.3</v>
      </c>
      <c r="L38" s="6">
        <v>27.6</v>
      </c>
      <c r="M38" s="6">
        <v>580</v>
      </c>
      <c r="N38" s="6">
        <v>521</v>
      </c>
      <c r="P38" s="5" t="s">
        <v>8437</v>
      </c>
      <c r="Q38" s="5" t="s">
        <v>8438</v>
      </c>
      <c r="R38" s="5" t="s">
        <v>8439</v>
      </c>
      <c r="S38" s="5"/>
      <c r="T38" s="5"/>
    </row>
    <row r="39" spans="1:20" x14ac:dyDescent="0.25">
      <c r="A39" s="5" t="s">
        <v>8433</v>
      </c>
      <c r="B39" s="7" t="s">
        <v>8346</v>
      </c>
      <c r="C39" s="5" t="s">
        <v>1067</v>
      </c>
      <c r="D39" s="5"/>
      <c r="F39" s="5"/>
      <c r="G39" s="7">
        <v>32</v>
      </c>
      <c r="H39" s="5" t="s">
        <v>8404</v>
      </c>
      <c r="I39" s="5" t="str">
        <f t="shared" si="0"/>
        <v>fate382123</v>
      </c>
      <c r="J39" s="6" t="s">
        <v>8426</v>
      </c>
      <c r="K39" s="6">
        <v>21.6</v>
      </c>
      <c r="L39" s="6">
        <v>23.7</v>
      </c>
      <c r="M39" s="6">
        <v>407</v>
      </c>
      <c r="N39" s="6">
        <v>443</v>
      </c>
      <c r="O39" s="1" t="s">
        <v>11141</v>
      </c>
      <c r="P39" s="5" t="s">
        <v>8417</v>
      </c>
      <c r="Q39" s="5" t="s">
        <v>8418</v>
      </c>
      <c r="R39" s="5" t="s">
        <v>8419</v>
      </c>
      <c r="S39" s="5"/>
      <c r="T39" s="5"/>
    </row>
    <row r="40" spans="1:20" x14ac:dyDescent="0.25">
      <c r="A40" s="5" t="s">
        <v>8435</v>
      </c>
      <c r="B40" s="7" t="s">
        <v>8346</v>
      </c>
      <c r="C40" s="5" t="s">
        <v>1067</v>
      </c>
      <c r="D40" s="5"/>
      <c r="F40" s="5"/>
      <c r="G40" s="7">
        <v>33</v>
      </c>
      <c r="H40" s="5" t="s">
        <v>8404</v>
      </c>
      <c r="I40" s="5" t="str">
        <f t="shared" si="0"/>
        <v>fate392029</v>
      </c>
      <c r="J40" s="6" t="s">
        <v>8443</v>
      </c>
      <c r="K40" s="6">
        <v>20.2</v>
      </c>
      <c r="L40" s="6">
        <v>29.3</v>
      </c>
      <c r="M40" s="6">
        <v>378</v>
      </c>
      <c r="N40" s="6">
        <v>552</v>
      </c>
      <c r="O40" s="1" t="s">
        <v>11123</v>
      </c>
      <c r="P40" s="5" t="s">
        <v>8437</v>
      </c>
      <c r="Q40" s="5" t="s">
        <v>8438</v>
      </c>
      <c r="R40" s="5" t="s">
        <v>8439</v>
      </c>
      <c r="S40" s="5"/>
      <c r="T40" s="5"/>
    </row>
    <row r="41" spans="1:20" x14ac:dyDescent="0.25">
      <c r="A41" s="5" t="s">
        <v>8440</v>
      </c>
      <c r="B41" s="7" t="s">
        <v>8450</v>
      </c>
      <c r="C41" s="5" t="s">
        <v>1067</v>
      </c>
      <c r="D41" s="5"/>
      <c r="F41" s="5"/>
      <c r="G41" s="7">
        <v>33</v>
      </c>
      <c r="H41" s="5" t="s">
        <v>8404</v>
      </c>
      <c r="I41" s="5" t="str">
        <f t="shared" si="0"/>
        <v>fate403029</v>
      </c>
      <c r="J41" s="6" t="s">
        <v>8449</v>
      </c>
      <c r="K41" s="6">
        <v>30.2</v>
      </c>
      <c r="L41" s="6">
        <v>29.2</v>
      </c>
      <c r="M41" s="6">
        <v>573</v>
      </c>
      <c r="N41" s="6">
        <v>547</v>
      </c>
      <c r="O41" s="1" t="s">
        <v>11134</v>
      </c>
      <c r="P41" s="5" t="s">
        <v>8437</v>
      </c>
      <c r="Q41" s="5" t="s">
        <v>8438</v>
      </c>
      <c r="R41" s="5" t="s">
        <v>8439</v>
      </c>
      <c r="S41" s="5"/>
      <c r="T41" s="5"/>
    </row>
    <row r="42" spans="1:20" x14ac:dyDescent="0.25">
      <c r="A42" s="5" t="s">
        <v>8442</v>
      </c>
      <c r="B42" s="7" t="s">
        <v>8424</v>
      </c>
      <c r="C42" s="5" t="s">
        <v>1067</v>
      </c>
      <c r="D42" s="5"/>
      <c r="F42" s="5"/>
      <c r="G42" s="7">
        <v>32</v>
      </c>
      <c r="H42" s="5" t="s">
        <v>8404</v>
      </c>
      <c r="I42" s="5" t="str">
        <f t="shared" si="0"/>
        <v>fate412032</v>
      </c>
      <c r="J42" s="6" t="s">
        <v>8423</v>
      </c>
      <c r="K42" s="6">
        <v>20.9</v>
      </c>
      <c r="L42" s="6">
        <v>32</v>
      </c>
      <c r="M42" s="6">
        <v>393</v>
      </c>
      <c r="N42" s="6">
        <v>599</v>
      </c>
      <c r="O42" s="1" t="s">
        <v>11120</v>
      </c>
      <c r="P42" s="5" t="s">
        <v>8417</v>
      </c>
      <c r="Q42" s="5" t="s">
        <v>8418</v>
      </c>
      <c r="R42" s="5" t="s">
        <v>8419</v>
      </c>
      <c r="S42" s="5"/>
      <c r="T42" s="5"/>
    </row>
    <row r="43" spans="1:20" x14ac:dyDescent="0.25">
      <c r="A43" s="5" t="s">
        <v>8444</v>
      </c>
      <c r="B43" s="7" t="s">
        <v>8424</v>
      </c>
      <c r="C43" s="5" t="s">
        <v>1067</v>
      </c>
      <c r="D43" s="5"/>
      <c r="F43" s="5"/>
      <c r="G43" s="7">
        <v>33</v>
      </c>
      <c r="H43" s="5" t="s">
        <v>8404</v>
      </c>
      <c r="I43" s="5" t="str">
        <f t="shared" si="0"/>
        <v>fate423224</v>
      </c>
      <c r="J43" s="6" t="s">
        <v>8447</v>
      </c>
      <c r="K43" s="6">
        <v>32.1</v>
      </c>
      <c r="L43" s="6">
        <v>24.3</v>
      </c>
      <c r="M43" s="6">
        <v>611</v>
      </c>
      <c r="N43" s="6">
        <v>452</v>
      </c>
      <c r="O43" s="1" t="s">
        <v>11124</v>
      </c>
      <c r="P43" s="5" t="s">
        <v>8437</v>
      </c>
      <c r="Q43" s="5" t="s">
        <v>8438</v>
      </c>
      <c r="R43" s="5" t="s">
        <v>8439</v>
      </c>
      <c r="S43" s="5"/>
      <c r="T43" s="5"/>
    </row>
    <row r="44" spans="1:20" x14ac:dyDescent="0.25">
      <c r="A44" s="5" t="s">
        <v>8446</v>
      </c>
      <c r="B44" s="7" t="s">
        <v>8424</v>
      </c>
      <c r="C44" s="5" t="s">
        <v>1067</v>
      </c>
      <c r="D44" s="5"/>
      <c r="F44" s="5"/>
      <c r="G44" s="7">
        <v>33</v>
      </c>
      <c r="H44" s="5" t="s">
        <v>8404</v>
      </c>
      <c r="I44" s="5" t="str">
        <f t="shared" si="0"/>
        <v>fate431627</v>
      </c>
      <c r="J44" s="6" t="s">
        <v>8452</v>
      </c>
      <c r="K44" s="6">
        <v>16.3</v>
      </c>
      <c r="L44" s="6">
        <v>27.5</v>
      </c>
      <c r="M44" s="6">
        <v>301</v>
      </c>
      <c r="N44" s="6">
        <v>518</v>
      </c>
      <c r="O44" s="1" t="s">
        <v>11135</v>
      </c>
      <c r="P44" s="5" t="s">
        <v>8437</v>
      </c>
      <c r="Q44" s="5" t="s">
        <v>8438</v>
      </c>
      <c r="R44" s="5" t="s">
        <v>8439</v>
      </c>
      <c r="S44" s="5"/>
      <c r="T44" s="5"/>
    </row>
    <row r="45" spans="1:20" x14ac:dyDescent="0.25">
      <c r="A45" s="5" t="s">
        <v>8448</v>
      </c>
      <c r="B45" s="7" t="s">
        <v>10503</v>
      </c>
      <c r="C45" s="5" t="s">
        <v>1067</v>
      </c>
      <c r="D45" s="5"/>
      <c r="F45" s="5"/>
      <c r="G45" s="7">
        <v>32</v>
      </c>
      <c r="H45" s="5" t="s">
        <v>8404</v>
      </c>
      <c r="I45" s="5" t="str">
        <f t="shared" si="0"/>
        <v>fate441825</v>
      </c>
      <c r="J45" s="6" t="s">
        <v>8416</v>
      </c>
      <c r="K45" s="6">
        <v>18.7</v>
      </c>
      <c r="L45" s="6">
        <v>25.1</v>
      </c>
      <c r="M45" s="6">
        <v>344</v>
      </c>
      <c r="N45" s="6">
        <v>470</v>
      </c>
      <c r="P45" s="5" t="s">
        <v>8417</v>
      </c>
      <c r="Q45" s="5" t="s">
        <v>8418</v>
      </c>
      <c r="R45" s="5" t="s">
        <v>8419</v>
      </c>
      <c r="S45" s="5"/>
      <c r="T45" s="5"/>
    </row>
    <row r="46" spans="1:20" x14ac:dyDescent="0.25">
      <c r="A46" s="5" t="s">
        <v>8451</v>
      </c>
      <c r="B46" s="7" t="s">
        <v>10503</v>
      </c>
      <c r="C46" s="5" t="s">
        <v>1067</v>
      </c>
      <c r="D46" s="1" t="s">
        <v>10757</v>
      </c>
      <c r="F46" s="5"/>
      <c r="G46" s="7">
        <v>32</v>
      </c>
      <c r="H46" s="5" t="s">
        <v>8404</v>
      </c>
      <c r="I46" s="5" t="str">
        <f t="shared" si="0"/>
        <v>fate453135</v>
      </c>
      <c r="J46" s="6" t="s">
        <v>8430</v>
      </c>
      <c r="K46" s="6">
        <v>31</v>
      </c>
      <c r="L46" s="6">
        <v>35.1</v>
      </c>
      <c r="M46" s="6">
        <v>586</v>
      </c>
      <c r="N46" s="6">
        <v>669</v>
      </c>
      <c r="P46" s="5" t="s">
        <v>8417</v>
      </c>
      <c r="Q46" s="5" t="s">
        <v>8418</v>
      </c>
      <c r="R46" s="5" t="s">
        <v>8419</v>
      </c>
      <c r="S46" s="5"/>
      <c r="T46" s="5"/>
    </row>
    <row r="47" spans="1:20" x14ac:dyDescent="0.25">
      <c r="A47" s="5" t="s">
        <v>8453</v>
      </c>
      <c r="B47" s="7" t="s">
        <v>10503</v>
      </c>
      <c r="C47" s="5" t="s">
        <v>1067</v>
      </c>
      <c r="D47" s="1" t="s">
        <v>10756</v>
      </c>
      <c r="F47" s="5"/>
      <c r="G47" s="7">
        <v>32</v>
      </c>
      <c r="H47" s="5" t="s">
        <v>8404</v>
      </c>
      <c r="I47" s="5" t="str">
        <f t="shared" si="0"/>
        <v>fate462632</v>
      </c>
      <c r="J47" s="6" t="s">
        <v>8432</v>
      </c>
      <c r="K47" s="6">
        <v>26.2</v>
      </c>
      <c r="L47" s="6">
        <v>32.700000000000003</v>
      </c>
      <c r="M47" s="6">
        <v>497</v>
      </c>
      <c r="N47" s="6">
        <v>615</v>
      </c>
      <c r="P47" s="5" t="s">
        <v>8417</v>
      </c>
      <c r="Q47" s="5" t="s">
        <v>8418</v>
      </c>
      <c r="R47" s="5" t="s">
        <v>8419</v>
      </c>
      <c r="S47" s="5"/>
      <c r="T47" s="5"/>
    </row>
    <row r="48" spans="1:20" x14ac:dyDescent="0.25">
      <c r="A48" s="5" t="s">
        <v>8455</v>
      </c>
      <c r="B48" s="7" t="s">
        <v>10503</v>
      </c>
      <c r="C48" s="5" t="s">
        <v>1067</v>
      </c>
      <c r="D48" s="1" t="s">
        <v>10758</v>
      </c>
      <c r="F48" s="5"/>
      <c r="G48" s="7">
        <v>33</v>
      </c>
      <c r="H48" s="5" t="s">
        <v>8404</v>
      </c>
      <c r="I48" s="5" t="str">
        <f t="shared" si="0"/>
        <v>fate471631</v>
      </c>
      <c r="J48" s="6" t="s">
        <v>8441</v>
      </c>
      <c r="K48" s="6">
        <v>16.899999999999999</v>
      </c>
      <c r="L48" s="6">
        <v>31.5</v>
      </c>
      <c r="M48" s="6">
        <v>310</v>
      </c>
      <c r="N48" s="6">
        <v>591</v>
      </c>
      <c r="P48" s="5" t="s">
        <v>8437</v>
      </c>
      <c r="Q48" s="5" t="s">
        <v>8438</v>
      </c>
      <c r="R48" s="5" t="s">
        <v>8439</v>
      </c>
      <c r="S48" s="5"/>
      <c r="T48" s="5"/>
    </row>
    <row r="49" spans="1:20" x14ac:dyDescent="0.25">
      <c r="A49" s="5" t="s">
        <v>8460</v>
      </c>
      <c r="B49" s="7" t="s">
        <v>10503</v>
      </c>
      <c r="C49" s="5" t="s">
        <v>1067</v>
      </c>
      <c r="D49" s="1" t="s">
        <v>10759</v>
      </c>
      <c r="F49" s="5"/>
      <c r="G49" s="7">
        <v>34</v>
      </c>
      <c r="H49" s="5" t="s">
        <v>8404</v>
      </c>
      <c r="I49" s="5" t="str">
        <f t="shared" si="0"/>
        <v>fate481828</v>
      </c>
      <c r="J49" s="6" t="s">
        <v>8456</v>
      </c>
      <c r="K49" s="6">
        <v>18.100000000000001</v>
      </c>
      <c r="L49" s="6">
        <v>28.1</v>
      </c>
      <c r="M49" s="6">
        <v>336</v>
      </c>
      <c r="N49" s="6">
        <v>528</v>
      </c>
      <c r="P49" s="5" t="s">
        <v>8457</v>
      </c>
      <c r="Q49" s="5" t="s">
        <v>8458</v>
      </c>
      <c r="R49" s="5" t="s">
        <v>8459</v>
      </c>
      <c r="S49" s="5"/>
      <c r="T49" s="5"/>
    </row>
    <row r="50" spans="1:20" x14ac:dyDescent="0.25">
      <c r="A50" s="5" t="s">
        <v>8463</v>
      </c>
      <c r="B50" s="7" t="s">
        <v>8310</v>
      </c>
      <c r="C50" s="5" t="s">
        <v>1067</v>
      </c>
      <c r="D50" s="5"/>
      <c r="F50" s="5"/>
      <c r="G50" s="7">
        <v>10</v>
      </c>
      <c r="H50" s="5" t="s">
        <v>8462</v>
      </c>
      <c r="I50" s="5" t="str">
        <f t="shared" si="0"/>
        <v>fate493429</v>
      </c>
      <c r="J50" s="6" t="s">
        <v>8464</v>
      </c>
      <c r="K50" s="6">
        <v>34.6</v>
      </c>
      <c r="L50" s="6">
        <v>29.1</v>
      </c>
      <c r="M50" s="6">
        <v>657</v>
      </c>
      <c r="N50" s="6">
        <v>551</v>
      </c>
      <c r="P50" s="5" t="s">
        <v>8352</v>
      </c>
      <c r="Q50" s="5" t="s">
        <v>8353</v>
      </c>
      <c r="R50" s="5" t="s">
        <v>8354</v>
      </c>
      <c r="S50" s="5"/>
      <c r="T50" s="5"/>
    </row>
    <row r="51" spans="1:20" x14ac:dyDescent="0.25">
      <c r="A51" s="5" t="s">
        <v>8465</v>
      </c>
      <c r="B51" s="7" t="s">
        <v>8310</v>
      </c>
      <c r="C51" s="5" t="s">
        <v>1067</v>
      </c>
      <c r="D51" s="5"/>
      <c r="F51" s="5"/>
      <c r="G51" s="7">
        <v>12</v>
      </c>
      <c r="H51" s="5" t="s">
        <v>8462</v>
      </c>
      <c r="I51" s="5" t="str">
        <f t="shared" si="0"/>
        <v>fate503329</v>
      </c>
      <c r="J51" s="6" t="s">
        <v>8468</v>
      </c>
      <c r="K51" s="6">
        <v>33.299999999999997</v>
      </c>
      <c r="L51" s="6">
        <v>29.1</v>
      </c>
      <c r="M51" s="6">
        <v>623</v>
      </c>
      <c r="N51" s="6">
        <v>545</v>
      </c>
      <c r="P51" s="5" t="s">
        <v>8357</v>
      </c>
      <c r="Q51" s="5" t="s">
        <v>8358</v>
      </c>
      <c r="R51" s="5" t="s">
        <v>8359</v>
      </c>
      <c r="S51" s="5"/>
      <c r="T51" s="5"/>
    </row>
    <row r="52" spans="1:20" x14ac:dyDescent="0.25">
      <c r="A52" s="5" t="s">
        <v>8467</v>
      </c>
      <c r="B52" s="7" t="s">
        <v>8310</v>
      </c>
      <c r="C52" s="5" t="s">
        <v>1067</v>
      </c>
      <c r="D52" s="5"/>
      <c r="F52" s="5"/>
      <c r="G52" s="7">
        <v>15</v>
      </c>
      <c r="H52" s="5" t="s">
        <v>8462</v>
      </c>
      <c r="I52" s="5" t="str">
        <f t="shared" si="0"/>
        <v>fate512724</v>
      </c>
      <c r="J52" s="6" t="s">
        <v>8472</v>
      </c>
      <c r="K52" s="6">
        <v>27.5</v>
      </c>
      <c r="L52" s="6">
        <v>24.9</v>
      </c>
      <c r="M52" s="6">
        <v>519</v>
      </c>
      <c r="N52" s="6">
        <v>462</v>
      </c>
      <c r="P52" s="5" t="s">
        <v>8473</v>
      </c>
      <c r="Q52" s="5" t="s">
        <v>8474</v>
      </c>
      <c r="R52" s="5" t="s">
        <v>8475</v>
      </c>
      <c r="S52" s="5"/>
      <c r="T52" s="5"/>
    </row>
    <row r="53" spans="1:20" x14ac:dyDescent="0.25">
      <c r="A53" s="5" t="s">
        <v>8469</v>
      </c>
      <c r="B53" s="7" t="s">
        <v>8310</v>
      </c>
      <c r="C53" s="5" t="s">
        <v>1067</v>
      </c>
      <c r="D53" s="5"/>
      <c r="F53" s="5"/>
      <c r="G53" s="7">
        <v>15</v>
      </c>
      <c r="H53" s="5" t="s">
        <v>8462</v>
      </c>
      <c r="I53" s="5" t="str">
        <f t="shared" si="0"/>
        <v>fate522926</v>
      </c>
      <c r="J53" s="6" t="s">
        <v>8477</v>
      </c>
      <c r="K53" s="6">
        <v>29.8</v>
      </c>
      <c r="L53" s="6">
        <v>26</v>
      </c>
      <c r="M53" s="6">
        <v>565</v>
      </c>
      <c r="N53" s="6">
        <v>484</v>
      </c>
      <c r="P53" s="5" t="s">
        <v>8473</v>
      </c>
      <c r="Q53" s="5" t="s">
        <v>8474</v>
      </c>
      <c r="R53" s="5" t="s">
        <v>8475</v>
      </c>
      <c r="S53" s="5"/>
      <c r="T53" s="5"/>
    </row>
    <row r="54" spans="1:20" x14ac:dyDescent="0.25">
      <c r="A54" s="5" t="s">
        <v>8471</v>
      </c>
      <c r="B54" s="7" t="s">
        <v>8310</v>
      </c>
      <c r="C54" s="5" t="s">
        <v>1067</v>
      </c>
      <c r="D54" s="5"/>
      <c r="F54" s="5"/>
      <c r="G54" s="7">
        <v>16</v>
      </c>
      <c r="H54" s="5" t="s">
        <v>8462</v>
      </c>
      <c r="I54" s="5" t="str">
        <f t="shared" si="0"/>
        <v>fate532223</v>
      </c>
      <c r="J54" s="6" t="s">
        <v>8483</v>
      </c>
      <c r="K54" s="6">
        <v>22.9</v>
      </c>
      <c r="L54" s="6">
        <v>23.7</v>
      </c>
      <c r="M54" s="6">
        <v>430</v>
      </c>
      <c r="N54" s="6">
        <v>437</v>
      </c>
      <c r="P54" s="5" t="s">
        <v>8479</v>
      </c>
      <c r="Q54" s="5" t="s">
        <v>8480</v>
      </c>
      <c r="R54" s="5" t="s">
        <v>8481</v>
      </c>
      <c r="S54" s="5"/>
      <c r="T54" s="5"/>
    </row>
    <row r="55" spans="1:20" x14ac:dyDescent="0.25">
      <c r="A55" s="5" t="s">
        <v>8476</v>
      </c>
      <c r="B55" s="7" t="s">
        <v>8310</v>
      </c>
      <c r="C55" s="5" t="s">
        <v>1067</v>
      </c>
      <c r="D55" s="5"/>
      <c r="F55" s="5"/>
      <c r="G55" s="7">
        <v>17</v>
      </c>
      <c r="H55" s="5" t="s">
        <v>8462</v>
      </c>
      <c r="I55" s="5" t="str">
        <f t="shared" si="0"/>
        <v>fate542423</v>
      </c>
      <c r="J55" s="6" t="s">
        <v>8485</v>
      </c>
      <c r="K55" s="6">
        <v>24</v>
      </c>
      <c r="L55" s="6">
        <v>23.5</v>
      </c>
      <c r="M55" s="6">
        <v>451</v>
      </c>
      <c r="N55" s="6">
        <v>434</v>
      </c>
      <c r="P55" s="5" t="s">
        <v>8486</v>
      </c>
      <c r="Q55" s="5" t="s">
        <v>8331</v>
      </c>
      <c r="R55" s="5" t="s">
        <v>8487</v>
      </c>
      <c r="S55" s="5"/>
      <c r="T55" s="5"/>
    </row>
    <row r="56" spans="1:20" x14ac:dyDescent="0.25">
      <c r="A56" s="5" t="s">
        <v>11167</v>
      </c>
      <c r="B56" s="7" t="s">
        <v>8310</v>
      </c>
      <c r="C56" s="5" t="s">
        <v>1067</v>
      </c>
      <c r="D56" s="5"/>
      <c r="F56" s="5"/>
      <c r="G56" s="7">
        <v>40</v>
      </c>
      <c r="H56" s="5" t="s">
        <v>8462</v>
      </c>
      <c r="I56" s="5" t="str">
        <f t="shared" si="0"/>
        <v>fate551632</v>
      </c>
      <c r="J56" s="6" t="s">
        <v>8498</v>
      </c>
      <c r="K56" s="6">
        <v>16.399999999999999</v>
      </c>
      <c r="L56" s="6">
        <v>32.299999999999997</v>
      </c>
      <c r="M56" s="6">
        <v>305</v>
      </c>
      <c r="N56" s="6">
        <v>612</v>
      </c>
      <c r="P56" s="5" t="s">
        <v>8499</v>
      </c>
      <c r="Q56" s="5" t="s">
        <v>8368</v>
      </c>
      <c r="R56" s="5" t="s">
        <v>8500</v>
      </c>
      <c r="S56" s="5"/>
      <c r="T56" s="5"/>
    </row>
    <row r="57" spans="1:20" x14ac:dyDescent="0.25">
      <c r="A57" s="5" t="s">
        <v>8482</v>
      </c>
      <c r="B57" s="7" t="s">
        <v>8346</v>
      </c>
      <c r="C57" s="5" t="s">
        <v>1067</v>
      </c>
      <c r="D57" s="5"/>
      <c r="F57" s="5"/>
      <c r="G57" s="7">
        <v>17</v>
      </c>
      <c r="H57" s="5" t="s">
        <v>8462</v>
      </c>
      <c r="I57" s="5" t="str">
        <f t="shared" si="0"/>
        <v>fate562424</v>
      </c>
      <c r="J57" s="6" t="s">
        <v>8489</v>
      </c>
      <c r="K57" s="6">
        <v>24.7</v>
      </c>
      <c r="L57" s="6">
        <v>24.5</v>
      </c>
      <c r="M57" s="6">
        <v>460</v>
      </c>
      <c r="N57" s="6">
        <v>452</v>
      </c>
      <c r="P57" s="5" t="s">
        <v>8486</v>
      </c>
      <c r="Q57" s="5" t="s">
        <v>8331</v>
      </c>
      <c r="R57" s="5" t="s">
        <v>8487</v>
      </c>
      <c r="S57" s="5"/>
      <c r="T57" s="5"/>
    </row>
    <row r="58" spans="1:20" x14ac:dyDescent="0.25">
      <c r="A58" s="5" t="s">
        <v>8484</v>
      </c>
      <c r="B58" s="7" t="s">
        <v>8450</v>
      </c>
      <c r="C58" s="5" t="s">
        <v>1067</v>
      </c>
      <c r="D58" s="5"/>
      <c r="F58" s="5"/>
      <c r="G58" s="7">
        <v>16</v>
      </c>
      <c r="H58" s="5" t="s">
        <v>8462</v>
      </c>
      <c r="I58" s="5" t="str">
        <f t="shared" si="0"/>
        <v>fate572525</v>
      </c>
      <c r="J58" s="6" t="s">
        <v>8478</v>
      </c>
      <c r="K58" s="6">
        <v>25.9</v>
      </c>
      <c r="L58" s="6">
        <v>25.7</v>
      </c>
      <c r="M58" s="6">
        <v>492</v>
      </c>
      <c r="N58" s="6">
        <v>479</v>
      </c>
      <c r="O58" s="1" t="s">
        <v>11142</v>
      </c>
      <c r="P58" s="5" t="s">
        <v>8479</v>
      </c>
      <c r="Q58" s="5" t="s">
        <v>8480</v>
      </c>
      <c r="R58" s="5" t="s">
        <v>8481</v>
      </c>
      <c r="S58" s="5"/>
      <c r="T58" s="5"/>
    </row>
    <row r="59" spans="1:20" x14ac:dyDescent="0.25">
      <c r="A59" s="5" t="s">
        <v>8488</v>
      </c>
      <c r="B59" s="7" t="s">
        <v>8424</v>
      </c>
      <c r="C59" s="5" t="s">
        <v>1067</v>
      </c>
      <c r="D59" s="5"/>
      <c r="F59" s="5"/>
      <c r="G59" s="7">
        <v>18</v>
      </c>
      <c r="H59" s="5" t="s">
        <v>8462</v>
      </c>
      <c r="I59" s="5" t="str">
        <f t="shared" si="0"/>
        <v>fate582622</v>
      </c>
      <c r="J59" s="6" t="s">
        <v>8491</v>
      </c>
      <c r="K59" s="6">
        <v>26.7</v>
      </c>
      <c r="L59" s="6">
        <v>22.9</v>
      </c>
      <c r="M59" s="6">
        <v>500</v>
      </c>
      <c r="N59" s="6">
        <v>424</v>
      </c>
      <c r="O59" s="1" t="s">
        <v>11133</v>
      </c>
      <c r="P59" s="5" t="s">
        <v>8492</v>
      </c>
      <c r="Q59" s="5" t="s">
        <v>8493</v>
      </c>
      <c r="R59" s="5" t="s">
        <v>8494</v>
      </c>
      <c r="S59" s="5"/>
      <c r="T59" s="5"/>
    </row>
    <row r="60" spans="1:20" x14ac:dyDescent="0.25">
      <c r="A60" s="5" t="s">
        <v>8490</v>
      </c>
      <c r="B60" s="7" t="s">
        <v>10503</v>
      </c>
      <c r="C60" s="5" t="s">
        <v>1067</v>
      </c>
      <c r="D60" s="1" t="s">
        <v>10761</v>
      </c>
      <c r="F60" s="5"/>
      <c r="G60" s="7">
        <v>10</v>
      </c>
      <c r="H60" s="5" t="s">
        <v>8462</v>
      </c>
      <c r="I60" s="5" t="str">
        <f t="shared" si="0"/>
        <v>fate593628</v>
      </c>
      <c r="J60" s="6" t="s">
        <v>8461</v>
      </c>
      <c r="K60" s="6">
        <v>36.700000000000003</v>
      </c>
      <c r="L60" s="6">
        <v>28.7</v>
      </c>
      <c r="M60" s="6">
        <v>694</v>
      </c>
      <c r="N60" s="6">
        <v>539</v>
      </c>
      <c r="P60" s="5" t="s">
        <v>8352</v>
      </c>
      <c r="Q60" s="5" t="s">
        <v>8353</v>
      </c>
      <c r="R60" s="5" t="s">
        <v>8354</v>
      </c>
      <c r="S60" s="5"/>
      <c r="T60" s="5"/>
    </row>
    <row r="61" spans="1:20" x14ac:dyDescent="0.25">
      <c r="A61" s="5" t="s">
        <v>8495</v>
      </c>
      <c r="B61" s="7" t="s">
        <v>10503</v>
      </c>
      <c r="C61" s="5" t="s">
        <v>1067</v>
      </c>
      <c r="D61" s="1" t="s">
        <v>10762</v>
      </c>
      <c r="F61" s="5"/>
      <c r="G61" s="7">
        <v>12</v>
      </c>
      <c r="H61" s="5" t="s">
        <v>8462</v>
      </c>
      <c r="I61" s="5" t="str">
        <f t="shared" si="0"/>
        <v>fate603228</v>
      </c>
      <c r="J61" s="6" t="s">
        <v>8466</v>
      </c>
      <c r="K61" s="6">
        <v>32.9</v>
      </c>
      <c r="L61" s="6">
        <v>28.2</v>
      </c>
      <c r="M61" s="6">
        <v>611</v>
      </c>
      <c r="N61" s="6">
        <v>528</v>
      </c>
      <c r="P61" s="5" t="s">
        <v>8357</v>
      </c>
      <c r="Q61" s="5" t="s">
        <v>8358</v>
      </c>
      <c r="R61" s="5" t="s">
        <v>8359</v>
      </c>
      <c r="S61" s="5"/>
      <c r="T61" s="5"/>
    </row>
    <row r="62" spans="1:20" x14ac:dyDescent="0.25">
      <c r="A62" s="5" t="s">
        <v>8497</v>
      </c>
      <c r="B62" s="7" t="s">
        <v>10503</v>
      </c>
      <c r="C62" s="5" t="s">
        <v>1067</v>
      </c>
      <c r="D62" s="1" t="s">
        <v>10763</v>
      </c>
      <c r="F62" s="5"/>
      <c r="G62" s="7">
        <v>13</v>
      </c>
      <c r="H62" s="5" t="s">
        <v>8462</v>
      </c>
      <c r="I62" s="5" t="str">
        <f t="shared" si="0"/>
        <v>fate613029</v>
      </c>
      <c r="J62" s="6" t="s">
        <v>8470</v>
      </c>
      <c r="K62" s="6">
        <v>30.8</v>
      </c>
      <c r="L62" s="6">
        <v>29.6</v>
      </c>
      <c r="M62" s="6">
        <v>586</v>
      </c>
      <c r="N62" s="6">
        <v>557</v>
      </c>
      <c r="P62" s="5" t="s">
        <v>8362</v>
      </c>
      <c r="Q62" s="5" t="s">
        <v>8363</v>
      </c>
      <c r="R62" s="5" t="s">
        <v>8364</v>
      </c>
      <c r="S62" s="5"/>
      <c r="T62" s="5"/>
    </row>
    <row r="63" spans="1:20" x14ac:dyDescent="0.25">
      <c r="A63" s="5" t="s">
        <v>8501</v>
      </c>
      <c r="B63" s="7" t="s">
        <v>10503</v>
      </c>
      <c r="C63" s="5" t="s">
        <v>1067</v>
      </c>
      <c r="D63" s="1" t="s">
        <v>10764</v>
      </c>
      <c r="F63" s="5"/>
      <c r="G63" s="7">
        <v>18</v>
      </c>
      <c r="H63" s="5" t="s">
        <v>8462</v>
      </c>
      <c r="I63" s="5" t="str">
        <f t="shared" si="0"/>
        <v>fate622622</v>
      </c>
      <c r="J63" s="6" t="s">
        <v>8496</v>
      </c>
      <c r="K63" s="6">
        <v>26.5</v>
      </c>
      <c r="L63" s="6">
        <v>22.6</v>
      </c>
      <c r="M63" s="6">
        <v>498</v>
      </c>
      <c r="N63" s="6">
        <v>421</v>
      </c>
      <c r="P63" s="5" t="s">
        <v>8492</v>
      </c>
      <c r="Q63" s="5" t="s">
        <v>8493</v>
      </c>
      <c r="R63" s="5" t="s">
        <v>8494</v>
      </c>
      <c r="S63" s="5"/>
      <c r="T63" s="5"/>
    </row>
    <row r="64" spans="1:20" x14ac:dyDescent="0.25">
      <c r="A64" s="5" t="s">
        <v>8503</v>
      </c>
      <c r="B64" s="7" t="s">
        <v>10503</v>
      </c>
      <c r="C64" s="5" t="s">
        <v>1067</v>
      </c>
      <c r="D64" s="1" t="s">
        <v>10765</v>
      </c>
      <c r="F64" s="5"/>
      <c r="G64" s="7">
        <v>40</v>
      </c>
      <c r="H64" s="5" t="s">
        <v>8462</v>
      </c>
      <c r="I64" s="5" t="str">
        <f t="shared" si="0"/>
        <v>fate631434</v>
      </c>
      <c r="J64" s="6" t="s">
        <v>8502</v>
      </c>
      <c r="K64" s="6">
        <v>14.3</v>
      </c>
      <c r="L64" s="6">
        <v>34.6</v>
      </c>
      <c r="M64" s="6">
        <v>262</v>
      </c>
      <c r="N64" s="6">
        <v>655</v>
      </c>
      <c r="P64" s="5" t="s">
        <v>8499</v>
      </c>
      <c r="Q64" s="5" t="s">
        <v>8368</v>
      </c>
      <c r="R64" s="5" t="s">
        <v>8500</v>
      </c>
      <c r="S64" s="5"/>
      <c r="T64" s="5"/>
    </row>
    <row r="65" spans="1:20" x14ac:dyDescent="0.25">
      <c r="A65" s="5" t="s">
        <v>8508</v>
      </c>
      <c r="B65" s="7" t="s">
        <v>10503</v>
      </c>
      <c r="C65" s="5" t="s">
        <v>1067</v>
      </c>
      <c r="D65" s="1" t="s">
        <v>10767</v>
      </c>
      <c r="F65" s="5"/>
      <c r="G65" s="7">
        <v>44</v>
      </c>
      <c r="H65" s="5" t="s">
        <v>8462</v>
      </c>
      <c r="I65" s="5" t="str">
        <f t="shared" si="0"/>
        <v>fate641819</v>
      </c>
      <c r="J65" s="6" t="s">
        <v>8511</v>
      </c>
      <c r="K65" s="6">
        <v>18.5</v>
      </c>
      <c r="L65" s="6">
        <v>19</v>
      </c>
      <c r="M65" s="6">
        <v>340</v>
      </c>
      <c r="N65" s="6">
        <v>353</v>
      </c>
      <c r="P65" s="5" t="s">
        <v>8505</v>
      </c>
      <c r="Q65" s="5" t="s">
        <v>8506</v>
      </c>
      <c r="R65" s="5" t="s">
        <v>8507</v>
      </c>
      <c r="S65" s="5"/>
      <c r="T65" s="5"/>
    </row>
    <row r="66" spans="1:20" x14ac:dyDescent="0.25">
      <c r="A66" s="5" t="s">
        <v>8510</v>
      </c>
      <c r="B66" s="7" t="s">
        <v>10503</v>
      </c>
      <c r="C66" s="5" t="s">
        <v>1067</v>
      </c>
      <c r="D66" s="1" t="s">
        <v>10769</v>
      </c>
      <c r="F66" s="5"/>
      <c r="G66" s="7">
        <v>46</v>
      </c>
      <c r="H66" s="5" t="s">
        <v>8462</v>
      </c>
      <c r="I66" s="5" t="str">
        <f t="shared" si="0"/>
        <v>fate651716</v>
      </c>
      <c r="J66" s="6" t="s">
        <v>8520</v>
      </c>
      <c r="K66" s="6">
        <v>17.5</v>
      </c>
      <c r="L66" s="6">
        <v>16.100000000000001</v>
      </c>
      <c r="M66" s="6">
        <v>325</v>
      </c>
      <c r="N66" s="6">
        <v>293</v>
      </c>
      <c r="P66" s="5" t="s">
        <v>8521</v>
      </c>
      <c r="Q66" s="5" t="s">
        <v>8481</v>
      </c>
      <c r="R66" s="5" t="s">
        <v>8522</v>
      </c>
      <c r="S66" s="5"/>
      <c r="T66" s="5"/>
    </row>
    <row r="67" spans="1:20" x14ac:dyDescent="0.25">
      <c r="A67" s="5" t="s">
        <v>8512</v>
      </c>
      <c r="B67" s="7" t="s">
        <v>10503</v>
      </c>
      <c r="C67" s="5" t="s">
        <v>1067</v>
      </c>
      <c r="D67" s="1" t="s">
        <v>10770</v>
      </c>
      <c r="F67" s="5"/>
      <c r="G67" s="7">
        <v>48</v>
      </c>
      <c r="H67" s="5" t="s">
        <v>8462</v>
      </c>
      <c r="I67" s="5" t="str">
        <f t="shared" ref="I67:I131" si="1">A67&amp;LEFT(SUBSTITUTE(K67,".",""),2)&amp;LEFT(SUBSTITUTE(L67,".",""),2)</f>
        <v>fate661316</v>
      </c>
      <c r="J67" s="6" t="s">
        <v>8524</v>
      </c>
      <c r="K67" s="6">
        <v>13.8</v>
      </c>
      <c r="L67" s="6">
        <v>16.8</v>
      </c>
      <c r="M67" s="6">
        <v>251</v>
      </c>
      <c r="N67" s="6">
        <v>310</v>
      </c>
      <c r="P67" s="5" t="s">
        <v>8525</v>
      </c>
      <c r="Q67" s="5" t="s">
        <v>8526</v>
      </c>
      <c r="R67" s="5" t="s">
        <v>8527</v>
      </c>
      <c r="S67" s="5"/>
      <c r="T67" s="5"/>
    </row>
    <row r="68" spans="1:20" x14ac:dyDescent="0.25">
      <c r="A68" s="5" t="s">
        <v>8517</v>
      </c>
      <c r="B68" s="7" t="s">
        <v>10503</v>
      </c>
      <c r="C68" s="5" t="s">
        <v>1067</v>
      </c>
      <c r="D68" s="1" t="s">
        <v>10771</v>
      </c>
      <c r="F68" s="5"/>
      <c r="G68" s="7">
        <v>49</v>
      </c>
      <c r="H68" s="5" t="s">
        <v>8462</v>
      </c>
      <c r="I68" s="5" t="str">
        <f t="shared" si="1"/>
        <v>fate671715</v>
      </c>
      <c r="J68" s="6" t="s">
        <v>8529</v>
      </c>
      <c r="K68" s="6">
        <v>17.100000000000001</v>
      </c>
      <c r="L68" s="6">
        <v>15.6</v>
      </c>
      <c r="M68" s="6">
        <v>318</v>
      </c>
      <c r="N68" s="6">
        <v>282</v>
      </c>
      <c r="P68" s="5" t="s">
        <v>8530</v>
      </c>
      <c r="Q68" s="5" t="s">
        <v>8531</v>
      </c>
      <c r="R68" s="5" t="s">
        <v>8532</v>
      </c>
      <c r="S68" s="5"/>
      <c r="T68" s="5"/>
    </row>
    <row r="69" spans="1:20" x14ac:dyDescent="0.25">
      <c r="A69" s="5" t="s">
        <v>8519</v>
      </c>
      <c r="B69" s="7" t="s">
        <v>8310</v>
      </c>
      <c r="C69" s="5" t="s">
        <v>1067</v>
      </c>
      <c r="D69" s="5"/>
      <c r="E69" s="5">
        <v>3</v>
      </c>
      <c r="F69" s="5">
        <v>1</v>
      </c>
      <c r="G69" s="7">
        <v>44</v>
      </c>
      <c r="H69" s="5" t="s">
        <v>8462</v>
      </c>
      <c r="I69" s="5" t="str">
        <f t="shared" si="1"/>
        <v>fate682019</v>
      </c>
      <c r="J69" s="6" t="s">
        <v>8504</v>
      </c>
      <c r="K69" s="6">
        <v>20.8</v>
      </c>
      <c r="L69" s="6">
        <v>19.2</v>
      </c>
      <c r="M69" s="6">
        <v>391</v>
      </c>
      <c r="N69" s="6">
        <v>358</v>
      </c>
      <c r="P69" s="5" t="s">
        <v>8505</v>
      </c>
      <c r="Q69" s="5" t="s">
        <v>8506</v>
      </c>
      <c r="R69" s="5" t="s">
        <v>8507</v>
      </c>
      <c r="S69" s="5"/>
      <c r="T69" s="5"/>
    </row>
    <row r="70" spans="1:20" x14ac:dyDescent="0.25">
      <c r="A70" s="5" t="s">
        <v>8523</v>
      </c>
      <c r="B70" s="7" t="s">
        <v>10503</v>
      </c>
      <c r="C70" s="5" t="s">
        <v>1067</v>
      </c>
      <c r="D70" s="1" t="s">
        <v>10766</v>
      </c>
      <c r="E70" s="5">
        <v>3</v>
      </c>
      <c r="F70" s="5">
        <v>2</v>
      </c>
      <c r="G70" s="7">
        <v>44</v>
      </c>
      <c r="H70" s="5" t="s">
        <v>8462</v>
      </c>
      <c r="I70" s="5" t="str">
        <f t="shared" si="1"/>
        <v>fate692019</v>
      </c>
      <c r="J70" s="6" t="s">
        <v>8509</v>
      </c>
      <c r="K70" s="6">
        <v>20.8</v>
      </c>
      <c r="L70" s="6">
        <v>19.2</v>
      </c>
      <c r="M70" s="6">
        <v>391</v>
      </c>
      <c r="N70" s="6">
        <v>358</v>
      </c>
      <c r="P70" s="5" t="s">
        <v>8505</v>
      </c>
      <c r="Q70" s="5" t="s">
        <v>8506</v>
      </c>
      <c r="R70" s="5" t="s">
        <v>8507</v>
      </c>
      <c r="S70" s="5"/>
      <c r="T70" s="5"/>
    </row>
    <row r="71" spans="1:20" x14ac:dyDescent="0.25">
      <c r="A71" s="5" t="s">
        <v>8528</v>
      </c>
      <c r="B71" s="7" t="s">
        <v>8310</v>
      </c>
      <c r="C71" s="5" t="s">
        <v>1067</v>
      </c>
      <c r="D71" s="5"/>
      <c r="E71" s="5">
        <v>4</v>
      </c>
      <c r="F71" s="5">
        <v>1</v>
      </c>
      <c r="G71" s="7">
        <v>45</v>
      </c>
      <c r="H71" s="5" t="s">
        <v>8462</v>
      </c>
      <c r="I71" s="5" t="str">
        <f t="shared" si="1"/>
        <v>fate701821</v>
      </c>
      <c r="J71" s="6" t="s">
        <v>8513</v>
      </c>
      <c r="K71" s="6">
        <v>18.7</v>
      </c>
      <c r="L71" s="6">
        <v>21.8</v>
      </c>
      <c r="M71" s="6">
        <v>357</v>
      </c>
      <c r="N71" s="6">
        <v>411</v>
      </c>
      <c r="P71" s="5" t="s">
        <v>8514</v>
      </c>
      <c r="Q71" s="5" t="s">
        <v>8515</v>
      </c>
      <c r="R71" s="5" t="s">
        <v>8516</v>
      </c>
      <c r="S71" s="5"/>
      <c r="T71" s="5"/>
    </row>
    <row r="72" spans="1:20" x14ac:dyDescent="0.25">
      <c r="A72" s="5" t="s">
        <v>8533</v>
      </c>
      <c r="B72" s="7" t="s">
        <v>10503</v>
      </c>
      <c r="C72" s="5" t="s">
        <v>1067</v>
      </c>
      <c r="D72" s="1" t="s">
        <v>10768</v>
      </c>
      <c r="E72" s="5">
        <v>4</v>
      </c>
      <c r="F72" s="5">
        <v>2</v>
      </c>
      <c r="G72" s="7">
        <v>45</v>
      </c>
      <c r="H72" s="5" t="s">
        <v>8462</v>
      </c>
      <c r="I72" s="5" t="str">
        <f t="shared" si="1"/>
        <v>fate711822</v>
      </c>
      <c r="J72" s="6" t="s">
        <v>8518</v>
      </c>
      <c r="K72" s="6">
        <v>18.7</v>
      </c>
      <c r="L72" s="6">
        <v>22.8</v>
      </c>
      <c r="M72" s="6">
        <v>357</v>
      </c>
      <c r="N72" s="6">
        <v>411</v>
      </c>
      <c r="P72" s="5" t="s">
        <v>8514</v>
      </c>
      <c r="Q72" s="5" t="s">
        <v>8515</v>
      </c>
      <c r="R72" s="5" t="s">
        <v>8516</v>
      </c>
      <c r="S72" s="5"/>
      <c r="T72" s="5"/>
    </row>
    <row r="73" spans="1:20" x14ac:dyDescent="0.25">
      <c r="A73" s="5" t="s">
        <v>8538</v>
      </c>
      <c r="B73" s="7" t="s">
        <v>8310</v>
      </c>
      <c r="C73" s="5" t="s">
        <v>1067</v>
      </c>
      <c r="D73" s="5"/>
      <c r="F73" s="5"/>
      <c r="G73" s="7">
        <v>30</v>
      </c>
      <c r="H73" s="5" t="s">
        <v>8535</v>
      </c>
      <c r="I73" s="5" t="str">
        <f t="shared" si="1"/>
        <v>fate723124</v>
      </c>
      <c r="J73" s="6" t="s">
        <v>8552</v>
      </c>
      <c r="K73" s="6">
        <v>31.6</v>
      </c>
      <c r="L73" s="6">
        <v>24.7</v>
      </c>
      <c r="M73" s="6">
        <v>600</v>
      </c>
      <c r="N73" s="6">
        <v>461</v>
      </c>
      <c r="P73" s="5" t="s">
        <v>8405</v>
      </c>
      <c r="Q73" s="5" t="s">
        <v>8406</v>
      </c>
      <c r="R73" s="5" t="s">
        <v>8407</v>
      </c>
      <c r="S73" s="5"/>
      <c r="T73" s="5"/>
    </row>
    <row r="74" spans="1:20" x14ac:dyDescent="0.25">
      <c r="A74" s="5" t="s">
        <v>8540</v>
      </c>
      <c r="B74" s="7" t="s">
        <v>8310</v>
      </c>
      <c r="C74" s="5" t="s">
        <v>1067</v>
      </c>
      <c r="D74" s="5"/>
      <c r="F74" s="5"/>
      <c r="G74" s="7">
        <v>31</v>
      </c>
      <c r="H74" s="5" t="s">
        <v>8535</v>
      </c>
      <c r="I74" s="5" t="str">
        <f t="shared" si="1"/>
        <v>fate733225</v>
      </c>
      <c r="J74" s="6" t="s">
        <v>8556</v>
      </c>
      <c r="K74" s="6">
        <v>32.9</v>
      </c>
      <c r="L74" s="6">
        <v>25.1</v>
      </c>
      <c r="M74" s="6">
        <v>626</v>
      </c>
      <c r="N74" s="6">
        <v>469</v>
      </c>
      <c r="P74" s="5" t="s">
        <v>8412</v>
      </c>
      <c r="Q74" s="5" t="s">
        <v>8413</v>
      </c>
      <c r="R74" s="5" t="s">
        <v>8414</v>
      </c>
      <c r="S74" s="5"/>
      <c r="T74" s="5"/>
    </row>
    <row r="75" spans="1:20" x14ac:dyDescent="0.25">
      <c r="A75" s="5" t="s">
        <v>8542</v>
      </c>
      <c r="B75" s="7" t="s">
        <v>8310</v>
      </c>
      <c r="C75" s="5" t="s">
        <v>1067</v>
      </c>
      <c r="D75" s="5"/>
      <c r="F75" s="5"/>
      <c r="G75" s="7">
        <v>33</v>
      </c>
      <c r="H75" s="5" t="s">
        <v>8535</v>
      </c>
      <c r="I75" s="5" t="str">
        <f t="shared" si="1"/>
        <v>fate742822</v>
      </c>
      <c r="J75" s="6" t="s">
        <v>8562</v>
      </c>
      <c r="K75" s="6">
        <v>28.3</v>
      </c>
      <c r="L75" s="6">
        <v>22.8</v>
      </c>
      <c r="M75" s="6">
        <v>534</v>
      </c>
      <c r="N75" s="6">
        <v>424</v>
      </c>
      <c r="P75" s="5" t="s">
        <v>8437</v>
      </c>
      <c r="Q75" s="5" t="s">
        <v>8438</v>
      </c>
      <c r="R75" s="5" t="s">
        <v>8439</v>
      </c>
      <c r="S75" s="5"/>
      <c r="T75" s="5"/>
    </row>
    <row r="76" spans="1:20" x14ac:dyDescent="0.25">
      <c r="A76" s="5" t="s">
        <v>8547</v>
      </c>
      <c r="B76" s="7" t="s">
        <v>8346</v>
      </c>
      <c r="C76" s="5" t="s">
        <v>1067</v>
      </c>
      <c r="D76" s="5"/>
      <c r="F76" s="5"/>
      <c r="G76" s="7">
        <v>34</v>
      </c>
      <c r="H76" s="5" t="s">
        <v>8535</v>
      </c>
      <c r="I76" s="5" t="str">
        <f t="shared" si="1"/>
        <v>fate752619</v>
      </c>
      <c r="J76" s="6" t="s">
        <v>8564</v>
      </c>
      <c r="K76" s="6">
        <v>26.8</v>
      </c>
      <c r="L76" s="6">
        <v>19.100000000000001</v>
      </c>
      <c r="M76" s="6">
        <v>507</v>
      </c>
      <c r="N76" s="6">
        <v>350</v>
      </c>
      <c r="P76" s="5" t="s">
        <v>8457</v>
      </c>
      <c r="Q76" s="5" t="s">
        <v>8458</v>
      </c>
      <c r="R76" s="5" t="s">
        <v>8459</v>
      </c>
      <c r="S76" s="5"/>
      <c r="T76" s="5"/>
    </row>
    <row r="77" spans="1:20" x14ac:dyDescent="0.25">
      <c r="A77" s="5" t="s">
        <v>8551</v>
      </c>
      <c r="B77" s="7" t="s">
        <v>10503</v>
      </c>
      <c r="C77" s="5" t="s">
        <v>1067</v>
      </c>
      <c r="D77" s="1" t="s">
        <v>10774</v>
      </c>
      <c r="F77" s="5"/>
      <c r="G77" s="7">
        <v>21</v>
      </c>
      <c r="H77" s="5" t="s">
        <v>8535</v>
      </c>
      <c r="I77" s="5" t="str">
        <f t="shared" si="1"/>
        <v>fate761424</v>
      </c>
      <c r="J77" s="6" t="s">
        <v>8543</v>
      </c>
      <c r="K77" s="6">
        <v>14.2</v>
      </c>
      <c r="L77" s="6">
        <v>24.4</v>
      </c>
      <c r="M77" s="6">
        <v>259</v>
      </c>
      <c r="N77" s="6">
        <v>458</v>
      </c>
      <c r="P77" s="5" t="s">
        <v>8544</v>
      </c>
      <c r="Q77" s="5" t="s">
        <v>8545</v>
      </c>
      <c r="R77" s="5" t="s">
        <v>8546</v>
      </c>
      <c r="S77" s="5"/>
      <c r="T77" s="5"/>
    </row>
    <row r="78" spans="1:20" x14ac:dyDescent="0.25">
      <c r="A78" s="5" t="s">
        <v>8553</v>
      </c>
      <c r="B78" s="7" t="s">
        <v>10503</v>
      </c>
      <c r="C78" s="5" t="s">
        <v>1067</v>
      </c>
      <c r="D78" s="1" t="s">
        <v>10775</v>
      </c>
      <c r="F78" s="5"/>
      <c r="G78" s="7">
        <v>23</v>
      </c>
      <c r="H78" s="5" t="s">
        <v>8535</v>
      </c>
      <c r="I78" s="5" t="str">
        <f t="shared" si="1"/>
        <v>fate77921</v>
      </c>
      <c r="J78" s="6" t="s">
        <v>8548</v>
      </c>
      <c r="K78" s="6">
        <v>9</v>
      </c>
      <c r="L78" s="6">
        <v>21</v>
      </c>
      <c r="M78" s="6">
        <v>159</v>
      </c>
      <c r="N78" s="6">
        <v>391</v>
      </c>
      <c r="P78" s="5" t="s">
        <v>8549</v>
      </c>
      <c r="Q78" s="5" t="s">
        <v>8343</v>
      </c>
      <c r="R78" s="5" t="s">
        <v>8550</v>
      </c>
      <c r="S78" s="5"/>
      <c r="T78" s="5"/>
    </row>
    <row r="79" spans="1:20" x14ac:dyDescent="0.25">
      <c r="A79" s="5" t="s">
        <v>8555</v>
      </c>
      <c r="B79" s="7" t="s">
        <v>10503</v>
      </c>
      <c r="C79" s="5" t="s">
        <v>1067</v>
      </c>
      <c r="D79" s="1" t="s">
        <v>10776</v>
      </c>
      <c r="F79" s="5"/>
      <c r="G79" s="7">
        <v>30</v>
      </c>
      <c r="H79" s="5" t="s">
        <v>8535</v>
      </c>
      <c r="I79" s="5" t="str">
        <f t="shared" si="1"/>
        <v>fate783424</v>
      </c>
      <c r="J79" s="6" t="s">
        <v>8554</v>
      </c>
      <c r="K79" s="6">
        <v>34.200000000000003</v>
      </c>
      <c r="L79" s="6">
        <v>24.1</v>
      </c>
      <c r="M79" s="6">
        <v>649</v>
      </c>
      <c r="N79" s="6">
        <v>455</v>
      </c>
      <c r="P79" s="5" t="s">
        <v>8405</v>
      </c>
      <c r="Q79" s="5" t="s">
        <v>8406</v>
      </c>
      <c r="R79" s="5" t="s">
        <v>8407</v>
      </c>
      <c r="S79" s="5"/>
      <c r="T79" s="5"/>
    </row>
    <row r="80" spans="1:20" x14ac:dyDescent="0.25">
      <c r="A80" s="5" t="s">
        <v>8557</v>
      </c>
      <c r="B80" s="7" t="s">
        <v>10503</v>
      </c>
      <c r="C80" s="5" t="s">
        <v>1067</v>
      </c>
      <c r="D80" s="1" t="s">
        <v>10777</v>
      </c>
      <c r="F80" s="5"/>
      <c r="G80" s="7">
        <v>31</v>
      </c>
      <c r="H80" s="5" t="s">
        <v>8535</v>
      </c>
      <c r="I80" s="5" t="str">
        <f t="shared" si="1"/>
        <v>fate792824</v>
      </c>
      <c r="J80" s="6" t="s">
        <v>8558</v>
      </c>
      <c r="K80" s="6">
        <v>28.5</v>
      </c>
      <c r="L80" s="6">
        <v>24.6</v>
      </c>
      <c r="M80" s="6">
        <v>538</v>
      </c>
      <c r="N80" s="6">
        <v>463</v>
      </c>
      <c r="P80" s="5" t="s">
        <v>8412</v>
      </c>
      <c r="Q80" s="5" t="s">
        <v>8413</v>
      </c>
      <c r="R80" s="5" t="s">
        <v>8414</v>
      </c>
      <c r="S80" s="5"/>
      <c r="T80" s="5"/>
    </row>
    <row r="81" spans="1:20" x14ac:dyDescent="0.25">
      <c r="A81" s="5" t="s">
        <v>8559</v>
      </c>
      <c r="B81" s="7" t="s">
        <v>10503</v>
      </c>
      <c r="C81" s="5" t="s">
        <v>1067</v>
      </c>
      <c r="D81" s="1" t="s">
        <v>10778</v>
      </c>
      <c r="F81" s="5"/>
      <c r="G81" s="7">
        <v>33</v>
      </c>
      <c r="H81" s="5" t="s">
        <v>8535</v>
      </c>
      <c r="I81" s="5" t="str">
        <f t="shared" si="1"/>
        <v>fate802823</v>
      </c>
      <c r="J81" s="6" t="s">
        <v>8560</v>
      </c>
      <c r="K81" s="6">
        <v>28.5</v>
      </c>
      <c r="L81" s="6">
        <v>23</v>
      </c>
      <c r="M81" s="6">
        <v>536</v>
      </c>
      <c r="N81" s="6">
        <v>439</v>
      </c>
      <c r="O81" s="1" t="s">
        <v>11125</v>
      </c>
      <c r="P81" s="5" t="s">
        <v>8437</v>
      </c>
      <c r="Q81" s="5" t="s">
        <v>8438</v>
      </c>
      <c r="R81" s="5" t="s">
        <v>8439</v>
      </c>
      <c r="S81" s="5"/>
      <c r="T81" s="5"/>
    </row>
    <row r="82" spans="1:20" x14ac:dyDescent="0.25">
      <c r="A82" s="5" t="s">
        <v>8561</v>
      </c>
      <c r="B82" s="7" t="s">
        <v>8346</v>
      </c>
      <c r="C82" s="5" t="s">
        <v>1067</v>
      </c>
      <c r="D82" s="5"/>
      <c r="E82" s="5">
        <v>5</v>
      </c>
      <c r="F82" s="5">
        <v>1</v>
      </c>
      <c r="G82" s="7">
        <v>20</v>
      </c>
      <c r="H82" s="5" t="s">
        <v>8535</v>
      </c>
      <c r="I82" s="5" t="str">
        <f t="shared" si="1"/>
        <v>fate811124</v>
      </c>
      <c r="J82" s="6" t="s">
        <v>8541</v>
      </c>
      <c r="K82" s="6">
        <v>11.4</v>
      </c>
      <c r="L82" s="6">
        <v>24.2</v>
      </c>
      <c r="M82" s="6">
        <v>221</v>
      </c>
      <c r="N82" s="6">
        <v>459</v>
      </c>
      <c r="P82" s="5" t="s">
        <v>8536</v>
      </c>
      <c r="Q82" s="5" t="s">
        <v>8336</v>
      </c>
      <c r="R82" s="5" t="s">
        <v>8537</v>
      </c>
      <c r="S82" s="5"/>
      <c r="T82" s="5"/>
    </row>
    <row r="83" spans="1:20" x14ac:dyDescent="0.25">
      <c r="A83" s="5" t="s">
        <v>8563</v>
      </c>
      <c r="B83" s="7" t="s">
        <v>10503</v>
      </c>
      <c r="C83" s="5" t="s">
        <v>1067</v>
      </c>
      <c r="D83" s="1" t="s">
        <v>10773</v>
      </c>
      <c r="E83" s="5">
        <v>5</v>
      </c>
      <c r="F83" s="5">
        <v>2</v>
      </c>
      <c r="G83" s="7">
        <v>20</v>
      </c>
      <c r="H83" s="5" t="s">
        <v>8535</v>
      </c>
      <c r="I83" s="5" t="str">
        <f t="shared" si="1"/>
        <v>fate821124</v>
      </c>
      <c r="J83" s="6" t="s">
        <v>8539</v>
      </c>
      <c r="K83" s="6">
        <v>11.4</v>
      </c>
      <c r="L83" s="6">
        <v>24.2</v>
      </c>
      <c r="M83" s="6">
        <v>221</v>
      </c>
      <c r="N83" s="6">
        <v>459</v>
      </c>
      <c r="P83" s="5" t="s">
        <v>8536</v>
      </c>
      <c r="Q83" s="5" t="s">
        <v>8336</v>
      </c>
      <c r="R83" s="5" t="s">
        <v>8537</v>
      </c>
      <c r="S83" s="5"/>
      <c r="T83" s="5"/>
    </row>
    <row r="84" spans="1:20" x14ac:dyDescent="0.25">
      <c r="A84" s="5" t="s">
        <v>8565</v>
      </c>
      <c r="B84" s="7" t="s">
        <v>10503</v>
      </c>
      <c r="C84" s="5" t="s">
        <v>1067</v>
      </c>
      <c r="D84" s="1" t="s">
        <v>10772</v>
      </c>
      <c r="E84" s="5">
        <v>5</v>
      </c>
      <c r="F84" s="5">
        <v>3</v>
      </c>
      <c r="G84" s="7">
        <v>20</v>
      </c>
      <c r="H84" s="5" t="s">
        <v>8535</v>
      </c>
      <c r="I84" s="5" t="str">
        <f t="shared" si="1"/>
        <v>fate831124</v>
      </c>
      <c r="J84" s="6" t="s">
        <v>8534</v>
      </c>
      <c r="K84" s="6">
        <v>11.4</v>
      </c>
      <c r="L84" s="6">
        <v>24.2</v>
      </c>
      <c r="M84" s="6">
        <v>221</v>
      </c>
      <c r="N84" s="6">
        <v>459</v>
      </c>
      <c r="P84" s="5" t="s">
        <v>8536</v>
      </c>
      <c r="Q84" s="5" t="s">
        <v>8336</v>
      </c>
      <c r="R84" s="5" t="s">
        <v>8537</v>
      </c>
      <c r="S84" s="5"/>
      <c r="T84" s="5"/>
    </row>
    <row r="85" spans="1:20" x14ac:dyDescent="0.25">
      <c r="A85" s="5" t="s">
        <v>8568</v>
      </c>
      <c r="B85" s="7" t="s">
        <v>8310</v>
      </c>
      <c r="C85" s="5" t="s">
        <v>1067</v>
      </c>
      <c r="D85" s="5"/>
      <c r="F85" s="5"/>
      <c r="G85" s="7">
        <v>34</v>
      </c>
      <c r="H85" s="5" t="s">
        <v>8567</v>
      </c>
      <c r="I85" s="5" t="str">
        <f t="shared" si="1"/>
        <v>fate841815</v>
      </c>
      <c r="J85" s="6" t="s">
        <v>8569</v>
      </c>
      <c r="K85" s="6">
        <v>18.3</v>
      </c>
      <c r="L85" s="6">
        <v>15.7</v>
      </c>
      <c r="M85" s="6">
        <v>341</v>
      </c>
      <c r="N85" s="6">
        <v>286</v>
      </c>
      <c r="P85" s="5" t="s">
        <v>8457</v>
      </c>
      <c r="Q85" s="5" t="s">
        <v>8458</v>
      </c>
      <c r="R85" s="5" t="s">
        <v>8459</v>
      </c>
      <c r="S85" s="5"/>
      <c r="T85" s="5"/>
    </row>
    <row r="86" spans="1:20" x14ac:dyDescent="0.25">
      <c r="A86" s="5" t="s">
        <v>8570</v>
      </c>
      <c r="B86" s="7" t="s">
        <v>8310</v>
      </c>
      <c r="C86" s="5" t="s">
        <v>1067</v>
      </c>
      <c r="D86" s="5"/>
      <c r="F86" s="5"/>
      <c r="G86" s="7">
        <v>34</v>
      </c>
      <c r="H86" s="5" t="s">
        <v>8567</v>
      </c>
      <c r="I86" s="5" t="str">
        <f t="shared" si="1"/>
        <v>fate851716</v>
      </c>
      <c r="J86" s="6" t="s">
        <v>8575</v>
      </c>
      <c r="K86" s="6">
        <v>17.2</v>
      </c>
      <c r="L86" s="6">
        <v>16.3</v>
      </c>
      <c r="M86" s="6">
        <v>320</v>
      </c>
      <c r="N86" s="6">
        <v>298</v>
      </c>
      <c r="P86" s="5" t="s">
        <v>8457</v>
      </c>
      <c r="Q86" s="5" t="s">
        <v>8458</v>
      </c>
      <c r="R86" s="5" t="s">
        <v>8459</v>
      </c>
      <c r="S86" s="5"/>
      <c r="T86" s="5"/>
    </row>
    <row r="87" spans="1:20" x14ac:dyDescent="0.25">
      <c r="A87" s="5" t="s">
        <v>8572</v>
      </c>
      <c r="B87" s="7" t="s">
        <v>8310</v>
      </c>
      <c r="C87" s="5" t="s">
        <v>1067</v>
      </c>
      <c r="D87" s="5"/>
      <c r="F87" s="5"/>
      <c r="G87" s="7">
        <v>34</v>
      </c>
      <c r="H87" s="5" t="s">
        <v>8567</v>
      </c>
      <c r="I87" s="5" t="str">
        <f t="shared" si="1"/>
        <v>fate861511</v>
      </c>
      <c r="J87" s="6" t="s">
        <v>8577</v>
      </c>
      <c r="K87" s="6">
        <v>15.3</v>
      </c>
      <c r="L87" s="6">
        <v>11.3</v>
      </c>
      <c r="M87" s="6">
        <v>281</v>
      </c>
      <c r="N87" s="6">
        <v>197</v>
      </c>
      <c r="P87" s="5" t="s">
        <v>8457</v>
      </c>
      <c r="Q87" s="5" t="s">
        <v>8458</v>
      </c>
      <c r="R87" s="5" t="s">
        <v>8459</v>
      </c>
      <c r="S87" s="5"/>
      <c r="T87" s="5"/>
    </row>
    <row r="88" spans="1:20" x14ac:dyDescent="0.25">
      <c r="A88" s="5" t="s">
        <v>8574</v>
      </c>
      <c r="B88" s="7" t="s">
        <v>8310</v>
      </c>
      <c r="C88" s="5" t="s">
        <v>1067</v>
      </c>
      <c r="D88" s="5"/>
      <c r="F88" s="5"/>
      <c r="G88" s="7">
        <v>41</v>
      </c>
      <c r="H88" s="5" t="s">
        <v>8567</v>
      </c>
      <c r="I88" s="5" t="str">
        <f t="shared" si="1"/>
        <v>fate872116</v>
      </c>
      <c r="J88" s="6" t="s">
        <v>8585</v>
      </c>
      <c r="K88" s="6">
        <v>21</v>
      </c>
      <c r="L88" s="6">
        <v>16.2</v>
      </c>
      <c r="M88" s="6">
        <v>394</v>
      </c>
      <c r="N88" s="6">
        <v>300</v>
      </c>
      <c r="P88" s="5" t="s">
        <v>8581</v>
      </c>
      <c r="Q88" s="5" t="s">
        <v>8582</v>
      </c>
      <c r="R88" s="5" t="s">
        <v>8583</v>
      </c>
      <c r="S88" s="5"/>
      <c r="T88" s="5"/>
    </row>
    <row r="89" spans="1:20" x14ac:dyDescent="0.25">
      <c r="A89" s="5" t="s">
        <v>8576</v>
      </c>
      <c r="B89" s="7" t="s">
        <v>8346</v>
      </c>
      <c r="C89" s="5" t="s">
        <v>1067</v>
      </c>
      <c r="D89" s="5"/>
      <c r="F89" s="5"/>
      <c r="G89" s="7">
        <v>34</v>
      </c>
      <c r="H89" s="5" t="s">
        <v>8567</v>
      </c>
      <c r="I89" s="5" t="str">
        <f t="shared" si="1"/>
        <v>fate882217</v>
      </c>
      <c r="J89" s="6" t="s">
        <v>8573</v>
      </c>
      <c r="K89" s="6">
        <v>22.2</v>
      </c>
      <c r="L89" s="6">
        <v>17.5</v>
      </c>
      <c r="M89" s="6">
        <v>415</v>
      </c>
      <c r="N89" s="6">
        <v>318</v>
      </c>
      <c r="O89" s="1" t="s">
        <v>11137</v>
      </c>
      <c r="P89" s="5" t="s">
        <v>8457</v>
      </c>
      <c r="Q89" s="5" t="s">
        <v>8458</v>
      </c>
      <c r="R89" s="5" t="s">
        <v>8459</v>
      </c>
      <c r="S89" s="5"/>
      <c r="T89" s="5"/>
    </row>
    <row r="90" spans="1:20" x14ac:dyDescent="0.25">
      <c r="A90" s="5" t="s">
        <v>8578</v>
      </c>
      <c r="B90" s="7" t="s">
        <v>10503</v>
      </c>
      <c r="C90" s="5" t="s">
        <v>1067</v>
      </c>
      <c r="D90" s="1" t="s">
        <v>10779</v>
      </c>
      <c r="F90" s="5"/>
      <c r="G90" s="7">
        <v>30</v>
      </c>
      <c r="H90" s="5" t="s">
        <v>8567</v>
      </c>
      <c r="I90" s="5" t="str">
        <f t="shared" si="1"/>
        <v>fate891418</v>
      </c>
      <c r="J90" s="6" t="s">
        <v>8566</v>
      </c>
      <c r="K90" s="6">
        <v>14.7</v>
      </c>
      <c r="L90" s="6">
        <v>18.600000000000001</v>
      </c>
      <c r="M90" s="6">
        <v>270</v>
      </c>
      <c r="N90" s="6">
        <v>343</v>
      </c>
      <c r="P90" s="5" t="s">
        <v>8405</v>
      </c>
      <c r="Q90" s="5" t="s">
        <v>8406</v>
      </c>
      <c r="R90" s="5" t="s">
        <v>8407</v>
      </c>
      <c r="S90" s="5"/>
      <c r="T90" s="5"/>
    </row>
    <row r="91" spans="1:20" x14ac:dyDescent="0.25">
      <c r="A91" s="5" t="s">
        <v>8580</v>
      </c>
      <c r="B91" s="7" t="s">
        <v>10503</v>
      </c>
      <c r="C91" s="5" t="s">
        <v>1067</v>
      </c>
      <c r="D91" s="1" t="s">
        <v>10781</v>
      </c>
      <c r="F91" s="5"/>
      <c r="G91" s="7">
        <v>34</v>
      </c>
      <c r="H91" s="5" t="s">
        <v>8567</v>
      </c>
      <c r="I91" s="5" t="str">
        <f t="shared" si="1"/>
        <v>fate901415</v>
      </c>
      <c r="J91" s="6" t="s">
        <v>8571</v>
      </c>
      <c r="K91" s="6">
        <v>14.4</v>
      </c>
      <c r="L91" s="6">
        <v>15.4</v>
      </c>
      <c r="M91" s="6">
        <v>265</v>
      </c>
      <c r="N91" s="6">
        <v>285</v>
      </c>
      <c r="P91" s="5" t="s">
        <v>8457</v>
      </c>
      <c r="Q91" s="5" t="s">
        <v>8458</v>
      </c>
      <c r="R91" s="5" t="s">
        <v>8459</v>
      </c>
      <c r="S91" s="5"/>
      <c r="T91" s="5"/>
    </row>
    <row r="92" spans="1:20" x14ac:dyDescent="0.25">
      <c r="A92" s="5" t="s">
        <v>8584</v>
      </c>
      <c r="B92" s="7" t="s">
        <v>10503</v>
      </c>
      <c r="C92" s="5" t="s">
        <v>1067</v>
      </c>
      <c r="D92" s="1" t="s">
        <v>10780</v>
      </c>
      <c r="F92" s="5"/>
      <c r="G92" s="7">
        <v>34</v>
      </c>
      <c r="H92" s="5" t="s">
        <v>8567</v>
      </c>
      <c r="I92" s="5" t="str">
        <f t="shared" si="1"/>
        <v>fate911615</v>
      </c>
      <c r="J92" s="6" t="s">
        <v>8579</v>
      </c>
      <c r="K92" s="6">
        <v>16</v>
      </c>
      <c r="L92" s="6">
        <v>15.2</v>
      </c>
      <c r="M92" s="6">
        <v>293</v>
      </c>
      <c r="N92" s="6">
        <v>274</v>
      </c>
      <c r="P92" s="5" t="s">
        <v>8457</v>
      </c>
      <c r="Q92" s="5" t="s">
        <v>8458</v>
      </c>
      <c r="R92" s="5" t="s">
        <v>8459</v>
      </c>
      <c r="S92" s="5"/>
      <c r="T92" s="5"/>
    </row>
    <row r="93" spans="1:20" x14ac:dyDescent="0.25">
      <c r="A93" s="5" t="s">
        <v>8586</v>
      </c>
      <c r="B93" s="7" t="s">
        <v>10503</v>
      </c>
      <c r="C93" s="5" t="s">
        <v>1067</v>
      </c>
      <c r="D93" s="1" t="s">
        <v>10782</v>
      </c>
      <c r="F93" s="5"/>
      <c r="G93" s="7">
        <v>41</v>
      </c>
      <c r="H93" s="5" t="s">
        <v>8567</v>
      </c>
      <c r="I93" s="5" t="str">
        <f t="shared" si="1"/>
        <v>fate922516</v>
      </c>
      <c r="J93" s="6" t="s">
        <v>1754</v>
      </c>
      <c r="K93" s="6">
        <v>25.2</v>
      </c>
      <c r="L93" s="6">
        <v>16.399999999999999</v>
      </c>
      <c r="M93" s="6">
        <v>472</v>
      </c>
      <c r="N93" s="6">
        <v>300</v>
      </c>
      <c r="O93" s="1" t="s">
        <v>11136</v>
      </c>
      <c r="P93" s="5" t="s">
        <v>8581</v>
      </c>
      <c r="Q93" s="5" t="s">
        <v>8582</v>
      </c>
      <c r="R93" s="5" t="s">
        <v>8583</v>
      </c>
      <c r="S93" s="5"/>
      <c r="T93" s="5"/>
    </row>
    <row r="94" spans="1:20" x14ac:dyDescent="0.25">
      <c r="A94" s="5" t="s">
        <v>8588</v>
      </c>
      <c r="B94" s="7" t="s">
        <v>10503</v>
      </c>
      <c r="C94" s="5" t="s">
        <v>1067</v>
      </c>
      <c r="D94" s="1" t="s">
        <v>10783</v>
      </c>
      <c r="F94" s="5"/>
      <c r="G94" s="7">
        <v>41</v>
      </c>
      <c r="H94" s="5" t="s">
        <v>8567</v>
      </c>
      <c r="I94" s="5" t="str">
        <f t="shared" si="1"/>
        <v>fate932517</v>
      </c>
      <c r="J94" s="6" t="s">
        <v>8587</v>
      </c>
      <c r="K94" s="6">
        <v>25.1</v>
      </c>
      <c r="L94" s="6">
        <v>17.8</v>
      </c>
      <c r="M94" s="6">
        <v>472</v>
      </c>
      <c r="N94" s="6">
        <v>335</v>
      </c>
      <c r="P94" s="5" t="s">
        <v>8581</v>
      </c>
      <c r="Q94" s="5" t="s">
        <v>8582</v>
      </c>
      <c r="R94" s="5" t="s">
        <v>8583</v>
      </c>
      <c r="S94" s="5"/>
      <c r="T94" s="5"/>
    </row>
    <row r="95" spans="1:20" x14ac:dyDescent="0.25">
      <c r="A95" s="5" t="s">
        <v>8590</v>
      </c>
      <c r="B95" s="7" t="s">
        <v>10503</v>
      </c>
      <c r="C95" s="5" t="s">
        <v>1067</v>
      </c>
      <c r="D95" s="1" t="s">
        <v>10784</v>
      </c>
      <c r="F95" s="5"/>
      <c r="G95" s="7">
        <v>44</v>
      </c>
      <c r="H95" s="5" t="s">
        <v>8567</v>
      </c>
      <c r="I95" s="5" t="str">
        <f t="shared" si="1"/>
        <v>fate942312</v>
      </c>
      <c r="J95" s="6" t="s">
        <v>8589</v>
      </c>
      <c r="K95" s="6">
        <v>23.1</v>
      </c>
      <c r="L95" s="6">
        <v>12.1</v>
      </c>
      <c r="M95" s="6">
        <v>434</v>
      </c>
      <c r="N95" s="6">
        <v>221</v>
      </c>
      <c r="P95" s="5" t="s">
        <v>8505</v>
      </c>
      <c r="Q95" s="5" t="s">
        <v>8506</v>
      </c>
      <c r="R95" s="5" t="s">
        <v>8507</v>
      </c>
      <c r="S95" s="5"/>
      <c r="T95" s="5"/>
    </row>
    <row r="96" spans="1:20" x14ac:dyDescent="0.25">
      <c r="A96" s="5" t="s">
        <v>8595</v>
      </c>
      <c r="B96" s="7" t="s">
        <v>10503</v>
      </c>
      <c r="C96" s="5" t="s">
        <v>1067</v>
      </c>
      <c r="D96" s="1" t="s">
        <v>10786</v>
      </c>
      <c r="F96" s="5"/>
      <c r="G96" s="7">
        <v>47</v>
      </c>
      <c r="H96" s="5" t="s">
        <v>8567</v>
      </c>
      <c r="I96" s="5" t="str">
        <f t="shared" si="1"/>
        <v>fate952211</v>
      </c>
      <c r="J96" s="6" t="s">
        <v>8591</v>
      </c>
      <c r="K96" s="6">
        <v>22.9</v>
      </c>
      <c r="L96" s="6">
        <v>11.2</v>
      </c>
      <c r="M96" s="6">
        <v>429</v>
      </c>
      <c r="N96" s="6">
        <v>200</v>
      </c>
      <c r="P96" s="5" t="s">
        <v>8592</v>
      </c>
      <c r="Q96" s="5" t="s">
        <v>8593</v>
      </c>
      <c r="R96" s="5" t="s">
        <v>8594</v>
      </c>
      <c r="S96" s="5"/>
      <c r="T96" s="5"/>
    </row>
    <row r="97" spans="1:20" x14ac:dyDescent="0.25">
      <c r="A97" s="5" t="s">
        <v>8597</v>
      </c>
      <c r="B97" s="7" t="s">
        <v>10503</v>
      </c>
      <c r="C97" s="5" t="s">
        <v>1067</v>
      </c>
      <c r="D97" s="1" t="s">
        <v>10785</v>
      </c>
      <c r="F97" s="5"/>
      <c r="G97" s="7">
        <v>47</v>
      </c>
      <c r="H97" s="5" t="s">
        <v>8567</v>
      </c>
      <c r="I97" s="5" t="str">
        <f t="shared" si="1"/>
        <v>fate962159</v>
      </c>
      <c r="J97" s="6" t="s">
        <v>8596</v>
      </c>
      <c r="K97" s="6">
        <v>21.9</v>
      </c>
      <c r="L97" s="6">
        <v>5.9</v>
      </c>
      <c r="M97" s="6">
        <v>410</v>
      </c>
      <c r="N97" s="6">
        <v>95</v>
      </c>
      <c r="P97" s="5" t="s">
        <v>8592</v>
      </c>
      <c r="Q97" s="5" t="s">
        <v>8593</v>
      </c>
      <c r="R97" s="5" t="s">
        <v>8594</v>
      </c>
      <c r="S97" s="5"/>
      <c r="T97" s="5"/>
    </row>
    <row r="98" spans="1:20" x14ac:dyDescent="0.25">
      <c r="A98" s="5" t="s">
        <v>8599</v>
      </c>
      <c r="B98" s="7" t="s">
        <v>10503</v>
      </c>
      <c r="C98" s="5" t="s">
        <v>1067</v>
      </c>
      <c r="D98" s="1" t="s">
        <v>10787</v>
      </c>
      <c r="F98" s="5"/>
      <c r="G98" s="7">
        <v>49</v>
      </c>
      <c r="H98" s="5" t="s">
        <v>8567</v>
      </c>
      <c r="I98" s="5" t="str">
        <f t="shared" si="1"/>
        <v>fate972464</v>
      </c>
      <c r="J98" s="6" t="s">
        <v>8598</v>
      </c>
      <c r="K98" s="6">
        <v>24.3</v>
      </c>
      <c r="L98" s="6">
        <v>6.4</v>
      </c>
      <c r="M98" s="6">
        <v>457</v>
      </c>
      <c r="N98" s="6">
        <v>105</v>
      </c>
      <c r="P98" s="5" t="s">
        <v>8525</v>
      </c>
      <c r="Q98" s="5" t="s">
        <v>8526</v>
      </c>
      <c r="R98" s="5" t="s">
        <v>8527</v>
      </c>
      <c r="S98" s="5"/>
      <c r="T98" s="5"/>
    </row>
    <row r="99" spans="1:20" x14ac:dyDescent="0.25">
      <c r="A99" s="5" t="s">
        <v>8602</v>
      </c>
      <c r="B99" s="7" t="s">
        <v>8310</v>
      </c>
      <c r="C99" s="5" t="s">
        <v>1067</v>
      </c>
      <c r="D99" s="5"/>
      <c r="F99" s="5"/>
      <c r="G99" s="7">
        <v>4</v>
      </c>
      <c r="H99" s="5" t="s">
        <v>8601</v>
      </c>
      <c r="I99" s="5" t="str">
        <f t="shared" si="1"/>
        <v>fate982518</v>
      </c>
      <c r="J99" s="6" t="s">
        <v>8600</v>
      </c>
      <c r="K99" s="6">
        <v>25.3</v>
      </c>
      <c r="L99" s="6">
        <v>18.600000000000001</v>
      </c>
      <c r="M99" s="6">
        <v>473</v>
      </c>
      <c r="N99" s="6">
        <v>341</v>
      </c>
      <c r="P99" s="5" t="s">
        <v>8317</v>
      </c>
      <c r="Q99" s="5" t="s">
        <v>8318</v>
      </c>
      <c r="R99" s="5" t="s">
        <v>8319</v>
      </c>
      <c r="S99" s="5"/>
      <c r="T99" s="5"/>
    </row>
    <row r="100" spans="1:20" x14ac:dyDescent="0.25">
      <c r="A100" s="5" t="s">
        <v>8604</v>
      </c>
      <c r="B100" s="7" t="s">
        <v>8310</v>
      </c>
      <c r="C100" s="5" t="s">
        <v>1067</v>
      </c>
      <c r="D100" s="5"/>
      <c r="F100" s="5"/>
      <c r="G100" s="7">
        <v>5</v>
      </c>
      <c r="H100" s="5" t="s">
        <v>8601</v>
      </c>
      <c r="I100" s="5" t="str">
        <f t="shared" si="1"/>
        <v>fate992618</v>
      </c>
      <c r="J100" s="6" t="s">
        <v>8603</v>
      </c>
      <c r="K100" s="6">
        <v>26</v>
      </c>
      <c r="L100" s="6">
        <v>18.899999999999999</v>
      </c>
      <c r="M100" s="6">
        <v>487</v>
      </c>
      <c r="N100" s="6">
        <v>346</v>
      </c>
      <c r="P100" s="5" t="s">
        <v>8322</v>
      </c>
      <c r="Q100" s="5" t="s">
        <v>8323</v>
      </c>
      <c r="R100" s="5" t="s">
        <v>8324</v>
      </c>
      <c r="S100" s="5"/>
      <c r="T100" s="5"/>
    </row>
    <row r="101" spans="1:20" x14ac:dyDescent="0.25">
      <c r="A101" s="5" t="s">
        <v>8606</v>
      </c>
      <c r="B101" s="7" t="s">
        <v>8310</v>
      </c>
      <c r="C101" s="5" t="s">
        <v>1067</v>
      </c>
      <c r="D101" s="5"/>
      <c r="F101" s="5"/>
      <c r="G101" s="7">
        <v>7</v>
      </c>
      <c r="H101" s="5" t="s">
        <v>8601</v>
      </c>
      <c r="I101" s="5" t="str">
        <f t="shared" si="1"/>
        <v>fate1002921</v>
      </c>
      <c r="J101" s="6" t="s">
        <v>8607</v>
      </c>
      <c r="K101" s="6">
        <v>29.1</v>
      </c>
      <c r="L101" s="6">
        <v>21.7</v>
      </c>
      <c r="M101" s="6">
        <v>551</v>
      </c>
      <c r="N101" s="6">
        <v>402</v>
      </c>
      <c r="P101" s="5" t="s">
        <v>8334</v>
      </c>
      <c r="Q101" s="5" t="s">
        <v>8335</v>
      </c>
      <c r="R101" s="5" t="s">
        <v>8336</v>
      </c>
      <c r="S101" s="5"/>
      <c r="T101" s="5"/>
    </row>
    <row r="102" spans="1:20" x14ac:dyDescent="0.25">
      <c r="A102" s="5" t="s">
        <v>8608</v>
      </c>
      <c r="B102" s="7" t="s">
        <v>8310</v>
      </c>
      <c r="C102" s="5" t="s">
        <v>1067</v>
      </c>
      <c r="D102" s="5"/>
      <c r="F102" s="5"/>
      <c r="G102" s="7">
        <v>8</v>
      </c>
      <c r="H102" s="5" t="s">
        <v>8601</v>
      </c>
      <c r="I102" s="5" t="str">
        <f t="shared" si="1"/>
        <v>fate1013023</v>
      </c>
      <c r="J102" s="6" t="s">
        <v>367</v>
      </c>
      <c r="K102" s="6">
        <v>30</v>
      </c>
      <c r="L102" s="6">
        <v>23.5</v>
      </c>
      <c r="M102" s="6">
        <v>566</v>
      </c>
      <c r="N102" s="6">
        <v>437</v>
      </c>
      <c r="P102" s="5" t="s">
        <v>8341</v>
      </c>
      <c r="Q102" s="5" t="s">
        <v>8342</v>
      </c>
      <c r="R102" s="5" t="s">
        <v>8343</v>
      </c>
      <c r="S102" s="5"/>
      <c r="T102" s="5"/>
    </row>
    <row r="103" spans="1:20" x14ac:dyDescent="0.25">
      <c r="A103" s="5" t="s">
        <v>8609</v>
      </c>
      <c r="B103" s="7" t="s">
        <v>8310</v>
      </c>
      <c r="C103" s="5" t="s">
        <v>1067</v>
      </c>
      <c r="D103" s="5"/>
      <c r="F103" s="5"/>
      <c r="G103" s="7">
        <v>10</v>
      </c>
      <c r="H103" s="5" t="s">
        <v>8601</v>
      </c>
      <c r="I103" s="5" t="str">
        <f t="shared" si="1"/>
        <v>fate1021819</v>
      </c>
      <c r="J103" s="6" t="s">
        <v>8616</v>
      </c>
      <c r="K103" s="6">
        <v>18.3</v>
      </c>
      <c r="L103" s="6">
        <v>19.7</v>
      </c>
      <c r="M103" s="6">
        <v>343</v>
      </c>
      <c r="N103" s="6">
        <v>359</v>
      </c>
      <c r="P103" s="5" t="s">
        <v>8352</v>
      </c>
      <c r="Q103" s="5" t="s">
        <v>8353</v>
      </c>
      <c r="R103" s="5" t="s">
        <v>8354</v>
      </c>
      <c r="S103" s="5"/>
      <c r="T103" s="5"/>
    </row>
    <row r="104" spans="1:20" x14ac:dyDescent="0.25">
      <c r="A104" s="5" t="s">
        <v>8611</v>
      </c>
      <c r="B104" s="7" t="s">
        <v>8310</v>
      </c>
      <c r="C104" s="5" t="s">
        <v>1067</v>
      </c>
      <c r="D104" s="5"/>
      <c r="F104" s="5"/>
      <c r="G104" s="7">
        <v>10</v>
      </c>
      <c r="H104" s="5" t="s">
        <v>8601</v>
      </c>
      <c r="I104" s="5" t="str">
        <f t="shared" si="1"/>
        <v>fate1032724</v>
      </c>
      <c r="J104" s="6" t="s">
        <v>8618</v>
      </c>
      <c r="K104" s="6">
        <v>27.8</v>
      </c>
      <c r="L104" s="6">
        <v>24</v>
      </c>
      <c r="M104" s="6">
        <v>522</v>
      </c>
      <c r="N104" s="6">
        <v>444</v>
      </c>
      <c r="P104" s="5" t="s">
        <v>8352</v>
      </c>
      <c r="Q104" s="5" t="s">
        <v>8353</v>
      </c>
      <c r="R104" s="5" t="s">
        <v>8354</v>
      </c>
      <c r="S104" s="5"/>
      <c r="T104" s="5"/>
    </row>
    <row r="105" spans="1:20" x14ac:dyDescent="0.25">
      <c r="A105" s="5" t="s">
        <v>8613</v>
      </c>
      <c r="B105" s="7" t="s">
        <v>8310</v>
      </c>
      <c r="C105" s="5" t="s">
        <v>1067</v>
      </c>
      <c r="D105" s="5"/>
      <c r="F105" s="5"/>
      <c r="G105" s="7">
        <v>11</v>
      </c>
      <c r="H105" s="5" t="s">
        <v>8601</v>
      </c>
      <c r="I105" s="5" t="str">
        <f t="shared" si="1"/>
        <v>fate1042226</v>
      </c>
      <c r="J105" s="6" t="s">
        <v>8620</v>
      </c>
      <c r="K105" s="6">
        <v>22.4</v>
      </c>
      <c r="L105" s="6">
        <v>26.1</v>
      </c>
      <c r="M105" s="6">
        <v>417</v>
      </c>
      <c r="N105" s="6">
        <v>490</v>
      </c>
      <c r="P105" s="5" t="s">
        <v>8396</v>
      </c>
      <c r="Q105" s="5" t="s">
        <v>8397</v>
      </c>
      <c r="R105" s="5" t="s">
        <v>8398</v>
      </c>
      <c r="S105" s="5"/>
      <c r="T105" s="5"/>
    </row>
    <row r="106" spans="1:20" x14ac:dyDescent="0.25">
      <c r="A106" s="5" t="s">
        <v>8615</v>
      </c>
      <c r="B106" s="7" t="s">
        <v>8310</v>
      </c>
      <c r="C106" s="5" t="s">
        <v>1067</v>
      </c>
      <c r="D106" s="5"/>
      <c r="F106" s="5"/>
      <c r="G106" s="7">
        <v>11</v>
      </c>
      <c r="H106" s="5" t="s">
        <v>8601</v>
      </c>
      <c r="I106" s="5" t="str">
        <f t="shared" si="1"/>
        <v>fate1052729</v>
      </c>
      <c r="J106" s="6" t="s">
        <v>8622</v>
      </c>
      <c r="K106" s="6">
        <v>27.4</v>
      </c>
      <c r="L106" s="6">
        <v>29.3</v>
      </c>
      <c r="M106" s="6">
        <v>515</v>
      </c>
      <c r="N106" s="6">
        <v>553</v>
      </c>
      <c r="P106" s="5" t="s">
        <v>8396</v>
      </c>
      <c r="Q106" s="5" t="s">
        <v>8397</v>
      </c>
      <c r="R106" s="5" t="s">
        <v>8398</v>
      </c>
      <c r="S106" s="5"/>
      <c r="T106" s="5"/>
    </row>
    <row r="107" spans="1:20" x14ac:dyDescent="0.25">
      <c r="A107" s="5" t="s">
        <v>8617</v>
      </c>
      <c r="B107" s="7" t="s">
        <v>8310</v>
      </c>
      <c r="C107" s="5" t="s">
        <v>1067</v>
      </c>
      <c r="D107" s="5"/>
      <c r="F107" s="5"/>
      <c r="G107" s="7">
        <v>12</v>
      </c>
      <c r="H107" s="5" t="s">
        <v>8601</v>
      </c>
      <c r="I107" s="5" t="str">
        <f t="shared" si="1"/>
        <v>fate1061827</v>
      </c>
      <c r="J107" s="6" t="s">
        <v>8624</v>
      </c>
      <c r="K107" s="6">
        <v>18.7</v>
      </c>
      <c r="L107" s="6">
        <v>27.4</v>
      </c>
      <c r="M107" s="6">
        <v>345</v>
      </c>
      <c r="N107" s="6">
        <v>510</v>
      </c>
      <c r="P107" s="5" t="s">
        <v>8357</v>
      </c>
      <c r="Q107" s="5" t="s">
        <v>8358</v>
      </c>
      <c r="R107" s="5" t="s">
        <v>8359</v>
      </c>
      <c r="S107" s="5"/>
      <c r="T107" s="5"/>
    </row>
    <row r="108" spans="1:20" x14ac:dyDescent="0.25">
      <c r="A108" s="5" t="s">
        <v>8619</v>
      </c>
      <c r="B108" s="7" t="s">
        <v>8310</v>
      </c>
      <c r="C108" s="5" t="s">
        <v>1067</v>
      </c>
      <c r="D108" s="5"/>
      <c r="F108" s="5"/>
      <c r="G108" s="7">
        <v>31</v>
      </c>
      <c r="H108" s="5" t="s">
        <v>8601</v>
      </c>
      <c r="I108" s="5" t="str">
        <f t="shared" si="1"/>
        <v>fate1071220</v>
      </c>
      <c r="J108" s="6" t="s">
        <v>8634</v>
      </c>
      <c r="K108" s="6">
        <v>12.8</v>
      </c>
      <c r="L108" s="6">
        <v>20.2</v>
      </c>
      <c r="M108" s="6">
        <v>235</v>
      </c>
      <c r="N108" s="6">
        <v>371</v>
      </c>
      <c r="P108" s="5" t="s">
        <v>8412</v>
      </c>
      <c r="Q108" s="5" t="s">
        <v>8413</v>
      </c>
      <c r="R108" s="5" t="s">
        <v>8414</v>
      </c>
      <c r="S108" s="5"/>
      <c r="T108" s="5"/>
    </row>
    <row r="109" spans="1:20" x14ac:dyDescent="0.25">
      <c r="A109" s="5" t="s">
        <v>8621</v>
      </c>
      <c r="B109" s="7" t="s">
        <v>8310</v>
      </c>
      <c r="C109" s="5" t="s">
        <v>1067</v>
      </c>
      <c r="D109" s="5"/>
      <c r="F109" s="5"/>
      <c r="G109" s="7">
        <v>31</v>
      </c>
      <c r="H109" s="5" t="s">
        <v>8601</v>
      </c>
      <c r="I109" s="5" t="str">
        <f t="shared" si="1"/>
        <v>fate1081417</v>
      </c>
      <c r="J109" s="6" t="s">
        <v>8636</v>
      </c>
      <c r="K109" s="6">
        <v>14.9</v>
      </c>
      <c r="L109" s="6">
        <v>17.7</v>
      </c>
      <c r="M109" s="6">
        <v>272</v>
      </c>
      <c r="N109" s="6">
        <v>321</v>
      </c>
      <c r="O109" s="1" t="s">
        <v>11163</v>
      </c>
      <c r="P109" s="5" t="s">
        <v>8412</v>
      </c>
      <c r="Q109" s="5" t="s">
        <v>8413</v>
      </c>
      <c r="R109" s="5" t="s">
        <v>8414</v>
      </c>
      <c r="S109" s="5"/>
      <c r="T109" s="5"/>
    </row>
    <row r="110" spans="1:20" x14ac:dyDescent="0.25">
      <c r="A110" s="5" t="s">
        <v>8623</v>
      </c>
      <c r="B110" s="7" t="s">
        <v>8346</v>
      </c>
      <c r="C110" s="5" t="s">
        <v>1067</v>
      </c>
      <c r="D110" s="5"/>
      <c r="F110" s="5"/>
      <c r="G110" s="7">
        <v>31</v>
      </c>
      <c r="H110" s="5" t="s">
        <v>8601</v>
      </c>
      <c r="I110" s="5" t="str">
        <f t="shared" si="1"/>
        <v>fate1091122</v>
      </c>
      <c r="J110" s="6" t="s">
        <v>11154</v>
      </c>
      <c r="K110" s="6">
        <v>11.4</v>
      </c>
      <c r="L110" s="6">
        <v>22.8</v>
      </c>
      <c r="M110" s="6">
        <v>204</v>
      </c>
      <c r="N110" s="6">
        <v>425</v>
      </c>
      <c r="P110" s="5" t="s">
        <v>8412</v>
      </c>
      <c r="Q110" s="5" t="s">
        <v>8413</v>
      </c>
      <c r="R110" s="5" t="s">
        <v>8414</v>
      </c>
      <c r="S110" s="5"/>
      <c r="T110" s="5"/>
    </row>
    <row r="111" spans="1:20" x14ac:dyDescent="0.25">
      <c r="A111" s="5" t="s">
        <v>8625</v>
      </c>
      <c r="B111" s="7" t="s">
        <v>8346</v>
      </c>
      <c r="C111" s="5" t="s">
        <v>1067</v>
      </c>
      <c r="D111" s="5"/>
      <c r="F111" s="5"/>
      <c r="G111" s="7">
        <v>5</v>
      </c>
      <c r="H111" s="5" t="s">
        <v>8601</v>
      </c>
      <c r="I111" s="5" t="str">
        <f t="shared" si="1"/>
        <v>fate1102419</v>
      </c>
      <c r="J111" s="6" t="s">
        <v>8605</v>
      </c>
      <c r="K111" s="6">
        <v>24</v>
      </c>
      <c r="L111" s="6">
        <v>19.8</v>
      </c>
      <c r="M111" s="6">
        <v>449</v>
      </c>
      <c r="N111" s="6">
        <v>362</v>
      </c>
      <c r="O111" s="1" t="s">
        <v>11152</v>
      </c>
      <c r="P111" s="5" t="s">
        <v>8322</v>
      </c>
      <c r="Q111" s="5" t="s">
        <v>8323</v>
      </c>
      <c r="R111" s="5" t="s">
        <v>8324</v>
      </c>
      <c r="S111" s="5"/>
      <c r="T111" s="5"/>
    </row>
    <row r="112" spans="1:20" x14ac:dyDescent="0.25">
      <c r="A112" s="5" t="s">
        <v>8627</v>
      </c>
      <c r="B112" s="7" t="s">
        <v>8424</v>
      </c>
      <c r="C112" s="5" t="s">
        <v>1067</v>
      </c>
      <c r="D112" s="5"/>
      <c r="F112" s="5"/>
      <c r="G112" s="7">
        <v>30</v>
      </c>
      <c r="H112" s="5" t="s">
        <v>8601</v>
      </c>
      <c r="I112" s="5" t="str">
        <f t="shared" si="1"/>
        <v>fate1111521</v>
      </c>
      <c r="J112" s="6" t="s">
        <v>8630</v>
      </c>
      <c r="K112" s="6">
        <v>15.1</v>
      </c>
      <c r="L112" s="6">
        <v>21.4</v>
      </c>
      <c r="M112" s="6">
        <v>286</v>
      </c>
      <c r="N112" s="6">
        <v>384</v>
      </c>
      <c r="O112" s="1" t="s">
        <v>11153</v>
      </c>
      <c r="P112" s="5" t="s">
        <v>8405</v>
      </c>
      <c r="Q112" s="5" t="s">
        <v>8406</v>
      </c>
      <c r="R112" s="5" t="s">
        <v>8407</v>
      </c>
      <c r="S112" s="5"/>
      <c r="T112" s="5"/>
    </row>
    <row r="113" spans="1:22" x14ac:dyDescent="0.25">
      <c r="A113" s="5" t="s">
        <v>8629</v>
      </c>
      <c r="B113" s="7" t="s">
        <v>8424</v>
      </c>
      <c r="C113" s="5" t="s">
        <v>1067</v>
      </c>
      <c r="D113" s="5"/>
      <c r="F113" s="5"/>
      <c r="G113" s="7">
        <v>33</v>
      </c>
      <c r="H113" s="5" t="s">
        <v>8601</v>
      </c>
      <c r="I113" s="5" t="str">
        <f t="shared" si="1"/>
        <v>fate1121116</v>
      </c>
      <c r="J113" s="6" t="s">
        <v>8638</v>
      </c>
      <c r="K113" s="6">
        <v>11.7</v>
      </c>
      <c r="L113" s="6">
        <v>16.5</v>
      </c>
      <c r="M113" s="6">
        <v>210</v>
      </c>
      <c r="N113" s="6">
        <v>300</v>
      </c>
      <c r="O113" s="1" t="s">
        <v>11165</v>
      </c>
      <c r="P113" s="5" t="s">
        <v>8437</v>
      </c>
      <c r="Q113" s="5" t="s">
        <v>8438</v>
      </c>
      <c r="R113" s="5" t="s">
        <v>8439</v>
      </c>
      <c r="S113" s="5"/>
      <c r="T113" s="5"/>
    </row>
    <row r="114" spans="1:22" x14ac:dyDescent="0.25">
      <c r="A114" s="5" t="s">
        <v>8631</v>
      </c>
      <c r="B114" s="7" t="s">
        <v>10503</v>
      </c>
      <c r="C114" s="5" t="s">
        <v>1067</v>
      </c>
      <c r="D114" s="1" t="s">
        <v>10788</v>
      </c>
      <c r="F114" s="5"/>
      <c r="G114" s="7">
        <v>8</v>
      </c>
      <c r="H114" s="5" t="s">
        <v>8601</v>
      </c>
      <c r="I114" s="5" t="str">
        <f t="shared" si="1"/>
        <v>fate1132323</v>
      </c>
      <c r="J114" s="6" t="s">
        <v>8610</v>
      </c>
      <c r="K114" s="6">
        <v>23.7</v>
      </c>
      <c r="L114" s="6">
        <v>23.9</v>
      </c>
      <c r="M114" s="6">
        <v>443</v>
      </c>
      <c r="N114" s="6">
        <v>445</v>
      </c>
      <c r="P114" s="5" t="s">
        <v>8341</v>
      </c>
      <c r="Q114" s="5" t="s">
        <v>8342</v>
      </c>
      <c r="R114" s="5" t="s">
        <v>8343</v>
      </c>
      <c r="S114" s="5"/>
      <c r="T114" s="5"/>
    </row>
    <row r="115" spans="1:22" x14ac:dyDescent="0.25">
      <c r="A115" s="5" t="s">
        <v>8633</v>
      </c>
      <c r="B115" s="7" t="s">
        <v>10503</v>
      </c>
      <c r="C115" s="5" t="s">
        <v>1067</v>
      </c>
      <c r="D115" s="1" t="s">
        <v>10789</v>
      </c>
      <c r="F115" s="5"/>
      <c r="G115" s="7">
        <v>9</v>
      </c>
      <c r="H115" s="5" t="s">
        <v>8601</v>
      </c>
      <c r="I115" s="5" t="str">
        <f t="shared" si="1"/>
        <v>fate1143121</v>
      </c>
      <c r="J115" s="6" t="s">
        <v>8612</v>
      </c>
      <c r="K115" s="6">
        <v>31.5</v>
      </c>
      <c r="L115" s="6">
        <v>21</v>
      </c>
      <c r="M115" s="6">
        <v>591</v>
      </c>
      <c r="N115" s="6">
        <v>388</v>
      </c>
      <c r="P115" s="5" t="s">
        <v>8347</v>
      </c>
      <c r="Q115" s="5" t="s">
        <v>8348</v>
      </c>
      <c r="R115" s="5" t="s">
        <v>8349</v>
      </c>
      <c r="S115" s="5"/>
      <c r="T115" s="5"/>
    </row>
    <row r="116" spans="1:22" x14ac:dyDescent="0.25">
      <c r="A116" s="5" t="s">
        <v>8635</v>
      </c>
      <c r="B116" s="7" t="s">
        <v>10503</v>
      </c>
      <c r="C116" s="5" t="s">
        <v>1067</v>
      </c>
      <c r="D116" s="1" t="s">
        <v>10790</v>
      </c>
      <c r="F116" s="5"/>
      <c r="G116" s="7">
        <v>9</v>
      </c>
      <c r="H116" s="5" t="s">
        <v>8601</v>
      </c>
      <c r="I116" s="5" t="str">
        <f t="shared" si="1"/>
        <v>fate1152525</v>
      </c>
      <c r="J116" s="6" t="s">
        <v>8614</v>
      </c>
      <c r="K116" s="6">
        <v>25.9</v>
      </c>
      <c r="L116" s="6">
        <v>25.3</v>
      </c>
      <c r="M116" s="6">
        <v>488</v>
      </c>
      <c r="N116" s="6">
        <v>472</v>
      </c>
      <c r="P116" s="5" t="s">
        <v>8347</v>
      </c>
      <c r="Q116" s="5" t="s">
        <v>8348</v>
      </c>
      <c r="R116" s="5" t="s">
        <v>8349</v>
      </c>
      <c r="S116" s="5"/>
      <c r="T116" s="5"/>
    </row>
    <row r="117" spans="1:22" x14ac:dyDescent="0.25">
      <c r="A117" s="5" t="s">
        <v>8637</v>
      </c>
      <c r="B117" s="7" t="s">
        <v>10503</v>
      </c>
      <c r="C117" s="5" t="s">
        <v>1067</v>
      </c>
      <c r="D117" s="1" t="s">
        <v>10791</v>
      </c>
      <c r="F117" s="5"/>
      <c r="G117" s="7">
        <v>13</v>
      </c>
      <c r="H117" s="5" t="s">
        <v>8601</v>
      </c>
      <c r="I117" s="5" t="str">
        <f t="shared" si="1"/>
        <v>fate1162030</v>
      </c>
      <c r="J117" s="6" t="s">
        <v>8626</v>
      </c>
      <c r="K117" s="6">
        <v>20.3</v>
      </c>
      <c r="L117" s="6">
        <v>30.8</v>
      </c>
      <c r="M117" s="6">
        <v>378</v>
      </c>
      <c r="N117" s="6">
        <v>578</v>
      </c>
      <c r="P117" s="5" t="s">
        <v>8362</v>
      </c>
      <c r="Q117" s="5" t="s">
        <v>8363</v>
      </c>
      <c r="R117" s="5" t="s">
        <v>8364</v>
      </c>
      <c r="S117" s="5"/>
      <c r="T117" s="5"/>
    </row>
    <row r="118" spans="1:22" x14ac:dyDescent="0.25">
      <c r="A118" s="5" t="s">
        <v>8639</v>
      </c>
      <c r="B118" s="7" t="s">
        <v>10503</v>
      </c>
      <c r="C118" s="5" t="s">
        <v>1067</v>
      </c>
      <c r="D118" s="1" t="s">
        <v>10792</v>
      </c>
      <c r="F118" s="5"/>
      <c r="G118" s="7">
        <v>14</v>
      </c>
      <c r="H118" s="5" t="s">
        <v>8601</v>
      </c>
      <c r="I118" s="5" t="str">
        <f t="shared" si="1"/>
        <v>fate1171425</v>
      </c>
      <c r="J118" s="6" t="s">
        <v>8628</v>
      </c>
      <c r="K118" s="6">
        <v>14.7</v>
      </c>
      <c r="L118" s="6">
        <v>25.3</v>
      </c>
      <c r="M118" s="6">
        <v>269</v>
      </c>
      <c r="N118" s="6">
        <v>472</v>
      </c>
      <c r="P118" s="5" t="s">
        <v>8367</v>
      </c>
      <c r="Q118" s="5" t="s">
        <v>8324</v>
      </c>
      <c r="R118" s="5" t="s">
        <v>8368</v>
      </c>
      <c r="S118" s="5"/>
      <c r="T118" s="5"/>
    </row>
    <row r="119" spans="1:22" x14ac:dyDescent="0.25">
      <c r="A119" s="5" t="s">
        <v>8641</v>
      </c>
      <c r="B119" s="7" t="s">
        <v>10503</v>
      </c>
      <c r="C119" s="5" t="s">
        <v>1067</v>
      </c>
      <c r="D119" s="1" t="s">
        <v>10793</v>
      </c>
      <c r="F119" s="5"/>
      <c r="G119" s="7">
        <v>31</v>
      </c>
      <c r="H119" s="5" t="s">
        <v>8601</v>
      </c>
      <c r="I119" s="5" t="str">
        <f t="shared" si="1"/>
        <v>fate1181322</v>
      </c>
      <c r="J119" s="6" t="s">
        <v>8632</v>
      </c>
      <c r="K119" s="6">
        <v>13.3</v>
      </c>
      <c r="L119" s="6">
        <v>22.2</v>
      </c>
      <c r="M119" s="6">
        <v>241</v>
      </c>
      <c r="N119" s="6">
        <v>416</v>
      </c>
      <c r="P119" s="5" t="s">
        <v>8412</v>
      </c>
      <c r="Q119" s="5" t="s">
        <v>8413</v>
      </c>
      <c r="R119" s="5" t="s">
        <v>8414</v>
      </c>
      <c r="S119" s="5"/>
      <c r="T119" s="5"/>
    </row>
    <row r="120" spans="1:22" x14ac:dyDescent="0.25">
      <c r="A120" s="5" t="s">
        <v>8645</v>
      </c>
      <c r="B120" s="7" t="s">
        <v>10503</v>
      </c>
      <c r="C120" s="5" t="s">
        <v>1067</v>
      </c>
      <c r="D120" s="1" t="s">
        <v>10794</v>
      </c>
      <c r="F120" s="5"/>
      <c r="G120" s="7">
        <v>34</v>
      </c>
      <c r="H120" s="5" t="s">
        <v>8601</v>
      </c>
      <c r="I120" s="5" t="str">
        <f t="shared" si="1"/>
        <v>fate1191722</v>
      </c>
      <c r="J120" s="6" t="s">
        <v>8640</v>
      </c>
      <c r="K120" s="6">
        <v>17.2</v>
      </c>
      <c r="L120" s="6">
        <v>22.2</v>
      </c>
      <c r="M120" s="6">
        <v>322</v>
      </c>
      <c r="N120" s="6">
        <v>413</v>
      </c>
      <c r="P120" s="5" t="s">
        <v>8457</v>
      </c>
      <c r="Q120" s="5" t="s">
        <v>8458</v>
      </c>
      <c r="R120" s="5" t="s">
        <v>8459</v>
      </c>
      <c r="S120" s="5"/>
      <c r="T120" s="5"/>
    </row>
    <row r="121" spans="1:22" x14ac:dyDescent="0.25">
      <c r="A121" s="5" t="s">
        <v>8648</v>
      </c>
      <c r="B121" s="7" t="s">
        <v>10503</v>
      </c>
      <c r="C121" s="5" t="s">
        <v>1067</v>
      </c>
      <c r="D121" s="1" t="s">
        <v>10795</v>
      </c>
      <c r="F121" s="5"/>
      <c r="G121" s="7">
        <v>43</v>
      </c>
      <c r="H121" s="5" t="s">
        <v>8601</v>
      </c>
      <c r="I121" s="5" t="str">
        <f t="shared" si="1"/>
        <v>fate1201118</v>
      </c>
      <c r="J121" s="6" t="s">
        <v>8642</v>
      </c>
      <c r="K121" s="6">
        <v>11.4</v>
      </c>
      <c r="L121" s="6">
        <v>18.2</v>
      </c>
      <c r="M121" s="6">
        <v>207</v>
      </c>
      <c r="N121" s="6">
        <v>336</v>
      </c>
      <c r="P121" s="5" t="s">
        <v>8643</v>
      </c>
      <c r="Q121" s="5" t="s">
        <v>8475</v>
      </c>
      <c r="R121" s="5" t="s">
        <v>8644</v>
      </c>
      <c r="S121" s="5"/>
      <c r="T121" s="5"/>
    </row>
    <row r="122" spans="1:22" x14ac:dyDescent="0.25">
      <c r="A122" s="5" t="s">
        <v>8650</v>
      </c>
      <c r="B122" s="7" t="s">
        <v>10668</v>
      </c>
      <c r="C122" s="5" t="s">
        <v>1067</v>
      </c>
      <c r="D122" s="5" t="s">
        <v>10506</v>
      </c>
      <c r="F122" s="5"/>
      <c r="G122" s="7">
        <v>50</v>
      </c>
      <c r="H122" s="5" t="s">
        <v>362</v>
      </c>
      <c r="I122" s="5" t="str">
        <f t="shared" si="1"/>
        <v>fate1211418</v>
      </c>
      <c r="J122" s="5" t="s">
        <v>10505</v>
      </c>
      <c r="K122" s="6">
        <v>14.1</v>
      </c>
      <c r="L122" s="6">
        <v>18.5</v>
      </c>
      <c r="M122" s="6">
        <v>259</v>
      </c>
      <c r="N122" s="6">
        <v>340</v>
      </c>
      <c r="O122" s="1" t="s">
        <v>10672</v>
      </c>
      <c r="P122" s="5">
        <v>0</v>
      </c>
      <c r="Q122" s="5">
        <v>100</v>
      </c>
      <c r="R122" s="5">
        <v>287</v>
      </c>
      <c r="S122" s="5"/>
      <c r="T122" s="5" t="s">
        <v>10728</v>
      </c>
      <c r="U122" s="1" t="s">
        <v>10748</v>
      </c>
      <c r="V122" s="5" t="s">
        <v>10749</v>
      </c>
    </row>
    <row r="123" spans="1:22" x14ac:dyDescent="0.25">
      <c r="A123" s="5" t="s">
        <v>8652</v>
      </c>
      <c r="B123" s="7" t="s">
        <v>10668</v>
      </c>
      <c r="C123" s="5" t="s">
        <v>1067</v>
      </c>
      <c r="D123" s="5" t="s">
        <v>10506</v>
      </c>
      <c r="F123" s="5"/>
      <c r="G123" s="7">
        <v>50</v>
      </c>
      <c r="H123" s="5" t="s">
        <v>362</v>
      </c>
      <c r="I123" s="5" t="str">
        <f t="shared" si="1"/>
        <v>fate1221521</v>
      </c>
      <c r="J123" s="5" t="s">
        <v>10505</v>
      </c>
      <c r="K123" s="6">
        <v>15</v>
      </c>
      <c r="L123" s="6">
        <v>21.9</v>
      </c>
      <c r="M123" s="6">
        <v>275</v>
      </c>
      <c r="N123" s="6">
        <v>402</v>
      </c>
      <c r="O123" s="1" t="s">
        <v>10672</v>
      </c>
      <c r="P123" s="5">
        <v>0</v>
      </c>
      <c r="Q123" s="5">
        <v>100</v>
      </c>
      <c r="R123" s="5">
        <v>287</v>
      </c>
      <c r="S123" s="5"/>
      <c r="T123" s="5" t="s">
        <v>10728</v>
      </c>
      <c r="U123" s="1" t="s">
        <v>10748</v>
      </c>
      <c r="V123" s="5" t="s">
        <v>10749</v>
      </c>
    </row>
    <row r="124" spans="1:22" x14ac:dyDescent="0.25">
      <c r="A124" s="5" t="s">
        <v>8654</v>
      </c>
      <c r="B124" s="7" t="s">
        <v>8310</v>
      </c>
      <c r="C124" s="5" t="s">
        <v>1067</v>
      </c>
      <c r="D124" s="5"/>
      <c r="F124" s="5"/>
      <c r="G124" s="7">
        <v>11</v>
      </c>
      <c r="H124" s="5" t="s">
        <v>8647</v>
      </c>
      <c r="I124" s="5" t="str">
        <f t="shared" si="1"/>
        <v>fate1231226</v>
      </c>
      <c r="J124" s="6" t="s">
        <v>8646</v>
      </c>
      <c r="K124" s="6">
        <v>12.7</v>
      </c>
      <c r="L124" s="6">
        <v>26.4</v>
      </c>
      <c r="M124" s="6">
        <v>229</v>
      </c>
      <c r="N124" s="6">
        <v>492</v>
      </c>
      <c r="P124" s="5" t="s">
        <v>8396</v>
      </c>
      <c r="Q124" s="5" t="s">
        <v>8397</v>
      </c>
      <c r="R124" s="5" t="s">
        <v>8398</v>
      </c>
      <c r="S124" s="5"/>
      <c r="T124" s="5"/>
    </row>
    <row r="125" spans="1:22" x14ac:dyDescent="0.25">
      <c r="A125" s="5" t="s">
        <v>8659</v>
      </c>
      <c r="B125" s="7" t="s">
        <v>8310</v>
      </c>
      <c r="C125" s="5" t="s">
        <v>1067</v>
      </c>
      <c r="D125" s="5"/>
      <c r="F125" s="5"/>
      <c r="G125" s="7">
        <v>17</v>
      </c>
      <c r="H125" s="5" t="s">
        <v>8647</v>
      </c>
      <c r="I125" s="5" t="str">
        <f t="shared" si="1"/>
        <v>fate1242126</v>
      </c>
      <c r="J125" s="6" t="s">
        <v>8653</v>
      </c>
      <c r="K125" s="6">
        <v>21.4</v>
      </c>
      <c r="L125" s="6">
        <v>26.6</v>
      </c>
      <c r="M125" s="6">
        <v>400</v>
      </c>
      <c r="N125" s="6">
        <v>496</v>
      </c>
      <c r="P125" s="5" t="s">
        <v>8486</v>
      </c>
      <c r="Q125" s="5" t="s">
        <v>8331</v>
      </c>
      <c r="R125" s="5" t="s">
        <v>8487</v>
      </c>
      <c r="S125" s="5"/>
      <c r="T125" s="5"/>
    </row>
    <row r="126" spans="1:22" x14ac:dyDescent="0.25">
      <c r="A126" s="5" t="s">
        <v>8661</v>
      </c>
      <c r="B126" s="7" t="s">
        <v>8310</v>
      </c>
      <c r="C126" s="5" t="s">
        <v>1067</v>
      </c>
      <c r="D126" s="5"/>
      <c r="F126" s="5"/>
      <c r="G126" s="7">
        <v>19</v>
      </c>
      <c r="H126" s="5" t="s">
        <v>8647</v>
      </c>
      <c r="I126" s="5" t="str">
        <f t="shared" si="1"/>
        <v>fate1252029</v>
      </c>
      <c r="J126" s="6" t="s">
        <v>8655</v>
      </c>
      <c r="K126" s="6">
        <v>20.7</v>
      </c>
      <c r="L126" s="6">
        <v>29.7</v>
      </c>
      <c r="M126" s="6">
        <v>383</v>
      </c>
      <c r="N126" s="6">
        <v>557</v>
      </c>
      <c r="P126" s="5" t="s">
        <v>8656</v>
      </c>
      <c r="Q126" s="5" t="s">
        <v>8657</v>
      </c>
      <c r="R126" s="5" t="s">
        <v>8658</v>
      </c>
      <c r="S126" s="5"/>
      <c r="T126" s="5"/>
    </row>
    <row r="127" spans="1:22" x14ac:dyDescent="0.25">
      <c r="A127" s="5" t="s">
        <v>8663</v>
      </c>
      <c r="B127" s="7" t="s">
        <v>8310</v>
      </c>
      <c r="C127" s="5" t="s">
        <v>1067</v>
      </c>
      <c r="D127" s="5"/>
      <c r="F127" s="5"/>
      <c r="G127" s="7">
        <v>20</v>
      </c>
      <c r="H127" s="5" t="s">
        <v>8647</v>
      </c>
      <c r="I127" s="5" t="str">
        <f t="shared" si="1"/>
        <v>fate1261825</v>
      </c>
      <c r="J127" s="6" t="s">
        <v>8662</v>
      </c>
      <c r="K127" s="6">
        <v>18.399999999999999</v>
      </c>
      <c r="L127" s="6">
        <v>25</v>
      </c>
      <c r="M127" s="6">
        <v>340</v>
      </c>
      <c r="N127" s="6">
        <v>464</v>
      </c>
      <c r="P127" s="5" t="s">
        <v>8536</v>
      </c>
      <c r="Q127" s="5" t="s">
        <v>8336</v>
      </c>
      <c r="R127" s="5" t="s">
        <v>8537</v>
      </c>
      <c r="S127" s="5"/>
      <c r="T127" s="5"/>
    </row>
    <row r="128" spans="1:22" x14ac:dyDescent="0.25">
      <c r="A128" s="5" t="s">
        <v>8665</v>
      </c>
      <c r="B128" s="7" t="s">
        <v>8310</v>
      </c>
      <c r="C128" s="5" t="s">
        <v>1067</v>
      </c>
      <c r="D128" s="5"/>
      <c r="F128" s="5"/>
      <c r="G128" s="7">
        <v>23</v>
      </c>
      <c r="H128" s="5" t="s">
        <v>8647</v>
      </c>
      <c r="I128" s="5" t="str">
        <f t="shared" si="1"/>
        <v>fate1271921</v>
      </c>
      <c r="J128" s="6" t="s">
        <v>8668</v>
      </c>
      <c r="K128" s="6">
        <v>19.3</v>
      </c>
      <c r="L128" s="6">
        <v>21.5</v>
      </c>
      <c r="M128" s="6">
        <v>360</v>
      </c>
      <c r="N128" s="6">
        <v>399</v>
      </c>
      <c r="P128" s="5" t="s">
        <v>8549</v>
      </c>
      <c r="Q128" s="5" t="s">
        <v>8343</v>
      </c>
      <c r="R128" s="5" t="s">
        <v>8550</v>
      </c>
      <c r="S128" s="5"/>
      <c r="T128" s="5"/>
    </row>
    <row r="129" spans="1:20" x14ac:dyDescent="0.25">
      <c r="A129" s="5" t="s">
        <v>8667</v>
      </c>
      <c r="B129" s="7" t="s">
        <v>8310</v>
      </c>
      <c r="C129" s="5" t="s">
        <v>1067</v>
      </c>
      <c r="D129" s="5"/>
      <c r="F129" s="5"/>
      <c r="G129" s="7">
        <v>40</v>
      </c>
      <c r="H129" s="5" t="s">
        <v>8647</v>
      </c>
      <c r="I129" s="5" t="str">
        <f t="shared" si="1"/>
        <v>fate1282522</v>
      </c>
      <c r="J129" s="6" t="s">
        <v>8670</v>
      </c>
      <c r="K129" s="6">
        <v>25.7</v>
      </c>
      <c r="L129" s="6">
        <v>22.8</v>
      </c>
      <c r="M129" s="6">
        <v>484</v>
      </c>
      <c r="N129" s="6">
        <v>428</v>
      </c>
      <c r="P129" s="5" t="s">
        <v>8499</v>
      </c>
      <c r="Q129" s="5" t="s">
        <v>8368</v>
      </c>
      <c r="R129" s="5" t="s">
        <v>8500</v>
      </c>
      <c r="S129" s="5"/>
      <c r="T129" s="5"/>
    </row>
    <row r="130" spans="1:20" x14ac:dyDescent="0.25">
      <c r="A130" s="5" t="s">
        <v>8669</v>
      </c>
      <c r="B130" s="7" t="s">
        <v>8310</v>
      </c>
      <c r="C130" s="5" t="s">
        <v>1067</v>
      </c>
      <c r="D130" s="5"/>
      <c r="F130" s="5"/>
      <c r="G130" s="7">
        <v>46</v>
      </c>
      <c r="H130" s="5" t="s">
        <v>8647</v>
      </c>
      <c r="I130" s="5" t="str">
        <f t="shared" si="1"/>
        <v>fate1292816</v>
      </c>
      <c r="J130" s="6" t="s">
        <v>8687</v>
      </c>
      <c r="K130" s="6">
        <v>28.8</v>
      </c>
      <c r="L130" s="6">
        <v>16.899999999999999</v>
      </c>
      <c r="M130" s="6">
        <v>539</v>
      </c>
      <c r="N130" s="6">
        <v>310</v>
      </c>
      <c r="P130" s="5" t="s">
        <v>8521</v>
      </c>
      <c r="Q130" s="5" t="s">
        <v>8481</v>
      </c>
      <c r="R130" s="5" t="s">
        <v>8522</v>
      </c>
      <c r="S130" s="5"/>
      <c r="T130" s="5"/>
    </row>
    <row r="131" spans="1:20" x14ac:dyDescent="0.25">
      <c r="A131" s="5" t="s">
        <v>8671</v>
      </c>
      <c r="B131" s="7" t="s">
        <v>8310</v>
      </c>
      <c r="C131" s="5" t="s">
        <v>1067</v>
      </c>
      <c r="D131" s="5"/>
      <c r="F131" s="5"/>
      <c r="G131" s="7">
        <v>49</v>
      </c>
      <c r="H131" s="5" t="s">
        <v>8647</v>
      </c>
      <c r="I131" s="5" t="str">
        <f t="shared" si="1"/>
        <v>fate1302410</v>
      </c>
      <c r="J131" s="6" t="s">
        <v>8693</v>
      </c>
      <c r="K131" s="6">
        <v>24.5</v>
      </c>
      <c r="L131" s="6">
        <v>10.8</v>
      </c>
      <c r="M131" s="6">
        <v>460</v>
      </c>
      <c r="N131" s="6">
        <v>192</v>
      </c>
      <c r="P131" s="5" t="s">
        <v>8694</v>
      </c>
      <c r="Q131" s="5" t="s">
        <v>8531</v>
      </c>
      <c r="R131" s="5" t="s">
        <v>8532</v>
      </c>
      <c r="S131" s="5"/>
      <c r="T131" s="5"/>
    </row>
    <row r="132" spans="1:20" x14ac:dyDescent="0.25">
      <c r="A132" s="5" t="s">
        <v>8673</v>
      </c>
      <c r="B132" s="7" t="s">
        <v>8310</v>
      </c>
      <c r="C132" s="5" t="s">
        <v>1067</v>
      </c>
      <c r="D132" s="5"/>
      <c r="F132" s="5"/>
      <c r="G132" s="7">
        <v>49</v>
      </c>
      <c r="H132" s="5" t="s">
        <v>8647</v>
      </c>
      <c r="I132" s="5" t="str">
        <f t="shared" ref="I132:I195" si="2">A132&amp;LEFT(SUBSTITUTE(K132,".",""),2)&amp;LEFT(SUBSTITUTE(L132,".",""),2)</f>
        <v>fate1312314</v>
      </c>
      <c r="J132" s="6" t="s">
        <v>8700</v>
      </c>
      <c r="K132" s="6">
        <v>23.7</v>
      </c>
      <c r="L132" s="6">
        <v>14.5</v>
      </c>
      <c r="M132" s="6">
        <v>444</v>
      </c>
      <c r="N132" s="6">
        <v>260</v>
      </c>
      <c r="P132" s="5" t="s">
        <v>8694</v>
      </c>
      <c r="Q132" s="5" t="s">
        <v>8531</v>
      </c>
      <c r="R132" s="5" t="s">
        <v>8532</v>
      </c>
      <c r="S132" s="5"/>
      <c r="T132" s="5"/>
    </row>
    <row r="133" spans="1:20" x14ac:dyDescent="0.25">
      <c r="A133" s="5" t="s">
        <v>8678</v>
      </c>
      <c r="B133" s="7" t="s">
        <v>8346</v>
      </c>
      <c r="C133" s="5" t="s">
        <v>1067</v>
      </c>
      <c r="D133" s="5"/>
      <c r="F133" s="5"/>
      <c r="G133" s="7">
        <v>11</v>
      </c>
      <c r="H133" s="5" t="s">
        <v>8647</v>
      </c>
      <c r="I133" s="5" t="str">
        <f t="shared" si="2"/>
        <v>fate1321124</v>
      </c>
      <c r="J133" s="6" t="s">
        <v>8649</v>
      </c>
      <c r="K133" s="6">
        <v>11.5</v>
      </c>
      <c r="L133" s="6">
        <v>24.2</v>
      </c>
      <c r="M133" s="6">
        <v>205</v>
      </c>
      <c r="N133" s="6">
        <v>452</v>
      </c>
      <c r="O133" s="1" t="s">
        <v>11164</v>
      </c>
      <c r="P133" s="5" t="s">
        <v>8396</v>
      </c>
      <c r="Q133" s="5" t="s">
        <v>8397</v>
      </c>
      <c r="R133" s="5" t="s">
        <v>8398</v>
      </c>
      <c r="S133" s="5"/>
      <c r="T133" s="5"/>
    </row>
    <row r="134" spans="1:20" x14ac:dyDescent="0.25">
      <c r="A134" s="5" t="s">
        <v>8680</v>
      </c>
      <c r="B134" s="7" t="s">
        <v>8450</v>
      </c>
      <c r="C134" s="5" t="s">
        <v>1067</v>
      </c>
      <c r="D134" s="5"/>
      <c r="F134" s="5"/>
      <c r="G134" s="7">
        <v>21</v>
      </c>
      <c r="H134" s="5" t="s">
        <v>8647</v>
      </c>
      <c r="I134" s="5" t="str">
        <f t="shared" si="2"/>
        <v>fate1331726</v>
      </c>
      <c r="J134" s="6" t="s">
        <v>8666</v>
      </c>
      <c r="K134" s="6">
        <v>17.100000000000001</v>
      </c>
      <c r="L134" s="6">
        <v>26.6</v>
      </c>
      <c r="M134" s="6">
        <v>333</v>
      </c>
      <c r="N134" s="6">
        <v>506</v>
      </c>
      <c r="O134" s="1" t="s">
        <v>11169</v>
      </c>
      <c r="P134" s="5" t="s">
        <v>8544</v>
      </c>
      <c r="Q134" s="5" t="s">
        <v>8545</v>
      </c>
      <c r="R134" s="5" t="s">
        <v>8546</v>
      </c>
      <c r="S134" s="5"/>
      <c r="T134" s="5"/>
    </row>
    <row r="135" spans="1:20" x14ac:dyDescent="0.25">
      <c r="A135" s="5" t="s">
        <v>8682</v>
      </c>
      <c r="B135" s="7" t="s">
        <v>8424</v>
      </c>
      <c r="C135" s="5" t="s">
        <v>1067</v>
      </c>
      <c r="D135" s="5"/>
      <c r="F135" s="5"/>
      <c r="G135" s="7">
        <v>40</v>
      </c>
      <c r="H135" s="5" t="s">
        <v>8647</v>
      </c>
      <c r="I135" s="5" t="str">
        <f t="shared" si="2"/>
        <v>fate1342724</v>
      </c>
      <c r="J135" s="6" t="s">
        <v>8672</v>
      </c>
      <c r="K135" s="6">
        <v>27.1</v>
      </c>
      <c r="L135" s="6">
        <v>24.7</v>
      </c>
      <c r="M135" s="6">
        <v>511</v>
      </c>
      <c r="N135" s="6">
        <v>460</v>
      </c>
      <c r="O135" s="1" t="s">
        <v>11180</v>
      </c>
      <c r="P135" s="5" t="s">
        <v>8499</v>
      </c>
      <c r="Q135" s="5" t="s">
        <v>8368</v>
      </c>
      <c r="R135" s="5" t="s">
        <v>8500</v>
      </c>
      <c r="S135" s="5"/>
      <c r="T135" s="5"/>
    </row>
    <row r="136" spans="1:20" x14ac:dyDescent="0.25">
      <c r="A136" s="5" t="s">
        <v>8684</v>
      </c>
      <c r="B136" s="7" t="s">
        <v>10503</v>
      </c>
      <c r="C136" s="5" t="s">
        <v>1067</v>
      </c>
      <c r="D136" s="1" t="s">
        <v>10796</v>
      </c>
      <c r="F136" s="5"/>
      <c r="G136" s="7">
        <v>16</v>
      </c>
      <c r="H136" s="5" t="s">
        <v>8647</v>
      </c>
      <c r="I136" s="5" t="str">
        <f t="shared" si="2"/>
        <v>fate1351927</v>
      </c>
      <c r="J136" s="6" t="s">
        <v>8651</v>
      </c>
      <c r="K136" s="6">
        <v>19.100000000000001</v>
      </c>
      <c r="L136" s="6">
        <v>27.5</v>
      </c>
      <c r="M136" s="6">
        <v>355</v>
      </c>
      <c r="N136" s="6">
        <v>511</v>
      </c>
      <c r="P136" s="5" t="s">
        <v>8479</v>
      </c>
      <c r="Q136" s="5" t="s">
        <v>8480</v>
      </c>
      <c r="R136" s="5" t="s">
        <v>8481</v>
      </c>
      <c r="S136" s="5"/>
      <c r="T136" s="5"/>
    </row>
    <row r="137" spans="1:20" x14ac:dyDescent="0.25">
      <c r="A137" s="5" t="s">
        <v>8686</v>
      </c>
      <c r="B137" s="7" t="s">
        <v>10503</v>
      </c>
      <c r="C137" s="5" t="s">
        <v>1067</v>
      </c>
      <c r="D137" s="1" t="s">
        <v>10797</v>
      </c>
      <c r="F137" s="5"/>
      <c r="G137" s="7">
        <v>19</v>
      </c>
      <c r="H137" s="5" t="s">
        <v>8647</v>
      </c>
      <c r="I137" s="5" t="str">
        <f t="shared" si="2"/>
        <v>fate1362129</v>
      </c>
      <c r="J137" s="6" t="s">
        <v>8660</v>
      </c>
      <c r="K137" s="6">
        <v>21</v>
      </c>
      <c r="L137" s="6">
        <v>29.9</v>
      </c>
      <c r="M137" s="6">
        <v>391</v>
      </c>
      <c r="N137" s="6">
        <v>560</v>
      </c>
      <c r="P137" s="5" t="s">
        <v>8656</v>
      </c>
      <c r="Q137" s="5" t="s">
        <v>8657</v>
      </c>
      <c r="R137" s="5" t="s">
        <v>8658</v>
      </c>
      <c r="S137" s="5"/>
      <c r="T137" s="5"/>
    </row>
    <row r="138" spans="1:20" x14ac:dyDescent="0.25">
      <c r="A138" s="5" t="s">
        <v>8688</v>
      </c>
      <c r="B138" s="7" t="s">
        <v>10503</v>
      </c>
      <c r="C138" s="5" t="s">
        <v>1067</v>
      </c>
      <c r="D138" s="1" t="s">
        <v>10798</v>
      </c>
      <c r="F138" s="5"/>
      <c r="G138" s="7">
        <v>20</v>
      </c>
      <c r="H138" s="5" t="s">
        <v>8647</v>
      </c>
      <c r="I138" s="5" t="str">
        <f t="shared" si="2"/>
        <v>fate1372329</v>
      </c>
      <c r="J138" s="6" t="s">
        <v>8664</v>
      </c>
      <c r="K138" s="6">
        <v>23.4</v>
      </c>
      <c r="L138" s="6">
        <v>29.7</v>
      </c>
      <c r="M138" s="6">
        <v>431</v>
      </c>
      <c r="N138" s="6">
        <v>555</v>
      </c>
      <c r="P138" s="5" t="s">
        <v>8536</v>
      </c>
      <c r="Q138" s="5" t="s">
        <v>8336</v>
      </c>
      <c r="R138" s="5" t="s">
        <v>8537</v>
      </c>
      <c r="S138" s="5"/>
      <c r="T138" s="5"/>
    </row>
    <row r="139" spans="1:20" x14ac:dyDescent="0.25">
      <c r="A139" s="5" t="s">
        <v>8690</v>
      </c>
      <c r="B139" s="7" t="s">
        <v>10503</v>
      </c>
      <c r="C139" s="5" t="s">
        <v>1067</v>
      </c>
      <c r="D139" s="1" t="s">
        <v>10799</v>
      </c>
      <c r="F139" s="5"/>
      <c r="G139" s="7">
        <v>42</v>
      </c>
      <c r="H139" s="5" t="s">
        <v>8647</v>
      </c>
      <c r="I139" s="5" t="str">
        <f t="shared" si="2"/>
        <v>fate1382921</v>
      </c>
      <c r="J139" s="6" t="s">
        <v>8681</v>
      </c>
      <c r="K139" s="6">
        <v>29.4</v>
      </c>
      <c r="L139" s="6">
        <v>21.4</v>
      </c>
      <c r="M139" s="6">
        <v>553</v>
      </c>
      <c r="N139" s="6">
        <v>396</v>
      </c>
      <c r="P139" s="5" t="s">
        <v>8675</v>
      </c>
      <c r="Q139" s="5" t="s">
        <v>8676</v>
      </c>
      <c r="R139" s="5" t="s">
        <v>8677</v>
      </c>
      <c r="S139" s="5"/>
      <c r="T139" s="5"/>
    </row>
    <row r="140" spans="1:20" x14ac:dyDescent="0.25">
      <c r="A140" s="5" t="s">
        <v>8692</v>
      </c>
      <c r="B140" s="7" t="s">
        <v>10503</v>
      </c>
      <c r="C140" s="5" t="s">
        <v>1067</v>
      </c>
      <c r="D140" s="1" t="s">
        <v>10800</v>
      </c>
      <c r="F140" s="5"/>
      <c r="G140" s="7">
        <v>43</v>
      </c>
      <c r="H140" s="5" t="s">
        <v>8647</v>
      </c>
      <c r="I140" s="5" t="str">
        <f t="shared" si="2"/>
        <v>fate1392321</v>
      </c>
      <c r="J140" s="6" t="s">
        <v>8683</v>
      </c>
      <c r="K140" s="6">
        <v>23.1</v>
      </c>
      <c r="L140" s="6">
        <v>21.1</v>
      </c>
      <c r="M140" s="6">
        <v>435</v>
      </c>
      <c r="N140" s="6">
        <v>389</v>
      </c>
      <c r="P140" s="5" t="s">
        <v>8643</v>
      </c>
      <c r="Q140" s="5" t="s">
        <v>8475</v>
      </c>
      <c r="R140" s="5" t="s">
        <v>8644</v>
      </c>
      <c r="S140" s="5"/>
      <c r="T140" s="5"/>
    </row>
    <row r="141" spans="1:20" x14ac:dyDescent="0.25">
      <c r="A141" s="5" t="s">
        <v>8695</v>
      </c>
      <c r="B141" s="7" t="s">
        <v>10503</v>
      </c>
      <c r="C141" s="5" t="s">
        <v>1067</v>
      </c>
      <c r="D141" s="1" t="s">
        <v>10801</v>
      </c>
      <c r="F141" s="5"/>
      <c r="G141" s="7">
        <v>44</v>
      </c>
      <c r="H141" s="5" t="s">
        <v>8647</v>
      </c>
      <c r="I141" s="5" t="str">
        <f t="shared" si="2"/>
        <v>fate1403220</v>
      </c>
      <c r="J141" s="6" t="s">
        <v>8685</v>
      </c>
      <c r="K141" s="6">
        <v>32.299999999999997</v>
      </c>
      <c r="L141" s="6">
        <v>20.9</v>
      </c>
      <c r="M141" s="6">
        <v>613</v>
      </c>
      <c r="N141" s="6">
        <v>387</v>
      </c>
      <c r="P141" s="5" t="s">
        <v>8505</v>
      </c>
      <c r="Q141" s="5" t="s">
        <v>8506</v>
      </c>
      <c r="R141" s="5" t="s">
        <v>8507</v>
      </c>
      <c r="S141" s="5"/>
      <c r="T141" s="5"/>
    </row>
    <row r="142" spans="1:20" x14ac:dyDescent="0.25">
      <c r="A142" s="5" t="s">
        <v>8697</v>
      </c>
      <c r="B142" s="7" t="s">
        <v>10503</v>
      </c>
      <c r="C142" s="5" t="s">
        <v>1067</v>
      </c>
      <c r="D142" s="1" t="s">
        <v>10802</v>
      </c>
      <c r="F142" s="5"/>
      <c r="G142" s="7">
        <v>47</v>
      </c>
      <c r="H142" s="5" t="s">
        <v>8647</v>
      </c>
      <c r="I142" s="5" t="str">
        <f t="shared" si="2"/>
        <v>fate1413214</v>
      </c>
      <c r="J142" s="6" t="s">
        <v>8689</v>
      </c>
      <c r="K142" s="6">
        <v>32.4</v>
      </c>
      <c r="L142" s="6">
        <v>14.4</v>
      </c>
      <c r="M142" s="6">
        <v>614</v>
      </c>
      <c r="N142" s="6">
        <v>259</v>
      </c>
      <c r="P142" s="5" t="s">
        <v>8592</v>
      </c>
      <c r="Q142" s="5" t="s">
        <v>8593</v>
      </c>
      <c r="R142" s="5" t="s">
        <v>8594</v>
      </c>
      <c r="S142" s="5"/>
      <c r="T142" s="5"/>
    </row>
    <row r="143" spans="1:20" x14ac:dyDescent="0.25">
      <c r="A143" s="5" t="s">
        <v>8699</v>
      </c>
      <c r="B143" s="7" t="s">
        <v>10503</v>
      </c>
      <c r="C143" s="5" t="s">
        <v>1067</v>
      </c>
      <c r="D143" s="1" t="s">
        <v>10803</v>
      </c>
      <c r="F143" s="5"/>
      <c r="G143" s="7">
        <v>47</v>
      </c>
      <c r="H143" s="5" t="s">
        <v>8647</v>
      </c>
      <c r="I143" s="5" t="str">
        <f t="shared" si="2"/>
        <v>fate1422912</v>
      </c>
      <c r="J143" s="6" t="s">
        <v>8691</v>
      </c>
      <c r="K143" s="6">
        <v>29.1</v>
      </c>
      <c r="L143" s="6">
        <v>12.5</v>
      </c>
      <c r="M143" s="6">
        <v>550</v>
      </c>
      <c r="N143" s="6">
        <v>224</v>
      </c>
      <c r="P143" s="5" t="s">
        <v>8592</v>
      </c>
      <c r="Q143" s="5" t="s">
        <v>8593</v>
      </c>
      <c r="R143" s="5" t="s">
        <v>8594</v>
      </c>
      <c r="S143" s="5"/>
      <c r="T143" s="5"/>
    </row>
    <row r="144" spans="1:20" x14ac:dyDescent="0.25">
      <c r="A144" s="5" t="s">
        <v>8701</v>
      </c>
      <c r="B144" s="7" t="s">
        <v>10503</v>
      </c>
      <c r="C144" s="5" t="s">
        <v>1067</v>
      </c>
      <c r="D144" s="1" t="s">
        <v>10804</v>
      </c>
      <c r="F144" s="5"/>
      <c r="G144" s="7">
        <v>49</v>
      </c>
      <c r="H144" s="5" t="s">
        <v>8647</v>
      </c>
      <c r="I144" s="5" t="str">
        <f t="shared" si="2"/>
        <v>fate1432010</v>
      </c>
      <c r="J144" s="6" t="s">
        <v>8696</v>
      </c>
      <c r="K144" s="6">
        <v>20.9</v>
      </c>
      <c r="L144" s="6">
        <v>10.7</v>
      </c>
      <c r="M144" s="6">
        <v>389</v>
      </c>
      <c r="N144" s="6">
        <v>188</v>
      </c>
      <c r="P144" s="5" t="s">
        <v>8694</v>
      </c>
      <c r="Q144" s="5" t="s">
        <v>8531</v>
      </c>
      <c r="R144" s="5" t="s">
        <v>8532</v>
      </c>
      <c r="S144" s="5"/>
      <c r="T144" s="5"/>
    </row>
    <row r="145" spans="1:22" x14ac:dyDescent="0.25">
      <c r="A145" s="5" t="s">
        <v>8704</v>
      </c>
      <c r="B145" s="7" t="s">
        <v>10503</v>
      </c>
      <c r="C145" s="5" t="s">
        <v>1067</v>
      </c>
      <c r="D145" s="1" t="s">
        <v>10805</v>
      </c>
      <c r="F145" s="5"/>
      <c r="G145" s="7">
        <v>49</v>
      </c>
      <c r="H145" s="5" t="s">
        <v>8647</v>
      </c>
      <c r="I145" s="5" t="str">
        <f t="shared" si="2"/>
        <v>fate1442318</v>
      </c>
      <c r="J145" s="6" t="s">
        <v>8698</v>
      </c>
      <c r="K145" s="6">
        <v>23.3</v>
      </c>
      <c r="L145" s="6">
        <v>18.3</v>
      </c>
      <c r="M145" s="6">
        <v>436</v>
      </c>
      <c r="N145" s="6">
        <v>335</v>
      </c>
      <c r="P145" s="5" t="s">
        <v>8694</v>
      </c>
      <c r="Q145" s="5" t="s">
        <v>8531</v>
      </c>
      <c r="R145" s="5" t="s">
        <v>8532</v>
      </c>
      <c r="S145" s="5"/>
      <c r="T145" s="5"/>
    </row>
    <row r="146" spans="1:22" x14ac:dyDescent="0.25">
      <c r="A146" s="5" t="s">
        <v>8709</v>
      </c>
      <c r="B146" s="7" t="s">
        <v>8310</v>
      </c>
      <c r="C146" s="5" t="s">
        <v>1067</v>
      </c>
      <c r="D146" s="5"/>
      <c r="E146" s="5">
        <v>6</v>
      </c>
      <c r="F146" s="5">
        <v>1</v>
      </c>
      <c r="G146" s="7">
        <v>42</v>
      </c>
      <c r="H146" s="5" t="s">
        <v>8647</v>
      </c>
      <c r="I146" s="5" t="str">
        <f t="shared" si="2"/>
        <v>fate1452721</v>
      </c>
      <c r="J146" s="6" t="s">
        <v>8674</v>
      </c>
      <c r="K146" s="6">
        <v>27.6</v>
      </c>
      <c r="L146" s="6">
        <v>21</v>
      </c>
      <c r="M146" s="6">
        <v>514</v>
      </c>
      <c r="N146" s="6">
        <v>394</v>
      </c>
      <c r="O146" s="1" t="s">
        <v>11166</v>
      </c>
      <c r="P146" s="5" t="s">
        <v>8675</v>
      </c>
      <c r="Q146" s="5" t="s">
        <v>8676</v>
      </c>
      <c r="R146" s="5" t="s">
        <v>8677</v>
      </c>
      <c r="S146" s="5"/>
      <c r="T146" s="5"/>
    </row>
    <row r="147" spans="1:22" x14ac:dyDescent="0.25">
      <c r="A147" s="5" t="s">
        <v>8711</v>
      </c>
      <c r="B147" s="7" t="s">
        <v>8346</v>
      </c>
      <c r="C147" s="5" t="s">
        <v>1067</v>
      </c>
      <c r="D147" s="5"/>
      <c r="E147" s="5">
        <v>6</v>
      </c>
      <c r="F147" s="5">
        <v>2</v>
      </c>
      <c r="G147" s="7">
        <v>42</v>
      </c>
      <c r="H147" s="5" t="s">
        <v>8647</v>
      </c>
      <c r="I147" s="5" t="str">
        <f t="shared" si="2"/>
        <v>fate1462721</v>
      </c>
      <c r="J147" s="6" t="s">
        <v>8679</v>
      </c>
      <c r="K147" s="6">
        <v>27.4</v>
      </c>
      <c r="L147" s="6">
        <v>21.7</v>
      </c>
      <c r="M147" s="6">
        <v>513</v>
      </c>
      <c r="N147" s="6">
        <v>402</v>
      </c>
      <c r="P147" s="5" t="s">
        <v>8675</v>
      </c>
      <c r="Q147" s="5" t="s">
        <v>8676</v>
      </c>
      <c r="R147" s="5" t="s">
        <v>8677</v>
      </c>
      <c r="S147" s="5"/>
      <c r="T147" s="5"/>
    </row>
    <row r="148" spans="1:22" x14ac:dyDescent="0.25">
      <c r="A148" s="5" t="s">
        <v>8713</v>
      </c>
      <c r="B148" s="7" t="s">
        <v>10668</v>
      </c>
      <c r="C148" s="5" t="s">
        <v>1067</v>
      </c>
      <c r="D148" s="5" t="s">
        <v>10506</v>
      </c>
      <c r="F148" s="5"/>
      <c r="G148" s="7">
        <v>50</v>
      </c>
      <c r="H148" s="5" t="s">
        <v>369</v>
      </c>
      <c r="I148" s="5" t="str">
        <f t="shared" si="2"/>
        <v>fate1472330</v>
      </c>
      <c r="J148" s="5" t="s">
        <v>10505</v>
      </c>
      <c r="K148" s="6">
        <v>23.5</v>
      </c>
      <c r="L148" s="6">
        <v>30</v>
      </c>
      <c r="M148" s="6">
        <v>436</v>
      </c>
      <c r="N148" s="6">
        <v>569</v>
      </c>
      <c r="O148" s="1" t="s">
        <v>10672</v>
      </c>
      <c r="P148" s="5">
        <v>0</v>
      </c>
      <c r="Q148" s="5">
        <v>100</v>
      </c>
      <c r="R148" s="5">
        <v>287</v>
      </c>
      <c r="S148" s="5"/>
      <c r="T148" s="5" t="s">
        <v>10728</v>
      </c>
      <c r="U148" s="1" t="s">
        <v>10748</v>
      </c>
      <c r="V148" s="5" t="s">
        <v>10749</v>
      </c>
    </row>
    <row r="149" spans="1:22" x14ac:dyDescent="0.25">
      <c r="A149" s="5" t="s">
        <v>8715</v>
      </c>
      <c r="B149" s="7" t="s">
        <v>10668</v>
      </c>
      <c r="C149" s="5" t="s">
        <v>1067</v>
      </c>
      <c r="D149" s="5" t="s">
        <v>10506</v>
      </c>
      <c r="F149" s="5"/>
      <c r="G149" s="7">
        <v>50</v>
      </c>
      <c r="H149" s="5" t="s">
        <v>369</v>
      </c>
      <c r="I149" s="5" t="str">
        <f t="shared" si="2"/>
        <v>fate1482624</v>
      </c>
      <c r="J149" s="5" t="s">
        <v>10505</v>
      </c>
      <c r="K149" s="6">
        <v>26.4</v>
      </c>
      <c r="L149" s="6">
        <v>24.1</v>
      </c>
      <c r="M149" s="6">
        <v>493</v>
      </c>
      <c r="N149" s="6">
        <v>452</v>
      </c>
      <c r="O149" s="1" t="s">
        <v>10672</v>
      </c>
      <c r="P149" s="5">
        <v>0</v>
      </c>
      <c r="Q149" s="5">
        <v>100</v>
      </c>
      <c r="R149" s="5">
        <v>287</v>
      </c>
      <c r="S149" s="5"/>
      <c r="T149" s="5" t="s">
        <v>10728</v>
      </c>
      <c r="U149" s="1" t="s">
        <v>10748</v>
      </c>
      <c r="V149" s="5" t="s">
        <v>10749</v>
      </c>
    </row>
    <row r="150" spans="1:22" x14ac:dyDescent="0.25">
      <c r="A150" s="5" t="s">
        <v>8720</v>
      </c>
      <c r="B150" s="7" t="s">
        <v>10668</v>
      </c>
      <c r="C150" s="5" t="s">
        <v>1067</v>
      </c>
      <c r="D150" s="5" t="s">
        <v>10506</v>
      </c>
      <c r="F150" s="5"/>
      <c r="G150" s="7">
        <v>50</v>
      </c>
      <c r="H150" s="5" t="s">
        <v>369</v>
      </c>
      <c r="I150" s="5" t="str">
        <f t="shared" si="2"/>
        <v>fate1492621</v>
      </c>
      <c r="J150" s="5" t="s">
        <v>10505</v>
      </c>
      <c r="K150" s="6">
        <v>26.6</v>
      </c>
      <c r="L150" s="6">
        <v>21.7</v>
      </c>
      <c r="M150" s="6">
        <v>505</v>
      </c>
      <c r="N150" s="6">
        <v>402</v>
      </c>
      <c r="O150" s="1" t="s">
        <v>10672</v>
      </c>
      <c r="P150" s="5">
        <v>0</v>
      </c>
      <c r="Q150" s="5">
        <v>100</v>
      </c>
      <c r="R150" s="5">
        <v>287</v>
      </c>
      <c r="S150" s="5"/>
      <c r="T150" s="5" t="s">
        <v>10728</v>
      </c>
      <c r="U150" s="1" t="s">
        <v>10748</v>
      </c>
      <c r="V150" s="5" t="s">
        <v>10749</v>
      </c>
    </row>
    <row r="151" spans="1:22" x14ac:dyDescent="0.25">
      <c r="A151" s="5" t="s">
        <v>8725</v>
      </c>
      <c r="B151" s="7" t="s">
        <v>8310</v>
      </c>
      <c r="C151" s="5" t="s">
        <v>1067</v>
      </c>
      <c r="D151" s="5"/>
      <c r="F151" s="5"/>
      <c r="G151" s="7">
        <v>21</v>
      </c>
      <c r="H151" s="5" t="s">
        <v>8703</v>
      </c>
      <c r="I151" s="5" t="str">
        <f t="shared" si="2"/>
        <v>fate1501518</v>
      </c>
      <c r="J151" s="6" t="s">
        <v>8702</v>
      </c>
      <c r="K151" s="6">
        <v>15.3</v>
      </c>
      <c r="L151" s="6">
        <v>18.100000000000001</v>
      </c>
      <c r="M151" s="6">
        <v>281</v>
      </c>
      <c r="N151" s="6">
        <v>331</v>
      </c>
      <c r="P151" s="5" t="s">
        <v>8544</v>
      </c>
      <c r="Q151" s="5" t="s">
        <v>8545</v>
      </c>
      <c r="R151" s="5" t="s">
        <v>8546</v>
      </c>
      <c r="S151" s="5"/>
      <c r="T151" s="5"/>
    </row>
    <row r="152" spans="1:22" x14ac:dyDescent="0.25">
      <c r="A152" s="5" t="s">
        <v>8730</v>
      </c>
      <c r="B152" s="7" t="s">
        <v>8310</v>
      </c>
      <c r="C152" s="5" t="s">
        <v>1067</v>
      </c>
      <c r="D152" s="5"/>
      <c r="F152" s="5"/>
      <c r="G152" s="7">
        <v>22</v>
      </c>
      <c r="H152" s="5" t="s">
        <v>8703</v>
      </c>
      <c r="I152" s="5" t="str">
        <f t="shared" si="2"/>
        <v>fate1512221</v>
      </c>
      <c r="J152" s="6" t="s">
        <v>8705</v>
      </c>
      <c r="K152" s="6">
        <v>22.6</v>
      </c>
      <c r="L152" s="6">
        <v>21.3</v>
      </c>
      <c r="M152" s="6">
        <v>422</v>
      </c>
      <c r="N152" s="6">
        <v>396</v>
      </c>
      <c r="P152" s="5" t="s">
        <v>8706</v>
      </c>
      <c r="Q152" s="5" t="s">
        <v>8707</v>
      </c>
      <c r="R152" s="5" t="s">
        <v>8708</v>
      </c>
      <c r="S152" s="5"/>
      <c r="T152" s="5"/>
    </row>
    <row r="153" spans="1:22" x14ac:dyDescent="0.25">
      <c r="A153" s="5" t="s">
        <v>8733</v>
      </c>
      <c r="B153" s="7" t="s">
        <v>8310</v>
      </c>
      <c r="C153" s="5" t="s">
        <v>1067</v>
      </c>
      <c r="D153" s="5"/>
      <c r="F153" s="5"/>
      <c r="G153" s="7">
        <v>22</v>
      </c>
      <c r="H153" s="5" t="s">
        <v>8703</v>
      </c>
      <c r="I153" s="5" t="str">
        <f t="shared" si="2"/>
        <v>fate1522020</v>
      </c>
      <c r="J153" s="12" t="s">
        <v>8712</v>
      </c>
      <c r="K153" s="6">
        <v>20</v>
      </c>
      <c r="L153" s="6">
        <v>20</v>
      </c>
      <c r="M153" s="6"/>
      <c r="N153" s="6"/>
      <c r="P153" s="5" t="s">
        <v>8706</v>
      </c>
      <c r="Q153" s="5" t="s">
        <v>8707</v>
      </c>
      <c r="R153" s="5" t="s">
        <v>8708</v>
      </c>
      <c r="S153" s="5"/>
      <c r="T153" s="5"/>
    </row>
    <row r="154" spans="1:22" x14ac:dyDescent="0.25">
      <c r="A154" s="5" t="s">
        <v>8735</v>
      </c>
      <c r="B154" s="7" t="s">
        <v>8310</v>
      </c>
      <c r="C154" s="5" t="s">
        <v>1067</v>
      </c>
      <c r="D154" s="5"/>
      <c r="F154" s="5"/>
      <c r="G154" s="7">
        <v>24</v>
      </c>
      <c r="H154" s="5" t="s">
        <v>8703</v>
      </c>
      <c r="I154" s="5" t="str">
        <f t="shared" si="2"/>
        <v>fate1531622</v>
      </c>
      <c r="J154" s="6" t="s">
        <v>8716</v>
      </c>
      <c r="K154" s="6">
        <v>16.3</v>
      </c>
      <c r="L154" s="6">
        <v>22.8</v>
      </c>
      <c r="M154" s="6">
        <v>298</v>
      </c>
      <c r="N154" s="6">
        <v>425</v>
      </c>
      <c r="P154" s="5" t="s">
        <v>8717</v>
      </c>
      <c r="Q154" s="5" t="s">
        <v>8718</v>
      </c>
      <c r="R154" s="5" t="s">
        <v>8719</v>
      </c>
      <c r="S154" s="5"/>
      <c r="T154" s="5"/>
    </row>
    <row r="155" spans="1:22" x14ac:dyDescent="0.25">
      <c r="A155" s="5" t="s">
        <v>8737</v>
      </c>
      <c r="B155" s="7" t="s">
        <v>8310</v>
      </c>
      <c r="C155" s="5" t="s">
        <v>1067</v>
      </c>
      <c r="D155" s="5"/>
      <c r="F155" s="5"/>
      <c r="G155" s="7">
        <v>30</v>
      </c>
      <c r="H155" s="5" t="s">
        <v>8703</v>
      </c>
      <c r="I155" s="5" t="str">
        <f t="shared" si="2"/>
        <v>fate1541627</v>
      </c>
      <c r="J155" s="6" t="s">
        <v>8736</v>
      </c>
      <c r="K155" s="6">
        <v>16</v>
      </c>
      <c r="L155" s="6">
        <v>27</v>
      </c>
      <c r="M155" s="6">
        <v>309</v>
      </c>
      <c r="N155" s="6">
        <v>504</v>
      </c>
      <c r="P155" s="5" t="s">
        <v>8405</v>
      </c>
      <c r="Q155" s="5" t="s">
        <v>8406</v>
      </c>
      <c r="R155" s="5" t="s">
        <v>8407</v>
      </c>
      <c r="S155" s="5"/>
      <c r="T155" s="5"/>
    </row>
    <row r="156" spans="1:22" x14ac:dyDescent="0.25">
      <c r="A156" s="5" t="s">
        <v>8739</v>
      </c>
      <c r="B156" s="7" t="s">
        <v>8310</v>
      </c>
      <c r="C156" s="5" t="s">
        <v>1067</v>
      </c>
      <c r="D156" s="5"/>
      <c r="F156" s="5"/>
      <c r="G156" s="7">
        <v>31</v>
      </c>
      <c r="H156" s="5" t="s">
        <v>8703</v>
      </c>
      <c r="I156" s="5" t="str">
        <f t="shared" si="2"/>
        <v>fate1551629</v>
      </c>
      <c r="J156" s="12" t="s">
        <v>8738</v>
      </c>
      <c r="K156" s="6">
        <v>16</v>
      </c>
      <c r="L156" s="6">
        <v>29</v>
      </c>
      <c r="M156" s="6"/>
      <c r="N156" s="6"/>
      <c r="P156" s="5" t="s">
        <v>8412</v>
      </c>
      <c r="Q156" s="5" t="s">
        <v>8413</v>
      </c>
      <c r="R156" s="5" t="s">
        <v>8414</v>
      </c>
      <c r="S156" s="5"/>
      <c r="T156" s="5"/>
    </row>
    <row r="157" spans="1:22" x14ac:dyDescent="0.25">
      <c r="A157" s="5" t="s">
        <v>8742</v>
      </c>
      <c r="B157" s="7" t="s">
        <v>8310</v>
      </c>
      <c r="C157" s="5" t="s">
        <v>1067</v>
      </c>
      <c r="D157" s="5"/>
      <c r="F157" s="5"/>
      <c r="G157" s="7">
        <v>33</v>
      </c>
      <c r="H157" s="5" t="s">
        <v>8703</v>
      </c>
      <c r="I157" s="5" t="str">
        <f t="shared" si="2"/>
        <v>fate1561929</v>
      </c>
      <c r="J157" s="12" t="s">
        <v>8751</v>
      </c>
      <c r="K157" s="6">
        <v>19</v>
      </c>
      <c r="L157" s="6">
        <v>29</v>
      </c>
      <c r="M157" s="6"/>
      <c r="N157" s="6"/>
      <c r="P157" s="5" t="s">
        <v>8437</v>
      </c>
      <c r="Q157" s="5" t="s">
        <v>8438</v>
      </c>
      <c r="R157" s="5" t="s">
        <v>8439</v>
      </c>
      <c r="S157" s="5"/>
      <c r="T157" s="5"/>
    </row>
    <row r="158" spans="1:22" x14ac:dyDescent="0.25">
      <c r="A158" s="5" t="s">
        <v>8744</v>
      </c>
      <c r="B158" s="7" t="s">
        <v>8310</v>
      </c>
      <c r="C158" s="5" t="s">
        <v>1067</v>
      </c>
      <c r="D158" s="5"/>
      <c r="F158" s="5"/>
      <c r="G158" s="7">
        <v>34</v>
      </c>
      <c r="H158" s="5" t="s">
        <v>8703</v>
      </c>
      <c r="I158" s="5" t="str">
        <f t="shared" si="2"/>
        <v>fate1572129</v>
      </c>
      <c r="J158" s="6" t="s">
        <v>8753</v>
      </c>
      <c r="K158" s="6">
        <v>21.2</v>
      </c>
      <c r="L158" s="6">
        <v>29.4</v>
      </c>
      <c r="M158" s="6">
        <v>392</v>
      </c>
      <c r="N158" s="6">
        <v>549</v>
      </c>
      <c r="P158" s="5" t="s">
        <v>8457</v>
      </c>
      <c r="Q158" s="5" t="s">
        <v>8458</v>
      </c>
      <c r="R158" s="5" t="s">
        <v>8459</v>
      </c>
      <c r="S158" s="5"/>
      <c r="T158" s="5"/>
    </row>
    <row r="159" spans="1:22" x14ac:dyDescent="0.25">
      <c r="A159" s="5" t="s">
        <v>8746</v>
      </c>
      <c r="B159" s="7" t="s">
        <v>8346</v>
      </c>
      <c r="C159" s="5" t="s">
        <v>1067</v>
      </c>
      <c r="D159" s="5"/>
      <c r="F159" s="5"/>
      <c r="G159" s="7">
        <v>22</v>
      </c>
      <c r="H159" s="5" t="s">
        <v>8703</v>
      </c>
      <c r="I159" s="5" t="str">
        <f t="shared" si="2"/>
        <v>fate1581720</v>
      </c>
      <c r="J159" s="12" t="s">
        <v>8710</v>
      </c>
      <c r="K159" s="6">
        <v>17</v>
      </c>
      <c r="L159" s="6">
        <v>20</v>
      </c>
      <c r="M159" s="6"/>
      <c r="N159" s="6"/>
      <c r="P159" s="5" t="s">
        <v>8706</v>
      </c>
      <c r="Q159" s="5" t="s">
        <v>8707</v>
      </c>
      <c r="R159" s="5" t="s">
        <v>8708</v>
      </c>
      <c r="S159" s="5"/>
      <c r="T159" s="5"/>
    </row>
    <row r="160" spans="1:22" x14ac:dyDescent="0.25">
      <c r="A160" s="5" t="s">
        <v>8748</v>
      </c>
      <c r="B160" s="7" t="s">
        <v>8424</v>
      </c>
      <c r="C160" s="5" t="s">
        <v>1067</v>
      </c>
      <c r="D160" s="5"/>
      <c r="F160" s="5"/>
      <c r="G160" s="7">
        <v>29</v>
      </c>
      <c r="H160" s="5" t="s">
        <v>8703</v>
      </c>
      <c r="I160" s="5" t="str">
        <f t="shared" si="2"/>
        <v>fate1592721</v>
      </c>
      <c r="J160" s="6" t="s">
        <v>8731</v>
      </c>
      <c r="K160" s="6">
        <v>27.4</v>
      </c>
      <c r="L160" s="6">
        <v>21.3</v>
      </c>
      <c r="M160" s="6">
        <v>513</v>
      </c>
      <c r="N160" s="6">
        <v>387</v>
      </c>
      <c r="O160" s="1" t="s">
        <v>11177</v>
      </c>
      <c r="P160" s="5" t="s">
        <v>8732</v>
      </c>
      <c r="Q160" s="5" t="s">
        <v>8728</v>
      </c>
      <c r="R160" s="5" t="s">
        <v>8729</v>
      </c>
      <c r="S160" s="5"/>
      <c r="T160" s="5"/>
    </row>
    <row r="161" spans="1:22" x14ac:dyDescent="0.25">
      <c r="A161" s="5" t="s">
        <v>8750</v>
      </c>
      <c r="B161" s="7" t="s">
        <v>10503</v>
      </c>
      <c r="C161" s="5" t="s">
        <v>1067</v>
      </c>
      <c r="D161" s="1" t="s">
        <v>10806</v>
      </c>
      <c r="F161" s="5"/>
      <c r="G161" s="7">
        <v>23</v>
      </c>
      <c r="H161" s="5" t="s">
        <v>8703</v>
      </c>
      <c r="I161" s="5" t="str">
        <f>A161&amp;LEFT(SUBSTITUTE(K161,".",""),2)&amp;LEFT(SUBSTITUTE(L161,".",""),2)</f>
        <v>fate1601922</v>
      </c>
      <c r="J161" s="6" t="s">
        <v>8714</v>
      </c>
      <c r="K161" s="6">
        <v>19.899999999999999</v>
      </c>
      <c r="L161" s="6">
        <v>22.6</v>
      </c>
      <c r="M161" s="6">
        <v>368</v>
      </c>
      <c r="N161" s="6">
        <v>419</v>
      </c>
      <c r="P161" s="5" t="s">
        <v>8549</v>
      </c>
      <c r="Q161" s="5" t="s">
        <v>8343</v>
      </c>
      <c r="R161" s="5" t="s">
        <v>8550</v>
      </c>
      <c r="S161" s="5"/>
      <c r="T161" s="5"/>
    </row>
    <row r="162" spans="1:22" x14ac:dyDescent="0.25">
      <c r="A162" s="5" t="s">
        <v>8752</v>
      </c>
      <c r="B162" s="7" t="s">
        <v>10503</v>
      </c>
      <c r="C162" s="5" t="s">
        <v>1067</v>
      </c>
      <c r="D162" s="1" t="s">
        <v>10808</v>
      </c>
      <c r="F162" s="5"/>
      <c r="G162" s="7">
        <v>32</v>
      </c>
      <c r="H162" s="5" t="s">
        <v>8703</v>
      </c>
      <c r="I162" s="5" t="str">
        <f t="shared" si="2"/>
        <v>fate1611533</v>
      </c>
      <c r="J162" s="12" t="s">
        <v>8745</v>
      </c>
      <c r="K162" s="6">
        <v>15</v>
      </c>
      <c r="L162" s="6">
        <v>33</v>
      </c>
      <c r="M162" s="6"/>
      <c r="N162" s="6"/>
      <c r="P162" s="5" t="s">
        <v>8417</v>
      </c>
      <c r="Q162" s="5" t="s">
        <v>8418</v>
      </c>
      <c r="R162" s="5" t="s">
        <v>8419</v>
      </c>
      <c r="S162" s="5"/>
      <c r="T162" s="5"/>
    </row>
    <row r="163" spans="1:22" x14ac:dyDescent="0.25">
      <c r="A163" s="5" t="s">
        <v>8754</v>
      </c>
      <c r="B163" s="7" t="s">
        <v>10503</v>
      </c>
      <c r="C163" s="5" t="s">
        <v>1067</v>
      </c>
      <c r="D163" s="1" t="s">
        <v>10809</v>
      </c>
      <c r="F163" s="5"/>
      <c r="G163" s="7">
        <v>46</v>
      </c>
      <c r="H163" s="5" t="s">
        <v>8703</v>
      </c>
      <c r="I163" s="5" t="str">
        <f t="shared" si="2"/>
        <v>fate1623225</v>
      </c>
      <c r="J163" s="6" t="s">
        <v>8755</v>
      </c>
      <c r="K163" s="6">
        <v>32.1</v>
      </c>
      <c r="L163" s="6">
        <v>25.5</v>
      </c>
      <c r="M163" s="6">
        <v>609</v>
      </c>
      <c r="N163" s="6">
        <v>477</v>
      </c>
      <c r="P163" s="5" t="s">
        <v>8521</v>
      </c>
      <c r="Q163" s="5" t="s">
        <v>8756</v>
      </c>
      <c r="R163" s="5" t="s">
        <v>8522</v>
      </c>
      <c r="S163" s="5"/>
      <c r="T163" s="5"/>
    </row>
    <row r="164" spans="1:22" x14ac:dyDescent="0.25">
      <c r="A164" s="5" t="s">
        <v>8757</v>
      </c>
      <c r="B164" s="7" t="s">
        <v>8310</v>
      </c>
      <c r="C164" s="5" t="s">
        <v>1067</v>
      </c>
      <c r="D164" s="5"/>
      <c r="E164" s="5">
        <v>7</v>
      </c>
      <c r="F164" s="5">
        <v>1</v>
      </c>
      <c r="G164" s="7">
        <v>28</v>
      </c>
      <c r="H164" s="5" t="s">
        <v>8703</v>
      </c>
      <c r="I164" s="5" t="str">
        <f t="shared" si="2"/>
        <v>fate1632621</v>
      </c>
      <c r="J164" s="6" t="s">
        <v>8721</v>
      </c>
      <c r="K164" s="6">
        <v>26</v>
      </c>
      <c r="L164" s="6">
        <v>21.9</v>
      </c>
      <c r="M164" s="6">
        <v>491</v>
      </c>
      <c r="N164" s="6">
        <v>411</v>
      </c>
      <c r="O164" s="1" t="s">
        <v>11153</v>
      </c>
      <c r="P164" s="5" t="s">
        <v>8722</v>
      </c>
      <c r="Q164" s="5" t="s">
        <v>8723</v>
      </c>
      <c r="R164" s="5" t="s">
        <v>8724</v>
      </c>
      <c r="S164" s="5"/>
      <c r="T164" s="5"/>
    </row>
    <row r="165" spans="1:22" x14ac:dyDescent="0.25">
      <c r="A165" s="5" t="s">
        <v>8760</v>
      </c>
      <c r="B165" s="7" t="s">
        <v>8424</v>
      </c>
      <c r="C165" s="5" t="s">
        <v>1067</v>
      </c>
      <c r="D165" s="5"/>
      <c r="E165" s="5">
        <v>7</v>
      </c>
      <c r="F165" s="5">
        <v>2</v>
      </c>
      <c r="G165" s="7">
        <v>29</v>
      </c>
      <c r="H165" s="5" t="s">
        <v>8703</v>
      </c>
      <c r="I165" s="5" t="str">
        <f t="shared" si="2"/>
        <v>fate1642921</v>
      </c>
      <c r="J165" s="6" t="s">
        <v>8734</v>
      </c>
      <c r="K165" s="6">
        <v>29.8</v>
      </c>
      <c r="L165" s="6">
        <v>21.2</v>
      </c>
      <c r="M165" s="6">
        <v>542</v>
      </c>
      <c r="N165" s="6">
        <v>403</v>
      </c>
      <c r="O165" s="1" t="s">
        <v>11153</v>
      </c>
      <c r="P165" s="5" t="s">
        <v>8732</v>
      </c>
      <c r="Q165" s="5" t="s">
        <v>8723</v>
      </c>
      <c r="R165" s="5" t="s">
        <v>8724</v>
      </c>
      <c r="S165" s="5"/>
      <c r="T165" s="5"/>
    </row>
    <row r="166" spans="1:22" x14ac:dyDescent="0.25">
      <c r="A166" s="5" t="s">
        <v>8762</v>
      </c>
      <c r="B166" s="7" t="s">
        <v>10503</v>
      </c>
      <c r="C166" s="5" t="s">
        <v>1067</v>
      </c>
      <c r="D166" s="1" t="s">
        <v>10807</v>
      </c>
      <c r="E166" s="5">
        <v>7</v>
      </c>
      <c r="F166" s="5">
        <v>3</v>
      </c>
      <c r="G166" s="7">
        <v>29</v>
      </c>
      <c r="H166" s="5" t="s">
        <v>8703</v>
      </c>
      <c r="I166" s="5" t="str">
        <f t="shared" si="2"/>
        <v>fate1653019</v>
      </c>
      <c r="J166" s="6" t="s">
        <v>8726</v>
      </c>
      <c r="K166" s="6">
        <v>30.5</v>
      </c>
      <c r="L166" s="6">
        <v>19.8</v>
      </c>
      <c r="M166" s="6">
        <v>575</v>
      </c>
      <c r="N166" s="6">
        <v>361</v>
      </c>
      <c r="P166" s="5" t="s">
        <v>8727</v>
      </c>
      <c r="Q166" s="5" t="s">
        <v>8728</v>
      </c>
      <c r="R166" s="5" t="s">
        <v>8729</v>
      </c>
      <c r="S166" s="5"/>
      <c r="T166" s="5"/>
    </row>
    <row r="167" spans="1:22" x14ac:dyDescent="0.25">
      <c r="A167" s="5" t="s">
        <v>8764</v>
      </c>
      <c r="B167" s="7" t="s">
        <v>8310</v>
      </c>
      <c r="C167" s="5" t="s">
        <v>1067</v>
      </c>
      <c r="D167" s="5"/>
      <c r="E167" s="5">
        <v>8</v>
      </c>
      <c r="F167" s="5">
        <v>1</v>
      </c>
      <c r="G167" s="7">
        <v>32</v>
      </c>
      <c r="H167" s="5" t="s">
        <v>8703</v>
      </c>
      <c r="I167" s="5" t="str">
        <f t="shared" si="2"/>
        <v>fate1662217</v>
      </c>
      <c r="J167" s="6" t="s">
        <v>8747</v>
      </c>
      <c r="K167" s="6">
        <v>22.6</v>
      </c>
      <c r="L167" s="6">
        <v>17.2</v>
      </c>
      <c r="M167" s="6">
        <v>420</v>
      </c>
      <c r="N167" s="6">
        <v>316</v>
      </c>
      <c r="P167" s="5" t="s">
        <v>8741</v>
      </c>
      <c r="Q167" s="5" t="s">
        <v>8418</v>
      </c>
      <c r="R167" s="5" t="s">
        <v>8419</v>
      </c>
      <c r="S167" s="5"/>
      <c r="T167" s="5"/>
    </row>
    <row r="168" spans="1:22" x14ac:dyDescent="0.25">
      <c r="A168" s="5" t="s">
        <v>8766</v>
      </c>
      <c r="B168" s="7" t="s">
        <v>10503</v>
      </c>
      <c r="C168" s="5" t="s">
        <v>1067</v>
      </c>
      <c r="D168" s="1" t="s">
        <v>10810</v>
      </c>
      <c r="E168" s="5">
        <v>8</v>
      </c>
      <c r="F168" s="5">
        <v>2</v>
      </c>
      <c r="G168" s="7">
        <v>32</v>
      </c>
      <c r="H168" s="5" t="s">
        <v>8703</v>
      </c>
      <c r="I168" s="5" t="str">
        <f t="shared" si="2"/>
        <v>fate1672217</v>
      </c>
      <c r="J168" s="6" t="s">
        <v>8749</v>
      </c>
      <c r="K168" s="6">
        <v>22.6</v>
      </c>
      <c r="L168" s="6">
        <v>17.2</v>
      </c>
      <c r="M168" s="6">
        <v>420</v>
      </c>
      <c r="N168" s="6">
        <v>316</v>
      </c>
      <c r="O168" s="1" t="s">
        <v>11178</v>
      </c>
      <c r="P168" s="5" t="s">
        <v>8417</v>
      </c>
      <c r="Q168" s="5" t="s">
        <v>8418</v>
      </c>
      <c r="R168" s="5" t="s">
        <v>8419</v>
      </c>
      <c r="S168" s="5"/>
      <c r="T168" s="5"/>
    </row>
    <row r="169" spans="1:22" x14ac:dyDescent="0.25">
      <c r="A169" s="5" t="s">
        <v>8768</v>
      </c>
      <c r="B169" s="7" t="s">
        <v>8346</v>
      </c>
      <c r="C169" s="5" t="s">
        <v>1067</v>
      </c>
      <c r="D169" s="5"/>
      <c r="E169" s="5">
        <v>8</v>
      </c>
      <c r="F169" s="5">
        <v>3</v>
      </c>
      <c r="G169" s="7">
        <v>32</v>
      </c>
      <c r="H169" s="5" t="s">
        <v>8703</v>
      </c>
      <c r="I169" s="5" t="str">
        <f t="shared" si="2"/>
        <v>fate1682217</v>
      </c>
      <c r="J169" s="6" t="s">
        <v>8740</v>
      </c>
      <c r="K169" s="6">
        <v>22.6</v>
      </c>
      <c r="L169" s="6">
        <v>17.2</v>
      </c>
      <c r="M169" s="6">
        <v>420</v>
      </c>
      <c r="N169" s="6">
        <v>316</v>
      </c>
      <c r="O169" s="1" t="s">
        <v>11179</v>
      </c>
      <c r="P169" s="5" t="s">
        <v>8741</v>
      </c>
      <c r="Q169" s="5" t="s">
        <v>8418</v>
      </c>
      <c r="R169" s="5" t="s">
        <v>8419</v>
      </c>
      <c r="S169" s="5"/>
      <c r="T169" s="5"/>
    </row>
    <row r="170" spans="1:22" x14ac:dyDescent="0.25">
      <c r="A170" s="5" t="s">
        <v>8773</v>
      </c>
      <c r="B170" s="7" t="s">
        <v>8346</v>
      </c>
      <c r="C170" s="5" t="s">
        <v>1067</v>
      </c>
      <c r="D170" s="5"/>
      <c r="E170" s="5">
        <v>8</v>
      </c>
      <c r="F170" s="5">
        <v>4</v>
      </c>
      <c r="G170" s="7">
        <v>32</v>
      </c>
      <c r="H170" s="5" t="s">
        <v>8703</v>
      </c>
      <c r="I170" s="5" t="str">
        <f t="shared" si="2"/>
        <v>fate1692217</v>
      </c>
      <c r="J170" s="6" t="s">
        <v>8743</v>
      </c>
      <c r="K170" s="6">
        <v>22.6</v>
      </c>
      <c r="L170" s="6">
        <v>17.2</v>
      </c>
      <c r="M170" s="6">
        <v>420</v>
      </c>
      <c r="N170" s="6">
        <v>316</v>
      </c>
      <c r="O170" s="1" t="s">
        <v>11179</v>
      </c>
      <c r="P170" s="5" t="s">
        <v>8741</v>
      </c>
      <c r="Q170" s="5" t="s">
        <v>8418</v>
      </c>
      <c r="R170" s="5" t="s">
        <v>8419</v>
      </c>
      <c r="S170" s="5"/>
      <c r="T170" s="5"/>
    </row>
    <row r="171" spans="1:22" x14ac:dyDescent="0.25">
      <c r="A171" s="5" t="s">
        <v>8778</v>
      </c>
      <c r="B171" s="7" t="s">
        <v>10668</v>
      </c>
      <c r="C171" s="5" t="s">
        <v>1067</v>
      </c>
      <c r="D171" s="5" t="s">
        <v>10506</v>
      </c>
      <c r="F171" s="5"/>
      <c r="G171" s="7">
        <v>50</v>
      </c>
      <c r="H171" s="5" t="s">
        <v>512</v>
      </c>
      <c r="I171" s="5" t="str">
        <f t="shared" si="2"/>
        <v>fate1702020</v>
      </c>
      <c r="J171" s="5" t="s">
        <v>10505</v>
      </c>
      <c r="K171" s="6">
        <v>20.3</v>
      </c>
      <c r="L171" s="6">
        <v>20.399999999999999</v>
      </c>
      <c r="M171" s="6">
        <v>375</v>
      </c>
      <c r="N171" s="6">
        <v>378</v>
      </c>
      <c r="O171" s="1" t="s">
        <v>10672</v>
      </c>
      <c r="P171" s="5">
        <v>0</v>
      </c>
      <c r="Q171" s="5">
        <v>100</v>
      </c>
      <c r="R171" s="5">
        <v>287</v>
      </c>
      <c r="S171" s="5"/>
      <c r="T171" s="5" t="s">
        <v>10728</v>
      </c>
      <c r="U171" s="1" t="s">
        <v>10748</v>
      </c>
      <c r="V171" s="5" t="s">
        <v>10749</v>
      </c>
    </row>
    <row r="172" spans="1:22" x14ac:dyDescent="0.25">
      <c r="A172" s="5" t="s">
        <v>8780</v>
      </c>
      <c r="B172" s="7" t="s">
        <v>10668</v>
      </c>
      <c r="C172" s="5" t="s">
        <v>1067</v>
      </c>
      <c r="D172" s="5" t="s">
        <v>10506</v>
      </c>
      <c r="F172" s="5"/>
      <c r="G172" s="7">
        <v>50</v>
      </c>
      <c r="H172" s="5" t="s">
        <v>512</v>
      </c>
      <c r="I172" s="5" t="str">
        <f t="shared" si="2"/>
        <v>fate1711823</v>
      </c>
      <c r="J172" s="5" t="s">
        <v>10505</v>
      </c>
      <c r="K172" s="6">
        <v>18.2</v>
      </c>
      <c r="L172" s="6">
        <v>23.4</v>
      </c>
      <c r="M172" s="6">
        <v>337</v>
      </c>
      <c r="N172" s="6">
        <v>439</v>
      </c>
      <c r="O172" s="1" t="s">
        <v>10672</v>
      </c>
      <c r="P172" s="5">
        <v>0</v>
      </c>
      <c r="Q172" s="5">
        <v>100</v>
      </c>
      <c r="R172" s="5">
        <v>287</v>
      </c>
      <c r="S172" s="5"/>
      <c r="T172" s="5" t="s">
        <v>10728</v>
      </c>
      <c r="U172" s="1" t="s">
        <v>10748</v>
      </c>
      <c r="V172" s="5" t="s">
        <v>10749</v>
      </c>
    </row>
    <row r="173" spans="1:22" x14ac:dyDescent="0.25">
      <c r="A173" s="5" t="s">
        <v>8783</v>
      </c>
      <c r="B173" s="7" t="s">
        <v>10668</v>
      </c>
      <c r="C173" s="5" t="s">
        <v>1067</v>
      </c>
      <c r="D173" s="5" t="s">
        <v>10506</v>
      </c>
      <c r="F173" s="5"/>
      <c r="G173" s="7">
        <v>50</v>
      </c>
      <c r="H173" s="5" t="s">
        <v>512</v>
      </c>
      <c r="I173" s="5" t="str">
        <f t="shared" si="2"/>
        <v>fate1721632</v>
      </c>
      <c r="J173" s="5" t="s">
        <v>10505</v>
      </c>
      <c r="K173" s="6">
        <v>16.5</v>
      </c>
      <c r="L173" s="6">
        <v>32.9</v>
      </c>
      <c r="M173" s="6">
        <v>302</v>
      </c>
      <c r="N173" s="6">
        <v>624</v>
      </c>
      <c r="O173" s="1" t="s">
        <v>10672</v>
      </c>
      <c r="P173" s="5">
        <v>0</v>
      </c>
      <c r="Q173" s="5">
        <v>100</v>
      </c>
      <c r="R173" s="5">
        <v>287</v>
      </c>
      <c r="S173" s="5"/>
      <c r="T173" s="5" t="s">
        <v>10728</v>
      </c>
      <c r="U173" s="1" t="s">
        <v>10748</v>
      </c>
      <c r="V173" s="5" t="s">
        <v>10749</v>
      </c>
    </row>
    <row r="174" spans="1:22" x14ac:dyDescent="0.25">
      <c r="A174" s="5" t="s">
        <v>8785</v>
      </c>
      <c r="B174" s="7" t="s">
        <v>10668</v>
      </c>
      <c r="C174" s="5" t="s">
        <v>1067</v>
      </c>
      <c r="D174" s="5" t="s">
        <v>10506</v>
      </c>
      <c r="F174" s="5"/>
      <c r="G174" s="7">
        <v>50</v>
      </c>
      <c r="H174" s="5" t="s">
        <v>512</v>
      </c>
      <c r="I174" s="5" t="str">
        <f t="shared" si="2"/>
        <v>fate1733423</v>
      </c>
      <c r="J174" s="5" t="s">
        <v>10505</v>
      </c>
      <c r="K174" s="6">
        <v>34</v>
      </c>
      <c r="L174" s="6">
        <v>23.2</v>
      </c>
      <c r="M174" s="6">
        <v>644</v>
      </c>
      <c r="N174" s="6">
        <v>433</v>
      </c>
      <c r="O174" s="1" t="s">
        <v>10672</v>
      </c>
      <c r="P174" s="5">
        <v>0</v>
      </c>
      <c r="Q174" s="5">
        <v>100</v>
      </c>
      <c r="R174" s="5">
        <v>287</v>
      </c>
      <c r="S174" s="5"/>
      <c r="T174" s="5" t="s">
        <v>10728</v>
      </c>
      <c r="U174" s="1" t="s">
        <v>10748</v>
      </c>
      <c r="V174" s="5" t="s">
        <v>10749</v>
      </c>
    </row>
    <row r="175" spans="1:22" x14ac:dyDescent="0.25">
      <c r="A175" s="5" t="s">
        <v>8789</v>
      </c>
      <c r="B175" s="7" t="s">
        <v>8310</v>
      </c>
      <c r="C175" s="5" t="s">
        <v>1067</v>
      </c>
      <c r="D175" s="5"/>
      <c r="F175" s="5"/>
      <c r="G175" s="7">
        <v>3</v>
      </c>
      <c r="H175" s="5" t="s">
        <v>8759</v>
      </c>
      <c r="I175" s="5" t="str">
        <f t="shared" si="2"/>
        <v>fate1742528</v>
      </c>
      <c r="J175" s="6" t="s">
        <v>8758</v>
      </c>
      <c r="K175" s="6">
        <v>25.1</v>
      </c>
      <c r="L175" s="6">
        <v>28.4</v>
      </c>
      <c r="M175" s="6">
        <v>471</v>
      </c>
      <c r="N175" s="6">
        <v>534</v>
      </c>
      <c r="P175" s="5" t="s">
        <v>8312</v>
      </c>
      <c r="Q175" s="5" t="s">
        <v>8313</v>
      </c>
      <c r="R175" s="5" t="s">
        <v>8314</v>
      </c>
      <c r="S175" s="5"/>
      <c r="T175" s="5"/>
    </row>
    <row r="176" spans="1:22" x14ac:dyDescent="0.25">
      <c r="A176" s="5" t="s">
        <v>8791</v>
      </c>
      <c r="B176" s="7" t="s">
        <v>8310</v>
      </c>
      <c r="C176" s="5" t="s">
        <v>1067</v>
      </c>
      <c r="D176" s="5"/>
      <c r="F176" s="5"/>
      <c r="G176" s="7">
        <v>5</v>
      </c>
      <c r="H176" s="5" t="s">
        <v>8759</v>
      </c>
      <c r="I176" s="5" t="str">
        <f t="shared" si="2"/>
        <v>fate1752723</v>
      </c>
      <c r="J176" s="12" t="s">
        <v>8763</v>
      </c>
      <c r="K176" s="6">
        <v>27</v>
      </c>
      <c r="L176" s="6">
        <v>23</v>
      </c>
      <c r="M176" s="6"/>
      <c r="N176" s="6"/>
      <c r="P176" s="5" t="s">
        <v>8322</v>
      </c>
      <c r="Q176" s="5" t="s">
        <v>8323</v>
      </c>
      <c r="R176" s="5" t="s">
        <v>8324</v>
      </c>
      <c r="S176" s="5"/>
      <c r="T176" s="5"/>
    </row>
    <row r="177" spans="1:22" x14ac:dyDescent="0.25">
      <c r="A177" s="5" t="s">
        <v>8793</v>
      </c>
      <c r="B177" s="7" t="s">
        <v>8310</v>
      </c>
      <c r="C177" s="5" t="s">
        <v>1067</v>
      </c>
      <c r="D177" s="5"/>
      <c r="F177" s="5"/>
      <c r="G177" s="7">
        <v>27</v>
      </c>
      <c r="H177" s="5" t="s">
        <v>8759</v>
      </c>
      <c r="I177" s="5" t="str">
        <f t="shared" si="2"/>
        <v>fate1761826</v>
      </c>
      <c r="J177" s="6" t="s">
        <v>8774</v>
      </c>
      <c r="K177" s="6">
        <v>18.2</v>
      </c>
      <c r="L177" s="6">
        <v>26.4</v>
      </c>
      <c r="M177" s="6">
        <v>334</v>
      </c>
      <c r="N177" s="6">
        <v>494</v>
      </c>
      <c r="P177" s="5" t="s">
        <v>8775</v>
      </c>
      <c r="Q177" s="5" t="s">
        <v>8776</v>
      </c>
      <c r="R177" s="5" t="s">
        <v>8777</v>
      </c>
      <c r="S177" s="5"/>
      <c r="T177" s="5"/>
    </row>
    <row r="178" spans="1:22" x14ac:dyDescent="0.25">
      <c r="A178" s="5" t="s">
        <v>8795</v>
      </c>
      <c r="B178" s="7" t="s">
        <v>8310</v>
      </c>
      <c r="C178" s="5" t="s">
        <v>1067</v>
      </c>
      <c r="D178" s="5"/>
      <c r="F178" s="5"/>
      <c r="G178" s="7">
        <v>27</v>
      </c>
      <c r="H178" s="5" t="s">
        <v>8759</v>
      </c>
      <c r="I178" s="5" t="str">
        <f t="shared" si="2"/>
        <v>fate1771425</v>
      </c>
      <c r="J178" s="6" t="s">
        <v>8779</v>
      </c>
      <c r="K178" s="6">
        <v>14.7</v>
      </c>
      <c r="L178" s="6">
        <v>25.6</v>
      </c>
      <c r="M178" s="6">
        <v>268</v>
      </c>
      <c r="N178" s="6">
        <v>479</v>
      </c>
      <c r="P178" s="5" t="s">
        <v>8775</v>
      </c>
      <c r="Q178" s="5" t="s">
        <v>8776</v>
      </c>
      <c r="R178" s="5" t="s">
        <v>8777</v>
      </c>
      <c r="S178" s="5"/>
      <c r="T178" s="5"/>
    </row>
    <row r="179" spans="1:22" x14ac:dyDescent="0.25">
      <c r="A179" s="5" t="s">
        <v>8798</v>
      </c>
      <c r="B179" s="7" t="s">
        <v>8310</v>
      </c>
      <c r="C179" s="5" t="s">
        <v>1067</v>
      </c>
      <c r="D179" s="5"/>
      <c r="F179" s="5"/>
      <c r="G179" s="7">
        <v>28</v>
      </c>
      <c r="H179" s="5" t="s">
        <v>8759</v>
      </c>
      <c r="I179" s="5" t="str">
        <f t="shared" si="2"/>
        <v>fate1781531</v>
      </c>
      <c r="J179" s="6" t="s">
        <v>8784</v>
      </c>
      <c r="K179" s="6">
        <v>15.7</v>
      </c>
      <c r="L179" s="6">
        <v>31.1</v>
      </c>
      <c r="M179" s="6">
        <v>289</v>
      </c>
      <c r="N179" s="6">
        <v>588</v>
      </c>
      <c r="P179" s="5" t="s">
        <v>8782</v>
      </c>
      <c r="Q179" s="5" t="s">
        <v>8723</v>
      </c>
      <c r="R179" s="5" t="s">
        <v>8724</v>
      </c>
      <c r="S179" s="5"/>
      <c r="T179" s="5"/>
    </row>
    <row r="180" spans="1:22" x14ac:dyDescent="0.25">
      <c r="A180" s="5" t="s">
        <v>8800</v>
      </c>
      <c r="B180" s="7" t="s">
        <v>8310</v>
      </c>
      <c r="C180" s="5" t="s">
        <v>1067</v>
      </c>
      <c r="D180" s="5"/>
      <c r="F180" s="5"/>
      <c r="G180" s="7">
        <v>37</v>
      </c>
      <c r="H180" s="5" t="s">
        <v>8759</v>
      </c>
      <c r="I180" s="5" t="str">
        <f t="shared" si="2"/>
        <v>fate1792222</v>
      </c>
      <c r="J180" s="6" t="s">
        <v>8786</v>
      </c>
      <c r="K180" s="6">
        <v>22.3</v>
      </c>
      <c r="L180" s="6">
        <v>22.9</v>
      </c>
      <c r="M180" s="6">
        <v>416</v>
      </c>
      <c r="N180" s="6">
        <v>430</v>
      </c>
      <c r="P180" s="5" t="s">
        <v>8787</v>
      </c>
      <c r="Q180" s="5" t="s">
        <v>8364</v>
      </c>
      <c r="R180" s="5" t="s">
        <v>8788</v>
      </c>
      <c r="S180" s="5"/>
      <c r="T180" s="5"/>
    </row>
    <row r="181" spans="1:22" x14ac:dyDescent="0.25">
      <c r="A181" s="5" t="s">
        <v>8802</v>
      </c>
      <c r="B181" s="7" t="s">
        <v>8310</v>
      </c>
      <c r="C181" s="5" t="s">
        <v>1067</v>
      </c>
      <c r="D181" s="5"/>
      <c r="F181" s="5"/>
      <c r="G181" s="7">
        <v>47</v>
      </c>
      <c r="H181" s="5" t="s">
        <v>8759</v>
      </c>
      <c r="I181" s="5" t="str">
        <f t="shared" si="2"/>
        <v>fate1801919</v>
      </c>
      <c r="J181" s="6" t="s">
        <v>8792</v>
      </c>
      <c r="K181" s="6">
        <v>19.5</v>
      </c>
      <c r="L181" s="6">
        <v>19.2</v>
      </c>
      <c r="M181" s="6">
        <v>361</v>
      </c>
      <c r="N181" s="6">
        <v>353</v>
      </c>
      <c r="P181" s="5" t="s">
        <v>8592</v>
      </c>
      <c r="Q181" s="5" t="s">
        <v>8593</v>
      </c>
      <c r="R181" s="5" t="s">
        <v>8594</v>
      </c>
      <c r="S181" s="5"/>
      <c r="T181" s="5"/>
    </row>
    <row r="182" spans="1:22" x14ac:dyDescent="0.25">
      <c r="A182" s="5" t="s">
        <v>8804</v>
      </c>
      <c r="B182" s="7" t="s">
        <v>8346</v>
      </c>
      <c r="C182" s="5" t="s">
        <v>1067</v>
      </c>
      <c r="D182" s="5"/>
      <c r="F182" s="5"/>
      <c r="G182" s="7">
        <v>7</v>
      </c>
      <c r="H182" s="5" t="s">
        <v>8759</v>
      </c>
      <c r="I182" s="5" t="str">
        <f t="shared" si="2"/>
        <v>fate1812820</v>
      </c>
      <c r="J182" s="6" t="s">
        <v>8765</v>
      </c>
      <c r="K182" s="6">
        <v>28.1</v>
      </c>
      <c r="L182" s="6">
        <v>20</v>
      </c>
      <c r="M182" s="6">
        <v>534</v>
      </c>
      <c r="N182" s="6">
        <v>369</v>
      </c>
      <c r="P182" s="5" t="s">
        <v>8334</v>
      </c>
      <c r="Q182" s="5" t="s">
        <v>8335</v>
      </c>
      <c r="R182" s="5" t="s">
        <v>8336</v>
      </c>
      <c r="S182" s="5"/>
      <c r="T182" s="5"/>
      <c r="V182" s="5"/>
    </row>
    <row r="183" spans="1:22" x14ac:dyDescent="0.25">
      <c r="A183" s="5" t="s">
        <v>8806</v>
      </c>
      <c r="B183" s="7" t="s">
        <v>8346</v>
      </c>
      <c r="C183" s="5" t="s">
        <v>1067</v>
      </c>
      <c r="D183" s="5"/>
      <c r="F183" s="5"/>
      <c r="G183" s="7">
        <v>25</v>
      </c>
      <c r="H183" s="5" t="s">
        <v>8759</v>
      </c>
      <c r="I183" s="5" t="str">
        <f t="shared" si="2"/>
        <v>fate1822226</v>
      </c>
      <c r="J183" s="12" t="s">
        <v>8769</v>
      </c>
      <c r="K183" s="6">
        <v>22</v>
      </c>
      <c r="L183" s="6">
        <v>26</v>
      </c>
      <c r="M183" s="6"/>
      <c r="N183" s="6"/>
      <c r="P183" s="5" t="s">
        <v>8770</v>
      </c>
      <c r="Q183" s="5" t="s">
        <v>8771</v>
      </c>
      <c r="R183" s="5" t="s">
        <v>8772</v>
      </c>
      <c r="S183" s="5"/>
      <c r="T183" s="5"/>
    </row>
    <row r="184" spans="1:22" x14ac:dyDescent="0.25">
      <c r="A184" s="5" t="s">
        <v>8808</v>
      </c>
      <c r="B184" s="7" t="s">
        <v>8424</v>
      </c>
      <c r="C184" s="5" t="s">
        <v>1067</v>
      </c>
      <c r="D184" s="5"/>
      <c r="F184" s="5"/>
      <c r="G184" s="7">
        <v>28</v>
      </c>
      <c r="H184" s="5" t="s">
        <v>8759</v>
      </c>
      <c r="I184" s="5" t="str">
        <f t="shared" si="2"/>
        <v>fate1831728</v>
      </c>
      <c r="J184" s="6" t="s">
        <v>8781</v>
      </c>
      <c r="K184" s="6">
        <v>17.3</v>
      </c>
      <c r="L184" s="6">
        <v>28.1</v>
      </c>
      <c r="M184" s="6">
        <v>314</v>
      </c>
      <c r="N184" s="6">
        <v>526</v>
      </c>
      <c r="P184" s="5" t="s">
        <v>8782</v>
      </c>
      <c r="Q184" s="5" t="s">
        <v>8723</v>
      </c>
      <c r="R184" s="5" t="s">
        <v>8724</v>
      </c>
      <c r="S184" s="5"/>
      <c r="T184" s="5"/>
    </row>
    <row r="185" spans="1:22" x14ac:dyDescent="0.25">
      <c r="A185" s="5" t="s">
        <v>8810</v>
      </c>
      <c r="B185" s="7" t="s">
        <v>10503</v>
      </c>
      <c r="C185" s="5" t="s">
        <v>1067</v>
      </c>
      <c r="D185" s="1" t="s">
        <v>10811</v>
      </c>
      <c r="F185" s="5"/>
      <c r="G185" s="7">
        <v>3</v>
      </c>
      <c r="H185" s="5" t="s">
        <v>8759</v>
      </c>
      <c r="I185" s="5" t="str">
        <f t="shared" si="2"/>
        <v>fate1842528</v>
      </c>
      <c r="J185" s="6" t="s">
        <v>8761</v>
      </c>
      <c r="K185" s="6">
        <v>25</v>
      </c>
      <c r="L185" s="6">
        <v>28.5</v>
      </c>
      <c r="M185" s="6">
        <v>469</v>
      </c>
      <c r="N185" s="6">
        <v>532</v>
      </c>
      <c r="P185" s="5" t="s">
        <v>8312</v>
      </c>
      <c r="Q185" s="5" t="s">
        <v>8313</v>
      </c>
      <c r="R185" s="5" t="s">
        <v>8314</v>
      </c>
      <c r="S185" s="5"/>
      <c r="T185" s="5"/>
    </row>
    <row r="186" spans="1:22" x14ac:dyDescent="0.25">
      <c r="A186" s="5" t="s">
        <v>8811</v>
      </c>
      <c r="B186" s="7" t="s">
        <v>10503</v>
      </c>
      <c r="C186" s="5" t="s">
        <v>1067</v>
      </c>
      <c r="D186" s="1" t="s">
        <v>10812</v>
      </c>
      <c r="F186" s="5"/>
      <c r="G186" s="7">
        <v>8</v>
      </c>
      <c r="H186" s="5" t="s">
        <v>8759</v>
      </c>
      <c r="I186" s="5" t="str">
        <f t="shared" si="2"/>
        <v>fate1852621</v>
      </c>
      <c r="J186" s="6" t="s">
        <v>8767</v>
      </c>
      <c r="K186" s="6">
        <v>26.2</v>
      </c>
      <c r="L186" s="6">
        <v>21.8</v>
      </c>
      <c r="M186" s="6">
        <v>495</v>
      </c>
      <c r="N186" s="6">
        <v>407</v>
      </c>
      <c r="P186" s="5" t="s">
        <v>8341</v>
      </c>
      <c r="Q186" s="5" t="s">
        <v>8342</v>
      </c>
      <c r="R186" s="5" t="s">
        <v>8343</v>
      </c>
      <c r="S186" s="5"/>
      <c r="T186" s="5"/>
      <c r="V186" s="5"/>
    </row>
    <row r="187" spans="1:22" x14ac:dyDescent="0.25">
      <c r="A187" s="5" t="s">
        <v>8813</v>
      </c>
      <c r="B187" s="7" t="s">
        <v>10503</v>
      </c>
      <c r="C187" s="5" t="s">
        <v>1067</v>
      </c>
      <c r="D187" s="1" t="s">
        <v>10813</v>
      </c>
      <c r="F187" s="5"/>
      <c r="G187" s="7">
        <v>37</v>
      </c>
      <c r="H187" s="5" t="s">
        <v>8759</v>
      </c>
      <c r="I187" s="5" t="str">
        <f t="shared" si="2"/>
        <v>fate1862325</v>
      </c>
      <c r="J187" s="6" t="s">
        <v>8790</v>
      </c>
      <c r="K187" s="6">
        <v>23.8</v>
      </c>
      <c r="L187" s="6">
        <v>25</v>
      </c>
      <c r="M187" s="6">
        <v>442</v>
      </c>
      <c r="N187" s="6">
        <v>468</v>
      </c>
      <c r="P187" s="5" t="s">
        <v>8787</v>
      </c>
      <c r="Q187" s="5" t="s">
        <v>8364</v>
      </c>
      <c r="R187" s="5" t="s">
        <v>8788</v>
      </c>
      <c r="S187" s="5"/>
      <c r="T187" s="5"/>
    </row>
    <row r="188" spans="1:22" x14ac:dyDescent="0.25">
      <c r="A188" s="5" t="s">
        <v>8815</v>
      </c>
      <c r="B188" s="7" t="s">
        <v>10503</v>
      </c>
      <c r="C188" s="5" t="s">
        <v>1067</v>
      </c>
      <c r="D188" s="1" t="s">
        <v>10814</v>
      </c>
      <c r="F188" s="5"/>
      <c r="G188" s="7">
        <v>48</v>
      </c>
      <c r="H188" s="5" t="s">
        <v>8759</v>
      </c>
      <c r="I188" s="5" t="str">
        <f t="shared" si="2"/>
        <v>fate1872220</v>
      </c>
      <c r="J188" s="12" t="s">
        <v>8794</v>
      </c>
      <c r="K188" s="6">
        <v>22</v>
      </c>
      <c r="L188" s="6">
        <v>20</v>
      </c>
      <c r="M188" s="6"/>
      <c r="N188" s="6"/>
      <c r="P188" s="5" t="s">
        <v>8525</v>
      </c>
      <c r="Q188" s="5" t="s">
        <v>8526</v>
      </c>
      <c r="R188" s="5" t="s">
        <v>8527</v>
      </c>
      <c r="S188" s="5"/>
      <c r="T188" s="5"/>
    </row>
    <row r="189" spans="1:22" x14ac:dyDescent="0.25">
      <c r="A189" s="5" t="s">
        <v>8817</v>
      </c>
      <c r="B189" s="7" t="s">
        <v>10668</v>
      </c>
      <c r="C189" s="5" t="s">
        <v>1067</v>
      </c>
      <c r="D189" s="5" t="s">
        <v>10506</v>
      </c>
      <c r="F189" s="5"/>
      <c r="G189" s="7">
        <v>50</v>
      </c>
      <c r="H189" s="5" t="s">
        <v>344</v>
      </c>
      <c r="I189" s="5" t="str">
        <f t="shared" si="2"/>
        <v>fate1882222</v>
      </c>
      <c r="J189" s="5" t="s">
        <v>10505</v>
      </c>
      <c r="K189" s="6">
        <v>22.2</v>
      </c>
      <c r="L189" s="6">
        <v>22.5</v>
      </c>
      <c r="M189" s="6">
        <v>415</v>
      </c>
      <c r="N189" s="6">
        <v>415</v>
      </c>
      <c r="O189" s="1" t="s">
        <v>10672</v>
      </c>
      <c r="P189" s="5">
        <v>0</v>
      </c>
      <c r="Q189" s="5">
        <v>100</v>
      </c>
      <c r="R189" s="5">
        <v>287</v>
      </c>
      <c r="S189" s="5"/>
      <c r="T189" s="5" t="s">
        <v>10728</v>
      </c>
      <c r="U189" s="1" t="s">
        <v>10748</v>
      </c>
      <c r="V189" s="5" t="s">
        <v>10749</v>
      </c>
    </row>
    <row r="190" spans="1:22" x14ac:dyDescent="0.25">
      <c r="A190" s="5" t="s">
        <v>8819</v>
      </c>
      <c r="B190" s="7" t="s">
        <v>10668</v>
      </c>
      <c r="C190" s="5" t="s">
        <v>1067</v>
      </c>
      <c r="D190" s="5" t="s">
        <v>10506</v>
      </c>
      <c r="F190" s="5"/>
      <c r="G190" s="7">
        <v>50</v>
      </c>
      <c r="H190" s="5" t="s">
        <v>344</v>
      </c>
      <c r="I190" s="5" t="str">
        <f t="shared" si="2"/>
        <v>fate1892524</v>
      </c>
      <c r="J190" s="5" t="s">
        <v>10505</v>
      </c>
      <c r="K190" s="6">
        <v>25.2</v>
      </c>
      <c r="L190" s="6">
        <v>24.4</v>
      </c>
      <c r="M190" s="6">
        <v>475</v>
      </c>
      <c r="N190" s="6">
        <v>455</v>
      </c>
      <c r="O190" s="1" t="s">
        <v>10672</v>
      </c>
      <c r="P190" s="5">
        <v>0</v>
      </c>
      <c r="Q190" s="5">
        <v>100</v>
      </c>
      <c r="R190" s="5">
        <v>287</v>
      </c>
      <c r="S190" s="5"/>
      <c r="T190" s="5" t="s">
        <v>10728</v>
      </c>
      <c r="U190" s="1" t="s">
        <v>10748</v>
      </c>
      <c r="V190" s="5" t="s">
        <v>10749</v>
      </c>
    </row>
    <row r="191" spans="1:22" x14ac:dyDescent="0.25">
      <c r="A191" s="5" t="s">
        <v>8821</v>
      </c>
      <c r="B191" s="7" t="s">
        <v>10668</v>
      </c>
      <c r="C191" s="5" t="s">
        <v>1067</v>
      </c>
      <c r="D191" s="5" t="s">
        <v>10506</v>
      </c>
      <c r="F191" s="5"/>
      <c r="G191" s="7">
        <v>50</v>
      </c>
      <c r="H191" s="5" t="s">
        <v>344</v>
      </c>
      <c r="I191" s="5" t="str">
        <f t="shared" si="2"/>
        <v>fate1901627</v>
      </c>
      <c r="J191" s="5" t="s">
        <v>10505</v>
      </c>
      <c r="K191" s="6">
        <v>16.2</v>
      </c>
      <c r="L191" s="6">
        <v>27.3</v>
      </c>
      <c r="M191" s="6">
        <v>298</v>
      </c>
      <c r="N191" s="6">
        <v>514</v>
      </c>
      <c r="O191" s="1" t="s">
        <v>10672</v>
      </c>
      <c r="P191" s="5">
        <v>0</v>
      </c>
      <c r="Q191" s="5">
        <v>100</v>
      </c>
      <c r="R191" s="5">
        <v>287</v>
      </c>
      <c r="S191" s="5"/>
      <c r="T191" s="5" t="s">
        <v>10728</v>
      </c>
      <c r="U191" s="1" t="s">
        <v>10748</v>
      </c>
      <c r="V191" s="5" t="s">
        <v>10749</v>
      </c>
    </row>
    <row r="192" spans="1:22" x14ac:dyDescent="0.25">
      <c r="A192" s="5" t="s">
        <v>8823</v>
      </c>
      <c r="B192" s="7" t="s">
        <v>8310</v>
      </c>
      <c r="C192" s="5" t="s">
        <v>1067</v>
      </c>
      <c r="D192" s="5"/>
      <c r="F192" s="5"/>
      <c r="G192" s="7">
        <v>5</v>
      </c>
      <c r="H192" s="5" t="s">
        <v>8797</v>
      </c>
      <c r="I192" s="5" t="str">
        <f t="shared" si="2"/>
        <v>fate1912325</v>
      </c>
      <c r="J192" s="6" t="s">
        <v>8796</v>
      </c>
      <c r="K192" s="6">
        <v>23</v>
      </c>
      <c r="L192" s="6">
        <v>25</v>
      </c>
      <c r="M192" s="6"/>
      <c r="N192" s="6"/>
      <c r="P192" s="5" t="s">
        <v>8322</v>
      </c>
      <c r="Q192" s="5" t="s">
        <v>8323</v>
      </c>
      <c r="R192" s="5" t="s">
        <v>8324</v>
      </c>
      <c r="S192" s="5"/>
      <c r="T192" s="5"/>
    </row>
    <row r="193" spans="1:20" x14ac:dyDescent="0.25">
      <c r="A193" s="5" t="s">
        <v>8825</v>
      </c>
      <c r="B193" s="7" t="s">
        <v>8310</v>
      </c>
      <c r="C193" s="5" t="s">
        <v>1067</v>
      </c>
      <c r="D193" s="5"/>
      <c r="F193" s="5"/>
      <c r="G193" s="7">
        <v>5</v>
      </c>
      <c r="H193" s="5" t="s">
        <v>8797</v>
      </c>
      <c r="I193" s="5" t="str">
        <f t="shared" si="2"/>
        <v>fate1922325</v>
      </c>
      <c r="J193" s="6" t="s">
        <v>8799</v>
      </c>
      <c r="K193" s="6">
        <v>23</v>
      </c>
      <c r="L193" s="6">
        <v>25</v>
      </c>
      <c r="M193" s="6"/>
      <c r="N193" s="6"/>
      <c r="P193" s="5" t="s">
        <v>8322</v>
      </c>
      <c r="Q193" s="5" t="s">
        <v>8323</v>
      </c>
      <c r="R193" s="5" t="s">
        <v>8324</v>
      </c>
      <c r="S193" s="5"/>
      <c r="T193" s="5"/>
    </row>
    <row r="194" spans="1:20" x14ac:dyDescent="0.25">
      <c r="A194" s="5" t="s">
        <v>8827</v>
      </c>
      <c r="B194" s="7" t="s">
        <v>8310</v>
      </c>
      <c r="C194" s="5" t="s">
        <v>1067</v>
      </c>
      <c r="D194" s="5"/>
      <c r="F194" s="5"/>
      <c r="G194" s="7">
        <v>6</v>
      </c>
      <c r="H194" s="5" t="s">
        <v>8797</v>
      </c>
      <c r="I194" s="5" t="str">
        <f t="shared" si="2"/>
        <v>fate1932326</v>
      </c>
      <c r="J194" s="6" t="s">
        <v>8801</v>
      </c>
      <c r="K194" s="6">
        <v>23</v>
      </c>
      <c r="L194" s="6">
        <v>26</v>
      </c>
      <c r="M194" s="6"/>
      <c r="N194" s="6"/>
      <c r="P194" s="5" t="s">
        <v>8329</v>
      </c>
      <c r="Q194" s="5" t="s">
        <v>8330</v>
      </c>
      <c r="R194" s="5" t="s">
        <v>8331</v>
      </c>
      <c r="S194" s="5"/>
      <c r="T194" s="5"/>
    </row>
    <row r="195" spans="1:20" x14ac:dyDescent="0.25">
      <c r="A195" s="5" t="s">
        <v>8829</v>
      </c>
      <c r="B195" s="7" t="s">
        <v>8310</v>
      </c>
      <c r="C195" s="5" t="s">
        <v>1067</v>
      </c>
      <c r="D195" s="5"/>
      <c r="F195" s="5"/>
      <c r="G195" s="7">
        <v>8</v>
      </c>
      <c r="H195" s="5" t="s">
        <v>8797</v>
      </c>
      <c r="I195" s="5" t="str">
        <f t="shared" si="2"/>
        <v>fate1941828</v>
      </c>
      <c r="J195" s="6" t="s">
        <v>8803</v>
      </c>
      <c r="K195" s="6">
        <v>18</v>
      </c>
      <c r="L195" s="6">
        <v>28</v>
      </c>
      <c r="M195" s="6"/>
      <c r="N195" s="6"/>
      <c r="P195" s="5" t="s">
        <v>8341</v>
      </c>
      <c r="Q195" s="5" t="s">
        <v>8342</v>
      </c>
      <c r="R195" s="5" t="s">
        <v>8343</v>
      </c>
      <c r="S195" s="5"/>
      <c r="T195" s="5"/>
    </row>
    <row r="196" spans="1:20" x14ac:dyDescent="0.25">
      <c r="A196" s="5" t="s">
        <v>8831</v>
      </c>
      <c r="B196" s="7" t="s">
        <v>8310</v>
      </c>
      <c r="C196" s="5" t="s">
        <v>1067</v>
      </c>
      <c r="D196" s="5"/>
      <c r="F196" s="5"/>
      <c r="G196" s="7">
        <v>10</v>
      </c>
      <c r="H196" s="5" t="s">
        <v>8797</v>
      </c>
      <c r="I196" s="5" t="str">
        <f t="shared" ref="I196:I259" si="3">A196&amp;LEFT(SUBSTITUTE(K196,".",""),2)&amp;LEFT(SUBSTITUTE(L196,".",""),2)</f>
        <v>fate1952420</v>
      </c>
      <c r="J196" s="6" t="s">
        <v>8812</v>
      </c>
      <c r="K196" s="6">
        <v>24</v>
      </c>
      <c r="L196" s="6">
        <v>20</v>
      </c>
      <c r="M196" s="6"/>
      <c r="N196" s="6"/>
      <c r="P196" s="5" t="s">
        <v>8352</v>
      </c>
      <c r="Q196" s="5" t="s">
        <v>8353</v>
      </c>
      <c r="R196" s="5" t="s">
        <v>8354</v>
      </c>
      <c r="S196" s="5"/>
      <c r="T196" s="5"/>
    </row>
    <row r="197" spans="1:20" x14ac:dyDescent="0.25">
      <c r="A197" s="5" t="s">
        <v>8834</v>
      </c>
      <c r="B197" s="7" t="s">
        <v>8310</v>
      </c>
      <c r="C197" s="5" t="s">
        <v>1067</v>
      </c>
      <c r="D197" s="5"/>
      <c r="F197" s="5"/>
      <c r="G197" s="7">
        <v>10</v>
      </c>
      <c r="H197" s="5" t="s">
        <v>8797</v>
      </c>
      <c r="I197" s="5" t="str">
        <f t="shared" si="3"/>
        <v>fate1962519</v>
      </c>
      <c r="J197" s="6" t="s">
        <v>8814</v>
      </c>
      <c r="K197" s="6">
        <v>25</v>
      </c>
      <c r="L197" s="6">
        <v>19</v>
      </c>
      <c r="M197" s="6"/>
      <c r="N197" s="6"/>
      <c r="P197" s="5" t="s">
        <v>8352</v>
      </c>
      <c r="Q197" s="5" t="s">
        <v>8353</v>
      </c>
      <c r="R197" s="5" t="s">
        <v>8354</v>
      </c>
      <c r="S197" s="5"/>
      <c r="T197" s="5"/>
    </row>
    <row r="198" spans="1:20" x14ac:dyDescent="0.25">
      <c r="A198" s="5" t="s">
        <v>8836</v>
      </c>
      <c r="B198" s="7" t="s">
        <v>8310</v>
      </c>
      <c r="C198" s="5" t="s">
        <v>1067</v>
      </c>
      <c r="D198" s="5"/>
      <c r="F198" s="5"/>
      <c r="G198" s="7">
        <v>10</v>
      </c>
      <c r="H198" s="5" t="s">
        <v>8797</v>
      </c>
      <c r="I198" s="5" t="str">
        <f t="shared" si="3"/>
        <v>fate1972321</v>
      </c>
      <c r="J198" s="6" t="s">
        <v>8816</v>
      </c>
      <c r="K198" s="6">
        <v>23</v>
      </c>
      <c r="L198" s="6">
        <v>21</v>
      </c>
      <c r="M198" s="6"/>
      <c r="N198" s="6"/>
      <c r="P198" s="5" t="s">
        <v>8352</v>
      </c>
      <c r="Q198" s="5" t="s">
        <v>8353</v>
      </c>
      <c r="R198" s="5" t="s">
        <v>8354</v>
      </c>
      <c r="S198" s="5"/>
      <c r="T198" s="5"/>
    </row>
    <row r="199" spans="1:20" x14ac:dyDescent="0.25">
      <c r="A199" s="5" t="s">
        <v>8838</v>
      </c>
      <c r="B199" s="7" t="s">
        <v>8310</v>
      </c>
      <c r="C199" s="5" t="s">
        <v>1067</v>
      </c>
      <c r="D199" s="5"/>
      <c r="F199" s="5"/>
      <c r="G199" s="7">
        <v>13</v>
      </c>
      <c r="H199" s="5" t="s">
        <v>8797</v>
      </c>
      <c r="I199" s="5" t="str">
        <f t="shared" si="3"/>
        <v>fate1981516</v>
      </c>
      <c r="J199" s="6" t="s">
        <v>8818</v>
      </c>
      <c r="K199" s="6">
        <v>15</v>
      </c>
      <c r="L199" s="6">
        <v>16</v>
      </c>
      <c r="M199" s="6"/>
      <c r="N199" s="6"/>
      <c r="P199" s="5" t="s">
        <v>8362</v>
      </c>
      <c r="Q199" s="5" t="s">
        <v>8363</v>
      </c>
      <c r="R199" s="5" t="s">
        <v>8364</v>
      </c>
      <c r="S199" s="5"/>
      <c r="T199" s="5"/>
    </row>
    <row r="200" spans="1:20" x14ac:dyDescent="0.25">
      <c r="A200" s="5" t="s">
        <v>8839</v>
      </c>
      <c r="B200" s="7" t="s">
        <v>8310</v>
      </c>
      <c r="C200" s="5" t="s">
        <v>1067</v>
      </c>
      <c r="D200" s="5"/>
      <c r="F200" s="5"/>
      <c r="G200" s="7">
        <v>20</v>
      </c>
      <c r="H200" s="5" t="s">
        <v>8797</v>
      </c>
      <c r="I200" s="5" t="str">
        <f t="shared" si="3"/>
        <v>fate1991311</v>
      </c>
      <c r="J200" s="6" t="s">
        <v>8822</v>
      </c>
      <c r="K200" s="6">
        <v>13</v>
      </c>
      <c r="L200" s="6">
        <v>11</v>
      </c>
      <c r="M200" s="6"/>
      <c r="N200" s="6"/>
      <c r="P200" s="5" t="s">
        <v>8536</v>
      </c>
      <c r="Q200" s="5" t="s">
        <v>8336</v>
      </c>
      <c r="R200" s="5" t="s">
        <v>8537</v>
      </c>
      <c r="S200" s="5"/>
      <c r="T200" s="5"/>
    </row>
    <row r="201" spans="1:20" x14ac:dyDescent="0.25">
      <c r="A201" s="5" t="s">
        <v>8841</v>
      </c>
      <c r="B201" s="7" t="s">
        <v>8310</v>
      </c>
      <c r="C201" s="5" t="s">
        <v>1067</v>
      </c>
      <c r="D201" s="5"/>
      <c r="F201" s="5"/>
      <c r="G201" s="7">
        <v>23</v>
      </c>
      <c r="H201" s="5" t="s">
        <v>8797</v>
      </c>
      <c r="I201" s="5" t="str">
        <f t="shared" si="3"/>
        <v>fate200137</v>
      </c>
      <c r="J201" s="6" t="s">
        <v>8830</v>
      </c>
      <c r="K201" s="6">
        <v>13</v>
      </c>
      <c r="L201" s="6">
        <v>7</v>
      </c>
      <c r="M201" s="6"/>
      <c r="N201" s="6"/>
      <c r="P201" s="5" t="s">
        <v>8549</v>
      </c>
      <c r="Q201" s="5" t="s">
        <v>8343</v>
      </c>
      <c r="R201" s="5" t="s">
        <v>8550</v>
      </c>
      <c r="S201" s="5"/>
      <c r="T201" s="5"/>
    </row>
    <row r="202" spans="1:20" x14ac:dyDescent="0.25">
      <c r="A202" s="5" t="s">
        <v>8843</v>
      </c>
      <c r="B202" s="7" t="s">
        <v>8346</v>
      </c>
      <c r="C202" s="5" t="s">
        <v>1067</v>
      </c>
      <c r="D202" s="5"/>
      <c r="F202" s="5"/>
      <c r="G202" s="7">
        <v>8</v>
      </c>
      <c r="H202" s="5" t="s">
        <v>8797</v>
      </c>
      <c r="I202" s="5" t="str">
        <f t="shared" si="3"/>
        <v>fate2012028</v>
      </c>
      <c r="J202" s="6" t="s">
        <v>8805</v>
      </c>
      <c r="K202" s="6">
        <v>20</v>
      </c>
      <c r="L202" s="6">
        <v>28</v>
      </c>
      <c r="M202" s="6"/>
      <c r="N202" s="6"/>
      <c r="P202" s="5" t="s">
        <v>8341</v>
      </c>
      <c r="Q202" s="5" t="s">
        <v>8342</v>
      </c>
      <c r="R202" s="5" t="s">
        <v>8343</v>
      </c>
      <c r="S202" s="5"/>
      <c r="T202" s="5"/>
    </row>
    <row r="203" spans="1:20" x14ac:dyDescent="0.25">
      <c r="A203" s="5" t="s">
        <v>8845</v>
      </c>
      <c r="B203" s="7" t="s">
        <v>8450</v>
      </c>
      <c r="C203" s="5" t="s">
        <v>1067</v>
      </c>
      <c r="D203" s="5"/>
      <c r="F203" s="5"/>
      <c r="G203" s="7">
        <v>22</v>
      </c>
      <c r="H203" s="5" t="s">
        <v>8797</v>
      </c>
      <c r="I203" s="5" t="str">
        <f t="shared" si="3"/>
        <v>fate202149</v>
      </c>
      <c r="J203" s="6" t="s">
        <v>8826</v>
      </c>
      <c r="K203" s="6">
        <v>14</v>
      </c>
      <c r="L203" s="6">
        <v>9</v>
      </c>
      <c r="M203" s="6"/>
      <c r="N203" s="6"/>
      <c r="P203" s="5" t="s">
        <v>8706</v>
      </c>
      <c r="Q203" s="5" t="s">
        <v>8707</v>
      </c>
      <c r="R203" s="5" t="s">
        <v>8708</v>
      </c>
      <c r="S203" s="5"/>
      <c r="T203" s="5"/>
    </row>
    <row r="204" spans="1:20" x14ac:dyDescent="0.25">
      <c r="A204" s="5" t="s">
        <v>8847</v>
      </c>
      <c r="B204" s="7" t="s">
        <v>8424</v>
      </c>
      <c r="C204" s="5" t="s">
        <v>1067</v>
      </c>
      <c r="D204" s="5"/>
      <c r="F204" s="5"/>
      <c r="G204" s="7">
        <v>8</v>
      </c>
      <c r="H204" s="5" t="s">
        <v>8797</v>
      </c>
      <c r="I204" s="5" t="str">
        <f t="shared" si="3"/>
        <v>fate2031729</v>
      </c>
      <c r="J204" s="6" t="s">
        <v>8807</v>
      </c>
      <c r="K204" s="6">
        <v>17</v>
      </c>
      <c r="L204" s="6">
        <v>29</v>
      </c>
      <c r="M204" s="6"/>
      <c r="N204" s="6"/>
      <c r="P204" s="5" t="s">
        <v>8341</v>
      </c>
      <c r="Q204" s="5" t="s">
        <v>8342</v>
      </c>
      <c r="R204" s="5" t="s">
        <v>8343</v>
      </c>
      <c r="S204" s="5"/>
      <c r="T204" s="5"/>
    </row>
    <row r="205" spans="1:20" x14ac:dyDescent="0.25">
      <c r="A205" s="5" t="s">
        <v>8849</v>
      </c>
      <c r="B205" s="7" t="s">
        <v>10503</v>
      </c>
      <c r="C205" s="5" t="s">
        <v>1067</v>
      </c>
      <c r="D205" s="1" t="s">
        <v>10815</v>
      </c>
      <c r="F205" s="5"/>
      <c r="G205" s="7">
        <v>9</v>
      </c>
      <c r="H205" s="5" t="s">
        <v>8797</v>
      </c>
      <c r="I205" s="5" t="str">
        <f t="shared" si="3"/>
        <v>fate2042223</v>
      </c>
      <c r="J205" s="6" t="s">
        <v>8809</v>
      </c>
      <c r="K205" s="6">
        <v>22</v>
      </c>
      <c r="L205" s="6">
        <v>23</v>
      </c>
      <c r="M205" s="6"/>
      <c r="N205" s="6"/>
      <c r="P205" s="5" t="s">
        <v>8347</v>
      </c>
      <c r="Q205" s="5" t="s">
        <v>8348</v>
      </c>
      <c r="R205" s="5" t="s">
        <v>8349</v>
      </c>
      <c r="S205" s="5"/>
      <c r="T205" s="5"/>
    </row>
    <row r="206" spans="1:20" x14ac:dyDescent="0.25">
      <c r="A206" s="5" t="s">
        <v>8851</v>
      </c>
      <c r="B206" s="7" t="s">
        <v>10503</v>
      </c>
      <c r="C206" s="5" t="s">
        <v>1067</v>
      </c>
      <c r="D206" s="1" t="s">
        <v>532</v>
      </c>
      <c r="F206" s="5"/>
      <c r="G206" s="7">
        <v>9</v>
      </c>
      <c r="H206" s="5" t="s">
        <v>8797</v>
      </c>
      <c r="I206" s="5" t="str">
        <f t="shared" si="3"/>
        <v>fate2052421</v>
      </c>
      <c r="J206" s="6" t="s">
        <v>533</v>
      </c>
      <c r="K206" s="6">
        <v>24</v>
      </c>
      <c r="L206" s="6">
        <v>21</v>
      </c>
      <c r="M206" s="6"/>
      <c r="N206" s="6"/>
      <c r="P206" s="5" t="s">
        <v>8347</v>
      </c>
      <c r="Q206" s="5" t="s">
        <v>8348</v>
      </c>
      <c r="R206" s="5" t="s">
        <v>8349</v>
      </c>
      <c r="S206" s="5"/>
      <c r="T206" s="5"/>
    </row>
    <row r="207" spans="1:20" x14ac:dyDescent="0.25">
      <c r="A207" s="5" t="s">
        <v>8853</v>
      </c>
      <c r="B207" s="7" t="s">
        <v>10503</v>
      </c>
      <c r="C207" s="5" t="s">
        <v>1067</v>
      </c>
      <c r="D207" s="1" t="s">
        <v>10816</v>
      </c>
      <c r="F207" s="5"/>
      <c r="G207" s="7">
        <v>13</v>
      </c>
      <c r="H207" s="5" t="s">
        <v>8797</v>
      </c>
      <c r="I207" s="5" t="str">
        <f t="shared" si="3"/>
        <v>fate2061516</v>
      </c>
      <c r="J207" s="6" t="s">
        <v>8820</v>
      </c>
      <c r="K207" s="6">
        <v>15</v>
      </c>
      <c r="L207" s="6">
        <v>16</v>
      </c>
      <c r="M207" s="6"/>
      <c r="N207" s="6"/>
      <c r="P207" s="5" t="s">
        <v>8362</v>
      </c>
      <c r="Q207" s="5" t="s">
        <v>8363</v>
      </c>
      <c r="R207" s="5" t="s">
        <v>8364</v>
      </c>
      <c r="S207" s="5"/>
      <c r="T207" s="5"/>
    </row>
    <row r="208" spans="1:20" x14ac:dyDescent="0.25">
      <c r="A208" s="5" t="s">
        <v>8855</v>
      </c>
      <c r="B208" s="7" t="s">
        <v>10503</v>
      </c>
      <c r="C208" s="5" t="s">
        <v>1067</v>
      </c>
      <c r="D208" s="1" t="s">
        <v>10817</v>
      </c>
      <c r="F208" s="5"/>
      <c r="G208" s="7">
        <v>21</v>
      </c>
      <c r="H208" s="5" t="s">
        <v>8797</v>
      </c>
      <c r="I208" s="5" t="str">
        <f t="shared" si="3"/>
        <v>fate2071310</v>
      </c>
      <c r="J208" s="6" t="s">
        <v>8824</v>
      </c>
      <c r="K208" s="6">
        <v>13</v>
      </c>
      <c r="L208" s="6">
        <v>10</v>
      </c>
      <c r="M208" s="6"/>
      <c r="N208" s="6"/>
      <c r="P208" s="5" t="s">
        <v>8544</v>
      </c>
      <c r="Q208" s="5" t="s">
        <v>8545</v>
      </c>
      <c r="R208" s="5" t="s">
        <v>8546</v>
      </c>
      <c r="S208" s="5"/>
      <c r="T208" s="5"/>
    </row>
    <row r="209" spans="1:20" x14ac:dyDescent="0.25">
      <c r="A209" s="5" t="s">
        <v>8857</v>
      </c>
      <c r="B209" s="7" t="s">
        <v>10503</v>
      </c>
      <c r="C209" s="5" t="s">
        <v>1067</v>
      </c>
      <c r="D209" s="1" t="s">
        <v>10818</v>
      </c>
      <c r="F209" s="5"/>
      <c r="G209" s="7">
        <v>22</v>
      </c>
      <c r="H209" s="5" t="s">
        <v>8797</v>
      </c>
      <c r="I209" s="5" t="str">
        <f t="shared" si="3"/>
        <v>fate208146</v>
      </c>
      <c r="J209" s="6" t="s">
        <v>8828</v>
      </c>
      <c r="K209" s="6">
        <v>14</v>
      </c>
      <c r="L209" s="6">
        <v>6</v>
      </c>
      <c r="M209" s="6"/>
      <c r="N209" s="6"/>
      <c r="P209" s="5" t="s">
        <v>8706</v>
      </c>
      <c r="Q209" s="5" t="s">
        <v>8707</v>
      </c>
      <c r="R209" s="5" t="s">
        <v>8708</v>
      </c>
      <c r="S209" s="5"/>
      <c r="T209" s="5"/>
    </row>
    <row r="210" spans="1:20" x14ac:dyDescent="0.25">
      <c r="A210" s="5" t="s">
        <v>8860</v>
      </c>
      <c r="B210" s="7" t="s">
        <v>8310</v>
      </c>
      <c r="C210" s="5" t="s">
        <v>1067</v>
      </c>
      <c r="D210" s="5"/>
      <c r="F210" s="5"/>
      <c r="G210" s="7">
        <v>5</v>
      </c>
      <c r="H210" s="5" t="s">
        <v>8833</v>
      </c>
      <c r="I210" s="5" t="str">
        <f t="shared" si="3"/>
        <v>fate2092123</v>
      </c>
      <c r="J210" s="6" t="s">
        <v>8837</v>
      </c>
      <c r="K210" s="6">
        <v>21</v>
      </c>
      <c r="L210" s="6">
        <v>23</v>
      </c>
      <c r="M210" s="6"/>
      <c r="N210" s="6"/>
      <c r="P210" s="5" t="s">
        <v>8322</v>
      </c>
      <c r="Q210" s="5" t="s">
        <v>8323</v>
      </c>
      <c r="R210" s="5" t="s">
        <v>8324</v>
      </c>
      <c r="S210" s="5"/>
      <c r="T210" s="5"/>
    </row>
    <row r="211" spans="1:20" x14ac:dyDescent="0.25">
      <c r="A211" s="5" t="s">
        <v>8862</v>
      </c>
      <c r="B211" s="7" t="s">
        <v>8310</v>
      </c>
      <c r="C211" s="5" t="s">
        <v>1067</v>
      </c>
      <c r="D211" s="5"/>
      <c r="F211" s="5"/>
      <c r="G211" s="7">
        <v>6</v>
      </c>
      <c r="H211" s="5" t="s">
        <v>8833</v>
      </c>
      <c r="I211" s="5" t="str">
        <f t="shared" si="3"/>
        <v>fate2101820</v>
      </c>
      <c r="J211" s="6" t="s">
        <v>469</v>
      </c>
      <c r="K211" s="6">
        <v>18</v>
      </c>
      <c r="L211" s="6">
        <v>20</v>
      </c>
      <c r="M211" s="6"/>
      <c r="N211" s="6"/>
      <c r="P211" s="5" t="s">
        <v>8329</v>
      </c>
      <c r="Q211" s="5" t="s">
        <v>8330</v>
      </c>
      <c r="R211" s="5" t="s">
        <v>8331</v>
      </c>
      <c r="S211" s="5"/>
      <c r="T211" s="5"/>
    </row>
    <row r="212" spans="1:20" x14ac:dyDescent="0.25">
      <c r="A212" s="5" t="s">
        <v>8864</v>
      </c>
      <c r="B212" s="7" t="s">
        <v>8310</v>
      </c>
      <c r="C212" s="5" t="s">
        <v>1067</v>
      </c>
      <c r="D212" s="5"/>
      <c r="F212" s="5"/>
      <c r="G212" s="7">
        <v>7</v>
      </c>
      <c r="H212" s="5" t="s">
        <v>8833</v>
      </c>
      <c r="I212" s="5" t="str">
        <f t="shared" si="3"/>
        <v>fate2111522</v>
      </c>
      <c r="J212" s="6" t="s">
        <v>8842</v>
      </c>
      <c r="K212" s="6">
        <v>15</v>
      </c>
      <c r="L212" s="6">
        <v>22</v>
      </c>
      <c r="M212" s="6"/>
      <c r="N212" s="6"/>
      <c r="P212" s="5" t="s">
        <v>8334</v>
      </c>
      <c r="Q212" s="5" t="s">
        <v>8335</v>
      </c>
      <c r="R212" s="5" t="s">
        <v>8336</v>
      </c>
      <c r="S212" s="5"/>
      <c r="T212" s="5"/>
    </row>
    <row r="213" spans="1:20" x14ac:dyDescent="0.25">
      <c r="A213" s="5" t="s">
        <v>8866</v>
      </c>
      <c r="B213" s="7" t="s">
        <v>8310</v>
      </c>
      <c r="C213" s="5" t="s">
        <v>1067</v>
      </c>
      <c r="D213" s="5"/>
      <c r="F213" s="5"/>
      <c r="G213" s="7">
        <v>9</v>
      </c>
      <c r="H213" s="5" t="s">
        <v>8833</v>
      </c>
      <c r="I213" s="5" t="str">
        <f t="shared" si="3"/>
        <v>fate2121915</v>
      </c>
      <c r="J213" s="6" t="s">
        <v>8848</v>
      </c>
      <c r="K213" s="6">
        <v>19</v>
      </c>
      <c r="L213" s="6">
        <v>15</v>
      </c>
      <c r="M213" s="6"/>
      <c r="N213" s="6"/>
      <c r="P213" s="5" t="s">
        <v>8347</v>
      </c>
      <c r="Q213" s="5" t="s">
        <v>8348</v>
      </c>
      <c r="R213" s="5" t="s">
        <v>8349</v>
      </c>
      <c r="S213" s="5"/>
      <c r="T213" s="5"/>
    </row>
    <row r="214" spans="1:20" x14ac:dyDescent="0.25">
      <c r="A214" s="5" t="s">
        <v>8868</v>
      </c>
      <c r="B214" s="7" t="s">
        <v>8310</v>
      </c>
      <c r="C214" s="5" t="s">
        <v>1067</v>
      </c>
      <c r="D214" s="5"/>
      <c r="F214" s="5"/>
      <c r="G214" s="7">
        <v>14</v>
      </c>
      <c r="H214" s="5" t="s">
        <v>8833</v>
      </c>
      <c r="I214" s="5" t="str">
        <f t="shared" si="3"/>
        <v>fate2132920</v>
      </c>
      <c r="J214" s="6" t="s">
        <v>8856</v>
      </c>
      <c r="K214" s="6">
        <v>29</v>
      </c>
      <c r="L214" s="6">
        <v>20</v>
      </c>
      <c r="M214" s="6"/>
      <c r="N214" s="6"/>
      <c r="P214" s="5" t="s">
        <v>8367</v>
      </c>
      <c r="Q214" s="5" t="s">
        <v>8324</v>
      </c>
      <c r="R214" s="5" t="s">
        <v>8368</v>
      </c>
      <c r="S214" s="5"/>
      <c r="T214" s="5"/>
    </row>
    <row r="215" spans="1:20" x14ac:dyDescent="0.25">
      <c r="A215" s="5" t="s">
        <v>8870</v>
      </c>
      <c r="B215" s="7" t="s">
        <v>8346</v>
      </c>
      <c r="C215" s="5" t="s">
        <v>1067</v>
      </c>
      <c r="D215" s="5"/>
      <c r="F215" s="5"/>
      <c r="G215" s="7">
        <v>7</v>
      </c>
      <c r="H215" s="5" t="s">
        <v>8833</v>
      </c>
      <c r="I215" s="5" t="str">
        <f t="shared" si="3"/>
        <v>fate2141920</v>
      </c>
      <c r="J215" s="6" t="s">
        <v>8844</v>
      </c>
      <c r="K215" s="6">
        <v>19</v>
      </c>
      <c r="L215" s="6">
        <v>20</v>
      </c>
      <c r="M215" s="6"/>
      <c r="N215" s="6"/>
      <c r="P215" s="5" t="s">
        <v>8334</v>
      </c>
      <c r="Q215" s="5" t="s">
        <v>8335</v>
      </c>
      <c r="R215" s="5" t="s">
        <v>8336</v>
      </c>
      <c r="S215" s="5"/>
      <c r="T215" s="5"/>
    </row>
    <row r="216" spans="1:20" x14ac:dyDescent="0.25">
      <c r="A216" s="5" t="s">
        <v>8872</v>
      </c>
      <c r="B216" s="7" t="s">
        <v>8424</v>
      </c>
      <c r="C216" s="5" t="s">
        <v>1067</v>
      </c>
      <c r="D216" s="5"/>
      <c r="F216" s="5"/>
      <c r="G216" s="7">
        <v>5</v>
      </c>
      <c r="H216" s="5" t="s">
        <v>8833</v>
      </c>
      <c r="I216" s="5" t="str">
        <f t="shared" si="3"/>
        <v>fate2152316</v>
      </c>
      <c r="J216" s="6" t="s">
        <v>8835</v>
      </c>
      <c r="K216" s="6">
        <v>23</v>
      </c>
      <c r="L216" s="6">
        <v>16</v>
      </c>
      <c r="M216" s="6"/>
      <c r="N216" s="6"/>
      <c r="P216" s="5" t="s">
        <v>8322</v>
      </c>
      <c r="Q216" s="5" t="s">
        <v>8323</v>
      </c>
      <c r="R216" s="5" t="s">
        <v>8324</v>
      </c>
      <c r="S216" s="5"/>
      <c r="T216" s="5"/>
    </row>
    <row r="217" spans="1:20" x14ac:dyDescent="0.25">
      <c r="A217" s="5" t="s">
        <v>8874</v>
      </c>
      <c r="B217" s="7" t="s">
        <v>8424</v>
      </c>
      <c r="C217" s="5" t="s">
        <v>1067</v>
      </c>
      <c r="D217" s="5"/>
      <c r="F217" s="5"/>
      <c r="G217" s="7">
        <v>11</v>
      </c>
      <c r="H217" s="5" t="s">
        <v>8833</v>
      </c>
      <c r="I217" s="5" t="str">
        <f t="shared" si="3"/>
        <v>fate2162320</v>
      </c>
      <c r="J217" s="6" t="s">
        <v>8850</v>
      </c>
      <c r="K217" s="6">
        <v>23</v>
      </c>
      <c r="L217" s="6">
        <v>20</v>
      </c>
      <c r="M217" s="6"/>
      <c r="N217" s="6"/>
      <c r="P217" s="5" t="s">
        <v>8396</v>
      </c>
      <c r="Q217" s="5" t="s">
        <v>8397</v>
      </c>
      <c r="R217" s="5" t="s">
        <v>8398</v>
      </c>
      <c r="S217" s="5"/>
      <c r="T217" s="5"/>
    </row>
    <row r="218" spans="1:20" x14ac:dyDescent="0.25">
      <c r="A218" s="5" t="s">
        <v>8876</v>
      </c>
      <c r="B218" s="7" t="s">
        <v>10503</v>
      </c>
      <c r="C218" s="5" t="s">
        <v>1067</v>
      </c>
      <c r="D218" s="1" t="s">
        <v>10819</v>
      </c>
      <c r="F218" s="5"/>
      <c r="G218" s="7">
        <v>5</v>
      </c>
      <c r="H218" s="5" t="s">
        <v>8833</v>
      </c>
      <c r="I218" s="5" t="str">
        <f t="shared" si="3"/>
        <v>fate2172123</v>
      </c>
      <c r="J218" s="6" t="s">
        <v>8832</v>
      </c>
      <c r="K218" s="6">
        <v>21</v>
      </c>
      <c r="L218" s="6">
        <v>23</v>
      </c>
      <c r="M218" s="6"/>
      <c r="N218" s="6"/>
      <c r="P218" s="5" t="s">
        <v>8322</v>
      </c>
      <c r="Q218" s="5" t="s">
        <v>8323</v>
      </c>
      <c r="R218" s="5" t="s">
        <v>8324</v>
      </c>
      <c r="S218" s="5"/>
      <c r="T218" s="5"/>
    </row>
    <row r="219" spans="1:20" x14ac:dyDescent="0.25">
      <c r="A219" s="5" t="s">
        <v>8881</v>
      </c>
      <c r="B219" s="7" t="s">
        <v>10503</v>
      </c>
      <c r="C219" s="5" t="s">
        <v>1067</v>
      </c>
      <c r="D219" s="1" t="s">
        <v>10820</v>
      </c>
      <c r="F219" s="5"/>
      <c r="G219" s="7">
        <v>7</v>
      </c>
      <c r="H219" s="5" t="s">
        <v>8833</v>
      </c>
      <c r="I219" s="5" t="str">
        <f t="shared" si="3"/>
        <v>fate2181823</v>
      </c>
      <c r="J219" s="6" t="s">
        <v>8840</v>
      </c>
      <c r="K219" s="6">
        <v>18</v>
      </c>
      <c r="L219" s="6">
        <v>23</v>
      </c>
      <c r="M219" s="6"/>
      <c r="N219" s="6"/>
      <c r="P219" s="5" t="s">
        <v>8334</v>
      </c>
      <c r="Q219" s="5" t="s">
        <v>8335</v>
      </c>
      <c r="R219" s="5" t="s">
        <v>8336</v>
      </c>
      <c r="S219" s="5"/>
      <c r="T219" s="5"/>
    </row>
    <row r="220" spans="1:20" x14ac:dyDescent="0.25">
      <c r="A220" s="5" t="s">
        <v>8884</v>
      </c>
      <c r="B220" s="7" t="s">
        <v>10503</v>
      </c>
      <c r="C220" s="5" t="s">
        <v>1067</v>
      </c>
      <c r="D220" s="1" t="s">
        <v>10821</v>
      </c>
      <c r="F220" s="5"/>
      <c r="G220" s="7">
        <v>9</v>
      </c>
      <c r="H220" s="5" t="s">
        <v>8833</v>
      </c>
      <c r="I220" s="5" t="str">
        <f t="shared" si="3"/>
        <v>fate2191719</v>
      </c>
      <c r="J220" s="6" t="s">
        <v>8846</v>
      </c>
      <c r="K220" s="6">
        <v>17</v>
      </c>
      <c r="L220" s="6">
        <v>19</v>
      </c>
      <c r="M220" s="6"/>
      <c r="N220" s="6"/>
      <c r="P220" s="5" t="s">
        <v>8347</v>
      </c>
      <c r="Q220" s="5" t="s">
        <v>8348</v>
      </c>
      <c r="R220" s="5" t="s">
        <v>8349</v>
      </c>
      <c r="S220" s="5"/>
      <c r="T220" s="5"/>
    </row>
    <row r="221" spans="1:20" x14ac:dyDescent="0.25">
      <c r="A221" s="5" t="s">
        <v>8886</v>
      </c>
      <c r="B221" s="7" t="s">
        <v>10503</v>
      </c>
      <c r="C221" s="5" t="s">
        <v>1067</v>
      </c>
      <c r="D221" s="1" t="s">
        <v>10822</v>
      </c>
      <c r="F221" s="5"/>
      <c r="G221" s="7">
        <v>12</v>
      </c>
      <c r="H221" s="5" t="s">
        <v>8833</v>
      </c>
      <c r="I221" s="5" t="str">
        <f t="shared" si="3"/>
        <v>fate2201715</v>
      </c>
      <c r="J221" s="6" t="s">
        <v>8852</v>
      </c>
      <c r="K221" s="6">
        <v>17</v>
      </c>
      <c r="L221" s="6">
        <v>15</v>
      </c>
      <c r="M221" s="6"/>
      <c r="N221" s="6"/>
      <c r="P221" s="5" t="s">
        <v>8357</v>
      </c>
      <c r="Q221" s="5" t="s">
        <v>8358</v>
      </c>
      <c r="R221" s="5" t="s">
        <v>8359</v>
      </c>
      <c r="S221" s="5"/>
      <c r="T221" s="5"/>
    </row>
    <row r="222" spans="1:20" x14ac:dyDescent="0.25">
      <c r="A222" s="5" t="s">
        <v>8889</v>
      </c>
      <c r="B222" s="7" t="s">
        <v>10503</v>
      </c>
      <c r="C222" s="5" t="s">
        <v>1067</v>
      </c>
      <c r="D222" s="1" t="s">
        <v>10823</v>
      </c>
      <c r="F222" s="5"/>
      <c r="G222" s="7">
        <v>14</v>
      </c>
      <c r="H222" s="5" t="s">
        <v>8833</v>
      </c>
      <c r="I222" s="5" t="str">
        <f t="shared" si="3"/>
        <v>fate2212819</v>
      </c>
      <c r="J222" s="6" t="s">
        <v>8854</v>
      </c>
      <c r="K222" s="6">
        <v>28</v>
      </c>
      <c r="L222" s="6">
        <v>19</v>
      </c>
      <c r="M222" s="6"/>
      <c r="N222" s="6"/>
      <c r="P222" s="5" t="s">
        <v>8367</v>
      </c>
      <c r="Q222" s="5" t="s">
        <v>8324</v>
      </c>
      <c r="R222" s="5" t="s">
        <v>8368</v>
      </c>
      <c r="S222" s="5"/>
      <c r="T222" s="5"/>
    </row>
    <row r="223" spans="1:20" x14ac:dyDescent="0.25">
      <c r="A223" s="5" t="s">
        <v>8891</v>
      </c>
      <c r="B223" s="7" t="s">
        <v>8310</v>
      </c>
      <c r="C223" s="5" t="s">
        <v>1067</v>
      </c>
      <c r="D223" s="5"/>
      <c r="F223" s="5"/>
      <c r="G223" s="7">
        <v>15</v>
      </c>
      <c r="H223" s="5" t="s">
        <v>8859</v>
      </c>
      <c r="I223" s="5" t="str">
        <f t="shared" si="3"/>
        <v>fate2221227</v>
      </c>
      <c r="J223" s="6" t="s">
        <v>8858</v>
      </c>
      <c r="K223" s="6">
        <v>12</v>
      </c>
      <c r="L223" s="6">
        <v>27</v>
      </c>
      <c r="M223" s="6"/>
      <c r="N223" s="6"/>
      <c r="P223" s="5" t="s">
        <v>8473</v>
      </c>
      <c r="Q223" s="5" t="s">
        <v>8474</v>
      </c>
      <c r="R223" s="5" t="s">
        <v>8475</v>
      </c>
      <c r="S223" s="5"/>
      <c r="T223" s="5"/>
    </row>
    <row r="224" spans="1:20" x14ac:dyDescent="0.25">
      <c r="A224" s="5" t="s">
        <v>8894</v>
      </c>
      <c r="B224" s="7" t="s">
        <v>8310</v>
      </c>
      <c r="C224" s="5" t="s">
        <v>1067</v>
      </c>
      <c r="D224" s="5"/>
      <c r="F224" s="5"/>
      <c r="G224" s="7">
        <v>17</v>
      </c>
      <c r="H224" s="5" t="s">
        <v>8859</v>
      </c>
      <c r="I224" s="5" t="str">
        <f t="shared" si="3"/>
        <v>fate2231116</v>
      </c>
      <c r="J224" s="6" t="s">
        <v>8861</v>
      </c>
      <c r="K224" s="6">
        <v>11</v>
      </c>
      <c r="L224" s="6">
        <v>16</v>
      </c>
      <c r="M224" s="6"/>
      <c r="N224" s="6"/>
      <c r="P224" s="5" t="s">
        <v>8486</v>
      </c>
      <c r="Q224" s="5" t="s">
        <v>8331</v>
      </c>
      <c r="R224" s="5" t="s">
        <v>8487</v>
      </c>
      <c r="S224" s="5"/>
      <c r="T224" s="5"/>
    </row>
    <row r="225" spans="1:20" x14ac:dyDescent="0.25">
      <c r="A225" s="5" t="s">
        <v>8896</v>
      </c>
      <c r="B225" s="7" t="s">
        <v>8310</v>
      </c>
      <c r="C225" s="5" t="s">
        <v>1067</v>
      </c>
      <c r="D225" s="5"/>
      <c r="F225" s="5"/>
      <c r="G225" s="7">
        <v>17</v>
      </c>
      <c r="H225" s="5" t="s">
        <v>8859</v>
      </c>
      <c r="I225" s="5" t="str">
        <f t="shared" si="3"/>
        <v>fate2241724</v>
      </c>
      <c r="J225" s="6" t="s">
        <v>8863</v>
      </c>
      <c r="K225" s="6">
        <v>17</v>
      </c>
      <c r="L225" s="6">
        <v>24</v>
      </c>
      <c r="M225" s="6"/>
      <c r="N225" s="6"/>
      <c r="P225" s="5" t="s">
        <v>8486</v>
      </c>
      <c r="Q225" s="5" t="s">
        <v>8331</v>
      </c>
      <c r="R225" s="5" t="s">
        <v>8487</v>
      </c>
      <c r="S225" s="5"/>
      <c r="T225" s="5"/>
    </row>
    <row r="226" spans="1:20" x14ac:dyDescent="0.25">
      <c r="A226" s="5" t="s">
        <v>8898</v>
      </c>
      <c r="B226" s="7" t="s">
        <v>8310</v>
      </c>
      <c r="C226" s="5" t="s">
        <v>1067</v>
      </c>
      <c r="D226" s="5"/>
      <c r="F226" s="5"/>
      <c r="G226" s="7">
        <v>17</v>
      </c>
      <c r="H226" s="5" t="s">
        <v>8859</v>
      </c>
      <c r="I226" s="5" t="str">
        <f t="shared" si="3"/>
        <v>fate2251219</v>
      </c>
      <c r="J226" s="6" t="s">
        <v>8867</v>
      </c>
      <c r="K226" s="6">
        <v>12</v>
      </c>
      <c r="L226" s="6">
        <v>19</v>
      </c>
      <c r="M226" s="6"/>
      <c r="N226" s="6"/>
      <c r="P226" s="5" t="s">
        <v>8486</v>
      </c>
      <c r="Q226" s="5" t="s">
        <v>8331</v>
      </c>
      <c r="R226" s="5" t="s">
        <v>8487</v>
      </c>
      <c r="S226" s="5"/>
      <c r="T226" s="5"/>
    </row>
    <row r="227" spans="1:20" x14ac:dyDescent="0.25">
      <c r="A227" s="5" t="s">
        <v>8900</v>
      </c>
      <c r="B227" s="7" t="s">
        <v>8310</v>
      </c>
      <c r="C227" s="5" t="s">
        <v>1067</v>
      </c>
      <c r="D227" s="5"/>
      <c r="F227" s="5"/>
      <c r="G227" s="7">
        <v>17</v>
      </c>
      <c r="H227" s="5" t="s">
        <v>8859</v>
      </c>
      <c r="I227" s="5" t="str">
        <f t="shared" si="3"/>
        <v>fate2261320</v>
      </c>
      <c r="J227" s="6" t="s">
        <v>8869</v>
      </c>
      <c r="K227" s="6">
        <v>13</v>
      </c>
      <c r="L227" s="6">
        <v>20</v>
      </c>
      <c r="M227" s="6"/>
      <c r="N227" s="6"/>
      <c r="P227" s="5" t="s">
        <v>8486</v>
      </c>
      <c r="Q227" s="5" t="s">
        <v>8331</v>
      </c>
      <c r="R227" s="5" t="s">
        <v>8487</v>
      </c>
      <c r="S227" s="5"/>
      <c r="T227" s="5"/>
    </row>
    <row r="228" spans="1:20" x14ac:dyDescent="0.25">
      <c r="A228" s="5" t="s">
        <v>8902</v>
      </c>
      <c r="B228" s="7" t="s">
        <v>8310</v>
      </c>
      <c r="C228" s="5" t="s">
        <v>1067</v>
      </c>
      <c r="D228" s="5"/>
      <c r="F228" s="5"/>
      <c r="G228" s="7">
        <v>18</v>
      </c>
      <c r="H228" s="5" t="s">
        <v>8859</v>
      </c>
      <c r="I228" s="5" t="str">
        <f t="shared" si="3"/>
        <v>fate2271626</v>
      </c>
      <c r="J228" s="6" t="s">
        <v>8871</v>
      </c>
      <c r="K228" s="6">
        <v>16</v>
      </c>
      <c r="L228" s="6">
        <v>26</v>
      </c>
      <c r="M228" s="6"/>
      <c r="N228" s="6"/>
      <c r="P228" s="5" t="s">
        <v>8492</v>
      </c>
      <c r="Q228" s="5" t="s">
        <v>8493</v>
      </c>
      <c r="R228" s="5" t="s">
        <v>8494</v>
      </c>
      <c r="S228" s="5"/>
      <c r="T228" s="5"/>
    </row>
    <row r="229" spans="1:20" x14ac:dyDescent="0.25">
      <c r="A229" s="5" t="s">
        <v>8904</v>
      </c>
      <c r="B229" s="7" t="s">
        <v>8310</v>
      </c>
      <c r="C229" s="5" t="s">
        <v>1067</v>
      </c>
      <c r="D229" s="5"/>
      <c r="F229" s="5"/>
      <c r="G229" s="7">
        <v>19</v>
      </c>
      <c r="H229" s="5" t="s">
        <v>8859</v>
      </c>
      <c r="I229" s="5" t="str">
        <f t="shared" si="3"/>
        <v>fate2281729</v>
      </c>
      <c r="J229" s="6" t="s">
        <v>8875</v>
      </c>
      <c r="K229" s="6">
        <v>17</v>
      </c>
      <c r="L229" s="6">
        <v>29</v>
      </c>
      <c r="M229" s="6"/>
      <c r="N229" s="6"/>
      <c r="P229" s="5" t="s">
        <v>8656</v>
      </c>
      <c r="Q229" s="5" t="s">
        <v>8657</v>
      </c>
      <c r="R229" s="5" t="s">
        <v>8658</v>
      </c>
      <c r="S229" s="5"/>
      <c r="T229" s="5"/>
    </row>
    <row r="230" spans="1:20" x14ac:dyDescent="0.25">
      <c r="A230" s="5" t="s">
        <v>8906</v>
      </c>
      <c r="B230" s="7" t="s">
        <v>8310</v>
      </c>
      <c r="C230" s="5" t="s">
        <v>1067</v>
      </c>
      <c r="D230" s="5"/>
      <c r="F230" s="5"/>
      <c r="G230" s="7">
        <v>26</v>
      </c>
      <c r="H230" s="5" t="s">
        <v>8859</v>
      </c>
      <c r="I230" s="5" t="str">
        <f t="shared" si="3"/>
        <v>fate2292717</v>
      </c>
      <c r="J230" s="6" t="s">
        <v>8890</v>
      </c>
      <c r="K230" s="6">
        <v>27</v>
      </c>
      <c r="L230" s="6">
        <v>17</v>
      </c>
      <c r="M230" s="6"/>
      <c r="N230" s="6"/>
      <c r="P230" s="5" t="s">
        <v>8878</v>
      </c>
      <c r="Q230" s="5" t="s">
        <v>8879</v>
      </c>
      <c r="R230" s="5" t="s">
        <v>8880</v>
      </c>
      <c r="S230" s="5"/>
      <c r="T230" s="5"/>
    </row>
    <row r="231" spans="1:20" x14ac:dyDescent="0.25">
      <c r="A231" s="5" t="s">
        <v>8909</v>
      </c>
      <c r="B231" s="7" t="s">
        <v>8310</v>
      </c>
      <c r="C231" s="5" t="s">
        <v>1067</v>
      </c>
      <c r="D231" s="5"/>
      <c r="F231" s="5"/>
      <c r="G231" s="7">
        <v>27</v>
      </c>
      <c r="H231" s="5" t="s">
        <v>8859</v>
      </c>
      <c r="I231" s="5" t="str">
        <f t="shared" si="3"/>
        <v>fate2302420</v>
      </c>
      <c r="J231" s="6" t="s">
        <v>8895</v>
      </c>
      <c r="K231" s="6">
        <v>24</v>
      </c>
      <c r="L231" s="6">
        <v>20</v>
      </c>
      <c r="M231" s="6"/>
      <c r="N231" s="6"/>
      <c r="P231" s="5" t="s">
        <v>8775</v>
      </c>
      <c r="Q231" s="5" t="s">
        <v>8776</v>
      </c>
      <c r="R231" s="5" t="s">
        <v>8777</v>
      </c>
      <c r="S231" s="5"/>
      <c r="T231" s="5"/>
    </row>
    <row r="232" spans="1:20" x14ac:dyDescent="0.25">
      <c r="A232" s="5" t="s">
        <v>8911</v>
      </c>
      <c r="B232" s="7" t="s">
        <v>8310</v>
      </c>
      <c r="C232" s="5" t="s">
        <v>1067</v>
      </c>
      <c r="D232" s="5"/>
      <c r="F232" s="5"/>
      <c r="G232" s="7">
        <v>40</v>
      </c>
      <c r="H232" s="5" t="s">
        <v>8859</v>
      </c>
      <c r="I232" s="5" t="str">
        <f t="shared" si="3"/>
        <v>fate2312923</v>
      </c>
      <c r="J232" s="6" t="s">
        <v>8899</v>
      </c>
      <c r="K232" s="6">
        <v>29</v>
      </c>
      <c r="L232" s="6">
        <v>23</v>
      </c>
      <c r="M232" s="6"/>
      <c r="N232" s="6"/>
      <c r="P232" s="5" t="s">
        <v>8499</v>
      </c>
      <c r="Q232" s="5" t="s">
        <v>8368</v>
      </c>
      <c r="R232" s="5" t="s">
        <v>8500</v>
      </c>
      <c r="S232" s="5"/>
      <c r="T232" s="5"/>
    </row>
    <row r="233" spans="1:20" x14ac:dyDescent="0.25">
      <c r="A233" s="5" t="s">
        <v>8913</v>
      </c>
      <c r="B233" s="7" t="s">
        <v>8310</v>
      </c>
      <c r="C233" s="5" t="s">
        <v>1067</v>
      </c>
      <c r="D233" s="5"/>
      <c r="F233" s="5"/>
      <c r="G233" s="7">
        <v>42</v>
      </c>
      <c r="H233" s="5" t="s">
        <v>8859</v>
      </c>
      <c r="I233" s="5" t="str">
        <f t="shared" si="3"/>
        <v>fate2322624</v>
      </c>
      <c r="J233" s="6" t="s">
        <v>8905</v>
      </c>
      <c r="K233" s="6">
        <v>26</v>
      </c>
      <c r="L233" s="6">
        <v>24</v>
      </c>
      <c r="M233" s="6"/>
      <c r="N233" s="6"/>
      <c r="P233" s="5" t="s">
        <v>8675</v>
      </c>
      <c r="Q233" s="5" t="s">
        <v>8676</v>
      </c>
      <c r="R233" s="5" t="s">
        <v>8677</v>
      </c>
      <c r="S233" s="5"/>
      <c r="T233" s="5"/>
    </row>
    <row r="234" spans="1:20" x14ac:dyDescent="0.25">
      <c r="A234" s="5" t="s">
        <v>8915</v>
      </c>
      <c r="B234" s="7" t="s">
        <v>10503</v>
      </c>
      <c r="C234" s="5" t="s">
        <v>1067</v>
      </c>
      <c r="D234" s="1" t="s">
        <v>10824</v>
      </c>
      <c r="F234" s="5"/>
      <c r="G234" s="7">
        <v>17</v>
      </c>
      <c r="H234" s="5" t="s">
        <v>8859</v>
      </c>
      <c r="I234" s="5" t="str">
        <f t="shared" si="3"/>
        <v>fate2331417</v>
      </c>
      <c r="J234" s="6" t="s">
        <v>8865</v>
      </c>
      <c r="K234" s="6">
        <v>14</v>
      </c>
      <c r="L234" s="6">
        <v>17</v>
      </c>
      <c r="M234" s="6"/>
      <c r="N234" s="6"/>
      <c r="P234" s="5" t="s">
        <v>8486</v>
      </c>
      <c r="Q234" s="5" t="s">
        <v>8331</v>
      </c>
      <c r="R234" s="5" t="s">
        <v>8487</v>
      </c>
      <c r="S234" s="5"/>
      <c r="T234" s="5"/>
    </row>
    <row r="235" spans="1:20" x14ac:dyDescent="0.25">
      <c r="A235" s="5" t="s">
        <v>8917</v>
      </c>
      <c r="B235" s="7" t="s">
        <v>10503</v>
      </c>
      <c r="C235" s="5" t="s">
        <v>1067</v>
      </c>
      <c r="D235" s="1" t="s">
        <v>10825</v>
      </c>
      <c r="F235" s="5"/>
      <c r="G235" s="7">
        <v>18</v>
      </c>
      <c r="H235" s="5" t="s">
        <v>8859</v>
      </c>
      <c r="I235" s="5" t="str">
        <f t="shared" si="3"/>
        <v>fate2341927</v>
      </c>
      <c r="J235" s="6" t="s">
        <v>8873</v>
      </c>
      <c r="K235" s="6">
        <v>19</v>
      </c>
      <c r="L235" s="6">
        <v>27</v>
      </c>
      <c r="M235" s="6"/>
      <c r="N235" s="6"/>
      <c r="P235" s="5" t="s">
        <v>8492</v>
      </c>
      <c r="Q235" s="5" t="s">
        <v>8493</v>
      </c>
      <c r="R235" s="5" t="s">
        <v>8494</v>
      </c>
      <c r="S235" s="5"/>
      <c r="T235" s="5"/>
    </row>
    <row r="236" spans="1:20" x14ac:dyDescent="0.25">
      <c r="A236" s="5" t="s">
        <v>8919</v>
      </c>
      <c r="B236" s="7" t="s">
        <v>10503</v>
      </c>
      <c r="C236" s="5" t="s">
        <v>1067</v>
      </c>
      <c r="D236" s="1" t="s">
        <v>10828</v>
      </c>
      <c r="F236" s="5"/>
      <c r="G236" s="7">
        <v>29</v>
      </c>
      <c r="H236" s="5" t="s">
        <v>8859</v>
      </c>
      <c r="I236" s="5" t="str">
        <f t="shared" si="3"/>
        <v>fate2352621</v>
      </c>
      <c r="J236" s="6" t="s">
        <v>8897</v>
      </c>
      <c r="K236" s="6">
        <v>26</v>
      </c>
      <c r="L236" s="6">
        <v>21</v>
      </c>
      <c r="M236" s="6"/>
      <c r="N236" s="6"/>
      <c r="P236" s="5" t="s">
        <v>8732</v>
      </c>
      <c r="Q236" s="5" t="s">
        <v>8728</v>
      </c>
      <c r="R236" s="5" t="s">
        <v>8729</v>
      </c>
      <c r="S236" s="5"/>
      <c r="T236" s="5"/>
    </row>
    <row r="237" spans="1:20" x14ac:dyDescent="0.25">
      <c r="A237" s="5" t="s">
        <v>8921</v>
      </c>
      <c r="B237" s="7" t="s">
        <v>10503</v>
      </c>
      <c r="C237" s="5" t="s">
        <v>1067</v>
      </c>
      <c r="D237" s="1" t="s">
        <v>10829</v>
      </c>
      <c r="F237" s="5"/>
      <c r="G237" s="7">
        <v>42</v>
      </c>
      <c r="H237" s="5" t="s">
        <v>8859</v>
      </c>
      <c r="I237" s="5" t="str">
        <f t="shared" si="3"/>
        <v>fate2363025</v>
      </c>
      <c r="J237" s="6" t="s">
        <v>8901</v>
      </c>
      <c r="K237" s="6">
        <v>30</v>
      </c>
      <c r="L237" s="6">
        <v>25</v>
      </c>
      <c r="M237" s="6"/>
      <c r="N237" s="6"/>
      <c r="P237" s="5" t="s">
        <v>8675</v>
      </c>
      <c r="Q237" s="5" t="s">
        <v>8676</v>
      </c>
      <c r="R237" s="5" t="s">
        <v>8677</v>
      </c>
      <c r="S237" s="5"/>
      <c r="T237" s="5"/>
    </row>
    <row r="238" spans="1:20" x14ac:dyDescent="0.25">
      <c r="A238" s="5" t="s">
        <v>8923</v>
      </c>
      <c r="B238" s="7" t="s">
        <v>10503</v>
      </c>
      <c r="C238" s="5" t="s">
        <v>1067</v>
      </c>
      <c r="D238" s="1" t="s">
        <v>10830</v>
      </c>
      <c r="F238" s="5"/>
      <c r="G238" s="7">
        <v>42</v>
      </c>
      <c r="H238" s="5" t="s">
        <v>8859</v>
      </c>
      <c r="I238" s="5" t="str">
        <f t="shared" si="3"/>
        <v>fate2372724</v>
      </c>
      <c r="J238" s="6" t="s">
        <v>8903</v>
      </c>
      <c r="K238" s="6">
        <v>27</v>
      </c>
      <c r="L238" s="6">
        <v>24</v>
      </c>
      <c r="M238" s="6"/>
      <c r="N238" s="6"/>
      <c r="P238" s="5" t="s">
        <v>8675</v>
      </c>
      <c r="Q238" s="5" t="s">
        <v>8676</v>
      </c>
      <c r="R238" s="5" t="s">
        <v>8677</v>
      </c>
      <c r="S238" s="5"/>
      <c r="T238" s="5"/>
    </row>
    <row r="239" spans="1:20" x14ac:dyDescent="0.25">
      <c r="A239" s="5" t="s">
        <v>8925</v>
      </c>
      <c r="B239" s="7" t="s">
        <v>8310</v>
      </c>
      <c r="C239" s="5" t="s">
        <v>1067</v>
      </c>
      <c r="D239" s="5"/>
      <c r="E239" s="5">
        <v>9</v>
      </c>
      <c r="F239" s="5">
        <v>1</v>
      </c>
      <c r="G239" s="7">
        <v>26</v>
      </c>
      <c r="H239" s="5" t="s">
        <v>8859</v>
      </c>
      <c r="I239" s="5" t="str">
        <f t="shared" si="3"/>
        <v>fate2382122</v>
      </c>
      <c r="J239" s="6" t="s">
        <v>8887</v>
      </c>
      <c r="K239" s="6">
        <v>21</v>
      </c>
      <c r="L239" s="6">
        <v>22</v>
      </c>
      <c r="M239" s="6"/>
      <c r="N239" s="6"/>
      <c r="P239" s="5" t="s">
        <v>8888</v>
      </c>
      <c r="Q239" s="5" t="s">
        <v>8879</v>
      </c>
      <c r="R239" s="5" t="s">
        <v>8880</v>
      </c>
      <c r="S239" s="5"/>
      <c r="T239" s="5"/>
    </row>
    <row r="240" spans="1:20" x14ac:dyDescent="0.25">
      <c r="A240" s="5" t="s">
        <v>8927</v>
      </c>
      <c r="B240" s="7" t="s">
        <v>8310</v>
      </c>
      <c r="C240" s="5" t="s">
        <v>1067</v>
      </c>
      <c r="D240" s="5"/>
      <c r="E240" s="5">
        <v>9</v>
      </c>
      <c r="F240" s="5">
        <v>2</v>
      </c>
      <c r="G240" s="7">
        <v>26</v>
      </c>
      <c r="H240" s="5" t="s">
        <v>8859</v>
      </c>
      <c r="I240" s="5" t="str">
        <f t="shared" si="3"/>
        <v>fate2392221</v>
      </c>
      <c r="J240" s="6" t="s">
        <v>8892</v>
      </c>
      <c r="K240" s="6">
        <v>22</v>
      </c>
      <c r="L240" s="6">
        <v>21</v>
      </c>
      <c r="M240" s="6"/>
      <c r="N240" s="6"/>
      <c r="P240" s="5" t="s">
        <v>8893</v>
      </c>
      <c r="Q240" s="5" t="s">
        <v>8879</v>
      </c>
      <c r="R240" s="5" t="s">
        <v>8880</v>
      </c>
      <c r="S240" s="5"/>
      <c r="T240" s="5"/>
    </row>
    <row r="241" spans="1:20" x14ac:dyDescent="0.25">
      <c r="A241" s="5" t="s">
        <v>8929</v>
      </c>
      <c r="B241" s="7" t="s">
        <v>10503</v>
      </c>
      <c r="C241" s="5" t="s">
        <v>1067</v>
      </c>
      <c r="D241" s="1" t="s">
        <v>10826</v>
      </c>
      <c r="E241" s="5">
        <v>9</v>
      </c>
      <c r="F241" s="5">
        <v>3</v>
      </c>
      <c r="G241" s="7">
        <v>26</v>
      </c>
      <c r="H241" s="5" t="s">
        <v>8859</v>
      </c>
      <c r="I241" s="5" t="str">
        <f t="shared" si="3"/>
        <v>fate2402221</v>
      </c>
      <c r="J241" s="6" t="s">
        <v>8877</v>
      </c>
      <c r="K241" s="6">
        <v>22</v>
      </c>
      <c r="L241" s="6">
        <v>21</v>
      </c>
      <c r="M241" s="6"/>
      <c r="N241" s="6"/>
      <c r="P241" s="5" t="s">
        <v>8878</v>
      </c>
      <c r="Q241" s="5" t="s">
        <v>8879</v>
      </c>
      <c r="R241" s="5" t="s">
        <v>8880</v>
      </c>
      <c r="S241" s="5"/>
      <c r="T241" s="5"/>
    </row>
    <row r="242" spans="1:20" x14ac:dyDescent="0.25">
      <c r="A242" s="5" t="s">
        <v>8931</v>
      </c>
      <c r="B242" s="7" t="s">
        <v>10503</v>
      </c>
      <c r="C242" s="5" t="s">
        <v>1067</v>
      </c>
      <c r="D242" s="1" t="s">
        <v>10827</v>
      </c>
      <c r="E242" s="5">
        <v>9</v>
      </c>
      <c r="F242" s="5">
        <v>4</v>
      </c>
      <c r="G242" s="7">
        <v>26</v>
      </c>
      <c r="H242" s="5" t="s">
        <v>8859</v>
      </c>
      <c r="I242" s="5" t="str">
        <f t="shared" si="3"/>
        <v>fate2412323</v>
      </c>
      <c r="J242" s="6" t="s">
        <v>8882</v>
      </c>
      <c r="K242" s="6">
        <v>23</v>
      </c>
      <c r="L242" s="6">
        <v>23</v>
      </c>
      <c r="M242" s="6"/>
      <c r="N242" s="6"/>
      <c r="P242" s="5" t="s">
        <v>8883</v>
      </c>
      <c r="Q242" s="5" t="s">
        <v>8879</v>
      </c>
      <c r="R242" s="5" t="s">
        <v>8880</v>
      </c>
      <c r="S242" s="5"/>
      <c r="T242" s="5"/>
    </row>
    <row r="243" spans="1:20" x14ac:dyDescent="0.25">
      <c r="A243" s="5" t="s">
        <v>8934</v>
      </c>
      <c r="B243" s="7" t="s">
        <v>10503</v>
      </c>
      <c r="C243" s="5" t="s">
        <v>1067</v>
      </c>
      <c r="D243" s="1" t="s">
        <v>10827</v>
      </c>
      <c r="E243" s="5">
        <v>9</v>
      </c>
      <c r="F243" s="5">
        <v>5</v>
      </c>
      <c r="G243" s="7">
        <v>26</v>
      </c>
      <c r="H243" s="5" t="s">
        <v>8859</v>
      </c>
      <c r="I243" s="5" t="str">
        <f t="shared" si="3"/>
        <v>fate2422322</v>
      </c>
      <c r="J243" s="6" t="s">
        <v>8885</v>
      </c>
      <c r="K243" s="6">
        <v>23</v>
      </c>
      <c r="L243" s="6">
        <v>22</v>
      </c>
      <c r="M243" s="6"/>
      <c r="N243" s="6"/>
      <c r="P243" s="5" t="s">
        <v>8878</v>
      </c>
      <c r="Q243" s="5" t="s">
        <v>8879</v>
      </c>
      <c r="R243" s="5" t="s">
        <v>8880</v>
      </c>
      <c r="S243" s="5"/>
      <c r="T243" s="5"/>
    </row>
    <row r="244" spans="1:20" x14ac:dyDescent="0.25">
      <c r="A244" s="5" t="s">
        <v>8936</v>
      </c>
      <c r="B244" s="7" t="s">
        <v>8310</v>
      </c>
      <c r="C244" s="5" t="s">
        <v>1067</v>
      </c>
      <c r="D244" s="5"/>
      <c r="F244" s="5"/>
      <c r="G244" s="7">
        <v>25</v>
      </c>
      <c r="H244" s="5" t="s">
        <v>8908</v>
      </c>
      <c r="I244" s="5" t="str">
        <f t="shared" si="3"/>
        <v>fate2431514</v>
      </c>
      <c r="J244" s="6" t="s">
        <v>8907</v>
      </c>
      <c r="K244" s="6">
        <v>15</v>
      </c>
      <c r="L244" s="6">
        <v>14</v>
      </c>
      <c r="M244" s="6"/>
      <c r="N244" s="6"/>
      <c r="P244" s="5" t="s">
        <v>8770</v>
      </c>
      <c r="Q244" s="5" t="s">
        <v>8771</v>
      </c>
      <c r="R244" s="5" t="s">
        <v>8772</v>
      </c>
      <c r="S244" s="5"/>
      <c r="T244" s="5"/>
    </row>
    <row r="245" spans="1:20" x14ac:dyDescent="0.25">
      <c r="A245" s="5" t="s">
        <v>8938</v>
      </c>
      <c r="B245" s="7" t="s">
        <v>8310</v>
      </c>
      <c r="C245" s="5" t="s">
        <v>1067</v>
      </c>
      <c r="D245" s="5"/>
      <c r="F245" s="5"/>
      <c r="G245" s="7">
        <v>27</v>
      </c>
      <c r="H245" s="5" t="s">
        <v>8908</v>
      </c>
      <c r="I245" s="5" t="str">
        <f t="shared" si="3"/>
        <v>fate244208</v>
      </c>
      <c r="J245" s="6" t="s">
        <v>8912</v>
      </c>
      <c r="K245" s="6">
        <v>20</v>
      </c>
      <c r="L245" s="6">
        <v>8</v>
      </c>
      <c r="M245" s="6"/>
      <c r="N245" s="6"/>
      <c r="P245" s="5" t="s">
        <v>8775</v>
      </c>
      <c r="Q245" s="5" t="s">
        <v>8776</v>
      </c>
      <c r="R245" s="5" t="s">
        <v>8777</v>
      </c>
      <c r="S245" s="5"/>
      <c r="T245" s="5"/>
    </row>
    <row r="246" spans="1:20" x14ac:dyDescent="0.25">
      <c r="A246" s="5" t="s">
        <v>8940</v>
      </c>
      <c r="B246" s="7" t="s">
        <v>8310</v>
      </c>
      <c r="C246" s="5" t="s">
        <v>1067</v>
      </c>
      <c r="D246" s="5"/>
      <c r="F246" s="5"/>
      <c r="G246" s="7">
        <v>28</v>
      </c>
      <c r="H246" s="5" t="s">
        <v>8908</v>
      </c>
      <c r="I246" s="5" t="str">
        <f t="shared" si="3"/>
        <v>fate2451612</v>
      </c>
      <c r="J246" s="6" t="s">
        <v>8918</v>
      </c>
      <c r="K246" s="6">
        <v>16</v>
      </c>
      <c r="L246" s="6">
        <v>12</v>
      </c>
      <c r="M246" s="6"/>
      <c r="N246" s="6"/>
      <c r="P246" s="5" t="s">
        <v>8782</v>
      </c>
      <c r="Q246" s="5" t="s">
        <v>8723</v>
      </c>
      <c r="R246" s="5" t="s">
        <v>8724</v>
      </c>
      <c r="S246" s="5"/>
      <c r="T246" s="5"/>
    </row>
    <row r="247" spans="1:20" x14ac:dyDescent="0.25">
      <c r="A247" s="5" t="s">
        <v>8942</v>
      </c>
      <c r="B247" s="7" t="s">
        <v>8310</v>
      </c>
      <c r="C247" s="5" t="s">
        <v>1067</v>
      </c>
      <c r="D247" s="5"/>
      <c r="F247" s="5"/>
      <c r="G247" s="7">
        <v>31</v>
      </c>
      <c r="H247" s="5" t="s">
        <v>8908</v>
      </c>
      <c r="I247" s="5" t="str">
        <f t="shared" si="3"/>
        <v>fate2461432</v>
      </c>
      <c r="J247" s="6" t="s">
        <v>8922</v>
      </c>
      <c r="K247" s="6">
        <v>14</v>
      </c>
      <c r="L247" s="6">
        <v>32</v>
      </c>
      <c r="M247" s="6"/>
      <c r="N247" s="6"/>
      <c r="P247" s="5" t="s">
        <v>8412</v>
      </c>
      <c r="Q247" s="5" t="s">
        <v>8413</v>
      </c>
      <c r="R247" s="5" t="s">
        <v>8414</v>
      </c>
      <c r="S247" s="5"/>
      <c r="T247" s="5"/>
    </row>
    <row r="248" spans="1:20" x14ac:dyDescent="0.25">
      <c r="A248" s="5" t="s">
        <v>8944</v>
      </c>
      <c r="B248" s="7" t="s">
        <v>8310</v>
      </c>
      <c r="C248" s="5" t="s">
        <v>1067</v>
      </c>
      <c r="D248" s="5"/>
      <c r="F248" s="5"/>
      <c r="G248" s="7">
        <v>31</v>
      </c>
      <c r="H248" s="5" t="s">
        <v>8908</v>
      </c>
      <c r="I248" s="5" t="str">
        <f t="shared" si="3"/>
        <v>fate2471438</v>
      </c>
      <c r="J248" s="6" t="s">
        <v>8924</v>
      </c>
      <c r="K248" s="6">
        <v>14</v>
      </c>
      <c r="L248" s="6">
        <v>38</v>
      </c>
      <c r="M248" s="6"/>
      <c r="N248" s="6"/>
      <c r="P248" s="5" t="s">
        <v>8412</v>
      </c>
      <c r="Q248" s="5" t="s">
        <v>8413</v>
      </c>
      <c r="R248" s="5" t="s">
        <v>8414</v>
      </c>
      <c r="S248" s="5"/>
      <c r="T248" s="5"/>
    </row>
    <row r="249" spans="1:20" x14ac:dyDescent="0.25">
      <c r="A249" s="5" t="s">
        <v>8946</v>
      </c>
      <c r="B249" s="7" t="s">
        <v>8310</v>
      </c>
      <c r="C249" s="5" t="s">
        <v>1067</v>
      </c>
      <c r="D249" s="5"/>
      <c r="F249" s="5"/>
      <c r="G249" s="7">
        <v>32</v>
      </c>
      <c r="H249" s="5" t="s">
        <v>8908</v>
      </c>
      <c r="I249" s="5" t="str">
        <f t="shared" si="3"/>
        <v>fate2481430</v>
      </c>
      <c r="J249" s="6" t="s">
        <v>8926</v>
      </c>
      <c r="K249" s="6">
        <v>14</v>
      </c>
      <c r="L249" s="6">
        <v>30</v>
      </c>
      <c r="M249" s="6"/>
      <c r="N249" s="6"/>
      <c r="P249" s="5" t="s">
        <v>8417</v>
      </c>
      <c r="Q249" s="5" t="s">
        <v>8418</v>
      </c>
      <c r="R249" s="5" t="s">
        <v>8419</v>
      </c>
      <c r="S249" s="5"/>
      <c r="T249" s="5"/>
    </row>
    <row r="250" spans="1:20" x14ac:dyDescent="0.25">
      <c r="A250" s="5" t="s">
        <v>8948</v>
      </c>
      <c r="B250" s="7" t="s">
        <v>8310</v>
      </c>
      <c r="C250" s="5" t="s">
        <v>1067</v>
      </c>
      <c r="D250" s="5"/>
      <c r="F250" s="5"/>
      <c r="G250" s="7">
        <v>45</v>
      </c>
      <c r="H250" s="5" t="s">
        <v>8908</v>
      </c>
      <c r="I250" s="5" t="str">
        <f t="shared" si="3"/>
        <v>fate2492116</v>
      </c>
      <c r="J250" s="6" t="s">
        <v>8932</v>
      </c>
      <c r="K250" s="6">
        <v>21</v>
      </c>
      <c r="L250" s="6">
        <v>16</v>
      </c>
      <c r="M250" s="6"/>
      <c r="N250" s="6"/>
      <c r="P250" s="5" t="s">
        <v>8933</v>
      </c>
      <c r="Q250" s="5" t="s">
        <v>8515</v>
      </c>
      <c r="R250" s="5" t="s">
        <v>8516</v>
      </c>
      <c r="S250" s="5"/>
      <c r="T250" s="5"/>
    </row>
    <row r="251" spans="1:20" x14ac:dyDescent="0.25">
      <c r="A251" s="5" t="s">
        <v>8950</v>
      </c>
      <c r="B251" s="7" t="s">
        <v>8310</v>
      </c>
      <c r="C251" s="5" t="s">
        <v>1067</v>
      </c>
      <c r="D251" s="5"/>
      <c r="F251" s="5"/>
      <c r="G251" s="7">
        <v>45</v>
      </c>
      <c r="H251" s="5" t="s">
        <v>8908</v>
      </c>
      <c r="I251" s="5" t="str">
        <f t="shared" si="3"/>
        <v>fate2501820</v>
      </c>
      <c r="J251" s="6" t="s">
        <v>8935</v>
      </c>
      <c r="K251" s="6">
        <v>18</v>
      </c>
      <c r="L251" s="6">
        <v>20</v>
      </c>
      <c r="M251" s="6"/>
      <c r="N251" s="6"/>
      <c r="P251" s="5" t="s">
        <v>8933</v>
      </c>
      <c r="Q251" s="5" t="s">
        <v>8515</v>
      </c>
      <c r="R251" s="5" t="s">
        <v>8516</v>
      </c>
      <c r="S251" s="5"/>
      <c r="T251" s="5"/>
    </row>
    <row r="252" spans="1:20" x14ac:dyDescent="0.25">
      <c r="A252" s="5" t="s">
        <v>8952</v>
      </c>
      <c r="B252" s="7" t="s">
        <v>8310</v>
      </c>
      <c r="C252" s="5" t="s">
        <v>1067</v>
      </c>
      <c r="D252" s="5"/>
      <c r="F252" s="5"/>
      <c r="G252" s="7">
        <v>46</v>
      </c>
      <c r="H252" s="5" t="s">
        <v>8908</v>
      </c>
      <c r="I252" s="5" t="str">
        <f t="shared" si="3"/>
        <v>fate2512218</v>
      </c>
      <c r="J252" s="6" t="s">
        <v>8937</v>
      </c>
      <c r="K252" s="6">
        <v>22</v>
      </c>
      <c r="L252" s="6">
        <v>18</v>
      </c>
      <c r="M252" s="6"/>
      <c r="N252" s="6"/>
      <c r="P252" s="5" t="s">
        <v>8521</v>
      </c>
      <c r="Q252" s="5" t="s">
        <v>8481</v>
      </c>
      <c r="R252" s="5" t="s">
        <v>8522</v>
      </c>
      <c r="S252" s="5"/>
      <c r="T252" s="5"/>
    </row>
    <row r="253" spans="1:20" x14ac:dyDescent="0.25">
      <c r="A253" s="5" t="s">
        <v>8954</v>
      </c>
      <c r="B253" s="7" t="s">
        <v>8310</v>
      </c>
      <c r="C253" s="5" t="s">
        <v>1067</v>
      </c>
      <c r="D253" s="5"/>
      <c r="F253" s="5"/>
      <c r="G253" s="7">
        <v>46</v>
      </c>
      <c r="H253" s="5" t="s">
        <v>8908</v>
      </c>
      <c r="I253" s="5" t="str">
        <f t="shared" si="3"/>
        <v>fate2521625</v>
      </c>
      <c r="J253" s="6" t="s">
        <v>8939</v>
      </c>
      <c r="K253" s="6">
        <v>16</v>
      </c>
      <c r="L253" s="6">
        <v>25</v>
      </c>
      <c r="M253" s="6"/>
      <c r="N253" s="6"/>
      <c r="P253" s="5" t="s">
        <v>8521</v>
      </c>
      <c r="Q253" s="5" t="s">
        <v>8481</v>
      </c>
      <c r="R253" s="5" t="s">
        <v>8522</v>
      </c>
      <c r="S253" s="5"/>
      <c r="T253" s="5"/>
    </row>
    <row r="254" spans="1:20" x14ac:dyDescent="0.25">
      <c r="A254" s="5" t="s">
        <v>8956</v>
      </c>
      <c r="B254" s="7" t="s">
        <v>8310</v>
      </c>
      <c r="C254" s="5" t="s">
        <v>1067</v>
      </c>
      <c r="D254" s="5"/>
      <c r="F254" s="5"/>
      <c r="G254" s="7">
        <v>46</v>
      </c>
      <c r="H254" s="5" t="s">
        <v>8908</v>
      </c>
      <c r="I254" s="5" t="str">
        <f t="shared" si="3"/>
        <v>fate2531927</v>
      </c>
      <c r="J254" s="6" t="s">
        <v>8941</v>
      </c>
      <c r="K254" s="6">
        <v>19</v>
      </c>
      <c r="L254" s="6">
        <v>27</v>
      </c>
      <c r="M254" s="6"/>
      <c r="N254" s="6"/>
      <c r="P254" s="5" t="s">
        <v>8521</v>
      </c>
      <c r="Q254" s="5" t="s">
        <v>8481</v>
      </c>
      <c r="R254" s="5" t="s">
        <v>8522</v>
      </c>
      <c r="S254" s="5"/>
      <c r="T254" s="5"/>
    </row>
    <row r="255" spans="1:20" x14ac:dyDescent="0.25">
      <c r="A255" s="5" t="s">
        <v>8958</v>
      </c>
      <c r="B255" s="7" t="s">
        <v>8310</v>
      </c>
      <c r="C255" s="5" t="s">
        <v>1067</v>
      </c>
      <c r="D255" s="5"/>
      <c r="F255" s="5"/>
      <c r="G255" s="7">
        <v>46</v>
      </c>
      <c r="H255" s="5" t="s">
        <v>8908</v>
      </c>
      <c r="I255" s="5" t="str">
        <f t="shared" si="3"/>
        <v>fate2541623</v>
      </c>
      <c r="J255" s="6" t="s">
        <v>8945</v>
      </c>
      <c r="K255" s="6">
        <v>16</v>
      </c>
      <c r="L255" s="6">
        <v>23</v>
      </c>
      <c r="M255" s="6"/>
      <c r="N255" s="6"/>
      <c r="P255" s="5" t="s">
        <v>8521</v>
      </c>
      <c r="Q255" s="5" t="s">
        <v>8481</v>
      </c>
      <c r="R255" s="5" t="s">
        <v>8522</v>
      </c>
      <c r="S255" s="5"/>
      <c r="T255" s="5"/>
    </row>
    <row r="256" spans="1:20" x14ac:dyDescent="0.25">
      <c r="A256" s="5" t="s">
        <v>8961</v>
      </c>
      <c r="B256" s="7" t="s">
        <v>8310</v>
      </c>
      <c r="C256" s="5" t="s">
        <v>1067</v>
      </c>
      <c r="D256" s="5"/>
      <c r="F256" s="5"/>
      <c r="G256" s="7">
        <v>48</v>
      </c>
      <c r="H256" s="5" t="s">
        <v>8908</v>
      </c>
      <c r="I256" s="5" t="str">
        <f t="shared" si="3"/>
        <v>fate2552321</v>
      </c>
      <c r="J256" s="6" t="s">
        <v>8949</v>
      </c>
      <c r="K256" s="6">
        <v>23</v>
      </c>
      <c r="L256" s="6">
        <v>21</v>
      </c>
      <c r="M256" s="6"/>
      <c r="N256" s="6"/>
      <c r="P256" s="5" t="s">
        <v>8525</v>
      </c>
      <c r="Q256" s="5" t="s">
        <v>8526</v>
      </c>
      <c r="R256" s="5" t="s">
        <v>8527</v>
      </c>
      <c r="S256" s="5"/>
      <c r="T256" s="5"/>
    </row>
    <row r="257" spans="1:20" x14ac:dyDescent="0.25">
      <c r="A257" s="5" t="s">
        <v>8963</v>
      </c>
      <c r="B257" s="7" t="s">
        <v>8310</v>
      </c>
      <c r="C257" s="5" t="s">
        <v>1067</v>
      </c>
      <c r="D257" s="5"/>
      <c r="F257" s="5"/>
      <c r="G257" s="7">
        <v>48</v>
      </c>
      <c r="H257" s="5" t="s">
        <v>8908</v>
      </c>
      <c r="I257" s="5" t="str">
        <f t="shared" si="3"/>
        <v>fate2562225</v>
      </c>
      <c r="J257" s="6" t="s">
        <v>8953</v>
      </c>
      <c r="K257" s="6">
        <v>22</v>
      </c>
      <c r="L257" s="6">
        <v>25</v>
      </c>
      <c r="M257" s="6"/>
      <c r="N257" s="6"/>
      <c r="P257" s="5" t="s">
        <v>8525</v>
      </c>
      <c r="Q257" s="5" t="s">
        <v>8526</v>
      </c>
      <c r="R257" s="5" t="s">
        <v>8527</v>
      </c>
      <c r="S257" s="5"/>
      <c r="T257" s="5"/>
    </row>
    <row r="258" spans="1:20" x14ac:dyDescent="0.25">
      <c r="A258" s="5" t="s">
        <v>8965</v>
      </c>
      <c r="B258" s="7" t="s">
        <v>8310</v>
      </c>
      <c r="C258" s="5" t="s">
        <v>1067</v>
      </c>
      <c r="D258" s="5"/>
      <c r="F258" s="5"/>
      <c r="G258" s="7">
        <v>49</v>
      </c>
      <c r="H258" s="5" t="s">
        <v>8908</v>
      </c>
      <c r="I258" s="5" t="str">
        <f t="shared" si="3"/>
        <v>fate2572327</v>
      </c>
      <c r="J258" s="6" t="s">
        <v>8957</v>
      </c>
      <c r="K258" s="6">
        <v>23</v>
      </c>
      <c r="L258" s="6">
        <v>27</v>
      </c>
      <c r="M258" s="6"/>
      <c r="N258" s="6"/>
      <c r="P258" s="5" t="s">
        <v>8694</v>
      </c>
      <c r="Q258" s="5" t="s">
        <v>8531</v>
      </c>
      <c r="R258" s="5" t="s">
        <v>8532</v>
      </c>
      <c r="S258" s="5"/>
      <c r="T258" s="5"/>
    </row>
    <row r="259" spans="1:20" x14ac:dyDescent="0.25">
      <c r="A259" s="5" t="s">
        <v>8967</v>
      </c>
      <c r="B259" s="7" t="s">
        <v>8310</v>
      </c>
      <c r="C259" s="5" t="s">
        <v>1067</v>
      </c>
      <c r="D259" s="5"/>
      <c r="F259" s="5"/>
      <c r="G259" s="7">
        <v>49</v>
      </c>
      <c r="H259" s="5" t="s">
        <v>8908</v>
      </c>
      <c r="I259" s="5" t="str">
        <f t="shared" si="3"/>
        <v>fate2582920</v>
      </c>
      <c r="J259" s="6" t="s">
        <v>8966</v>
      </c>
      <c r="K259" s="6">
        <v>29</v>
      </c>
      <c r="L259" s="6">
        <v>20</v>
      </c>
      <c r="M259" s="6"/>
      <c r="N259" s="6"/>
      <c r="P259" s="5" t="s">
        <v>8694</v>
      </c>
      <c r="Q259" s="5" t="s">
        <v>8531</v>
      </c>
      <c r="R259" s="5" t="s">
        <v>8532</v>
      </c>
      <c r="S259" s="5"/>
      <c r="T259" s="5"/>
    </row>
    <row r="260" spans="1:20" x14ac:dyDescent="0.25">
      <c r="A260" s="5" t="s">
        <v>8970</v>
      </c>
      <c r="B260" s="7" t="s">
        <v>8450</v>
      </c>
      <c r="C260" s="5" t="s">
        <v>1067</v>
      </c>
      <c r="D260" s="5"/>
      <c r="F260" s="5"/>
      <c r="G260" s="7">
        <v>26</v>
      </c>
      <c r="H260" s="5" t="s">
        <v>8908</v>
      </c>
      <c r="I260" s="5" t="str">
        <f t="shared" ref="I260:I323" si="4">A260&amp;LEFT(SUBSTITUTE(K260,".",""),2)&amp;LEFT(SUBSTITUTE(L260,".",""),2)</f>
        <v>fate2591818</v>
      </c>
      <c r="J260" s="6" t="s">
        <v>8910</v>
      </c>
      <c r="K260" s="6">
        <v>18</v>
      </c>
      <c r="L260" s="6">
        <v>18</v>
      </c>
      <c r="M260" s="6"/>
      <c r="N260" s="6"/>
      <c r="P260" s="5" t="s">
        <v>8878</v>
      </c>
      <c r="Q260" s="5" t="s">
        <v>8879</v>
      </c>
      <c r="R260" s="5" t="s">
        <v>8880</v>
      </c>
      <c r="S260" s="5"/>
      <c r="T260" s="5"/>
    </row>
    <row r="261" spans="1:20" x14ac:dyDescent="0.25">
      <c r="A261" s="5" t="s">
        <v>8972</v>
      </c>
      <c r="B261" s="7" t="s">
        <v>8450</v>
      </c>
      <c r="C261" s="5" t="s">
        <v>1067</v>
      </c>
      <c r="D261" s="5"/>
      <c r="F261" s="5"/>
      <c r="G261" s="7">
        <v>32</v>
      </c>
      <c r="H261" s="5" t="s">
        <v>8908</v>
      </c>
      <c r="I261" s="5" t="str">
        <f t="shared" si="4"/>
        <v>fate2601934</v>
      </c>
      <c r="J261" s="6" t="s">
        <v>8930</v>
      </c>
      <c r="K261" s="6">
        <v>19</v>
      </c>
      <c r="L261" s="6">
        <v>34</v>
      </c>
      <c r="M261" s="6"/>
      <c r="N261" s="6"/>
      <c r="P261" s="5" t="s">
        <v>8417</v>
      </c>
      <c r="Q261" s="5" t="s">
        <v>8418</v>
      </c>
      <c r="R261" s="5" t="s">
        <v>8419</v>
      </c>
      <c r="S261" s="5"/>
      <c r="T261" s="5"/>
    </row>
    <row r="262" spans="1:20" x14ac:dyDescent="0.25">
      <c r="A262" s="5" t="s">
        <v>8973</v>
      </c>
      <c r="B262" s="7" t="s">
        <v>8424</v>
      </c>
      <c r="C262" s="5" t="s">
        <v>1067</v>
      </c>
      <c r="D262" s="5"/>
      <c r="F262" s="5"/>
      <c r="G262" s="7">
        <v>29</v>
      </c>
      <c r="H262" s="5" t="s">
        <v>8908</v>
      </c>
      <c r="I262" s="5" t="str">
        <f t="shared" si="4"/>
        <v>fate2612512</v>
      </c>
      <c r="J262" s="6" t="s">
        <v>8920</v>
      </c>
      <c r="K262" s="6">
        <v>25</v>
      </c>
      <c r="L262" s="6">
        <v>12</v>
      </c>
      <c r="M262" s="6"/>
      <c r="N262" s="6"/>
      <c r="P262" s="5" t="s">
        <v>8732</v>
      </c>
      <c r="Q262" s="5" t="s">
        <v>8728</v>
      </c>
      <c r="R262" s="5" t="s">
        <v>8729</v>
      </c>
      <c r="S262" s="5"/>
      <c r="T262" s="5"/>
    </row>
    <row r="263" spans="1:20" x14ac:dyDescent="0.25">
      <c r="A263" s="5" t="s">
        <v>8975</v>
      </c>
      <c r="B263" s="7" t="s">
        <v>10503</v>
      </c>
      <c r="C263" s="5" t="s">
        <v>1067</v>
      </c>
      <c r="D263" s="1" t="s">
        <v>10833</v>
      </c>
      <c r="F263" s="5"/>
      <c r="G263" s="7">
        <v>32</v>
      </c>
      <c r="H263" s="5" t="s">
        <v>8908</v>
      </c>
      <c r="I263" s="5" t="str">
        <f t="shared" si="4"/>
        <v>fate2622534</v>
      </c>
      <c r="J263" s="6" t="s">
        <v>8928</v>
      </c>
      <c r="K263" s="6">
        <v>25</v>
      </c>
      <c r="L263" s="6">
        <v>34</v>
      </c>
      <c r="M263" s="6"/>
      <c r="N263" s="6"/>
      <c r="P263" s="5" t="s">
        <v>8417</v>
      </c>
      <c r="Q263" s="5" t="s">
        <v>8418</v>
      </c>
      <c r="R263" s="5" t="s">
        <v>8419</v>
      </c>
      <c r="S263" s="5"/>
      <c r="T263" s="5"/>
    </row>
    <row r="264" spans="1:20" x14ac:dyDescent="0.25">
      <c r="A264" s="5" t="s">
        <v>8977</v>
      </c>
      <c r="B264" s="7" t="s">
        <v>10503</v>
      </c>
      <c r="C264" s="5" t="s">
        <v>1067</v>
      </c>
      <c r="D264" s="1" t="s">
        <v>10834</v>
      </c>
      <c r="F264" s="5"/>
      <c r="G264" s="7">
        <v>46</v>
      </c>
      <c r="H264" s="5" t="s">
        <v>8908</v>
      </c>
      <c r="I264" s="5" t="str">
        <f t="shared" si="4"/>
        <v>fate2632020</v>
      </c>
      <c r="J264" s="6" t="s">
        <v>8943</v>
      </c>
      <c r="K264" s="6">
        <v>20</v>
      </c>
      <c r="L264" s="6">
        <v>20</v>
      </c>
      <c r="M264" s="6"/>
      <c r="N264" s="6"/>
      <c r="P264" s="5" t="s">
        <v>8521</v>
      </c>
      <c r="Q264" s="5" t="s">
        <v>8756</v>
      </c>
      <c r="R264" s="5" t="s">
        <v>8522</v>
      </c>
      <c r="S264" s="5"/>
      <c r="T264" s="5"/>
    </row>
    <row r="265" spans="1:20" x14ac:dyDescent="0.25">
      <c r="A265" s="5" t="s">
        <v>8979</v>
      </c>
      <c r="B265" s="7" t="s">
        <v>10503</v>
      </c>
      <c r="C265" s="5" t="s">
        <v>1067</v>
      </c>
      <c r="D265" s="1" t="s">
        <v>10835</v>
      </c>
      <c r="F265" s="5"/>
      <c r="G265" s="7">
        <v>46</v>
      </c>
      <c r="H265" s="5" t="s">
        <v>8908</v>
      </c>
      <c r="I265" s="5" t="str">
        <f t="shared" si="4"/>
        <v>fate2642119</v>
      </c>
      <c r="J265" s="6" t="s">
        <v>8947</v>
      </c>
      <c r="K265" s="6">
        <v>21</v>
      </c>
      <c r="L265" s="6">
        <v>19</v>
      </c>
      <c r="M265" s="6"/>
      <c r="N265" s="6"/>
      <c r="P265" s="5" t="s">
        <v>8521</v>
      </c>
      <c r="Q265" s="5" t="s">
        <v>8481</v>
      </c>
      <c r="R265" s="5" t="s">
        <v>8522</v>
      </c>
      <c r="S265" s="5"/>
      <c r="T265" s="5"/>
    </row>
    <row r="266" spans="1:20" x14ac:dyDescent="0.25">
      <c r="A266" s="5" t="s">
        <v>8981</v>
      </c>
      <c r="B266" s="7" t="s">
        <v>10503</v>
      </c>
      <c r="C266" s="5" t="s">
        <v>1067</v>
      </c>
      <c r="D266" s="1" t="s">
        <v>10836</v>
      </c>
      <c r="F266" s="5"/>
      <c r="G266" s="7">
        <v>48</v>
      </c>
      <c r="H266" s="5" t="s">
        <v>8908</v>
      </c>
      <c r="I266" s="5" t="str">
        <f t="shared" si="4"/>
        <v>fate2651824</v>
      </c>
      <c r="J266" s="6" t="s">
        <v>8951</v>
      </c>
      <c r="K266" s="6">
        <v>18</v>
      </c>
      <c r="L266" s="6">
        <v>24</v>
      </c>
      <c r="M266" s="6"/>
      <c r="N266" s="6"/>
      <c r="P266" s="5" t="s">
        <v>8525</v>
      </c>
      <c r="Q266" s="5" t="s">
        <v>8526</v>
      </c>
      <c r="R266" s="5" t="s">
        <v>8527</v>
      </c>
      <c r="S266" s="5"/>
      <c r="T266" s="5"/>
    </row>
    <row r="267" spans="1:20" x14ac:dyDescent="0.25">
      <c r="A267" s="5" t="s">
        <v>8983</v>
      </c>
      <c r="B267" s="7" t="s">
        <v>10503</v>
      </c>
      <c r="C267" s="5" t="s">
        <v>1067</v>
      </c>
      <c r="D267" s="1" t="s">
        <v>10837</v>
      </c>
      <c r="F267" s="5"/>
      <c r="G267" s="7">
        <v>48</v>
      </c>
      <c r="H267" s="5" t="s">
        <v>8908</v>
      </c>
      <c r="I267" s="5" t="str">
        <f t="shared" si="4"/>
        <v>fate2663219</v>
      </c>
      <c r="J267" s="6" t="s">
        <v>8955</v>
      </c>
      <c r="K267" s="6">
        <v>32</v>
      </c>
      <c r="L267" s="6">
        <v>19</v>
      </c>
      <c r="M267" s="6"/>
      <c r="N267" s="6"/>
      <c r="P267" s="5" t="s">
        <v>8525</v>
      </c>
      <c r="Q267" s="5" t="s">
        <v>8526</v>
      </c>
      <c r="R267" s="5" t="s">
        <v>8527</v>
      </c>
      <c r="S267" s="5"/>
      <c r="T267" s="5"/>
    </row>
    <row r="268" spans="1:20" x14ac:dyDescent="0.25">
      <c r="A268" s="5" t="s">
        <v>8985</v>
      </c>
      <c r="B268" s="7" t="s">
        <v>10503</v>
      </c>
      <c r="C268" s="5" t="s">
        <v>1067</v>
      </c>
      <c r="D268" s="1" t="s">
        <v>10838</v>
      </c>
      <c r="F268" s="5"/>
      <c r="G268" s="7">
        <v>49</v>
      </c>
      <c r="H268" s="5" t="s">
        <v>8908</v>
      </c>
      <c r="I268" s="5" t="str">
        <f t="shared" si="4"/>
        <v>fate2673220</v>
      </c>
      <c r="J268" s="6" t="s">
        <v>8959</v>
      </c>
      <c r="K268" s="6">
        <v>32</v>
      </c>
      <c r="L268" s="6">
        <v>20</v>
      </c>
      <c r="M268" s="6"/>
      <c r="N268" s="6"/>
      <c r="P268" s="5" t="s">
        <v>8960</v>
      </c>
      <c r="Q268" s="5" t="s">
        <v>8531</v>
      </c>
      <c r="R268" s="5" t="s">
        <v>8532</v>
      </c>
      <c r="S268" s="5"/>
      <c r="T268" s="5"/>
    </row>
    <row r="269" spans="1:20" x14ac:dyDescent="0.25">
      <c r="A269" s="5" t="s">
        <v>8988</v>
      </c>
      <c r="B269" s="7" t="s">
        <v>10503</v>
      </c>
      <c r="C269" s="5" t="s">
        <v>1067</v>
      </c>
      <c r="D269" s="1" t="s">
        <v>10839</v>
      </c>
      <c r="F269" s="5"/>
      <c r="G269" s="7">
        <v>49</v>
      </c>
      <c r="H269" s="5" t="s">
        <v>8908</v>
      </c>
      <c r="I269" s="5" t="str">
        <f t="shared" si="4"/>
        <v>fate2682426</v>
      </c>
      <c r="J269" s="6" t="s">
        <v>8962</v>
      </c>
      <c r="K269" s="6">
        <v>24</v>
      </c>
      <c r="L269" s="6">
        <v>26</v>
      </c>
      <c r="M269" s="6"/>
      <c r="N269" s="6"/>
      <c r="P269" s="5" t="s">
        <v>8694</v>
      </c>
      <c r="Q269" s="5" t="s">
        <v>8531</v>
      </c>
      <c r="R269" s="5" t="s">
        <v>8532</v>
      </c>
      <c r="S269" s="5"/>
      <c r="T269" s="5"/>
    </row>
    <row r="270" spans="1:20" x14ac:dyDescent="0.25">
      <c r="A270" s="5" t="s">
        <v>8990</v>
      </c>
      <c r="B270" s="7" t="s">
        <v>10503</v>
      </c>
      <c r="C270" s="5" t="s">
        <v>1067</v>
      </c>
      <c r="D270" s="1" t="s">
        <v>10840</v>
      </c>
      <c r="F270" s="5"/>
      <c r="G270" s="7">
        <v>49</v>
      </c>
      <c r="H270" s="5" t="s">
        <v>8908</v>
      </c>
      <c r="I270" s="5" t="str">
        <f t="shared" si="4"/>
        <v>fate2693219</v>
      </c>
      <c r="J270" s="6" t="s">
        <v>8964</v>
      </c>
      <c r="K270" s="6">
        <v>32</v>
      </c>
      <c r="L270" s="6">
        <v>19</v>
      </c>
      <c r="M270" s="6"/>
      <c r="N270" s="6"/>
      <c r="P270" s="5" t="s">
        <v>8694</v>
      </c>
      <c r="Q270" s="5" t="s">
        <v>8531</v>
      </c>
      <c r="R270" s="5" t="s">
        <v>8532</v>
      </c>
      <c r="S270" s="5"/>
      <c r="T270" s="5"/>
    </row>
    <row r="271" spans="1:20" x14ac:dyDescent="0.25">
      <c r="A271" s="5" t="s">
        <v>8992</v>
      </c>
      <c r="B271" s="7" t="s">
        <v>10503</v>
      </c>
      <c r="C271" s="5" t="s">
        <v>1067</v>
      </c>
      <c r="D271" s="1" t="s">
        <v>10831</v>
      </c>
      <c r="E271" s="5">
        <v>10</v>
      </c>
      <c r="F271" s="5">
        <v>1</v>
      </c>
      <c r="G271" s="7">
        <v>28</v>
      </c>
      <c r="H271" s="5" t="s">
        <v>8908</v>
      </c>
      <c r="I271" s="5" t="str">
        <f t="shared" si="4"/>
        <v>fate2702310</v>
      </c>
      <c r="J271" s="6" t="s">
        <v>8914</v>
      </c>
      <c r="K271" s="6">
        <v>23</v>
      </c>
      <c r="L271" s="6">
        <v>10</v>
      </c>
      <c r="M271" s="6"/>
      <c r="N271" s="6"/>
      <c r="P271" s="5" t="s">
        <v>8722</v>
      </c>
      <c r="Q271" s="5" t="s">
        <v>8723</v>
      </c>
      <c r="R271" s="5" t="s">
        <v>8724</v>
      </c>
      <c r="S271" s="5"/>
      <c r="T271" s="5"/>
    </row>
    <row r="272" spans="1:20" x14ac:dyDescent="0.25">
      <c r="A272" s="5" t="s">
        <v>8993</v>
      </c>
      <c r="B272" s="7" t="s">
        <v>10503</v>
      </c>
      <c r="C272" s="5" t="s">
        <v>1067</v>
      </c>
      <c r="D272" s="1" t="s">
        <v>10832</v>
      </c>
      <c r="E272" s="5">
        <v>10</v>
      </c>
      <c r="F272" s="5">
        <v>2</v>
      </c>
      <c r="G272" s="7">
        <v>28</v>
      </c>
      <c r="H272" s="5" t="s">
        <v>8908</v>
      </c>
      <c r="I272" s="5" t="str">
        <f t="shared" si="4"/>
        <v>fate271229</v>
      </c>
      <c r="J272" s="6" t="s">
        <v>8916</v>
      </c>
      <c r="K272" s="6">
        <v>22</v>
      </c>
      <c r="L272" s="6">
        <v>9</v>
      </c>
      <c r="M272" s="6"/>
      <c r="N272" s="6"/>
      <c r="P272" s="5" t="s">
        <v>8782</v>
      </c>
      <c r="Q272" s="5" t="s">
        <v>8723</v>
      </c>
      <c r="R272" s="5" t="s">
        <v>8724</v>
      </c>
      <c r="S272" s="5"/>
      <c r="T272" s="5"/>
    </row>
    <row r="273" spans="1:20" x14ac:dyDescent="0.25">
      <c r="A273" s="5" t="s">
        <v>8996</v>
      </c>
      <c r="B273" s="7" t="s">
        <v>8310</v>
      </c>
      <c r="C273" s="5" t="s">
        <v>1067</v>
      </c>
      <c r="D273" s="5"/>
      <c r="F273" s="5"/>
      <c r="G273" s="7">
        <v>49</v>
      </c>
      <c r="H273" s="5" t="s">
        <v>8969</v>
      </c>
      <c r="I273" s="5" t="str">
        <f t="shared" si="4"/>
        <v>fate2722223</v>
      </c>
      <c r="J273" s="6" t="s">
        <v>8978</v>
      </c>
      <c r="K273" s="6">
        <v>22</v>
      </c>
      <c r="L273" s="6">
        <v>23</v>
      </c>
      <c r="M273" s="6"/>
      <c r="N273" s="6"/>
      <c r="P273" s="5" t="s">
        <v>8694</v>
      </c>
      <c r="Q273" s="5" t="s">
        <v>8531</v>
      </c>
      <c r="R273" s="5" t="s">
        <v>8532</v>
      </c>
      <c r="S273" s="5"/>
      <c r="T273" s="5"/>
    </row>
    <row r="274" spans="1:20" x14ac:dyDescent="0.25">
      <c r="A274" s="5" t="s">
        <v>8998</v>
      </c>
      <c r="B274" s="7" t="s">
        <v>8310</v>
      </c>
      <c r="C274" s="5" t="s">
        <v>1067</v>
      </c>
      <c r="D274" s="5"/>
      <c r="F274" s="5"/>
      <c r="G274" s="7">
        <v>49</v>
      </c>
      <c r="H274" s="5" t="s">
        <v>8969</v>
      </c>
      <c r="I274" s="5" t="str">
        <f t="shared" si="4"/>
        <v>fate2732026</v>
      </c>
      <c r="J274" s="6" t="s">
        <v>8980</v>
      </c>
      <c r="K274" s="6">
        <v>20</v>
      </c>
      <c r="L274" s="6">
        <v>26</v>
      </c>
      <c r="M274" s="6"/>
      <c r="N274" s="6"/>
      <c r="P274" s="5" t="s">
        <v>8694</v>
      </c>
      <c r="Q274" s="5" t="s">
        <v>8531</v>
      </c>
      <c r="R274" s="5" t="s">
        <v>8532</v>
      </c>
      <c r="S274" s="5"/>
      <c r="T274" s="5"/>
    </row>
    <row r="275" spans="1:20" x14ac:dyDescent="0.25">
      <c r="A275" s="5" t="s">
        <v>9000</v>
      </c>
      <c r="B275" s="7" t="s">
        <v>8310</v>
      </c>
      <c r="C275" s="5" t="s">
        <v>1067</v>
      </c>
      <c r="D275" s="5"/>
      <c r="F275" s="5"/>
      <c r="G275" s="7">
        <v>49</v>
      </c>
      <c r="H275" s="5" t="s">
        <v>8969</v>
      </c>
      <c r="I275" s="5" t="str">
        <f t="shared" si="4"/>
        <v>fate2741818</v>
      </c>
      <c r="J275" s="6" t="s">
        <v>8982</v>
      </c>
      <c r="K275" s="6">
        <v>18</v>
      </c>
      <c r="L275" s="6">
        <v>18</v>
      </c>
      <c r="M275" s="6"/>
      <c r="N275" s="6"/>
      <c r="P275" s="5" t="s">
        <v>8694</v>
      </c>
      <c r="Q275" s="5" t="s">
        <v>8531</v>
      </c>
      <c r="R275" s="5" t="s">
        <v>8532</v>
      </c>
      <c r="S275" s="5"/>
      <c r="T275" s="5"/>
    </row>
    <row r="276" spans="1:20" x14ac:dyDescent="0.25">
      <c r="A276" s="5" t="s">
        <v>9006</v>
      </c>
      <c r="B276" s="7" t="s">
        <v>8310</v>
      </c>
      <c r="C276" s="5" t="s">
        <v>1067</v>
      </c>
      <c r="D276" s="5"/>
      <c r="F276" s="5"/>
      <c r="G276" s="7">
        <v>49</v>
      </c>
      <c r="H276" s="5" t="s">
        <v>8969</v>
      </c>
      <c r="I276" s="5" t="str">
        <f t="shared" si="4"/>
        <v>fate2752421</v>
      </c>
      <c r="J276" s="6" t="s">
        <v>8989</v>
      </c>
      <c r="K276" s="6">
        <v>24</v>
      </c>
      <c r="L276" s="6">
        <v>21</v>
      </c>
      <c r="M276" s="6"/>
      <c r="N276" s="6"/>
      <c r="P276" s="5" t="s">
        <v>8694</v>
      </c>
      <c r="Q276" s="5" t="s">
        <v>8531</v>
      </c>
      <c r="R276" s="5" t="s">
        <v>8532</v>
      </c>
      <c r="S276" s="5"/>
      <c r="T276" s="5"/>
    </row>
    <row r="277" spans="1:20" x14ac:dyDescent="0.25">
      <c r="A277" s="5" t="s">
        <v>9008</v>
      </c>
      <c r="B277" s="7" t="s">
        <v>8310</v>
      </c>
      <c r="C277" s="5" t="s">
        <v>1067</v>
      </c>
      <c r="D277" s="5"/>
      <c r="F277" s="5"/>
      <c r="G277" s="7">
        <v>49</v>
      </c>
      <c r="H277" s="5" t="s">
        <v>8969</v>
      </c>
      <c r="I277" s="5" t="str">
        <f t="shared" si="4"/>
        <v>fate2762224</v>
      </c>
      <c r="J277" s="6" t="s">
        <v>8999</v>
      </c>
      <c r="K277" s="6">
        <v>22</v>
      </c>
      <c r="L277" s="6">
        <v>24</v>
      </c>
      <c r="M277" s="6"/>
      <c r="N277" s="6"/>
      <c r="P277" s="5" t="s">
        <v>8694</v>
      </c>
      <c r="Q277" s="5" t="s">
        <v>8531</v>
      </c>
      <c r="R277" s="5" t="s">
        <v>8532</v>
      </c>
      <c r="S277" s="5"/>
      <c r="T277" s="5"/>
    </row>
    <row r="278" spans="1:20" x14ac:dyDescent="0.25">
      <c r="A278" s="5" t="s">
        <v>9010</v>
      </c>
      <c r="B278" s="7" t="s">
        <v>8450</v>
      </c>
      <c r="C278" s="5" t="s">
        <v>1067</v>
      </c>
      <c r="D278" s="5"/>
      <c r="F278" s="5"/>
      <c r="G278" s="7">
        <v>49</v>
      </c>
      <c r="H278" s="5" t="s">
        <v>8969</v>
      </c>
      <c r="I278" s="5" t="str">
        <f t="shared" si="4"/>
        <v>fate2772129</v>
      </c>
      <c r="J278" s="6" t="s">
        <v>8968</v>
      </c>
      <c r="K278" s="6">
        <v>21</v>
      </c>
      <c r="L278" s="6">
        <v>29</v>
      </c>
      <c r="M278" s="6"/>
      <c r="N278" s="6"/>
      <c r="P278" s="5" t="s">
        <v>8694</v>
      </c>
      <c r="Q278" s="5" t="s">
        <v>8531</v>
      </c>
      <c r="R278" s="5" t="s">
        <v>8532</v>
      </c>
      <c r="S278" s="5"/>
      <c r="T278" s="5"/>
    </row>
    <row r="279" spans="1:20" x14ac:dyDescent="0.25">
      <c r="A279" s="5" t="s">
        <v>9015</v>
      </c>
      <c r="B279" s="7" t="s">
        <v>8424</v>
      </c>
      <c r="C279" s="5" t="s">
        <v>1067</v>
      </c>
      <c r="D279" s="5"/>
      <c r="F279" s="5"/>
      <c r="G279" s="7">
        <v>49</v>
      </c>
      <c r="H279" s="5" t="s">
        <v>8969</v>
      </c>
      <c r="I279" s="5" t="str">
        <f t="shared" si="4"/>
        <v>fate2782222</v>
      </c>
      <c r="J279" s="6" t="s">
        <v>8991</v>
      </c>
      <c r="K279" s="6">
        <v>22</v>
      </c>
      <c r="L279" s="6">
        <v>22</v>
      </c>
      <c r="M279" s="6"/>
      <c r="N279" s="6"/>
      <c r="P279" s="5" t="s">
        <v>8694</v>
      </c>
      <c r="Q279" s="5" t="s">
        <v>8531</v>
      </c>
      <c r="R279" s="5" t="s">
        <v>8532</v>
      </c>
      <c r="S279" s="5"/>
      <c r="T279" s="5"/>
    </row>
    <row r="280" spans="1:20" x14ac:dyDescent="0.25">
      <c r="A280" s="5" t="s">
        <v>9017</v>
      </c>
      <c r="B280" s="7" t="s">
        <v>8424</v>
      </c>
      <c r="C280" s="5" t="s">
        <v>1067</v>
      </c>
      <c r="D280" s="5"/>
      <c r="F280" s="5"/>
      <c r="G280" s="7">
        <v>49</v>
      </c>
      <c r="H280" s="5" t="s">
        <v>8969</v>
      </c>
      <c r="I280" s="5" t="str">
        <f t="shared" si="4"/>
        <v>fate2791815</v>
      </c>
      <c r="J280" s="6" t="s">
        <v>293</v>
      </c>
      <c r="K280" s="6">
        <v>18</v>
      </c>
      <c r="L280" s="6">
        <v>15</v>
      </c>
      <c r="M280" s="6"/>
      <c r="N280" s="6"/>
      <c r="P280" s="5" t="s">
        <v>8694</v>
      </c>
      <c r="Q280" s="5" t="s">
        <v>8531</v>
      </c>
      <c r="R280" s="5" t="s">
        <v>8532</v>
      </c>
      <c r="S280" s="5"/>
      <c r="T280" s="5"/>
    </row>
    <row r="281" spans="1:20" x14ac:dyDescent="0.25">
      <c r="A281" s="5" t="s">
        <v>9019</v>
      </c>
      <c r="B281" s="7" t="s">
        <v>10503</v>
      </c>
      <c r="C281" s="5" t="s">
        <v>1067</v>
      </c>
      <c r="D281" s="1" t="s">
        <v>548</v>
      </c>
      <c r="F281" s="5"/>
      <c r="G281" s="7">
        <v>49</v>
      </c>
      <c r="H281" s="5" t="s">
        <v>8969</v>
      </c>
      <c r="I281" s="5" t="str">
        <f t="shared" si="4"/>
        <v>fate2801714</v>
      </c>
      <c r="J281" s="6" t="s">
        <v>549</v>
      </c>
      <c r="K281" s="6">
        <v>17</v>
      </c>
      <c r="L281" s="6">
        <v>14</v>
      </c>
      <c r="M281" s="6"/>
      <c r="N281" s="6"/>
      <c r="P281" s="5" t="s">
        <v>8694</v>
      </c>
      <c r="Q281" s="5" t="s">
        <v>8531</v>
      </c>
      <c r="R281" s="5" t="s">
        <v>8532</v>
      </c>
      <c r="S281" s="5"/>
      <c r="T281" s="5"/>
    </row>
    <row r="282" spans="1:20" x14ac:dyDescent="0.25">
      <c r="A282" s="5" t="s">
        <v>9021</v>
      </c>
      <c r="B282" s="7" t="s">
        <v>10503</v>
      </c>
      <c r="C282" s="5" t="s">
        <v>1067</v>
      </c>
      <c r="D282" s="1" t="s">
        <v>10841</v>
      </c>
      <c r="F282" s="5"/>
      <c r="G282" s="7">
        <v>49</v>
      </c>
      <c r="H282" s="5" t="s">
        <v>8969</v>
      </c>
      <c r="I282" s="5" t="str">
        <f t="shared" si="4"/>
        <v>fate2812423</v>
      </c>
      <c r="J282" s="6" t="s">
        <v>8974</v>
      </c>
      <c r="K282" s="6">
        <v>24</v>
      </c>
      <c r="L282" s="6">
        <v>23</v>
      </c>
      <c r="M282" s="6"/>
      <c r="N282" s="6"/>
      <c r="P282" s="5" t="s">
        <v>8694</v>
      </c>
      <c r="Q282" s="5" t="s">
        <v>8531</v>
      </c>
      <c r="R282" s="5" t="s">
        <v>8532</v>
      </c>
      <c r="S282" s="5"/>
      <c r="T282" s="5"/>
    </row>
    <row r="283" spans="1:20" x14ac:dyDescent="0.25">
      <c r="A283" s="5" t="s">
        <v>9023</v>
      </c>
      <c r="B283" s="7" t="s">
        <v>10503</v>
      </c>
      <c r="C283" s="5" t="s">
        <v>1067</v>
      </c>
      <c r="D283" s="1" t="s">
        <v>10843</v>
      </c>
      <c r="F283" s="5"/>
      <c r="G283" s="7">
        <v>49</v>
      </c>
      <c r="H283" s="5" t="s">
        <v>8969</v>
      </c>
      <c r="I283" s="5" t="str">
        <f t="shared" si="4"/>
        <v>fate2821814</v>
      </c>
      <c r="J283" s="6" t="s">
        <v>8984</v>
      </c>
      <c r="K283" s="6">
        <v>18</v>
      </c>
      <c r="L283" s="6">
        <v>14</v>
      </c>
      <c r="M283" s="6"/>
      <c r="N283" s="6"/>
      <c r="P283" s="5" t="s">
        <v>8694</v>
      </c>
      <c r="Q283" s="5" t="s">
        <v>8531</v>
      </c>
      <c r="R283" s="5" t="s">
        <v>8532</v>
      </c>
      <c r="S283" s="5"/>
      <c r="T283" s="5"/>
    </row>
    <row r="284" spans="1:20" x14ac:dyDescent="0.25">
      <c r="A284" s="5" t="s">
        <v>9025</v>
      </c>
      <c r="B284" s="7" t="s">
        <v>10503</v>
      </c>
      <c r="C284" s="5" t="s">
        <v>1067</v>
      </c>
      <c r="D284" s="1" t="s">
        <v>10844</v>
      </c>
      <c r="F284" s="5"/>
      <c r="G284" s="7">
        <v>49</v>
      </c>
      <c r="H284" s="5" t="s">
        <v>8969</v>
      </c>
      <c r="I284" s="5" t="str">
        <f t="shared" si="4"/>
        <v>fate2832520</v>
      </c>
      <c r="J284" s="6" t="s">
        <v>8997</v>
      </c>
      <c r="K284" s="6">
        <v>25</v>
      </c>
      <c r="L284" s="6">
        <v>20</v>
      </c>
      <c r="M284" s="6"/>
      <c r="N284" s="6"/>
      <c r="P284" s="5" t="s">
        <v>8694</v>
      </c>
      <c r="Q284" s="5" t="s">
        <v>8531</v>
      </c>
      <c r="R284" s="5" t="s">
        <v>8532</v>
      </c>
      <c r="S284" s="5"/>
      <c r="T284" s="5"/>
    </row>
    <row r="285" spans="1:20" x14ac:dyDescent="0.25">
      <c r="A285" s="5" t="s">
        <v>9030</v>
      </c>
      <c r="B285" s="7" t="s">
        <v>8310</v>
      </c>
      <c r="C285" s="5" t="s">
        <v>1067</v>
      </c>
      <c r="D285" s="5"/>
      <c r="E285" s="5">
        <v>11</v>
      </c>
      <c r="F285" s="5">
        <v>1</v>
      </c>
      <c r="G285" s="7">
        <v>49</v>
      </c>
      <c r="H285" s="5" t="s">
        <v>8969</v>
      </c>
      <c r="I285" s="5" t="str">
        <f t="shared" si="4"/>
        <v>fate2842622</v>
      </c>
      <c r="J285" s="6" t="s">
        <v>8986</v>
      </c>
      <c r="K285" s="6">
        <v>26</v>
      </c>
      <c r="L285" s="6">
        <v>22</v>
      </c>
      <c r="M285" s="6"/>
      <c r="N285" s="6"/>
      <c r="P285" s="5" t="s">
        <v>8987</v>
      </c>
      <c r="Q285" s="5" t="s">
        <v>8531</v>
      </c>
      <c r="R285" s="5" t="s">
        <v>8532</v>
      </c>
      <c r="S285" s="5"/>
      <c r="T285" s="5"/>
    </row>
    <row r="286" spans="1:20" x14ac:dyDescent="0.25">
      <c r="A286" s="5" t="s">
        <v>9032</v>
      </c>
      <c r="B286" s="7" t="s">
        <v>8310</v>
      </c>
      <c r="C286" s="5" t="s">
        <v>1067</v>
      </c>
      <c r="D286" s="5"/>
      <c r="E286" s="5">
        <v>11</v>
      </c>
      <c r="F286" s="5">
        <v>2</v>
      </c>
      <c r="G286" s="7">
        <v>49</v>
      </c>
      <c r="H286" s="5" t="s">
        <v>8969</v>
      </c>
      <c r="I286" s="5" t="str">
        <f t="shared" si="4"/>
        <v>fate2852622</v>
      </c>
      <c r="J286" s="6" t="s">
        <v>8994</v>
      </c>
      <c r="K286" s="6">
        <v>26</v>
      </c>
      <c r="L286" s="6">
        <v>22</v>
      </c>
      <c r="M286" s="6"/>
      <c r="N286" s="6"/>
      <c r="P286" s="5" t="s">
        <v>8995</v>
      </c>
      <c r="Q286" s="5" t="s">
        <v>8531</v>
      </c>
      <c r="R286" s="5" t="s">
        <v>8532</v>
      </c>
      <c r="S286" s="5"/>
      <c r="T286" s="5"/>
    </row>
    <row r="287" spans="1:20" x14ac:dyDescent="0.25">
      <c r="A287" s="5" t="s">
        <v>9034</v>
      </c>
      <c r="B287" s="7" t="s">
        <v>10503</v>
      </c>
      <c r="C287" s="5" t="s">
        <v>1067</v>
      </c>
      <c r="D287" s="5" t="s">
        <v>10845</v>
      </c>
      <c r="E287" s="5">
        <v>11</v>
      </c>
      <c r="F287" s="5">
        <v>3</v>
      </c>
      <c r="G287" s="7">
        <v>49</v>
      </c>
      <c r="H287" s="5" t="s">
        <v>8969</v>
      </c>
      <c r="I287" s="5" t="str">
        <f t="shared" si="4"/>
        <v>fate2862622</v>
      </c>
      <c r="J287" s="6" t="s">
        <v>8971</v>
      </c>
      <c r="K287" s="6">
        <v>26</v>
      </c>
      <c r="L287" s="6">
        <v>22</v>
      </c>
      <c r="M287" s="6"/>
      <c r="N287" s="6"/>
      <c r="P287" s="5" t="s">
        <v>8694</v>
      </c>
      <c r="Q287" s="5" t="s">
        <v>8531</v>
      </c>
      <c r="R287" s="5" t="s">
        <v>8532</v>
      </c>
      <c r="S287" s="5"/>
      <c r="T287" s="5"/>
    </row>
    <row r="288" spans="1:20" x14ac:dyDescent="0.25">
      <c r="A288" s="5" t="s">
        <v>9036</v>
      </c>
      <c r="B288" s="7" t="s">
        <v>10503</v>
      </c>
      <c r="C288" s="5" t="s">
        <v>1067</v>
      </c>
      <c r="D288" s="1" t="s">
        <v>10842</v>
      </c>
      <c r="E288" s="5">
        <v>11</v>
      </c>
      <c r="F288" s="5">
        <v>4</v>
      </c>
      <c r="G288" s="7">
        <v>49</v>
      </c>
      <c r="H288" s="5" t="s">
        <v>8969</v>
      </c>
      <c r="I288" s="5" t="str">
        <f t="shared" si="4"/>
        <v>fate2872622</v>
      </c>
      <c r="J288" s="6" t="s">
        <v>8976</v>
      </c>
      <c r="K288" s="6">
        <v>26</v>
      </c>
      <c r="L288" s="6">
        <v>22</v>
      </c>
      <c r="M288" s="6"/>
      <c r="N288" s="6"/>
      <c r="P288" s="5" t="s">
        <v>8694</v>
      </c>
      <c r="Q288" s="5" t="s">
        <v>8531</v>
      </c>
      <c r="R288" s="5" t="s">
        <v>8532</v>
      </c>
      <c r="S288" s="5"/>
      <c r="T288" s="5"/>
    </row>
    <row r="289" spans="1:20" x14ac:dyDescent="0.25">
      <c r="A289" s="5" t="s">
        <v>9038</v>
      </c>
      <c r="B289" s="7" t="s">
        <v>8310</v>
      </c>
      <c r="C289" s="5" t="s">
        <v>1067</v>
      </c>
      <c r="D289" s="5"/>
      <c r="F289" s="5"/>
      <c r="G289" s="7">
        <v>35</v>
      </c>
      <c r="H289" s="5" t="s">
        <v>9002</v>
      </c>
      <c r="I289" s="5" t="str">
        <f t="shared" si="4"/>
        <v>fate2882328</v>
      </c>
      <c r="J289" s="6" t="s">
        <v>9001</v>
      </c>
      <c r="K289" s="6">
        <v>23</v>
      </c>
      <c r="L289" s="6">
        <v>28</v>
      </c>
      <c r="M289" s="6"/>
      <c r="N289" s="6"/>
      <c r="P289" s="5" t="s">
        <v>9003</v>
      </c>
      <c r="Q289" s="5" t="s">
        <v>9004</v>
      </c>
      <c r="R289" s="5" t="s">
        <v>9005</v>
      </c>
      <c r="S289" s="5"/>
      <c r="T289" s="5"/>
    </row>
    <row r="290" spans="1:20" x14ac:dyDescent="0.25">
      <c r="A290" s="5" t="s">
        <v>9040</v>
      </c>
      <c r="B290" s="7" t="s">
        <v>8310</v>
      </c>
      <c r="C290" s="5" t="s">
        <v>1067</v>
      </c>
      <c r="D290" s="5"/>
      <c r="F290" s="5"/>
      <c r="G290" s="7">
        <v>36</v>
      </c>
      <c r="H290" s="5" t="s">
        <v>9002</v>
      </c>
      <c r="I290" s="5" t="str">
        <f t="shared" si="4"/>
        <v>fate2892521</v>
      </c>
      <c r="J290" s="6" t="s">
        <v>9016</v>
      </c>
      <c r="K290" s="6">
        <v>25</v>
      </c>
      <c r="L290" s="6">
        <v>21</v>
      </c>
      <c r="M290" s="6"/>
      <c r="N290" s="6"/>
      <c r="P290" s="5" t="s">
        <v>9012</v>
      </c>
      <c r="Q290" s="5" t="s">
        <v>9013</v>
      </c>
      <c r="R290" s="5" t="s">
        <v>9014</v>
      </c>
      <c r="S290" s="5"/>
      <c r="T290" s="5"/>
    </row>
    <row r="291" spans="1:20" x14ac:dyDescent="0.25">
      <c r="A291" s="5" t="s">
        <v>9042</v>
      </c>
      <c r="B291" s="7" t="s">
        <v>8310</v>
      </c>
      <c r="C291" s="5" t="s">
        <v>1067</v>
      </c>
      <c r="D291" s="5"/>
      <c r="F291" s="5"/>
      <c r="G291" s="7">
        <v>36</v>
      </c>
      <c r="H291" s="5" t="s">
        <v>9002</v>
      </c>
      <c r="I291" s="5" t="str">
        <f t="shared" si="4"/>
        <v>fate2902519</v>
      </c>
      <c r="J291" s="6" t="s">
        <v>9018</v>
      </c>
      <c r="K291" s="6">
        <v>25</v>
      </c>
      <c r="L291" s="6">
        <v>19</v>
      </c>
      <c r="M291" s="6"/>
      <c r="N291" s="6"/>
      <c r="P291" s="5" t="s">
        <v>9012</v>
      </c>
      <c r="Q291" s="5" t="s">
        <v>9013</v>
      </c>
      <c r="R291" s="5" t="s">
        <v>9014</v>
      </c>
      <c r="S291" s="5"/>
      <c r="T291" s="5"/>
    </row>
    <row r="292" spans="1:20" x14ac:dyDescent="0.25">
      <c r="A292" s="5" t="s">
        <v>9047</v>
      </c>
      <c r="B292" s="7" t="s">
        <v>8310</v>
      </c>
      <c r="C292" s="5" t="s">
        <v>1067</v>
      </c>
      <c r="D292" s="5"/>
      <c r="F292" s="5"/>
      <c r="G292" s="7">
        <v>37</v>
      </c>
      <c r="H292" s="5" t="s">
        <v>9002</v>
      </c>
      <c r="I292" s="5" t="str">
        <f t="shared" si="4"/>
        <v>fate2913112</v>
      </c>
      <c r="J292" s="6" t="s">
        <v>9022</v>
      </c>
      <c r="K292" s="6">
        <v>31</v>
      </c>
      <c r="L292" s="6">
        <v>12</v>
      </c>
      <c r="M292" s="6"/>
      <c r="N292" s="6"/>
      <c r="P292" s="5" t="s">
        <v>8787</v>
      </c>
      <c r="Q292" s="5" t="s">
        <v>8364</v>
      </c>
      <c r="R292" s="5" t="s">
        <v>8788</v>
      </c>
      <c r="S292" s="5"/>
      <c r="T292" s="5"/>
    </row>
    <row r="293" spans="1:20" x14ac:dyDescent="0.25">
      <c r="A293" s="5" t="s">
        <v>9049</v>
      </c>
      <c r="B293" s="7" t="s">
        <v>8310</v>
      </c>
      <c r="C293" s="5" t="s">
        <v>1067</v>
      </c>
      <c r="D293" s="5"/>
      <c r="F293" s="5"/>
      <c r="G293" s="7">
        <v>37</v>
      </c>
      <c r="H293" s="5" t="s">
        <v>9002</v>
      </c>
      <c r="I293" s="5" t="str">
        <f t="shared" si="4"/>
        <v>fate2922615</v>
      </c>
      <c r="J293" s="6" t="s">
        <v>9024</v>
      </c>
      <c r="K293" s="6">
        <v>26</v>
      </c>
      <c r="L293" s="6">
        <v>15</v>
      </c>
      <c r="M293" s="6"/>
      <c r="N293" s="6"/>
      <c r="P293" s="5" t="s">
        <v>8787</v>
      </c>
      <c r="Q293" s="5" t="s">
        <v>8364</v>
      </c>
      <c r="R293" s="5" t="s">
        <v>8788</v>
      </c>
      <c r="S293" s="5"/>
      <c r="T293" s="5"/>
    </row>
    <row r="294" spans="1:20" x14ac:dyDescent="0.25">
      <c r="A294" s="5" t="s">
        <v>9051</v>
      </c>
      <c r="B294" s="7" t="s">
        <v>8310</v>
      </c>
      <c r="C294" s="5" t="s">
        <v>1067</v>
      </c>
      <c r="D294" s="5"/>
      <c r="F294" s="5"/>
      <c r="G294" s="7">
        <v>38</v>
      </c>
      <c r="H294" s="5" t="s">
        <v>9002</v>
      </c>
      <c r="I294" s="5" t="str">
        <f t="shared" si="4"/>
        <v>fate2932413</v>
      </c>
      <c r="J294" s="6" t="s">
        <v>9031</v>
      </c>
      <c r="K294" s="6">
        <v>24</v>
      </c>
      <c r="L294" s="6">
        <v>13</v>
      </c>
      <c r="M294" s="6"/>
      <c r="N294" s="6"/>
      <c r="P294" s="5" t="s">
        <v>9027</v>
      </c>
      <c r="Q294" s="5" t="s">
        <v>9028</v>
      </c>
      <c r="R294" s="5" t="s">
        <v>9029</v>
      </c>
      <c r="S294" s="5"/>
      <c r="T294" s="5"/>
    </row>
    <row r="295" spans="1:20" x14ac:dyDescent="0.25">
      <c r="A295" s="5" t="s">
        <v>9053</v>
      </c>
      <c r="B295" s="7" t="s">
        <v>8310</v>
      </c>
      <c r="C295" s="5" t="s">
        <v>1067</v>
      </c>
      <c r="D295" s="5"/>
      <c r="F295" s="5"/>
      <c r="G295" s="7">
        <v>39</v>
      </c>
      <c r="H295" s="5" t="s">
        <v>9002</v>
      </c>
      <c r="I295" s="5" t="str">
        <f t="shared" si="4"/>
        <v>fate2941817</v>
      </c>
      <c r="J295" s="6" t="s">
        <v>9050</v>
      </c>
      <c r="K295" s="6">
        <v>18</v>
      </c>
      <c r="L295" s="6">
        <v>17</v>
      </c>
      <c r="M295" s="6"/>
      <c r="N295" s="6"/>
      <c r="P295" s="5" t="s">
        <v>9044</v>
      </c>
      <c r="Q295" s="5" t="s">
        <v>9045</v>
      </c>
      <c r="R295" s="5" t="s">
        <v>9046</v>
      </c>
      <c r="S295" s="5"/>
      <c r="T295" s="5"/>
    </row>
    <row r="296" spans="1:20" x14ac:dyDescent="0.25">
      <c r="A296" s="5" t="s">
        <v>9055</v>
      </c>
      <c r="B296" s="7" t="s">
        <v>8310</v>
      </c>
      <c r="C296" s="5" t="s">
        <v>1067</v>
      </c>
      <c r="D296" s="5"/>
      <c r="F296" s="5"/>
      <c r="G296" s="7">
        <v>40</v>
      </c>
      <c r="H296" s="5" t="s">
        <v>9002</v>
      </c>
      <c r="I296" s="5" t="str">
        <f t="shared" si="4"/>
        <v>fate2951015</v>
      </c>
      <c r="J296" s="6" t="s">
        <v>9058</v>
      </c>
      <c r="K296" s="6">
        <v>10</v>
      </c>
      <c r="L296" s="6">
        <v>15</v>
      </c>
      <c r="M296" s="6"/>
      <c r="N296" s="6"/>
      <c r="P296" s="5" t="s">
        <v>8499</v>
      </c>
      <c r="Q296" s="5" t="s">
        <v>8368</v>
      </c>
      <c r="R296" s="5" t="s">
        <v>8500</v>
      </c>
      <c r="S296" s="5"/>
      <c r="T296" s="5"/>
    </row>
    <row r="297" spans="1:20" x14ac:dyDescent="0.25">
      <c r="A297" s="5" t="s">
        <v>9057</v>
      </c>
      <c r="B297" s="7" t="s">
        <v>8310</v>
      </c>
      <c r="C297" s="5" t="s">
        <v>1067</v>
      </c>
      <c r="D297" s="5"/>
      <c r="F297" s="5"/>
      <c r="G297" s="7">
        <v>40</v>
      </c>
      <c r="H297" s="5" t="s">
        <v>9002</v>
      </c>
      <c r="I297" s="5" t="str">
        <f t="shared" si="4"/>
        <v>fate2961318</v>
      </c>
      <c r="J297" s="6" t="s">
        <v>9062</v>
      </c>
      <c r="K297" s="6">
        <v>13</v>
      </c>
      <c r="L297" s="6">
        <v>18</v>
      </c>
      <c r="M297" s="6"/>
      <c r="N297" s="6"/>
      <c r="P297" s="5" t="s">
        <v>8499</v>
      </c>
      <c r="Q297" s="5" t="s">
        <v>8368</v>
      </c>
      <c r="R297" s="5" t="s">
        <v>8500</v>
      </c>
      <c r="S297" s="5"/>
      <c r="T297" s="5"/>
    </row>
    <row r="298" spans="1:20" x14ac:dyDescent="0.25">
      <c r="A298" s="5" t="s">
        <v>9059</v>
      </c>
      <c r="B298" s="7" t="s">
        <v>8310</v>
      </c>
      <c r="C298" s="5" t="s">
        <v>1067</v>
      </c>
      <c r="D298" s="5"/>
      <c r="F298" s="5"/>
      <c r="G298" s="7">
        <v>40</v>
      </c>
      <c r="H298" s="5" t="s">
        <v>9002</v>
      </c>
      <c r="I298" s="5" t="str">
        <f t="shared" si="4"/>
        <v>fate297919</v>
      </c>
      <c r="J298" s="6" t="s">
        <v>9064</v>
      </c>
      <c r="K298" s="6">
        <v>9</v>
      </c>
      <c r="L298" s="6">
        <v>19</v>
      </c>
      <c r="M298" s="6"/>
      <c r="N298" s="6"/>
      <c r="P298" s="5" t="s">
        <v>8499</v>
      </c>
      <c r="Q298" s="5" t="s">
        <v>8368</v>
      </c>
      <c r="R298" s="5" t="s">
        <v>8500</v>
      </c>
      <c r="S298" s="5"/>
      <c r="T298" s="5"/>
    </row>
    <row r="299" spans="1:20" x14ac:dyDescent="0.25">
      <c r="A299" s="5" t="s">
        <v>9061</v>
      </c>
      <c r="B299" s="7" t="s">
        <v>8310</v>
      </c>
      <c r="C299" s="5" t="s">
        <v>1067</v>
      </c>
      <c r="D299" s="5"/>
      <c r="F299" s="5"/>
      <c r="G299" s="7">
        <v>45</v>
      </c>
      <c r="H299" s="5" t="s">
        <v>9002</v>
      </c>
      <c r="I299" s="5" t="str">
        <f t="shared" si="4"/>
        <v>fate2981028</v>
      </c>
      <c r="J299" s="6" t="s">
        <v>9068</v>
      </c>
      <c r="K299" s="6">
        <v>10</v>
      </c>
      <c r="L299" s="6">
        <v>28</v>
      </c>
      <c r="M299" s="6"/>
      <c r="N299" s="6"/>
      <c r="P299" s="5" t="s">
        <v>8933</v>
      </c>
      <c r="Q299" s="5" t="s">
        <v>8515</v>
      </c>
      <c r="R299" s="5" t="s">
        <v>8516</v>
      </c>
      <c r="S299" s="5"/>
      <c r="T299" s="5"/>
    </row>
    <row r="300" spans="1:20" x14ac:dyDescent="0.25">
      <c r="A300" s="5" t="s">
        <v>9063</v>
      </c>
      <c r="B300" s="7" t="s">
        <v>8310</v>
      </c>
      <c r="C300" s="5" t="s">
        <v>1067</v>
      </c>
      <c r="D300" s="5"/>
      <c r="F300" s="5"/>
      <c r="G300" s="7">
        <v>47</v>
      </c>
      <c r="H300" s="5" t="s">
        <v>9002</v>
      </c>
      <c r="I300" s="5" t="str">
        <f t="shared" si="4"/>
        <v>fate299927</v>
      </c>
      <c r="J300" s="6" t="s">
        <v>9072</v>
      </c>
      <c r="K300" s="6">
        <v>9</v>
      </c>
      <c r="L300" s="6">
        <v>27</v>
      </c>
      <c r="M300" s="6"/>
      <c r="N300" s="6"/>
      <c r="P300" s="5" t="s">
        <v>8592</v>
      </c>
      <c r="Q300" s="5" t="s">
        <v>8593</v>
      </c>
      <c r="R300" s="5" t="s">
        <v>8594</v>
      </c>
      <c r="S300" s="5"/>
      <c r="T300" s="5"/>
    </row>
    <row r="301" spans="1:20" x14ac:dyDescent="0.25">
      <c r="A301" s="5" t="s">
        <v>9065</v>
      </c>
      <c r="B301" s="7" t="s">
        <v>8310</v>
      </c>
      <c r="C301" s="5" t="s">
        <v>1067</v>
      </c>
      <c r="D301" s="5"/>
      <c r="F301" s="5"/>
      <c r="G301" s="7">
        <v>47</v>
      </c>
      <c r="H301" s="5" t="s">
        <v>9002</v>
      </c>
      <c r="I301" s="5" t="str">
        <f t="shared" si="4"/>
        <v>fate3001930</v>
      </c>
      <c r="J301" s="6" t="s">
        <v>9074</v>
      </c>
      <c r="K301" s="6">
        <v>19</v>
      </c>
      <c r="L301" s="6">
        <v>30</v>
      </c>
      <c r="M301" s="6"/>
      <c r="N301" s="6"/>
      <c r="P301" s="5" t="s">
        <v>8592</v>
      </c>
      <c r="Q301" s="5" t="s">
        <v>8593</v>
      </c>
      <c r="R301" s="5" t="s">
        <v>8594</v>
      </c>
      <c r="S301" s="5"/>
      <c r="T301" s="5"/>
    </row>
    <row r="302" spans="1:20" x14ac:dyDescent="0.25">
      <c r="A302" s="5" t="s">
        <v>9067</v>
      </c>
      <c r="B302" s="7" t="s">
        <v>8310</v>
      </c>
      <c r="C302" s="5" t="s">
        <v>1067</v>
      </c>
      <c r="D302" s="5"/>
      <c r="F302" s="5"/>
      <c r="G302" s="7">
        <v>48</v>
      </c>
      <c r="H302" s="5" t="s">
        <v>9002</v>
      </c>
      <c r="I302" s="5" t="str">
        <f t="shared" si="4"/>
        <v>fate3013321</v>
      </c>
      <c r="J302" s="6" t="s">
        <v>9076</v>
      </c>
      <c r="K302" s="6">
        <v>33</v>
      </c>
      <c r="L302" s="6">
        <v>21</v>
      </c>
      <c r="M302" s="6"/>
      <c r="N302" s="6"/>
      <c r="P302" s="5" t="s">
        <v>8525</v>
      </c>
      <c r="Q302" s="5" t="s">
        <v>8526</v>
      </c>
      <c r="R302" s="5" t="s">
        <v>8527</v>
      </c>
      <c r="S302" s="5"/>
      <c r="T302" s="5"/>
    </row>
    <row r="303" spans="1:20" x14ac:dyDescent="0.25">
      <c r="A303" s="5" t="s">
        <v>9069</v>
      </c>
      <c r="B303" s="7" t="s">
        <v>8346</v>
      </c>
      <c r="C303" s="5" t="s">
        <v>1067</v>
      </c>
      <c r="D303" s="5"/>
      <c r="F303" s="5"/>
      <c r="G303" s="7">
        <v>35</v>
      </c>
      <c r="H303" s="5" t="s">
        <v>9002</v>
      </c>
      <c r="I303" s="5" t="str">
        <f t="shared" si="4"/>
        <v>fate3022627</v>
      </c>
      <c r="J303" s="6" t="s">
        <v>9007</v>
      </c>
      <c r="K303" s="6">
        <v>26</v>
      </c>
      <c r="L303" s="6">
        <v>27</v>
      </c>
      <c r="M303" s="6"/>
      <c r="N303" s="6"/>
      <c r="P303" s="5" t="s">
        <v>9003</v>
      </c>
      <c r="Q303" s="5" t="s">
        <v>9004</v>
      </c>
      <c r="R303" s="5" t="s">
        <v>9005</v>
      </c>
      <c r="S303" s="5"/>
      <c r="T303" s="5"/>
    </row>
    <row r="304" spans="1:20" x14ac:dyDescent="0.25">
      <c r="A304" s="5" t="s">
        <v>9071</v>
      </c>
      <c r="B304" s="7" t="s">
        <v>8346</v>
      </c>
      <c r="C304" s="5" t="s">
        <v>1067</v>
      </c>
      <c r="D304" s="5"/>
      <c r="F304" s="5"/>
      <c r="G304" s="7">
        <v>38</v>
      </c>
      <c r="H304" s="5" t="s">
        <v>9002</v>
      </c>
      <c r="I304" s="5" t="str">
        <f t="shared" si="4"/>
        <v>fate3032711</v>
      </c>
      <c r="J304" s="6" t="s">
        <v>9041</v>
      </c>
      <c r="K304" s="6">
        <v>27</v>
      </c>
      <c r="L304" s="6">
        <v>11</v>
      </c>
      <c r="M304" s="6"/>
      <c r="N304" s="6"/>
      <c r="P304" s="5" t="s">
        <v>9027</v>
      </c>
      <c r="Q304" s="5" t="s">
        <v>9028</v>
      </c>
      <c r="R304" s="5" t="s">
        <v>9029</v>
      </c>
      <c r="S304" s="5"/>
      <c r="T304" s="5"/>
    </row>
    <row r="305" spans="1:20" x14ac:dyDescent="0.25">
      <c r="A305" s="5" t="s">
        <v>9073</v>
      </c>
      <c r="B305" s="7" t="s">
        <v>8450</v>
      </c>
      <c r="C305" s="5" t="s">
        <v>1067</v>
      </c>
      <c r="D305" s="5"/>
      <c r="F305" s="5"/>
      <c r="G305" s="7">
        <v>36</v>
      </c>
      <c r="H305" s="5" t="s">
        <v>9002</v>
      </c>
      <c r="I305" s="5" t="str">
        <f t="shared" si="4"/>
        <v>fate3042628</v>
      </c>
      <c r="J305" s="6" t="s">
        <v>9020</v>
      </c>
      <c r="K305" s="6">
        <v>26</v>
      </c>
      <c r="L305" s="6">
        <v>28</v>
      </c>
      <c r="M305" s="6"/>
      <c r="N305" s="6"/>
      <c r="P305" s="5" t="s">
        <v>9012</v>
      </c>
      <c r="Q305" s="5" t="s">
        <v>9013</v>
      </c>
      <c r="R305" s="5" t="s">
        <v>9014</v>
      </c>
      <c r="S305" s="5"/>
      <c r="T305" s="5"/>
    </row>
    <row r="306" spans="1:20" x14ac:dyDescent="0.25">
      <c r="A306" s="5" t="s">
        <v>9075</v>
      </c>
      <c r="B306" s="7" t="s">
        <v>8424</v>
      </c>
      <c r="C306" s="5" t="s">
        <v>1067</v>
      </c>
      <c r="D306" s="5"/>
      <c r="F306" s="5"/>
      <c r="G306" s="7">
        <v>38</v>
      </c>
      <c r="H306" s="5" t="s">
        <v>9002</v>
      </c>
      <c r="I306" s="5" t="str">
        <f t="shared" si="4"/>
        <v>fate305317</v>
      </c>
      <c r="J306" s="6" t="s">
        <v>9033</v>
      </c>
      <c r="K306" s="6">
        <v>31</v>
      </c>
      <c r="L306" s="6">
        <v>7</v>
      </c>
      <c r="M306" s="6"/>
      <c r="N306" s="6"/>
      <c r="P306" s="5" t="s">
        <v>9027</v>
      </c>
      <c r="Q306" s="5" t="s">
        <v>9028</v>
      </c>
      <c r="R306" s="5" t="s">
        <v>9029</v>
      </c>
      <c r="S306" s="5"/>
      <c r="T306" s="5"/>
    </row>
    <row r="307" spans="1:20" x14ac:dyDescent="0.25">
      <c r="A307" s="5" t="s">
        <v>9077</v>
      </c>
      <c r="B307" s="7" t="s">
        <v>10503</v>
      </c>
      <c r="C307" s="5" t="s">
        <v>1067</v>
      </c>
      <c r="D307" s="1" t="s">
        <v>9009</v>
      </c>
      <c r="F307" s="5"/>
      <c r="G307" s="7">
        <v>35</v>
      </c>
      <c r="H307" s="5" t="s">
        <v>9002</v>
      </c>
      <c r="I307" s="5" t="str">
        <f t="shared" si="4"/>
        <v>fate3062523</v>
      </c>
      <c r="J307" s="6" t="s">
        <v>9009</v>
      </c>
      <c r="K307" s="6">
        <v>25.3</v>
      </c>
      <c r="L307" s="6">
        <v>23</v>
      </c>
      <c r="M307" s="6"/>
      <c r="N307" s="6"/>
      <c r="P307" s="5" t="s">
        <v>9003</v>
      </c>
      <c r="Q307" s="5" t="s">
        <v>9004</v>
      </c>
      <c r="R307" s="5" t="s">
        <v>9005</v>
      </c>
      <c r="S307" s="5"/>
      <c r="T307" s="5"/>
    </row>
    <row r="308" spans="1:20" x14ac:dyDescent="0.25">
      <c r="A308" s="5" t="s">
        <v>9079</v>
      </c>
      <c r="B308" s="7" t="s">
        <v>10503</v>
      </c>
      <c r="C308" s="5" t="s">
        <v>1067</v>
      </c>
      <c r="D308" s="1" t="s">
        <v>10846</v>
      </c>
      <c r="F308" s="5"/>
      <c r="G308" s="7">
        <v>36</v>
      </c>
      <c r="H308" s="5" t="s">
        <v>9002</v>
      </c>
      <c r="I308" s="5" t="str">
        <f t="shared" si="4"/>
        <v>fate3072723</v>
      </c>
      <c r="J308" s="6" t="s">
        <v>9011</v>
      </c>
      <c r="K308" s="6">
        <v>27</v>
      </c>
      <c r="L308" s="6">
        <v>23</v>
      </c>
      <c r="M308" s="6"/>
      <c r="N308" s="6"/>
      <c r="P308" s="5" t="s">
        <v>9012</v>
      </c>
      <c r="Q308" s="5" t="s">
        <v>9013</v>
      </c>
      <c r="R308" s="5" t="s">
        <v>9014</v>
      </c>
      <c r="S308" s="5"/>
      <c r="T308" s="5"/>
    </row>
    <row r="309" spans="1:20" x14ac:dyDescent="0.25">
      <c r="A309" s="5" t="s">
        <v>9081</v>
      </c>
      <c r="B309" s="7" t="s">
        <v>10503</v>
      </c>
      <c r="C309" s="5" t="s">
        <v>1067</v>
      </c>
      <c r="D309" s="1" t="s">
        <v>10848</v>
      </c>
      <c r="F309" s="5"/>
      <c r="G309" s="7">
        <v>39</v>
      </c>
      <c r="H309" s="5" t="s">
        <v>9002</v>
      </c>
      <c r="I309" s="5" t="str">
        <f t="shared" si="4"/>
        <v>fate3081520</v>
      </c>
      <c r="J309" s="6" t="s">
        <v>9043</v>
      </c>
      <c r="K309" s="6">
        <v>15</v>
      </c>
      <c r="L309" s="6">
        <v>20</v>
      </c>
      <c r="M309" s="6"/>
      <c r="N309" s="6"/>
      <c r="P309" s="5" t="s">
        <v>9044</v>
      </c>
      <c r="Q309" s="5" t="s">
        <v>9045</v>
      </c>
      <c r="R309" s="5" t="s">
        <v>9046</v>
      </c>
      <c r="S309" s="5"/>
      <c r="T309" s="5"/>
    </row>
    <row r="310" spans="1:20" x14ac:dyDescent="0.25">
      <c r="A310" s="5" t="s">
        <v>9083</v>
      </c>
      <c r="B310" s="7" t="s">
        <v>10503</v>
      </c>
      <c r="C310" s="5" t="s">
        <v>1067</v>
      </c>
      <c r="D310" s="1" t="s">
        <v>10850</v>
      </c>
      <c r="F310" s="5"/>
      <c r="G310" s="7">
        <v>39</v>
      </c>
      <c r="H310" s="5" t="s">
        <v>9002</v>
      </c>
      <c r="I310" s="5" t="str">
        <f t="shared" si="4"/>
        <v>fate3093413</v>
      </c>
      <c r="J310" s="6" t="s">
        <v>9048</v>
      </c>
      <c r="K310" s="6">
        <v>34</v>
      </c>
      <c r="L310" s="6">
        <v>13</v>
      </c>
      <c r="M310" s="6"/>
      <c r="N310" s="6"/>
      <c r="P310" s="5" t="s">
        <v>9044</v>
      </c>
      <c r="Q310" s="5" t="s">
        <v>9045</v>
      </c>
      <c r="R310" s="5" t="s">
        <v>9046</v>
      </c>
      <c r="S310" s="5"/>
      <c r="T310" s="5"/>
    </row>
    <row r="311" spans="1:20" x14ac:dyDescent="0.25">
      <c r="A311" s="5" t="s">
        <v>9086</v>
      </c>
      <c r="B311" s="7" t="s">
        <v>10503</v>
      </c>
      <c r="C311" s="5" t="s">
        <v>1067</v>
      </c>
      <c r="D311" s="1" t="s">
        <v>10849</v>
      </c>
      <c r="F311" s="5"/>
      <c r="G311" s="7">
        <v>39</v>
      </c>
      <c r="H311" s="5" t="s">
        <v>9002</v>
      </c>
      <c r="I311" s="5" t="str">
        <f t="shared" si="4"/>
        <v>fate3102117</v>
      </c>
      <c r="J311" s="6" t="s">
        <v>9052</v>
      </c>
      <c r="K311" s="6">
        <v>21</v>
      </c>
      <c r="L311" s="6">
        <v>17</v>
      </c>
      <c r="M311" s="6"/>
      <c r="N311" s="6"/>
      <c r="P311" s="5" t="s">
        <v>9044</v>
      </c>
      <c r="Q311" s="5" t="s">
        <v>9045</v>
      </c>
      <c r="R311" s="5" t="s">
        <v>9046</v>
      </c>
      <c r="S311" s="5"/>
      <c r="T311" s="5"/>
    </row>
    <row r="312" spans="1:20" x14ac:dyDescent="0.25">
      <c r="A312" s="5" t="s">
        <v>9088</v>
      </c>
      <c r="B312" s="7" t="s">
        <v>10503</v>
      </c>
      <c r="C312" s="5" t="s">
        <v>1067</v>
      </c>
      <c r="D312" s="1" t="s">
        <v>10851</v>
      </c>
      <c r="F312" s="5"/>
      <c r="G312" s="7">
        <v>39</v>
      </c>
      <c r="H312" s="5" t="s">
        <v>9002</v>
      </c>
      <c r="I312" s="5" t="str">
        <f t="shared" si="4"/>
        <v>fate3111519</v>
      </c>
      <c r="J312" s="6" t="s">
        <v>9054</v>
      </c>
      <c r="K312" s="6">
        <v>15</v>
      </c>
      <c r="L312" s="6">
        <v>19</v>
      </c>
      <c r="M312" s="6"/>
      <c r="N312" s="6"/>
      <c r="P312" s="5" t="s">
        <v>9044</v>
      </c>
      <c r="Q312" s="5" t="s">
        <v>9045</v>
      </c>
      <c r="R312" s="5" t="s">
        <v>9046</v>
      </c>
      <c r="S312" s="5"/>
      <c r="T312" s="5"/>
    </row>
    <row r="313" spans="1:20" x14ac:dyDescent="0.25">
      <c r="A313" s="5" t="s">
        <v>9090</v>
      </c>
      <c r="B313" s="7" t="s">
        <v>10503</v>
      </c>
      <c r="C313" s="5" t="s">
        <v>1067</v>
      </c>
      <c r="D313" s="1" t="s">
        <v>10852</v>
      </c>
      <c r="F313" s="5"/>
      <c r="G313" s="7">
        <v>40</v>
      </c>
      <c r="H313" s="5" t="s">
        <v>9002</v>
      </c>
      <c r="I313" s="5" t="str">
        <f t="shared" si="4"/>
        <v>fate312522</v>
      </c>
      <c r="J313" s="6" t="s">
        <v>9056</v>
      </c>
      <c r="K313" s="6">
        <v>5</v>
      </c>
      <c r="L313" s="6">
        <v>22</v>
      </c>
      <c r="M313" s="6"/>
      <c r="N313" s="6"/>
      <c r="P313" s="5" t="s">
        <v>8499</v>
      </c>
      <c r="Q313" s="5" t="s">
        <v>8368</v>
      </c>
      <c r="R313" s="5" t="s">
        <v>8500</v>
      </c>
      <c r="S313" s="5"/>
      <c r="T313" s="5"/>
    </row>
    <row r="314" spans="1:20" x14ac:dyDescent="0.25">
      <c r="A314" s="5" t="s">
        <v>9092</v>
      </c>
      <c r="B314" s="7" t="s">
        <v>10503</v>
      </c>
      <c r="C314" s="5" t="s">
        <v>1067</v>
      </c>
      <c r="D314" s="1" t="s">
        <v>10853</v>
      </c>
      <c r="F314" s="5"/>
      <c r="G314" s="7">
        <v>40</v>
      </c>
      <c r="H314" s="5" t="s">
        <v>9002</v>
      </c>
      <c r="I314" s="5" t="str">
        <f t="shared" si="4"/>
        <v>fate3138612</v>
      </c>
      <c r="J314" s="6" t="s">
        <v>9060</v>
      </c>
      <c r="K314" s="6">
        <v>8.6</v>
      </c>
      <c r="L314" s="6">
        <v>12</v>
      </c>
      <c r="M314" s="6"/>
      <c r="N314" s="6"/>
      <c r="P314" s="5" t="s">
        <v>8499</v>
      </c>
      <c r="Q314" s="5" t="s">
        <v>8368</v>
      </c>
      <c r="R314" s="5" t="s">
        <v>8500</v>
      </c>
      <c r="S314" s="5"/>
      <c r="T314" s="5"/>
    </row>
    <row r="315" spans="1:20" x14ac:dyDescent="0.25">
      <c r="A315" s="5" t="s">
        <v>9094</v>
      </c>
      <c r="B315" s="7" t="s">
        <v>10503</v>
      </c>
      <c r="C315" s="5" t="s">
        <v>1067</v>
      </c>
      <c r="D315" s="1" t="s">
        <v>10854</v>
      </c>
      <c r="F315" s="5"/>
      <c r="G315" s="7">
        <v>45</v>
      </c>
      <c r="H315" s="5" t="s">
        <v>9002</v>
      </c>
      <c r="I315" s="5" t="str">
        <f t="shared" si="4"/>
        <v>fate3141323</v>
      </c>
      <c r="J315" s="6" t="s">
        <v>9066</v>
      </c>
      <c r="K315" s="6">
        <v>13</v>
      </c>
      <c r="L315" s="6">
        <v>23</v>
      </c>
      <c r="M315" s="6"/>
      <c r="N315" s="6"/>
      <c r="P315" s="5" t="s">
        <v>8933</v>
      </c>
      <c r="Q315" s="5" t="s">
        <v>8515</v>
      </c>
      <c r="R315" s="5" t="s">
        <v>8516</v>
      </c>
      <c r="S315" s="5"/>
      <c r="T315" s="5"/>
    </row>
    <row r="316" spans="1:20" x14ac:dyDescent="0.25">
      <c r="A316" s="5" t="s">
        <v>9096</v>
      </c>
      <c r="B316" s="7" t="s">
        <v>10503</v>
      </c>
      <c r="C316" s="5" t="s">
        <v>1067</v>
      </c>
      <c r="D316" s="1" t="s">
        <v>10855</v>
      </c>
      <c r="F316" s="5"/>
      <c r="G316" s="7">
        <v>46</v>
      </c>
      <c r="H316" s="5" t="s">
        <v>9002</v>
      </c>
      <c r="I316" s="5" t="str">
        <f t="shared" si="4"/>
        <v>fate3151225</v>
      </c>
      <c r="J316" s="6" t="s">
        <v>9070</v>
      </c>
      <c r="K316" s="6">
        <v>12</v>
      </c>
      <c r="L316" s="6">
        <v>25</v>
      </c>
      <c r="M316" s="6"/>
      <c r="N316" s="6"/>
      <c r="P316" s="5" t="s">
        <v>8521</v>
      </c>
      <c r="Q316" s="5" t="s">
        <v>8481</v>
      </c>
      <c r="R316" s="5" t="s">
        <v>8522</v>
      </c>
      <c r="S316" s="5"/>
      <c r="T316" s="5"/>
    </row>
    <row r="317" spans="1:20" x14ac:dyDescent="0.25">
      <c r="A317" s="5" t="s">
        <v>9098</v>
      </c>
      <c r="B317" s="7" t="s">
        <v>10503</v>
      </c>
      <c r="C317" s="5" t="s">
        <v>1067</v>
      </c>
      <c r="D317" s="1" t="s">
        <v>10857</v>
      </c>
      <c r="F317" s="5"/>
      <c r="G317" s="7">
        <v>49</v>
      </c>
      <c r="H317" s="5" t="s">
        <v>9002</v>
      </c>
      <c r="I317" s="5" t="str">
        <f t="shared" si="4"/>
        <v>fate3163323</v>
      </c>
      <c r="J317" s="6" t="s">
        <v>9078</v>
      </c>
      <c r="K317" s="6">
        <v>33</v>
      </c>
      <c r="L317" s="6">
        <v>23</v>
      </c>
      <c r="M317" s="6"/>
      <c r="N317" s="6"/>
      <c r="P317" s="5" t="s">
        <v>8694</v>
      </c>
      <c r="Q317" s="5" t="s">
        <v>8531</v>
      </c>
      <c r="R317" s="5" t="s">
        <v>8532</v>
      </c>
      <c r="S317" s="5"/>
      <c r="T317" s="5"/>
    </row>
    <row r="318" spans="1:20" x14ac:dyDescent="0.25">
      <c r="A318" s="5" t="s">
        <v>9100</v>
      </c>
      <c r="B318" s="7" t="s">
        <v>10503</v>
      </c>
      <c r="C318" s="5" t="s">
        <v>1067</v>
      </c>
      <c r="D318" s="1" t="s">
        <v>10880</v>
      </c>
      <c r="F318" s="5"/>
      <c r="G318" s="7">
        <v>49</v>
      </c>
      <c r="H318" s="5" t="s">
        <v>9002</v>
      </c>
      <c r="I318" s="5" t="str">
        <f t="shared" si="4"/>
        <v>fate3173421</v>
      </c>
      <c r="J318" s="6" t="s">
        <v>9080</v>
      </c>
      <c r="K318" s="6">
        <v>34</v>
      </c>
      <c r="L318" s="6">
        <v>21</v>
      </c>
      <c r="M318" s="6"/>
      <c r="N318" s="6"/>
      <c r="P318" s="5" t="s">
        <v>8694</v>
      </c>
      <c r="Q318" s="5" t="s">
        <v>8531</v>
      </c>
      <c r="R318" s="5" t="s">
        <v>8532</v>
      </c>
      <c r="S318" s="5"/>
      <c r="T318" s="5"/>
    </row>
    <row r="319" spans="1:20" x14ac:dyDescent="0.25">
      <c r="A319" s="5" t="s">
        <v>9102</v>
      </c>
      <c r="B319" s="7" t="s">
        <v>10503</v>
      </c>
      <c r="C319" s="5" t="s">
        <v>1067</v>
      </c>
      <c r="D319" s="1" t="s">
        <v>10856</v>
      </c>
      <c r="F319" s="5"/>
      <c r="G319" s="7">
        <v>49</v>
      </c>
      <c r="H319" s="5" t="s">
        <v>9002</v>
      </c>
      <c r="I319" s="5" t="str">
        <f t="shared" si="4"/>
        <v>fate3183423</v>
      </c>
      <c r="J319" s="6" t="s">
        <v>9082</v>
      </c>
      <c r="K319" s="6">
        <v>34</v>
      </c>
      <c r="L319" s="6">
        <v>23</v>
      </c>
      <c r="M319" s="6"/>
      <c r="N319" s="6"/>
      <c r="P319" s="5" t="s">
        <v>8694</v>
      </c>
      <c r="Q319" s="5" t="s">
        <v>8531</v>
      </c>
      <c r="R319" s="5" t="s">
        <v>8532</v>
      </c>
      <c r="S319" s="5"/>
      <c r="T319" s="5"/>
    </row>
    <row r="320" spans="1:20" x14ac:dyDescent="0.25">
      <c r="A320" s="5" t="s">
        <v>9104</v>
      </c>
      <c r="B320" s="7" t="s">
        <v>8450</v>
      </c>
      <c r="C320" s="5" t="s">
        <v>1067</v>
      </c>
      <c r="D320" s="5"/>
      <c r="E320" s="5">
        <v>12</v>
      </c>
      <c r="F320" s="5">
        <v>1</v>
      </c>
      <c r="G320" s="7">
        <v>38</v>
      </c>
      <c r="H320" s="5" t="s">
        <v>9002</v>
      </c>
      <c r="I320" s="5" t="str">
        <f t="shared" si="4"/>
        <v>fate3192615</v>
      </c>
      <c r="J320" s="6" t="s">
        <v>9035</v>
      </c>
      <c r="K320" s="6">
        <v>26</v>
      </c>
      <c r="L320" s="6">
        <v>15</v>
      </c>
      <c r="M320" s="6"/>
      <c r="N320" s="6"/>
      <c r="P320" s="5" t="s">
        <v>9027</v>
      </c>
      <c r="Q320" s="5" t="s">
        <v>9028</v>
      </c>
      <c r="R320" s="5" t="s">
        <v>9029</v>
      </c>
      <c r="S320" s="5"/>
      <c r="T320" s="5"/>
    </row>
    <row r="321" spans="1:21" x14ac:dyDescent="0.25">
      <c r="A321" s="5" t="s">
        <v>9106</v>
      </c>
      <c r="B321" s="7" t="s">
        <v>8310</v>
      </c>
      <c r="C321" s="5" t="s">
        <v>1067</v>
      </c>
      <c r="D321" s="5"/>
      <c r="E321" s="5">
        <v>12</v>
      </c>
      <c r="F321" s="5">
        <v>2</v>
      </c>
      <c r="G321" s="7">
        <v>38</v>
      </c>
      <c r="H321" s="5" t="s">
        <v>9002</v>
      </c>
      <c r="I321" s="5" t="str">
        <f t="shared" si="4"/>
        <v>fate320268</v>
      </c>
      <c r="J321" s="6" t="s">
        <v>9039</v>
      </c>
      <c r="K321" s="6">
        <v>26</v>
      </c>
      <c r="L321" s="6">
        <v>8</v>
      </c>
      <c r="M321" s="6"/>
      <c r="N321" s="6"/>
      <c r="P321" s="5" t="s">
        <v>9027</v>
      </c>
      <c r="Q321" s="5" t="s">
        <v>9028</v>
      </c>
      <c r="R321" s="5" t="s">
        <v>9029</v>
      </c>
      <c r="S321" s="5"/>
      <c r="T321" s="5"/>
    </row>
    <row r="322" spans="1:21" x14ac:dyDescent="0.25">
      <c r="A322" s="5" t="s">
        <v>9108</v>
      </c>
      <c r="B322" s="7" t="s">
        <v>10503</v>
      </c>
      <c r="C322" s="5" t="s">
        <v>1067</v>
      </c>
      <c r="D322" s="1" t="s">
        <v>10847</v>
      </c>
      <c r="E322" s="5">
        <v>12</v>
      </c>
      <c r="F322" s="5">
        <v>3</v>
      </c>
      <c r="G322" s="7">
        <v>38</v>
      </c>
      <c r="H322" s="5" t="s">
        <v>9002</v>
      </c>
      <c r="I322" s="5" t="str">
        <f t="shared" si="4"/>
        <v>fate3212615</v>
      </c>
      <c r="J322" s="6" t="s">
        <v>9037</v>
      </c>
      <c r="K322" s="6">
        <v>26</v>
      </c>
      <c r="L322" s="6">
        <v>15</v>
      </c>
      <c r="M322" s="6"/>
      <c r="N322" s="6"/>
      <c r="P322" s="5" t="s">
        <v>9027</v>
      </c>
      <c r="Q322" s="5" t="s">
        <v>9028</v>
      </c>
      <c r="R322" s="5" t="s">
        <v>9029</v>
      </c>
      <c r="S322" s="5"/>
      <c r="T322" s="5"/>
    </row>
    <row r="323" spans="1:21" x14ac:dyDescent="0.25">
      <c r="A323" s="5" t="s">
        <v>9110</v>
      </c>
      <c r="B323" s="7" t="s">
        <v>10503</v>
      </c>
      <c r="C323" s="5" t="s">
        <v>1067</v>
      </c>
      <c r="D323" s="1" t="s">
        <v>10847</v>
      </c>
      <c r="E323" s="5">
        <v>12</v>
      </c>
      <c r="F323" s="5">
        <v>3</v>
      </c>
      <c r="G323" s="7">
        <v>38</v>
      </c>
      <c r="H323" s="5" t="s">
        <v>9002</v>
      </c>
      <c r="I323" s="5" t="str">
        <f t="shared" si="4"/>
        <v>fate322267</v>
      </c>
      <c r="J323" s="6" t="s">
        <v>9026</v>
      </c>
      <c r="K323" s="6">
        <v>26</v>
      </c>
      <c r="L323" s="6">
        <v>7</v>
      </c>
      <c r="M323" s="6"/>
      <c r="N323" s="6"/>
      <c r="P323" s="5" t="s">
        <v>9027</v>
      </c>
      <c r="Q323" s="5" t="s">
        <v>9028</v>
      </c>
      <c r="R323" s="5" t="s">
        <v>9029</v>
      </c>
      <c r="S323" s="5"/>
      <c r="T323" s="5"/>
    </row>
    <row r="324" spans="1:21" x14ac:dyDescent="0.25">
      <c r="A324" s="5" t="s">
        <v>9112</v>
      </c>
      <c r="B324" s="7" t="s">
        <v>10503</v>
      </c>
      <c r="C324" s="5" t="s">
        <v>1067</v>
      </c>
      <c r="D324" s="1" t="s">
        <v>10504</v>
      </c>
      <c r="E324" s="5">
        <v>13</v>
      </c>
      <c r="F324" s="5">
        <v>1</v>
      </c>
      <c r="G324" s="7">
        <v>50</v>
      </c>
      <c r="H324" s="5" t="s">
        <v>9002</v>
      </c>
      <c r="I324" s="5" t="str">
        <f t="shared" ref="I324:I387" si="5">A324&amp;LEFT(SUBSTITUTE(K324,".",""),2)&amp;LEFT(SUBSTITUTE(L324,".",""),2)</f>
        <v>fate323621</v>
      </c>
      <c r="J324" s="6" t="s">
        <v>10500</v>
      </c>
      <c r="K324" s="6">
        <v>6</v>
      </c>
      <c r="L324" s="6">
        <v>21</v>
      </c>
      <c r="M324" s="6"/>
      <c r="N324" s="6"/>
      <c r="O324" s="1" t="s">
        <v>10748</v>
      </c>
      <c r="P324" s="5" t="s">
        <v>10501</v>
      </c>
      <c r="Q324" s="5" t="s">
        <v>9116</v>
      </c>
      <c r="R324" s="5" t="s">
        <v>9117</v>
      </c>
      <c r="S324" s="5"/>
      <c r="T324" s="5"/>
      <c r="U324" s="5" t="s">
        <v>10749</v>
      </c>
    </row>
    <row r="325" spans="1:21" x14ac:dyDescent="0.25">
      <c r="A325" s="5" t="s">
        <v>9118</v>
      </c>
      <c r="B325" s="7" t="s">
        <v>10503</v>
      </c>
      <c r="C325" s="5" t="s">
        <v>1067</v>
      </c>
      <c r="D325" s="1" t="s">
        <v>10504</v>
      </c>
      <c r="E325" s="5">
        <v>13</v>
      </c>
      <c r="F325" s="5">
        <v>2</v>
      </c>
      <c r="G325" s="7">
        <v>50</v>
      </c>
      <c r="H325" s="5" t="s">
        <v>1499</v>
      </c>
      <c r="I325" s="5" t="str">
        <f t="shared" si="5"/>
        <v>fate324415</v>
      </c>
      <c r="J325" s="5" t="s">
        <v>10502</v>
      </c>
      <c r="K325" s="5">
        <v>4</v>
      </c>
      <c r="L325" s="5">
        <v>15</v>
      </c>
      <c r="M325" s="5"/>
      <c r="N325" s="5"/>
      <c r="O325" s="1" t="s">
        <v>10748</v>
      </c>
      <c r="P325" s="5">
        <v>7080</v>
      </c>
      <c r="Q325" s="5">
        <v>100</v>
      </c>
      <c r="R325" s="5">
        <v>187</v>
      </c>
      <c r="S325" s="5"/>
      <c r="T325" s="5"/>
      <c r="U325" s="5" t="s">
        <v>10749</v>
      </c>
    </row>
    <row r="326" spans="1:21" x14ac:dyDescent="0.25">
      <c r="A326" s="5" t="s">
        <v>9120</v>
      </c>
      <c r="B326" s="7" t="s">
        <v>8310</v>
      </c>
      <c r="C326" s="5" t="s">
        <v>1067</v>
      </c>
      <c r="D326" s="5"/>
      <c r="F326" s="5"/>
      <c r="G326" s="7">
        <v>44</v>
      </c>
      <c r="H326" s="5" t="s">
        <v>9085</v>
      </c>
      <c r="I326" s="5" t="str">
        <f t="shared" si="5"/>
        <v>fate3251412</v>
      </c>
      <c r="J326" s="6" t="s">
        <v>9087</v>
      </c>
      <c r="K326" s="6">
        <v>14</v>
      </c>
      <c r="L326" s="6">
        <v>12</v>
      </c>
      <c r="M326" s="6"/>
      <c r="N326" s="6"/>
      <c r="P326" s="5" t="s">
        <v>8505</v>
      </c>
      <c r="Q326" s="5" t="s">
        <v>8506</v>
      </c>
      <c r="R326" s="5" t="s">
        <v>8507</v>
      </c>
      <c r="S326" s="5"/>
      <c r="T326" s="5"/>
    </row>
    <row r="327" spans="1:21" x14ac:dyDescent="0.25">
      <c r="A327" s="5" t="s">
        <v>9122</v>
      </c>
      <c r="B327" s="7" t="s">
        <v>8310</v>
      </c>
      <c r="C327" s="5" t="s">
        <v>1067</v>
      </c>
      <c r="D327" s="5"/>
      <c r="F327" s="5"/>
      <c r="G327" s="7">
        <v>44</v>
      </c>
      <c r="H327" s="5" t="s">
        <v>9085</v>
      </c>
      <c r="I327" s="5" t="str">
        <f t="shared" si="5"/>
        <v>fate3261312</v>
      </c>
      <c r="J327" s="6" t="s">
        <v>9089</v>
      </c>
      <c r="K327" s="6">
        <v>13.6</v>
      </c>
      <c r="L327" s="6">
        <v>12.1</v>
      </c>
      <c r="M327" s="6"/>
      <c r="N327" s="6"/>
      <c r="P327" s="5" t="s">
        <v>8505</v>
      </c>
      <c r="Q327" s="5" t="s">
        <v>8506</v>
      </c>
      <c r="R327" s="5" t="s">
        <v>8507</v>
      </c>
      <c r="S327" s="5"/>
      <c r="T327" s="5"/>
    </row>
    <row r="328" spans="1:21" x14ac:dyDescent="0.25">
      <c r="A328" s="5" t="s">
        <v>9124</v>
      </c>
      <c r="B328" s="7" t="s">
        <v>8310</v>
      </c>
      <c r="C328" s="5" t="s">
        <v>1067</v>
      </c>
      <c r="D328" s="5"/>
      <c r="F328" s="5"/>
      <c r="G328" s="7">
        <v>45</v>
      </c>
      <c r="H328" s="5" t="s">
        <v>9085</v>
      </c>
      <c r="I328" s="5" t="str">
        <f t="shared" si="5"/>
        <v>fate327199</v>
      </c>
      <c r="J328" s="6" t="s">
        <v>9091</v>
      </c>
      <c r="K328" s="6">
        <v>19</v>
      </c>
      <c r="L328" s="6">
        <v>9</v>
      </c>
      <c r="M328" s="6"/>
      <c r="N328" s="6"/>
      <c r="P328" s="5" t="s">
        <v>8933</v>
      </c>
      <c r="Q328" s="5" t="s">
        <v>8515</v>
      </c>
      <c r="R328" s="5" t="s">
        <v>8516</v>
      </c>
      <c r="S328" s="5"/>
      <c r="T328" s="5"/>
    </row>
    <row r="329" spans="1:21" x14ac:dyDescent="0.25">
      <c r="A329" s="5" t="s">
        <v>9126</v>
      </c>
      <c r="B329" s="7" t="s">
        <v>8310</v>
      </c>
      <c r="C329" s="5" t="s">
        <v>1067</v>
      </c>
      <c r="D329" s="5"/>
      <c r="F329" s="5"/>
      <c r="G329" s="7">
        <v>45</v>
      </c>
      <c r="H329" s="5" t="s">
        <v>9085</v>
      </c>
      <c r="I329" s="5" t="str">
        <f t="shared" si="5"/>
        <v>fate3282611</v>
      </c>
      <c r="J329" s="6" t="s">
        <v>9093</v>
      </c>
      <c r="K329" s="6">
        <v>26</v>
      </c>
      <c r="L329" s="6">
        <v>11</v>
      </c>
      <c r="M329" s="6"/>
      <c r="N329" s="6"/>
      <c r="P329" s="5" t="s">
        <v>8933</v>
      </c>
      <c r="Q329" s="5" t="s">
        <v>8515</v>
      </c>
      <c r="R329" s="5" t="s">
        <v>8516</v>
      </c>
      <c r="S329" s="5"/>
      <c r="T329" s="5"/>
    </row>
    <row r="330" spans="1:21" x14ac:dyDescent="0.25">
      <c r="A330" s="5" t="s">
        <v>9128</v>
      </c>
      <c r="B330" s="7" t="s">
        <v>8310</v>
      </c>
      <c r="C330" s="5" t="s">
        <v>1067</v>
      </c>
      <c r="D330" s="5"/>
      <c r="F330" s="5"/>
      <c r="G330" s="7">
        <v>46</v>
      </c>
      <c r="H330" s="5" t="s">
        <v>9085</v>
      </c>
      <c r="I330" s="5" t="str">
        <f t="shared" si="5"/>
        <v>fate3293211</v>
      </c>
      <c r="J330" s="6" t="s">
        <v>9103</v>
      </c>
      <c r="K330" s="6">
        <v>32</v>
      </c>
      <c r="L330" s="6">
        <v>11</v>
      </c>
      <c r="M330" s="6"/>
      <c r="N330" s="6"/>
      <c r="P330" s="5" t="s">
        <v>8521</v>
      </c>
      <c r="Q330" s="5" t="s">
        <v>8481</v>
      </c>
      <c r="R330" s="5" t="s">
        <v>8522</v>
      </c>
      <c r="S330" s="5"/>
      <c r="T330" s="5"/>
    </row>
    <row r="331" spans="1:21" x14ac:dyDescent="0.25">
      <c r="A331" s="5" t="s">
        <v>9130</v>
      </c>
      <c r="B331" s="7" t="s">
        <v>8310</v>
      </c>
      <c r="C331" s="5" t="s">
        <v>1067</v>
      </c>
      <c r="D331" s="5"/>
      <c r="F331" s="5"/>
      <c r="G331" s="7">
        <v>46</v>
      </c>
      <c r="H331" s="5" t="s">
        <v>9085</v>
      </c>
      <c r="I331" s="5" t="str">
        <f t="shared" si="5"/>
        <v>fate3302710</v>
      </c>
      <c r="J331" s="6" t="s">
        <v>9105</v>
      </c>
      <c r="K331" s="6">
        <v>27</v>
      </c>
      <c r="L331" s="6">
        <v>10</v>
      </c>
      <c r="M331" s="6"/>
      <c r="N331" s="6"/>
      <c r="P331" s="5" t="s">
        <v>8521</v>
      </c>
      <c r="Q331" s="5" t="s">
        <v>8481</v>
      </c>
      <c r="R331" s="5" t="s">
        <v>8522</v>
      </c>
      <c r="S331" s="5"/>
      <c r="T331" s="5"/>
    </row>
    <row r="332" spans="1:21" x14ac:dyDescent="0.25">
      <c r="A332" s="5" t="s">
        <v>9132</v>
      </c>
      <c r="B332" s="7" t="s">
        <v>8310</v>
      </c>
      <c r="C332" s="5" t="s">
        <v>1067</v>
      </c>
      <c r="D332" s="5"/>
      <c r="F332" s="5"/>
      <c r="G332" s="7">
        <v>46</v>
      </c>
      <c r="H332" s="5" t="s">
        <v>9085</v>
      </c>
      <c r="I332" s="5" t="str">
        <f t="shared" si="5"/>
        <v>fate3311212</v>
      </c>
      <c r="J332" s="6" t="s">
        <v>9109</v>
      </c>
      <c r="K332" s="6">
        <v>12</v>
      </c>
      <c r="L332" s="6">
        <v>12</v>
      </c>
      <c r="M332" s="6"/>
      <c r="N332" s="6"/>
      <c r="P332" s="5" t="s">
        <v>8521</v>
      </c>
      <c r="Q332" s="5" t="s">
        <v>8481</v>
      </c>
      <c r="R332" s="5" t="s">
        <v>8522</v>
      </c>
      <c r="S332" s="5"/>
      <c r="T332" s="5"/>
    </row>
    <row r="333" spans="1:21" x14ac:dyDescent="0.25">
      <c r="A333" s="5" t="s">
        <v>9134</v>
      </c>
      <c r="B333" s="7" t="s">
        <v>8346</v>
      </c>
      <c r="C333" s="5" t="s">
        <v>1067</v>
      </c>
      <c r="D333" s="5"/>
      <c r="F333" s="5"/>
      <c r="G333" s="7">
        <v>46</v>
      </c>
      <c r="H333" s="5" t="s">
        <v>9085</v>
      </c>
      <c r="I333" s="5" t="str">
        <f t="shared" si="5"/>
        <v>fate3322913</v>
      </c>
      <c r="J333" s="6" t="s">
        <v>9107</v>
      </c>
      <c r="K333" s="6">
        <v>29</v>
      </c>
      <c r="L333" s="6">
        <v>13</v>
      </c>
      <c r="M333" s="6"/>
      <c r="N333" s="6"/>
      <c r="P333" s="5" t="s">
        <v>8521</v>
      </c>
      <c r="Q333" s="5" t="s">
        <v>8481</v>
      </c>
      <c r="R333" s="5" t="s">
        <v>8522</v>
      </c>
      <c r="S333" s="5"/>
      <c r="T333" s="5"/>
    </row>
    <row r="334" spans="1:21" x14ac:dyDescent="0.25">
      <c r="A334" s="5" t="s">
        <v>9136</v>
      </c>
      <c r="B334" s="7" t="s">
        <v>8450</v>
      </c>
      <c r="C334" s="5" t="s">
        <v>1067</v>
      </c>
      <c r="D334" s="5"/>
      <c r="F334" s="5"/>
      <c r="G334" s="7">
        <v>45</v>
      </c>
      <c r="H334" s="5" t="s">
        <v>9085</v>
      </c>
      <c r="I334" s="5" t="str">
        <f t="shared" si="5"/>
        <v>fate333227</v>
      </c>
      <c r="J334" s="6" t="s">
        <v>9097</v>
      </c>
      <c r="K334" s="6">
        <v>22.3</v>
      </c>
      <c r="L334" s="6">
        <v>7</v>
      </c>
      <c r="M334" s="6"/>
      <c r="N334" s="6"/>
      <c r="P334" s="5" t="s">
        <v>8933</v>
      </c>
      <c r="Q334" s="5" t="s">
        <v>8515</v>
      </c>
      <c r="R334" s="5" t="s">
        <v>8516</v>
      </c>
      <c r="S334" s="5"/>
      <c r="T334" s="5"/>
    </row>
    <row r="335" spans="1:21" x14ac:dyDescent="0.25">
      <c r="A335" s="5" t="s">
        <v>9138</v>
      </c>
      <c r="B335" s="7" t="s">
        <v>10503</v>
      </c>
      <c r="C335" s="5" t="s">
        <v>1067</v>
      </c>
      <c r="D335" s="1" t="s">
        <v>10858</v>
      </c>
      <c r="F335" s="5"/>
      <c r="G335" s="7">
        <v>44</v>
      </c>
      <c r="H335" s="5" t="s">
        <v>9085</v>
      </c>
      <c r="I335" s="5" t="str">
        <f t="shared" si="5"/>
        <v>fate3341310</v>
      </c>
      <c r="J335" s="6" t="s">
        <v>9084</v>
      </c>
      <c r="K335" s="6">
        <v>13</v>
      </c>
      <c r="L335" s="6">
        <v>10</v>
      </c>
      <c r="M335" s="6"/>
      <c r="N335" s="6"/>
      <c r="P335" s="5" t="s">
        <v>8505</v>
      </c>
      <c r="Q335" s="5" t="s">
        <v>8506</v>
      </c>
      <c r="R335" s="5" t="s">
        <v>8507</v>
      </c>
      <c r="S335" s="5"/>
      <c r="T335" s="5"/>
    </row>
    <row r="336" spans="1:21" x14ac:dyDescent="0.25">
      <c r="A336" s="5" t="s">
        <v>9140</v>
      </c>
      <c r="B336" s="7" t="s">
        <v>10503</v>
      </c>
      <c r="C336" s="5" t="s">
        <v>1067</v>
      </c>
      <c r="D336" s="1" t="s">
        <v>10859</v>
      </c>
      <c r="F336" s="5"/>
      <c r="G336" s="7">
        <v>45</v>
      </c>
      <c r="H336" s="5" t="s">
        <v>9085</v>
      </c>
      <c r="I336" s="5" t="str">
        <f t="shared" si="5"/>
        <v>fate3351514</v>
      </c>
      <c r="J336" s="6" t="s">
        <v>9095</v>
      </c>
      <c r="K336" s="6">
        <v>15</v>
      </c>
      <c r="L336" s="6">
        <v>14</v>
      </c>
      <c r="M336" s="6"/>
      <c r="N336" s="6"/>
      <c r="P336" s="5" t="s">
        <v>8933</v>
      </c>
      <c r="Q336" s="5" t="s">
        <v>8515</v>
      </c>
      <c r="R336" s="5" t="s">
        <v>8516</v>
      </c>
      <c r="S336" s="5"/>
      <c r="T336" s="5"/>
    </row>
    <row r="337" spans="1:20" x14ac:dyDescent="0.25">
      <c r="A337" s="5" t="s">
        <v>9142</v>
      </c>
      <c r="B337" s="7" t="s">
        <v>10503</v>
      </c>
      <c r="C337" s="5" t="s">
        <v>1067</v>
      </c>
      <c r="D337" s="1" t="s">
        <v>10861</v>
      </c>
      <c r="F337" s="5"/>
      <c r="G337" s="7">
        <v>46</v>
      </c>
      <c r="H337" s="5" t="s">
        <v>9085</v>
      </c>
      <c r="I337" s="5" t="str">
        <f t="shared" si="5"/>
        <v>fate3362914</v>
      </c>
      <c r="J337" s="6" t="s">
        <v>9099</v>
      </c>
      <c r="K337" s="6">
        <v>29</v>
      </c>
      <c r="L337" s="6">
        <v>14</v>
      </c>
      <c r="M337" s="6"/>
      <c r="N337" s="6"/>
      <c r="P337" s="5" t="s">
        <v>8521</v>
      </c>
      <c r="Q337" s="5" t="s">
        <v>8481</v>
      </c>
      <c r="R337" s="5" t="s">
        <v>8522</v>
      </c>
      <c r="S337" s="5"/>
      <c r="T337" s="5"/>
    </row>
    <row r="338" spans="1:20" x14ac:dyDescent="0.25">
      <c r="A338" s="5" t="s">
        <v>9144</v>
      </c>
      <c r="B338" s="7" t="s">
        <v>10503</v>
      </c>
      <c r="C338" s="5" t="s">
        <v>1067</v>
      </c>
      <c r="D338" s="1" t="s">
        <v>10860</v>
      </c>
      <c r="F338" s="5"/>
      <c r="G338" s="7">
        <v>46</v>
      </c>
      <c r="H338" s="5" t="s">
        <v>9085</v>
      </c>
      <c r="I338" s="5" t="str">
        <f t="shared" si="5"/>
        <v>fate337276</v>
      </c>
      <c r="J338" s="6" t="s">
        <v>9101</v>
      </c>
      <c r="K338" s="6">
        <v>27</v>
      </c>
      <c r="L338" s="6">
        <v>6</v>
      </c>
      <c r="M338" s="6"/>
      <c r="N338" s="6"/>
      <c r="P338" s="5" t="s">
        <v>8521</v>
      </c>
      <c r="Q338" s="5" t="s">
        <v>8481</v>
      </c>
      <c r="R338" s="5" t="s">
        <v>8522</v>
      </c>
      <c r="S338" s="5"/>
      <c r="T338" s="5"/>
    </row>
    <row r="339" spans="1:20" x14ac:dyDescent="0.25">
      <c r="A339" s="5" t="s">
        <v>9149</v>
      </c>
      <c r="B339" s="7" t="s">
        <v>10503</v>
      </c>
      <c r="C339" s="5" t="s">
        <v>1067</v>
      </c>
      <c r="D339" s="1" t="s">
        <v>10862</v>
      </c>
      <c r="F339" s="5"/>
      <c r="G339" s="7">
        <v>48</v>
      </c>
      <c r="H339" s="5" t="s">
        <v>9085</v>
      </c>
      <c r="I339" s="5" t="str">
        <f t="shared" si="5"/>
        <v>fate338315</v>
      </c>
      <c r="J339" s="6" t="s">
        <v>9111</v>
      </c>
      <c r="K339" s="6">
        <v>31</v>
      </c>
      <c r="L339" s="6">
        <v>5</v>
      </c>
      <c r="M339" s="6"/>
      <c r="N339" s="6"/>
      <c r="P339" s="5" t="s">
        <v>8525</v>
      </c>
      <c r="Q339" s="5" t="s">
        <v>8526</v>
      </c>
      <c r="R339" s="5" t="s">
        <v>8527</v>
      </c>
      <c r="S339" s="5"/>
      <c r="T339" s="5"/>
    </row>
    <row r="340" spans="1:20" x14ac:dyDescent="0.25">
      <c r="A340" s="5" t="s">
        <v>9151</v>
      </c>
      <c r="B340" s="7" t="s">
        <v>8310</v>
      </c>
      <c r="C340" s="5" t="s">
        <v>11</v>
      </c>
      <c r="D340" s="5"/>
      <c r="F340" s="5"/>
      <c r="G340" s="7">
        <v>50</v>
      </c>
      <c r="H340" s="5" t="s">
        <v>9114</v>
      </c>
      <c r="I340" s="5" t="str">
        <f t="shared" si="5"/>
        <v>fate3393134</v>
      </c>
      <c r="J340" s="6" t="s">
        <v>9123</v>
      </c>
      <c r="K340" s="6">
        <v>31</v>
      </c>
      <c r="L340" s="6">
        <v>34</v>
      </c>
      <c r="M340" s="6"/>
      <c r="N340" s="6"/>
      <c r="P340" s="5" t="s">
        <v>9115</v>
      </c>
      <c r="Q340" s="5" t="s">
        <v>9116</v>
      </c>
      <c r="R340" s="5" t="s">
        <v>9117</v>
      </c>
      <c r="S340" s="5"/>
      <c r="T340" s="5"/>
    </row>
    <row r="341" spans="1:20" x14ac:dyDescent="0.25">
      <c r="A341" s="5" t="s">
        <v>9153</v>
      </c>
      <c r="B341" s="7" t="s">
        <v>8310</v>
      </c>
      <c r="C341" s="5" t="s">
        <v>11</v>
      </c>
      <c r="D341" s="5"/>
      <c r="F341" s="5"/>
      <c r="G341" s="7">
        <v>50</v>
      </c>
      <c r="H341" s="5" t="s">
        <v>9114</v>
      </c>
      <c r="I341" s="5" t="str">
        <f t="shared" si="5"/>
        <v>fate3402731</v>
      </c>
      <c r="J341" s="6" t="s">
        <v>9127</v>
      </c>
      <c r="K341" s="6">
        <v>27</v>
      </c>
      <c r="L341" s="6">
        <v>31</v>
      </c>
      <c r="M341" s="6"/>
      <c r="N341" s="6"/>
      <c r="P341" s="5" t="s">
        <v>9115</v>
      </c>
      <c r="Q341" s="5" t="s">
        <v>9116</v>
      </c>
      <c r="R341" s="5" t="s">
        <v>9117</v>
      </c>
      <c r="S341" s="5"/>
      <c r="T341" s="5"/>
    </row>
    <row r="342" spans="1:20" x14ac:dyDescent="0.25">
      <c r="A342" s="5" t="s">
        <v>9155</v>
      </c>
      <c r="B342" s="7" t="s">
        <v>8310</v>
      </c>
      <c r="C342" s="5" t="s">
        <v>11</v>
      </c>
      <c r="D342" s="5"/>
      <c r="F342" s="5"/>
      <c r="G342" s="7">
        <v>50</v>
      </c>
      <c r="H342" s="5" t="s">
        <v>9114</v>
      </c>
      <c r="I342" s="5" t="str">
        <f t="shared" si="5"/>
        <v>fate3413314</v>
      </c>
      <c r="J342" s="6" t="s">
        <v>9133</v>
      </c>
      <c r="K342" s="6">
        <v>33</v>
      </c>
      <c r="L342" s="6">
        <v>14</v>
      </c>
      <c r="M342" s="6"/>
      <c r="N342" s="6"/>
      <c r="P342" s="5" t="s">
        <v>9115</v>
      </c>
      <c r="Q342" s="5" t="s">
        <v>9116</v>
      </c>
      <c r="R342" s="5" t="s">
        <v>9117</v>
      </c>
      <c r="S342" s="5"/>
      <c r="T342" s="5"/>
    </row>
    <row r="343" spans="1:20" x14ac:dyDescent="0.25">
      <c r="A343" s="5" t="s">
        <v>9157</v>
      </c>
      <c r="B343" s="7" t="s">
        <v>8310</v>
      </c>
      <c r="C343" s="5" t="s">
        <v>11</v>
      </c>
      <c r="D343" s="5"/>
      <c r="F343" s="5"/>
      <c r="G343" s="7">
        <v>50</v>
      </c>
      <c r="H343" s="5" t="s">
        <v>9114</v>
      </c>
      <c r="I343" s="5" t="str">
        <f t="shared" si="5"/>
        <v>fate3422422</v>
      </c>
      <c r="J343" s="6" t="s">
        <v>9139</v>
      </c>
      <c r="K343" s="6">
        <v>24</v>
      </c>
      <c r="L343" s="6">
        <v>22</v>
      </c>
      <c r="M343" s="6"/>
      <c r="N343" s="6"/>
      <c r="P343" s="5" t="s">
        <v>9115</v>
      </c>
      <c r="Q343" s="5" t="s">
        <v>9116</v>
      </c>
      <c r="R343" s="5" t="s">
        <v>9117</v>
      </c>
      <c r="S343" s="5"/>
      <c r="T343" s="5"/>
    </row>
    <row r="344" spans="1:20" x14ac:dyDescent="0.25">
      <c r="A344" s="5" t="s">
        <v>9159</v>
      </c>
      <c r="B344" s="7" t="s">
        <v>8310</v>
      </c>
      <c r="C344" s="5" t="s">
        <v>11</v>
      </c>
      <c r="D344" s="5"/>
      <c r="F344" s="5"/>
      <c r="G344" s="7">
        <v>50</v>
      </c>
      <c r="H344" s="5" t="s">
        <v>9114</v>
      </c>
      <c r="I344" s="5" t="str">
        <f t="shared" si="5"/>
        <v>fate3433131</v>
      </c>
      <c r="J344" s="6" t="s">
        <v>9143</v>
      </c>
      <c r="K344" s="6">
        <v>31</v>
      </c>
      <c r="L344" s="6">
        <v>31</v>
      </c>
      <c r="M344" s="6"/>
      <c r="N344" s="6"/>
      <c r="P344" s="5" t="s">
        <v>9115</v>
      </c>
      <c r="Q344" s="5" t="s">
        <v>9116</v>
      </c>
      <c r="R344" s="5" t="s">
        <v>9117</v>
      </c>
      <c r="S344" s="5"/>
      <c r="T344" s="5"/>
    </row>
    <row r="345" spans="1:20" x14ac:dyDescent="0.25">
      <c r="A345" s="5" t="s">
        <v>9161</v>
      </c>
      <c r="B345" s="7" t="s">
        <v>8310</v>
      </c>
      <c r="C345" s="5" t="s">
        <v>11</v>
      </c>
      <c r="D345" s="5"/>
      <c r="F345" s="5"/>
      <c r="G345" s="7">
        <v>51</v>
      </c>
      <c r="H345" s="5" t="s">
        <v>9114</v>
      </c>
      <c r="I345" s="5" t="str">
        <f t="shared" si="5"/>
        <v>fate344810</v>
      </c>
      <c r="J345" s="6" t="s">
        <v>9145</v>
      </c>
      <c r="K345" s="6">
        <v>8</v>
      </c>
      <c r="L345" s="6">
        <v>10</v>
      </c>
      <c r="M345" s="6"/>
      <c r="N345" s="6"/>
      <c r="P345" s="5" t="s">
        <v>9146</v>
      </c>
      <c r="Q345" s="5" t="s">
        <v>9147</v>
      </c>
      <c r="R345" s="5" t="s">
        <v>9148</v>
      </c>
      <c r="S345" s="5"/>
      <c r="T345" s="5"/>
    </row>
    <row r="346" spans="1:20" x14ac:dyDescent="0.25">
      <c r="A346" s="5" t="s">
        <v>9163</v>
      </c>
      <c r="B346" s="7" t="s">
        <v>8310</v>
      </c>
      <c r="C346" s="5" t="s">
        <v>11</v>
      </c>
      <c r="D346" s="5"/>
      <c r="F346" s="5"/>
      <c r="G346" s="7">
        <v>51</v>
      </c>
      <c r="H346" s="5" t="s">
        <v>9114</v>
      </c>
      <c r="I346" s="5" t="str">
        <f t="shared" si="5"/>
        <v>fate3451620</v>
      </c>
      <c r="J346" s="6" t="s">
        <v>9150</v>
      </c>
      <c r="K346" s="6">
        <v>16</v>
      </c>
      <c r="L346" s="6">
        <v>20</v>
      </c>
      <c r="M346" s="6"/>
      <c r="N346" s="6"/>
      <c r="P346" s="5" t="s">
        <v>9146</v>
      </c>
      <c r="Q346" s="5" t="s">
        <v>9147</v>
      </c>
      <c r="R346" s="5" t="s">
        <v>9148</v>
      </c>
      <c r="S346" s="5"/>
      <c r="T346" s="5"/>
    </row>
    <row r="347" spans="1:20" x14ac:dyDescent="0.25">
      <c r="A347" s="5" t="s">
        <v>9165</v>
      </c>
      <c r="B347" s="7" t="s">
        <v>8310</v>
      </c>
      <c r="C347" s="5" t="s">
        <v>11</v>
      </c>
      <c r="D347" s="5"/>
      <c r="F347" s="5"/>
      <c r="G347" s="7">
        <v>51</v>
      </c>
      <c r="H347" s="5" t="s">
        <v>9114</v>
      </c>
      <c r="I347" s="5" t="str">
        <f t="shared" si="5"/>
        <v>fate3461921</v>
      </c>
      <c r="J347" s="6" t="s">
        <v>9154</v>
      </c>
      <c r="K347" s="6">
        <v>19</v>
      </c>
      <c r="L347" s="6">
        <v>21</v>
      </c>
      <c r="M347" s="6"/>
      <c r="N347" s="6"/>
      <c r="P347" s="5" t="s">
        <v>9146</v>
      </c>
      <c r="Q347" s="5" t="s">
        <v>9147</v>
      </c>
      <c r="R347" s="5" t="s">
        <v>9148</v>
      </c>
      <c r="S347" s="5"/>
      <c r="T347" s="5"/>
    </row>
    <row r="348" spans="1:20" x14ac:dyDescent="0.25">
      <c r="A348" s="5" t="s">
        <v>9167</v>
      </c>
      <c r="B348" s="7" t="s">
        <v>8310</v>
      </c>
      <c r="C348" s="5" t="s">
        <v>11</v>
      </c>
      <c r="D348" s="5"/>
      <c r="F348" s="5"/>
      <c r="G348" s="7">
        <v>51</v>
      </c>
      <c r="H348" s="5" t="s">
        <v>9114</v>
      </c>
      <c r="I348" s="5" t="str">
        <f t="shared" si="5"/>
        <v>fate3471713</v>
      </c>
      <c r="J348" s="6" t="s">
        <v>9156</v>
      </c>
      <c r="K348" s="6">
        <v>17</v>
      </c>
      <c r="L348" s="6">
        <v>13</v>
      </c>
      <c r="M348" s="6"/>
      <c r="N348" s="6"/>
      <c r="P348" s="5" t="s">
        <v>9146</v>
      </c>
      <c r="Q348" s="5" t="s">
        <v>9147</v>
      </c>
      <c r="R348" s="5" t="s">
        <v>9148</v>
      </c>
      <c r="S348" s="5"/>
      <c r="T348" s="5"/>
    </row>
    <row r="349" spans="1:20" x14ac:dyDescent="0.25">
      <c r="A349" s="5" t="s">
        <v>9172</v>
      </c>
      <c r="B349" s="7" t="s">
        <v>8310</v>
      </c>
      <c r="C349" s="5" t="s">
        <v>11</v>
      </c>
      <c r="D349" s="5"/>
      <c r="F349" s="5"/>
      <c r="G349" s="7">
        <v>51</v>
      </c>
      <c r="H349" s="5" t="s">
        <v>9114</v>
      </c>
      <c r="I349" s="5" t="str">
        <f t="shared" si="5"/>
        <v>fate3481319</v>
      </c>
      <c r="J349" s="6" t="s">
        <v>9162</v>
      </c>
      <c r="K349" s="6">
        <v>13</v>
      </c>
      <c r="L349" s="6">
        <v>19</v>
      </c>
      <c r="M349" s="6"/>
      <c r="N349" s="6"/>
      <c r="P349" s="5" t="s">
        <v>9146</v>
      </c>
      <c r="Q349" s="5" t="s">
        <v>9147</v>
      </c>
      <c r="R349" s="5" t="s">
        <v>9148</v>
      </c>
      <c r="S349" s="5"/>
      <c r="T349" s="5"/>
    </row>
    <row r="350" spans="1:20" x14ac:dyDescent="0.25">
      <c r="A350" s="5" t="s">
        <v>9174</v>
      </c>
      <c r="B350" s="7" t="s">
        <v>8310</v>
      </c>
      <c r="C350" s="5" t="s">
        <v>11</v>
      </c>
      <c r="D350" s="5"/>
      <c r="F350" s="5"/>
      <c r="G350" s="7">
        <v>51</v>
      </c>
      <c r="H350" s="5" t="s">
        <v>9114</v>
      </c>
      <c r="I350" s="5" t="str">
        <f t="shared" si="5"/>
        <v>fate3491210</v>
      </c>
      <c r="J350" s="6" t="s">
        <v>9166</v>
      </c>
      <c r="K350" s="6">
        <v>12</v>
      </c>
      <c r="L350" s="6">
        <v>10</v>
      </c>
      <c r="M350" s="6"/>
      <c r="N350" s="6"/>
      <c r="P350" s="5" t="s">
        <v>9146</v>
      </c>
      <c r="Q350" s="5" t="s">
        <v>9147</v>
      </c>
      <c r="R350" s="5" t="s">
        <v>9148</v>
      </c>
      <c r="S350" s="5"/>
      <c r="T350" s="5"/>
    </row>
    <row r="351" spans="1:20" x14ac:dyDescent="0.25">
      <c r="A351" s="5" t="s">
        <v>9177</v>
      </c>
      <c r="B351" s="7" t="s">
        <v>8310</v>
      </c>
      <c r="C351" s="5" t="s">
        <v>11</v>
      </c>
      <c r="D351" s="5"/>
      <c r="F351" s="5"/>
      <c r="G351" s="7">
        <v>56</v>
      </c>
      <c r="H351" s="5" t="s">
        <v>9114</v>
      </c>
      <c r="I351" s="5" t="str">
        <f t="shared" si="5"/>
        <v>fate3502327</v>
      </c>
      <c r="J351" s="6" t="s">
        <v>9168</v>
      </c>
      <c r="K351" s="6">
        <v>23</v>
      </c>
      <c r="L351" s="6">
        <v>27</v>
      </c>
      <c r="M351" s="6"/>
      <c r="N351" s="6"/>
      <c r="P351" s="5" t="s">
        <v>9169</v>
      </c>
      <c r="Q351" s="5" t="s">
        <v>9170</v>
      </c>
      <c r="R351" s="5" t="s">
        <v>9171</v>
      </c>
      <c r="S351" s="5"/>
      <c r="T351" s="5"/>
    </row>
    <row r="352" spans="1:20" x14ac:dyDescent="0.25">
      <c r="A352" s="5" t="s">
        <v>9179</v>
      </c>
      <c r="B352" s="7" t="s">
        <v>10503</v>
      </c>
      <c r="C352" s="5" t="s">
        <v>11</v>
      </c>
      <c r="D352" s="1" t="s">
        <v>10865</v>
      </c>
      <c r="F352" s="5"/>
      <c r="G352" s="7">
        <v>50</v>
      </c>
      <c r="H352" s="5" t="s">
        <v>9114</v>
      </c>
      <c r="I352" s="5" t="str">
        <f t="shared" si="5"/>
        <v>fate3512726</v>
      </c>
      <c r="J352" s="6" t="s">
        <v>9113</v>
      </c>
      <c r="K352" s="6">
        <v>27</v>
      </c>
      <c r="L352" s="6">
        <v>26</v>
      </c>
      <c r="M352" s="6"/>
      <c r="N352" s="6"/>
      <c r="P352" s="5" t="s">
        <v>9115</v>
      </c>
      <c r="Q352" s="5" t="s">
        <v>9116</v>
      </c>
      <c r="R352" s="5" t="s">
        <v>9117</v>
      </c>
      <c r="S352" s="5"/>
      <c r="T352" s="5"/>
    </row>
    <row r="353" spans="1:20" x14ac:dyDescent="0.25">
      <c r="A353" s="5" t="s">
        <v>9180</v>
      </c>
      <c r="B353" s="7" t="s">
        <v>10503</v>
      </c>
      <c r="C353" s="5" t="s">
        <v>11</v>
      </c>
      <c r="D353" s="1" t="s">
        <v>10866</v>
      </c>
      <c r="F353" s="5"/>
      <c r="G353" s="7">
        <v>50</v>
      </c>
      <c r="H353" s="5" t="s">
        <v>9114</v>
      </c>
      <c r="I353" s="5" t="str">
        <f t="shared" si="5"/>
        <v>fate3522714</v>
      </c>
      <c r="J353" s="6" t="s">
        <v>9121</v>
      </c>
      <c r="K353" s="6">
        <v>27</v>
      </c>
      <c r="L353" s="6">
        <v>14</v>
      </c>
      <c r="M353" s="6"/>
      <c r="N353" s="6"/>
      <c r="P353" s="5" t="s">
        <v>9115</v>
      </c>
      <c r="Q353" s="5" t="s">
        <v>9116</v>
      </c>
      <c r="R353" s="5" t="s">
        <v>9117</v>
      </c>
      <c r="S353" s="5"/>
      <c r="T353" s="5"/>
    </row>
    <row r="354" spans="1:20" x14ac:dyDescent="0.25">
      <c r="A354" s="5" t="s">
        <v>9182</v>
      </c>
      <c r="B354" s="7" t="s">
        <v>10503</v>
      </c>
      <c r="C354" s="5" t="s">
        <v>11</v>
      </c>
      <c r="D354" s="1" t="s">
        <v>10867</v>
      </c>
      <c r="F354" s="5"/>
      <c r="G354" s="7">
        <v>50</v>
      </c>
      <c r="H354" s="5" t="s">
        <v>9114</v>
      </c>
      <c r="I354" s="5" t="str">
        <f t="shared" si="5"/>
        <v>fate3533028</v>
      </c>
      <c r="J354" s="6" t="s">
        <v>9129</v>
      </c>
      <c r="K354" s="6">
        <v>30</v>
      </c>
      <c r="L354" s="6">
        <v>28</v>
      </c>
      <c r="M354" s="6"/>
      <c r="N354" s="6"/>
      <c r="P354" s="5" t="s">
        <v>9115</v>
      </c>
      <c r="Q354" s="5" t="s">
        <v>9116</v>
      </c>
      <c r="R354" s="5" t="s">
        <v>9117</v>
      </c>
      <c r="S354" s="5"/>
      <c r="T354" s="5"/>
    </row>
    <row r="355" spans="1:20" x14ac:dyDescent="0.25">
      <c r="A355" s="5" t="s">
        <v>9183</v>
      </c>
      <c r="B355" s="7" t="s">
        <v>10503</v>
      </c>
      <c r="C355" s="5" t="s">
        <v>11</v>
      </c>
      <c r="D355" s="1" t="s">
        <v>10868</v>
      </c>
      <c r="F355" s="5"/>
      <c r="G355" s="7">
        <v>51</v>
      </c>
      <c r="H355" s="5" t="s">
        <v>9114</v>
      </c>
      <c r="I355" s="5" t="str">
        <f t="shared" si="5"/>
        <v>fate3541722</v>
      </c>
      <c r="J355" s="6" t="s">
        <v>9152</v>
      </c>
      <c r="K355" s="6">
        <v>17</v>
      </c>
      <c r="L355" s="6">
        <v>22</v>
      </c>
      <c r="M355" s="6"/>
      <c r="N355" s="6"/>
      <c r="P355" s="5" t="s">
        <v>9146</v>
      </c>
      <c r="Q355" s="5" t="s">
        <v>9147</v>
      </c>
      <c r="R355" s="5" t="s">
        <v>9148</v>
      </c>
      <c r="S355" s="5"/>
      <c r="T355" s="5"/>
    </row>
    <row r="356" spans="1:20" x14ac:dyDescent="0.25">
      <c r="A356" s="5" t="s">
        <v>9185</v>
      </c>
      <c r="B356" s="7" t="s">
        <v>10503</v>
      </c>
      <c r="C356" s="5" t="s">
        <v>11</v>
      </c>
      <c r="D356" s="1" t="s">
        <v>10870</v>
      </c>
      <c r="F356" s="5"/>
      <c r="G356" s="7">
        <v>51</v>
      </c>
      <c r="H356" s="5" t="s">
        <v>9114</v>
      </c>
      <c r="I356" s="5" t="str">
        <f t="shared" si="5"/>
        <v>fate3552033</v>
      </c>
      <c r="J356" s="6" t="s">
        <v>9158</v>
      </c>
      <c r="K356" s="6">
        <v>20</v>
      </c>
      <c r="L356" s="6">
        <v>33</v>
      </c>
      <c r="M356" s="6"/>
      <c r="N356" s="6"/>
      <c r="P356" s="5" t="s">
        <v>9146</v>
      </c>
      <c r="Q356" s="5" t="s">
        <v>9147</v>
      </c>
      <c r="R356" s="5" t="s">
        <v>9148</v>
      </c>
      <c r="S356" s="5"/>
      <c r="T356" s="5"/>
    </row>
    <row r="357" spans="1:20" x14ac:dyDescent="0.25">
      <c r="A357" s="5" t="s">
        <v>9187</v>
      </c>
      <c r="B357" s="7" t="s">
        <v>10503</v>
      </c>
      <c r="C357" s="5" t="s">
        <v>11</v>
      </c>
      <c r="D357" s="1" t="s">
        <v>10871</v>
      </c>
      <c r="F357" s="5"/>
      <c r="G357" s="7">
        <v>56</v>
      </c>
      <c r="H357" s="5" t="s">
        <v>9114</v>
      </c>
      <c r="I357" s="5" t="str">
        <f t="shared" si="5"/>
        <v>fate3561223</v>
      </c>
      <c r="J357" s="6" t="s">
        <v>9173</v>
      </c>
      <c r="K357" s="6">
        <v>12</v>
      </c>
      <c r="L357" s="6">
        <v>23</v>
      </c>
      <c r="M357" s="6"/>
      <c r="N357" s="6"/>
      <c r="P357" s="5" t="s">
        <v>9169</v>
      </c>
      <c r="Q357" s="5" t="s">
        <v>9170</v>
      </c>
      <c r="R357" s="5" t="s">
        <v>9171</v>
      </c>
      <c r="S357" s="5"/>
      <c r="T357" s="5"/>
    </row>
    <row r="358" spans="1:20" x14ac:dyDescent="0.25">
      <c r="A358" s="5" t="s">
        <v>9189</v>
      </c>
      <c r="B358" s="7" t="s">
        <v>10503</v>
      </c>
      <c r="C358" s="5" t="s">
        <v>11</v>
      </c>
      <c r="D358" s="1" t="s">
        <v>10863</v>
      </c>
      <c r="E358" s="5">
        <v>14</v>
      </c>
      <c r="F358" s="5">
        <v>1</v>
      </c>
      <c r="G358" s="7">
        <v>50</v>
      </c>
      <c r="H358" s="5" t="s">
        <v>9114</v>
      </c>
      <c r="I358" s="5" t="str">
        <f t="shared" si="5"/>
        <v>fate3573132</v>
      </c>
      <c r="J358" s="6" t="s">
        <v>9141</v>
      </c>
      <c r="K358" s="6">
        <v>31</v>
      </c>
      <c r="L358" s="6">
        <v>32</v>
      </c>
      <c r="M358" s="6"/>
      <c r="N358" s="6"/>
      <c r="P358" s="5" t="s">
        <v>9115</v>
      </c>
      <c r="Q358" s="5" t="s">
        <v>9116</v>
      </c>
      <c r="R358" s="5" t="s">
        <v>9117</v>
      </c>
      <c r="S358" s="5"/>
      <c r="T358" s="5"/>
    </row>
    <row r="359" spans="1:20" x14ac:dyDescent="0.25">
      <c r="A359" s="5" t="s">
        <v>9191</v>
      </c>
      <c r="B359" s="7" t="s">
        <v>8310</v>
      </c>
      <c r="C359" s="5" t="s">
        <v>11</v>
      </c>
      <c r="D359" s="5"/>
      <c r="E359" s="5">
        <v>14</v>
      </c>
      <c r="F359" s="5">
        <v>2</v>
      </c>
      <c r="G359" s="7">
        <v>50</v>
      </c>
      <c r="H359" s="5" t="s">
        <v>9114</v>
      </c>
      <c r="I359" s="5" t="str">
        <f t="shared" si="5"/>
        <v>fate3583132</v>
      </c>
      <c r="J359" s="6" t="s">
        <v>9131</v>
      </c>
      <c r="K359" s="6">
        <v>31</v>
      </c>
      <c r="L359" s="6">
        <v>32</v>
      </c>
      <c r="M359" s="6"/>
      <c r="N359" s="6"/>
      <c r="P359" s="5" t="s">
        <v>9115</v>
      </c>
      <c r="Q359" s="5" t="s">
        <v>9116</v>
      </c>
      <c r="R359" s="5" t="s">
        <v>9117</v>
      </c>
      <c r="S359" s="5"/>
      <c r="T359" s="5"/>
    </row>
    <row r="360" spans="1:20" x14ac:dyDescent="0.25">
      <c r="A360" s="5" t="s">
        <v>9196</v>
      </c>
      <c r="B360" s="7" t="s">
        <v>8310</v>
      </c>
      <c r="C360" s="5" t="s">
        <v>11</v>
      </c>
      <c r="D360" s="5"/>
      <c r="E360" s="5">
        <v>15</v>
      </c>
      <c r="F360" s="5">
        <v>1</v>
      </c>
      <c r="G360" s="7">
        <v>50</v>
      </c>
      <c r="H360" s="5" t="s">
        <v>9114</v>
      </c>
      <c r="I360" s="5" t="str">
        <f t="shared" si="5"/>
        <v>fate3593021</v>
      </c>
      <c r="J360" s="6" t="s">
        <v>9135</v>
      </c>
      <c r="K360" s="6">
        <v>30</v>
      </c>
      <c r="L360" s="6">
        <v>21</v>
      </c>
      <c r="M360" s="6"/>
      <c r="N360" s="6"/>
      <c r="P360" s="5" t="s">
        <v>9115</v>
      </c>
      <c r="Q360" s="5" t="s">
        <v>9116</v>
      </c>
      <c r="R360" s="5" t="s">
        <v>9117</v>
      </c>
      <c r="S360" s="5"/>
      <c r="T360" s="5"/>
    </row>
    <row r="361" spans="1:20" x14ac:dyDescent="0.25">
      <c r="A361" s="5" t="s">
        <v>9198</v>
      </c>
      <c r="B361" s="7" t="s">
        <v>10503</v>
      </c>
      <c r="C361" s="5" t="s">
        <v>11</v>
      </c>
      <c r="D361" s="1" t="s">
        <v>10864</v>
      </c>
      <c r="E361" s="5">
        <v>15</v>
      </c>
      <c r="F361" s="5">
        <v>2</v>
      </c>
      <c r="G361" s="7">
        <v>50</v>
      </c>
      <c r="H361" s="5" t="s">
        <v>9114</v>
      </c>
      <c r="I361" s="5" t="str">
        <f t="shared" si="5"/>
        <v>fate3603021</v>
      </c>
      <c r="J361" s="6" t="s">
        <v>9125</v>
      </c>
      <c r="K361" s="6">
        <v>30</v>
      </c>
      <c r="L361" s="6">
        <v>21</v>
      </c>
      <c r="M361" s="6"/>
      <c r="N361" s="6"/>
      <c r="P361" s="5" t="s">
        <v>9115</v>
      </c>
      <c r="Q361" s="5" t="s">
        <v>9116</v>
      </c>
      <c r="R361" s="5" t="s">
        <v>9117</v>
      </c>
      <c r="S361" s="5"/>
      <c r="T361" s="5"/>
    </row>
    <row r="362" spans="1:20" x14ac:dyDescent="0.25">
      <c r="A362" s="5" t="s">
        <v>9200</v>
      </c>
      <c r="B362" s="7" t="s">
        <v>8310</v>
      </c>
      <c r="C362" s="5" t="s">
        <v>11</v>
      </c>
      <c r="D362" s="5"/>
      <c r="E362" s="5">
        <v>16</v>
      </c>
      <c r="F362" s="5">
        <v>1</v>
      </c>
      <c r="G362" s="7">
        <v>50</v>
      </c>
      <c r="H362" s="5" t="s">
        <v>9114</v>
      </c>
      <c r="I362" s="5" t="str">
        <f t="shared" si="5"/>
        <v>fate3612618</v>
      </c>
      <c r="J362" s="6" t="s">
        <v>9119</v>
      </c>
      <c r="K362" s="6">
        <v>26</v>
      </c>
      <c r="L362" s="6">
        <v>18</v>
      </c>
      <c r="M362" s="6"/>
      <c r="N362" s="6"/>
      <c r="P362" s="5" t="s">
        <v>9115</v>
      </c>
      <c r="Q362" s="5" t="s">
        <v>9116</v>
      </c>
      <c r="R362" s="5" t="s">
        <v>9117</v>
      </c>
      <c r="S362" s="5"/>
      <c r="T362" s="5"/>
    </row>
    <row r="363" spans="1:20" x14ac:dyDescent="0.25">
      <c r="A363" s="5" t="s">
        <v>9202</v>
      </c>
      <c r="B363" s="7" t="s">
        <v>10503</v>
      </c>
      <c r="C363" s="5" t="s">
        <v>11</v>
      </c>
      <c r="D363" s="1" t="s">
        <v>10872</v>
      </c>
      <c r="E363" s="5">
        <v>16</v>
      </c>
      <c r="F363" s="5">
        <v>2</v>
      </c>
      <c r="G363" s="7">
        <v>50</v>
      </c>
      <c r="H363" s="5" t="s">
        <v>9114</v>
      </c>
      <c r="I363" s="5" t="str">
        <f t="shared" si="5"/>
        <v>fate3622618</v>
      </c>
      <c r="J363" s="6" t="s">
        <v>9137</v>
      </c>
      <c r="K363" s="6">
        <v>26</v>
      </c>
      <c r="L363" s="6">
        <v>18</v>
      </c>
      <c r="M363" s="6"/>
      <c r="N363" s="6"/>
      <c r="P363" s="5" t="s">
        <v>9115</v>
      </c>
      <c r="Q363" s="5" t="s">
        <v>9116</v>
      </c>
      <c r="R363" s="5" t="s">
        <v>9117</v>
      </c>
      <c r="S363" s="5"/>
      <c r="T363" s="5"/>
    </row>
    <row r="364" spans="1:20" x14ac:dyDescent="0.25">
      <c r="A364" s="5" t="s">
        <v>9204</v>
      </c>
      <c r="B364" s="7" t="s">
        <v>8310</v>
      </c>
      <c r="C364" s="5" t="s">
        <v>11</v>
      </c>
      <c r="D364" s="5"/>
      <c r="E364" s="5">
        <v>17</v>
      </c>
      <c r="F364" s="5">
        <v>1</v>
      </c>
      <c r="G364" s="7">
        <v>51</v>
      </c>
      <c r="H364" s="5" t="s">
        <v>9114</v>
      </c>
      <c r="I364" s="5" t="str">
        <f t="shared" si="5"/>
        <v>fate3631914</v>
      </c>
      <c r="J364" s="6" t="s">
        <v>9160</v>
      </c>
      <c r="K364" s="6">
        <v>19</v>
      </c>
      <c r="L364" s="6">
        <v>14</v>
      </c>
      <c r="M364" s="6"/>
      <c r="N364" s="6"/>
      <c r="P364" s="5" t="s">
        <v>9146</v>
      </c>
      <c r="Q364" s="5" t="s">
        <v>9147</v>
      </c>
      <c r="R364" s="5" t="s">
        <v>9148</v>
      </c>
      <c r="S364" s="5"/>
      <c r="T364" s="5"/>
    </row>
    <row r="365" spans="1:20" x14ac:dyDescent="0.25">
      <c r="A365" s="5" t="s">
        <v>9206</v>
      </c>
      <c r="B365" s="7" t="s">
        <v>10503</v>
      </c>
      <c r="C365" s="5" t="s">
        <v>11</v>
      </c>
      <c r="D365" s="1" t="s">
        <v>10869</v>
      </c>
      <c r="E365" s="5">
        <v>17</v>
      </c>
      <c r="F365" s="5">
        <v>2</v>
      </c>
      <c r="G365" s="7">
        <v>51</v>
      </c>
      <c r="H365" s="5" t="s">
        <v>9114</v>
      </c>
      <c r="I365" s="5" t="str">
        <f t="shared" si="5"/>
        <v>fate3641914</v>
      </c>
      <c r="J365" s="6" t="s">
        <v>9164</v>
      </c>
      <c r="K365" s="6">
        <v>19</v>
      </c>
      <c r="L365" s="6">
        <v>14</v>
      </c>
      <c r="M365" s="6"/>
      <c r="N365" s="6"/>
      <c r="P365" s="5" t="s">
        <v>9146</v>
      </c>
      <c r="Q365" s="5" t="s">
        <v>9147</v>
      </c>
      <c r="R365" s="5" t="s">
        <v>9148</v>
      </c>
      <c r="S365" s="5"/>
      <c r="T365" s="5"/>
    </row>
    <row r="366" spans="1:20" x14ac:dyDescent="0.25">
      <c r="A366" s="5" t="s">
        <v>9208</v>
      </c>
      <c r="B366" s="7" t="s">
        <v>8310</v>
      </c>
      <c r="C366" s="5" t="s">
        <v>11</v>
      </c>
      <c r="D366" s="5"/>
      <c r="F366" s="5"/>
      <c r="G366" s="7">
        <v>50</v>
      </c>
      <c r="H366" s="5" t="s">
        <v>9176</v>
      </c>
      <c r="I366" s="5" t="str">
        <f t="shared" si="5"/>
        <v>fate3653430</v>
      </c>
      <c r="J366" s="6" t="s">
        <v>9178</v>
      </c>
      <c r="K366" s="6">
        <v>34.200000000000003</v>
      </c>
      <c r="L366" s="6">
        <v>30</v>
      </c>
      <c r="M366" s="6"/>
      <c r="N366" s="6"/>
      <c r="P366" s="5" t="s">
        <v>9115</v>
      </c>
      <c r="Q366" s="5" t="s">
        <v>9116</v>
      </c>
      <c r="R366" s="5" t="s">
        <v>9117</v>
      </c>
      <c r="S366" s="5"/>
      <c r="T366" s="5"/>
    </row>
    <row r="367" spans="1:20" x14ac:dyDescent="0.25">
      <c r="A367" s="5" t="s">
        <v>9210</v>
      </c>
      <c r="B367" s="7" t="s">
        <v>8310</v>
      </c>
      <c r="C367" s="5" t="s">
        <v>11</v>
      </c>
      <c r="D367" s="5"/>
      <c r="F367" s="5"/>
      <c r="G367" s="7">
        <v>50</v>
      </c>
      <c r="H367" s="5" t="s">
        <v>9176</v>
      </c>
      <c r="I367" s="5" t="str">
        <f t="shared" si="5"/>
        <v>fate3663030</v>
      </c>
      <c r="J367" s="6" t="s">
        <v>9181</v>
      </c>
      <c r="K367" s="6">
        <v>30</v>
      </c>
      <c r="L367" s="6">
        <v>30</v>
      </c>
      <c r="M367" s="6"/>
      <c r="N367" s="6"/>
      <c r="P367" s="5" t="s">
        <v>9115</v>
      </c>
      <c r="Q367" s="5" t="s">
        <v>9116</v>
      </c>
      <c r="R367" s="5" t="s">
        <v>9117</v>
      </c>
      <c r="S367" s="5"/>
      <c r="T367" s="5"/>
    </row>
    <row r="368" spans="1:20" x14ac:dyDescent="0.25">
      <c r="A368" s="5" t="s">
        <v>9215</v>
      </c>
      <c r="B368" s="7" t="s">
        <v>8310</v>
      </c>
      <c r="C368" s="5" t="s">
        <v>11</v>
      </c>
      <c r="D368" s="5"/>
      <c r="F368" s="5"/>
      <c r="G368" s="7">
        <v>50</v>
      </c>
      <c r="H368" s="5" t="s">
        <v>9176</v>
      </c>
      <c r="I368" s="5" t="str">
        <f t="shared" si="5"/>
        <v>fate3672935</v>
      </c>
      <c r="J368" s="6" t="s">
        <v>771</v>
      </c>
      <c r="K368" s="6">
        <v>29</v>
      </c>
      <c r="L368" s="6">
        <v>35</v>
      </c>
      <c r="M368" s="6"/>
      <c r="N368" s="6"/>
      <c r="P368" s="5" t="s">
        <v>9115</v>
      </c>
      <c r="Q368" s="5" t="s">
        <v>9116</v>
      </c>
      <c r="R368" s="5" t="s">
        <v>9117</v>
      </c>
      <c r="S368" s="5"/>
      <c r="T368" s="5"/>
    </row>
    <row r="369" spans="1:20" x14ac:dyDescent="0.25">
      <c r="A369" s="5" t="s">
        <v>9217</v>
      </c>
      <c r="B369" s="7" t="s">
        <v>8310</v>
      </c>
      <c r="C369" s="5" t="s">
        <v>11</v>
      </c>
      <c r="D369" s="5"/>
      <c r="F369" s="5"/>
      <c r="G369" s="7">
        <v>50</v>
      </c>
      <c r="H369" s="5" t="s">
        <v>9176</v>
      </c>
      <c r="I369" s="5" t="str">
        <f t="shared" si="5"/>
        <v>fate3682832</v>
      </c>
      <c r="J369" s="6" t="s">
        <v>9186</v>
      </c>
      <c r="K369" s="6">
        <v>28</v>
      </c>
      <c r="L369" s="6">
        <v>32</v>
      </c>
      <c r="M369" s="6"/>
      <c r="N369" s="6"/>
      <c r="P369" s="5" t="s">
        <v>9115</v>
      </c>
      <c r="Q369" s="5" t="s">
        <v>9116</v>
      </c>
      <c r="R369" s="5" t="s">
        <v>9117</v>
      </c>
      <c r="S369" s="5"/>
      <c r="T369" s="5"/>
    </row>
    <row r="370" spans="1:20" x14ac:dyDescent="0.25">
      <c r="A370" s="5" t="s">
        <v>9219</v>
      </c>
      <c r="B370" s="7" t="s">
        <v>8310</v>
      </c>
      <c r="C370" s="5" t="s">
        <v>11</v>
      </c>
      <c r="D370" s="5"/>
      <c r="F370" s="5"/>
      <c r="G370" s="7">
        <v>50</v>
      </c>
      <c r="H370" s="5" t="s">
        <v>9176</v>
      </c>
      <c r="I370" s="5" t="str">
        <f t="shared" si="5"/>
        <v>fate3692535</v>
      </c>
      <c r="J370" s="6" t="s">
        <v>9190</v>
      </c>
      <c r="K370" s="6">
        <v>25</v>
      </c>
      <c r="L370" s="6">
        <v>35</v>
      </c>
      <c r="M370" s="6"/>
      <c r="N370" s="6"/>
      <c r="P370" s="5" t="s">
        <v>9115</v>
      </c>
      <c r="Q370" s="5" t="s">
        <v>9116</v>
      </c>
      <c r="R370" s="5" t="s">
        <v>9117</v>
      </c>
      <c r="S370" s="5"/>
      <c r="T370" s="5"/>
    </row>
    <row r="371" spans="1:20" x14ac:dyDescent="0.25">
      <c r="A371" s="5" t="s">
        <v>9221</v>
      </c>
      <c r="B371" s="7" t="s">
        <v>8310</v>
      </c>
      <c r="C371" s="5" t="s">
        <v>11</v>
      </c>
      <c r="D371" s="5"/>
      <c r="F371" s="5"/>
      <c r="G371" s="7">
        <v>57</v>
      </c>
      <c r="H371" s="5" t="s">
        <v>9176</v>
      </c>
      <c r="I371" s="5" t="str">
        <f t="shared" si="5"/>
        <v>fate370620</v>
      </c>
      <c r="J371" s="6" t="s">
        <v>9199</v>
      </c>
      <c r="K371" s="6">
        <v>6</v>
      </c>
      <c r="L371" s="6">
        <v>20</v>
      </c>
      <c r="M371" s="6"/>
      <c r="N371" s="6"/>
      <c r="P371" s="5" t="s">
        <v>9193</v>
      </c>
      <c r="Q371" s="5" t="s">
        <v>9194</v>
      </c>
      <c r="R371" s="5" t="s">
        <v>9195</v>
      </c>
      <c r="S371" s="5"/>
      <c r="T371" s="5"/>
    </row>
    <row r="372" spans="1:20" x14ac:dyDescent="0.25">
      <c r="A372" s="5" t="s">
        <v>9223</v>
      </c>
      <c r="B372" s="7" t="s">
        <v>8310</v>
      </c>
      <c r="C372" s="5" t="s">
        <v>11</v>
      </c>
      <c r="D372" s="5"/>
      <c r="F372" s="5"/>
      <c r="G372" s="7">
        <v>57</v>
      </c>
      <c r="H372" s="5" t="s">
        <v>9176</v>
      </c>
      <c r="I372" s="5" t="str">
        <f t="shared" si="5"/>
        <v>fate3712915</v>
      </c>
      <c r="J372" s="6" t="s">
        <v>9201</v>
      </c>
      <c r="K372" s="6">
        <v>29</v>
      </c>
      <c r="L372" s="6">
        <v>15</v>
      </c>
      <c r="M372" s="6"/>
      <c r="N372" s="6"/>
      <c r="P372" s="5" t="s">
        <v>9193</v>
      </c>
      <c r="Q372" s="5" t="s">
        <v>9194</v>
      </c>
      <c r="R372" s="5" t="s">
        <v>9195</v>
      </c>
      <c r="S372" s="5"/>
      <c r="T372" s="5"/>
    </row>
    <row r="373" spans="1:20" x14ac:dyDescent="0.25">
      <c r="A373" s="5" t="s">
        <v>9225</v>
      </c>
      <c r="B373" s="7" t="s">
        <v>8310</v>
      </c>
      <c r="C373" s="5" t="s">
        <v>11</v>
      </c>
      <c r="D373" s="5"/>
      <c r="F373" s="5"/>
      <c r="G373" s="7">
        <v>57</v>
      </c>
      <c r="H373" s="5" t="s">
        <v>9176</v>
      </c>
      <c r="I373" s="5" t="str">
        <f t="shared" si="5"/>
        <v>fate3722610</v>
      </c>
      <c r="J373" s="6" t="s">
        <v>9205</v>
      </c>
      <c r="K373" s="6">
        <v>26</v>
      </c>
      <c r="L373" s="6">
        <v>10</v>
      </c>
      <c r="M373" s="6"/>
      <c r="N373" s="6"/>
      <c r="P373" s="5" t="s">
        <v>9193</v>
      </c>
      <c r="Q373" s="5" t="s">
        <v>9194</v>
      </c>
      <c r="R373" s="5" t="s">
        <v>9195</v>
      </c>
      <c r="S373" s="5"/>
      <c r="T373" s="5"/>
    </row>
    <row r="374" spans="1:20" x14ac:dyDescent="0.25">
      <c r="A374" s="5" t="s">
        <v>9227</v>
      </c>
      <c r="B374" s="7" t="s">
        <v>8310</v>
      </c>
      <c r="C374" s="5" t="s">
        <v>11</v>
      </c>
      <c r="D374" s="5"/>
      <c r="F374" s="5"/>
      <c r="G374" s="7">
        <v>59</v>
      </c>
      <c r="H374" s="5" t="s">
        <v>9176</v>
      </c>
      <c r="I374" s="5" t="str">
        <f t="shared" si="5"/>
        <v>fate3733636</v>
      </c>
      <c r="J374" s="6" t="s">
        <v>9211</v>
      </c>
      <c r="K374" s="6">
        <v>36.4</v>
      </c>
      <c r="L374" s="6">
        <v>36.4</v>
      </c>
      <c r="M374" s="6"/>
      <c r="N374" s="6"/>
      <c r="P374" s="5" t="s">
        <v>9212</v>
      </c>
      <c r="Q374" s="5" t="s">
        <v>9213</v>
      </c>
      <c r="R374" s="5" t="s">
        <v>9214</v>
      </c>
      <c r="S374" s="5"/>
      <c r="T374" s="5"/>
    </row>
    <row r="375" spans="1:20" x14ac:dyDescent="0.25">
      <c r="A375" s="5" t="s">
        <v>9229</v>
      </c>
      <c r="B375" s="7" t="s">
        <v>8310</v>
      </c>
      <c r="C375" s="5" t="s">
        <v>11</v>
      </c>
      <c r="D375" s="5"/>
      <c r="F375" s="5"/>
      <c r="G375" s="7">
        <v>59</v>
      </c>
      <c r="H375" s="5" t="s">
        <v>9176</v>
      </c>
      <c r="I375" s="5" t="str">
        <f t="shared" si="5"/>
        <v>fate3742163</v>
      </c>
      <c r="J375" s="6" t="s">
        <v>9228</v>
      </c>
      <c r="K375" s="6">
        <v>21.6</v>
      </c>
      <c r="L375" s="6">
        <v>6.3</v>
      </c>
      <c r="M375" s="6"/>
      <c r="N375" s="6"/>
      <c r="P375" s="5" t="s">
        <v>9212</v>
      </c>
      <c r="Q375" s="5" t="s">
        <v>9213</v>
      </c>
      <c r="R375" s="5" t="s">
        <v>9214</v>
      </c>
      <c r="S375" s="5"/>
      <c r="T375" s="5"/>
    </row>
    <row r="376" spans="1:20" x14ac:dyDescent="0.25">
      <c r="A376" s="5" t="s">
        <v>9232</v>
      </c>
      <c r="B376" s="7" t="s">
        <v>8346</v>
      </c>
      <c r="C376" s="5" t="s">
        <v>11</v>
      </c>
      <c r="D376" s="5"/>
      <c r="F376" s="5"/>
      <c r="G376" s="7">
        <v>50</v>
      </c>
      <c r="H376" s="5" t="s">
        <v>9176</v>
      </c>
      <c r="I376" s="5" t="str">
        <f t="shared" si="5"/>
        <v>fate3751437</v>
      </c>
      <c r="J376" s="6" t="s">
        <v>9184</v>
      </c>
      <c r="K376" s="6">
        <v>14</v>
      </c>
      <c r="L376" s="6">
        <v>37</v>
      </c>
      <c r="M376" s="6"/>
      <c r="N376" s="6"/>
      <c r="P376" s="5" t="s">
        <v>9115</v>
      </c>
      <c r="Q376" s="5" t="s">
        <v>9116</v>
      </c>
      <c r="R376" s="5" t="s">
        <v>9117</v>
      </c>
      <c r="S376" s="5"/>
      <c r="T376" s="5"/>
    </row>
    <row r="377" spans="1:20" x14ac:dyDescent="0.25">
      <c r="A377" s="5" t="s">
        <v>9234</v>
      </c>
      <c r="B377" s="7" t="s">
        <v>8424</v>
      </c>
      <c r="C377" s="5" t="s">
        <v>11</v>
      </c>
      <c r="D377" s="5"/>
      <c r="F377" s="5"/>
      <c r="G377" s="7">
        <v>57</v>
      </c>
      <c r="H377" s="5" t="s">
        <v>9176</v>
      </c>
      <c r="I377" s="5" t="str">
        <f t="shared" si="5"/>
        <v>fate3761212</v>
      </c>
      <c r="J377" s="6" t="s">
        <v>9209</v>
      </c>
      <c r="K377" s="6">
        <v>12.1</v>
      </c>
      <c r="L377" s="6">
        <v>12</v>
      </c>
      <c r="M377" s="6"/>
      <c r="N377" s="6"/>
      <c r="P377" s="5" t="s">
        <v>9193</v>
      </c>
      <c r="Q377" s="5" t="s">
        <v>9194</v>
      </c>
      <c r="R377" s="5" t="s">
        <v>9195</v>
      </c>
      <c r="S377" s="5"/>
      <c r="T377" s="5"/>
    </row>
    <row r="378" spans="1:20" x14ac:dyDescent="0.25">
      <c r="A378" s="5" t="s">
        <v>9236</v>
      </c>
      <c r="B378" s="7" t="s">
        <v>10503</v>
      </c>
      <c r="C378" s="5" t="s">
        <v>11</v>
      </c>
      <c r="D378" s="1" t="s">
        <v>724</v>
      </c>
      <c r="F378" s="5"/>
      <c r="G378" s="7">
        <v>50</v>
      </c>
      <c r="H378" s="5" t="s">
        <v>9176</v>
      </c>
      <c r="I378" s="5" t="str">
        <f t="shared" si="5"/>
        <v>fate3773633</v>
      </c>
      <c r="J378" s="6" t="s">
        <v>725</v>
      </c>
      <c r="K378" s="6">
        <v>36</v>
      </c>
      <c r="L378" s="6">
        <v>33</v>
      </c>
      <c r="M378" s="6"/>
      <c r="N378" s="6"/>
      <c r="P378" s="5" t="s">
        <v>9115</v>
      </c>
      <c r="Q378" s="5" t="s">
        <v>9116</v>
      </c>
      <c r="R378" s="5" t="s">
        <v>9117</v>
      </c>
      <c r="S378" s="5"/>
      <c r="T378" s="5"/>
    </row>
    <row r="379" spans="1:20" x14ac:dyDescent="0.25">
      <c r="A379" s="5" t="s">
        <v>9238</v>
      </c>
      <c r="B379" s="7" t="s">
        <v>10503</v>
      </c>
      <c r="C379" s="5" t="s">
        <v>11</v>
      </c>
      <c r="D379" s="1" t="s">
        <v>10874</v>
      </c>
      <c r="F379" s="5"/>
      <c r="G379" s="7">
        <v>57</v>
      </c>
      <c r="H379" s="5" t="s">
        <v>9176</v>
      </c>
      <c r="I379" s="5" t="str">
        <f t="shared" si="5"/>
        <v>fate3782319</v>
      </c>
      <c r="J379" s="6" t="s">
        <v>9192</v>
      </c>
      <c r="K379" s="6">
        <v>23</v>
      </c>
      <c r="L379" s="6">
        <v>19</v>
      </c>
      <c r="M379" s="6"/>
      <c r="N379" s="6"/>
      <c r="P379" s="5" t="s">
        <v>9193</v>
      </c>
      <c r="Q379" s="5" t="s">
        <v>9194</v>
      </c>
      <c r="R379" s="5" t="s">
        <v>9195</v>
      </c>
      <c r="S379" s="5"/>
      <c r="T379" s="5"/>
    </row>
    <row r="380" spans="1:20" x14ac:dyDescent="0.25">
      <c r="A380" s="5" t="s">
        <v>9240</v>
      </c>
      <c r="B380" s="7" t="s">
        <v>10503</v>
      </c>
      <c r="C380" s="5" t="s">
        <v>11</v>
      </c>
      <c r="D380" s="1" t="s">
        <v>10875</v>
      </c>
      <c r="F380" s="5"/>
      <c r="G380" s="7">
        <v>57</v>
      </c>
      <c r="H380" s="5" t="s">
        <v>9176</v>
      </c>
      <c r="I380" s="5" t="str">
        <f t="shared" si="5"/>
        <v>fate3792113</v>
      </c>
      <c r="J380" s="6" t="s">
        <v>9197</v>
      </c>
      <c r="K380" s="6">
        <v>21</v>
      </c>
      <c r="L380" s="6">
        <v>13</v>
      </c>
      <c r="M380" s="6"/>
      <c r="N380" s="6"/>
      <c r="P380" s="5" t="s">
        <v>9193</v>
      </c>
      <c r="Q380" s="5" t="s">
        <v>9194</v>
      </c>
      <c r="R380" s="5" t="s">
        <v>9195</v>
      </c>
      <c r="S380" s="5"/>
      <c r="T380" s="5"/>
    </row>
    <row r="381" spans="1:20" x14ac:dyDescent="0.25">
      <c r="A381" s="5" t="s">
        <v>9242</v>
      </c>
      <c r="B381" s="7" t="s">
        <v>10503</v>
      </c>
      <c r="C381" s="5" t="s">
        <v>11</v>
      </c>
      <c r="D381" s="1" t="s">
        <v>10877</v>
      </c>
      <c r="F381" s="5"/>
      <c r="G381" s="7">
        <v>59</v>
      </c>
      <c r="H381" s="5" t="s">
        <v>9176</v>
      </c>
      <c r="I381" s="5" t="str">
        <f t="shared" si="5"/>
        <v>fate3803714</v>
      </c>
      <c r="J381" s="6" t="s">
        <v>9218</v>
      </c>
      <c r="K381" s="6">
        <v>37</v>
      </c>
      <c r="L381" s="6">
        <v>14</v>
      </c>
      <c r="M381" s="6"/>
      <c r="N381" s="6"/>
      <c r="P381" s="5" t="s">
        <v>9212</v>
      </c>
      <c r="Q381" s="5" t="s">
        <v>9213</v>
      </c>
      <c r="R381" s="5" t="s">
        <v>9214</v>
      </c>
      <c r="S381" s="5"/>
      <c r="T381" s="5"/>
    </row>
    <row r="382" spans="1:20" x14ac:dyDescent="0.25">
      <c r="A382" s="5" t="s">
        <v>9244</v>
      </c>
      <c r="B382" s="7" t="s">
        <v>10503</v>
      </c>
      <c r="C382" s="5" t="s">
        <v>11</v>
      </c>
      <c r="D382" s="1" t="s">
        <v>10878</v>
      </c>
      <c r="F382" s="5"/>
      <c r="G382" s="7">
        <v>59</v>
      </c>
      <c r="H382" s="5" t="s">
        <v>9176</v>
      </c>
      <c r="I382" s="5" t="str">
        <f t="shared" si="5"/>
        <v>fate3811025</v>
      </c>
      <c r="J382" s="6" t="s">
        <v>9222</v>
      </c>
      <c r="K382" s="6">
        <v>10</v>
      </c>
      <c r="L382" s="6">
        <v>25</v>
      </c>
      <c r="M382" s="6"/>
      <c r="N382" s="6"/>
      <c r="P382" s="5" t="s">
        <v>9212</v>
      </c>
      <c r="Q382" s="5" t="s">
        <v>9213</v>
      </c>
      <c r="R382" s="5" t="s">
        <v>9214</v>
      </c>
      <c r="S382" s="5"/>
      <c r="T382" s="5"/>
    </row>
    <row r="383" spans="1:20" x14ac:dyDescent="0.25">
      <c r="A383" s="5" t="s">
        <v>9246</v>
      </c>
      <c r="B383" s="7" t="s">
        <v>10503</v>
      </c>
      <c r="C383" s="5" t="s">
        <v>11</v>
      </c>
      <c r="D383" s="1" t="s">
        <v>10879</v>
      </c>
      <c r="F383" s="5"/>
      <c r="G383" s="7">
        <v>59</v>
      </c>
      <c r="H383" s="5" t="s">
        <v>9176</v>
      </c>
      <c r="I383" s="5" t="str">
        <f t="shared" si="5"/>
        <v>fate382368</v>
      </c>
      <c r="J383" s="6" t="s">
        <v>9226</v>
      </c>
      <c r="K383" s="6">
        <v>36</v>
      </c>
      <c r="L383" s="6">
        <v>8</v>
      </c>
      <c r="M383" s="6"/>
      <c r="N383" s="6"/>
      <c r="P383" s="5" t="s">
        <v>9212</v>
      </c>
      <c r="Q383" s="5" t="s">
        <v>9213</v>
      </c>
      <c r="R383" s="5" t="s">
        <v>9214</v>
      </c>
      <c r="S383" s="5"/>
      <c r="T383" s="5"/>
    </row>
    <row r="384" spans="1:20" x14ac:dyDescent="0.25">
      <c r="A384" s="5" t="s">
        <v>9248</v>
      </c>
      <c r="B384" s="7" t="s">
        <v>8310</v>
      </c>
      <c r="C384" s="5" t="s">
        <v>11</v>
      </c>
      <c r="D384" s="5"/>
      <c r="E384" s="5">
        <v>18</v>
      </c>
      <c r="F384" s="5">
        <v>1</v>
      </c>
      <c r="G384" s="7">
        <v>50</v>
      </c>
      <c r="H384" s="5" t="s">
        <v>9176</v>
      </c>
      <c r="I384" s="5" t="str">
        <f t="shared" si="5"/>
        <v>fate3832032</v>
      </c>
      <c r="J384" s="6" t="s">
        <v>9188</v>
      </c>
      <c r="K384" s="6">
        <v>20</v>
      </c>
      <c r="L384" s="6">
        <v>32</v>
      </c>
      <c r="M384" s="6"/>
      <c r="N384" s="6"/>
      <c r="P384" s="5" t="s">
        <v>9115</v>
      </c>
      <c r="Q384" s="5" t="s">
        <v>9116</v>
      </c>
      <c r="R384" s="5" t="s">
        <v>9117</v>
      </c>
      <c r="S384" s="5"/>
      <c r="T384" s="5"/>
    </row>
    <row r="385" spans="1:20" x14ac:dyDescent="0.25">
      <c r="A385" s="5" t="s">
        <v>9250</v>
      </c>
      <c r="B385" s="7" t="s">
        <v>10503</v>
      </c>
      <c r="C385" s="5" t="s">
        <v>11</v>
      </c>
      <c r="D385" s="1" t="s">
        <v>10873</v>
      </c>
      <c r="E385" s="5">
        <v>18</v>
      </c>
      <c r="F385" s="5">
        <v>2</v>
      </c>
      <c r="G385" s="7">
        <v>50</v>
      </c>
      <c r="H385" s="5" t="s">
        <v>9176</v>
      </c>
      <c r="I385" s="5" t="str">
        <f t="shared" si="5"/>
        <v>fate3842032</v>
      </c>
      <c r="J385" s="6" t="s">
        <v>9175</v>
      </c>
      <c r="K385" s="6">
        <v>20</v>
      </c>
      <c r="L385" s="6">
        <v>32</v>
      </c>
      <c r="M385" s="6"/>
      <c r="N385" s="6"/>
      <c r="P385" s="5" t="s">
        <v>9115</v>
      </c>
      <c r="Q385" s="5" t="s">
        <v>9116</v>
      </c>
      <c r="R385" s="5" t="s">
        <v>9117</v>
      </c>
      <c r="S385" s="5"/>
      <c r="T385" s="5"/>
    </row>
    <row r="386" spans="1:20" x14ac:dyDescent="0.25">
      <c r="A386" s="5" t="s">
        <v>9252</v>
      </c>
      <c r="B386" s="7" t="s">
        <v>8450</v>
      </c>
      <c r="C386" s="5" t="s">
        <v>11</v>
      </c>
      <c r="D386" s="5"/>
      <c r="E386" s="5">
        <v>19</v>
      </c>
      <c r="F386" s="5">
        <v>1</v>
      </c>
      <c r="G386" s="7">
        <v>57</v>
      </c>
      <c r="H386" s="5" t="s">
        <v>9176</v>
      </c>
      <c r="I386" s="5" t="str">
        <f t="shared" si="5"/>
        <v>fate3852810</v>
      </c>
      <c r="J386" s="6" t="s">
        <v>9203</v>
      </c>
      <c r="K386" s="6">
        <v>28.5</v>
      </c>
      <c r="L386" s="6">
        <v>10.5</v>
      </c>
      <c r="M386" s="6"/>
      <c r="N386" s="6"/>
      <c r="P386" s="5" t="s">
        <v>9193</v>
      </c>
      <c r="Q386" s="5" t="s">
        <v>9194</v>
      </c>
      <c r="R386" s="5" t="s">
        <v>9195</v>
      </c>
      <c r="S386" s="5"/>
      <c r="T386" s="5"/>
    </row>
    <row r="387" spans="1:20" x14ac:dyDescent="0.25">
      <c r="A387" s="5" t="s">
        <v>9254</v>
      </c>
      <c r="B387" s="7" t="s">
        <v>8346</v>
      </c>
      <c r="C387" s="5" t="s">
        <v>11</v>
      </c>
      <c r="D387" s="5"/>
      <c r="E387" s="5">
        <v>19</v>
      </c>
      <c r="F387" s="5">
        <v>2</v>
      </c>
      <c r="G387" s="7">
        <v>57</v>
      </c>
      <c r="H387" s="5" t="s">
        <v>9176</v>
      </c>
      <c r="I387" s="5" t="str">
        <f t="shared" si="5"/>
        <v>fate3861696</v>
      </c>
      <c r="J387" s="6" t="s">
        <v>9207</v>
      </c>
      <c r="K387" s="6">
        <v>16.899999999999999</v>
      </c>
      <c r="L387" s="6">
        <v>9.6</v>
      </c>
      <c r="M387" s="6"/>
      <c r="N387" s="6"/>
      <c r="P387" s="5" t="s">
        <v>9193</v>
      </c>
      <c r="Q387" s="5" t="s">
        <v>9194</v>
      </c>
      <c r="R387" s="5" t="s">
        <v>9195</v>
      </c>
      <c r="S387" s="5"/>
      <c r="T387" s="5"/>
    </row>
    <row r="388" spans="1:20" x14ac:dyDescent="0.25">
      <c r="A388" s="5" t="s">
        <v>9256</v>
      </c>
      <c r="B388" s="7" t="s">
        <v>10503</v>
      </c>
      <c r="C388" s="5" t="s">
        <v>11</v>
      </c>
      <c r="D388" s="1" t="s">
        <v>10876</v>
      </c>
      <c r="E388" s="5">
        <v>20</v>
      </c>
      <c r="F388" s="5">
        <v>1</v>
      </c>
      <c r="G388" s="7">
        <v>59</v>
      </c>
      <c r="H388" s="5" t="s">
        <v>9176</v>
      </c>
      <c r="I388" s="5" t="str">
        <f t="shared" ref="I388:I451" si="6">A388&amp;LEFT(SUBSTITUTE(K388,".",""),2)&amp;LEFT(SUBSTITUTE(L388,".",""),2)</f>
        <v>fate3872023</v>
      </c>
      <c r="J388" s="6" t="s">
        <v>9216</v>
      </c>
      <c r="K388" s="6">
        <v>20</v>
      </c>
      <c r="L388" s="6">
        <v>23</v>
      </c>
      <c r="M388" s="6"/>
      <c r="N388" s="6"/>
      <c r="P388" s="5" t="s">
        <v>9212</v>
      </c>
      <c r="Q388" s="5" t="s">
        <v>9213</v>
      </c>
      <c r="R388" s="5" t="s">
        <v>9214</v>
      </c>
      <c r="S388" s="5"/>
      <c r="T388" s="5"/>
    </row>
    <row r="389" spans="1:20" x14ac:dyDescent="0.25">
      <c r="A389" s="5" t="s">
        <v>9258</v>
      </c>
      <c r="B389" s="7" t="s">
        <v>8310</v>
      </c>
      <c r="C389" s="5" t="s">
        <v>11</v>
      </c>
      <c r="D389" s="5"/>
      <c r="E389" s="5">
        <v>20</v>
      </c>
      <c r="F389" s="5">
        <v>2</v>
      </c>
      <c r="G389" s="7">
        <v>59</v>
      </c>
      <c r="H389" s="5" t="s">
        <v>9176</v>
      </c>
      <c r="I389" s="5" t="str">
        <f t="shared" si="6"/>
        <v>fate3882023</v>
      </c>
      <c r="J389" s="6" t="s">
        <v>9220</v>
      </c>
      <c r="K389" s="6">
        <v>20</v>
      </c>
      <c r="L389" s="6">
        <v>23</v>
      </c>
      <c r="M389" s="6"/>
      <c r="N389" s="6"/>
      <c r="P389" s="5" t="s">
        <v>9212</v>
      </c>
      <c r="Q389" s="5" t="s">
        <v>9213</v>
      </c>
      <c r="R389" s="5" t="s">
        <v>9214</v>
      </c>
      <c r="S389" s="5"/>
      <c r="T389" s="5"/>
    </row>
    <row r="390" spans="1:20" x14ac:dyDescent="0.25">
      <c r="A390" s="5" t="s">
        <v>9260</v>
      </c>
      <c r="B390" s="7" t="s">
        <v>10503</v>
      </c>
      <c r="C390" s="5" t="s">
        <v>11</v>
      </c>
      <c r="D390" s="1" t="s">
        <v>10881</v>
      </c>
      <c r="E390" s="5">
        <v>20</v>
      </c>
      <c r="F390" s="5">
        <v>3</v>
      </c>
      <c r="G390" s="7">
        <v>59</v>
      </c>
      <c r="H390" s="5" t="s">
        <v>9176</v>
      </c>
      <c r="I390" s="5" t="str">
        <f t="shared" si="6"/>
        <v>fate3892023</v>
      </c>
      <c r="J390" s="6" t="s">
        <v>9224</v>
      </c>
      <c r="K390" s="6">
        <v>20</v>
      </c>
      <c r="L390" s="6">
        <v>23</v>
      </c>
      <c r="M390" s="6"/>
      <c r="N390" s="6"/>
      <c r="P390" s="5" t="s">
        <v>9212</v>
      </c>
      <c r="Q390" s="5" t="s">
        <v>9213</v>
      </c>
      <c r="R390" s="5" t="s">
        <v>9214</v>
      </c>
      <c r="S390" s="5"/>
      <c r="T390" s="5"/>
    </row>
    <row r="391" spans="1:20" x14ac:dyDescent="0.25">
      <c r="A391" s="5" t="s">
        <v>9262</v>
      </c>
      <c r="B391" s="7" t="s">
        <v>8310</v>
      </c>
      <c r="C391" s="5" t="s">
        <v>11</v>
      </c>
      <c r="D391" s="5"/>
      <c r="F391" s="5"/>
      <c r="G391" s="7">
        <v>59</v>
      </c>
      <c r="H391" s="5" t="s">
        <v>9231</v>
      </c>
      <c r="I391" s="5" t="str">
        <f t="shared" si="6"/>
        <v>fate3902838</v>
      </c>
      <c r="J391" s="6" t="s">
        <v>9230</v>
      </c>
      <c r="K391" s="6">
        <v>28</v>
      </c>
      <c r="L391" s="6">
        <v>38</v>
      </c>
      <c r="M391" s="6"/>
      <c r="N391" s="6"/>
      <c r="P391" s="5" t="s">
        <v>9212</v>
      </c>
      <c r="Q391" s="5" t="s">
        <v>9213</v>
      </c>
      <c r="R391" s="5" t="s">
        <v>9214</v>
      </c>
      <c r="S391" s="5"/>
      <c r="T391" s="5"/>
    </row>
    <row r="392" spans="1:20" x14ac:dyDescent="0.25">
      <c r="A392" s="5" t="s">
        <v>9264</v>
      </c>
      <c r="B392" s="7" t="s">
        <v>8310</v>
      </c>
      <c r="C392" s="5" t="s">
        <v>11</v>
      </c>
      <c r="D392" s="5"/>
      <c r="F392" s="5"/>
      <c r="G392" s="7">
        <v>59</v>
      </c>
      <c r="H392" s="5" t="s">
        <v>9231</v>
      </c>
      <c r="I392" s="5" t="str">
        <f t="shared" si="6"/>
        <v>fate391376</v>
      </c>
      <c r="J392" s="6" t="s">
        <v>9235</v>
      </c>
      <c r="K392" s="6">
        <v>37</v>
      </c>
      <c r="L392" s="6">
        <v>6</v>
      </c>
      <c r="M392" s="6"/>
      <c r="N392" s="6"/>
      <c r="P392" s="5" t="s">
        <v>9212</v>
      </c>
      <c r="Q392" s="5" t="s">
        <v>9213</v>
      </c>
      <c r="R392" s="5" t="s">
        <v>9214</v>
      </c>
      <c r="S392" s="5"/>
      <c r="T392" s="5"/>
    </row>
    <row r="393" spans="1:20" x14ac:dyDescent="0.25">
      <c r="A393" s="5" t="s">
        <v>9266</v>
      </c>
      <c r="B393" s="7" t="s">
        <v>8310</v>
      </c>
      <c r="C393" s="5" t="s">
        <v>11</v>
      </c>
      <c r="D393" s="5"/>
      <c r="F393" s="5"/>
      <c r="G393" s="7">
        <v>59</v>
      </c>
      <c r="H393" s="5" t="s">
        <v>9231</v>
      </c>
      <c r="I393" s="5" t="str">
        <f t="shared" si="6"/>
        <v>fate3921329</v>
      </c>
      <c r="J393" s="6" t="s">
        <v>9239</v>
      </c>
      <c r="K393" s="6">
        <v>13</v>
      </c>
      <c r="L393" s="6">
        <v>29</v>
      </c>
      <c r="M393" s="6"/>
      <c r="N393" s="6"/>
      <c r="P393" s="5" t="s">
        <v>9212</v>
      </c>
      <c r="Q393" s="5" t="s">
        <v>9213</v>
      </c>
      <c r="R393" s="5" t="s">
        <v>9214</v>
      </c>
      <c r="S393" s="5"/>
      <c r="T393" s="5"/>
    </row>
    <row r="394" spans="1:20" x14ac:dyDescent="0.25">
      <c r="A394" s="5" t="s">
        <v>9268</v>
      </c>
      <c r="B394" s="7" t="s">
        <v>8310</v>
      </c>
      <c r="C394" s="5" t="s">
        <v>11</v>
      </c>
      <c r="D394" s="5"/>
      <c r="F394" s="5"/>
      <c r="G394" s="7">
        <v>59</v>
      </c>
      <c r="H394" s="5" t="s">
        <v>9231</v>
      </c>
      <c r="I394" s="5" t="str">
        <f t="shared" si="6"/>
        <v>fate3933011</v>
      </c>
      <c r="J394" s="6" t="s">
        <v>9243</v>
      </c>
      <c r="K394" s="6">
        <v>30</v>
      </c>
      <c r="L394" s="6">
        <v>11</v>
      </c>
      <c r="M394" s="6"/>
      <c r="N394" s="6"/>
      <c r="P394" s="5" t="s">
        <v>9212</v>
      </c>
      <c r="Q394" s="5" t="s">
        <v>9213</v>
      </c>
      <c r="R394" s="5" t="s">
        <v>9214</v>
      </c>
      <c r="S394" s="5"/>
      <c r="T394" s="5"/>
    </row>
    <row r="395" spans="1:20" x14ac:dyDescent="0.25">
      <c r="A395" s="5" t="s">
        <v>9270</v>
      </c>
      <c r="B395" s="7" t="s">
        <v>8310</v>
      </c>
      <c r="C395" s="5" t="s">
        <v>11</v>
      </c>
      <c r="D395" s="5"/>
      <c r="F395" s="5"/>
      <c r="G395" s="7">
        <v>59</v>
      </c>
      <c r="H395" s="5" t="s">
        <v>9231</v>
      </c>
      <c r="I395" s="5" t="str">
        <f t="shared" si="6"/>
        <v>fate3943824</v>
      </c>
      <c r="J395" s="6" t="s">
        <v>9245</v>
      </c>
      <c r="K395" s="6">
        <v>38</v>
      </c>
      <c r="L395" s="6">
        <v>24</v>
      </c>
      <c r="M395" s="6"/>
      <c r="N395" s="6"/>
      <c r="P395" s="5" t="s">
        <v>9212</v>
      </c>
      <c r="Q395" s="5" t="s">
        <v>9213</v>
      </c>
      <c r="R395" s="5" t="s">
        <v>9214</v>
      </c>
      <c r="S395" s="5"/>
      <c r="T395" s="5"/>
    </row>
    <row r="396" spans="1:20" x14ac:dyDescent="0.25">
      <c r="A396" s="5" t="s">
        <v>9272</v>
      </c>
      <c r="B396" s="7" t="s">
        <v>8310</v>
      </c>
      <c r="C396" s="5" t="s">
        <v>11</v>
      </c>
      <c r="D396" s="5"/>
      <c r="F396" s="5"/>
      <c r="G396" s="7">
        <v>59</v>
      </c>
      <c r="H396" s="5" t="s">
        <v>9231</v>
      </c>
      <c r="I396" s="5" t="str">
        <f t="shared" si="6"/>
        <v>fate3952529</v>
      </c>
      <c r="J396" s="6" t="s">
        <v>9249</v>
      </c>
      <c r="K396" s="6">
        <v>25</v>
      </c>
      <c r="L396" s="6">
        <v>29</v>
      </c>
      <c r="M396" s="6"/>
      <c r="N396" s="6"/>
      <c r="P396" s="5" t="s">
        <v>9212</v>
      </c>
      <c r="Q396" s="5" t="s">
        <v>9213</v>
      </c>
      <c r="R396" s="5" t="s">
        <v>9214</v>
      </c>
      <c r="S396" s="5"/>
      <c r="T396" s="5"/>
    </row>
    <row r="397" spans="1:20" x14ac:dyDescent="0.25">
      <c r="A397" s="5" t="s">
        <v>9274</v>
      </c>
      <c r="B397" s="7" t="s">
        <v>8310</v>
      </c>
      <c r="C397" s="5" t="s">
        <v>11</v>
      </c>
      <c r="D397" s="5"/>
      <c r="F397" s="5"/>
      <c r="G397" s="7">
        <v>59</v>
      </c>
      <c r="H397" s="5" t="s">
        <v>9231</v>
      </c>
      <c r="I397" s="5" t="str">
        <f t="shared" si="6"/>
        <v>fate396349</v>
      </c>
      <c r="J397" s="6" t="s">
        <v>9253</v>
      </c>
      <c r="K397" s="6">
        <v>34</v>
      </c>
      <c r="L397" s="6">
        <v>9</v>
      </c>
      <c r="M397" s="6"/>
      <c r="N397" s="6"/>
      <c r="P397" s="5" t="s">
        <v>9212</v>
      </c>
      <c r="Q397" s="5" t="s">
        <v>9213</v>
      </c>
      <c r="R397" s="5" t="s">
        <v>9214</v>
      </c>
      <c r="S397" s="5"/>
      <c r="T397" s="5"/>
    </row>
    <row r="398" spans="1:20" x14ac:dyDescent="0.25">
      <c r="A398" s="5" t="s">
        <v>9280</v>
      </c>
      <c r="B398" s="7" t="s">
        <v>8310</v>
      </c>
      <c r="C398" s="5" t="s">
        <v>11</v>
      </c>
      <c r="D398" s="5"/>
      <c r="F398" s="5"/>
      <c r="G398" s="7">
        <v>59</v>
      </c>
      <c r="H398" s="5" t="s">
        <v>9231</v>
      </c>
      <c r="I398" s="5" t="str">
        <f t="shared" si="6"/>
        <v>fate3971218</v>
      </c>
      <c r="J398" s="6" t="s">
        <v>9261</v>
      </c>
      <c r="K398" s="6">
        <v>12</v>
      </c>
      <c r="L398" s="6">
        <v>18</v>
      </c>
      <c r="M398" s="6"/>
      <c r="N398" s="6"/>
      <c r="P398" s="5" t="s">
        <v>9212</v>
      </c>
      <c r="Q398" s="5" t="s">
        <v>9213</v>
      </c>
      <c r="R398" s="5" t="s">
        <v>9214</v>
      </c>
      <c r="S398" s="5"/>
      <c r="T398" s="5"/>
    </row>
    <row r="399" spans="1:20" x14ac:dyDescent="0.25">
      <c r="A399" s="5" t="s">
        <v>9282</v>
      </c>
      <c r="B399" s="7" t="s">
        <v>8310</v>
      </c>
      <c r="C399" s="5" t="s">
        <v>11</v>
      </c>
      <c r="D399" s="5"/>
      <c r="F399" s="5"/>
      <c r="G399" s="7">
        <v>59</v>
      </c>
      <c r="H399" s="5" t="s">
        <v>9231</v>
      </c>
      <c r="I399" s="5" t="str">
        <f t="shared" si="6"/>
        <v>fate3982838</v>
      </c>
      <c r="J399" s="6" t="s">
        <v>9263</v>
      </c>
      <c r="K399" s="6">
        <v>28</v>
      </c>
      <c r="L399" s="6">
        <v>38</v>
      </c>
      <c r="M399" s="6"/>
      <c r="N399" s="6"/>
      <c r="P399" s="5" t="s">
        <v>9212</v>
      </c>
      <c r="Q399" s="5" t="s">
        <v>9213</v>
      </c>
      <c r="R399" s="5" t="s">
        <v>9214</v>
      </c>
      <c r="S399" s="5"/>
      <c r="T399" s="5"/>
    </row>
    <row r="400" spans="1:20" x14ac:dyDescent="0.25">
      <c r="A400" s="5" t="s">
        <v>9284</v>
      </c>
      <c r="B400" s="7" t="s">
        <v>8310</v>
      </c>
      <c r="C400" s="5" t="s">
        <v>11</v>
      </c>
      <c r="D400" s="5"/>
      <c r="F400" s="5"/>
      <c r="G400" s="7">
        <v>59</v>
      </c>
      <c r="H400" s="5" t="s">
        <v>9231</v>
      </c>
      <c r="I400" s="5" t="str">
        <f t="shared" si="6"/>
        <v>fate3993629</v>
      </c>
      <c r="J400" s="6" t="s">
        <v>9265</v>
      </c>
      <c r="K400" s="6">
        <v>36</v>
      </c>
      <c r="L400" s="6">
        <v>29</v>
      </c>
      <c r="M400" s="6"/>
      <c r="N400" s="6"/>
      <c r="P400" s="5" t="s">
        <v>9212</v>
      </c>
      <c r="Q400" s="5" t="s">
        <v>9213</v>
      </c>
      <c r="R400" s="5" t="s">
        <v>9214</v>
      </c>
      <c r="S400" s="5"/>
      <c r="T400" s="5"/>
    </row>
    <row r="401" spans="1:22" x14ac:dyDescent="0.25">
      <c r="A401" s="5" t="s">
        <v>9286</v>
      </c>
      <c r="B401" s="7" t="s">
        <v>8310</v>
      </c>
      <c r="C401" s="5" t="s">
        <v>11</v>
      </c>
      <c r="D401" s="5"/>
      <c r="F401" s="5"/>
      <c r="G401" s="7">
        <v>59</v>
      </c>
      <c r="H401" s="5" t="s">
        <v>9231</v>
      </c>
      <c r="I401" s="5" t="str">
        <f t="shared" si="6"/>
        <v>fate400197</v>
      </c>
      <c r="J401" s="6" t="s">
        <v>9269</v>
      </c>
      <c r="K401" s="6">
        <v>19</v>
      </c>
      <c r="L401" s="6">
        <v>7</v>
      </c>
      <c r="M401" s="6"/>
      <c r="N401" s="6"/>
      <c r="P401" s="5" t="s">
        <v>9212</v>
      </c>
      <c r="Q401" s="5" t="s">
        <v>9213</v>
      </c>
      <c r="R401" s="5" t="s">
        <v>9214</v>
      </c>
      <c r="S401" s="5"/>
      <c r="T401" s="5"/>
    </row>
    <row r="402" spans="1:22" x14ac:dyDescent="0.25">
      <c r="A402" s="5" t="s">
        <v>9288</v>
      </c>
      <c r="B402" s="7" t="s">
        <v>8310</v>
      </c>
      <c r="C402" s="5" t="s">
        <v>11</v>
      </c>
      <c r="D402" s="5"/>
      <c r="F402" s="5"/>
      <c r="G402" s="7">
        <v>59</v>
      </c>
      <c r="H402" s="5" t="s">
        <v>9231</v>
      </c>
      <c r="I402" s="5" t="str">
        <f t="shared" si="6"/>
        <v>fate401634</v>
      </c>
      <c r="J402" s="6" t="s">
        <v>9273</v>
      </c>
      <c r="K402" s="6">
        <v>6</v>
      </c>
      <c r="L402" s="6">
        <v>34</v>
      </c>
      <c r="M402" s="6"/>
      <c r="N402" s="6"/>
      <c r="P402" s="5" t="s">
        <v>9212</v>
      </c>
      <c r="Q402" s="5" t="s">
        <v>9213</v>
      </c>
      <c r="R402" s="5" t="s">
        <v>9214</v>
      </c>
      <c r="S402" s="5"/>
      <c r="T402" s="5"/>
    </row>
    <row r="403" spans="1:22" x14ac:dyDescent="0.25">
      <c r="A403" s="5" t="s">
        <v>9290</v>
      </c>
      <c r="B403" s="7" t="s">
        <v>8346</v>
      </c>
      <c r="C403" s="5" t="s">
        <v>11</v>
      </c>
      <c r="D403" s="5"/>
      <c r="F403" s="5"/>
      <c r="G403" s="7">
        <v>59</v>
      </c>
      <c r="H403" s="5" t="s">
        <v>9231</v>
      </c>
      <c r="I403" s="5" t="str">
        <f t="shared" si="6"/>
        <v>fate4021818</v>
      </c>
      <c r="J403" s="6" t="s">
        <v>9233</v>
      </c>
      <c r="K403" s="6">
        <v>18.100000000000001</v>
      </c>
      <c r="L403" s="6">
        <v>18.5</v>
      </c>
      <c r="M403" s="6"/>
      <c r="N403" s="6"/>
      <c r="P403" s="5" t="s">
        <v>9212</v>
      </c>
      <c r="Q403" s="5" t="s">
        <v>9213</v>
      </c>
      <c r="R403" s="5" t="s">
        <v>9214</v>
      </c>
      <c r="S403" s="5"/>
      <c r="T403" s="5"/>
    </row>
    <row r="404" spans="1:22" x14ac:dyDescent="0.25">
      <c r="A404" s="5" t="s">
        <v>9292</v>
      </c>
      <c r="B404" s="7" t="s">
        <v>10503</v>
      </c>
      <c r="C404" s="5" t="s">
        <v>11</v>
      </c>
      <c r="D404" s="1" t="s">
        <v>10885</v>
      </c>
      <c r="F404" s="5"/>
      <c r="G404" s="7">
        <v>59</v>
      </c>
      <c r="H404" s="5" t="s">
        <v>9231</v>
      </c>
      <c r="I404" s="5" t="str">
        <f t="shared" si="6"/>
        <v>fate4031233</v>
      </c>
      <c r="J404" s="6" t="s">
        <v>9237</v>
      </c>
      <c r="K404" s="6">
        <v>12</v>
      </c>
      <c r="L404" s="6">
        <v>33</v>
      </c>
      <c r="M404" s="6"/>
      <c r="N404" s="6"/>
      <c r="P404" s="5" t="s">
        <v>9212</v>
      </c>
      <c r="Q404" s="5" t="s">
        <v>9213</v>
      </c>
      <c r="R404" s="5" t="s">
        <v>9214</v>
      </c>
      <c r="S404" s="5"/>
      <c r="T404" s="5"/>
    </row>
    <row r="405" spans="1:22" x14ac:dyDescent="0.25">
      <c r="A405" s="5" t="s">
        <v>9294</v>
      </c>
      <c r="B405" s="7" t="s">
        <v>10503</v>
      </c>
      <c r="C405" s="5" t="s">
        <v>11</v>
      </c>
      <c r="D405" s="1" t="s">
        <v>10882</v>
      </c>
      <c r="F405" s="5"/>
      <c r="G405" s="7">
        <v>59</v>
      </c>
      <c r="H405" s="5" t="s">
        <v>9231</v>
      </c>
      <c r="I405" s="5" t="str">
        <f t="shared" si="6"/>
        <v>fate4049521</v>
      </c>
      <c r="J405" s="6" t="s">
        <v>9247</v>
      </c>
      <c r="K405" s="6">
        <v>9.5</v>
      </c>
      <c r="L405" s="6">
        <v>21.3</v>
      </c>
      <c r="M405" s="6"/>
      <c r="N405" s="6"/>
      <c r="P405" s="5" t="s">
        <v>9212</v>
      </c>
      <c r="Q405" s="5" t="s">
        <v>9213</v>
      </c>
      <c r="R405" s="5" t="s">
        <v>9214</v>
      </c>
      <c r="S405" s="5"/>
      <c r="T405" s="5"/>
      <c r="V405" s="5"/>
    </row>
    <row r="406" spans="1:22" x14ac:dyDescent="0.25">
      <c r="A406" s="5" t="s">
        <v>9296</v>
      </c>
      <c r="B406" s="7" t="s">
        <v>10503</v>
      </c>
      <c r="C406" s="5" t="s">
        <v>11</v>
      </c>
      <c r="D406" s="1" t="s">
        <v>10887</v>
      </c>
      <c r="F406" s="5"/>
      <c r="G406" s="7">
        <v>59</v>
      </c>
      <c r="H406" s="5" t="s">
        <v>9231</v>
      </c>
      <c r="I406" s="5" t="str">
        <f t="shared" si="6"/>
        <v>fate4051213</v>
      </c>
      <c r="J406" s="6" t="s">
        <v>9251</v>
      </c>
      <c r="K406" s="6">
        <v>12</v>
      </c>
      <c r="L406" s="6">
        <v>13</v>
      </c>
      <c r="M406" s="6"/>
      <c r="N406" s="6"/>
      <c r="P406" s="5" t="s">
        <v>9212</v>
      </c>
      <c r="Q406" s="5" t="s">
        <v>9213</v>
      </c>
      <c r="R406" s="5" t="s">
        <v>9214</v>
      </c>
      <c r="S406" s="5"/>
      <c r="T406" s="5"/>
      <c r="V406" s="5"/>
    </row>
    <row r="407" spans="1:22" x14ac:dyDescent="0.25">
      <c r="A407" s="5" t="s">
        <v>9298</v>
      </c>
      <c r="B407" s="7" t="s">
        <v>10503</v>
      </c>
      <c r="C407" s="5" t="s">
        <v>11</v>
      </c>
      <c r="D407" s="1" t="s">
        <v>10888</v>
      </c>
      <c r="F407" s="5"/>
      <c r="G407" s="7">
        <v>59</v>
      </c>
      <c r="H407" s="5" t="s">
        <v>9231</v>
      </c>
      <c r="I407" s="5" t="str">
        <f t="shared" si="6"/>
        <v>fate4063512</v>
      </c>
      <c r="J407" s="6" t="s">
        <v>9255</v>
      </c>
      <c r="K407" s="6">
        <v>35</v>
      </c>
      <c r="L407" s="6">
        <v>12</v>
      </c>
      <c r="M407" s="6"/>
      <c r="N407" s="6"/>
      <c r="P407" s="5" t="s">
        <v>9212</v>
      </c>
      <c r="Q407" s="5" t="s">
        <v>9213</v>
      </c>
      <c r="R407" s="5" t="s">
        <v>9214</v>
      </c>
      <c r="S407" s="5"/>
      <c r="T407" s="5"/>
    </row>
    <row r="408" spans="1:22" x14ac:dyDescent="0.25">
      <c r="A408" s="5" t="s">
        <v>9300</v>
      </c>
      <c r="B408" s="7" t="s">
        <v>10503</v>
      </c>
      <c r="C408" s="5" t="s">
        <v>11</v>
      </c>
      <c r="D408" s="1" t="s">
        <v>10884</v>
      </c>
      <c r="F408" s="5"/>
      <c r="G408" s="7">
        <v>59</v>
      </c>
      <c r="H408" s="5" t="s">
        <v>9231</v>
      </c>
      <c r="I408" s="5" t="str">
        <f t="shared" si="6"/>
        <v>fate4071812</v>
      </c>
      <c r="J408" s="6" t="s">
        <v>9259</v>
      </c>
      <c r="K408" s="6">
        <v>18</v>
      </c>
      <c r="L408" s="6">
        <v>12</v>
      </c>
      <c r="M408" s="6"/>
      <c r="N408" s="6"/>
      <c r="P408" s="5" t="s">
        <v>9212</v>
      </c>
      <c r="Q408" s="5" t="s">
        <v>9213</v>
      </c>
      <c r="R408" s="5" t="s">
        <v>9214</v>
      </c>
      <c r="S408" s="5"/>
      <c r="T408" s="5"/>
    </row>
    <row r="409" spans="1:22" x14ac:dyDescent="0.25">
      <c r="A409" s="5" t="s">
        <v>9302</v>
      </c>
      <c r="B409" s="7" t="s">
        <v>10503</v>
      </c>
      <c r="C409" s="5" t="s">
        <v>11</v>
      </c>
      <c r="D409" s="1" t="s">
        <v>10883</v>
      </c>
      <c r="F409" s="5"/>
      <c r="G409" s="7">
        <v>59</v>
      </c>
      <c r="H409" s="5" t="s">
        <v>9231</v>
      </c>
      <c r="I409" s="5" t="str">
        <f t="shared" si="6"/>
        <v>fate408307</v>
      </c>
      <c r="J409" s="6" t="s">
        <v>9271</v>
      </c>
      <c r="K409" s="6">
        <v>30</v>
      </c>
      <c r="L409" s="6">
        <v>7</v>
      </c>
      <c r="M409" s="6"/>
      <c r="N409" s="6"/>
      <c r="P409" s="5" t="s">
        <v>9212</v>
      </c>
      <c r="Q409" s="5" t="s">
        <v>9213</v>
      </c>
      <c r="R409" s="5" t="s">
        <v>9214</v>
      </c>
      <c r="S409" s="5"/>
      <c r="T409" s="5"/>
    </row>
    <row r="410" spans="1:22" x14ac:dyDescent="0.25">
      <c r="A410" s="5" t="s">
        <v>9304</v>
      </c>
      <c r="B410" s="7" t="s">
        <v>8310</v>
      </c>
      <c r="C410" s="5" t="s">
        <v>11</v>
      </c>
      <c r="D410" s="5"/>
      <c r="E410" s="5">
        <v>21</v>
      </c>
      <c r="F410" s="5">
        <v>1</v>
      </c>
      <c r="G410" s="7">
        <v>59</v>
      </c>
      <c r="H410" s="5" t="s">
        <v>9231</v>
      </c>
      <c r="I410" s="5" t="str">
        <f t="shared" si="6"/>
        <v>fate4093436</v>
      </c>
      <c r="J410" s="6" t="s">
        <v>9257</v>
      </c>
      <c r="K410" s="6">
        <v>34</v>
      </c>
      <c r="L410" s="6">
        <v>36</v>
      </c>
      <c r="M410" s="6"/>
      <c r="N410" s="6"/>
      <c r="P410" s="5" t="s">
        <v>9212</v>
      </c>
      <c r="Q410" s="5" t="s">
        <v>9213</v>
      </c>
      <c r="R410" s="5" t="s">
        <v>9214</v>
      </c>
      <c r="S410" s="5"/>
      <c r="T410" s="5"/>
    </row>
    <row r="411" spans="1:22" x14ac:dyDescent="0.25">
      <c r="A411" s="5" t="s">
        <v>9309</v>
      </c>
      <c r="B411" s="7" t="s">
        <v>10503</v>
      </c>
      <c r="C411" s="5" t="s">
        <v>11</v>
      </c>
      <c r="D411" s="1" t="s">
        <v>10886</v>
      </c>
      <c r="E411" s="5">
        <v>21</v>
      </c>
      <c r="F411" s="5">
        <v>2</v>
      </c>
      <c r="G411" s="7">
        <v>59</v>
      </c>
      <c r="H411" s="5" t="s">
        <v>9231</v>
      </c>
      <c r="I411" s="5" t="str">
        <f t="shared" si="6"/>
        <v>fate4103436</v>
      </c>
      <c r="J411" s="6" t="s">
        <v>9267</v>
      </c>
      <c r="K411" s="6">
        <v>34</v>
      </c>
      <c r="L411" s="6">
        <v>36</v>
      </c>
      <c r="M411" s="6"/>
      <c r="N411" s="6"/>
      <c r="P411" s="5" t="s">
        <v>9212</v>
      </c>
      <c r="Q411" s="5" t="s">
        <v>9213</v>
      </c>
      <c r="R411" s="5" t="s">
        <v>9214</v>
      </c>
      <c r="S411" s="5"/>
      <c r="T411" s="5"/>
    </row>
    <row r="412" spans="1:22" x14ac:dyDescent="0.25">
      <c r="A412" s="5" t="s">
        <v>9311</v>
      </c>
      <c r="B412" s="7" t="s">
        <v>10668</v>
      </c>
      <c r="C412" s="5" t="s">
        <v>11</v>
      </c>
      <c r="D412" s="5" t="s">
        <v>10517</v>
      </c>
      <c r="F412" s="5"/>
      <c r="G412" s="7">
        <v>59</v>
      </c>
      <c r="H412" s="5" t="s">
        <v>733</v>
      </c>
      <c r="I412" s="5" t="str">
        <f t="shared" si="6"/>
        <v>fate4113818</v>
      </c>
      <c r="J412" s="5" t="s">
        <v>9241</v>
      </c>
      <c r="K412" s="5">
        <v>38</v>
      </c>
      <c r="L412" s="5">
        <v>18</v>
      </c>
      <c r="M412" s="5"/>
      <c r="N412" s="5"/>
      <c r="O412" s="1" t="s">
        <v>10672</v>
      </c>
      <c r="P412" s="11">
        <v>12109</v>
      </c>
      <c r="Q412" s="5">
        <v>118</v>
      </c>
      <c r="R412" s="5">
        <v>339</v>
      </c>
      <c r="S412" s="5"/>
      <c r="T412" s="5" t="s">
        <v>10730</v>
      </c>
      <c r="U412" s="1" t="s">
        <v>10907</v>
      </c>
      <c r="V412" s="1" t="s">
        <v>10673</v>
      </c>
    </row>
    <row r="413" spans="1:22" x14ac:dyDescent="0.25">
      <c r="A413" s="5" t="s">
        <v>9313</v>
      </c>
      <c r="B413" s="7" t="s">
        <v>10668</v>
      </c>
      <c r="C413" s="5" t="s">
        <v>11</v>
      </c>
      <c r="D413" s="5" t="s">
        <v>10517</v>
      </c>
      <c r="F413" s="5"/>
      <c r="G413" s="7">
        <v>59</v>
      </c>
      <c r="H413" s="5" t="s">
        <v>733</v>
      </c>
      <c r="I413" s="5" t="str">
        <f t="shared" si="6"/>
        <v>fate412620</v>
      </c>
      <c r="J413" s="5" t="s">
        <v>9241</v>
      </c>
      <c r="K413" s="5">
        <v>6</v>
      </c>
      <c r="L413" s="5">
        <v>20</v>
      </c>
      <c r="M413" s="5"/>
      <c r="N413" s="5"/>
      <c r="O413" s="1" t="s">
        <v>10672</v>
      </c>
      <c r="P413" s="11">
        <v>12109</v>
      </c>
      <c r="Q413" s="5">
        <v>118</v>
      </c>
      <c r="R413" s="5">
        <v>339</v>
      </c>
      <c r="S413" s="5"/>
      <c r="T413" s="5" t="s">
        <v>10730</v>
      </c>
      <c r="U413" s="1" t="s">
        <v>10907</v>
      </c>
      <c r="V413" s="1" t="s">
        <v>10673</v>
      </c>
    </row>
    <row r="414" spans="1:22" x14ac:dyDescent="0.25">
      <c r="A414" s="5" t="s">
        <v>9315</v>
      </c>
      <c r="B414" s="7" t="s">
        <v>10668</v>
      </c>
      <c r="C414" s="5" t="s">
        <v>11</v>
      </c>
      <c r="D414" s="5" t="s">
        <v>10517</v>
      </c>
      <c r="F414" s="5"/>
      <c r="G414" s="7">
        <v>59</v>
      </c>
      <c r="H414" s="5" t="s">
        <v>733</v>
      </c>
      <c r="I414" s="5" t="str">
        <f t="shared" si="6"/>
        <v>fate413275</v>
      </c>
      <c r="J414" s="5" t="s">
        <v>9241</v>
      </c>
      <c r="K414" s="5">
        <v>27</v>
      </c>
      <c r="L414" s="5">
        <v>5</v>
      </c>
      <c r="M414" s="5"/>
      <c r="N414" s="5"/>
      <c r="O414" s="1" t="s">
        <v>10672</v>
      </c>
      <c r="P414" s="11">
        <v>12109</v>
      </c>
      <c r="Q414" s="5">
        <v>118</v>
      </c>
      <c r="R414" s="5">
        <v>339</v>
      </c>
      <c r="S414" s="5"/>
      <c r="T414" s="5" t="s">
        <v>10730</v>
      </c>
      <c r="U414" s="1" t="s">
        <v>10907</v>
      </c>
      <c r="V414" s="1" t="s">
        <v>10673</v>
      </c>
    </row>
    <row r="415" spans="1:22" x14ac:dyDescent="0.25">
      <c r="A415" s="5" t="s">
        <v>9317</v>
      </c>
      <c r="B415" s="7" t="s">
        <v>10668</v>
      </c>
      <c r="C415" s="5" t="s">
        <v>11</v>
      </c>
      <c r="D415" s="5" t="s">
        <v>10517</v>
      </c>
      <c r="F415" s="5"/>
      <c r="G415" s="7">
        <v>59</v>
      </c>
      <c r="H415" s="5" t="s">
        <v>733</v>
      </c>
      <c r="I415" s="5" t="str">
        <f t="shared" si="6"/>
        <v>fate4143818</v>
      </c>
      <c r="J415" s="5" t="s">
        <v>9241</v>
      </c>
      <c r="K415" s="5">
        <v>38.9</v>
      </c>
      <c r="L415" s="5">
        <v>18.3</v>
      </c>
      <c r="M415" s="5"/>
      <c r="N415" s="5"/>
      <c r="O415" s="1" t="s">
        <v>10672</v>
      </c>
      <c r="P415" s="11">
        <v>12109</v>
      </c>
      <c r="Q415" s="5">
        <v>118</v>
      </c>
      <c r="R415" s="5">
        <v>339</v>
      </c>
      <c r="S415" s="5"/>
      <c r="T415" s="5" t="s">
        <v>10730</v>
      </c>
      <c r="U415" s="1" t="s">
        <v>10907</v>
      </c>
      <c r="V415" s="1" t="s">
        <v>10673</v>
      </c>
    </row>
    <row r="416" spans="1:22" x14ac:dyDescent="0.25">
      <c r="A416" s="5" t="s">
        <v>9319</v>
      </c>
      <c r="B416" s="7" t="s">
        <v>8310</v>
      </c>
      <c r="C416" s="5" t="s">
        <v>11</v>
      </c>
      <c r="D416" s="5"/>
      <c r="F416" s="5"/>
      <c r="G416" s="7">
        <v>52</v>
      </c>
      <c r="H416" s="5" t="s">
        <v>9276</v>
      </c>
      <c r="I416" s="5" t="str">
        <f t="shared" si="6"/>
        <v>fate4152613</v>
      </c>
      <c r="J416" s="6" t="s">
        <v>9275</v>
      </c>
      <c r="K416" s="6">
        <v>26</v>
      </c>
      <c r="L416" s="6">
        <v>13</v>
      </c>
      <c r="M416" s="6"/>
      <c r="N416" s="6"/>
      <c r="P416" s="5" t="s">
        <v>9277</v>
      </c>
      <c r="Q416" s="5" t="s">
        <v>9278</v>
      </c>
      <c r="R416" s="5" t="s">
        <v>9279</v>
      </c>
      <c r="S416" s="5"/>
      <c r="T416" s="5"/>
    </row>
    <row r="417" spans="1:20" x14ac:dyDescent="0.25">
      <c r="A417" s="5" t="s">
        <v>9321</v>
      </c>
      <c r="B417" s="7" t="s">
        <v>8310</v>
      </c>
      <c r="C417" s="5" t="s">
        <v>11</v>
      </c>
      <c r="D417" s="5"/>
      <c r="F417" s="5"/>
      <c r="G417" s="7">
        <v>52</v>
      </c>
      <c r="H417" s="5" t="s">
        <v>9276</v>
      </c>
      <c r="I417" s="5" t="str">
        <f t="shared" si="6"/>
        <v>fate4163016</v>
      </c>
      <c r="J417" s="6" t="s">
        <v>9295</v>
      </c>
      <c r="K417" s="6">
        <v>30</v>
      </c>
      <c r="L417" s="6">
        <v>16</v>
      </c>
      <c r="M417" s="6"/>
      <c r="N417" s="6"/>
      <c r="P417" s="5" t="s">
        <v>9277</v>
      </c>
      <c r="Q417" s="5" t="s">
        <v>9278</v>
      </c>
      <c r="R417" s="5" t="s">
        <v>9279</v>
      </c>
      <c r="S417" s="5"/>
      <c r="T417" s="5"/>
    </row>
    <row r="418" spans="1:20" x14ac:dyDescent="0.25">
      <c r="A418" s="5" t="s">
        <v>9323</v>
      </c>
      <c r="B418" s="7" t="s">
        <v>8310</v>
      </c>
      <c r="C418" s="5" t="s">
        <v>11</v>
      </c>
      <c r="D418" s="5"/>
      <c r="F418" s="5"/>
      <c r="G418" s="7">
        <v>52</v>
      </c>
      <c r="H418" s="5" t="s">
        <v>9276</v>
      </c>
      <c r="I418" s="5" t="str">
        <f t="shared" si="6"/>
        <v>fate4172420</v>
      </c>
      <c r="J418" s="6" t="s">
        <v>9299</v>
      </c>
      <c r="K418" s="6">
        <v>24</v>
      </c>
      <c r="L418" s="6">
        <v>20</v>
      </c>
      <c r="M418" s="6"/>
      <c r="N418" s="6"/>
      <c r="P418" s="5" t="s">
        <v>9277</v>
      </c>
      <c r="Q418" s="5" t="s">
        <v>9278</v>
      </c>
      <c r="R418" s="5" t="s">
        <v>9279</v>
      </c>
      <c r="S418" s="5"/>
      <c r="T418" s="5"/>
    </row>
    <row r="419" spans="1:20" x14ac:dyDescent="0.25">
      <c r="A419" s="5" t="s">
        <v>9325</v>
      </c>
      <c r="B419" s="7" t="s">
        <v>8310</v>
      </c>
      <c r="C419" s="5" t="s">
        <v>11</v>
      </c>
      <c r="D419" s="5"/>
      <c r="F419" s="5"/>
      <c r="G419" s="7">
        <v>52</v>
      </c>
      <c r="H419" s="5" t="s">
        <v>9276</v>
      </c>
      <c r="I419" s="5" t="str">
        <f t="shared" si="6"/>
        <v>fate4183526</v>
      </c>
      <c r="J419" s="6" t="s">
        <v>9301</v>
      </c>
      <c r="K419" s="6">
        <v>35</v>
      </c>
      <c r="L419" s="6">
        <v>26</v>
      </c>
      <c r="M419" s="6"/>
      <c r="N419" s="6"/>
      <c r="P419" s="5" t="s">
        <v>9277</v>
      </c>
      <c r="Q419" s="5" t="s">
        <v>9278</v>
      </c>
      <c r="R419" s="5" t="s">
        <v>9279</v>
      </c>
      <c r="S419" s="5"/>
      <c r="T419" s="5"/>
    </row>
    <row r="420" spans="1:20" x14ac:dyDescent="0.25">
      <c r="A420" s="5" t="s">
        <v>9331</v>
      </c>
      <c r="B420" s="7" t="s">
        <v>8310</v>
      </c>
      <c r="C420" s="5" t="s">
        <v>11</v>
      </c>
      <c r="D420" s="5"/>
      <c r="F420" s="5"/>
      <c r="G420" s="7">
        <v>52</v>
      </c>
      <c r="H420" s="5" t="s">
        <v>9276</v>
      </c>
      <c r="I420" s="5" t="str">
        <f t="shared" si="6"/>
        <v>fate4192633</v>
      </c>
      <c r="J420" s="6" t="s">
        <v>9303</v>
      </c>
      <c r="K420" s="6">
        <v>26</v>
      </c>
      <c r="L420" s="6">
        <v>33</v>
      </c>
      <c r="M420" s="6"/>
      <c r="N420" s="6"/>
      <c r="P420" s="5" t="s">
        <v>9277</v>
      </c>
      <c r="Q420" s="5" t="s">
        <v>9278</v>
      </c>
      <c r="R420" s="5" t="s">
        <v>9279</v>
      </c>
      <c r="S420" s="5"/>
      <c r="T420" s="5"/>
    </row>
    <row r="421" spans="1:20" x14ac:dyDescent="0.25">
      <c r="A421" s="5" t="s">
        <v>9333</v>
      </c>
      <c r="B421" s="7" t="s">
        <v>8310</v>
      </c>
      <c r="C421" s="5" t="s">
        <v>11</v>
      </c>
      <c r="D421" s="5"/>
      <c r="F421" s="5"/>
      <c r="G421" s="7">
        <v>53</v>
      </c>
      <c r="H421" s="5" t="s">
        <v>9276</v>
      </c>
      <c r="I421" s="5" t="str">
        <f t="shared" si="6"/>
        <v>fate4201927</v>
      </c>
      <c r="J421" s="6" t="s">
        <v>9305</v>
      </c>
      <c r="K421" s="6">
        <v>19</v>
      </c>
      <c r="L421" s="6">
        <v>27</v>
      </c>
      <c r="M421" s="6"/>
      <c r="N421" s="6"/>
      <c r="P421" s="5" t="s">
        <v>9306</v>
      </c>
      <c r="Q421" s="5" t="s">
        <v>9307</v>
      </c>
      <c r="R421" s="5" t="s">
        <v>9308</v>
      </c>
      <c r="S421" s="5"/>
      <c r="T421" s="5"/>
    </row>
    <row r="422" spans="1:20" x14ac:dyDescent="0.25">
      <c r="A422" s="5" t="s">
        <v>9335</v>
      </c>
      <c r="B422" s="7" t="s">
        <v>8310</v>
      </c>
      <c r="C422" s="5" t="s">
        <v>11</v>
      </c>
      <c r="D422" s="5"/>
      <c r="F422" s="5"/>
      <c r="G422" s="7">
        <v>53</v>
      </c>
      <c r="H422" s="5" t="s">
        <v>9276</v>
      </c>
      <c r="I422" s="5" t="str">
        <f t="shared" si="6"/>
        <v>fate4212233</v>
      </c>
      <c r="J422" s="6" t="s">
        <v>9312</v>
      </c>
      <c r="K422" s="6">
        <v>22</v>
      </c>
      <c r="L422" s="6">
        <v>33</v>
      </c>
      <c r="M422" s="6"/>
      <c r="N422" s="6"/>
      <c r="P422" s="5" t="s">
        <v>9306</v>
      </c>
      <c r="Q422" s="5" t="s">
        <v>9307</v>
      </c>
      <c r="R422" s="5" t="s">
        <v>9308</v>
      </c>
      <c r="S422" s="5"/>
      <c r="T422" s="5"/>
    </row>
    <row r="423" spans="1:20" x14ac:dyDescent="0.25">
      <c r="A423" s="5" t="s">
        <v>9337</v>
      </c>
      <c r="B423" s="7" t="s">
        <v>8310</v>
      </c>
      <c r="C423" s="5" t="s">
        <v>11</v>
      </c>
      <c r="D423" s="5"/>
      <c r="F423" s="5"/>
      <c r="G423" s="7">
        <v>53</v>
      </c>
      <c r="H423" s="5" t="s">
        <v>9276</v>
      </c>
      <c r="I423" s="5" t="str">
        <f t="shared" si="6"/>
        <v>fate4221520</v>
      </c>
      <c r="J423" s="6" t="s">
        <v>9314</v>
      </c>
      <c r="K423" s="6">
        <v>15</v>
      </c>
      <c r="L423" s="6">
        <v>20</v>
      </c>
      <c r="M423" s="6"/>
      <c r="N423" s="6"/>
      <c r="P423" s="5" t="s">
        <v>9306</v>
      </c>
      <c r="Q423" s="5" t="s">
        <v>9307</v>
      </c>
      <c r="R423" s="5" t="s">
        <v>9308</v>
      </c>
      <c r="S423" s="5"/>
      <c r="T423" s="5"/>
    </row>
    <row r="424" spans="1:20" x14ac:dyDescent="0.25">
      <c r="A424" s="5" t="s">
        <v>9339</v>
      </c>
      <c r="B424" s="7" t="s">
        <v>8310</v>
      </c>
      <c r="C424" s="5" t="s">
        <v>11</v>
      </c>
      <c r="D424" s="5"/>
      <c r="F424" s="5"/>
      <c r="G424" s="7">
        <v>53</v>
      </c>
      <c r="H424" s="5" t="s">
        <v>9276</v>
      </c>
      <c r="I424" s="5" t="str">
        <f t="shared" si="6"/>
        <v>fate4231318</v>
      </c>
      <c r="J424" s="6" t="s">
        <v>9320</v>
      </c>
      <c r="K424" s="6">
        <v>13</v>
      </c>
      <c r="L424" s="6">
        <v>18</v>
      </c>
      <c r="M424" s="6"/>
      <c r="N424" s="6"/>
      <c r="P424" s="5" t="s">
        <v>9306</v>
      </c>
      <c r="Q424" s="5" t="s">
        <v>9307</v>
      </c>
      <c r="R424" s="5" t="s">
        <v>9308</v>
      </c>
      <c r="S424" s="5"/>
      <c r="T424" s="5"/>
    </row>
    <row r="425" spans="1:20" x14ac:dyDescent="0.25">
      <c r="A425" s="5" t="s">
        <v>9341</v>
      </c>
      <c r="B425" s="7" t="s">
        <v>8310</v>
      </c>
      <c r="C425" s="5" t="s">
        <v>11</v>
      </c>
      <c r="D425" s="5"/>
      <c r="F425" s="5"/>
      <c r="G425" s="7">
        <v>57</v>
      </c>
      <c r="H425" s="5" t="s">
        <v>9276</v>
      </c>
      <c r="I425" s="5" t="str">
        <f t="shared" si="6"/>
        <v>fate424278</v>
      </c>
      <c r="J425" s="6" t="s">
        <v>9322</v>
      </c>
      <c r="K425" s="6">
        <v>27</v>
      </c>
      <c r="L425" s="6">
        <v>8</v>
      </c>
      <c r="M425" s="6"/>
      <c r="N425" s="6"/>
      <c r="P425" s="5" t="s">
        <v>9193</v>
      </c>
      <c r="Q425" s="5" t="s">
        <v>9194</v>
      </c>
      <c r="R425" s="5" t="s">
        <v>9195</v>
      </c>
      <c r="S425" s="5"/>
      <c r="T425" s="5"/>
    </row>
    <row r="426" spans="1:20" x14ac:dyDescent="0.25">
      <c r="A426" s="5" t="s">
        <v>9343</v>
      </c>
      <c r="B426" s="7" t="s">
        <v>8346</v>
      </c>
      <c r="C426" s="5" t="s">
        <v>11</v>
      </c>
      <c r="D426" s="5"/>
      <c r="F426" s="5"/>
      <c r="G426" s="7">
        <v>52</v>
      </c>
      <c r="H426" s="5" t="s">
        <v>9276</v>
      </c>
      <c r="I426" s="5" t="str">
        <f t="shared" si="6"/>
        <v>fate4253517</v>
      </c>
      <c r="J426" s="6" t="s">
        <v>9283</v>
      </c>
      <c r="K426" s="6">
        <v>35</v>
      </c>
      <c r="L426" s="6">
        <v>17</v>
      </c>
      <c r="M426" s="6"/>
      <c r="N426" s="6"/>
      <c r="P426" s="5" t="s">
        <v>9277</v>
      </c>
      <c r="Q426" s="5" t="s">
        <v>9278</v>
      </c>
      <c r="R426" s="5" t="s">
        <v>9279</v>
      </c>
      <c r="S426" s="5"/>
      <c r="T426" s="5"/>
    </row>
    <row r="427" spans="1:20" x14ac:dyDescent="0.25">
      <c r="A427" s="5" t="s">
        <v>9345</v>
      </c>
      <c r="B427" s="7" t="s">
        <v>8424</v>
      </c>
      <c r="C427" s="5" t="s">
        <v>11</v>
      </c>
      <c r="D427" s="5"/>
      <c r="F427" s="5"/>
      <c r="G427" s="7">
        <v>52</v>
      </c>
      <c r="H427" s="5" t="s">
        <v>9276</v>
      </c>
      <c r="I427" s="5" t="str">
        <f t="shared" si="6"/>
        <v>fate4263219</v>
      </c>
      <c r="J427" s="6" t="s">
        <v>9293</v>
      </c>
      <c r="K427" s="6">
        <v>32.799999999999997</v>
      </c>
      <c r="L427" s="6">
        <v>19.600000000000001</v>
      </c>
      <c r="M427" s="6"/>
      <c r="N427" s="6"/>
      <c r="P427" s="5" t="s">
        <v>9277</v>
      </c>
      <c r="Q427" s="5" t="s">
        <v>9278</v>
      </c>
      <c r="R427" s="5" t="s">
        <v>9279</v>
      </c>
      <c r="S427" s="5"/>
      <c r="T427" s="5"/>
    </row>
    <row r="428" spans="1:20" x14ac:dyDescent="0.25">
      <c r="A428" s="5" t="s">
        <v>9347</v>
      </c>
      <c r="B428" s="7" t="s">
        <v>10503</v>
      </c>
      <c r="C428" s="5" t="s">
        <v>11</v>
      </c>
      <c r="D428" s="1" t="s">
        <v>10891</v>
      </c>
      <c r="F428" s="5"/>
      <c r="G428" s="7">
        <v>52</v>
      </c>
      <c r="H428" s="5" t="s">
        <v>9276</v>
      </c>
      <c r="I428" s="5" t="str">
        <f t="shared" si="6"/>
        <v>fate427368</v>
      </c>
      <c r="J428" s="6" t="s">
        <v>9285</v>
      </c>
      <c r="K428" s="6">
        <v>36</v>
      </c>
      <c r="L428" s="6">
        <v>8</v>
      </c>
      <c r="M428" s="6"/>
      <c r="N428" s="6"/>
      <c r="P428" s="5" t="s">
        <v>9277</v>
      </c>
      <c r="Q428" s="5" t="s">
        <v>9278</v>
      </c>
      <c r="R428" s="5" t="s">
        <v>9279</v>
      </c>
      <c r="S428" s="5"/>
      <c r="T428" s="5"/>
    </row>
    <row r="429" spans="1:20" x14ac:dyDescent="0.25">
      <c r="A429" s="5" t="s">
        <v>9349</v>
      </c>
      <c r="B429" s="7" t="s">
        <v>10503</v>
      </c>
      <c r="C429" s="5" t="s">
        <v>11</v>
      </c>
      <c r="D429" s="1" t="s">
        <v>10890</v>
      </c>
      <c r="F429" s="5"/>
      <c r="G429" s="7">
        <v>52</v>
      </c>
      <c r="H429" s="5" t="s">
        <v>9276</v>
      </c>
      <c r="I429" s="5" t="str">
        <f t="shared" si="6"/>
        <v>fate4283431</v>
      </c>
      <c r="J429" s="6" t="s">
        <v>9289</v>
      </c>
      <c r="K429" s="6">
        <v>34</v>
      </c>
      <c r="L429" s="6">
        <v>31</v>
      </c>
      <c r="M429" s="6"/>
      <c r="N429" s="6"/>
      <c r="P429" s="5" t="s">
        <v>9277</v>
      </c>
      <c r="Q429" s="5" t="s">
        <v>9278</v>
      </c>
      <c r="R429" s="5" t="s">
        <v>9279</v>
      </c>
      <c r="S429" s="5"/>
      <c r="T429" s="5"/>
    </row>
    <row r="430" spans="1:20" x14ac:dyDescent="0.25">
      <c r="A430" s="5" t="s">
        <v>9351</v>
      </c>
      <c r="B430" s="7" t="s">
        <v>10503</v>
      </c>
      <c r="C430" s="5" t="s">
        <v>11</v>
      </c>
      <c r="D430" s="1" t="s">
        <v>10892</v>
      </c>
      <c r="F430" s="5"/>
      <c r="G430" s="7">
        <v>52</v>
      </c>
      <c r="H430" s="5" t="s">
        <v>9276</v>
      </c>
      <c r="I430" s="5" t="str">
        <f t="shared" si="6"/>
        <v>fate4292231</v>
      </c>
      <c r="J430" s="6" t="s">
        <v>9291</v>
      </c>
      <c r="K430" s="6">
        <v>22</v>
      </c>
      <c r="L430" s="6">
        <v>31</v>
      </c>
      <c r="M430" s="6"/>
      <c r="N430" s="6"/>
      <c r="P430" s="5" t="s">
        <v>9277</v>
      </c>
      <c r="Q430" s="5" t="s">
        <v>9278</v>
      </c>
      <c r="R430" s="5" t="s">
        <v>9279</v>
      </c>
      <c r="S430" s="5"/>
      <c r="T430" s="5"/>
    </row>
    <row r="431" spans="1:20" x14ac:dyDescent="0.25">
      <c r="A431" s="5" t="s">
        <v>9353</v>
      </c>
      <c r="B431" s="7" t="s">
        <v>10503</v>
      </c>
      <c r="C431" s="5" t="s">
        <v>11</v>
      </c>
      <c r="D431" s="1" t="s">
        <v>10893</v>
      </c>
      <c r="F431" s="5"/>
      <c r="G431" s="7">
        <v>52</v>
      </c>
      <c r="H431" s="5" t="s">
        <v>9276</v>
      </c>
      <c r="I431" s="5" t="str">
        <f t="shared" si="6"/>
        <v>fate4303820</v>
      </c>
      <c r="J431" s="6" t="s">
        <v>9297</v>
      </c>
      <c r="K431" s="6">
        <v>38</v>
      </c>
      <c r="L431" s="6">
        <v>20</v>
      </c>
      <c r="M431" s="6"/>
      <c r="N431" s="6"/>
      <c r="P431" s="5" t="s">
        <v>9277</v>
      </c>
      <c r="Q431" s="5" t="s">
        <v>9278</v>
      </c>
      <c r="R431" s="5" t="s">
        <v>9279</v>
      </c>
      <c r="S431" s="5"/>
      <c r="T431" s="5"/>
    </row>
    <row r="432" spans="1:20" x14ac:dyDescent="0.25">
      <c r="A432" s="5" t="s">
        <v>9355</v>
      </c>
      <c r="B432" s="7" t="s">
        <v>10503</v>
      </c>
      <c r="C432" s="5" t="s">
        <v>11</v>
      </c>
      <c r="D432" s="1" t="s">
        <v>10895</v>
      </c>
      <c r="F432" s="5"/>
      <c r="G432" s="7">
        <v>53</v>
      </c>
      <c r="H432" s="5" t="s">
        <v>9276</v>
      </c>
      <c r="I432" s="5" t="str">
        <f t="shared" si="6"/>
        <v>fate431186</v>
      </c>
      <c r="J432" s="6" t="s">
        <v>9310</v>
      </c>
      <c r="K432" s="6">
        <v>18</v>
      </c>
      <c r="L432" s="6">
        <v>6</v>
      </c>
      <c r="M432" s="6"/>
      <c r="N432" s="6"/>
      <c r="P432" s="5" t="s">
        <v>9306</v>
      </c>
      <c r="Q432" s="5" t="s">
        <v>9307</v>
      </c>
      <c r="R432" s="5" t="s">
        <v>9308</v>
      </c>
      <c r="S432" s="5"/>
      <c r="T432" s="5"/>
    </row>
    <row r="433" spans="1:20" x14ac:dyDescent="0.25">
      <c r="A433" s="5" t="s">
        <v>9357</v>
      </c>
      <c r="B433" s="7" t="s">
        <v>10503</v>
      </c>
      <c r="C433" s="5" t="s">
        <v>11</v>
      </c>
      <c r="D433" s="1" t="s">
        <v>10896</v>
      </c>
      <c r="F433" s="5"/>
      <c r="G433" s="7">
        <v>53</v>
      </c>
      <c r="H433" s="5" t="s">
        <v>9276</v>
      </c>
      <c r="I433" s="5" t="str">
        <f t="shared" si="6"/>
        <v>fate4321635</v>
      </c>
      <c r="J433" s="6" t="s">
        <v>9316</v>
      </c>
      <c r="K433" s="6">
        <v>16</v>
      </c>
      <c r="L433" s="6">
        <v>35</v>
      </c>
      <c r="M433" s="6"/>
      <c r="N433" s="6"/>
      <c r="P433" s="5" t="s">
        <v>9306</v>
      </c>
      <c r="Q433" s="5" t="s">
        <v>9307</v>
      </c>
      <c r="R433" s="5" t="s">
        <v>9308</v>
      </c>
      <c r="S433" s="5"/>
      <c r="T433" s="5"/>
    </row>
    <row r="434" spans="1:20" x14ac:dyDescent="0.25">
      <c r="A434" s="5" t="s">
        <v>9359</v>
      </c>
      <c r="B434" s="7" t="s">
        <v>10503</v>
      </c>
      <c r="C434" s="5" t="s">
        <v>11</v>
      </c>
      <c r="D434" s="1" t="s">
        <v>10894</v>
      </c>
      <c r="F434" s="5"/>
      <c r="G434" s="7">
        <v>53</v>
      </c>
      <c r="H434" s="5" t="s">
        <v>9276</v>
      </c>
      <c r="I434" s="5" t="str">
        <f t="shared" si="6"/>
        <v>fate4331336</v>
      </c>
      <c r="J434" s="6" t="s">
        <v>9318</v>
      </c>
      <c r="K434" s="6">
        <v>13</v>
      </c>
      <c r="L434" s="6">
        <v>36</v>
      </c>
      <c r="M434" s="6"/>
      <c r="N434" s="6"/>
      <c r="O434" s="5"/>
      <c r="P434" s="5" t="s">
        <v>9306</v>
      </c>
      <c r="Q434" s="5" t="s">
        <v>9307</v>
      </c>
      <c r="R434" s="5" t="s">
        <v>9308</v>
      </c>
      <c r="S434" s="5"/>
      <c r="T434" s="5"/>
    </row>
    <row r="435" spans="1:20" x14ac:dyDescent="0.25">
      <c r="A435" s="5" t="s">
        <v>9361</v>
      </c>
      <c r="B435" s="7" t="s">
        <v>10503</v>
      </c>
      <c r="C435" s="5" t="s">
        <v>11</v>
      </c>
      <c r="D435" s="1" t="s">
        <v>10897</v>
      </c>
      <c r="F435" s="5"/>
      <c r="G435" s="7">
        <v>57</v>
      </c>
      <c r="H435" s="5" t="s">
        <v>9276</v>
      </c>
      <c r="I435" s="5" t="str">
        <f t="shared" si="6"/>
        <v>fate4341238</v>
      </c>
      <c r="J435" s="6" t="s">
        <v>9324</v>
      </c>
      <c r="K435" s="6">
        <v>12</v>
      </c>
      <c r="L435" s="6">
        <v>38</v>
      </c>
      <c r="M435" s="6"/>
      <c r="N435" s="6"/>
      <c r="O435" s="5"/>
      <c r="P435" s="5" t="s">
        <v>9193</v>
      </c>
      <c r="Q435" s="5" t="s">
        <v>9194</v>
      </c>
      <c r="R435" s="5" t="s">
        <v>9195</v>
      </c>
      <c r="S435" s="5"/>
      <c r="T435" s="5"/>
    </row>
    <row r="436" spans="1:20" x14ac:dyDescent="0.25">
      <c r="A436" s="5" t="s">
        <v>9363</v>
      </c>
      <c r="B436" s="7" t="s">
        <v>8310</v>
      </c>
      <c r="C436" s="5" t="s">
        <v>11</v>
      </c>
      <c r="D436" s="5"/>
      <c r="E436" s="5">
        <v>22</v>
      </c>
      <c r="F436" s="5">
        <v>1</v>
      </c>
      <c r="G436" s="7">
        <v>52</v>
      </c>
      <c r="H436" s="5" t="s">
        <v>9276</v>
      </c>
      <c r="I436" s="5" t="str">
        <f t="shared" si="6"/>
        <v>fate4352421</v>
      </c>
      <c r="J436" s="6" t="s">
        <v>9287</v>
      </c>
      <c r="K436" s="6">
        <v>24</v>
      </c>
      <c r="L436" s="6">
        <v>21</v>
      </c>
      <c r="M436" s="6"/>
      <c r="N436" s="6"/>
      <c r="P436" s="5" t="s">
        <v>9277</v>
      </c>
      <c r="Q436" s="5" t="s">
        <v>9278</v>
      </c>
      <c r="R436" s="5" t="s">
        <v>9279</v>
      </c>
      <c r="S436" s="5"/>
      <c r="T436" s="5"/>
    </row>
    <row r="437" spans="1:20" x14ac:dyDescent="0.25">
      <c r="A437" s="5" t="s">
        <v>9368</v>
      </c>
      <c r="B437" s="7" t="s">
        <v>10503</v>
      </c>
      <c r="C437" s="5" t="s">
        <v>11</v>
      </c>
      <c r="D437" s="1" t="s">
        <v>10889</v>
      </c>
      <c r="E437" s="5">
        <v>22</v>
      </c>
      <c r="F437" s="5">
        <v>2</v>
      </c>
      <c r="G437" s="7">
        <v>52</v>
      </c>
      <c r="H437" s="5" t="s">
        <v>9276</v>
      </c>
      <c r="I437" s="5" t="str">
        <f t="shared" si="6"/>
        <v>fate4362522</v>
      </c>
      <c r="J437" s="6" t="s">
        <v>9281</v>
      </c>
      <c r="K437" s="6">
        <v>25</v>
      </c>
      <c r="L437" s="6">
        <v>22</v>
      </c>
      <c r="M437" s="6"/>
      <c r="N437" s="6"/>
      <c r="P437" s="5" t="s">
        <v>9277</v>
      </c>
      <c r="Q437" s="5" t="s">
        <v>9278</v>
      </c>
      <c r="R437" s="5" t="s">
        <v>9279</v>
      </c>
      <c r="S437" s="5"/>
      <c r="T437" s="5"/>
    </row>
    <row r="438" spans="1:20" x14ac:dyDescent="0.25">
      <c r="A438" s="5" t="s">
        <v>9370</v>
      </c>
      <c r="B438" s="7" t="s">
        <v>10503</v>
      </c>
      <c r="C438" s="5" t="s">
        <v>11</v>
      </c>
      <c r="D438" s="1" t="s">
        <v>10513</v>
      </c>
      <c r="E438" s="5">
        <v>23</v>
      </c>
      <c r="F438" s="5">
        <v>1</v>
      </c>
      <c r="G438" s="7">
        <v>52</v>
      </c>
      <c r="H438" s="5" t="s">
        <v>9276</v>
      </c>
      <c r="I438" s="5" t="str">
        <f t="shared" si="6"/>
        <v>fate4373525</v>
      </c>
      <c r="J438" s="6" t="s">
        <v>10508</v>
      </c>
      <c r="K438" s="6">
        <v>35</v>
      </c>
      <c r="L438" s="6">
        <v>25</v>
      </c>
      <c r="M438" s="6"/>
      <c r="N438" s="6"/>
      <c r="P438" s="5" t="s">
        <v>9277</v>
      </c>
      <c r="Q438" s="5" t="s">
        <v>9278</v>
      </c>
      <c r="R438" s="5" t="s">
        <v>9279</v>
      </c>
      <c r="S438" s="5"/>
      <c r="T438" s="5" t="s">
        <v>10729</v>
      </c>
    </row>
    <row r="439" spans="1:20" x14ac:dyDescent="0.25">
      <c r="A439" s="5" t="s">
        <v>9372</v>
      </c>
      <c r="B439" s="7" t="s">
        <v>10503</v>
      </c>
      <c r="C439" s="5" t="s">
        <v>11</v>
      </c>
      <c r="D439" s="1" t="s">
        <v>10513</v>
      </c>
      <c r="E439" s="5">
        <v>23</v>
      </c>
      <c r="F439" s="5">
        <v>2</v>
      </c>
      <c r="G439" s="7">
        <v>57</v>
      </c>
      <c r="H439" s="5" t="s">
        <v>9276</v>
      </c>
      <c r="I439" s="5" t="str">
        <f t="shared" si="6"/>
        <v>fate4382721</v>
      </c>
      <c r="J439" s="6" t="s">
        <v>10510</v>
      </c>
      <c r="K439" s="6">
        <v>27</v>
      </c>
      <c r="L439" s="6">
        <v>21</v>
      </c>
      <c r="M439" s="6"/>
      <c r="N439" s="6"/>
      <c r="O439" s="5" t="s">
        <v>10953</v>
      </c>
      <c r="P439" s="5" t="s">
        <v>9193</v>
      </c>
      <c r="Q439" s="5" t="s">
        <v>9194</v>
      </c>
      <c r="R439" s="5" t="s">
        <v>9195</v>
      </c>
      <c r="S439" s="5"/>
      <c r="T439" s="5" t="s">
        <v>10729</v>
      </c>
    </row>
    <row r="440" spans="1:20" x14ac:dyDescent="0.25">
      <c r="A440" s="5" t="s">
        <v>9374</v>
      </c>
      <c r="B440" s="7" t="s">
        <v>10668</v>
      </c>
      <c r="C440" s="5" t="s">
        <v>11</v>
      </c>
      <c r="D440" s="1" t="s">
        <v>10513</v>
      </c>
      <c r="E440" s="5">
        <v>23</v>
      </c>
      <c r="F440" s="5">
        <v>3</v>
      </c>
      <c r="G440" s="7">
        <v>60</v>
      </c>
      <c r="H440" s="5" t="s">
        <v>956</v>
      </c>
      <c r="I440" s="5" t="str">
        <f t="shared" si="6"/>
        <v>fate4391210</v>
      </c>
      <c r="J440" s="5" t="s">
        <v>10512</v>
      </c>
      <c r="K440" s="5">
        <v>12</v>
      </c>
      <c r="L440" s="5">
        <v>10</v>
      </c>
      <c r="M440" s="5"/>
      <c r="N440" s="5"/>
      <c r="O440" s="5" t="s">
        <v>10953</v>
      </c>
      <c r="P440" s="5">
        <v>11758</v>
      </c>
      <c r="Q440" s="5">
        <v>120</v>
      </c>
      <c r="R440" s="5">
        <v>345</v>
      </c>
      <c r="S440" s="5"/>
      <c r="T440" s="5" t="s">
        <v>10729</v>
      </c>
    </row>
    <row r="441" spans="1:20" x14ac:dyDescent="0.25">
      <c r="A441" s="5" t="s">
        <v>9376</v>
      </c>
      <c r="B441" s="7" t="s">
        <v>10668</v>
      </c>
      <c r="C441" s="5" t="s">
        <v>11</v>
      </c>
      <c r="D441" s="1" t="s">
        <v>10513</v>
      </c>
      <c r="E441" s="5">
        <v>23</v>
      </c>
      <c r="F441" s="5">
        <v>3</v>
      </c>
      <c r="G441" s="7">
        <v>60</v>
      </c>
      <c r="H441" s="5" t="s">
        <v>956</v>
      </c>
      <c r="I441" s="5" t="str">
        <f t="shared" si="6"/>
        <v>fate440315</v>
      </c>
      <c r="J441" s="5" t="s">
        <v>10512</v>
      </c>
      <c r="K441" s="5">
        <v>31</v>
      </c>
      <c r="L441" s="7">
        <v>5</v>
      </c>
      <c r="M441" s="7"/>
      <c r="N441" s="7"/>
      <c r="O441" s="5" t="s">
        <v>10953</v>
      </c>
      <c r="P441" s="5">
        <v>11758</v>
      </c>
      <c r="Q441" s="5">
        <v>120</v>
      </c>
      <c r="R441" s="5">
        <v>345</v>
      </c>
      <c r="S441" s="5"/>
      <c r="T441" s="5" t="s">
        <v>10729</v>
      </c>
    </row>
    <row r="442" spans="1:20" x14ac:dyDescent="0.25">
      <c r="A442" s="5" t="s">
        <v>9378</v>
      </c>
      <c r="B442" s="7" t="s">
        <v>10668</v>
      </c>
      <c r="C442" s="5" t="s">
        <v>11</v>
      </c>
      <c r="D442" s="1" t="s">
        <v>10513</v>
      </c>
      <c r="E442" s="5">
        <v>23</v>
      </c>
      <c r="F442" s="5">
        <v>3</v>
      </c>
      <c r="G442" s="7">
        <v>60</v>
      </c>
      <c r="H442" s="5" t="s">
        <v>956</v>
      </c>
      <c r="I442" s="5" t="str">
        <f t="shared" si="6"/>
        <v>fate441936</v>
      </c>
      <c r="J442" s="5" t="s">
        <v>10512</v>
      </c>
      <c r="K442" s="5">
        <v>9</v>
      </c>
      <c r="L442" s="7">
        <v>36</v>
      </c>
      <c r="M442" s="7"/>
      <c r="N442" s="7"/>
      <c r="O442" s="5" t="s">
        <v>10953</v>
      </c>
      <c r="P442" s="5">
        <v>11758</v>
      </c>
      <c r="Q442" s="5">
        <v>120</v>
      </c>
      <c r="R442" s="5">
        <v>345</v>
      </c>
      <c r="S442" s="5"/>
      <c r="T442" s="5" t="s">
        <v>10729</v>
      </c>
    </row>
    <row r="443" spans="1:20" x14ac:dyDescent="0.25">
      <c r="A443" s="5" t="s">
        <v>9380</v>
      </c>
      <c r="B443" s="7" t="s">
        <v>8310</v>
      </c>
      <c r="C443" s="5" t="s">
        <v>11</v>
      </c>
      <c r="D443" s="5"/>
      <c r="F443" s="5"/>
      <c r="G443" s="7">
        <v>54</v>
      </c>
      <c r="H443" s="5" t="s">
        <v>9327</v>
      </c>
      <c r="I443" s="5" t="str">
        <f t="shared" si="6"/>
        <v>fate4423027</v>
      </c>
      <c r="J443" s="6" t="s">
        <v>9326</v>
      </c>
      <c r="K443" s="6">
        <v>30</v>
      </c>
      <c r="L443" s="6">
        <v>27</v>
      </c>
      <c r="M443" s="6"/>
      <c r="N443" s="6"/>
      <c r="P443" s="5" t="s">
        <v>9328</v>
      </c>
      <c r="Q443" s="5" t="s">
        <v>9329</v>
      </c>
      <c r="R443" s="5" t="s">
        <v>9330</v>
      </c>
      <c r="S443" s="5"/>
      <c r="T443" s="5"/>
    </row>
    <row r="444" spans="1:20" x14ac:dyDescent="0.25">
      <c r="A444" s="5" t="s">
        <v>9382</v>
      </c>
      <c r="B444" s="7" t="s">
        <v>8310</v>
      </c>
      <c r="C444" s="5" t="s">
        <v>11</v>
      </c>
      <c r="D444" s="5"/>
      <c r="F444" s="5"/>
      <c r="G444" s="7">
        <v>54</v>
      </c>
      <c r="H444" s="5" t="s">
        <v>9327</v>
      </c>
      <c r="I444" s="5" t="str">
        <f t="shared" si="6"/>
        <v>fate4432732</v>
      </c>
      <c r="J444" s="6" t="s">
        <v>9346</v>
      </c>
      <c r="K444" s="6">
        <v>27</v>
      </c>
      <c r="L444" s="6">
        <v>32</v>
      </c>
      <c r="M444" s="6"/>
      <c r="N444" s="6"/>
      <c r="P444" s="5" t="s">
        <v>9328</v>
      </c>
      <c r="Q444" s="5" t="s">
        <v>9329</v>
      </c>
      <c r="R444" s="5" t="s">
        <v>9330</v>
      </c>
      <c r="S444" s="5"/>
      <c r="T444" s="5"/>
    </row>
    <row r="445" spans="1:20" x14ac:dyDescent="0.25">
      <c r="A445" s="5" t="s">
        <v>9384</v>
      </c>
      <c r="B445" s="7" t="s">
        <v>8310</v>
      </c>
      <c r="C445" s="5" t="s">
        <v>11</v>
      </c>
      <c r="D445" s="5"/>
      <c r="F445" s="5"/>
      <c r="G445" s="7">
        <v>54</v>
      </c>
      <c r="H445" s="5" t="s">
        <v>9327</v>
      </c>
      <c r="I445" s="5" t="str">
        <f t="shared" si="6"/>
        <v>fate4443334</v>
      </c>
      <c r="J445" s="6" t="s">
        <v>9350</v>
      </c>
      <c r="K445" s="6">
        <v>33</v>
      </c>
      <c r="L445" s="6">
        <v>34</v>
      </c>
      <c r="M445" s="6"/>
      <c r="N445" s="6"/>
      <c r="P445" s="5" t="s">
        <v>9328</v>
      </c>
      <c r="Q445" s="5" t="s">
        <v>9329</v>
      </c>
      <c r="R445" s="5" t="s">
        <v>9330</v>
      </c>
      <c r="S445" s="5"/>
      <c r="T445" s="5"/>
    </row>
    <row r="446" spans="1:20" x14ac:dyDescent="0.25">
      <c r="A446" s="5" t="s">
        <v>9386</v>
      </c>
      <c r="B446" s="7" t="s">
        <v>8310</v>
      </c>
      <c r="C446" s="5" t="s">
        <v>11</v>
      </c>
      <c r="D446" s="5"/>
      <c r="F446" s="5"/>
      <c r="G446" s="7">
        <v>54</v>
      </c>
      <c r="H446" s="5" t="s">
        <v>9327</v>
      </c>
      <c r="I446" s="5" t="str">
        <f t="shared" si="6"/>
        <v>fate4453632</v>
      </c>
      <c r="J446" s="6" t="s">
        <v>9358</v>
      </c>
      <c r="K446" s="6">
        <v>36</v>
      </c>
      <c r="L446" s="6">
        <v>32</v>
      </c>
      <c r="M446" s="6"/>
      <c r="N446" s="6"/>
      <c r="P446" s="5" t="s">
        <v>9328</v>
      </c>
      <c r="Q446" s="5" t="s">
        <v>9329</v>
      </c>
      <c r="R446" s="5" t="s">
        <v>9330</v>
      </c>
      <c r="S446" s="5"/>
      <c r="T446" s="5"/>
    </row>
    <row r="447" spans="1:20" x14ac:dyDescent="0.25">
      <c r="A447" s="5" t="s">
        <v>9388</v>
      </c>
      <c r="B447" s="7" t="s">
        <v>8310</v>
      </c>
      <c r="C447" s="5" t="s">
        <v>11</v>
      </c>
      <c r="D447" s="5"/>
      <c r="F447" s="5"/>
      <c r="G447" s="7">
        <v>55</v>
      </c>
      <c r="H447" s="5" t="s">
        <v>9327</v>
      </c>
      <c r="I447" s="5" t="str">
        <f t="shared" si="6"/>
        <v>fate446814</v>
      </c>
      <c r="J447" s="6" t="s">
        <v>9371</v>
      </c>
      <c r="K447" s="6">
        <v>8</v>
      </c>
      <c r="L447" s="6">
        <v>14</v>
      </c>
      <c r="M447" s="6"/>
      <c r="N447" s="6"/>
      <c r="P447" s="5" t="s">
        <v>9365</v>
      </c>
      <c r="Q447" s="5" t="s">
        <v>9366</v>
      </c>
      <c r="R447" s="5" t="s">
        <v>9367</v>
      </c>
      <c r="S447" s="5"/>
      <c r="T447" s="5"/>
    </row>
    <row r="448" spans="1:20" x14ac:dyDescent="0.25">
      <c r="A448" s="5" t="s">
        <v>9390</v>
      </c>
      <c r="B448" s="7" t="s">
        <v>8310</v>
      </c>
      <c r="C448" s="5" t="s">
        <v>11</v>
      </c>
      <c r="D448" s="5"/>
      <c r="F448" s="5"/>
      <c r="G448" s="7">
        <v>55</v>
      </c>
      <c r="H448" s="5" t="s">
        <v>9327</v>
      </c>
      <c r="I448" s="5" t="str">
        <f t="shared" si="6"/>
        <v>fate4471321</v>
      </c>
      <c r="J448" s="6" t="s">
        <v>9377</v>
      </c>
      <c r="K448" s="6">
        <v>13</v>
      </c>
      <c r="L448" s="6">
        <v>21</v>
      </c>
      <c r="M448" s="6"/>
      <c r="N448" s="6"/>
      <c r="P448" s="5" t="s">
        <v>9365</v>
      </c>
      <c r="Q448" s="5" t="s">
        <v>9366</v>
      </c>
      <c r="R448" s="5" t="s">
        <v>9367</v>
      </c>
      <c r="S448" s="5"/>
      <c r="T448" s="5"/>
    </row>
    <row r="449" spans="1:20" x14ac:dyDescent="0.25">
      <c r="A449" s="5" t="s">
        <v>9396</v>
      </c>
      <c r="B449" s="7" t="s">
        <v>8310</v>
      </c>
      <c r="C449" s="5" t="s">
        <v>11</v>
      </c>
      <c r="D449" s="5"/>
      <c r="F449" s="5"/>
      <c r="G449" s="7">
        <v>56</v>
      </c>
      <c r="H449" s="5" t="s">
        <v>9327</v>
      </c>
      <c r="I449" s="5" t="str">
        <f t="shared" si="6"/>
        <v>fate448817</v>
      </c>
      <c r="J449" s="6" t="s">
        <v>9385</v>
      </c>
      <c r="K449" s="6">
        <v>8</v>
      </c>
      <c r="L449" s="6">
        <v>17</v>
      </c>
      <c r="M449" s="6"/>
      <c r="N449" s="6"/>
      <c r="P449" s="5" t="s">
        <v>9169</v>
      </c>
      <c r="Q449" s="5" t="s">
        <v>9170</v>
      </c>
      <c r="R449" s="5" t="s">
        <v>9171</v>
      </c>
      <c r="S449" s="5"/>
      <c r="T449" s="5"/>
    </row>
    <row r="450" spans="1:20" x14ac:dyDescent="0.25">
      <c r="A450" s="5" t="s">
        <v>9398</v>
      </c>
      <c r="B450" s="7" t="s">
        <v>8346</v>
      </c>
      <c r="C450" s="5" t="s">
        <v>11</v>
      </c>
      <c r="D450" s="5"/>
      <c r="F450" s="5"/>
      <c r="G450" s="7">
        <v>55</v>
      </c>
      <c r="H450" s="5" t="s">
        <v>9327</v>
      </c>
      <c r="I450" s="5" t="str">
        <f t="shared" si="6"/>
        <v>fate4491225</v>
      </c>
      <c r="J450" s="6" t="s">
        <v>9381</v>
      </c>
      <c r="K450" s="6">
        <v>12.1</v>
      </c>
      <c r="L450" s="6">
        <v>25.5</v>
      </c>
      <c r="M450" s="6"/>
      <c r="N450" s="6"/>
      <c r="P450" s="5" t="s">
        <v>9365</v>
      </c>
      <c r="Q450" s="5" t="s">
        <v>9366</v>
      </c>
      <c r="R450" s="5" t="s">
        <v>9367</v>
      </c>
      <c r="S450" s="5"/>
      <c r="T450" s="5"/>
    </row>
    <row r="451" spans="1:20" x14ac:dyDescent="0.25">
      <c r="A451" s="5" t="s">
        <v>9400</v>
      </c>
      <c r="B451" s="7" t="s">
        <v>8424</v>
      </c>
      <c r="C451" s="5" t="s">
        <v>11</v>
      </c>
      <c r="D451" s="5"/>
      <c r="F451" s="5"/>
      <c r="G451" s="7">
        <v>55</v>
      </c>
      <c r="H451" s="5" t="s">
        <v>9327</v>
      </c>
      <c r="I451" s="5" t="str">
        <f t="shared" si="6"/>
        <v>fate4503421</v>
      </c>
      <c r="J451" s="6" t="s">
        <v>9379</v>
      </c>
      <c r="K451" s="6">
        <v>34</v>
      </c>
      <c r="L451" s="6">
        <v>21</v>
      </c>
      <c r="M451" s="6"/>
      <c r="N451" s="6"/>
      <c r="P451" s="5" t="s">
        <v>9365</v>
      </c>
      <c r="Q451" s="5" t="s">
        <v>9366</v>
      </c>
      <c r="R451" s="5" t="s">
        <v>9367</v>
      </c>
      <c r="S451" s="5"/>
      <c r="T451" s="5"/>
    </row>
    <row r="452" spans="1:20" x14ac:dyDescent="0.25">
      <c r="A452" s="5" t="s">
        <v>9402</v>
      </c>
      <c r="B452" s="7" t="s">
        <v>8450</v>
      </c>
      <c r="C452" s="5" t="s">
        <v>11</v>
      </c>
      <c r="D452" s="5"/>
      <c r="F452" s="5"/>
      <c r="G452" s="7">
        <v>54</v>
      </c>
      <c r="H452" s="5" t="s">
        <v>9327</v>
      </c>
      <c r="I452" s="5" t="str">
        <f t="shared" ref="I452:I515" si="7">A452&amp;LEFT(SUBSTITUTE(K452,".",""),2)&amp;LEFT(SUBSTITUTE(L452,".",""),2)</f>
        <v>fate4511928</v>
      </c>
      <c r="J452" s="6" t="s">
        <v>9334</v>
      </c>
      <c r="K452" s="6">
        <v>19</v>
      </c>
      <c r="L452" s="6">
        <v>28.8</v>
      </c>
      <c r="M452" s="6"/>
      <c r="N452" s="6"/>
      <c r="P452" s="5" t="s">
        <v>9328</v>
      </c>
      <c r="Q452" s="5" t="s">
        <v>9329</v>
      </c>
      <c r="R452" s="5" t="s">
        <v>9330</v>
      </c>
      <c r="S452" s="5"/>
      <c r="T452" s="5"/>
    </row>
    <row r="453" spans="1:20" x14ac:dyDescent="0.25">
      <c r="A453" s="5" t="s">
        <v>9404</v>
      </c>
      <c r="B453" s="7" t="s">
        <v>10503</v>
      </c>
      <c r="C453" s="5" t="s">
        <v>11</v>
      </c>
      <c r="D453" s="1" t="s">
        <v>10899</v>
      </c>
      <c r="F453" s="5"/>
      <c r="G453" s="7">
        <v>54</v>
      </c>
      <c r="H453" s="5" t="s">
        <v>9327</v>
      </c>
      <c r="I453" s="5" t="str">
        <f t="shared" si="7"/>
        <v>fate4521731</v>
      </c>
      <c r="J453" s="6" t="s">
        <v>9332</v>
      </c>
      <c r="K453" s="6">
        <v>17</v>
      </c>
      <c r="L453" s="6">
        <v>31</v>
      </c>
      <c r="M453" s="6"/>
      <c r="N453" s="6"/>
      <c r="P453" s="5" t="s">
        <v>9328</v>
      </c>
      <c r="Q453" s="5" t="s">
        <v>9329</v>
      </c>
      <c r="R453" s="5" t="s">
        <v>9330</v>
      </c>
      <c r="S453" s="5"/>
      <c r="T453" s="5"/>
    </row>
    <row r="454" spans="1:20" x14ac:dyDescent="0.25">
      <c r="A454" s="5" t="s">
        <v>9406</v>
      </c>
      <c r="B454" s="7" t="s">
        <v>10503</v>
      </c>
      <c r="C454" s="5" t="s">
        <v>11</v>
      </c>
      <c r="D454" s="1" t="s">
        <v>10898</v>
      </c>
      <c r="F454" s="5"/>
      <c r="G454" s="7">
        <v>54</v>
      </c>
      <c r="H454" s="5" t="s">
        <v>9327</v>
      </c>
      <c r="I454" s="5" t="str">
        <f t="shared" si="7"/>
        <v>fate4533316</v>
      </c>
      <c r="J454" s="6" t="s">
        <v>9338</v>
      </c>
      <c r="K454" s="6">
        <v>33</v>
      </c>
      <c r="L454" s="6">
        <v>16</v>
      </c>
      <c r="M454" s="6"/>
      <c r="N454" s="6"/>
      <c r="P454" s="5" t="s">
        <v>9328</v>
      </c>
      <c r="Q454" s="5" t="s">
        <v>9329</v>
      </c>
      <c r="R454" s="5" t="s">
        <v>9330</v>
      </c>
      <c r="S454" s="5"/>
      <c r="T454" s="5"/>
    </row>
    <row r="455" spans="1:20" x14ac:dyDescent="0.25">
      <c r="A455" s="5" t="s">
        <v>9408</v>
      </c>
      <c r="B455" s="7" t="s">
        <v>10503</v>
      </c>
      <c r="C455" s="5" t="s">
        <v>11</v>
      </c>
      <c r="D455" s="1" t="s">
        <v>10900</v>
      </c>
      <c r="F455" s="5"/>
      <c r="G455" s="7">
        <v>54</v>
      </c>
      <c r="H455" s="5" t="s">
        <v>9327</v>
      </c>
      <c r="I455" s="5" t="str">
        <f t="shared" si="7"/>
        <v>fate4542129</v>
      </c>
      <c r="J455" s="6" t="s">
        <v>9340</v>
      </c>
      <c r="K455" s="6">
        <v>21</v>
      </c>
      <c r="L455" s="6">
        <v>29</v>
      </c>
      <c r="M455" s="6"/>
      <c r="N455" s="6"/>
      <c r="P455" s="5" t="s">
        <v>9328</v>
      </c>
      <c r="Q455" s="5" t="s">
        <v>9329</v>
      </c>
      <c r="R455" s="5" t="s">
        <v>9330</v>
      </c>
      <c r="S455" s="5"/>
      <c r="T455" s="5"/>
    </row>
    <row r="456" spans="1:20" x14ac:dyDescent="0.25">
      <c r="A456" s="5" t="s">
        <v>9410</v>
      </c>
      <c r="B456" s="7" t="s">
        <v>10503</v>
      </c>
      <c r="C456" s="5" t="s">
        <v>11</v>
      </c>
      <c r="D456" s="1" t="s">
        <v>10899</v>
      </c>
      <c r="F456" s="5"/>
      <c r="G456" s="7">
        <v>54</v>
      </c>
      <c r="H456" s="5" t="s">
        <v>9327</v>
      </c>
      <c r="I456" s="5" t="str">
        <f t="shared" si="7"/>
        <v>fate4552023</v>
      </c>
      <c r="J456" s="6" t="s">
        <v>9348</v>
      </c>
      <c r="K456" s="6">
        <v>20</v>
      </c>
      <c r="L456" s="6">
        <v>23</v>
      </c>
      <c r="M456" s="6"/>
      <c r="N456" s="6"/>
      <c r="P456" s="5" t="s">
        <v>9328</v>
      </c>
      <c r="Q456" s="5" t="s">
        <v>9329</v>
      </c>
      <c r="R456" s="5" t="s">
        <v>9330</v>
      </c>
      <c r="S456" s="5"/>
      <c r="T456" s="5"/>
    </row>
    <row r="457" spans="1:20" x14ac:dyDescent="0.25">
      <c r="A457" s="5" t="s">
        <v>9412</v>
      </c>
      <c r="B457" s="7" t="s">
        <v>10503</v>
      </c>
      <c r="C457" s="5" t="s">
        <v>11</v>
      </c>
      <c r="D457" s="1" t="s">
        <v>10904</v>
      </c>
      <c r="F457" s="5"/>
      <c r="G457" s="7">
        <v>54</v>
      </c>
      <c r="H457" s="5" t="s">
        <v>9327</v>
      </c>
      <c r="I457" s="5" t="str">
        <f t="shared" si="7"/>
        <v>fate4562923</v>
      </c>
      <c r="J457" s="6" t="s">
        <v>9354</v>
      </c>
      <c r="K457" s="6">
        <v>29</v>
      </c>
      <c r="L457" s="6">
        <v>23</v>
      </c>
      <c r="M457" s="6"/>
      <c r="N457" s="6"/>
      <c r="P457" s="5" t="s">
        <v>9328</v>
      </c>
      <c r="Q457" s="5" t="s">
        <v>9329</v>
      </c>
      <c r="R457" s="5" t="s">
        <v>9330</v>
      </c>
      <c r="S457" s="5"/>
      <c r="T457" s="5"/>
    </row>
    <row r="458" spans="1:20" x14ac:dyDescent="0.25">
      <c r="A458" s="5" t="s">
        <v>9414</v>
      </c>
      <c r="B458" s="7" t="s">
        <v>10503</v>
      </c>
      <c r="C458" s="5" t="s">
        <v>11</v>
      </c>
      <c r="D458" s="1" t="s">
        <v>10901</v>
      </c>
      <c r="F458" s="5"/>
      <c r="G458" s="7">
        <v>54</v>
      </c>
      <c r="H458" s="5" t="s">
        <v>9327</v>
      </c>
      <c r="I458" s="5" t="str">
        <f t="shared" si="7"/>
        <v>fate4573225</v>
      </c>
      <c r="J458" s="6" t="s">
        <v>9362</v>
      </c>
      <c r="K458" s="6">
        <v>32</v>
      </c>
      <c r="L458" s="6">
        <v>25</v>
      </c>
      <c r="M458" s="6"/>
      <c r="N458" s="6"/>
      <c r="P458" s="5" t="s">
        <v>9328</v>
      </c>
      <c r="Q458" s="5" t="s">
        <v>9329</v>
      </c>
      <c r="R458" s="5" t="s">
        <v>9330</v>
      </c>
      <c r="S458" s="5"/>
      <c r="T458" s="5"/>
    </row>
    <row r="459" spans="1:20" x14ac:dyDescent="0.25">
      <c r="A459" s="5" t="s">
        <v>9416</v>
      </c>
      <c r="B459" s="7" t="s">
        <v>10503</v>
      </c>
      <c r="C459" s="5" t="s">
        <v>11</v>
      </c>
      <c r="D459" s="1" t="s">
        <v>10905</v>
      </c>
      <c r="F459" s="5"/>
      <c r="G459" s="7">
        <v>55</v>
      </c>
      <c r="H459" s="5" t="s">
        <v>9327</v>
      </c>
      <c r="I459" s="5" t="str">
        <f t="shared" si="7"/>
        <v>fate4582017</v>
      </c>
      <c r="J459" s="6" t="s">
        <v>9373</v>
      </c>
      <c r="K459" s="6">
        <v>20</v>
      </c>
      <c r="L459" s="6">
        <v>17</v>
      </c>
      <c r="M459" s="6"/>
      <c r="N459" s="6"/>
      <c r="P459" s="5" t="s">
        <v>9365</v>
      </c>
      <c r="Q459" s="5" t="s">
        <v>9366</v>
      </c>
      <c r="R459" s="5" t="s">
        <v>9367</v>
      </c>
      <c r="S459" s="5"/>
      <c r="T459" s="5"/>
    </row>
    <row r="460" spans="1:20" x14ac:dyDescent="0.25">
      <c r="A460" s="5" t="s">
        <v>9418</v>
      </c>
      <c r="B460" s="7" t="s">
        <v>10503</v>
      </c>
      <c r="C460" s="5" t="s">
        <v>11</v>
      </c>
      <c r="D460" s="1" t="s">
        <v>10906</v>
      </c>
      <c r="F460" s="5"/>
      <c r="G460" s="7">
        <v>56</v>
      </c>
      <c r="H460" s="5" t="s">
        <v>9327</v>
      </c>
      <c r="I460" s="5" t="str">
        <f t="shared" si="7"/>
        <v>fate459258</v>
      </c>
      <c r="J460" s="6" t="s">
        <v>9389</v>
      </c>
      <c r="K460" s="6">
        <v>25</v>
      </c>
      <c r="L460" s="6">
        <v>8</v>
      </c>
      <c r="M460" s="6"/>
      <c r="N460" s="6"/>
      <c r="P460" s="5" t="s">
        <v>9169</v>
      </c>
      <c r="Q460" s="5" t="s">
        <v>9170</v>
      </c>
      <c r="R460" s="5" t="s">
        <v>9171</v>
      </c>
      <c r="S460" s="5"/>
      <c r="T460" s="5"/>
    </row>
    <row r="461" spans="1:20" x14ac:dyDescent="0.25">
      <c r="A461" s="5" t="s">
        <v>9420</v>
      </c>
      <c r="B461" s="7" t="s">
        <v>8310</v>
      </c>
      <c r="C461" s="5" t="s">
        <v>11</v>
      </c>
      <c r="D461" s="5"/>
      <c r="E461" s="5">
        <v>24</v>
      </c>
      <c r="F461" s="5">
        <v>1</v>
      </c>
      <c r="G461" s="7">
        <v>54</v>
      </c>
      <c r="H461" s="5" t="s">
        <v>9327</v>
      </c>
      <c r="I461" s="5" t="str">
        <f t="shared" si="7"/>
        <v>fate4601732</v>
      </c>
      <c r="J461" s="6" t="s">
        <v>9336</v>
      </c>
      <c r="K461" s="6">
        <v>17</v>
      </c>
      <c r="L461" s="6">
        <v>32</v>
      </c>
      <c r="M461" s="6"/>
      <c r="N461" s="6"/>
      <c r="P461" s="5" t="s">
        <v>9328</v>
      </c>
      <c r="Q461" s="5" t="s">
        <v>9329</v>
      </c>
      <c r="R461" s="5" t="s">
        <v>9330</v>
      </c>
      <c r="S461" s="5"/>
      <c r="T461" s="5"/>
    </row>
    <row r="462" spans="1:20" x14ac:dyDescent="0.25">
      <c r="A462" s="5" t="s">
        <v>9422</v>
      </c>
      <c r="B462" s="7" t="s">
        <v>8310</v>
      </c>
      <c r="C462" s="5" t="s">
        <v>11</v>
      </c>
      <c r="D462" s="5"/>
      <c r="E462" s="5">
        <v>24</v>
      </c>
      <c r="F462" s="5">
        <v>2</v>
      </c>
      <c r="G462" s="7">
        <v>54</v>
      </c>
      <c r="H462" s="5" t="s">
        <v>9327</v>
      </c>
      <c r="I462" s="5" t="str">
        <f t="shared" si="7"/>
        <v>fate4611732</v>
      </c>
      <c r="J462" s="6" t="s">
        <v>9352</v>
      </c>
      <c r="K462" s="6">
        <v>17</v>
      </c>
      <c r="L462" s="6">
        <v>32</v>
      </c>
      <c r="M462" s="6"/>
      <c r="N462" s="6"/>
      <c r="P462" s="5" t="s">
        <v>9328</v>
      </c>
      <c r="Q462" s="5" t="s">
        <v>9329</v>
      </c>
      <c r="R462" s="5" t="s">
        <v>9330</v>
      </c>
      <c r="S462" s="5"/>
      <c r="T462" s="5"/>
    </row>
    <row r="463" spans="1:20" x14ac:dyDescent="0.25">
      <c r="A463" s="5" t="s">
        <v>9424</v>
      </c>
      <c r="B463" s="7" t="s">
        <v>8310</v>
      </c>
      <c r="C463" s="5" t="s">
        <v>11</v>
      </c>
      <c r="D463" s="5"/>
      <c r="E463" s="5">
        <v>25</v>
      </c>
      <c r="F463" s="5">
        <v>1</v>
      </c>
      <c r="G463" s="7">
        <v>54</v>
      </c>
      <c r="H463" s="5" t="s">
        <v>9327</v>
      </c>
      <c r="I463" s="5" t="str">
        <f t="shared" si="7"/>
        <v>fate4622720</v>
      </c>
      <c r="J463" s="6" t="s">
        <v>9344</v>
      </c>
      <c r="K463" s="6">
        <v>27</v>
      </c>
      <c r="L463" s="6">
        <v>20</v>
      </c>
      <c r="M463" s="6"/>
      <c r="N463" s="6"/>
      <c r="P463" s="5" t="s">
        <v>9328</v>
      </c>
      <c r="Q463" s="5" t="s">
        <v>9329</v>
      </c>
      <c r="R463" s="5" t="s">
        <v>9330</v>
      </c>
      <c r="S463" s="5"/>
      <c r="T463" s="5"/>
    </row>
    <row r="464" spans="1:20" x14ac:dyDescent="0.25">
      <c r="A464" s="5" t="s">
        <v>9426</v>
      </c>
      <c r="B464" s="7" t="s">
        <v>8310</v>
      </c>
      <c r="C464" s="5" t="s">
        <v>11</v>
      </c>
      <c r="D464" s="5"/>
      <c r="E464" s="5">
        <v>25</v>
      </c>
      <c r="F464" s="5">
        <v>2</v>
      </c>
      <c r="G464" s="7">
        <v>54</v>
      </c>
      <c r="H464" s="5" t="s">
        <v>9327</v>
      </c>
      <c r="I464" s="5" t="str">
        <f t="shared" si="7"/>
        <v>fate4632519</v>
      </c>
      <c r="J464" s="6" t="s">
        <v>9360</v>
      </c>
      <c r="K464" s="6">
        <v>25</v>
      </c>
      <c r="L464" s="6">
        <v>19</v>
      </c>
      <c r="M464" s="6"/>
      <c r="N464" s="6"/>
      <c r="P464" s="5" t="s">
        <v>9328</v>
      </c>
      <c r="Q464" s="5" t="s">
        <v>9329</v>
      </c>
      <c r="R464" s="5" t="s">
        <v>9330</v>
      </c>
      <c r="S464" s="5"/>
      <c r="T464" s="5"/>
    </row>
    <row r="465" spans="1:20" x14ac:dyDescent="0.25">
      <c r="A465" s="5" t="s">
        <v>9428</v>
      </c>
      <c r="B465" s="7" t="s">
        <v>8346</v>
      </c>
      <c r="C465" s="5" t="s">
        <v>11</v>
      </c>
      <c r="D465" s="5"/>
      <c r="E465" s="5">
        <v>26</v>
      </c>
      <c r="F465" s="5">
        <v>1</v>
      </c>
      <c r="G465" s="7">
        <v>55</v>
      </c>
      <c r="H465" s="5" t="s">
        <v>9327</v>
      </c>
      <c r="I465" s="5" t="str">
        <f t="shared" si="7"/>
        <v>fate4641812</v>
      </c>
      <c r="J465" s="6" t="s">
        <v>9383</v>
      </c>
      <c r="K465" s="6">
        <v>18</v>
      </c>
      <c r="L465" s="6">
        <v>12</v>
      </c>
      <c r="M465" s="6"/>
      <c r="N465" s="6"/>
      <c r="P465" s="5" t="s">
        <v>9365</v>
      </c>
      <c r="Q465" s="5" t="s">
        <v>9366</v>
      </c>
      <c r="R465" s="5" t="s">
        <v>9367</v>
      </c>
      <c r="S465" s="5"/>
      <c r="T465" s="5"/>
    </row>
    <row r="466" spans="1:20" x14ac:dyDescent="0.25">
      <c r="A466" s="5" t="s">
        <v>9430</v>
      </c>
      <c r="B466" s="7" t="s">
        <v>8346</v>
      </c>
      <c r="C466" s="5" t="s">
        <v>11</v>
      </c>
      <c r="D466" s="5"/>
      <c r="E466" s="5">
        <v>26</v>
      </c>
      <c r="F466" s="5">
        <v>2</v>
      </c>
      <c r="G466" s="7">
        <v>55</v>
      </c>
      <c r="H466" s="5" t="s">
        <v>9327</v>
      </c>
      <c r="I466" s="5" t="str">
        <f t="shared" si="7"/>
        <v>fate4651812</v>
      </c>
      <c r="J466" s="6" t="s">
        <v>9369</v>
      </c>
      <c r="K466" s="6">
        <v>18</v>
      </c>
      <c r="L466" s="6">
        <v>12</v>
      </c>
      <c r="M466" s="6"/>
      <c r="N466" s="6"/>
      <c r="P466" s="5" t="s">
        <v>9365</v>
      </c>
      <c r="Q466" s="5" t="s">
        <v>9366</v>
      </c>
      <c r="R466" s="5" t="s">
        <v>9367</v>
      </c>
      <c r="S466" s="5"/>
      <c r="T466" s="5"/>
    </row>
    <row r="467" spans="1:20" x14ac:dyDescent="0.25">
      <c r="A467" s="5" t="s">
        <v>9432</v>
      </c>
      <c r="B467" s="7" t="s">
        <v>8346</v>
      </c>
      <c r="C467" s="5" t="s">
        <v>11</v>
      </c>
      <c r="D467" s="5"/>
      <c r="E467" s="5">
        <v>26</v>
      </c>
      <c r="F467" s="5">
        <v>3</v>
      </c>
      <c r="G467" s="7">
        <v>55</v>
      </c>
      <c r="H467" s="5" t="s">
        <v>9327</v>
      </c>
      <c r="I467" s="5" t="str">
        <f t="shared" si="7"/>
        <v>fate466189</v>
      </c>
      <c r="J467" s="6" t="s">
        <v>9375</v>
      </c>
      <c r="K467" s="6">
        <v>18</v>
      </c>
      <c r="L467" s="6">
        <v>9</v>
      </c>
      <c r="M467" s="6"/>
      <c r="N467" s="6"/>
      <c r="P467" s="5" t="s">
        <v>9365</v>
      </c>
      <c r="Q467" s="5" t="s">
        <v>9366</v>
      </c>
      <c r="R467" s="5" t="s">
        <v>9367</v>
      </c>
      <c r="S467" s="5"/>
      <c r="T467" s="5"/>
    </row>
    <row r="468" spans="1:20" x14ac:dyDescent="0.25">
      <c r="A468" s="5" t="s">
        <v>9434</v>
      </c>
      <c r="B468" s="7" t="s">
        <v>8310</v>
      </c>
      <c r="C468" s="5" t="s">
        <v>11</v>
      </c>
      <c r="D468" s="5"/>
      <c r="E468" s="5">
        <v>26</v>
      </c>
      <c r="F468" s="5">
        <v>4</v>
      </c>
      <c r="G468" s="7">
        <v>55</v>
      </c>
      <c r="H468" s="5" t="s">
        <v>9327</v>
      </c>
      <c r="I468" s="5" t="str">
        <f t="shared" si="7"/>
        <v>fate4671413</v>
      </c>
      <c r="J468" s="6" t="s">
        <v>9364</v>
      </c>
      <c r="K468" s="6">
        <v>14</v>
      </c>
      <c r="L468" s="6">
        <v>13</v>
      </c>
      <c r="M468" s="6"/>
      <c r="N468" s="6"/>
      <c r="P468" s="5" t="s">
        <v>9365</v>
      </c>
      <c r="Q468" s="5" t="s">
        <v>9366</v>
      </c>
      <c r="R468" s="5" t="s">
        <v>9367</v>
      </c>
      <c r="S468" s="5"/>
      <c r="T468" s="5"/>
    </row>
    <row r="469" spans="1:20" x14ac:dyDescent="0.25">
      <c r="A469" s="5" t="s">
        <v>9436</v>
      </c>
      <c r="B469" s="7" t="s">
        <v>10503</v>
      </c>
      <c r="C469" s="5" t="s">
        <v>11</v>
      </c>
      <c r="D469" s="1" t="s">
        <v>10902</v>
      </c>
      <c r="E469" s="5">
        <v>26</v>
      </c>
      <c r="F469" s="5">
        <v>4</v>
      </c>
      <c r="G469" s="7">
        <v>54</v>
      </c>
      <c r="H469" s="5" t="s">
        <v>9327</v>
      </c>
      <c r="I469" s="5" t="str">
        <f t="shared" si="7"/>
        <v>fate4682221</v>
      </c>
      <c r="J469" s="6" t="s">
        <v>9342</v>
      </c>
      <c r="K469" s="6">
        <v>22</v>
      </c>
      <c r="L469" s="6">
        <v>21</v>
      </c>
      <c r="M469" s="6"/>
      <c r="N469" s="6"/>
      <c r="P469" s="5" t="s">
        <v>9328</v>
      </c>
      <c r="Q469" s="5" t="s">
        <v>9329</v>
      </c>
      <c r="R469" s="5" t="s">
        <v>9330</v>
      </c>
      <c r="S469" s="5"/>
      <c r="T469" s="5"/>
    </row>
    <row r="470" spans="1:20" x14ac:dyDescent="0.25">
      <c r="A470" s="5" t="s">
        <v>9438</v>
      </c>
      <c r="B470" s="7" t="s">
        <v>8346</v>
      </c>
      <c r="C470" s="5" t="s">
        <v>11</v>
      </c>
      <c r="D470" s="5"/>
      <c r="E470" s="5">
        <v>26</v>
      </c>
      <c r="F470" s="5">
        <v>4</v>
      </c>
      <c r="G470" s="7">
        <v>54</v>
      </c>
      <c r="H470" s="5" t="s">
        <v>9327</v>
      </c>
      <c r="I470" s="5" t="str">
        <f t="shared" si="7"/>
        <v>fate4691324</v>
      </c>
      <c r="J470" s="6" t="s">
        <v>9356</v>
      </c>
      <c r="K470" s="6">
        <v>13</v>
      </c>
      <c r="L470" s="6">
        <v>24</v>
      </c>
      <c r="M470" s="6"/>
      <c r="N470" s="6"/>
      <c r="P470" s="5" t="s">
        <v>9328</v>
      </c>
      <c r="Q470" s="5" t="s">
        <v>9329</v>
      </c>
      <c r="R470" s="5" t="s">
        <v>9330</v>
      </c>
      <c r="S470" s="5"/>
      <c r="T470" s="5"/>
    </row>
    <row r="471" spans="1:20" x14ac:dyDescent="0.25">
      <c r="A471" s="5" t="s">
        <v>9440</v>
      </c>
      <c r="B471" s="7" t="s">
        <v>10503</v>
      </c>
      <c r="C471" s="5" t="s">
        <v>11</v>
      </c>
      <c r="D471" s="1" t="s">
        <v>10903</v>
      </c>
      <c r="E471" s="5">
        <v>26</v>
      </c>
      <c r="F471" s="5">
        <v>5</v>
      </c>
      <c r="G471" s="7">
        <v>56</v>
      </c>
      <c r="H471" s="5" t="s">
        <v>9327</v>
      </c>
      <c r="I471" s="5" t="str">
        <f t="shared" si="7"/>
        <v>fate4701136</v>
      </c>
      <c r="J471" s="6" t="s">
        <v>9387</v>
      </c>
      <c r="K471" s="6">
        <v>11</v>
      </c>
      <c r="L471" s="6">
        <v>36</v>
      </c>
      <c r="M471" s="6"/>
      <c r="N471" s="6"/>
      <c r="P471" s="5" t="s">
        <v>9169</v>
      </c>
      <c r="Q471" s="5" t="s">
        <v>9170</v>
      </c>
      <c r="R471" s="5" t="s">
        <v>9171</v>
      </c>
      <c r="S471" s="5"/>
      <c r="T471" s="5"/>
    </row>
    <row r="472" spans="1:20" x14ac:dyDescent="0.25">
      <c r="A472" s="5" t="s">
        <v>9442</v>
      </c>
      <c r="B472" s="7" t="s">
        <v>8310</v>
      </c>
      <c r="C472" s="5" t="s">
        <v>11</v>
      </c>
      <c r="D472" s="5"/>
      <c r="F472" s="5"/>
      <c r="G472" s="7">
        <v>58</v>
      </c>
      <c r="H472" s="5" t="s">
        <v>9392</v>
      </c>
      <c r="I472" s="5" t="str">
        <f t="shared" si="7"/>
        <v>fate4712325</v>
      </c>
      <c r="J472" s="6" t="s">
        <v>9401</v>
      </c>
      <c r="K472" s="6">
        <v>23</v>
      </c>
      <c r="L472" s="6">
        <v>25</v>
      </c>
      <c r="M472" s="6"/>
      <c r="N472" s="6"/>
      <c r="P472" s="5" t="s">
        <v>9393</v>
      </c>
      <c r="Q472" s="5" t="s">
        <v>9394</v>
      </c>
      <c r="R472" s="5" t="s">
        <v>9395</v>
      </c>
      <c r="S472" s="5"/>
      <c r="T472" s="5"/>
    </row>
    <row r="473" spans="1:20" x14ac:dyDescent="0.25">
      <c r="A473" s="5" t="s">
        <v>9443</v>
      </c>
      <c r="B473" s="7" t="s">
        <v>8310</v>
      </c>
      <c r="C473" s="5" t="s">
        <v>11</v>
      </c>
      <c r="D473" s="5"/>
      <c r="F473" s="5"/>
      <c r="G473" s="7">
        <v>58</v>
      </c>
      <c r="H473" s="5" t="s">
        <v>9392</v>
      </c>
      <c r="I473" s="5" t="str">
        <f t="shared" si="7"/>
        <v>fate4721622</v>
      </c>
      <c r="J473" s="6" t="s">
        <v>9405</v>
      </c>
      <c r="K473" s="6">
        <v>16</v>
      </c>
      <c r="L473" s="6">
        <v>22</v>
      </c>
      <c r="M473" s="6"/>
      <c r="N473" s="6"/>
      <c r="P473" s="5" t="s">
        <v>9393</v>
      </c>
      <c r="Q473" s="5" t="s">
        <v>9394</v>
      </c>
      <c r="R473" s="5" t="s">
        <v>9395</v>
      </c>
      <c r="S473" s="5"/>
      <c r="T473" s="5"/>
    </row>
    <row r="474" spans="1:20" x14ac:dyDescent="0.25">
      <c r="A474" s="5" t="s">
        <v>9445</v>
      </c>
      <c r="B474" s="7" t="s">
        <v>8310</v>
      </c>
      <c r="C474" s="5" t="s">
        <v>11</v>
      </c>
      <c r="D474" s="5"/>
      <c r="F474" s="5"/>
      <c r="G474" s="7">
        <v>58</v>
      </c>
      <c r="H474" s="5" t="s">
        <v>9392</v>
      </c>
      <c r="I474" s="5" t="str">
        <f t="shared" si="7"/>
        <v>fate4731131</v>
      </c>
      <c r="J474" s="6" t="s">
        <v>9409</v>
      </c>
      <c r="K474" s="6">
        <v>11</v>
      </c>
      <c r="L474" s="6">
        <v>31</v>
      </c>
      <c r="M474" s="6"/>
      <c r="N474" s="6"/>
      <c r="P474" s="5" t="s">
        <v>9393</v>
      </c>
      <c r="Q474" s="5" t="s">
        <v>9394</v>
      </c>
      <c r="R474" s="5" t="s">
        <v>9395</v>
      </c>
      <c r="S474" s="5"/>
      <c r="T474" s="5"/>
    </row>
    <row r="475" spans="1:20" x14ac:dyDescent="0.25">
      <c r="A475" s="5" t="s">
        <v>9447</v>
      </c>
      <c r="B475" s="7" t="s">
        <v>8310</v>
      </c>
      <c r="C475" s="5" t="s">
        <v>11</v>
      </c>
      <c r="D475" s="5"/>
      <c r="F475" s="5"/>
      <c r="G475" s="7">
        <v>58</v>
      </c>
      <c r="H475" s="5" t="s">
        <v>9392</v>
      </c>
      <c r="I475" s="5" t="str">
        <f t="shared" si="7"/>
        <v>fate4742116</v>
      </c>
      <c r="J475" s="6" t="s">
        <v>9415</v>
      </c>
      <c r="K475" s="6">
        <v>21</v>
      </c>
      <c r="L475" s="6">
        <v>16</v>
      </c>
      <c r="M475" s="6"/>
      <c r="N475" s="6"/>
      <c r="P475" s="5" t="s">
        <v>9393</v>
      </c>
      <c r="Q475" s="5" t="s">
        <v>9394</v>
      </c>
      <c r="R475" s="5" t="s">
        <v>9395</v>
      </c>
      <c r="S475" s="5"/>
      <c r="T475" s="5"/>
    </row>
    <row r="476" spans="1:20" x14ac:dyDescent="0.25">
      <c r="A476" s="5" t="s">
        <v>9449</v>
      </c>
      <c r="B476" s="7" t="s">
        <v>8310</v>
      </c>
      <c r="C476" s="5" t="s">
        <v>11</v>
      </c>
      <c r="D476" s="5"/>
      <c r="F476" s="5"/>
      <c r="G476" s="7">
        <v>58</v>
      </c>
      <c r="H476" s="5" t="s">
        <v>9392</v>
      </c>
      <c r="I476" s="5" t="str">
        <f t="shared" si="7"/>
        <v>fate4753326</v>
      </c>
      <c r="J476" s="6" t="s">
        <v>9419</v>
      </c>
      <c r="K476" s="6">
        <v>33</v>
      </c>
      <c r="L476" s="6">
        <v>26</v>
      </c>
      <c r="M476" s="6"/>
      <c r="N476" s="6"/>
      <c r="P476" s="5" t="s">
        <v>9393</v>
      </c>
      <c r="Q476" s="5" t="s">
        <v>9394</v>
      </c>
      <c r="R476" s="5" t="s">
        <v>9395</v>
      </c>
      <c r="S476" s="5"/>
      <c r="T476" s="5"/>
    </row>
    <row r="477" spans="1:20" x14ac:dyDescent="0.25">
      <c r="A477" s="5" t="s">
        <v>9451</v>
      </c>
      <c r="B477" s="7" t="s">
        <v>8310</v>
      </c>
      <c r="C477" s="5" t="s">
        <v>11</v>
      </c>
      <c r="D477" s="5"/>
      <c r="F477" s="5"/>
      <c r="G477" s="7">
        <v>58</v>
      </c>
      <c r="H477" s="5" t="s">
        <v>9392</v>
      </c>
      <c r="I477" s="5" t="str">
        <f t="shared" si="7"/>
        <v>fate4761025</v>
      </c>
      <c r="J477" s="6" t="s">
        <v>9421</v>
      </c>
      <c r="K477" s="6">
        <v>10</v>
      </c>
      <c r="L477" s="6">
        <v>25</v>
      </c>
      <c r="M477" s="6"/>
      <c r="N477" s="6"/>
      <c r="P477" s="5" t="s">
        <v>9393</v>
      </c>
      <c r="Q477" s="5" t="s">
        <v>9394</v>
      </c>
      <c r="R477" s="5" t="s">
        <v>9395</v>
      </c>
      <c r="S477" s="5"/>
      <c r="T477" s="5"/>
    </row>
    <row r="478" spans="1:20" x14ac:dyDescent="0.25">
      <c r="A478" s="5" t="s">
        <v>9456</v>
      </c>
      <c r="B478" s="7" t="s">
        <v>8310</v>
      </c>
      <c r="C478" s="5" t="s">
        <v>11</v>
      </c>
      <c r="D478" s="5"/>
      <c r="F478" s="5"/>
      <c r="G478" s="7">
        <v>58</v>
      </c>
      <c r="H478" s="5" t="s">
        <v>9392</v>
      </c>
      <c r="I478" s="5" t="str">
        <f t="shared" si="7"/>
        <v>fate4773725</v>
      </c>
      <c r="J478" s="6" t="s">
        <v>9429</v>
      </c>
      <c r="K478" s="6">
        <v>37</v>
      </c>
      <c r="L478" s="6">
        <v>25</v>
      </c>
      <c r="M478" s="6"/>
      <c r="N478" s="6"/>
      <c r="P478" s="5" t="s">
        <v>9393</v>
      </c>
      <c r="Q478" s="5" t="s">
        <v>9394</v>
      </c>
      <c r="R478" s="5" t="s">
        <v>9395</v>
      </c>
      <c r="S478" s="5"/>
      <c r="T478" s="5"/>
    </row>
    <row r="479" spans="1:20" x14ac:dyDescent="0.25">
      <c r="A479" s="5" t="s">
        <v>9458</v>
      </c>
      <c r="B479" s="7" t="s">
        <v>8310</v>
      </c>
      <c r="C479" s="5" t="s">
        <v>11</v>
      </c>
      <c r="D479" s="5"/>
      <c r="F479" s="5"/>
      <c r="G479" s="7">
        <v>58</v>
      </c>
      <c r="H479" s="5" t="s">
        <v>9392</v>
      </c>
      <c r="I479" s="5" t="str">
        <f t="shared" si="7"/>
        <v>fate4781429</v>
      </c>
      <c r="J479" s="6" t="s">
        <v>9433</v>
      </c>
      <c r="K479" s="6">
        <v>14</v>
      </c>
      <c r="L479" s="6">
        <v>29</v>
      </c>
      <c r="M479" s="6"/>
      <c r="N479" s="6"/>
      <c r="P479" s="5" t="s">
        <v>9393</v>
      </c>
      <c r="Q479" s="5" t="s">
        <v>9394</v>
      </c>
      <c r="R479" s="5" t="s">
        <v>9395</v>
      </c>
      <c r="S479" s="5"/>
      <c r="T479" s="5"/>
    </row>
    <row r="480" spans="1:20" x14ac:dyDescent="0.25">
      <c r="A480" s="5" t="s">
        <v>9460</v>
      </c>
      <c r="B480" s="7" t="s">
        <v>8310</v>
      </c>
      <c r="C480" s="5" t="s">
        <v>11</v>
      </c>
      <c r="D480" s="5"/>
      <c r="F480" s="5"/>
      <c r="G480" s="7">
        <v>58</v>
      </c>
      <c r="H480" s="5" t="s">
        <v>9392</v>
      </c>
      <c r="I480" s="5" t="str">
        <f t="shared" si="7"/>
        <v>fate4792623</v>
      </c>
      <c r="J480" s="6" t="s">
        <v>9435</v>
      </c>
      <c r="K480" s="6">
        <v>26</v>
      </c>
      <c r="L480" s="6">
        <v>23</v>
      </c>
      <c r="M480" s="6"/>
      <c r="N480" s="6"/>
      <c r="P480" s="5" t="s">
        <v>9393</v>
      </c>
      <c r="Q480" s="5" t="s">
        <v>9394</v>
      </c>
      <c r="R480" s="5" t="s">
        <v>9395</v>
      </c>
      <c r="S480" s="5"/>
      <c r="T480" s="5"/>
    </row>
    <row r="481" spans="1:20" x14ac:dyDescent="0.25">
      <c r="A481" s="5" t="s">
        <v>9462</v>
      </c>
      <c r="B481" s="7" t="s">
        <v>8310</v>
      </c>
      <c r="C481" s="5" t="s">
        <v>11</v>
      </c>
      <c r="D481" s="5"/>
      <c r="F481" s="5"/>
      <c r="G481" s="7">
        <v>59</v>
      </c>
      <c r="H481" s="5" t="s">
        <v>9392</v>
      </c>
      <c r="I481" s="5" t="str">
        <f t="shared" si="7"/>
        <v>fate4801533</v>
      </c>
      <c r="J481" s="6" t="s">
        <v>9437</v>
      </c>
      <c r="K481" s="6">
        <v>15</v>
      </c>
      <c r="L481" s="6">
        <v>33</v>
      </c>
      <c r="M481" s="6"/>
      <c r="N481" s="6"/>
      <c r="P481" s="5" t="s">
        <v>9212</v>
      </c>
      <c r="Q481" s="5" t="s">
        <v>9213</v>
      </c>
      <c r="R481" s="5" t="s">
        <v>9214</v>
      </c>
      <c r="S481" s="5"/>
      <c r="T481" s="5"/>
    </row>
    <row r="482" spans="1:20" x14ac:dyDescent="0.25">
      <c r="A482" s="5" t="s">
        <v>9464</v>
      </c>
      <c r="B482" s="7" t="s">
        <v>8310</v>
      </c>
      <c r="C482" s="5" t="s">
        <v>11</v>
      </c>
      <c r="D482" s="5"/>
      <c r="F482" s="5"/>
      <c r="G482" s="7">
        <v>59</v>
      </c>
      <c r="H482" s="5" t="s">
        <v>9392</v>
      </c>
      <c r="I482" s="5" t="str">
        <f t="shared" si="7"/>
        <v>fate4812037</v>
      </c>
      <c r="J482" s="6" t="s">
        <v>9441</v>
      </c>
      <c r="K482" s="6">
        <v>20</v>
      </c>
      <c r="L482" s="6">
        <v>37</v>
      </c>
      <c r="M482" s="6"/>
      <c r="N482" s="6"/>
      <c r="P482" s="5" t="s">
        <v>9212</v>
      </c>
      <c r="Q482" s="5" t="s">
        <v>9213</v>
      </c>
      <c r="R482" s="5" t="s">
        <v>9214</v>
      </c>
      <c r="S482" s="5"/>
      <c r="T482" s="5"/>
    </row>
    <row r="483" spans="1:20" x14ac:dyDescent="0.25">
      <c r="A483" s="5" t="s">
        <v>9466</v>
      </c>
      <c r="B483" s="7" t="s">
        <v>8310</v>
      </c>
      <c r="C483" s="5" t="s">
        <v>11</v>
      </c>
      <c r="D483" s="5"/>
      <c r="F483" s="5"/>
      <c r="G483" s="7">
        <v>59</v>
      </c>
      <c r="H483" s="5" t="s">
        <v>9392</v>
      </c>
      <c r="I483" s="5" t="str">
        <f t="shared" si="7"/>
        <v>fate4822634</v>
      </c>
      <c r="J483" s="6" t="s">
        <v>9446</v>
      </c>
      <c r="K483" s="6">
        <v>26</v>
      </c>
      <c r="L483" s="6">
        <v>34</v>
      </c>
      <c r="M483" s="6"/>
      <c r="N483" s="6"/>
      <c r="P483" s="5" t="s">
        <v>9212</v>
      </c>
      <c r="Q483" s="5" t="s">
        <v>9213</v>
      </c>
      <c r="R483" s="5" t="s">
        <v>9214</v>
      </c>
      <c r="S483" s="5"/>
      <c r="T483" s="5"/>
    </row>
    <row r="484" spans="1:20" x14ac:dyDescent="0.25">
      <c r="A484" s="5" t="s">
        <v>9468</v>
      </c>
      <c r="B484" s="7" t="s">
        <v>8310</v>
      </c>
      <c r="C484" s="5" t="s">
        <v>11</v>
      </c>
      <c r="D484" s="5"/>
      <c r="F484" s="5"/>
      <c r="G484" s="7">
        <v>59</v>
      </c>
      <c r="H484" s="5" t="s">
        <v>9392</v>
      </c>
      <c r="I484" s="5" t="str">
        <f t="shared" si="7"/>
        <v>fate4832538</v>
      </c>
      <c r="J484" s="6" t="s">
        <v>9448</v>
      </c>
      <c r="K484" s="6">
        <v>25</v>
      </c>
      <c r="L484" s="6">
        <v>38</v>
      </c>
      <c r="M484" s="6"/>
      <c r="N484" s="6"/>
      <c r="P484" s="5" t="s">
        <v>9212</v>
      </c>
      <c r="Q484" s="5" t="s">
        <v>9213</v>
      </c>
      <c r="R484" s="5" t="s">
        <v>9214</v>
      </c>
      <c r="S484" s="5"/>
      <c r="T484" s="5"/>
    </row>
    <row r="485" spans="1:20" x14ac:dyDescent="0.25">
      <c r="A485" s="5" t="s">
        <v>9470</v>
      </c>
      <c r="B485" s="7" t="s">
        <v>8310</v>
      </c>
      <c r="C485" s="5" t="s">
        <v>11</v>
      </c>
      <c r="D485" s="5"/>
      <c r="F485" s="5"/>
      <c r="G485" s="7">
        <v>59</v>
      </c>
      <c r="H485" s="5" t="s">
        <v>9392</v>
      </c>
      <c r="I485" s="5" t="str">
        <f t="shared" si="7"/>
        <v>fate4841331</v>
      </c>
      <c r="J485" s="6" t="s">
        <v>9450</v>
      </c>
      <c r="K485" s="6">
        <v>13</v>
      </c>
      <c r="L485" s="6">
        <v>31</v>
      </c>
      <c r="M485" s="6"/>
      <c r="N485" s="6"/>
      <c r="P485" s="5" t="s">
        <v>9212</v>
      </c>
      <c r="Q485" s="5" t="s">
        <v>9213</v>
      </c>
      <c r="R485" s="5" t="s">
        <v>9214</v>
      </c>
      <c r="S485" s="5"/>
      <c r="T485" s="5"/>
    </row>
    <row r="486" spans="1:20" x14ac:dyDescent="0.25">
      <c r="A486" s="5" t="s">
        <v>9472</v>
      </c>
      <c r="B486" s="7" t="s">
        <v>8450</v>
      </c>
      <c r="C486" s="5" t="s">
        <v>11</v>
      </c>
      <c r="D486" s="5"/>
      <c r="F486" s="5"/>
      <c r="G486" s="7">
        <v>59</v>
      </c>
      <c r="H486" s="5" t="s">
        <v>9392</v>
      </c>
      <c r="I486" s="5" t="str">
        <f t="shared" si="7"/>
        <v>fate4851030</v>
      </c>
      <c r="J486" s="6" t="s">
        <v>9439</v>
      </c>
      <c r="K486" s="6">
        <v>10</v>
      </c>
      <c r="L486" s="6">
        <v>30</v>
      </c>
      <c r="M486" s="6"/>
      <c r="N486" s="6"/>
      <c r="P486" s="5" t="s">
        <v>9212</v>
      </c>
      <c r="Q486" s="5" t="s">
        <v>9213</v>
      </c>
      <c r="R486" s="5" t="s">
        <v>9214</v>
      </c>
      <c r="S486" s="5"/>
      <c r="T486" s="5"/>
    </row>
    <row r="487" spans="1:20" x14ac:dyDescent="0.25">
      <c r="A487" s="5" t="s">
        <v>9474</v>
      </c>
      <c r="B487" s="7" t="s">
        <v>8424</v>
      </c>
      <c r="C487" s="5" t="s">
        <v>11</v>
      </c>
      <c r="D487" s="5"/>
      <c r="F487" s="5"/>
      <c r="G487" s="7">
        <v>58</v>
      </c>
      <c r="H487" s="5" t="s">
        <v>9392</v>
      </c>
      <c r="I487" s="5" t="str">
        <f t="shared" si="7"/>
        <v>fate4861323</v>
      </c>
      <c r="J487" s="6" t="s">
        <v>9399</v>
      </c>
      <c r="K487" s="6">
        <v>13</v>
      </c>
      <c r="L487" s="6">
        <v>23</v>
      </c>
      <c r="M487" s="6"/>
      <c r="N487" s="6"/>
      <c r="P487" s="5" t="s">
        <v>9393</v>
      </c>
      <c r="Q487" s="5" t="s">
        <v>9394</v>
      </c>
      <c r="R487" s="5" t="s">
        <v>9395</v>
      </c>
      <c r="S487" s="5"/>
      <c r="T487" s="5"/>
    </row>
    <row r="488" spans="1:20" x14ac:dyDescent="0.25">
      <c r="A488" s="5" t="s">
        <v>9476</v>
      </c>
      <c r="B488" s="7" t="s">
        <v>10503</v>
      </c>
      <c r="C488" s="5" t="s">
        <v>11</v>
      </c>
      <c r="D488" s="1" t="s">
        <v>10914</v>
      </c>
      <c r="F488" s="5"/>
      <c r="G488" s="7">
        <v>58</v>
      </c>
      <c r="H488" s="5" t="s">
        <v>9392</v>
      </c>
      <c r="I488" s="5" t="str">
        <f t="shared" si="7"/>
        <v>fate4871419</v>
      </c>
      <c r="J488" s="6" t="s">
        <v>9391</v>
      </c>
      <c r="K488" s="6">
        <v>14</v>
      </c>
      <c r="L488" s="6">
        <v>19</v>
      </c>
      <c r="M488" s="6"/>
      <c r="N488" s="6"/>
      <c r="P488" s="5" t="s">
        <v>9393</v>
      </c>
      <c r="Q488" s="5" t="s">
        <v>9394</v>
      </c>
      <c r="R488" s="5" t="s">
        <v>9395</v>
      </c>
      <c r="S488" s="5"/>
      <c r="T488" s="5"/>
    </row>
    <row r="489" spans="1:20" x14ac:dyDescent="0.25">
      <c r="A489" s="5" t="s">
        <v>9478</v>
      </c>
      <c r="B489" s="7" t="s">
        <v>10503</v>
      </c>
      <c r="C489" s="5" t="s">
        <v>11</v>
      </c>
      <c r="D489" s="1" t="s">
        <v>10913</v>
      </c>
      <c r="F489" s="5"/>
      <c r="G489" s="7">
        <v>58</v>
      </c>
      <c r="H489" s="5" t="s">
        <v>9392</v>
      </c>
      <c r="I489" s="5" t="str">
        <f t="shared" si="7"/>
        <v>fate4882826</v>
      </c>
      <c r="J489" s="6" t="s">
        <v>9407</v>
      </c>
      <c r="K489" s="6">
        <v>28</v>
      </c>
      <c r="L489" s="6">
        <v>26</v>
      </c>
      <c r="M489" s="6"/>
      <c r="N489" s="6"/>
      <c r="P489" s="5" t="s">
        <v>9393</v>
      </c>
      <c r="Q489" s="5" t="s">
        <v>9394</v>
      </c>
      <c r="R489" s="5" t="s">
        <v>9395</v>
      </c>
      <c r="S489" s="5"/>
      <c r="T489" s="5"/>
    </row>
    <row r="490" spans="1:20" x14ac:dyDescent="0.25">
      <c r="A490" s="5" t="s">
        <v>9482</v>
      </c>
      <c r="B490" s="7" t="s">
        <v>10503</v>
      </c>
      <c r="C490" s="5" t="s">
        <v>11</v>
      </c>
      <c r="D490" s="1" t="s">
        <v>10915</v>
      </c>
      <c r="F490" s="5"/>
      <c r="G490" s="7">
        <v>58</v>
      </c>
      <c r="H490" s="5" t="s">
        <v>9392</v>
      </c>
      <c r="I490" s="5" t="str">
        <f t="shared" si="7"/>
        <v>fate4891223</v>
      </c>
      <c r="J490" s="6" t="s">
        <v>9411</v>
      </c>
      <c r="K490" s="6">
        <v>12</v>
      </c>
      <c r="L490" s="6">
        <v>23</v>
      </c>
      <c r="M490" s="6"/>
      <c r="N490" s="6"/>
      <c r="P490" s="5" t="s">
        <v>9393</v>
      </c>
      <c r="Q490" s="5" t="s">
        <v>9394</v>
      </c>
      <c r="R490" s="5" t="s">
        <v>9395</v>
      </c>
      <c r="S490" s="5"/>
      <c r="T490" s="5"/>
    </row>
    <row r="491" spans="1:20" x14ac:dyDescent="0.25">
      <c r="A491" s="5" t="s">
        <v>9484</v>
      </c>
      <c r="B491" s="7" t="s">
        <v>10503</v>
      </c>
      <c r="C491" s="5" t="s">
        <v>11</v>
      </c>
      <c r="D491" s="1" t="s">
        <v>10911</v>
      </c>
      <c r="F491" s="5"/>
      <c r="G491" s="7">
        <v>58</v>
      </c>
      <c r="H491" s="5" t="s">
        <v>9392</v>
      </c>
      <c r="I491" s="5" t="str">
        <f t="shared" si="7"/>
        <v>fate4903624</v>
      </c>
      <c r="J491" s="6" t="s">
        <v>9417</v>
      </c>
      <c r="K491" s="6">
        <v>36</v>
      </c>
      <c r="L491" s="6">
        <v>24</v>
      </c>
      <c r="M491" s="6"/>
      <c r="N491" s="6"/>
      <c r="P491" s="5" t="s">
        <v>9393</v>
      </c>
      <c r="Q491" s="5" t="s">
        <v>9394</v>
      </c>
      <c r="R491" s="5" t="s">
        <v>9395</v>
      </c>
      <c r="S491" s="5"/>
      <c r="T491" s="5"/>
    </row>
    <row r="492" spans="1:20" x14ac:dyDescent="0.25">
      <c r="A492" s="5" t="s">
        <v>9486</v>
      </c>
      <c r="B492" s="7" t="s">
        <v>10503</v>
      </c>
      <c r="C492" s="5" t="s">
        <v>11</v>
      </c>
      <c r="D492" s="1" t="s">
        <v>10912</v>
      </c>
      <c r="F492" s="5"/>
      <c r="G492" s="7">
        <v>58</v>
      </c>
      <c r="H492" s="5" t="s">
        <v>9392</v>
      </c>
      <c r="I492" s="5" t="str">
        <f t="shared" si="7"/>
        <v>fate491720</v>
      </c>
      <c r="J492" s="6" t="s">
        <v>9425</v>
      </c>
      <c r="K492" s="6">
        <v>7</v>
      </c>
      <c r="L492" s="6">
        <v>20</v>
      </c>
      <c r="M492" s="6"/>
      <c r="N492" s="6"/>
      <c r="P492" s="5" t="s">
        <v>9393</v>
      </c>
      <c r="Q492" s="5" t="s">
        <v>9394</v>
      </c>
      <c r="R492" s="5" t="s">
        <v>9395</v>
      </c>
      <c r="S492" s="5"/>
      <c r="T492" s="5"/>
    </row>
    <row r="493" spans="1:20" x14ac:dyDescent="0.25">
      <c r="A493" s="5" t="s">
        <v>9488</v>
      </c>
      <c r="B493" s="7" t="s">
        <v>10503</v>
      </c>
      <c r="C493" s="5" t="s">
        <v>11</v>
      </c>
      <c r="D493" s="1" t="s">
        <v>10908</v>
      </c>
      <c r="F493" s="5"/>
      <c r="G493" s="7">
        <v>58</v>
      </c>
      <c r="H493" s="5" t="s">
        <v>9392</v>
      </c>
      <c r="I493" s="5" t="str">
        <f t="shared" si="7"/>
        <v>fate4923822</v>
      </c>
      <c r="J493" s="6" t="s">
        <v>9427</v>
      </c>
      <c r="K493" s="6">
        <v>38</v>
      </c>
      <c r="L493" s="6">
        <v>22</v>
      </c>
      <c r="M493" s="6"/>
      <c r="N493" s="6"/>
      <c r="P493" s="5" t="s">
        <v>9393</v>
      </c>
      <c r="Q493" s="5" t="s">
        <v>9394</v>
      </c>
      <c r="R493" s="5" t="s">
        <v>9395</v>
      </c>
      <c r="S493" s="5"/>
      <c r="T493" s="5"/>
    </row>
    <row r="494" spans="1:20" x14ac:dyDescent="0.25">
      <c r="A494" s="5" t="s">
        <v>9490</v>
      </c>
      <c r="B494" s="7" t="s">
        <v>10503</v>
      </c>
      <c r="C494" s="5" t="s">
        <v>11</v>
      </c>
      <c r="D494" s="1" t="s">
        <v>761</v>
      </c>
      <c r="F494" s="5"/>
      <c r="G494" s="7">
        <v>59</v>
      </c>
      <c r="H494" s="5" t="s">
        <v>9392</v>
      </c>
      <c r="I494" s="5" t="str">
        <f t="shared" si="7"/>
        <v>fate4931134</v>
      </c>
      <c r="J494" s="6" t="s">
        <v>762</v>
      </c>
      <c r="K494" s="6">
        <v>11</v>
      </c>
      <c r="L494" s="6">
        <v>34</v>
      </c>
      <c r="M494" s="6"/>
      <c r="N494" s="6"/>
      <c r="P494" s="5" t="s">
        <v>9212</v>
      </c>
      <c r="Q494" s="5" t="s">
        <v>9213</v>
      </c>
      <c r="R494" s="5" t="s">
        <v>9214</v>
      </c>
      <c r="S494" s="5"/>
      <c r="T494" s="5"/>
    </row>
    <row r="495" spans="1:20" x14ac:dyDescent="0.25">
      <c r="A495" s="5" t="s">
        <v>9492</v>
      </c>
      <c r="B495" s="7" t="s">
        <v>10503</v>
      </c>
      <c r="C495" s="5" t="s">
        <v>11</v>
      </c>
      <c r="D495" s="1" t="s">
        <v>10916</v>
      </c>
      <c r="F495" s="5"/>
      <c r="G495" s="7">
        <v>59</v>
      </c>
      <c r="H495" s="5" t="s">
        <v>9392</v>
      </c>
      <c r="I495" s="5" t="str">
        <f t="shared" si="7"/>
        <v>fate4941436</v>
      </c>
      <c r="J495" s="6" t="s">
        <v>9444</v>
      </c>
      <c r="K495" s="6">
        <v>14</v>
      </c>
      <c r="L495" s="6">
        <v>36</v>
      </c>
      <c r="M495" s="6"/>
      <c r="N495" s="6"/>
      <c r="P495" s="5" t="s">
        <v>9212</v>
      </c>
      <c r="Q495" s="5" t="s">
        <v>9213</v>
      </c>
      <c r="R495" s="5" t="s">
        <v>9214</v>
      </c>
      <c r="S495" s="5"/>
      <c r="T495" s="5"/>
    </row>
    <row r="496" spans="1:20" x14ac:dyDescent="0.25">
      <c r="A496" s="5" t="s">
        <v>9494</v>
      </c>
      <c r="B496" s="7" t="s">
        <v>8424</v>
      </c>
      <c r="C496" s="5" t="s">
        <v>11</v>
      </c>
      <c r="D496" s="5"/>
      <c r="E496" s="5">
        <v>27</v>
      </c>
      <c r="F496" s="5">
        <v>1</v>
      </c>
      <c r="G496" s="7">
        <v>58</v>
      </c>
      <c r="H496" s="5" t="s">
        <v>9392</v>
      </c>
      <c r="I496" s="5" t="str">
        <f t="shared" si="7"/>
        <v>fate4953224</v>
      </c>
      <c r="J496" s="6" t="s">
        <v>9413</v>
      </c>
      <c r="K496" s="6">
        <v>32</v>
      </c>
      <c r="L496" s="6">
        <v>24</v>
      </c>
      <c r="M496" s="6"/>
      <c r="N496" s="6"/>
      <c r="P496" s="5" t="s">
        <v>9393</v>
      </c>
      <c r="Q496" s="5" t="s">
        <v>9394</v>
      </c>
      <c r="R496" s="5" t="s">
        <v>9395</v>
      </c>
      <c r="S496" s="5"/>
      <c r="T496" s="5"/>
    </row>
    <row r="497" spans="1:20" x14ac:dyDescent="0.25">
      <c r="A497" s="5" t="s">
        <v>9499</v>
      </c>
      <c r="B497" s="7" t="s">
        <v>8310</v>
      </c>
      <c r="C497" s="5" t="s">
        <v>11</v>
      </c>
      <c r="D497" s="5"/>
      <c r="E497" s="5">
        <v>27</v>
      </c>
      <c r="F497" s="5">
        <v>2</v>
      </c>
      <c r="G497" s="7">
        <v>58</v>
      </c>
      <c r="H497" s="5" t="s">
        <v>9392</v>
      </c>
      <c r="I497" s="5" t="str">
        <f t="shared" si="7"/>
        <v>fate4963222</v>
      </c>
      <c r="J497" s="6" t="s">
        <v>9431</v>
      </c>
      <c r="K497" s="6">
        <v>32</v>
      </c>
      <c r="L497" s="6">
        <v>22</v>
      </c>
      <c r="M497" s="6"/>
      <c r="N497" s="6"/>
      <c r="P497" s="5" t="s">
        <v>9393</v>
      </c>
      <c r="Q497" s="5" t="s">
        <v>9394</v>
      </c>
      <c r="R497" s="5" t="s">
        <v>9395</v>
      </c>
      <c r="S497" s="5"/>
      <c r="T497" s="5"/>
    </row>
    <row r="498" spans="1:20" x14ac:dyDescent="0.25">
      <c r="A498" s="5" t="s">
        <v>9501</v>
      </c>
      <c r="B498" s="7" t="s">
        <v>10503</v>
      </c>
      <c r="C498" s="5" t="s">
        <v>11</v>
      </c>
      <c r="D498" s="1" t="s">
        <v>10909</v>
      </c>
      <c r="E498" s="5">
        <v>27</v>
      </c>
      <c r="F498" s="5">
        <v>3</v>
      </c>
      <c r="G498" s="7">
        <v>58</v>
      </c>
      <c r="H498" s="5" t="s">
        <v>9392</v>
      </c>
      <c r="I498" s="5" t="str">
        <f t="shared" si="7"/>
        <v>fate4973122</v>
      </c>
      <c r="J498" s="6" t="s">
        <v>9397</v>
      </c>
      <c r="K498" s="6">
        <v>31</v>
      </c>
      <c r="L498" s="6">
        <v>22</v>
      </c>
      <c r="M498" s="6"/>
      <c r="N498" s="6"/>
      <c r="P498" s="5" t="s">
        <v>9393</v>
      </c>
      <c r="Q498" s="5" t="s">
        <v>9394</v>
      </c>
      <c r="R498" s="5" t="s">
        <v>9395</v>
      </c>
      <c r="S498" s="5"/>
      <c r="T498" s="5"/>
    </row>
    <row r="499" spans="1:20" x14ac:dyDescent="0.25">
      <c r="A499" s="5" t="s">
        <v>9503</v>
      </c>
      <c r="B499" s="7" t="s">
        <v>8346</v>
      </c>
      <c r="C499" s="5" t="s">
        <v>11</v>
      </c>
      <c r="D499" s="5"/>
      <c r="E499" s="5">
        <v>28</v>
      </c>
      <c r="F499" s="5">
        <v>1</v>
      </c>
      <c r="G499" s="7">
        <v>58</v>
      </c>
      <c r="H499" s="5" t="s">
        <v>9392</v>
      </c>
      <c r="I499" s="5" t="str">
        <f t="shared" si="7"/>
        <v>fate4982118</v>
      </c>
      <c r="J499" s="6" t="s">
        <v>9403</v>
      </c>
      <c r="K499" s="6">
        <v>21</v>
      </c>
      <c r="L499" s="6">
        <v>18</v>
      </c>
      <c r="M499" s="6"/>
      <c r="N499" s="6"/>
      <c r="P499" s="5" t="s">
        <v>9393</v>
      </c>
      <c r="Q499" s="5" t="s">
        <v>9394</v>
      </c>
      <c r="R499" s="5" t="s">
        <v>9395</v>
      </c>
      <c r="S499" s="5"/>
      <c r="T499" s="5"/>
    </row>
    <row r="500" spans="1:20" x14ac:dyDescent="0.25">
      <c r="A500" s="5" t="s">
        <v>9505</v>
      </c>
      <c r="B500" s="7" t="s">
        <v>10503</v>
      </c>
      <c r="C500" s="5" t="s">
        <v>11</v>
      </c>
      <c r="D500" s="1" t="s">
        <v>10910</v>
      </c>
      <c r="E500" s="5">
        <v>28</v>
      </c>
      <c r="F500" s="5">
        <v>2</v>
      </c>
      <c r="G500" s="7">
        <v>58</v>
      </c>
      <c r="H500" s="5" t="s">
        <v>9392</v>
      </c>
      <c r="I500" s="5" t="str">
        <f t="shared" si="7"/>
        <v>fate4992218</v>
      </c>
      <c r="J500" s="6" t="s">
        <v>9423</v>
      </c>
      <c r="K500" s="6">
        <v>22</v>
      </c>
      <c r="L500" s="6">
        <v>18</v>
      </c>
      <c r="M500" s="6"/>
      <c r="N500" s="6"/>
      <c r="P500" s="5" t="s">
        <v>9393</v>
      </c>
      <c r="Q500" s="5" t="s">
        <v>9394</v>
      </c>
      <c r="R500" s="5" t="s">
        <v>9395</v>
      </c>
      <c r="S500" s="5"/>
      <c r="T500" s="5"/>
    </row>
    <row r="501" spans="1:20" x14ac:dyDescent="0.25">
      <c r="A501" s="5" t="s">
        <v>9507</v>
      </c>
      <c r="B501" s="7" t="s">
        <v>8310</v>
      </c>
      <c r="C501" s="5" t="s">
        <v>73</v>
      </c>
      <c r="D501" s="5"/>
      <c r="F501" s="5"/>
      <c r="G501" s="7">
        <v>60</v>
      </c>
      <c r="H501" s="5" t="s">
        <v>9453</v>
      </c>
      <c r="I501" s="5" t="str">
        <f t="shared" si="7"/>
        <v>fate5001213</v>
      </c>
      <c r="J501" s="6" t="s">
        <v>9459</v>
      </c>
      <c r="K501" s="6">
        <v>12.7</v>
      </c>
      <c r="L501" s="6">
        <v>13.5</v>
      </c>
      <c r="M501" s="6"/>
      <c r="N501" s="6"/>
      <c r="P501" s="5" t="s">
        <v>9454</v>
      </c>
      <c r="Q501" s="5" t="s">
        <v>8546</v>
      </c>
      <c r="R501" s="5" t="s">
        <v>9455</v>
      </c>
      <c r="S501" s="5"/>
      <c r="T501" s="5"/>
    </row>
    <row r="502" spans="1:20" x14ac:dyDescent="0.25">
      <c r="A502" s="5" t="s">
        <v>9509</v>
      </c>
      <c r="B502" s="7" t="s">
        <v>8310</v>
      </c>
      <c r="C502" s="5" t="s">
        <v>73</v>
      </c>
      <c r="D502" s="5"/>
      <c r="F502" s="5"/>
      <c r="G502" s="7">
        <v>60</v>
      </c>
      <c r="H502" s="5" t="s">
        <v>9453</v>
      </c>
      <c r="I502" s="5" t="str">
        <f t="shared" si="7"/>
        <v>fate5011012</v>
      </c>
      <c r="J502" s="6" t="s">
        <v>9465</v>
      </c>
      <c r="K502" s="6">
        <v>10.1</v>
      </c>
      <c r="L502" s="6">
        <v>12.6</v>
      </c>
      <c r="M502" s="6"/>
      <c r="N502" s="6"/>
      <c r="P502" s="5" t="s">
        <v>9454</v>
      </c>
      <c r="Q502" s="5" t="s">
        <v>8546</v>
      </c>
      <c r="R502" s="5" t="s">
        <v>9455</v>
      </c>
      <c r="S502" s="5"/>
      <c r="T502" s="5"/>
    </row>
    <row r="503" spans="1:20" x14ac:dyDescent="0.25">
      <c r="A503" s="5" t="s">
        <v>9511</v>
      </c>
      <c r="B503" s="7" t="s">
        <v>8310</v>
      </c>
      <c r="C503" s="5" t="s">
        <v>73</v>
      </c>
      <c r="D503" s="5"/>
      <c r="F503" s="5"/>
      <c r="G503" s="7">
        <v>60</v>
      </c>
      <c r="H503" s="5" t="s">
        <v>9453</v>
      </c>
      <c r="I503" s="5" t="str">
        <f t="shared" si="7"/>
        <v>fate5022710</v>
      </c>
      <c r="J503" s="6" t="s">
        <v>9473</v>
      </c>
      <c r="K503" s="6">
        <v>27.5</v>
      </c>
      <c r="L503" s="6">
        <v>10.199999999999999</v>
      </c>
      <c r="M503" s="6"/>
      <c r="N503" s="6"/>
      <c r="P503" s="5" t="s">
        <v>9454</v>
      </c>
      <c r="Q503" s="5" t="s">
        <v>8546</v>
      </c>
      <c r="R503" s="5" t="s">
        <v>9455</v>
      </c>
      <c r="S503" s="5"/>
      <c r="T503" s="5"/>
    </row>
    <row r="504" spans="1:20" x14ac:dyDescent="0.25">
      <c r="A504" s="5" t="s">
        <v>9513</v>
      </c>
      <c r="B504" s="7" t="s">
        <v>8310</v>
      </c>
      <c r="C504" s="5" t="s">
        <v>73</v>
      </c>
      <c r="D504" s="5"/>
      <c r="F504" s="5"/>
      <c r="G504" s="7">
        <v>60</v>
      </c>
      <c r="H504" s="5" t="s">
        <v>9453</v>
      </c>
      <c r="I504" s="5" t="str">
        <f t="shared" si="7"/>
        <v>fate5031211</v>
      </c>
      <c r="J504" s="6" t="s">
        <v>9477</v>
      </c>
      <c r="K504" s="6">
        <v>12.2</v>
      </c>
      <c r="L504" s="6">
        <v>11.1</v>
      </c>
      <c r="M504" s="6"/>
      <c r="N504" s="6"/>
      <c r="P504" s="5" t="s">
        <v>9454</v>
      </c>
      <c r="Q504" s="5" t="s">
        <v>8546</v>
      </c>
      <c r="R504" s="5" t="s">
        <v>9455</v>
      </c>
      <c r="S504" s="5"/>
      <c r="T504" s="5"/>
    </row>
    <row r="505" spans="1:20" x14ac:dyDescent="0.25">
      <c r="A505" s="5" t="s">
        <v>9515</v>
      </c>
      <c r="B505" s="7" t="s">
        <v>8310</v>
      </c>
      <c r="C505" s="5" t="s">
        <v>73</v>
      </c>
      <c r="D505" s="5"/>
      <c r="F505" s="5"/>
      <c r="G505" s="7">
        <v>61</v>
      </c>
      <c r="H505" s="5" t="s">
        <v>9453</v>
      </c>
      <c r="I505" s="5" t="str">
        <f t="shared" si="7"/>
        <v>fate5041029</v>
      </c>
      <c r="J505" s="6" t="s">
        <v>9483</v>
      </c>
      <c r="K505" s="6">
        <v>10.3</v>
      </c>
      <c r="L505" s="6">
        <v>29</v>
      </c>
      <c r="M505" s="6"/>
      <c r="N505" s="6"/>
      <c r="P505" s="5" t="s">
        <v>9480</v>
      </c>
      <c r="Q505" s="5" t="s">
        <v>9481</v>
      </c>
      <c r="R505" s="5" t="s">
        <v>8322</v>
      </c>
      <c r="S505" s="5"/>
      <c r="T505" s="5"/>
    </row>
    <row r="506" spans="1:20" x14ac:dyDescent="0.25">
      <c r="A506" s="5" t="s">
        <v>9517</v>
      </c>
      <c r="B506" s="7" t="s">
        <v>8310</v>
      </c>
      <c r="C506" s="5" t="s">
        <v>73</v>
      </c>
      <c r="D506" s="5"/>
      <c r="F506" s="5"/>
      <c r="G506" s="7">
        <v>61</v>
      </c>
      <c r="H506" s="5" t="s">
        <v>9453</v>
      </c>
      <c r="I506" s="5" t="str">
        <f t="shared" si="7"/>
        <v>fate5051225</v>
      </c>
      <c r="J506" s="6" t="s">
        <v>9485</v>
      </c>
      <c r="K506" s="6">
        <v>12</v>
      </c>
      <c r="L506" s="6">
        <v>25.8</v>
      </c>
      <c r="M506" s="6"/>
      <c r="N506" s="6"/>
      <c r="P506" s="5" t="s">
        <v>9480</v>
      </c>
      <c r="Q506" s="5" t="s">
        <v>9481</v>
      </c>
      <c r="R506" s="5" t="s">
        <v>8322</v>
      </c>
      <c r="S506" s="5"/>
      <c r="T506" s="5"/>
    </row>
    <row r="507" spans="1:20" x14ac:dyDescent="0.25">
      <c r="A507" s="5" t="s">
        <v>9520</v>
      </c>
      <c r="B507" s="7" t="s">
        <v>8310</v>
      </c>
      <c r="C507" s="5" t="s">
        <v>73</v>
      </c>
      <c r="D507" s="5"/>
      <c r="F507" s="5"/>
      <c r="G507" s="7">
        <v>61</v>
      </c>
      <c r="H507" s="5" t="s">
        <v>9453</v>
      </c>
      <c r="I507" s="5" t="str">
        <f t="shared" si="7"/>
        <v>fate5061018</v>
      </c>
      <c r="J507" s="6" t="s">
        <v>9487</v>
      </c>
      <c r="K507" s="6">
        <v>10.6</v>
      </c>
      <c r="L507" s="6">
        <v>18.899999999999999</v>
      </c>
      <c r="M507" s="6"/>
      <c r="N507" s="6"/>
      <c r="P507" s="5" t="s">
        <v>9480</v>
      </c>
      <c r="Q507" s="5" t="s">
        <v>9481</v>
      </c>
      <c r="R507" s="5" t="s">
        <v>8322</v>
      </c>
      <c r="S507" s="5"/>
      <c r="T507" s="5"/>
    </row>
    <row r="508" spans="1:20" x14ac:dyDescent="0.25">
      <c r="A508" s="5" t="s">
        <v>9522</v>
      </c>
      <c r="B508" s="7" t="s">
        <v>8310</v>
      </c>
      <c r="C508" s="5" t="s">
        <v>73</v>
      </c>
      <c r="D508" s="5"/>
      <c r="F508" s="5"/>
      <c r="G508" s="7">
        <v>61</v>
      </c>
      <c r="H508" s="5" t="s">
        <v>9453</v>
      </c>
      <c r="I508" s="5" t="str">
        <f t="shared" si="7"/>
        <v>fate5071320</v>
      </c>
      <c r="J508" s="6" t="s">
        <v>9493</v>
      </c>
      <c r="K508" s="6">
        <v>13.7</v>
      </c>
      <c r="L508" s="6">
        <v>20.2</v>
      </c>
      <c r="M508" s="6"/>
      <c r="N508" s="6"/>
      <c r="P508" s="5" t="s">
        <v>9480</v>
      </c>
      <c r="Q508" s="5" t="s">
        <v>9481</v>
      </c>
      <c r="R508" s="5" t="s">
        <v>8322</v>
      </c>
      <c r="S508" s="5"/>
      <c r="T508" s="5"/>
    </row>
    <row r="509" spans="1:20" x14ac:dyDescent="0.25">
      <c r="A509" s="5" t="s">
        <v>9524</v>
      </c>
      <c r="B509" s="7" t="s">
        <v>8310</v>
      </c>
      <c r="C509" s="5" t="s">
        <v>73</v>
      </c>
      <c r="D509" s="5"/>
      <c r="F509" s="5"/>
      <c r="G509" s="7">
        <v>67</v>
      </c>
      <c r="H509" s="5" t="s">
        <v>9453</v>
      </c>
      <c r="I509" s="5" t="str">
        <f t="shared" si="7"/>
        <v>fate5083528</v>
      </c>
      <c r="J509" s="6" t="s">
        <v>9500</v>
      </c>
      <c r="K509" s="6">
        <v>35.700000000000003</v>
      </c>
      <c r="L509" s="6">
        <v>28.4</v>
      </c>
      <c r="M509" s="6"/>
      <c r="N509" s="6"/>
      <c r="P509" s="5" t="s">
        <v>9496</v>
      </c>
      <c r="Q509" s="5" t="s">
        <v>9497</v>
      </c>
      <c r="R509" s="5" t="s">
        <v>9498</v>
      </c>
      <c r="S509" s="5"/>
      <c r="T509" s="5"/>
    </row>
    <row r="510" spans="1:20" x14ac:dyDescent="0.25">
      <c r="A510" s="5" t="s">
        <v>9526</v>
      </c>
      <c r="B510" s="7" t="s">
        <v>8310</v>
      </c>
      <c r="C510" s="5" t="s">
        <v>73</v>
      </c>
      <c r="D510" s="5"/>
      <c r="F510" s="5"/>
      <c r="G510" s="7">
        <v>67</v>
      </c>
      <c r="H510" s="5" t="s">
        <v>9453</v>
      </c>
      <c r="I510" s="5" t="str">
        <f t="shared" si="7"/>
        <v>fate5093125</v>
      </c>
      <c r="J510" s="6" t="s">
        <v>9508</v>
      </c>
      <c r="K510" s="6">
        <v>31.8</v>
      </c>
      <c r="L510" s="6">
        <v>25.6</v>
      </c>
      <c r="M510" s="6"/>
      <c r="N510" s="6"/>
      <c r="P510" s="5" t="s">
        <v>9496</v>
      </c>
      <c r="Q510" s="5" t="s">
        <v>9497</v>
      </c>
      <c r="R510" s="5" t="s">
        <v>9498</v>
      </c>
      <c r="S510" s="5"/>
      <c r="T510" s="5"/>
    </row>
    <row r="511" spans="1:20" x14ac:dyDescent="0.25">
      <c r="A511" s="5" t="s">
        <v>9528</v>
      </c>
      <c r="B511" s="7" t="s">
        <v>8346</v>
      </c>
      <c r="C511" s="5" t="s">
        <v>73</v>
      </c>
      <c r="D511" s="5"/>
      <c r="F511" s="5"/>
      <c r="G511" s="7">
        <v>60</v>
      </c>
      <c r="H511" s="5" t="s">
        <v>9453</v>
      </c>
      <c r="I511" s="5" t="str">
        <f t="shared" si="7"/>
        <v>fate5102311</v>
      </c>
      <c r="J511" s="6" t="s">
        <v>9461</v>
      </c>
      <c r="K511" s="6">
        <v>23.6</v>
      </c>
      <c r="L511" s="6">
        <v>11.2</v>
      </c>
      <c r="M511" s="6"/>
      <c r="N511" s="6"/>
      <c r="P511" s="5" t="s">
        <v>9454</v>
      </c>
      <c r="Q511" s="5" t="s">
        <v>8546</v>
      </c>
      <c r="R511" s="5" t="s">
        <v>9455</v>
      </c>
      <c r="S511" s="5"/>
      <c r="T511" s="5"/>
    </row>
    <row r="512" spans="1:20" x14ac:dyDescent="0.25">
      <c r="A512" s="5" t="s">
        <v>9530</v>
      </c>
      <c r="B512" s="7" t="s">
        <v>8346</v>
      </c>
      <c r="C512" s="5" t="s">
        <v>73</v>
      </c>
      <c r="D512" s="5"/>
      <c r="F512" s="5"/>
      <c r="G512" s="7">
        <v>61</v>
      </c>
      <c r="H512" s="5" t="s">
        <v>9453</v>
      </c>
      <c r="I512" s="5" t="str">
        <f t="shared" si="7"/>
        <v>fate5111122</v>
      </c>
      <c r="J512" s="6" t="s">
        <v>9479</v>
      </c>
      <c r="K512" s="6">
        <v>11.5</v>
      </c>
      <c r="L512" s="6">
        <v>22.4</v>
      </c>
      <c r="M512" s="6"/>
      <c r="N512" s="6"/>
      <c r="P512" s="5" t="s">
        <v>9480</v>
      </c>
      <c r="Q512" s="5" t="s">
        <v>9481</v>
      </c>
      <c r="R512" s="5" t="s">
        <v>8322</v>
      </c>
      <c r="S512" s="5"/>
      <c r="T512" s="5"/>
    </row>
    <row r="513" spans="1:20" x14ac:dyDescent="0.25">
      <c r="A513" s="5" t="s">
        <v>9532</v>
      </c>
      <c r="B513" s="7" t="s">
        <v>8346</v>
      </c>
      <c r="C513" s="5" t="s">
        <v>73</v>
      </c>
      <c r="D513" s="5"/>
      <c r="F513" s="5"/>
      <c r="G513" s="7">
        <v>67</v>
      </c>
      <c r="H513" s="5" t="s">
        <v>9453</v>
      </c>
      <c r="I513" s="5" t="str">
        <f t="shared" si="7"/>
        <v>fate5123129</v>
      </c>
      <c r="J513" s="6" t="s">
        <v>9516</v>
      </c>
      <c r="K513" s="6">
        <v>31.4</v>
      </c>
      <c r="L513" s="6">
        <v>29.6</v>
      </c>
      <c r="M513" s="6"/>
      <c r="N513" s="6"/>
      <c r="P513" s="5" t="s">
        <v>9496</v>
      </c>
      <c r="Q513" s="5" t="s">
        <v>9497</v>
      </c>
      <c r="R513" s="5" t="s">
        <v>9498</v>
      </c>
      <c r="S513" s="5"/>
      <c r="T513" s="5"/>
    </row>
    <row r="514" spans="1:20" x14ac:dyDescent="0.25">
      <c r="A514" s="5" t="s">
        <v>9534</v>
      </c>
      <c r="B514" s="7" t="s">
        <v>8450</v>
      </c>
      <c r="C514" s="5" t="s">
        <v>73</v>
      </c>
      <c r="D514" s="5"/>
      <c r="F514" s="5"/>
      <c r="G514" s="7">
        <v>60</v>
      </c>
      <c r="H514" s="5" t="s">
        <v>9453</v>
      </c>
      <c r="I514" s="5" t="str">
        <f t="shared" si="7"/>
        <v>fate5132314</v>
      </c>
      <c r="J514" s="6" t="s">
        <v>9469</v>
      </c>
      <c r="K514" s="6">
        <v>23.7</v>
      </c>
      <c r="L514" s="6">
        <v>14</v>
      </c>
      <c r="M514" s="6"/>
      <c r="N514" s="6"/>
      <c r="P514" s="5" t="s">
        <v>9454</v>
      </c>
      <c r="Q514" s="5" t="s">
        <v>8546</v>
      </c>
      <c r="R514" s="5" t="s">
        <v>9455</v>
      </c>
      <c r="S514" s="5"/>
      <c r="T514" s="5"/>
    </row>
    <row r="515" spans="1:20" x14ac:dyDescent="0.25">
      <c r="A515" s="5" t="s">
        <v>9536</v>
      </c>
      <c r="B515" s="7" t="s">
        <v>8450</v>
      </c>
      <c r="C515" s="5" t="s">
        <v>73</v>
      </c>
      <c r="D515" s="5"/>
      <c r="F515" s="5"/>
      <c r="G515" s="7">
        <v>60</v>
      </c>
      <c r="H515" s="5" t="s">
        <v>9453</v>
      </c>
      <c r="I515" s="5" t="str">
        <f t="shared" si="7"/>
        <v>fate5142812</v>
      </c>
      <c r="J515" s="6" t="s">
        <v>9475</v>
      </c>
      <c r="K515" s="6">
        <v>28.6</v>
      </c>
      <c r="L515" s="6">
        <v>12</v>
      </c>
      <c r="M515" s="6"/>
      <c r="N515" s="6"/>
      <c r="P515" s="5" t="s">
        <v>9454</v>
      </c>
      <c r="Q515" s="5" t="s">
        <v>8546</v>
      </c>
      <c r="R515" s="5" t="s">
        <v>9455</v>
      </c>
      <c r="S515" s="5"/>
      <c r="T515" s="5"/>
    </row>
    <row r="516" spans="1:20" x14ac:dyDescent="0.25">
      <c r="A516" s="5" t="s">
        <v>9538</v>
      </c>
      <c r="B516" s="7" t="s">
        <v>8424</v>
      </c>
      <c r="C516" s="5" t="s">
        <v>73</v>
      </c>
      <c r="D516" s="5"/>
      <c r="F516" s="5"/>
      <c r="G516" s="7">
        <v>67</v>
      </c>
      <c r="H516" s="5" t="s">
        <v>9453</v>
      </c>
      <c r="I516" s="5" t="str">
        <f t="shared" ref="I516:I579" si="8">A516&amp;LEFT(SUBSTITUTE(K516,".",""),2)&amp;LEFT(SUBSTITUTE(L516,".",""),2)</f>
        <v>fate5152725</v>
      </c>
      <c r="J516" s="6" t="s">
        <v>9504</v>
      </c>
      <c r="K516" s="6">
        <v>27.3</v>
      </c>
      <c r="L516" s="6">
        <v>25.3</v>
      </c>
      <c r="M516" s="6"/>
      <c r="N516" s="6"/>
      <c r="P516" s="5" t="s">
        <v>9496</v>
      </c>
      <c r="Q516" s="5" t="s">
        <v>9497</v>
      </c>
      <c r="R516" s="5" t="s">
        <v>9498</v>
      </c>
      <c r="S516" s="5"/>
      <c r="T516" s="5"/>
    </row>
    <row r="517" spans="1:20" x14ac:dyDescent="0.25">
      <c r="A517" s="5" t="s">
        <v>9540</v>
      </c>
      <c r="B517" s="7" t="s">
        <v>8424</v>
      </c>
      <c r="C517" s="5" t="s">
        <v>73</v>
      </c>
      <c r="D517" s="5"/>
      <c r="F517" s="5"/>
      <c r="G517" s="7">
        <v>67</v>
      </c>
      <c r="H517" s="5" t="s">
        <v>9453</v>
      </c>
      <c r="I517" s="5" t="str">
        <f t="shared" si="8"/>
        <v>fate5163426</v>
      </c>
      <c r="J517" s="6" t="s">
        <v>9510</v>
      </c>
      <c r="K517" s="6">
        <v>34.4</v>
      </c>
      <c r="L517" s="6">
        <v>26.1</v>
      </c>
      <c r="M517" s="6"/>
      <c r="N517" s="6"/>
      <c r="P517" s="5" t="s">
        <v>9496</v>
      </c>
      <c r="Q517" s="5" t="s">
        <v>9497</v>
      </c>
      <c r="R517" s="5" t="s">
        <v>9498</v>
      </c>
      <c r="S517" s="5"/>
      <c r="T517" s="5"/>
    </row>
    <row r="518" spans="1:20" x14ac:dyDescent="0.25">
      <c r="A518" s="5" t="s">
        <v>9542</v>
      </c>
      <c r="B518" s="7" t="s">
        <v>10503</v>
      </c>
      <c r="C518" s="5" t="s">
        <v>73</v>
      </c>
      <c r="D518" s="1" t="s">
        <v>10918</v>
      </c>
      <c r="F518" s="5"/>
      <c r="G518" s="7">
        <v>60</v>
      </c>
      <c r="H518" s="5" t="s">
        <v>9453</v>
      </c>
      <c r="I518" s="5" t="str">
        <f t="shared" si="8"/>
        <v>fate5171811</v>
      </c>
      <c r="J518" s="6" t="s">
        <v>9452</v>
      </c>
      <c r="K518" s="6">
        <v>18.100000000000001</v>
      </c>
      <c r="L518" s="6">
        <v>11.4</v>
      </c>
      <c r="M518" s="6"/>
      <c r="N518" s="6"/>
      <c r="P518" s="5" t="s">
        <v>9454</v>
      </c>
      <c r="Q518" s="5" t="s">
        <v>8546</v>
      </c>
      <c r="R518" s="5" t="s">
        <v>9455</v>
      </c>
      <c r="S518" s="5"/>
      <c r="T518" s="5"/>
    </row>
    <row r="519" spans="1:20" x14ac:dyDescent="0.25">
      <c r="A519" s="5" t="s">
        <v>9544</v>
      </c>
      <c r="B519" s="7" t="s">
        <v>10503</v>
      </c>
      <c r="C519" s="5" t="s">
        <v>73</v>
      </c>
      <c r="D519" s="1" t="s">
        <v>10917</v>
      </c>
      <c r="F519" s="5"/>
      <c r="G519" s="7">
        <v>60</v>
      </c>
      <c r="H519" s="5" t="s">
        <v>9453</v>
      </c>
      <c r="I519" s="5" t="str">
        <f t="shared" si="8"/>
        <v>fate5181116</v>
      </c>
      <c r="J519" s="6" t="s">
        <v>9457</v>
      </c>
      <c r="K519" s="6">
        <v>11.9</v>
      </c>
      <c r="L519" s="6">
        <v>16.7</v>
      </c>
      <c r="M519" s="6"/>
      <c r="N519" s="6"/>
      <c r="P519" s="5" t="s">
        <v>9454</v>
      </c>
      <c r="Q519" s="5" t="s">
        <v>8546</v>
      </c>
      <c r="R519" s="5" t="s">
        <v>9455</v>
      </c>
      <c r="S519" s="5"/>
      <c r="T519" s="5"/>
    </row>
    <row r="520" spans="1:20" x14ac:dyDescent="0.25">
      <c r="A520" s="5" t="s">
        <v>9546</v>
      </c>
      <c r="B520" s="7" t="s">
        <v>10503</v>
      </c>
      <c r="C520" s="5" t="s">
        <v>73</v>
      </c>
      <c r="D520" s="1" t="s">
        <v>10920</v>
      </c>
      <c r="F520" s="5"/>
      <c r="G520" s="7">
        <v>61</v>
      </c>
      <c r="H520" s="5" t="s">
        <v>9453</v>
      </c>
      <c r="I520" s="5" t="str">
        <f t="shared" si="8"/>
        <v>fate5191717</v>
      </c>
      <c r="J520" s="6" t="s">
        <v>9489</v>
      </c>
      <c r="K520" s="6">
        <v>17.7</v>
      </c>
      <c r="L520" s="6">
        <v>17.2</v>
      </c>
      <c r="M520" s="6"/>
      <c r="N520" s="6"/>
      <c r="P520" s="5" t="s">
        <v>9480</v>
      </c>
      <c r="Q520" s="5" t="s">
        <v>9481</v>
      </c>
      <c r="R520" s="5" t="s">
        <v>8322</v>
      </c>
      <c r="S520" s="5"/>
      <c r="T520" s="5"/>
    </row>
    <row r="521" spans="1:20" x14ac:dyDescent="0.25">
      <c r="A521" s="5" t="s">
        <v>9548</v>
      </c>
      <c r="B521" s="7" t="s">
        <v>10503</v>
      </c>
      <c r="C521" s="5" t="s">
        <v>73</v>
      </c>
      <c r="D521" s="1" t="s">
        <v>10919</v>
      </c>
      <c r="F521" s="5"/>
      <c r="G521" s="7">
        <v>61</v>
      </c>
      <c r="H521" s="5" t="s">
        <v>9453</v>
      </c>
      <c r="I521" s="5" t="str">
        <f t="shared" si="8"/>
        <v>fate5201423</v>
      </c>
      <c r="J521" s="6" t="s">
        <v>9491</v>
      </c>
      <c r="K521" s="6">
        <v>14.5</v>
      </c>
      <c r="L521" s="6">
        <v>23.7</v>
      </c>
      <c r="M521" s="6"/>
      <c r="N521" s="6"/>
      <c r="P521" s="5" t="s">
        <v>9480</v>
      </c>
      <c r="Q521" s="5" t="s">
        <v>9481</v>
      </c>
      <c r="R521" s="5" t="s">
        <v>8322</v>
      </c>
      <c r="S521" s="5"/>
      <c r="T521" s="5"/>
    </row>
    <row r="522" spans="1:20" x14ac:dyDescent="0.25">
      <c r="A522" s="5" t="s">
        <v>9550</v>
      </c>
      <c r="B522" s="7" t="s">
        <v>10503</v>
      </c>
      <c r="C522" s="5" t="s">
        <v>73</v>
      </c>
      <c r="D522" s="1" t="s">
        <v>10924</v>
      </c>
      <c r="F522" s="5"/>
      <c r="G522" s="7">
        <v>67</v>
      </c>
      <c r="H522" s="5" t="s">
        <v>9453</v>
      </c>
      <c r="I522" s="5" t="str">
        <f t="shared" si="8"/>
        <v>fate5212727</v>
      </c>
      <c r="J522" s="6" t="s">
        <v>9495</v>
      </c>
      <c r="K522" s="6">
        <v>27.8</v>
      </c>
      <c r="L522" s="6">
        <v>27.8</v>
      </c>
      <c r="M522" s="6"/>
      <c r="N522" s="6"/>
      <c r="P522" s="5" t="s">
        <v>9496</v>
      </c>
      <c r="Q522" s="5" t="s">
        <v>9497</v>
      </c>
      <c r="R522" s="5" t="s">
        <v>9498</v>
      </c>
      <c r="S522" s="5"/>
      <c r="T522" s="5"/>
    </row>
    <row r="523" spans="1:20" x14ac:dyDescent="0.25">
      <c r="A523" s="5" t="s">
        <v>9552</v>
      </c>
      <c r="B523" s="7" t="s">
        <v>10503</v>
      </c>
      <c r="C523" s="5" t="s">
        <v>73</v>
      </c>
      <c r="D523" s="1" t="s">
        <v>10925</v>
      </c>
      <c r="F523" s="5"/>
      <c r="G523" s="7">
        <v>67</v>
      </c>
      <c r="H523" s="5" t="s">
        <v>9453</v>
      </c>
      <c r="I523" s="5" t="str">
        <f t="shared" si="8"/>
        <v>fate5222923</v>
      </c>
      <c r="J523" s="6" t="s">
        <v>9512</v>
      </c>
      <c r="K523" s="6">
        <v>29.7</v>
      </c>
      <c r="L523" s="6">
        <v>23.9</v>
      </c>
      <c r="M523" s="6"/>
      <c r="N523" s="6"/>
      <c r="P523" s="5" t="s">
        <v>9496</v>
      </c>
      <c r="Q523" s="5" t="s">
        <v>9497</v>
      </c>
      <c r="R523" s="5" t="s">
        <v>9498</v>
      </c>
      <c r="S523" s="5"/>
      <c r="T523" s="5"/>
    </row>
    <row r="524" spans="1:20" x14ac:dyDescent="0.25">
      <c r="A524" s="5" t="s">
        <v>9553</v>
      </c>
      <c r="B524" s="7" t="s">
        <v>10503</v>
      </c>
      <c r="C524" s="5" t="s">
        <v>73</v>
      </c>
      <c r="D524" s="1" t="s">
        <v>10923</v>
      </c>
      <c r="F524" s="5"/>
      <c r="G524" s="7">
        <v>67</v>
      </c>
      <c r="H524" s="5" t="s">
        <v>9453</v>
      </c>
      <c r="I524" s="5" t="str">
        <f t="shared" si="8"/>
        <v>fate5232817</v>
      </c>
      <c r="J524" s="6" t="s">
        <v>9514</v>
      </c>
      <c r="K524" s="6">
        <v>28.3</v>
      </c>
      <c r="L524" s="6">
        <v>17.100000000000001</v>
      </c>
      <c r="M524" s="6"/>
      <c r="N524" s="6"/>
      <c r="P524" s="5" t="s">
        <v>9496</v>
      </c>
      <c r="Q524" s="5" t="s">
        <v>9497</v>
      </c>
      <c r="R524" s="5" t="s">
        <v>9498</v>
      </c>
      <c r="S524" s="5"/>
      <c r="T524" s="5"/>
    </row>
    <row r="525" spans="1:20" x14ac:dyDescent="0.25">
      <c r="A525" s="5" t="s">
        <v>9555</v>
      </c>
      <c r="B525" s="7" t="s">
        <v>8310</v>
      </c>
      <c r="C525" s="5" t="s">
        <v>73</v>
      </c>
      <c r="D525" s="5"/>
      <c r="E525" s="5">
        <v>29</v>
      </c>
      <c r="F525" s="5">
        <v>1</v>
      </c>
      <c r="G525" s="7">
        <v>60</v>
      </c>
      <c r="H525" s="5" t="s">
        <v>9453</v>
      </c>
      <c r="I525" s="5" t="str">
        <f t="shared" si="8"/>
        <v>fate5248516</v>
      </c>
      <c r="J525" s="6" t="s">
        <v>9471</v>
      </c>
      <c r="K525" s="6">
        <v>8.5</v>
      </c>
      <c r="L525" s="6">
        <v>16.7</v>
      </c>
      <c r="M525" s="6"/>
      <c r="N525" s="6"/>
      <c r="P525" s="5" t="s">
        <v>9454</v>
      </c>
      <c r="Q525" s="5" t="s">
        <v>8546</v>
      </c>
      <c r="R525" s="5" t="s">
        <v>9455</v>
      </c>
      <c r="S525" s="5"/>
      <c r="T525" s="5"/>
    </row>
    <row r="526" spans="1:20" x14ac:dyDescent="0.25">
      <c r="A526" s="5" t="s">
        <v>9557</v>
      </c>
      <c r="B526" s="7" t="s">
        <v>8310</v>
      </c>
      <c r="C526" s="5" t="s">
        <v>73</v>
      </c>
      <c r="D526" s="5"/>
      <c r="E526" s="5">
        <v>29</v>
      </c>
      <c r="F526" s="5">
        <v>2</v>
      </c>
      <c r="G526" s="7">
        <v>60</v>
      </c>
      <c r="H526" s="5" t="s">
        <v>9453</v>
      </c>
      <c r="I526" s="5" t="str">
        <f t="shared" si="8"/>
        <v>fate5258816</v>
      </c>
      <c r="J526" s="6" t="s">
        <v>9463</v>
      </c>
      <c r="K526" s="6">
        <v>8.8000000000000007</v>
      </c>
      <c r="L526" s="6">
        <v>16.3</v>
      </c>
      <c r="M526" s="6"/>
      <c r="N526" s="6"/>
      <c r="P526" s="5" t="s">
        <v>9454</v>
      </c>
      <c r="Q526" s="5" t="s">
        <v>8546</v>
      </c>
      <c r="R526" s="5" t="s">
        <v>9455</v>
      </c>
      <c r="S526" s="5"/>
      <c r="T526" s="5"/>
    </row>
    <row r="527" spans="1:20" x14ac:dyDescent="0.25">
      <c r="A527" s="5" t="s">
        <v>9562</v>
      </c>
      <c r="B527" s="7" t="s">
        <v>10503</v>
      </c>
      <c r="C527" s="5" t="s">
        <v>73</v>
      </c>
      <c r="D527" s="1" t="s">
        <v>10926</v>
      </c>
      <c r="E527" s="5">
        <v>29</v>
      </c>
      <c r="F527" s="5">
        <v>3</v>
      </c>
      <c r="G527" s="7">
        <v>60</v>
      </c>
      <c r="H527" s="5" t="s">
        <v>9453</v>
      </c>
      <c r="I527" s="5" t="str">
        <f t="shared" si="8"/>
        <v>fate526916</v>
      </c>
      <c r="J527" s="6" t="s">
        <v>9467</v>
      </c>
      <c r="K527" s="6">
        <v>9</v>
      </c>
      <c r="L527" s="6">
        <v>16.3</v>
      </c>
      <c r="M527" s="6"/>
      <c r="N527" s="6"/>
      <c r="P527" s="5" t="s">
        <v>9454</v>
      </c>
      <c r="Q527" s="5" t="s">
        <v>8546</v>
      </c>
      <c r="R527" s="5" t="s">
        <v>9455</v>
      </c>
      <c r="S527" s="5"/>
      <c r="T527" s="5"/>
    </row>
    <row r="528" spans="1:20" x14ac:dyDescent="0.25">
      <c r="A528" s="5" t="s">
        <v>9563</v>
      </c>
      <c r="B528" s="7" t="s">
        <v>10503</v>
      </c>
      <c r="C528" s="5" t="s">
        <v>73</v>
      </c>
      <c r="D528" s="1" t="s">
        <v>10922</v>
      </c>
      <c r="E528" s="5">
        <v>30</v>
      </c>
      <c r="F528" s="5">
        <v>1</v>
      </c>
      <c r="G528" s="7">
        <v>67</v>
      </c>
      <c r="H528" s="5" t="s">
        <v>9453</v>
      </c>
      <c r="I528" s="5" t="str">
        <f t="shared" si="8"/>
        <v>fate5273021</v>
      </c>
      <c r="J528" s="6" t="s">
        <v>9502</v>
      </c>
      <c r="K528" s="6">
        <v>30.8</v>
      </c>
      <c r="L528" s="6">
        <v>21.4</v>
      </c>
      <c r="M528" s="6"/>
      <c r="N528" s="6"/>
      <c r="P528" s="5" t="s">
        <v>9496</v>
      </c>
      <c r="Q528" s="5" t="s">
        <v>9497</v>
      </c>
      <c r="R528" s="5" t="s">
        <v>9498</v>
      </c>
      <c r="S528" s="5"/>
      <c r="T528" s="5"/>
    </row>
    <row r="529" spans="1:20" x14ac:dyDescent="0.25">
      <c r="A529" s="5" t="s">
        <v>9565</v>
      </c>
      <c r="B529" s="7" t="s">
        <v>10503</v>
      </c>
      <c r="C529" s="5" t="s">
        <v>73</v>
      </c>
      <c r="D529" s="1" t="s">
        <v>10921</v>
      </c>
      <c r="E529" s="5">
        <v>30</v>
      </c>
      <c r="F529" s="5">
        <v>2</v>
      </c>
      <c r="G529" s="7">
        <v>67</v>
      </c>
      <c r="H529" s="5" t="s">
        <v>9453</v>
      </c>
      <c r="I529" s="5" t="str">
        <f t="shared" si="8"/>
        <v>fate5283021</v>
      </c>
      <c r="J529" s="6" t="s">
        <v>9506</v>
      </c>
      <c r="K529" s="6">
        <v>30.8</v>
      </c>
      <c r="L529" s="6">
        <v>21.4</v>
      </c>
      <c r="M529" s="6"/>
      <c r="N529" s="6"/>
      <c r="P529" s="5" t="s">
        <v>9496</v>
      </c>
      <c r="Q529" s="5" t="s">
        <v>9497</v>
      </c>
      <c r="R529" s="5" t="s">
        <v>9498</v>
      </c>
      <c r="S529" s="5"/>
      <c r="T529" s="5"/>
    </row>
    <row r="530" spans="1:20" x14ac:dyDescent="0.25">
      <c r="A530" s="5" t="s">
        <v>9567</v>
      </c>
      <c r="B530" s="7" t="s">
        <v>8310</v>
      </c>
      <c r="C530" s="5" t="s">
        <v>73</v>
      </c>
      <c r="D530" s="5"/>
      <c r="F530" s="5"/>
      <c r="G530" s="7">
        <v>60</v>
      </c>
      <c r="H530" s="5" t="s">
        <v>9519</v>
      </c>
      <c r="I530" s="5" t="str">
        <f t="shared" si="8"/>
        <v>fate5292167</v>
      </c>
      <c r="J530" s="6" t="s">
        <v>9525</v>
      </c>
      <c r="K530" s="6">
        <v>21.4</v>
      </c>
      <c r="L530" s="6">
        <v>6.7</v>
      </c>
      <c r="M530" s="6"/>
      <c r="N530" s="6"/>
      <c r="P530" s="5" t="s">
        <v>9454</v>
      </c>
      <c r="Q530" s="5" t="s">
        <v>8546</v>
      </c>
      <c r="R530" s="5" t="s">
        <v>9455</v>
      </c>
      <c r="S530" s="5"/>
      <c r="T530" s="5"/>
    </row>
    <row r="531" spans="1:20" x14ac:dyDescent="0.25">
      <c r="A531" s="5" t="s">
        <v>9569</v>
      </c>
      <c r="B531" s="7" t="s">
        <v>8310</v>
      </c>
      <c r="C531" s="5" t="s">
        <v>73</v>
      </c>
      <c r="D531" s="5"/>
      <c r="F531" s="5"/>
      <c r="G531" s="7">
        <v>60</v>
      </c>
      <c r="H531" s="5" t="s">
        <v>9519</v>
      </c>
      <c r="I531" s="5" t="str">
        <f t="shared" si="8"/>
        <v>fate5302191</v>
      </c>
      <c r="J531" s="6" t="s">
        <v>9527</v>
      </c>
      <c r="K531" s="6">
        <v>21.6</v>
      </c>
      <c r="L531" s="6">
        <v>9.1</v>
      </c>
      <c r="M531" s="6"/>
      <c r="N531" s="6"/>
      <c r="P531" s="5" t="s">
        <v>9454</v>
      </c>
      <c r="Q531" s="5" t="s">
        <v>8546</v>
      </c>
      <c r="R531" s="5" t="s">
        <v>9455</v>
      </c>
      <c r="S531" s="5"/>
      <c r="T531" s="5"/>
    </row>
    <row r="532" spans="1:20" x14ac:dyDescent="0.25">
      <c r="A532" s="5" t="s">
        <v>9570</v>
      </c>
      <c r="B532" s="7" t="s">
        <v>8310</v>
      </c>
      <c r="C532" s="5" t="s">
        <v>73</v>
      </c>
      <c r="D532" s="5"/>
      <c r="F532" s="5"/>
      <c r="G532" s="7">
        <v>60</v>
      </c>
      <c r="H532" s="5" t="s">
        <v>9519</v>
      </c>
      <c r="I532" s="5" t="str">
        <f t="shared" si="8"/>
        <v>fate5311815</v>
      </c>
      <c r="J532" s="6" t="s">
        <v>9535</v>
      </c>
      <c r="K532" s="6">
        <v>18.8</v>
      </c>
      <c r="L532" s="6">
        <v>15.4</v>
      </c>
      <c r="M532" s="6"/>
      <c r="N532" s="6"/>
      <c r="P532" s="5" t="s">
        <v>9454</v>
      </c>
      <c r="Q532" s="5" t="s">
        <v>8546</v>
      </c>
      <c r="R532" s="5" t="s">
        <v>9455</v>
      </c>
      <c r="S532" s="5"/>
      <c r="T532" s="5"/>
    </row>
    <row r="533" spans="1:20" x14ac:dyDescent="0.25">
      <c r="A533" s="5" t="s">
        <v>9572</v>
      </c>
      <c r="B533" s="7" t="s">
        <v>8310</v>
      </c>
      <c r="C533" s="5" t="s">
        <v>73</v>
      </c>
      <c r="D533" s="5"/>
      <c r="F533" s="5"/>
      <c r="G533" s="7">
        <v>60</v>
      </c>
      <c r="H533" s="5" t="s">
        <v>9519</v>
      </c>
      <c r="I533" s="5" t="str">
        <f t="shared" si="8"/>
        <v>fate5321913</v>
      </c>
      <c r="J533" s="6" t="s">
        <v>9537</v>
      </c>
      <c r="K533" s="6">
        <v>19.7</v>
      </c>
      <c r="L533" s="6">
        <v>13.6</v>
      </c>
      <c r="M533" s="6"/>
      <c r="N533" s="6"/>
      <c r="P533" s="5" t="s">
        <v>9454</v>
      </c>
      <c r="Q533" s="5" t="s">
        <v>8546</v>
      </c>
      <c r="R533" s="5" t="s">
        <v>9455</v>
      </c>
      <c r="S533" s="5"/>
      <c r="T533" s="5"/>
    </row>
    <row r="534" spans="1:20" x14ac:dyDescent="0.25">
      <c r="A534" s="5" t="s">
        <v>9574</v>
      </c>
      <c r="B534" s="7" t="s">
        <v>8310</v>
      </c>
      <c r="C534" s="5" t="s">
        <v>73</v>
      </c>
      <c r="D534" s="5"/>
      <c r="F534" s="5"/>
      <c r="G534" s="7">
        <v>60</v>
      </c>
      <c r="H534" s="5" t="s">
        <v>9519</v>
      </c>
      <c r="I534" s="5" t="str">
        <f t="shared" si="8"/>
        <v>fate5331014</v>
      </c>
      <c r="J534" s="6" t="s">
        <v>9541</v>
      </c>
      <c r="K534" s="6">
        <v>10.5</v>
      </c>
      <c r="L534" s="6">
        <v>14.6</v>
      </c>
      <c r="M534" s="6"/>
      <c r="N534" s="6"/>
      <c r="P534" s="5" t="s">
        <v>9454</v>
      </c>
      <c r="Q534" s="5" t="s">
        <v>8546</v>
      </c>
      <c r="R534" s="5" t="s">
        <v>9455</v>
      </c>
      <c r="S534" s="5"/>
      <c r="T534" s="5"/>
    </row>
    <row r="535" spans="1:20" x14ac:dyDescent="0.25">
      <c r="A535" s="5" t="s">
        <v>9575</v>
      </c>
      <c r="B535" s="7" t="s">
        <v>8310</v>
      </c>
      <c r="C535" s="5" t="s">
        <v>73</v>
      </c>
      <c r="D535" s="5"/>
      <c r="F535" s="5"/>
      <c r="G535" s="7">
        <v>60</v>
      </c>
      <c r="H535" s="5" t="s">
        <v>9519</v>
      </c>
      <c r="I535" s="5" t="str">
        <f t="shared" si="8"/>
        <v>fate5341711</v>
      </c>
      <c r="J535" s="6" t="s">
        <v>9543</v>
      </c>
      <c r="K535" s="6">
        <v>17.8</v>
      </c>
      <c r="L535" s="6">
        <v>11.4</v>
      </c>
      <c r="M535" s="6"/>
      <c r="N535" s="6"/>
      <c r="P535" s="5" t="s">
        <v>9454</v>
      </c>
      <c r="Q535" s="5" t="s">
        <v>8546</v>
      </c>
      <c r="R535" s="5" t="s">
        <v>9455</v>
      </c>
      <c r="S535" s="5"/>
      <c r="T535" s="5"/>
    </row>
    <row r="536" spans="1:20" x14ac:dyDescent="0.25">
      <c r="A536" s="5" t="s">
        <v>9577</v>
      </c>
      <c r="B536" s="7" t="s">
        <v>8310</v>
      </c>
      <c r="C536" s="5" t="s">
        <v>73</v>
      </c>
      <c r="D536" s="5"/>
      <c r="F536" s="5"/>
      <c r="G536" s="7">
        <v>60</v>
      </c>
      <c r="H536" s="5" t="s">
        <v>9519</v>
      </c>
      <c r="I536" s="5" t="str">
        <f t="shared" si="8"/>
        <v>fate5351167</v>
      </c>
      <c r="J536" s="6" t="s">
        <v>9549</v>
      </c>
      <c r="K536" s="6">
        <v>11.1</v>
      </c>
      <c r="L536" s="6">
        <v>6.7</v>
      </c>
      <c r="M536" s="6"/>
      <c r="N536" s="6"/>
      <c r="P536" s="5" t="s">
        <v>9454</v>
      </c>
      <c r="Q536" s="5" t="s">
        <v>8546</v>
      </c>
      <c r="R536" s="5" t="s">
        <v>9455</v>
      </c>
      <c r="S536" s="5"/>
      <c r="T536" s="5"/>
    </row>
    <row r="537" spans="1:20" x14ac:dyDescent="0.25">
      <c r="A537" s="5" t="s">
        <v>9579</v>
      </c>
      <c r="B537" s="7" t="s">
        <v>8310</v>
      </c>
      <c r="C537" s="5" t="s">
        <v>73</v>
      </c>
      <c r="D537" s="5"/>
      <c r="F537" s="5"/>
      <c r="G537" s="7">
        <v>61</v>
      </c>
      <c r="H537" s="5" t="s">
        <v>9519</v>
      </c>
      <c r="I537" s="5" t="str">
        <f t="shared" si="8"/>
        <v>fate5362413</v>
      </c>
      <c r="J537" s="6" t="s">
        <v>9556</v>
      </c>
      <c r="K537" s="6">
        <v>24.8</v>
      </c>
      <c r="L537" s="6">
        <v>13.6</v>
      </c>
      <c r="M537" s="6"/>
      <c r="N537" s="6"/>
      <c r="P537" s="5" t="s">
        <v>9480</v>
      </c>
      <c r="Q537" s="5" t="s">
        <v>9481</v>
      </c>
      <c r="R537" s="5" t="s">
        <v>8322</v>
      </c>
      <c r="S537" s="5"/>
      <c r="T537" s="5"/>
    </row>
    <row r="538" spans="1:20" x14ac:dyDescent="0.25">
      <c r="A538" s="5" t="s">
        <v>9581</v>
      </c>
      <c r="B538" s="7" t="s">
        <v>8310</v>
      </c>
      <c r="C538" s="5" t="s">
        <v>73</v>
      </c>
      <c r="D538" s="5"/>
      <c r="F538" s="5"/>
      <c r="G538" s="7">
        <v>68</v>
      </c>
      <c r="H538" s="5" t="s">
        <v>9519</v>
      </c>
      <c r="I538" s="5" t="str">
        <f t="shared" si="8"/>
        <v>fate5371336</v>
      </c>
      <c r="J538" s="6" t="s">
        <v>9571</v>
      </c>
      <c r="K538" s="6">
        <v>13.6</v>
      </c>
      <c r="L538" s="6">
        <v>36.200000000000003</v>
      </c>
      <c r="M538" s="6"/>
      <c r="N538" s="6"/>
      <c r="P538" s="5" t="s">
        <v>9559</v>
      </c>
      <c r="Q538" s="5" t="s">
        <v>9560</v>
      </c>
      <c r="R538" s="5" t="s">
        <v>9561</v>
      </c>
      <c r="S538" s="5"/>
      <c r="T538" s="5"/>
    </row>
    <row r="539" spans="1:20" x14ac:dyDescent="0.25">
      <c r="A539" s="5" t="s">
        <v>9586</v>
      </c>
      <c r="B539" s="7" t="s">
        <v>8310</v>
      </c>
      <c r="C539" s="5" t="s">
        <v>73</v>
      </c>
      <c r="D539" s="5"/>
      <c r="F539" s="5"/>
      <c r="G539" s="7">
        <v>68</v>
      </c>
      <c r="H539" s="5" t="s">
        <v>9519</v>
      </c>
      <c r="I539" s="5" t="str">
        <f t="shared" si="8"/>
        <v>fate5381425</v>
      </c>
      <c r="J539" s="6" t="s">
        <v>9576</v>
      </c>
      <c r="K539" s="6">
        <v>14.8</v>
      </c>
      <c r="L539" s="6">
        <v>25.1</v>
      </c>
      <c r="M539" s="6"/>
      <c r="N539" s="6"/>
      <c r="P539" s="5" t="s">
        <v>9559</v>
      </c>
      <c r="Q539" s="5" t="s">
        <v>9560</v>
      </c>
      <c r="R539" s="5" t="s">
        <v>9561</v>
      </c>
      <c r="S539" s="5"/>
      <c r="T539" s="5"/>
    </row>
    <row r="540" spans="1:20" x14ac:dyDescent="0.25">
      <c r="A540" s="5" t="s">
        <v>9588</v>
      </c>
      <c r="B540" s="7" t="s">
        <v>8310</v>
      </c>
      <c r="C540" s="5" t="s">
        <v>73</v>
      </c>
      <c r="D540" s="5"/>
      <c r="F540" s="5"/>
      <c r="G540" s="7">
        <v>68</v>
      </c>
      <c r="H540" s="5" t="s">
        <v>9519</v>
      </c>
      <c r="I540" s="5" t="str">
        <f t="shared" si="8"/>
        <v>fate5391628</v>
      </c>
      <c r="J540" s="6" t="s">
        <v>9578</v>
      </c>
      <c r="K540" s="6">
        <v>16.600000000000001</v>
      </c>
      <c r="L540" s="6">
        <v>28.6</v>
      </c>
      <c r="M540" s="6"/>
      <c r="N540" s="6"/>
      <c r="P540" s="5" t="s">
        <v>9559</v>
      </c>
      <c r="Q540" s="5" t="s">
        <v>9560</v>
      </c>
      <c r="R540" s="5" t="s">
        <v>9561</v>
      </c>
      <c r="S540" s="5"/>
      <c r="T540" s="5"/>
    </row>
    <row r="541" spans="1:20" x14ac:dyDescent="0.25">
      <c r="A541" s="5" t="s">
        <v>9590</v>
      </c>
      <c r="B541" s="7" t="s">
        <v>8346</v>
      </c>
      <c r="C541" s="5" t="s">
        <v>73</v>
      </c>
      <c r="D541" s="5"/>
      <c r="F541" s="5"/>
      <c r="G541" s="7">
        <v>60</v>
      </c>
      <c r="H541" s="5" t="s">
        <v>9519</v>
      </c>
      <c r="I541" s="5" t="str">
        <f t="shared" si="8"/>
        <v>fate5401577</v>
      </c>
      <c r="J541" s="6" t="s">
        <v>9523</v>
      </c>
      <c r="K541" s="6">
        <v>15.3</v>
      </c>
      <c r="L541" s="6">
        <v>7.7</v>
      </c>
      <c r="M541" s="6"/>
      <c r="N541" s="6"/>
      <c r="P541" s="5" t="s">
        <v>9454</v>
      </c>
      <c r="Q541" s="5" t="s">
        <v>8546</v>
      </c>
      <c r="R541" s="5" t="s">
        <v>9455</v>
      </c>
      <c r="S541" s="5"/>
      <c r="T541" s="5"/>
    </row>
    <row r="542" spans="1:20" x14ac:dyDescent="0.25">
      <c r="A542" s="5" t="s">
        <v>9592</v>
      </c>
      <c r="B542" s="7" t="s">
        <v>8346</v>
      </c>
      <c r="C542" s="5" t="s">
        <v>73</v>
      </c>
      <c r="D542" s="5"/>
      <c r="F542" s="5"/>
      <c r="G542" s="7">
        <v>60</v>
      </c>
      <c r="H542" s="5" t="s">
        <v>9519</v>
      </c>
      <c r="I542" s="5" t="str">
        <f t="shared" si="8"/>
        <v>fate5419598</v>
      </c>
      <c r="J542" s="6" t="s">
        <v>9529</v>
      </c>
      <c r="K542" s="6">
        <v>9.5</v>
      </c>
      <c r="L542" s="6">
        <v>9.8000000000000007</v>
      </c>
      <c r="M542" s="6"/>
      <c r="N542" s="6"/>
      <c r="P542" s="5" t="s">
        <v>9454</v>
      </c>
      <c r="Q542" s="5" t="s">
        <v>8546</v>
      </c>
      <c r="R542" s="5" t="s">
        <v>9455</v>
      </c>
      <c r="S542" s="5"/>
      <c r="T542" s="5"/>
    </row>
    <row r="543" spans="1:20" x14ac:dyDescent="0.25">
      <c r="A543" s="5" t="s">
        <v>9594</v>
      </c>
      <c r="B543" s="7" t="s">
        <v>8346</v>
      </c>
      <c r="C543" s="5" t="s">
        <v>73</v>
      </c>
      <c r="D543" s="5"/>
      <c r="F543" s="5"/>
      <c r="G543" s="7">
        <v>68</v>
      </c>
      <c r="H543" s="5" t="s">
        <v>9519</v>
      </c>
      <c r="I543" s="5" t="str">
        <f t="shared" si="8"/>
        <v>fate5422434</v>
      </c>
      <c r="J543" s="6" t="s">
        <v>9566</v>
      </c>
      <c r="K543" s="6">
        <v>24.4</v>
      </c>
      <c r="L543" s="6">
        <v>34.5</v>
      </c>
      <c r="M543" s="6"/>
      <c r="N543" s="6"/>
      <c r="P543" s="5" t="s">
        <v>9559</v>
      </c>
      <c r="Q543" s="5" t="s">
        <v>9560</v>
      </c>
      <c r="R543" s="5" t="s">
        <v>9561</v>
      </c>
      <c r="S543" s="5"/>
      <c r="T543" s="5"/>
    </row>
    <row r="544" spans="1:20" x14ac:dyDescent="0.25">
      <c r="A544" s="5" t="s">
        <v>9596</v>
      </c>
      <c r="B544" s="7" t="s">
        <v>10667</v>
      </c>
      <c r="C544" s="5" t="s">
        <v>73</v>
      </c>
      <c r="D544" s="1" t="s">
        <v>796</v>
      </c>
      <c r="F544" s="5"/>
      <c r="G544" s="7">
        <v>68</v>
      </c>
      <c r="H544" s="5" t="s">
        <v>9519</v>
      </c>
      <c r="I544" s="5" t="str">
        <f t="shared" si="8"/>
        <v>fate5431425</v>
      </c>
      <c r="J544" s="6" t="s">
        <v>797</v>
      </c>
      <c r="K544" s="6">
        <v>14.3</v>
      </c>
      <c r="L544" s="6">
        <v>25.8</v>
      </c>
      <c r="M544" s="6"/>
      <c r="N544" s="6"/>
      <c r="P544" s="5" t="s">
        <v>9559</v>
      </c>
      <c r="Q544" s="5" t="s">
        <v>9560</v>
      </c>
      <c r="R544" s="5" t="s">
        <v>9561</v>
      </c>
      <c r="S544" s="5"/>
      <c r="T544" s="5"/>
    </row>
    <row r="545" spans="1:20" x14ac:dyDescent="0.25">
      <c r="A545" s="5" t="s">
        <v>9598</v>
      </c>
      <c r="B545" s="7" t="s">
        <v>8424</v>
      </c>
      <c r="C545" s="5" t="s">
        <v>73</v>
      </c>
      <c r="D545" s="5"/>
      <c r="F545" s="5"/>
      <c r="G545" s="7">
        <v>68</v>
      </c>
      <c r="H545" s="5" t="s">
        <v>9519</v>
      </c>
      <c r="I545" s="5" t="str">
        <f t="shared" si="8"/>
        <v>fate5442528</v>
      </c>
      <c r="J545" s="6" t="s">
        <v>9558</v>
      </c>
      <c r="K545" s="6">
        <v>25.7</v>
      </c>
      <c r="L545" s="6">
        <v>28</v>
      </c>
      <c r="M545" s="6"/>
      <c r="N545" s="6"/>
      <c r="P545" s="5" t="s">
        <v>9559</v>
      </c>
      <c r="Q545" s="5" t="s">
        <v>9560</v>
      </c>
      <c r="R545" s="5" t="s">
        <v>9561</v>
      </c>
      <c r="S545" s="5"/>
      <c r="T545" s="5"/>
    </row>
    <row r="546" spans="1:20" x14ac:dyDescent="0.25">
      <c r="A546" s="5" t="s">
        <v>9600</v>
      </c>
      <c r="B546" s="7" t="s">
        <v>10503</v>
      </c>
      <c r="C546" s="5" t="s">
        <v>73</v>
      </c>
      <c r="D546" s="1" t="s">
        <v>10927</v>
      </c>
      <c r="F546" s="5"/>
      <c r="G546" s="7">
        <v>60</v>
      </c>
      <c r="H546" s="5" t="s">
        <v>9519</v>
      </c>
      <c r="I546" s="5" t="str">
        <f t="shared" si="8"/>
        <v>fate5457313</v>
      </c>
      <c r="J546" s="6" t="s">
        <v>9518</v>
      </c>
      <c r="K546" s="6">
        <v>7.3</v>
      </c>
      <c r="L546" s="6">
        <v>13.7</v>
      </c>
      <c r="M546" s="6"/>
      <c r="N546" s="6"/>
      <c r="P546" s="5" t="s">
        <v>9454</v>
      </c>
      <c r="Q546" s="5" t="s">
        <v>8546</v>
      </c>
      <c r="R546" s="5" t="s">
        <v>9455</v>
      </c>
      <c r="S546" s="5"/>
      <c r="T546" s="5"/>
    </row>
    <row r="547" spans="1:20" x14ac:dyDescent="0.25">
      <c r="A547" s="5" t="s">
        <v>9602</v>
      </c>
      <c r="B547" s="7" t="s">
        <v>10503</v>
      </c>
      <c r="C547" s="5" t="s">
        <v>73</v>
      </c>
      <c r="D547" s="1" t="s">
        <v>10931</v>
      </c>
      <c r="F547" s="5"/>
      <c r="G547" s="7">
        <v>60</v>
      </c>
      <c r="H547" s="5" t="s">
        <v>9519</v>
      </c>
      <c r="I547" s="5" t="str">
        <f t="shared" si="8"/>
        <v>fate5461510</v>
      </c>
      <c r="J547" s="6" t="s">
        <v>9531</v>
      </c>
      <c r="K547" s="6">
        <v>15.7</v>
      </c>
      <c r="L547" s="6">
        <v>10.8</v>
      </c>
      <c r="M547" s="6"/>
      <c r="N547" s="6"/>
      <c r="P547" s="5" t="s">
        <v>9454</v>
      </c>
      <c r="Q547" s="5" t="s">
        <v>8546</v>
      </c>
      <c r="R547" s="5" t="s">
        <v>9455</v>
      </c>
      <c r="S547" s="5"/>
      <c r="T547" s="5"/>
    </row>
    <row r="548" spans="1:20" x14ac:dyDescent="0.25">
      <c r="A548" s="5" t="s">
        <v>9604</v>
      </c>
      <c r="B548" s="7" t="s">
        <v>10503</v>
      </c>
      <c r="C548" s="5" t="s">
        <v>73</v>
      </c>
      <c r="D548" s="1" t="s">
        <v>10930</v>
      </c>
      <c r="F548" s="5"/>
      <c r="G548" s="7">
        <v>60</v>
      </c>
      <c r="H548" s="5" t="s">
        <v>9519</v>
      </c>
      <c r="I548" s="5" t="str">
        <f t="shared" si="8"/>
        <v>fate5471378</v>
      </c>
      <c r="J548" s="6" t="s">
        <v>9545</v>
      </c>
      <c r="K548" s="6">
        <v>13.8</v>
      </c>
      <c r="L548" s="6">
        <v>7.8</v>
      </c>
      <c r="M548" s="6"/>
      <c r="N548" s="6"/>
      <c r="P548" s="5" t="s">
        <v>9454</v>
      </c>
      <c r="Q548" s="5" t="s">
        <v>8546</v>
      </c>
      <c r="R548" s="5" t="s">
        <v>9455</v>
      </c>
      <c r="S548" s="5"/>
      <c r="T548" s="5"/>
    </row>
    <row r="549" spans="1:20" x14ac:dyDescent="0.25">
      <c r="A549" s="5" t="s">
        <v>9606</v>
      </c>
      <c r="B549" s="7" t="s">
        <v>10503</v>
      </c>
      <c r="C549" s="5" t="s">
        <v>73</v>
      </c>
      <c r="D549" s="1" t="s">
        <v>10929</v>
      </c>
      <c r="F549" s="5"/>
      <c r="G549" s="7">
        <v>60</v>
      </c>
      <c r="H549" s="5" t="s">
        <v>9519</v>
      </c>
      <c r="I549" s="5" t="str">
        <f t="shared" si="8"/>
        <v>fate5482115</v>
      </c>
      <c r="J549" s="6" t="s">
        <v>9547</v>
      </c>
      <c r="K549" s="6">
        <v>21.5</v>
      </c>
      <c r="L549" s="6">
        <v>15</v>
      </c>
      <c r="M549" s="6"/>
      <c r="N549" s="6"/>
      <c r="P549" s="5" t="s">
        <v>9454</v>
      </c>
      <c r="Q549" s="5" t="s">
        <v>8546</v>
      </c>
      <c r="R549" s="5" t="s">
        <v>9455</v>
      </c>
      <c r="S549" s="5"/>
      <c r="T549" s="5"/>
    </row>
    <row r="550" spans="1:20" x14ac:dyDescent="0.25">
      <c r="A550" s="5" t="s">
        <v>9608</v>
      </c>
      <c r="B550" s="7" t="s">
        <v>10503</v>
      </c>
      <c r="C550" s="5" t="s">
        <v>73</v>
      </c>
      <c r="D550" s="1" t="s">
        <v>10933</v>
      </c>
      <c r="F550" s="5"/>
      <c r="G550" s="7">
        <v>61</v>
      </c>
      <c r="H550" s="5" t="s">
        <v>9519</v>
      </c>
      <c r="I550" s="5" t="str">
        <f t="shared" si="8"/>
        <v>fate5492715</v>
      </c>
      <c r="J550" s="6" t="s">
        <v>9551</v>
      </c>
      <c r="K550" s="6">
        <v>27.2</v>
      </c>
      <c r="L550" s="6">
        <v>15.1</v>
      </c>
      <c r="M550" s="6"/>
      <c r="N550" s="6"/>
      <c r="P550" s="5" t="s">
        <v>9480</v>
      </c>
      <c r="Q550" s="5" t="s">
        <v>9481</v>
      </c>
      <c r="R550" s="5" t="s">
        <v>8322</v>
      </c>
      <c r="S550" s="5"/>
      <c r="T550" s="5"/>
    </row>
    <row r="551" spans="1:20" x14ac:dyDescent="0.25">
      <c r="A551" s="5" t="s">
        <v>9610</v>
      </c>
      <c r="B551" s="7" t="s">
        <v>10503</v>
      </c>
      <c r="C551" s="5" t="s">
        <v>73</v>
      </c>
      <c r="D551" s="1" t="s">
        <v>606</v>
      </c>
      <c r="F551" s="5"/>
      <c r="G551" s="7">
        <v>61</v>
      </c>
      <c r="H551" s="5" t="s">
        <v>9519</v>
      </c>
      <c r="I551" s="5" t="str">
        <f t="shared" si="8"/>
        <v>fate5502392</v>
      </c>
      <c r="J551" s="6" t="s">
        <v>607</v>
      </c>
      <c r="K551" s="6">
        <v>23.3</v>
      </c>
      <c r="L551" s="6">
        <v>9.1999999999999993</v>
      </c>
      <c r="M551" s="6"/>
      <c r="N551" s="6"/>
      <c r="P551" s="5" t="s">
        <v>9480</v>
      </c>
      <c r="Q551" s="5" t="s">
        <v>9481</v>
      </c>
      <c r="R551" s="5" t="s">
        <v>8322</v>
      </c>
      <c r="S551" s="5"/>
      <c r="T551" s="5"/>
    </row>
    <row r="552" spans="1:20" x14ac:dyDescent="0.25">
      <c r="A552" s="5" t="s">
        <v>9612</v>
      </c>
      <c r="B552" s="7" t="s">
        <v>10503</v>
      </c>
      <c r="C552" s="5" t="s">
        <v>73</v>
      </c>
      <c r="D552" s="1" t="s">
        <v>10932</v>
      </c>
      <c r="F552" s="5"/>
      <c r="G552" s="7">
        <v>61</v>
      </c>
      <c r="H552" s="5" t="s">
        <v>9519</v>
      </c>
      <c r="I552" s="5" t="str">
        <f t="shared" si="8"/>
        <v>fate5513487</v>
      </c>
      <c r="J552" s="6" t="s">
        <v>9554</v>
      </c>
      <c r="K552" s="6">
        <v>34.700000000000003</v>
      </c>
      <c r="L552" s="6">
        <v>8.6999999999999993</v>
      </c>
      <c r="M552" s="6"/>
      <c r="N552" s="6"/>
      <c r="P552" s="5" t="s">
        <v>9480</v>
      </c>
      <c r="Q552" s="5" t="s">
        <v>9481</v>
      </c>
      <c r="R552" s="5" t="s">
        <v>8322</v>
      </c>
      <c r="S552" s="5"/>
      <c r="T552" s="5"/>
    </row>
    <row r="553" spans="1:20" x14ac:dyDescent="0.25">
      <c r="A553" s="5" t="s">
        <v>9614</v>
      </c>
      <c r="B553" s="7" t="s">
        <v>10503</v>
      </c>
      <c r="C553" s="5" t="s">
        <v>73</v>
      </c>
      <c r="D553" s="1" t="s">
        <v>671</v>
      </c>
      <c r="F553" s="5"/>
      <c r="G553" s="7">
        <v>68</v>
      </c>
      <c r="H553" s="5" t="s">
        <v>9519</v>
      </c>
      <c r="I553" s="5" t="str">
        <f t="shared" si="8"/>
        <v>fate5522625</v>
      </c>
      <c r="J553" s="6" t="s">
        <v>672</v>
      </c>
      <c r="K553" s="6">
        <v>26.6</v>
      </c>
      <c r="L553" s="6">
        <v>25.2</v>
      </c>
      <c r="M553" s="6"/>
      <c r="N553" s="6"/>
      <c r="P553" s="5" t="s">
        <v>9559</v>
      </c>
      <c r="Q553" s="5" t="s">
        <v>9560</v>
      </c>
      <c r="R553" s="5" t="s">
        <v>9561</v>
      </c>
      <c r="S553" s="5"/>
      <c r="T553" s="5"/>
    </row>
    <row r="554" spans="1:20" x14ac:dyDescent="0.25">
      <c r="A554" s="5" t="s">
        <v>9616</v>
      </c>
      <c r="B554" s="7" t="s">
        <v>10503</v>
      </c>
      <c r="C554" s="5" t="s">
        <v>73</v>
      </c>
      <c r="D554" s="1" t="s">
        <v>780</v>
      </c>
      <c r="F554" s="5"/>
      <c r="G554" s="7">
        <v>68</v>
      </c>
      <c r="H554" s="5" t="s">
        <v>9519</v>
      </c>
      <c r="I554" s="5" t="str">
        <f t="shared" si="8"/>
        <v>fate5532328</v>
      </c>
      <c r="J554" s="6" t="s">
        <v>781</v>
      </c>
      <c r="K554" s="6">
        <v>23.1</v>
      </c>
      <c r="L554" s="6">
        <v>28.7</v>
      </c>
      <c r="M554" s="6"/>
      <c r="N554" s="6"/>
      <c r="P554" s="5" t="s">
        <v>9559</v>
      </c>
      <c r="Q554" s="5" t="s">
        <v>9560</v>
      </c>
      <c r="R554" s="5" t="s">
        <v>9561</v>
      </c>
      <c r="S554" s="5"/>
      <c r="T554" s="5"/>
    </row>
    <row r="555" spans="1:20" x14ac:dyDescent="0.25">
      <c r="A555" s="5" t="s">
        <v>9618</v>
      </c>
      <c r="B555" s="7" t="s">
        <v>10503</v>
      </c>
      <c r="C555" s="5" t="s">
        <v>73</v>
      </c>
      <c r="D555" s="1" t="s">
        <v>10934</v>
      </c>
      <c r="F555" s="5"/>
      <c r="G555" s="7">
        <v>68</v>
      </c>
      <c r="H555" s="5" t="s">
        <v>9519</v>
      </c>
      <c r="I555" s="5" t="str">
        <f t="shared" si="8"/>
        <v>fate5541330</v>
      </c>
      <c r="J555" s="6" t="s">
        <v>9573</v>
      </c>
      <c r="K555" s="6">
        <v>13</v>
      </c>
      <c r="L555" s="6">
        <v>30.1</v>
      </c>
      <c r="M555" s="6"/>
      <c r="N555" s="6"/>
      <c r="P555" s="5" t="s">
        <v>9559</v>
      </c>
      <c r="Q555" s="5" t="s">
        <v>9560</v>
      </c>
      <c r="R555" s="5" t="s">
        <v>9561</v>
      </c>
      <c r="S555" s="5"/>
      <c r="T555" s="5"/>
    </row>
    <row r="556" spans="1:20" x14ac:dyDescent="0.25">
      <c r="A556" s="5" t="s">
        <v>9620</v>
      </c>
      <c r="B556" s="7" t="s">
        <v>10503</v>
      </c>
      <c r="C556" s="5" t="s">
        <v>73</v>
      </c>
      <c r="D556" s="1" t="s">
        <v>10935</v>
      </c>
      <c r="F556" s="5"/>
      <c r="G556" s="7">
        <v>68</v>
      </c>
      <c r="H556" s="5" t="s">
        <v>9519</v>
      </c>
      <c r="I556" s="5" t="str">
        <f t="shared" si="8"/>
        <v>fate5552831</v>
      </c>
      <c r="J556" s="6" t="s">
        <v>9580</v>
      </c>
      <c r="K556" s="6">
        <v>28.4</v>
      </c>
      <c r="L556" s="6">
        <v>31.2</v>
      </c>
      <c r="M556" s="6"/>
      <c r="N556" s="6"/>
      <c r="P556" s="5" t="s">
        <v>9559</v>
      </c>
      <c r="Q556" s="5" t="s">
        <v>9560</v>
      </c>
      <c r="R556" s="5" t="s">
        <v>9561</v>
      </c>
      <c r="S556" s="5"/>
      <c r="T556" s="5"/>
    </row>
    <row r="557" spans="1:20" x14ac:dyDescent="0.25">
      <c r="A557" s="5" t="s">
        <v>9622</v>
      </c>
      <c r="B557" s="7" t="s">
        <v>8450</v>
      </c>
      <c r="C557" s="5" t="s">
        <v>73</v>
      </c>
      <c r="D557" s="5"/>
      <c r="E557" s="5">
        <v>31</v>
      </c>
      <c r="F557" s="5">
        <v>1</v>
      </c>
      <c r="G557" s="7">
        <v>60</v>
      </c>
      <c r="H557" s="5" t="s">
        <v>9519</v>
      </c>
      <c r="I557" s="5" t="str">
        <f t="shared" si="8"/>
        <v>fate5561111</v>
      </c>
      <c r="J557" s="6" t="s">
        <v>9533</v>
      </c>
      <c r="K557" s="6">
        <v>11.9</v>
      </c>
      <c r="L557" s="6">
        <v>11.2</v>
      </c>
      <c r="M557" s="6"/>
      <c r="N557" s="6"/>
      <c r="P557" s="5" t="s">
        <v>9454</v>
      </c>
      <c r="Q557" s="5" t="s">
        <v>8546</v>
      </c>
      <c r="R557" s="5" t="s">
        <v>9455</v>
      </c>
      <c r="S557" s="5"/>
      <c r="T557" s="5"/>
    </row>
    <row r="558" spans="1:20" x14ac:dyDescent="0.25">
      <c r="A558" s="5" t="s">
        <v>9624</v>
      </c>
      <c r="B558" s="7" t="s">
        <v>10503</v>
      </c>
      <c r="C558" s="5" t="s">
        <v>73</v>
      </c>
      <c r="D558" s="1" t="s">
        <v>10928</v>
      </c>
      <c r="E558" s="5">
        <v>31</v>
      </c>
      <c r="F558" s="5">
        <v>3</v>
      </c>
      <c r="G558" s="7">
        <v>60</v>
      </c>
      <c r="H558" s="5" t="s">
        <v>9519</v>
      </c>
      <c r="I558" s="5" t="str">
        <f t="shared" si="8"/>
        <v>fate5571315</v>
      </c>
      <c r="J558" s="6" t="s">
        <v>9521</v>
      </c>
      <c r="K558" s="6">
        <v>13</v>
      </c>
      <c r="L558" s="6">
        <v>15</v>
      </c>
      <c r="M558" s="6"/>
      <c r="N558" s="6"/>
      <c r="P558" s="5" t="s">
        <v>9454</v>
      </c>
      <c r="Q558" s="5" t="s">
        <v>8546</v>
      </c>
      <c r="R558" s="5" t="s">
        <v>9455</v>
      </c>
      <c r="S558" s="5"/>
      <c r="T558" s="5"/>
    </row>
    <row r="559" spans="1:20" x14ac:dyDescent="0.25">
      <c r="A559" s="5" t="s">
        <v>9626</v>
      </c>
      <c r="B559" s="7" t="s">
        <v>8310</v>
      </c>
      <c r="C559" s="5" t="s">
        <v>73</v>
      </c>
      <c r="D559" s="5"/>
      <c r="E559" s="5">
        <v>31</v>
      </c>
      <c r="F559" s="5">
        <v>2</v>
      </c>
      <c r="G559" s="7">
        <v>60</v>
      </c>
      <c r="H559" s="5" t="s">
        <v>9519</v>
      </c>
      <c r="I559" s="5" t="str">
        <f t="shared" si="8"/>
        <v>fate5581315</v>
      </c>
      <c r="J559" s="6" t="s">
        <v>9539</v>
      </c>
      <c r="K559" s="6">
        <v>13</v>
      </c>
      <c r="L559" s="6">
        <v>15</v>
      </c>
      <c r="M559" s="6"/>
      <c r="N559" s="6"/>
      <c r="P559" s="5" t="s">
        <v>9454</v>
      </c>
      <c r="Q559" s="5" t="s">
        <v>8546</v>
      </c>
      <c r="R559" s="5" t="s">
        <v>9455</v>
      </c>
      <c r="S559" s="5"/>
      <c r="T559" s="5"/>
    </row>
    <row r="560" spans="1:20" x14ac:dyDescent="0.25">
      <c r="A560" s="5" t="s">
        <v>9628</v>
      </c>
      <c r="B560" s="7" t="s">
        <v>8346</v>
      </c>
      <c r="C560" s="5" t="s">
        <v>73</v>
      </c>
      <c r="D560" s="5"/>
      <c r="E560" s="5">
        <v>32</v>
      </c>
      <c r="F560" s="5">
        <v>1</v>
      </c>
      <c r="G560" s="7">
        <v>68</v>
      </c>
      <c r="H560" s="5" t="s">
        <v>9519</v>
      </c>
      <c r="I560" s="5" t="str">
        <f t="shared" si="8"/>
        <v>fate5591834</v>
      </c>
      <c r="J560" s="6" t="s">
        <v>9564</v>
      </c>
      <c r="K560" s="6">
        <v>18.399999999999999</v>
      </c>
      <c r="L560" s="6">
        <v>34.6</v>
      </c>
      <c r="M560" s="6"/>
      <c r="N560" s="6"/>
      <c r="P560" s="5" t="s">
        <v>9559</v>
      </c>
      <c r="Q560" s="5" t="s">
        <v>9560</v>
      </c>
      <c r="R560" s="5" t="s">
        <v>9561</v>
      </c>
      <c r="S560" s="5"/>
      <c r="T560" s="5"/>
    </row>
    <row r="561" spans="1:20" x14ac:dyDescent="0.25">
      <c r="A561" s="5" t="s">
        <v>9630</v>
      </c>
      <c r="B561" s="7" t="s">
        <v>10503</v>
      </c>
      <c r="C561" s="5" t="s">
        <v>73</v>
      </c>
      <c r="D561" s="1" t="s">
        <v>10936</v>
      </c>
      <c r="E561" s="5">
        <v>32</v>
      </c>
      <c r="F561" s="5">
        <v>2</v>
      </c>
      <c r="G561" s="7">
        <v>68</v>
      </c>
      <c r="H561" s="5" t="s">
        <v>9519</v>
      </c>
      <c r="I561" s="5" t="str">
        <f t="shared" si="8"/>
        <v>fate5601530</v>
      </c>
      <c r="J561" s="6" t="s">
        <v>9568</v>
      </c>
      <c r="K561" s="6">
        <v>15.5</v>
      </c>
      <c r="L561" s="6">
        <v>30.5</v>
      </c>
      <c r="M561" s="6"/>
      <c r="N561" s="6"/>
      <c r="P561" s="5" t="s">
        <v>9559</v>
      </c>
      <c r="Q561" s="5" t="s">
        <v>9560</v>
      </c>
      <c r="R561" s="5" t="s">
        <v>9561</v>
      </c>
      <c r="S561" s="5"/>
      <c r="T561" s="5"/>
    </row>
    <row r="562" spans="1:20" x14ac:dyDescent="0.25">
      <c r="A562" s="5" t="s">
        <v>9632</v>
      </c>
      <c r="B562" s="7" t="s">
        <v>8310</v>
      </c>
      <c r="C562" s="5" t="s">
        <v>73</v>
      </c>
      <c r="D562" s="5"/>
      <c r="F562" s="5"/>
      <c r="G562" s="7">
        <v>69</v>
      </c>
      <c r="H562" s="5" t="s">
        <v>9583</v>
      </c>
      <c r="I562" s="5" t="str">
        <f t="shared" si="8"/>
        <v>fate5611013</v>
      </c>
      <c r="J562" s="6" t="s">
        <v>9582</v>
      </c>
      <c r="K562" s="6">
        <v>10.6</v>
      </c>
      <c r="L562" s="6">
        <v>13.2</v>
      </c>
      <c r="M562" s="6"/>
      <c r="N562" s="6"/>
      <c r="P562" s="5" t="s">
        <v>9584</v>
      </c>
      <c r="Q562" s="5" t="s">
        <v>8719</v>
      </c>
      <c r="R562" s="5" t="s">
        <v>9585</v>
      </c>
      <c r="S562" s="5"/>
      <c r="T562" s="5"/>
    </row>
    <row r="563" spans="1:20" x14ac:dyDescent="0.25">
      <c r="A563" s="5" t="s">
        <v>9634</v>
      </c>
      <c r="B563" s="7" t="s">
        <v>8310</v>
      </c>
      <c r="C563" s="5" t="s">
        <v>73</v>
      </c>
      <c r="D563" s="5"/>
      <c r="F563" s="5"/>
      <c r="G563" s="7">
        <v>69</v>
      </c>
      <c r="H563" s="5" t="s">
        <v>9583</v>
      </c>
      <c r="I563" s="5" t="str">
        <f t="shared" si="8"/>
        <v>fate5621833</v>
      </c>
      <c r="J563" s="6" t="s">
        <v>9587</v>
      </c>
      <c r="K563" s="6">
        <v>18.5</v>
      </c>
      <c r="L563" s="6">
        <v>33.1</v>
      </c>
      <c r="M563" s="6"/>
      <c r="N563" s="6"/>
      <c r="P563" s="5" t="s">
        <v>9584</v>
      </c>
      <c r="Q563" s="5" t="s">
        <v>8719</v>
      </c>
      <c r="R563" s="5" t="s">
        <v>9585</v>
      </c>
      <c r="S563" s="5"/>
      <c r="T563" s="5"/>
    </row>
    <row r="564" spans="1:20" x14ac:dyDescent="0.25">
      <c r="A564" s="5" t="s">
        <v>9636</v>
      </c>
      <c r="B564" s="7" t="s">
        <v>8310</v>
      </c>
      <c r="C564" s="5" t="s">
        <v>73</v>
      </c>
      <c r="D564" s="5"/>
      <c r="F564" s="5"/>
      <c r="G564" s="7">
        <v>69</v>
      </c>
      <c r="H564" s="5" t="s">
        <v>9583</v>
      </c>
      <c r="I564" s="5" t="str">
        <f t="shared" si="8"/>
        <v>fate5638725</v>
      </c>
      <c r="J564" s="6" t="s">
        <v>9589</v>
      </c>
      <c r="K564" s="6">
        <v>8.6999999999999993</v>
      </c>
      <c r="L564" s="6">
        <v>25.1</v>
      </c>
      <c r="M564" s="6"/>
      <c r="N564" s="6"/>
      <c r="P564" s="5" t="s">
        <v>9584</v>
      </c>
      <c r="Q564" s="5" t="s">
        <v>8719</v>
      </c>
      <c r="R564" s="5" t="s">
        <v>9585</v>
      </c>
      <c r="S564" s="5"/>
      <c r="T564" s="5"/>
    </row>
    <row r="565" spans="1:20" x14ac:dyDescent="0.25">
      <c r="A565" s="5" t="s">
        <v>9638</v>
      </c>
      <c r="B565" s="7" t="s">
        <v>8310</v>
      </c>
      <c r="C565" s="5" t="s">
        <v>73</v>
      </c>
      <c r="D565" s="5"/>
      <c r="F565" s="5"/>
      <c r="G565" s="7">
        <v>69</v>
      </c>
      <c r="H565" s="5" t="s">
        <v>9583</v>
      </c>
      <c r="I565" s="5" t="str">
        <f t="shared" si="8"/>
        <v>fate5642612</v>
      </c>
      <c r="J565" s="6" t="s">
        <v>9591</v>
      </c>
      <c r="K565" s="6">
        <v>26.4</v>
      </c>
      <c r="L565" s="6">
        <v>12.9</v>
      </c>
      <c r="M565" s="6"/>
      <c r="N565" s="6"/>
      <c r="P565" s="5" t="s">
        <v>9584</v>
      </c>
      <c r="Q565" s="5" t="s">
        <v>8719</v>
      </c>
      <c r="R565" s="5" t="s">
        <v>9585</v>
      </c>
      <c r="S565" s="5"/>
      <c r="T565" s="5"/>
    </row>
    <row r="566" spans="1:20" x14ac:dyDescent="0.25">
      <c r="A566" s="5" t="s">
        <v>9640</v>
      </c>
      <c r="B566" s="7" t="s">
        <v>8310</v>
      </c>
      <c r="C566" s="5" t="s">
        <v>73</v>
      </c>
      <c r="D566" s="5"/>
      <c r="F566" s="5"/>
      <c r="G566" s="7">
        <v>69</v>
      </c>
      <c r="H566" s="5" t="s">
        <v>9583</v>
      </c>
      <c r="I566" s="5" t="str">
        <f t="shared" si="8"/>
        <v>fate5651431</v>
      </c>
      <c r="J566" s="6" t="s">
        <v>9597</v>
      </c>
      <c r="K566" s="6">
        <v>14</v>
      </c>
      <c r="L566" s="6">
        <v>31.2</v>
      </c>
      <c r="M566" s="6"/>
      <c r="N566" s="6"/>
      <c r="P566" s="5" t="s">
        <v>9584</v>
      </c>
      <c r="Q566" s="5" t="s">
        <v>8719</v>
      </c>
      <c r="R566" s="5" t="s">
        <v>9585</v>
      </c>
      <c r="S566" s="5"/>
      <c r="T566" s="5"/>
    </row>
    <row r="567" spans="1:20" x14ac:dyDescent="0.25">
      <c r="A567" s="5" t="s">
        <v>9642</v>
      </c>
      <c r="B567" s="7" t="s">
        <v>8310</v>
      </c>
      <c r="C567" s="5" t="s">
        <v>73</v>
      </c>
      <c r="D567" s="5"/>
      <c r="F567" s="5"/>
      <c r="G567" s="7">
        <v>69</v>
      </c>
      <c r="H567" s="5" t="s">
        <v>9583</v>
      </c>
      <c r="I567" s="5" t="str">
        <f t="shared" si="8"/>
        <v>fate5662016</v>
      </c>
      <c r="J567" s="6" t="s">
        <v>9599</v>
      </c>
      <c r="K567" s="6">
        <v>20.5</v>
      </c>
      <c r="L567" s="6">
        <v>16.2</v>
      </c>
      <c r="M567" s="6"/>
      <c r="N567" s="6"/>
      <c r="P567" s="5" t="s">
        <v>9584</v>
      </c>
      <c r="Q567" s="5" t="s">
        <v>8719</v>
      </c>
      <c r="R567" s="5" t="s">
        <v>9585</v>
      </c>
      <c r="S567" s="5"/>
      <c r="T567" s="5"/>
    </row>
    <row r="568" spans="1:20" x14ac:dyDescent="0.25">
      <c r="A568" s="5" t="s">
        <v>9644</v>
      </c>
      <c r="B568" s="7" t="s">
        <v>8310</v>
      </c>
      <c r="C568" s="5" t="s">
        <v>73</v>
      </c>
      <c r="D568" s="5"/>
      <c r="F568" s="5"/>
      <c r="G568" s="7">
        <v>69</v>
      </c>
      <c r="H568" s="5" t="s">
        <v>9583</v>
      </c>
      <c r="I568" s="5" t="str">
        <f t="shared" si="8"/>
        <v>fate5672430</v>
      </c>
      <c r="J568" s="6" t="s">
        <v>9601</v>
      </c>
      <c r="K568" s="6">
        <v>24.8</v>
      </c>
      <c r="L568" s="6">
        <v>30.8</v>
      </c>
      <c r="M568" s="6"/>
      <c r="N568" s="6"/>
      <c r="P568" s="5" t="s">
        <v>9584</v>
      </c>
      <c r="Q568" s="5" t="s">
        <v>8719</v>
      </c>
      <c r="R568" s="5" t="s">
        <v>9585</v>
      </c>
      <c r="S568" s="5"/>
      <c r="T568" s="5"/>
    </row>
    <row r="569" spans="1:20" x14ac:dyDescent="0.25">
      <c r="A569" s="5" t="s">
        <v>9646</v>
      </c>
      <c r="B569" s="7" t="s">
        <v>8310</v>
      </c>
      <c r="C569" s="5" t="s">
        <v>73</v>
      </c>
      <c r="D569" s="5"/>
      <c r="F569" s="5"/>
      <c r="G569" s="7">
        <v>69</v>
      </c>
      <c r="H569" s="5" t="s">
        <v>9583</v>
      </c>
      <c r="I569" s="5" t="str">
        <f t="shared" si="8"/>
        <v>fate5682592</v>
      </c>
      <c r="J569" s="6" t="s">
        <v>9603</v>
      </c>
      <c r="K569" s="6">
        <v>25.5</v>
      </c>
      <c r="L569" s="6">
        <v>9.1999999999999993</v>
      </c>
      <c r="M569" s="6"/>
      <c r="N569" s="6"/>
      <c r="P569" s="5" t="s">
        <v>9584</v>
      </c>
      <c r="Q569" s="5" t="s">
        <v>8719</v>
      </c>
      <c r="R569" s="5" t="s">
        <v>9585</v>
      </c>
      <c r="S569" s="5"/>
      <c r="T569" s="5"/>
    </row>
    <row r="570" spans="1:20" x14ac:dyDescent="0.25">
      <c r="A570" s="5" t="s">
        <v>9648</v>
      </c>
      <c r="B570" s="7" t="s">
        <v>8310</v>
      </c>
      <c r="C570" s="5" t="s">
        <v>73</v>
      </c>
      <c r="D570" s="5"/>
      <c r="F570" s="5"/>
      <c r="G570" s="7">
        <v>69</v>
      </c>
      <c r="H570" s="5" t="s">
        <v>9583</v>
      </c>
      <c r="I570" s="5" t="str">
        <f t="shared" si="8"/>
        <v>fate5692329</v>
      </c>
      <c r="J570" s="6" t="s">
        <v>9611</v>
      </c>
      <c r="K570" s="6">
        <v>23.1</v>
      </c>
      <c r="L570" s="6">
        <v>29.2</v>
      </c>
      <c r="M570" s="6"/>
      <c r="N570" s="6"/>
      <c r="P570" s="5" t="s">
        <v>9584</v>
      </c>
      <c r="Q570" s="5" t="s">
        <v>8719</v>
      </c>
      <c r="R570" s="5" t="s">
        <v>9585</v>
      </c>
      <c r="S570" s="5"/>
      <c r="T570" s="5"/>
    </row>
    <row r="571" spans="1:20" x14ac:dyDescent="0.25">
      <c r="A571" s="5" t="s">
        <v>9650</v>
      </c>
      <c r="B571" s="7" t="s">
        <v>8310</v>
      </c>
      <c r="C571" s="5" t="s">
        <v>73</v>
      </c>
      <c r="D571" s="5"/>
      <c r="F571" s="5"/>
      <c r="G571" s="7">
        <v>69</v>
      </c>
      <c r="H571" s="5" t="s">
        <v>9583</v>
      </c>
      <c r="I571" s="5" t="str">
        <f t="shared" si="8"/>
        <v>fate5702819</v>
      </c>
      <c r="J571" s="6" t="s">
        <v>9621</v>
      </c>
      <c r="K571" s="6">
        <v>28.7</v>
      </c>
      <c r="L571" s="6">
        <v>19</v>
      </c>
      <c r="M571" s="6"/>
      <c r="N571" s="6"/>
      <c r="P571" s="5" t="s">
        <v>9584</v>
      </c>
      <c r="Q571" s="5" t="s">
        <v>8719</v>
      </c>
      <c r="R571" s="5" t="s">
        <v>9585</v>
      </c>
      <c r="S571" s="5"/>
      <c r="T571" s="5"/>
    </row>
    <row r="572" spans="1:20" x14ac:dyDescent="0.25">
      <c r="A572" s="5" t="s">
        <v>9652</v>
      </c>
      <c r="B572" s="7" t="s">
        <v>8310</v>
      </c>
      <c r="C572" s="5" t="s">
        <v>73</v>
      </c>
      <c r="D572" s="5"/>
      <c r="F572" s="5"/>
      <c r="G572" s="7">
        <v>69</v>
      </c>
      <c r="H572" s="5" t="s">
        <v>9583</v>
      </c>
      <c r="I572" s="5" t="str">
        <f t="shared" si="8"/>
        <v>fate5711419</v>
      </c>
      <c r="J572" s="6" t="s">
        <v>9639</v>
      </c>
      <c r="K572" s="6">
        <v>14.6</v>
      </c>
      <c r="L572" s="6">
        <v>19.8</v>
      </c>
      <c r="M572" s="6"/>
      <c r="N572" s="6"/>
      <c r="P572" s="5" t="s">
        <v>9584</v>
      </c>
      <c r="Q572" s="5" t="s">
        <v>8719</v>
      </c>
      <c r="R572" s="5" t="s">
        <v>9585</v>
      </c>
      <c r="S572" s="5"/>
      <c r="T572" s="5"/>
    </row>
    <row r="573" spans="1:20" x14ac:dyDescent="0.25">
      <c r="A573" s="5" t="s">
        <v>9655</v>
      </c>
      <c r="B573" s="7" t="s">
        <v>8310</v>
      </c>
      <c r="C573" s="5" t="s">
        <v>73</v>
      </c>
      <c r="D573" s="5"/>
      <c r="F573" s="5"/>
      <c r="G573" s="7">
        <v>69</v>
      </c>
      <c r="H573" s="5" t="s">
        <v>9583</v>
      </c>
      <c r="I573" s="5" t="str">
        <f t="shared" si="8"/>
        <v>fate5722422</v>
      </c>
      <c r="J573" s="6" t="s">
        <v>9641</v>
      </c>
      <c r="K573" s="6">
        <v>24.4</v>
      </c>
      <c r="L573" s="6">
        <v>22.8</v>
      </c>
      <c r="M573" s="6"/>
      <c r="N573" s="6"/>
      <c r="P573" s="5" t="s">
        <v>9584</v>
      </c>
      <c r="Q573" s="5" t="s">
        <v>8719</v>
      </c>
      <c r="R573" s="5" t="s">
        <v>9585</v>
      </c>
      <c r="S573" s="5"/>
      <c r="T573" s="5"/>
    </row>
    <row r="574" spans="1:20" x14ac:dyDescent="0.25">
      <c r="A574" s="5" t="s">
        <v>9661</v>
      </c>
      <c r="B574" s="7" t="s">
        <v>8310</v>
      </c>
      <c r="C574" s="5" t="s">
        <v>73</v>
      </c>
      <c r="D574" s="5"/>
      <c r="F574" s="5"/>
      <c r="G574" s="7">
        <v>69</v>
      </c>
      <c r="H574" s="5" t="s">
        <v>9583</v>
      </c>
      <c r="I574" s="5" t="str">
        <f t="shared" si="8"/>
        <v>fate5732935</v>
      </c>
      <c r="J574" s="6" t="s">
        <v>9643</v>
      </c>
      <c r="K574" s="6">
        <v>29.1</v>
      </c>
      <c r="L574" s="6">
        <v>35.1</v>
      </c>
      <c r="M574" s="6"/>
      <c r="N574" s="6"/>
      <c r="P574" s="5" t="s">
        <v>9584</v>
      </c>
      <c r="Q574" s="5" t="s">
        <v>8719</v>
      </c>
      <c r="R574" s="5" t="s">
        <v>9585</v>
      </c>
      <c r="S574" s="5"/>
      <c r="T574" s="5"/>
    </row>
    <row r="575" spans="1:20" x14ac:dyDescent="0.25">
      <c r="A575" s="5" t="s">
        <v>9663</v>
      </c>
      <c r="B575" s="7" t="s">
        <v>8310</v>
      </c>
      <c r="C575" s="5" t="s">
        <v>73</v>
      </c>
      <c r="D575" s="5"/>
      <c r="F575" s="5"/>
      <c r="G575" s="7">
        <v>69</v>
      </c>
      <c r="H575" s="5" t="s">
        <v>9583</v>
      </c>
      <c r="I575" s="5" t="str">
        <f t="shared" si="8"/>
        <v>fate5743030</v>
      </c>
      <c r="J575" s="6" t="s">
        <v>9647</v>
      </c>
      <c r="K575" s="6">
        <v>30.8</v>
      </c>
      <c r="L575" s="6">
        <v>30.6</v>
      </c>
      <c r="M575" s="6"/>
      <c r="N575" s="6"/>
      <c r="P575" s="5" t="s">
        <v>9584</v>
      </c>
      <c r="Q575" s="5" t="s">
        <v>8719</v>
      </c>
      <c r="R575" s="5" t="s">
        <v>9585</v>
      </c>
      <c r="S575" s="5"/>
      <c r="T575" s="5"/>
    </row>
    <row r="576" spans="1:20" x14ac:dyDescent="0.25">
      <c r="A576" s="5" t="s">
        <v>9665</v>
      </c>
      <c r="B576" s="7" t="s">
        <v>10503</v>
      </c>
      <c r="C576" s="5" t="s">
        <v>73</v>
      </c>
      <c r="D576" s="1" t="s">
        <v>10945</v>
      </c>
      <c r="F576" s="5"/>
      <c r="G576" s="7">
        <v>69</v>
      </c>
      <c r="H576" s="5" t="s">
        <v>9583</v>
      </c>
      <c r="I576" s="5" t="str">
        <f t="shared" si="8"/>
        <v>fate5752325</v>
      </c>
      <c r="J576" s="6" t="s">
        <v>9595</v>
      </c>
      <c r="K576" s="6">
        <v>23</v>
      </c>
      <c r="L576" s="6">
        <v>25</v>
      </c>
      <c r="M576" s="6"/>
      <c r="N576" s="6"/>
      <c r="P576" s="5" t="s">
        <v>9584</v>
      </c>
      <c r="Q576" s="5" t="s">
        <v>8719</v>
      </c>
      <c r="R576" s="5" t="s">
        <v>9585</v>
      </c>
      <c r="S576" s="5"/>
      <c r="T576" s="5"/>
    </row>
    <row r="577" spans="1:20" x14ac:dyDescent="0.25">
      <c r="A577" s="5" t="s">
        <v>9667</v>
      </c>
      <c r="B577" s="7" t="s">
        <v>10503</v>
      </c>
      <c r="C577" s="5" t="s">
        <v>73</v>
      </c>
      <c r="D577" s="1" t="s">
        <v>10944</v>
      </c>
      <c r="F577" s="5"/>
      <c r="G577" s="7">
        <v>69</v>
      </c>
      <c r="H577" s="5" t="s">
        <v>9583</v>
      </c>
      <c r="I577" s="5" t="str">
        <f t="shared" si="8"/>
        <v>fate5761413</v>
      </c>
      <c r="J577" s="6" t="s">
        <v>9605</v>
      </c>
      <c r="K577" s="6">
        <v>14.9</v>
      </c>
      <c r="L577" s="6">
        <v>13.3</v>
      </c>
      <c r="M577" s="6"/>
      <c r="N577" s="6"/>
      <c r="P577" s="5" t="s">
        <v>9584</v>
      </c>
      <c r="Q577" s="5" t="s">
        <v>8719</v>
      </c>
      <c r="R577" s="5" t="s">
        <v>9585</v>
      </c>
      <c r="S577" s="5"/>
      <c r="T577" s="5"/>
    </row>
    <row r="578" spans="1:20" x14ac:dyDescent="0.25">
      <c r="A578" s="5" t="s">
        <v>9669</v>
      </c>
      <c r="B578" s="7" t="s">
        <v>10503</v>
      </c>
      <c r="C578" s="5" t="s">
        <v>73</v>
      </c>
      <c r="D578" s="1" t="s">
        <v>10950</v>
      </c>
      <c r="F578" s="5"/>
      <c r="G578" s="7">
        <v>69</v>
      </c>
      <c r="H578" s="5" t="s">
        <v>9583</v>
      </c>
      <c r="I578" s="5" t="str">
        <f t="shared" si="8"/>
        <v>fate5771226</v>
      </c>
      <c r="J578" s="6" t="s">
        <v>9609</v>
      </c>
      <c r="K578" s="6">
        <v>12.4</v>
      </c>
      <c r="L578" s="6">
        <v>26.9</v>
      </c>
      <c r="M578" s="6"/>
      <c r="N578" s="6"/>
      <c r="P578" s="5" t="s">
        <v>9584</v>
      </c>
      <c r="Q578" s="5" t="s">
        <v>8719</v>
      </c>
      <c r="R578" s="5" t="s">
        <v>9585</v>
      </c>
      <c r="S578" s="5"/>
      <c r="T578" s="5"/>
    </row>
    <row r="579" spans="1:20" x14ac:dyDescent="0.25">
      <c r="A579" s="5" t="s">
        <v>9671</v>
      </c>
      <c r="B579" s="7" t="s">
        <v>10503</v>
      </c>
      <c r="C579" s="5" t="s">
        <v>73</v>
      </c>
      <c r="D579" s="1" t="s">
        <v>10946</v>
      </c>
      <c r="F579" s="5"/>
      <c r="G579" s="7">
        <v>69</v>
      </c>
      <c r="H579" s="5" t="s">
        <v>9583</v>
      </c>
      <c r="I579" s="5" t="str">
        <f t="shared" si="8"/>
        <v>fate5781117</v>
      </c>
      <c r="J579" s="6" t="s">
        <v>9613</v>
      </c>
      <c r="K579" s="6">
        <v>11</v>
      </c>
      <c r="L579" s="6">
        <v>17.8</v>
      </c>
      <c r="M579" s="6"/>
      <c r="N579" s="6"/>
      <c r="P579" s="5" t="s">
        <v>9584</v>
      </c>
      <c r="Q579" s="5" t="s">
        <v>8719</v>
      </c>
      <c r="R579" s="5" t="s">
        <v>9585</v>
      </c>
      <c r="S579" s="5"/>
      <c r="T579" s="5"/>
    </row>
    <row r="580" spans="1:20" x14ac:dyDescent="0.25">
      <c r="A580" s="5" t="s">
        <v>9673</v>
      </c>
      <c r="B580" s="7" t="s">
        <v>10503</v>
      </c>
      <c r="C580" s="5" t="s">
        <v>73</v>
      </c>
      <c r="D580" s="1" t="s">
        <v>10949</v>
      </c>
      <c r="F580" s="5"/>
      <c r="G580" s="7">
        <v>69</v>
      </c>
      <c r="H580" s="5" t="s">
        <v>9583</v>
      </c>
      <c r="I580" s="5" t="str">
        <f t="shared" ref="I580:I643" si="9">A580&amp;LEFT(SUBSTITUTE(K580,".",""),2)&amp;LEFT(SUBSTITUTE(L580,".",""),2)</f>
        <v>fate5791927</v>
      </c>
      <c r="J580" s="6" t="s">
        <v>9617</v>
      </c>
      <c r="K580" s="6">
        <v>19.100000000000001</v>
      </c>
      <c r="L580" s="6">
        <v>27.9</v>
      </c>
      <c r="M580" s="6"/>
      <c r="N580" s="6"/>
      <c r="P580" s="5" t="s">
        <v>9584</v>
      </c>
      <c r="Q580" s="5" t="s">
        <v>8719</v>
      </c>
      <c r="R580" s="5" t="s">
        <v>9585</v>
      </c>
      <c r="S580" s="5"/>
      <c r="T580" s="5"/>
    </row>
    <row r="581" spans="1:20" x14ac:dyDescent="0.25">
      <c r="A581" s="5" t="s">
        <v>9675</v>
      </c>
      <c r="B581" s="7" t="s">
        <v>10503</v>
      </c>
      <c r="C581" s="5" t="s">
        <v>73</v>
      </c>
      <c r="D581" s="1" t="s">
        <v>10948</v>
      </c>
      <c r="F581" s="5"/>
      <c r="G581" s="7">
        <v>69</v>
      </c>
      <c r="H581" s="5" t="s">
        <v>9583</v>
      </c>
      <c r="I581" s="5" t="str">
        <f t="shared" si="9"/>
        <v>fate5804627</v>
      </c>
      <c r="J581" s="6" t="s">
        <v>9619</v>
      </c>
      <c r="K581" s="6">
        <v>4.5999999999999996</v>
      </c>
      <c r="L581" s="6">
        <v>27.1</v>
      </c>
      <c r="M581" s="6"/>
      <c r="N581" s="6"/>
      <c r="P581" s="5" t="s">
        <v>9584</v>
      </c>
      <c r="Q581" s="5" t="s">
        <v>8719</v>
      </c>
      <c r="R581" s="5" t="s">
        <v>9585</v>
      </c>
      <c r="S581" s="5"/>
      <c r="T581" s="5"/>
    </row>
    <row r="582" spans="1:20" x14ac:dyDescent="0.25">
      <c r="A582" s="5" t="s">
        <v>9677</v>
      </c>
      <c r="B582" s="7" t="s">
        <v>10503</v>
      </c>
      <c r="C582" s="5" t="s">
        <v>73</v>
      </c>
      <c r="D582" s="1" t="s">
        <v>10947</v>
      </c>
      <c r="F582" s="5"/>
      <c r="G582" s="7">
        <v>69</v>
      </c>
      <c r="H582" s="5" t="s">
        <v>9583</v>
      </c>
      <c r="I582" s="5" t="str">
        <f t="shared" si="9"/>
        <v>fate5811813</v>
      </c>
      <c r="J582" s="6" t="s">
        <v>9625</v>
      </c>
      <c r="K582" s="6">
        <v>18.8</v>
      </c>
      <c r="L582" s="6">
        <v>13.4</v>
      </c>
      <c r="M582" s="6"/>
      <c r="N582" s="6"/>
      <c r="P582" s="5" t="s">
        <v>9584</v>
      </c>
      <c r="Q582" s="5" t="s">
        <v>8719</v>
      </c>
      <c r="R582" s="5" t="s">
        <v>9585</v>
      </c>
      <c r="S582" s="5"/>
      <c r="T582" s="5"/>
    </row>
    <row r="583" spans="1:20" x14ac:dyDescent="0.25">
      <c r="A583" s="5" t="s">
        <v>9679</v>
      </c>
      <c r="B583" s="7" t="s">
        <v>10503</v>
      </c>
      <c r="C583" s="5" t="s">
        <v>73</v>
      </c>
      <c r="D583" s="1" t="s">
        <v>10942</v>
      </c>
      <c r="F583" s="5"/>
      <c r="G583" s="7">
        <v>69</v>
      </c>
      <c r="H583" s="5" t="s">
        <v>9583</v>
      </c>
      <c r="I583" s="5" t="str">
        <f t="shared" si="9"/>
        <v>fate5823015</v>
      </c>
      <c r="J583" s="6" t="s">
        <v>9627</v>
      </c>
      <c r="K583" s="6">
        <v>30</v>
      </c>
      <c r="L583" s="6">
        <v>15</v>
      </c>
      <c r="M583" s="6"/>
      <c r="N583" s="6"/>
      <c r="P583" s="5" t="s">
        <v>9584</v>
      </c>
      <c r="Q583" s="5" t="s">
        <v>8719</v>
      </c>
      <c r="R583" s="5" t="s">
        <v>9585</v>
      </c>
      <c r="S583" s="5"/>
      <c r="T583" s="5"/>
    </row>
    <row r="584" spans="1:20" x14ac:dyDescent="0.25">
      <c r="A584" s="5" t="s">
        <v>9681</v>
      </c>
      <c r="B584" s="7" t="s">
        <v>10503</v>
      </c>
      <c r="C584" s="5" t="s">
        <v>73</v>
      </c>
      <c r="D584" s="1" t="s">
        <v>10940</v>
      </c>
      <c r="F584" s="5"/>
      <c r="G584" s="7">
        <v>69</v>
      </c>
      <c r="H584" s="5" t="s">
        <v>9583</v>
      </c>
      <c r="I584" s="5" t="str">
        <f t="shared" si="9"/>
        <v>fate5832131</v>
      </c>
      <c r="J584" s="6" t="s">
        <v>9629</v>
      </c>
      <c r="K584" s="6">
        <v>21.9</v>
      </c>
      <c r="L584" s="6">
        <v>31.4</v>
      </c>
      <c r="M584" s="6"/>
      <c r="N584" s="6"/>
      <c r="P584" s="5" t="s">
        <v>9584</v>
      </c>
      <c r="Q584" s="5" t="s">
        <v>8719</v>
      </c>
      <c r="R584" s="5" t="s">
        <v>9585</v>
      </c>
      <c r="S584" s="5"/>
      <c r="T584" s="5"/>
    </row>
    <row r="585" spans="1:20" x14ac:dyDescent="0.25">
      <c r="A585" s="5" t="s">
        <v>9683</v>
      </c>
      <c r="B585" s="7" t="s">
        <v>10503</v>
      </c>
      <c r="C585" s="5" t="s">
        <v>73</v>
      </c>
      <c r="D585" s="1" t="s">
        <v>10943</v>
      </c>
      <c r="F585" s="5"/>
      <c r="G585" s="7">
        <v>69</v>
      </c>
      <c r="H585" s="5" t="s">
        <v>9583</v>
      </c>
      <c r="I585" s="5" t="str">
        <f t="shared" si="9"/>
        <v>fate5841323</v>
      </c>
      <c r="J585" s="6" t="s">
        <v>9633</v>
      </c>
      <c r="K585" s="6">
        <v>13</v>
      </c>
      <c r="L585" s="6">
        <v>23</v>
      </c>
      <c r="M585" s="6"/>
      <c r="N585" s="6"/>
      <c r="P585" s="5" t="s">
        <v>9584</v>
      </c>
      <c r="Q585" s="5" t="s">
        <v>8719</v>
      </c>
      <c r="R585" s="5" t="s">
        <v>9585</v>
      </c>
      <c r="S585" s="5"/>
      <c r="T585" s="5"/>
    </row>
    <row r="586" spans="1:20" x14ac:dyDescent="0.25">
      <c r="A586" s="5" t="s">
        <v>9685</v>
      </c>
      <c r="B586" s="7" t="s">
        <v>10503</v>
      </c>
      <c r="C586" s="5" t="s">
        <v>73</v>
      </c>
      <c r="D586" s="1" t="s">
        <v>10941</v>
      </c>
      <c r="F586" s="5"/>
      <c r="G586" s="7">
        <v>69</v>
      </c>
      <c r="H586" s="5" t="s">
        <v>9583</v>
      </c>
      <c r="I586" s="5" t="str">
        <f t="shared" si="9"/>
        <v>fate5852632</v>
      </c>
      <c r="J586" s="6" t="s">
        <v>9635</v>
      </c>
      <c r="K586" s="6">
        <v>26.4</v>
      </c>
      <c r="L586" s="6">
        <v>32.1</v>
      </c>
      <c r="M586" s="6"/>
      <c r="N586" s="6"/>
      <c r="P586" s="5" t="s">
        <v>9584</v>
      </c>
      <c r="Q586" s="5" t="s">
        <v>8719</v>
      </c>
      <c r="R586" s="5" t="s">
        <v>9585</v>
      </c>
      <c r="S586" s="5"/>
      <c r="T586" s="5"/>
    </row>
    <row r="587" spans="1:20" x14ac:dyDescent="0.25">
      <c r="A587" s="5" t="s">
        <v>9687</v>
      </c>
      <c r="B587" s="7" t="s">
        <v>10503</v>
      </c>
      <c r="C587" s="5" t="s">
        <v>73</v>
      </c>
      <c r="D587" s="1" t="s">
        <v>630</v>
      </c>
      <c r="F587" s="5"/>
      <c r="G587" s="7">
        <v>69</v>
      </c>
      <c r="H587" s="5" t="s">
        <v>9583</v>
      </c>
      <c r="I587" s="5" t="str">
        <f t="shared" si="9"/>
        <v>fate5861922</v>
      </c>
      <c r="J587" s="6" t="s">
        <v>9649</v>
      </c>
      <c r="K587" s="6">
        <v>19.100000000000001</v>
      </c>
      <c r="L587" s="6">
        <v>22.1</v>
      </c>
      <c r="M587" s="6"/>
      <c r="N587" s="6"/>
      <c r="P587" s="5" t="s">
        <v>9584</v>
      </c>
      <c r="Q587" s="5" t="s">
        <v>8719</v>
      </c>
      <c r="R587" s="5" t="s">
        <v>9585</v>
      </c>
      <c r="S587" s="5"/>
      <c r="T587" s="5"/>
    </row>
    <row r="588" spans="1:20" x14ac:dyDescent="0.25">
      <c r="A588" s="5" t="s">
        <v>9689</v>
      </c>
      <c r="B588" s="7" t="s">
        <v>10503</v>
      </c>
      <c r="C588" s="5" t="s">
        <v>73</v>
      </c>
      <c r="D588" s="1" t="s">
        <v>10937</v>
      </c>
      <c r="F588" s="5"/>
      <c r="G588" s="7">
        <v>69</v>
      </c>
      <c r="H588" s="5" t="s">
        <v>9583</v>
      </c>
      <c r="I588" s="5" t="str">
        <f t="shared" si="9"/>
        <v>fate5872627</v>
      </c>
      <c r="J588" s="6" t="s">
        <v>9651</v>
      </c>
      <c r="K588" s="6">
        <v>26.7</v>
      </c>
      <c r="L588" s="6">
        <v>27.9</v>
      </c>
      <c r="M588" s="6"/>
      <c r="N588" s="6"/>
      <c r="P588" s="5" t="s">
        <v>9584</v>
      </c>
      <c r="Q588" s="5" t="s">
        <v>8719</v>
      </c>
      <c r="R588" s="5" t="s">
        <v>9585</v>
      </c>
      <c r="S588" s="5"/>
      <c r="T588" s="5"/>
    </row>
    <row r="589" spans="1:20" x14ac:dyDescent="0.25">
      <c r="A589" s="5" t="s">
        <v>9691</v>
      </c>
      <c r="B589" s="7" t="s">
        <v>8310</v>
      </c>
      <c r="C589" s="5" t="s">
        <v>73</v>
      </c>
      <c r="D589" s="5"/>
      <c r="E589" s="5">
        <v>33</v>
      </c>
      <c r="F589" s="5">
        <v>1</v>
      </c>
      <c r="G589" s="7">
        <v>69</v>
      </c>
      <c r="H589" s="5" t="s">
        <v>9583</v>
      </c>
      <c r="I589" s="5" t="str">
        <f t="shared" si="9"/>
        <v>fate5887695</v>
      </c>
      <c r="J589" s="6" t="s">
        <v>9631</v>
      </c>
      <c r="K589" s="6">
        <v>7.6</v>
      </c>
      <c r="L589" s="6">
        <v>9.5</v>
      </c>
      <c r="M589" s="6"/>
      <c r="N589" s="6"/>
      <c r="P589" s="5" t="s">
        <v>9584</v>
      </c>
      <c r="Q589" s="5" t="s">
        <v>8719</v>
      </c>
      <c r="R589" s="5" t="s">
        <v>9585</v>
      </c>
      <c r="S589" s="5"/>
      <c r="T589" s="5"/>
    </row>
    <row r="590" spans="1:20" x14ac:dyDescent="0.25">
      <c r="A590" s="5" t="s">
        <v>9693</v>
      </c>
      <c r="B590" s="7" t="s">
        <v>8346</v>
      </c>
      <c r="C590" s="5" t="s">
        <v>73</v>
      </c>
      <c r="D590" s="5"/>
      <c r="E590" s="5">
        <v>33</v>
      </c>
      <c r="F590" s="5">
        <v>2</v>
      </c>
      <c r="G590" s="7">
        <v>69</v>
      </c>
      <c r="H590" s="5" t="s">
        <v>9583</v>
      </c>
      <c r="I590" s="5" t="str">
        <f t="shared" si="9"/>
        <v>fate5897695</v>
      </c>
      <c r="J590" s="6" t="s">
        <v>9593</v>
      </c>
      <c r="K590" s="6">
        <v>7.6</v>
      </c>
      <c r="L590" s="6">
        <v>9.5</v>
      </c>
      <c r="M590" s="6"/>
      <c r="N590" s="6"/>
      <c r="P590" s="5" t="s">
        <v>9584</v>
      </c>
      <c r="Q590" s="5" t="s">
        <v>8719</v>
      </c>
      <c r="R590" s="5" t="s">
        <v>9585</v>
      </c>
      <c r="S590" s="5"/>
      <c r="T590" s="5"/>
    </row>
    <row r="591" spans="1:20" x14ac:dyDescent="0.25">
      <c r="A591" s="5" t="s">
        <v>9695</v>
      </c>
      <c r="B591" s="7" t="s">
        <v>8310</v>
      </c>
      <c r="C591" s="5" t="s">
        <v>73</v>
      </c>
      <c r="D591" s="5"/>
      <c r="E591" s="5">
        <v>34</v>
      </c>
      <c r="F591" s="5">
        <v>1</v>
      </c>
      <c r="G591" s="7">
        <v>69</v>
      </c>
      <c r="H591" s="5" t="s">
        <v>9583</v>
      </c>
      <c r="I591" s="5" t="str">
        <f t="shared" si="9"/>
        <v>fate5901317</v>
      </c>
      <c r="J591" s="6" t="s">
        <v>9615</v>
      </c>
      <c r="K591" s="6">
        <v>13.1</v>
      </c>
      <c r="L591" s="6">
        <v>17.5</v>
      </c>
      <c r="M591" s="6"/>
      <c r="N591" s="6"/>
      <c r="P591" s="5" t="s">
        <v>9584</v>
      </c>
      <c r="Q591" s="5" t="s">
        <v>8719</v>
      </c>
      <c r="R591" s="5" t="s">
        <v>9585</v>
      </c>
      <c r="S591" s="5"/>
      <c r="T591" s="5"/>
    </row>
    <row r="592" spans="1:20" x14ac:dyDescent="0.25">
      <c r="A592" s="5" t="s">
        <v>9697</v>
      </c>
      <c r="B592" s="7" t="s">
        <v>10503</v>
      </c>
      <c r="C592" s="5" t="s">
        <v>73</v>
      </c>
      <c r="D592" s="1" t="s">
        <v>10938</v>
      </c>
      <c r="E592" s="5">
        <v>34</v>
      </c>
      <c r="F592" s="5">
        <v>2</v>
      </c>
      <c r="G592" s="7">
        <v>69</v>
      </c>
      <c r="H592" s="5" t="s">
        <v>9583</v>
      </c>
      <c r="I592" s="5" t="str">
        <f t="shared" si="9"/>
        <v>fate5911317</v>
      </c>
      <c r="J592" s="6" t="s">
        <v>9607</v>
      </c>
      <c r="K592" s="6">
        <v>13.1</v>
      </c>
      <c r="L592" s="6">
        <v>17.5</v>
      </c>
      <c r="M592" s="6"/>
      <c r="N592" s="6"/>
      <c r="P592" s="5" t="s">
        <v>9584</v>
      </c>
      <c r="Q592" s="5" t="s">
        <v>8719</v>
      </c>
      <c r="R592" s="5" t="s">
        <v>9585</v>
      </c>
      <c r="S592" s="5"/>
      <c r="T592" s="5"/>
    </row>
    <row r="593" spans="1:21" x14ac:dyDescent="0.25">
      <c r="A593" s="5" t="s">
        <v>9699</v>
      </c>
      <c r="B593" s="7" t="s">
        <v>8310</v>
      </c>
      <c r="C593" s="5" t="s">
        <v>73</v>
      </c>
      <c r="D593" s="5"/>
      <c r="E593" s="5">
        <v>35</v>
      </c>
      <c r="F593" s="5">
        <v>1</v>
      </c>
      <c r="G593" s="7">
        <v>69</v>
      </c>
      <c r="H593" s="5" t="s">
        <v>9583</v>
      </c>
      <c r="I593" s="5" t="str">
        <f t="shared" si="9"/>
        <v>fate592168</v>
      </c>
      <c r="J593" s="6" t="s">
        <v>9645</v>
      </c>
      <c r="K593" s="6">
        <v>16</v>
      </c>
      <c r="L593" s="6">
        <v>8</v>
      </c>
      <c r="M593" s="6"/>
      <c r="N593" s="6"/>
      <c r="P593" s="5" t="s">
        <v>9584</v>
      </c>
      <c r="Q593" s="5" t="s">
        <v>8719</v>
      </c>
      <c r="R593" s="5" t="s">
        <v>9585</v>
      </c>
      <c r="S593" s="5"/>
      <c r="T593" s="5"/>
    </row>
    <row r="594" spans="1:21" x14ac:dyDescent="0.25">
      <c r="A594" s="5" t="s">
        <v>9701</v>
      </c>
      <c r="B594" s="7" t="s">
        <v>8310</v>
      </c>
      <c r="C594" s="5" t="s">
        <v>73</v>
      </c>
      <c r="D594" s="5"/>
      <c r="E594" s="5">
        <v>35</v>
      </c>
      <c r="F594" s="5">
        <v>2</v>
      </c>
      <c r="G594" s="7">
        <v>69</v>
      </c>
      <c r="H594" s="5" t="s">
        <v>9583</v>
      </c>
      <c r="I594" s="5" t="str">
        <f t="shared" si="9"/>
        <v>fate5931462</v>
      </c>
      <c r="J594" s="6" t="s">
        <v>9623</v>
      </c>
      <c r="K594" s="6">
        <v>14.6</v>
      </c>
      <c r="L594" s="6">
        <v>6.2</v>
      </c>
      <c r="M594" s="6"/>
      <c r="N594" s="6"/>
      <c r="P594" s="5" t="s">
        <v>9584</v>
      </c>
      <c r="Q594" s="5" t="s">
        <v>8719</v>
      </c>
      <c r="R594" s="5" t="s">
        <v>9585</v>
      </c>
      <c r="S594" s="5"/>
      <c r="T594" s="5"/>
    </row>
    <row r="595" spans="1:21" x14ac:dyDescent="0.25">
      <c r="A595" s="5" t="s">
        <v>9705</v>
      </c>
      <c r="B595" s="7" t="s">
        <v>10503</v>
      </c>
      <c r="C595" s="5" t="s">
        <v>73</v>
      </c>
      <c r="D595" s="1" t="s">
        <v>10939</v>
      </c>
      <c r="E595" s="5">
        <v>35</v>
      </c>
      <c r="F595" s="5">
        <v>3</v>
      </c>
      <c r="G595" s="7">
        <v>69</v>
      </c>
      <c r="H595" s="5" t="s">
        <v>9583</v>
      </c>
      <c r="I595" s="5" t="str">
        <f t="shared" si="9"/>
        <v>fate5941175</v>
      </c>
      <c r="J595" s="6" t="s">
        <v>9637</v>
      </c>
      <c r="K595" s="6">
        <v>11.7</v>
      </c>
      <c r="L595" s="6">
        <v>7.5</v>
      </c>
      <c r="M595" s="6"/>
      <c r="N595" s="6"/>
      <c r="P595" s="5" t="s">
        <v>9584</v>
      </c>
      <c r="Q595" s="5" t="s">
        <v>8719</v>
      </c>
      <c r="R595" s="5" t="s">
        <v>9585</v>
      </c>
      <c r="S595" s="5"/>
      <c r="T595" s="5"/>
    </row>
    <row r="596" spans="1:21" x14ac:dyDescent="0.25">
      <c r="A596" s="5" t="s">
        <v>9707</v>
      </c>
      <c r="B596" s="7" t="s">
        <v>10668</v>
      </c>
      <c r="C596" s="5" t="s">
        <v>73</v>
      </c>
      <c r="D596" s="1" t="s">
        <v>10522</v>
      </c>
      <c r="F596" s="5"/>
      <c r="G596" s="7">
        <v>70</v>
      </c>
      <c r="H596" s="5" t="s">
        <v>637</v>
      </c>
      <c r="I596" s="5" t="str">
        <f t="shared" si="9"/>
        <v>fate595415</v>
      </c>
      <c r="J596" s="5" t="s">
        <v>9653</v>
      </c>
      <c r="K596" s="5">
        <v>4</v>
      </c>
      <c r="L596" s="5">
        <v>15</v>
      </c>
      <c r="M596" s="5"/>
      <c r="N596" s="5"/>
      <c r="O596" s="5" t="s">
        <v>10951</v>
      </c>
      <c r="P596" s="5">
        <v>0</v>
      </c>
      <c r="Q596" s="5">
        <v>140</v>
      </c>
      <c r="R596" s="5">
        <v>402</v>
      </c>
      <c r="S596" s="5"/>
      <c r="T596" s="5" t="s">
        <v>10731</v>
      </c>
      <c r="U596" s="1" t="s">
        <v>10952</v>
      </c>
    </row>
    <row r="597" spans="1:21" x14ac:dyDescent="0.25">
      <c r="A597" s="5" t="s">
        <v>9709</v>
      </c>
      <c r="B597" s="7" t="s">
        <v>10668</v>
      </c>
      <c r="C597" s="5" t="s">
        <v>73</v>
      </c>
      <c r="D597" s="1" t="s">
        <v>10522</v>
      </c>
      <c r="F597" s="5"/>
      <c r="G597" s="7">
        <v>70</v>
      </c>
      <c r="H597" s="5" t="s">
        <v>637</v>
      </c>
      <c r="I597" s="5" t="str">
        <f t="shared" si="9"/>
        <v>fate596299</v>
      </c>
      <c r="J597" s="5" t="s">
        <v>9653</v>
      </c>
      <c r="K597" s="5">
        <v>29</v>
      </c>
      <c r="L597" s="5">
        <v>9</v>
      </c>
      <c r="M597" s="5"/>
      <c r="N597" s="5"/>
      <c r="O597" s="5" t="s">
        <v>10951</v>
      </c>
      <c r="P597" s="5">
        <v>0</v>
      </c>
      <c r="Q597" s="5">
        <v>140</v>
      </c>
      <c r="R597" s="5">
        <v>402</v>
      </c>
      <c r="S597" s="5"/>
      <c r="T597" s="5" t="s">
        <v>10731</v>
      </c>
      <c r="U597" s="1" t="s">
        <v>10952</v>
      </c>
    </row>
    <row r="598" spans="1:21" x14ac:dyDescent="0.25">
      <c r="A598" s="5" t="s">
        <v>9711</v>
      </c>
      <c r="B598" s="7" t="s">
        <v>10668</v>
      </c>
      <c r="C598" s="5" t="s">
        <v>73</v>
      </c>
      <c r="D598" s="1" t="s">
        <v>10522</v>
      </c>
      <c r="F598" s="5"/>
      <c r="G598" s="7">
        <v>70</v>
      </c>
      <c r="H598" s="5" t="s">
        <v>637</v>
      </c>
      <c r="I598" s="5" t="str">
        <f t="shared" si="9"/>
        <v>fate5971622</v>
      </c>
      <c r="J598" s="5" t="s">
        <v>9653</v>
      </c>
      <c r="K598" s="5">
        <v>16</v>
      </c>
      <c r="L598" s="5">
        <v>22</v>
      </c>
      <c r="M598" s="5"/>
      <c r="N598" s="5"/>
      <c r="O598" s="5" t="s">
        <v>10951</v>
      </c>
      <c r="P598" s="5">
        <v>0</v>
      </c>
      <c r="Q598" s="5">
        <v>140</v>
      </c>
      <c r="R598" s="5">
        <v>402</v>
      </c>
      <c r="S598" s="5"/>
      <c r="T598" s="5" t="s">
        <v>10731</v>
      </c>
      <c r="U598" s="1" t="s">
        <v>10952</v>
      </c>
    </row>
    <row r="599" spans="1:21" x14ac:dyDescent="0.25">
      <c r="A599" s="5" t="s">
        <v>9713</v>
      </c>
      <c r="B599" s="7" t="s">
        <v>8310</v>
      </c>
      <c r="C599" s="5" t="s">
        <v>73</v>
      </c>
      <c r="D599" s="5"/>
      <c r="F599" s="5"/>
      <c r="G599" s="7">
        <v>62</v>
      </c>
      <c r="H599" s="5" t="s">
        <v>9657</v>
      </c>
      <c r="I599" s="5" t="str">
        <f t="shared" si="9"/>
        <v>fate5982829</v>
      </c>
      <c r="J599" s="6" t="s">
        <v>9662</v>
      </c>
      <c r="K599" s="6">
        <v>28.2</v>
      </c>
      <c r="L599" s="6">
        <v>29.9</v>
      </c>
      <c r="M599" s="6"/>
      <c r="N599" s="6"/>
      <c r="P599" s="5" t="s">
        <v>9658</v>
      </c>
      <c r="Q599" s="5" t="s">
        <v>9659</v>
      </c>
      <c r="R599" s="5" t="s">
        <v>9660</v>
      </c>
      <c r="S599" s="5"/>
      <c r="T599" s="5"/>
    </row>
    <row r="600" spans="1:21" x14ac:dyDescent="0.25">
      <c r="A600" s="5" t="s">
        <v>9715</v>
      </c>
      <c r="B600" s="7" t="s">
        <v>8310</v>
      </c>
      <c r="C600" s="5" t="s">
        <v>73</v>
      </c>
      <c r="D600" s="5"/>
      <c r="F600" s="5"/>
      <c r="G600" s="7">
        <v>62</v>
      </c>
      <c r="H600" s="5" t="s">
        <v>9657</v>
      </c>
      <c r="I600" s="5" t="str">
        <f t="shared" si="9"/>
        <v>fate5993721</v>
      </c>
      <c r="J600" s="6" t="s">
        <v>9664</v>
      </c>
      <c r="K600" s="6">
        <v>37.5</v>
      </c>
      <c r="L600" s="6">
        <v>21.6</v>
      </c>
      <c r="M600" s="6"/>
      <c r="N600" s="6"/>
      <c r="P600" s="5" t="s">
        <v>9658</v>
      </c>
      <c r="Q600" s="5" t="s">
        <v>9659</v>
      </c>
      <c r="R600" s="5" t="s">
        <v>9660</v>
      </c>
      <c r="S600" s="5"/>
      <c r="T600" s="5"/>
    </row>
    <row r="601" spans="1:21" x14ac:dyDescent="0.25">
      <c r="A601" s="5" t="s">
        <v>9717</v>
      </c>
      <c r="B601" s="7" t="s">
        <v>8310</v>
      </c>
      <c r="C601" s="5" t="s">
        <v>73</v>
      </c>
      <c r="D601" s="5"/>
      <c r="F601" s="5"/>
      <c r="G601" s="7">
        <v>62</v>
      </c>
      <c r="H601" s="5" t="s">
        <v>9657</v>
      </c>
      <c r="I601" s="5" t="str">
        <f t="shared" si="9"/>
        <v>fate6003357</v>
      </c>
      <c r="J601" s="6" t="s">
        <v>9670</v>
      </c>
      <c r="K601" s="6">
        <v>33.4</v>
      </c>
      <c r="L601" s="6">
        <v>5.7</v>
      </c>
      <c r="M601" s="6"/>
      <c r="N601" s="6"/>
      <c r="P601" s="5" t="s">
        <v>9658</v>
      </c>
      <c r="Q601" s="5" t="s">
        <v>9659</v>
      </c>
      <c r="R601" s="5" t="s">
        <v>9660</v>
      </c>
      <c r="S601" s="5"/>
      <c r="T601" s="5"/>
    </row>
    <row r="602" spans="1:21" x14ac:dyDescent="0.25">
      <c r="A602" s="5" t="s">
        <v>9719</v>
      </c>
      <c r="B602" s="7" t="s">
        <v>8310</v>
      </c>
      <c r="C602" s="5" t="s">
        <v>73</v>
      </c>
      <c r="D602" s="5"/>
      <c r="F602" s="5"/>
      <c r="G602" s="7">
        <v>62</v>
      </c>
      <c r="H602" s="5" t="s">
        <v>9657</v>
      </c>
      <c r="I602" s="5" t="str">
        <f t="shared" si="9"/>
        <v>fate6012934</v>
      </c>
      <c r="J602" s="6" t="s">
        <v>9672</v>
      </c>
      <c r="K602" s="6">
        <v>29.7</v>
      </c>
      <c r="L602" s="6">
        <v>34.799999999999997</v>
      </c>
      <c r="M602" s="6"/>
      <c r="N602" s="6"/>
      <c r="P602" s="5" t="s">
        <v>9658</v>
      </c>
      <c r="Q602" s="5" t="s">
        <v>9659</v>
      </c>
      <c r="R602" s="5" t="s">
        <v>9660</v>
      </c>
      <c r="S602" s="5"/>
      <c r="T602" s="5"/>
    </row>
    <row r="603" spans="1:21" x14ac:dyDescent="0.25">
      <c r="A603" s="5" t="s">
        <v>9721</v>
      </c>
      <c r="B603" s="7" t="s">
        <v>8310</v>
      </c>
      <c r="C603" s="5" t="s">
        <v>73</v>
      </c>
      <c r="D603" s="5"/>
      <c r="F603" s="5"/>
      <c r="G603" s="7">
        <v>62</v>
      </c>
      <c r="H603" s="5" t="s">
        <v>9657</v>
      </c>
      <c r="I603" s="5" t="str">
        <f t="shared" si="9"/>
        <v>fate6022728</v>
      </c>
      <c r="J603" s="6" t="s">
        <v>9678</v>
      </c>
      <c r="K603" s="6">
        <v>27.4</v>
      </c>
      <c r="L603" s="6">
        <v>28.8</v>
      </c>
      <c r="M603" s="6"/>
      <c r="N603" s="6"/>
      <c r="P603" s="5" t="s">
        <v>9658</v>
      </c>
      <c r="Q603" s="5" t="s">
        <v>9659</v>
      </c>
      <c r="R603" s="5" t="s">
        <v>9660</v>
      </c>
      <c r="S603" s="5"/>
      <c r="T603" s="5"/>
    </row>
    <row r="604" spans="1:21" x14ac:dyDescent="0.25">
      <c r="A604" s="5" t="s">
        <v>9727</v>
      </c>
      <c r="B604" s="7" t="s">
        <v>8310</v>
      </c>
      <c r="C604" s="5" t="s">
        <v>73</v>
      </c>
      <c r="D604" s="5"/>
      <c r="F604" s="5"/>
      <c r="G604" s="7">
        <v>62</v>
      </c>
      <c r="H604" s="5" t="s">
        <v>9657</v>
      </c>
      <c r="I604" s="5" t="str">
        <f t="shared" si="9"/>
        <v>fate6031495</v>
      </c>
      <c r="J604" s="6" t="s">
        <v>9684</v>
      </c>
      <c r="K604" s="6">
        <v>14.6</v>
      </c>
      <c r="L604" s="6">
        <v>9.5</v>
      </c>
      <c r="M604" s="6"/>
      <c r="N604" s="6"/>
      <c r="P604" s="5" t="s">
        <v>9658</v>
      </c>
      <c r="Q604" s="5" t="s">
        <v>9659</v>
      </c>
      <c r="R604" s="5" t="s">
        <v>9660</v>
      </c>
      <c r="S604" s="5"/>
      <c r="T604" s="5"/>
    </row>
    <row r="605" spans="1:21" x14ac:dyDescent="0.25">
      <c r="A605" s="5" t="s">
        <v>9729</v>
      </c>
      <c r="B605" s="7" t="s">
        <v>8310</v>
      </c>
      <c r="C605" s="5" t="s">
        <v>73</v>
      </c>
      <c r="D605" s="5"/>
      <c r="F605" s="5"/>
      <c r="G605" s="7">
        <v>62</v>
      </c>
      <c r="H605" s="5" t="s">
        <v>9657</v>
      </c>
      <c r="I605" s="5" t="str">
        <f t="shared" si="9"/>
        <v>fate6042357</v>
      </c>
      <c r="J605" s="6" t="s">
        <v>9686</v>
      </c>
      <c r="K605" s="6">
        <v>23.1</v>
      </c>
      <c r="L605" s="6">
        <v>5.7</v>
      </c>
      <c r="M605" s="6"/>
      <c r="N605" s="6"/>
      <c r="P605" s="5" t="s">
        <v>9658</v>
      </c>
      <c r="Q605" s="5" t="s">
        <v>9659</v>
      </c>
      <c r="R605" s="5" t="s">
        <v>9660</v>
      </c>
      <c r="S605" s="5"/>
      <c r="T605" s="5"/>
    </row>
    <row r="606" spans="1:21" x14ac:dyDescent="0.25">
      <c r="A606" s="5" t="s">
        <v>9731</v>
      </c>
      <c r="B606" s="7" t="s">
        <v>8310</v>
      </c>
      <c r="C606" s="5" t="s">
        <v>73</v>
      </c>
      <c r="D606" s="5"/>
      <c r="F606" s="5"/>
      <c r="G606" s="7">
        <v>62</v>
      </c>
      <c r="H606" s="5" t="s">
        <v>9657</v>
      </c>
      <c r="I606" s="5" t="str">
        <f t="shared" si="9"/>
        <v>fate6052933</v>
      </c>
      <c r="J606" s="6" t="s">
        <v>9690</v>
      </c>
      <c r="K606" s="6">
        <v>29</v>
      </c>
      <c r="L606" s="6">
        <v>33.1</v>
      </c>
      <c r="M606" s="6"/>
      <c r="N606" s="6"/>
      <c r="P606" s="5" t="s">
        <v>9658</v>
      </c>
      <c r="Q606" s="5" t="s">
        <v>9659</v>
      </c>
      <c r="R606" s="5" t="s">
        <v>9660</v>
      </c>
      <c r="S606" s="5"/>
      <c r="T606" s="5"/>
    </row>
    <row r="607" spans="1:21" x14ac:dyDescent="0.25">
      <c r="A607" s="5" t="s">
        <v>9733</v>
      </c>
      <c r="B607" s="7" t="s">
        <v>8310</v>
      </c>
      <c r="C607" s="5" t="s">
        <v>73</v>
      </c>
      <c r="D607" s="5"/>
      <c r="F607" s="5"/>
      <c r="G607" s="7">
        <v>62</v>
      </c>
      <c r="H607" s="5" t="s">
        <v>9657</v>
      </c>
      <c r="I607" s="5" t="str">
        <f t="shared" si="9"/>
        <v>fate6063325</v>
      </c>
      <c r="J607" s="6" t="s">
        <v>9700</v>
      </c>
      <c r="K607" s="6">
        <v>33.299999999999997</v>
      </c>
      <c r="L607" s="6">
        <v>25.2</v>
      </c>
      <c r="M607" s="6"/>
      <c r="N607" s="6"/>
      <c r="P607" s="5" t="s">
        <v>9658</v>
      </c>
      <c r="Q607" s="5" t="s">
        <v>9659</v>
      </c>
      <c r="R607" s="5" t="s">
        <v>9660</v>
      </c>
      <c r="S607" s="5"/>
      <c r="T607" s="5"/>
    </row>
    <row r="608" spans="1:21" x14ac:dyDescent="0.25">
      <c r="A608" s="5" t="s">
        <v>9735</v>
      </c>
      <c r="B608" s="7" t="s">
        <v>8310</v>
      </c>
      <c r="C608" s="5" t="s">
        <v>73</v>
      </c>
      <c r="D608" s="5"/>
      <c r="F608" s="5"/>
      <c r="G608" s="7">
        <v>63</v>
      </c>
      <c r="H608" s="5" t="s">
        <v>9657</v>
      </c>
      <c r="I608" s="5" t="str">
        <f t="shared" si="9"/>
        <v>fate6078967</v>
      </c>
      <c r="J608" s="6" t="s">
        <v>9702</v>
      </c>
      <c r="K608" s="6">
        <v>8.9</v>
      </c>
      <c r="L608" s="6">
        <v>6.7</v>
      </c>
      <c r="M608" s="6"/>
      <c r="N608" s="6"/>
      <c r="P608" s="5" t="s">
        <v>9703</v>
      </c>
      <c r="Q608" s="5" t="s">
        <v>8708</v>
      </c>
      <c r="R608" s="5" t="s">
        <v>9704</v>
      </c>
      <c r="S608" s="5"/>
      <c r="T608" s="5"/>
    </row>
    <row r="609" spans="1:20" x14ac:dyDescent="0.25">
      <c r="A609" s="5" t="s">
        <v>9737</v>
      </c>
      <c r="B609" s="7" t="s">
        <v>8310</v>
      </c>
      <c r="C609" s="5" t="s">
        <v>73</v>
      </c>
      <c r="D609" s="5"/>
      <c r="F609" s="5"/>
      <c r="G609" s="7">
        <v>63</v>
      </c>
      <c r="H609" s="5" t="s">
        <v>9657</v>
      </c>
      <c r="I609" s="5" t="str">
        <f t="shared" si="9"/>
        <v>fate6083425</v>
      </c>
      <c r="J609" s="6" t="s">
        <v>9714</v>
      </c>
      <c r="K609" s="6">
        <v>34.9</v>
      </c>
      <c r="L609" s="6">
        <v>25.2</v>
      </c>
      <c r="M609" s="6"/>
      <c r="N609" s="6"/>
      <c r="P609" s="5" t="s">
        <v>9703</v>
      </c>
      <c r="Q609" s="5" t="s">
        <v>8708</v>
      </c>
      <c r="R609" s="5" t="s">
        <v>9704</v>
      </c>
      <c r="S609" s="5"/>
      <c r="T609" s="5"/>
    </row>
    <row r="610" spans="1:20" x14ac:dyDescent="0.25">
      <c r="A610" s="5" t="s">
        <v>9739</v>
      </c>
      <c r="B610" s="7" t="s">
        <v>8310</v>
      </c>
      <c r="C610" s="5" t="s">
        <v>73</v>
      </c>
      <c r="D610" s="5"/>
      <c r="F610" s="5"/>
      <c r="G610" s="7">
        <v>63</v>
      </c>
      <c r="H610" s="5" t="s">
        <v>9657</v>
      </c>
      <c r="I610" s="5" t="str">
        <f t="shared" si="9"/>
        <v>fate6093415</v>
      </c>
      <c r="J610" s="6" t="s">
        <v>9716</v>
      </c>
      <c r="K610" s="6">
        <v>34.799999999999997</v>
      </c>
      <c r="L610" s="6">
        <v>15.4</v>
      </c>
      <c r="M610" s="6"/>
      <c r="N610" s="6"/>
      <c r="P610" s="5" t="s">
        <v>9703</v>
      </c>
      <c r="Q610" s="5" t="s">
        <v>8708</v>
      </c>
      <c r="R610" s="5" t="s">
        <v>9704</v>
      </c>
      <c r="S610" s="5"/>
      <c r="T610" s="5"/>
    </row>
    <row r="611" spans="1:20" x14ac:dyDescent="0.25">
      <c r="A611" s="5" t="s">
        <v>9741</v>
      </c>
      <c r="B611" s="7" t="s">
        <v>8310</v>
      </c>
      <c r="C611" s="5" t="s">
        <v>73</v>
      </c>
      <c r="D611" s="5"/>
      <c r="F611" s="5"/>
      <c r="G611" s="7">
        <v>63</v>
      </c>
      <c r="H611" s="5" t="s">
        <v>9657</v>
      </c>
      <c r="I611" s="5" t="str">
        <f t="shared" si="9"/>
        <v>fate6103422</v>
      </c>
      <c r="J611" s="6" t="s">
        <v>9718</v>
      </c>
      <c r="K611" s="6">
        <v>34.700000000000003</v>
      </c>
      <c r="L611" s="6">
        <v>22.8</v>
      </c>
      <c r="M611" s="6"/>
      <c r="N611" s="6"/>
      <c r="P611" s="5" t="s">
        <v>9703</v>
      </c>
      <c r="Q611" s="5" t="s">
        <v>8708</v>
      </c>
      <c r="R611" s="5" t="s">
        <v>9704</v>
      </c>
      <c r="S611" s="5"/>
      <c r="T611" s="5"/>
    </row>
    <row r="612" spans="1:20" x14ac:dyDescent="0.25">
      <c r="A612" s="5" t="s">
        <v>9743</v>
      </c>
      <c r="B612" s="7" t="s">
        <v>8310</v>
      </c>
      <c r="C612" s="5" t="s">
        <v>73</v>
      </c>
      <c r="D612" s="5"/>
      <c r="F612" s="5"/>
      <c r="G612" s="7">
        <v>63</v>
      </c>
      <c r="H612" s="5" t="s">
        <v>9657</v>
      </c>
      <c r="I612" s="5" t="str">
        <f t="shared" si="9"/>
        <v>fate6113418</v>
      </c>
      <c r="J612" s="6" t="s">
        <v>9720</v>
      </c>
      <c r="K612" s="6">
        <v>34.6</v>
      </c>
      <c r="L612" s="6">
        <v>18.2</v>
      </c>
      <c r="M612" s="6"/>
      <c r="N612" s="6"/>
      <c r="P612" s="5" t="s">
        <v>9703</v>
      </c>
      <c r="Q612" s="5" t="s">
        <v>8708</v>
      </c>
      <c r="R612" s="5" t="s">
        <v>9704</v>
      </c>
      <c r="S612" s="5"/>
      <c r="T612" s="5"/>
    </row>
    <row r="613" spans="1:20" x14ac:dyDescent="0.25">
      <c r="A613" s="5" t="s">
        <v>9745</v>
      </c>
      <c r="B613" s="7" t="s">
        <v>8346</v>
      </c>
      <c r="C613" s="5" t="s">
        <v>73</v>
      </c>
      <c r="D613" s="5"/>
      <c r="F613" s="5"/>
      <c r="G613" s="7">
        <v>62</v>
      </c>
      <c r="H613" s="5" t="s">
        <v>9657</v>
      </c>
      <c r="I613" s="5" t="str">
        <f t="shared" si="9"/>
        <v>fate6122031</v>
      </c>
      <c r="J613" s="6" t="s">
        <v>9694</v>
      </c>
      <c r="K613" s="6">
        <v>20.5</v>
      </c>
      <c r="L613" s="6">
        <v>31.5</v>
      </c>
      <c r="M613" s="6"/>
      <c r="N613" s="6"/>
      <c r="P613" s="5" t="s">
        <v>9658</v>
      </c>
      <c r="Q613" s="5" t="s">
        <v>9659</v>
      </c>
      <c r="R613" s="5" t="s">
        <v>9660</v>
      </c>
      <c r="S613" s="5"/>
      <c r="T613" s="5"/>
    </row>
    <row r="614" spans="1:20" x14ac:dyDescent="0.25">
      <c r="A614" s="5" t="s">
        <v>9747</v>
      </c>
      <c r="B614" s="7" t="s">
        <v>8424</v>
      </c>
      <c r="C614" s="5" t="s">
        <v>73</v>
      </c>
      <c r="D614" s="5"/>
      <c r="F614" s="5"/>
      <c r="G614" s="7">
        <v>62</v>
      </c>
      <c r="H614" s="5" t="s">
        <v>9657</v>
      </c>
      <c r="I614" s="5" t="str">
        <f t="shared" si="9"/>
        <v>fate6132979</v>
      </c>
      <c r="J614" s="6" t="s">
        <v>9682</v>
      </c>
      <c r="K614" s="6">
        <v>29.5</v>
      </c>
      <c r="L614" s="6">
        <v>7.9</v>
      </c>
      <c r="M614" s="6"/>
      <c r="N614" s="6"/>
      <c r="P614" s="5" t="s">
        <v>9658</v>
      </c>
      <c r="Q614" s="5" t="s">
        <v>9659</v>
      </c>
      <c r="R614" s="5" t="s">
        <v>9660</v>
      </c>
      <c r="S614" s="5"/>
      <c r="T614" s="5"/>
    </row>
    <row r="615" spans="1:20" x14ac:dyDescent="0.25">
      <c r="A615" s="5" t="s">
        <v>9749</v>
      </c>
      <c r="B615" s="7" t="s">
        <v>8424</v>
      </c>
      <c r="C615" s="5" t="s">
        <v>73</v>
      </c>
      <c r="D615" s="5"/>
      <c r="F615" s="5"/>
      <c r="G615" s="7">
        <v>63</v>
      </c>
      <c r="H615" s="5" t="s">
        <v>9657</v>
      </c>
      <c r="I615" s="5" t="str">
        <f t="shared" si="9"/>
        <v>fate6147730</v>
      </c>
      <c r="J615" s="6" t="s">
        <v>9706</v>
      </c>
      <c r="K615" s="6">
        <v>7.7</v>
      </c>
      <c r="L615" s="6">
        <v>30.4</v>
      </c>
      <c r="M615" s="6"/>
      <c r="N615" s="6"/>
      <c r="P615" s="5" t="s">
        <v>9703</v>
      </c>
      <c r="Q615" s="5" t="s">
        <v>8708</v>
      </c>
      <c r="R615" s="5" t="s">
        <v>9704</v>
      </c>
      <c r="S615" s="5"/>
      <c r="T615" s="5"/>
    </row>
    <row r="616" spans="1:20" x14ac:dyDescent="0.25">
      <c r="A616" s="5" t="s">
        <v>9751</v>
      </c>
      <c r="B616" s="7" t="s">
        <v>10503</v>
      </c>
      <c r="C616" s="5" t="s">
        <v>73</v>
      </c>
      <c r="D616" s="1" t="s">
        <v>10961</v>
      </c>
      <c r="F616" s="5"/>
      <c r="G616" s="7">
        <v>62</v>
      </c>
      <c r="H616" s="5" t="s">
        <v>9657</v>
      </c>
      <c r="I616" s="5" t="str">
        <f t="shared" si="9"/>
        <v>fate6153125</v>
      </c>
      <c r="J616" s="6" t="s">
        <v>9656</v>
      </c>
      <c r="K616" s="6">
        <v>31.1</v>
      </c>
      <c r="L616" s="6">
        <v>25.7</v>
      </c>
      <c r="M616" s="6"/>
      <c r="N616" s="6"/>
      <c r="P616" s="5" t="s">
        <v>9658</v>
      </c>
      <c r="Q616" s="5" t="s">
        <v>9659</v>
      </c>
      <c r="R616" s="5" t="s">
        <v>9660</v>
      </c>
      <c r="S616" s="5"/>
      <c r="T616" s="5"/>
    </row>
    <row r="617" spans="1:20" x14ac:dyDescent="0.25">
      <c r="A617" s="5" t="s">
        <v>9752</v>
      </c>
      <c r="B617" s="7" t="s">
        <v>10503</v>
      </c>
      <c r="C617" s="5" t="s">
        <v>73</v>
      </c>
      <c r="D617" s="1" t="s">
        <v>10958</v>
      </c>
      <c r="F617" s="5"/>
      <c r="G617" s="7">
        <v>62</v>
      </c>
      <c r="H617" s="5" t="s">
        <v>9657</v>
      </c>
      <c r="I617" s="5" t="str">
        <f t="shared" si="9"/>
        <v>fate6162629</v>
      </c>
      <c r="J617" s="6" t="s">
        <v>9666</v>
      </c>
      <c r="K617" s="6">
        <v>26.6</v>
      </c>
      <c r="L617" s="6">
        <v>29.7</v>
      </c>
      <c r="M617" s="6"/>
      <c r="N617" s="6"/>
      <c r="P617" s="5" t="s">
        <v>9658</v>
      </c>
      <c r="Q617" s="5" t="s">
        <v>9659</v>
      </c>
      <c r="R617" s="5" t="s">
        <v>9660</v>
      </c>
      <c r="S617" s="5"/>
      <c r="T617" s="5"/>
    </row>
    <row r="618" spans="1:20" x14ac:dyDescent="0.25">
      <c r="A618" s="5" t="s">
        <v>9754</v>
      </c>
      <c r="B618" s="7" t="s">
        <v>10503</v>
      </c>
      <c r="C618" s="5" t="s">
        <v>73</v>
      </c>
      <c r="D618" s="1" t="s">
        <v>10959</v>
      </c>
      <c r="F618" s="5"/>
      <c r="G618" s="7">
        <v>62</v>
      </c>
      <c r="H618" s="5" t="s">
        <v>9657</v>
      </c>
      <c r="I618" s="5" t="str">
        <f t="shared" si="9"/>
        <v>fate6173497</v>
      </c>
      <c r="J618" s="6" t="s">
        <v>9676</v>
      </c>
      <c r="K618" s="6">
        <v>34.799999999999997</v>
      </c>
      <c r="L618" s="6">
        <v>9.6999999999999993</v>
      </c>
      <c r="M618" s="6"/>
      <c r="N618" s="6"/>
      <c r="P618" s="5" t="s">
        <v>9658</v>
      </c>
      <c r="Q618" s="5" t="s">
        <v>9659</v>
      </c>
      <c r="R618" s="5" t="s">
        <v>9660</v>
      </c>
      <c r="S618" s="5"/>
      <c r="T618" s="5"/>
    </row>
    <row r="619" spans="1:20" x14ac:dyDescent="0.25">
      <c r="A619" s="5" t="s">
        <v>9756</v>
      </c>
      <c r="B619" s="7" t="s">
        <v>10503</v>
      </c>
      <c r="C619" s="5" t="s">
        <v>73</v>
      </c>
      <c r="D619" s="1" t="s">
        <v>10956</v>
      </c>
      <c r="F619" s="5"/>
      <c r="G619" s="7">
        <v>62</v>
      </c>
      <c r="H619" s="5" t="s">
        <v>9657</v>
      </c>
      <c r="I619" s="5" t="str">
        <f t="shared" si="9"/>
        <v>fate6181792</v>
      </c>
      <c r="J619" s="6" t="s">
        <v>9692</v>
      </c>
      <c r="K619" s="6">
        <v>17.5</v>
      </c>
      <c r="L619" s="6">
        <v>9.1999999999999993</v>
      </c>
      <c r="M619" s="6"/>
      <c r="N619" s="6"/>
      <c r="P619" s="5" t="s">
        <v>9658</v>
      </c>
      <c r="Q619" s="5" t="s">
        <v>9659</v>
      </c>
      <c r="R619" s="5" t="s">
        <v>9660</v>
      </c>
      <c r="S619" s="5"/>
      <c r="T619" s="5"/>
    </row>
    <row r="620" spans="1:20" x14ac:dyDescent="0.25">
      <c r="A620" s="5" t="s">
        <v>9758</v>
      </c>
      <c r="B620" s="7" t="s">
        <v>10503</v>
      </c>
      <c r="C620" s="5" t="s">
        <v>73</v>
      </c>
      <c r="D620" s="1" t="s">
        <v>10960</v>
      </c>
      <c r="F620" s="5"/>
      <c r="G620" s="7">
        <v>62</v>
      </c>
      <c r="H620" s="5" t="s">
        <v>9657</v>
      </c>
      <c r="I620" s="5" t="str">
        <f t="shared" si="9"/>
        <v>fate6192336</v>
      </c>
      <c r="J620" s="6" t="s">
        <v>9696</v>
      </c>
      <c r="K620" s="6">
        <v>23.7</v>
      </c>
      <c r="L620" s="6">
        <v>36</v>
      </c>
      <c r="M620" s="6"/>
      <c r="N620" s="6"/>
      <c r="P620" s="5" t="s">
        <v>9658</v>
      </c>
      <c r="Q620" s="5" t="s">
        <v>9659</v>
      </c>
      <c r="R620" s="5" t="s">
        <v>9660</v>
      </c>
      <c r="S620" s="5"/>
      <c r="T620" s="5"/>
    </row>
    <row r="621" spans="1:20" x14ac:dyDescent="0.25">
      <c r="A621" s="5" t="s">
        <v>9760</v>
      </c>
      <c r="B621" s="7" t="s">
        <v>10503</v>
      </c>
      <c r="C621" s="5" t="s">
        <v>73</v>
      </c>
      <c r="D621" s="1" t="s">
        <v>10964</v>
      </c>
      <c r="F621" s="5"/>
      <c r="G621" s="7">
        <v>63</v>
      </c>
      <c r="H621" s="5" t="s">
        <v>9657</v>
      </c>
      <c r="I621" s="5" t="str">
        <f t="shared" si="9"/>
        <v>fate6201074</v>
      </c>
      <c r="J621" s="6" t="s">
        <v>9708</v>
      </c>
      <c r="K621" s="6">
        <v>10.6</v>
      </c>
      <c r="L621" s="6">
        <v>7.4</v>
      </c>
      <c r="M621" s="6"/>
      <c r="N621" s="6"/>
      <c r="P621" s="5" t="s">
        <v>9703</v>
      </c>
      <c r="Q621" s="5" t="s">
        <v>8708</v>
      </c>
      <c r="R621" s="5" t="s">
        <v>9704</v>
      </c>
      <c r="S621" s="5"/>
      <c r="T621" s="5"/>
    </row>
    <row r="622" spans="1:20" x14ac:dyDescent="0.25">
      <c r="A622" s="5" t="s">
        <v>9762</v>
      </c>
      <c r="B622" s="7" t="s">
        <v>10503</v>
      </c>
      <c r="C622" s="5" t="s">
        <v>73</v>
      </c>
      <c r="D622" s="1" t="s">
        <v>10963</v>
      </c>
      <c r="F622" s="5"/>
      <c r="G622" s="7">
        <v>63</v>
      </c>
      <c r="H622" s="5" t="s">
        <v>9657</v>
      </c>
      <c r="I622" s="5" t="str">
        <f t="shared" si="9"/>
        <v>fate6212659</v>
      </c>
      <c r="J622" s="6" t="s">
        <v>9710</v>
      </c>
      <c r="K622" s="6">
        <v>26</v>
      </c>
      <c r="L622" s="6">
        <v>5.9</v>
      </c>
      <c r="M622" s="6"/>
      <c r="N622" s="6"/>
      <c r="P622" s="5" t="s">
        <v>9703</v>
      </c>
      <c r="Q622" s="5" t="s">
        <v>8708</v>
      </c>
      <c r="R622" s="5" t="s">
        <v>9704</v>
      </c>
      <c r="S622" s="5"/>
      <c r="T622" s="5"/>
    </row>
    <row r="623" spans="1:20" x14ac:dyDescent="0.25">
      <c r="A623" s="5" t="s">
        <v>9764</v>
      </c>
      <c r="B623" s="7" t="s">
        <v>10503</v>
      </c>
      <c r="C623" s="5" t="s">
        <v>73</v>
      </c>
      <c r="D623" s="1" t="s">
        <v>10962</v>
      </c>
      <c r="F623" s="5"/>
      <c r="G623" s="7">
        <v>63</v>
      </c>
      <c r="H623" s="5" t="s">
        <v>9657</v>
      </c>
      <c r="I623" s="5" t="str">
        <f t="shared" si="9"/>
        <v>fate6223220</v>
      </c>
      <c r="J623" s="6" t="s">
        <v>9712</v>
      </c>
      <c r="K623" s="6">
        <v>32.4</v>
      </c>
      <c r="L623" s="6">
        <v>20.2</v>
      </c>
      <c r="M623" s="6"/>
      <c r="N623" s="6"/>
      <c r="P623" s="5" t="s">
        <v>9703</v>
      </c>
      <c r="Q623" s="5" t="s">
        <v>8708</v>
      </c>
      <c r="R623" s="5" t="s">
        <v>9704</v>
      </c>
      <c r="S623" s="5"/>
      <c r="T623" s="5"/>
    </row>
    <row r="624" spans="1:20" x14ac:dyDescent="0.25">
      <c r="A624" s="5" t="s">
        <v>9766</v>
      </c>
      <c r="B624" s="7" t="s">
        <v>10503</v>
      </c>
      <c r="C624" s="5" t="s">
        <v>73</v>
      </c>
      <c r="D624" s="1" t="s">
        <v>10954</v>
      </c>
      <c r="E624" s="5">
        <v>36</v>
      </c>
      <c r="F624" s="5">
        <v>1</v>
      </c>
      <c r="G624" s="7">
        <v>62</v>
      </c>
      <c r="H624" s="5" t="s">
        <v>9657</v>
      </c>
      <c r="I624" s="5" t="str">
        <f t="shared" si="9"/>
        <v>fate6231775</v>
      </c>
      <c r="J624" s="6" t="s">
        <v>9668</v>
      </c>
      <c r="K624" s="6">
        <v>17.8</v>
      </c>
      <c r="L624" s="6">
        <v>7.5</v>
      </c>
      <c r="M624" s="6"/>
      <c r="N624" s="6"/>
      <c r="P624" s="5" t="s">
        <v>9658</v>
      </c>
      <c r="Q624" s="5" t="s">
        <v>9659</v>
      </c>
      <c r="R624" s="5" t="s">
        <v>9660</v>
      </c>
      <c r="S624" s="5"/>
      <c r="T624" s="5"/>
    </row>
    <row r="625" spans="1:20" x14ac:dyDescent="0.25">
      <c r="A625" s="5" t="s">
        <v>9768</v>
      </c>
      <c r="B625" s="7" t="s">
        <v>8346</v>
      </c>
      <c r="C625" s="5" t="s">
        <v>73</v>
      </c>
      <c r="D625" s="5"/>
      <c r="E625" s="5">
        <v>36</v>
      </c>
      <c r="F625" s="5">
        <v>2</v>
      </c>
      <c r="G625" s="7">
        <v>62</v>
      </c>
      <c r="H625" s="5" t="s">
        <v>9657</v>
      </c>
      <c r="I625" s="5" t="str">
        <f t="shared" si="9"/>
        <v>fate6241775</v>
      </c>
      <c r="J625" s="6" t="s">
        <v>9680</v>
      </c>
      <c r="K625" s="6">
        <v>17.8</v>
      </c>
      <c r="L625" s="6">
        <v>7.5</v>
      </c>
      <c r="M625" s="6"/>
      <c r="N625" s="6"/>
      <c r="P625" s="5" t="s">
        <v>9658</v>
      </c>
      <c r="Q625" s="5" t="s">
        <v>9659</v>
      </c>
      <c r="R625" s="5" t="s">
        <v>9660</v>
      </c>
      <c r="S625" s="5"/>
      <c r="T625" s="5"/>
    </row>
    <row r="626" spans="1:20" x14ac:dyDescent="0.25">
      <c r="A626" s="5" t="s">
        <v>9770</v>
      </c>
      <c r="B626" s="7" t="s">
        <v>10503</v>
      </c>
      <c r="C626" s="5" t="s">
        <v>73</v>
      </c>
      <c r="D626" s="1" t="s">
        <v>10957</v>
      </c>
      <c r="E626" s="5">
        <v>37</v>
      </c>
      <c r="F626" s="5">
        <v>1</v>
      </c>
      <c r="G626" s="7">
        <v>62</v>
      </c>
      <c r="H626" s="5" t="s">
        <v>9657</v>
      </c>
      <c r="I626" s="5" t="str">
        <f t="shared" si="9"/>
        <v>fate6251451</v>
      </c>
      <c r="J626" s="6" t="s">
        <v>9674</v>
      </c>
      <c r="K626" s="6">
        <v>14.7</v>
      </c>
      <c r="L626" s="6">
        <v>5.0999999999999996</v>
      </c>
      <c r="M626" s="6"/>
      <c r="N626" s="6"/>
      <c r="P626" s="5" t="s">
        <v>9658</v>
      </c>
      <c r="Q626" s="5" t="s">
        <v>9659</v>
      </c>
      <c r="R626" s="5" t="s">
        <v>9660</v>
      </c>
      <c r="S626" s="5"/>
      <c r="T626" s="5"/>
    </row>
    <row r="627" spans="1:20" x14ac:dyDescent="0.25">
      <c r="A627" s="5" t="s">
        <v>9772</v>
      </c>
      <c r="B627" s="7" t="s">
        <v>8346</v>
      </c>
      <c r="C627" s="5" t="s">
        <v>73</v>
      </c>
      <c r="D627" s="5"/>
      <c r="E627" s="5">
        <v>37</v>
      </c>
      <c r="F627" s="5">
        <v>2</v>
      </c>
      <c r="G627" s="7">
        <v>62</v>
      </c>
      <c r="H627" s="5" t="s">
        <v>9657</v>
      </c>
      <c r="I627" s="5" t="str">
        <f t="shared" si="9"/>
        <v>fate6261451</v>
      </c>
      <c r="J627" s="6" t="s">
        <v>9698</v>
      </c>
      <c r="K627" s="6">
        <v>14.7</v>
      </c>
      <c r="L627" s="6">
        <v>5.0999999999999996</v>
      </c>
      <c r="M627" s="6"/>
      <c r="N627" s="6"/>
      <c r="P627" s="5" t="s">
        <v>9658</v>
      </c>
      <c r="Q627" s="5" t="s">
        <v>9659</v>
      </c>
      <c r="R627" s="5" t="s">
        <v>9660</v>
      </c>
      <c r="S627" s="5"/>
      <c r="T627" s="5"/>
    </row>
    <row r="628" spans="1:20" x14ac:dyDescent="0.25">
      <c r="A628" s="5" t="s">
        <v>9774</v>
      </c>
      <c r="B628" s="7" t="s">
        <v>10503</v>
      </c>
      <c r="C628" s="5" t="s">
        <v>73</v>
      </c>
      <c r="D628" s="1" t="s">
        <v>10955</v>
      </c>
      <c r="E628" s="5">
        <v>36</v>
      </c>
      <c r="F628" s="5">
        <v>3</v>
      </c>
      <c r="G628" s="7">
        <v>62</v>
      </c>
      <c r="H628" s="5" t="s">
        <v>9657</v>
      </c>
      <c r="I628" s="5" t="str">
        <f t="shared" si="9"/>
        <v>fate6272044</v>
      </c>
      <c r="J628" s="6" t="s">
        <v>9688</v>
      </c>
      <c r="K628" s="6">
        <v>20.100000000000001</v>
      </c>
      <c r="L628" s="6">
        <v>4.4000000000000004</v>
      </c>
      <c r="M628" s="6"/>
      <c r="N628" s="6"/>
      <c r="P628" s="5" t="s">
        <v>9658</v>
      </c>
      <c r="Q628" s="5" t="s">
        <v>9659</v>
      </c>
      <c r="R628" s="5" t="s">
        <v>9660</v>
      </c>
      <c r="S628" s="5"/>
      <c r="T628" s="5"/>
    </row>
    <row r="629" spans="1:20" x14ac:dyDescent="0.25">
      <c r="A629" s="5" t="s">
        <v>9776</v>
      </c>
      <c r="B629" s="7" t="s">
        <v>8310</v>
      </c>
      <c r="C629" s="5" t="s">
        <v>73</v>
      </c>
      <c r="D629" s="5"/>
      <c r="F629" s="5"/>
      <c r="G629" s="7">
        <v>64</v>
      </c>
      <c r="H629" s="5" t="s">
        <v>9723</v>
      </c>
      <c r="I629" s="5" t="str">
        <f t="shared" si="9"/>
        <v>fate6283217</v>
      </c>
      <c r="J629" s="6" t="s">
        <v>9734</v>
      </c>
      <c r="K629" s="6">
        <v>32.6</v>
      </c>
      <c r="L629" s="6">
        <v>17.7</v>
      </c>
      <c r="M629" s="6"/>
      <c r="N629" s="6"/>
      <c r="P629" s="5" t="s">
        <v>9724</v>
      </c>
      <c r="Q629" s="5" t="s">
        <v>9725</v>
      </c>
      <c r="R629" s="5" t="s">
        <v>9726</v>
      </c>
      <c r="S629" s="5"/>
      <c r="T629" s="5"/>
    </row>
    <row r="630" spans="1:20" x14ac:dyDescent="0.25">
      <c r="A630" s="5" t="s">
        <v>9778</v>
      </c>
      <c r="B630" s="7" t="s">
        <v>8310</v>
      </c>
      <c r="C630" s="5" t="s">
        <v>73</v>
      </c>
      <c r="D630" s="5"/>
      <c r="F630" s="5"/>
      <c r="G630" s="7">
        <v>64</v>
      </c>
      <c r="H630" s="5" t="s">
        <v>9723</v>
      </c>
      <c r="I630" s="5" t="str">
        <f t="shared" si="9"/>
        <v>fate6292632</v>
      </c>
      <c r="J630" s="6" t="s">
        <v>9738</v>
      </c>
      <c r="K630" s="6">
        <v>26.1</v>
      </c>
      <c r="L630" s="6">
        <v>32.700000000000003</v>
      </c>
      <c r="M630" s="6"/>
      <c r="N630" s="6"/>
      <c r="P630" s="5" t="s">
        <v>9724</v>
      </c>
      <c r="Q630" s="5" t="s">
        <v>9725</v>
      </c>
      <c r="R630" s="5" t="s">
        <v>9726</v>
      </c>
      <c r="S630" s="5"/>
      <c r="T630" s="5"/>
    </row>
    <row r="631" spans="1:20" x14ac:dyDescent="0.25">
      <c r="A631" s="5" t="s">
        <v>9780</v>
      </c>
      <c r="B631" s="7" t="s">
        <v>8310</v>
      </c>
      <c r="C631" s="5" t="s">
        <v>73</v>
      </c>
      <c r="D631" s="5"/>
      <c r="F631" s="5"/>
      <c r="G631" s="7">
        <v>64</v>
      </c>
      <c r="H631" s="5" t="s">
        <v>9723</v>
      </c>
      <c r="I631" s="5" t="str">
        <f t="shared" si="9"/>
        <v>fate6301833</v>
      </c>
      <c r="J631" s="6" t="s">
        <v>9740</v>
      </c>
      <c r="K631" s="6">
        <v>18.600000000000001</v>
      </c>
      <c r="L631" s="6">
        <v>33.6</v>
      </c>
      <c r="M631" s="6"/>
      <c r="N631" s="6"/>
      <c r="P631" s="5" t="s">
        <v>9724</v>
      </c>
      <c r="Q631" s="5" t="s">
        <v>9725</v>
      </c>
      <c r="R631" s="5" t="s">
        <v>9726</v>
      </c>
      <c r="S631" s="5"/>
      <c r="T631" s="5"/>
    </row>
    <row r="632" spans="1:20" x14ac:dyDescent="0.25">
      <c r="A632" s="5" t="s">
        <v>9782</v>
      </c>
      <c r="B632" s="7" t="s">
        <v>8310</v>
      </c>
      <c r="C632" s="5" t="s">
        <v>73</v>
      </c>
      <c r="D632" s="5"/>
      <c r="F632" s="5"/>
      <c r="G632" s="7">
        <v>64</v>
      </c>
      <c r="H632" s="5" t="s">
        <v>9723</v>
      </c>
      <c r="I632" s="5" t="str">
        <f t="shared" si="9"/>
        <v>fate6313715</v>
      </c>
      <c r="J632" s="6" t="s">
        <v>9742</v>
      </c>
      <c r="K632" s="6">
        <v>37.700000000000003</v>
      </c>
      <c r="L632" s="6">
        <v>15.9</v>
      </c>
      <c r="M632" s="6"/>
      <c r="N632" s="6"/>
      <c r="P632" s="5" t="s">
        <v>9724</v>
      </c>
      <c r="Q632" s="5" t="s">
        <v>9725</v>
      </c>
      <c r="R632" s="5" t="s">
        <v>9726</v>
      </c>
      <c r="S632" s="5"/>
      <c r="T632" s="5"/>
    </row>
    <row r="633" spans="1:20" x14ac:dyDescent="0.25">
      <c r="A633" s="5" t="s">
        <v>9784</v>
      </c>
      <c r="B633" s="7" t="s">
        <v>8310</v>
      </c>
      <c r="C633" s="5" t="s">
        <v>73</v>
      </c>
      <c r="D633" s="5"/>
      <c r="F633" s="5"/>
      <c r="G633" s="7">
        <v>64</v>
      </c>
      <c r="H633" s="5" t="s">
        <v>9723</v>
      </c>
      <c r="I633" s="5" t="str">
        <f t="shared" si="9"/>
        <v>fate6323820</v>
      </c>
      <c r="J633" s="6" t="s">
        <v>9744</v>
      </c>
      <c r="K633" s="6">
        <v>38.4</v>
      </c>
      <c r="L633" s="6">
        <v>20.8</v>
      </c>
      <c r="M633" s="6"/>
      <c r="N633" s="6"/>
      <c r="P633" s="5" t="s">
        <v>9724</v>
      </c>
      <c r="Q633" s="5" t="s">
        <v>9725</v>
      </c>
      <c r="R633" s="5" t="s">
        <v>9726</v>
      </c>
      <c r="S633" s="5"/>
      <c r="T633" s="5"/>
    </row>
    <row r="634" spans="1:20" x14ac:dyDescent="0.25">
      <c r="A634" s="5" t="s">
        <v>9786</v>
      </c>
      <c r="B634" s="7" t="s">
        <v>8310</v>
      </c>
      <c r="C634" s="5" t="s">
        <v>73</v>
      </c>
      <c r="D634" s="5"/>
      <c r="F634" s="5"/>
      <c r="G634" s="7">
        <v>64</v>
      </c>
      <c r="H634" s="5" t="s">
        <v>9723</v>
      </c>
      <c r="I634" s="5" t="str">
        <f t="shared" si="9"/>
        <v>fate6332529</v>
      </c>
      <c r="J634" s="6" t="s">
        <v>9748</v>
      </c>
      <c r="K634" s="6">
        <v>25.8</v>
      </c>
      <c r="L634" s="6">
        <v>29.6</v>
      </c>
      <c r="M634" s="6"/>
      <c r="N634" s="6"/>
      <c r="P634" s="5" t="s">
        <v>9724</v>
      </c>
      <c r="Q634" s="5" t="s">
        <v>9725</v>
      </c>
      <c r="R634" s="5" t="s">
        <v>9726</v>
      </c>
      <c r="S634" s="5"/>
      <c r="T634" s="5"/>
    </row>
    <row r="635" spans="1:20" x14ac:dyDescent="0.25">
      <c r="A635" s="5" t="s">
        <v>9788</v>
      </c>
      <c r="B635" s="7" t="s">
        <v>8310</v>
      </c>
      <c r="C635" s="5" t="s">
        <v>73</v>
      </c>
      <c r="D635" s="5"/>
      <c r="F635" s="5"/>
      <c r="G635" s="7">
        <v>64</v>
      </c>
      <c r="H635" s="5" t="s">
        <v>9723</v>
      </c>
      <c r="I635" s="5" t="str">
        <f t="shared" si="9"/>
        <v>fate6342223</v>
      </c>
      <c r="J635" s="6" t="s">
        <v>9755</v>
      </c>
      <c r="K635" s="6">
        <v>22.7</v>
      </c>
      <c r="L635" s="6">
        <v>23.5</v>
      </c>
      <c r="M635" s="6"/>
      <c r="N635" s="6"/>
      <c r="P635" s="5" t="s">
        <v>9724</v>
      </c>
      <c r="Q635" s="5" t="s">
        <v>9725</v>
      </c>
      <c r="R635" s="5" t="s">
        <v>9726</v>
      </c>
      <c r="S635" s="5"/>
      <c r="T635" s="5"/>
    </row>
    <row r="636" spans="1:20" x14ac:dyDescent="0.25">
      <c r="A636" s="5" t="s">
        <v>9790</v>
      </c>
      <c r="B636" s="7" t="s">
        <v>8310</v>
      </c>
      <c r="C636" s="5" t="s">
        <v>73</v>
      </c>
      <c r="D636" s="5"/>
      <c r="F636" s="5"/>
      <c r="G636" s="7">
        <v>64</v>
      </c>
      <c r="H636" s="5" t="s">
        <v>9723</v>
      </c>
      <c r="I636" s="5" t="str">
        <f t="shared" si="9"/>
        <v>fate6353126</v>
      </c>
      <c r="J636" s="6" t="s">
        <v>9761</v>
      </c>
      <c r="K636" s="6">
        <v>31.2</v>
      </c>
      <c r="L636" s="6">
        <v>26.8</v>
      </c>
      <c r="M636" s="6"/>
      <c r="N636" s="6"/>
      <c r="P636" s="5" t="s">
        <v>9724</v>
      </c>
      <c r="Q636" s="5" t="s">
        <v>9725</v>
      </c>
      <c r="R636" s="5" t="s">
        <v>9726</v>
      </c>
      <c r="S636" s="5"/>
      <c r="T636" s="5"/>
    </row>
    <row r="637" spans="1:20" x14ac:dyDescent="0.25">
      <c r="A637" s="5" t="s">
        <v>9792</v>
      </c>
      <c r="B637" s="7" t="s">
        <v>8310</v>
      </c>
      <c r="C637" s="5" t="s">
        <v>73</v>
      </c>
      <c r="D637" s="5"/>
      <c r="F637" s="5"/>
      <c r="G637" s="7">
        <v>64</v>
      </c>
      <c r="H637" s="5" t="s">
        <v>9723</v>
      </c>
      <c r="I637" s="5" t="str">
        <f t="shared" si="9"/>
        <v>fate6363223</v>
      </c>
      <c r="J637" s="6" t="s">
        <v>9769</v>
      </c>
      <c r="K637" s="6">
        <v>32.5</v>
      </c>
      <c r="L637" s="6">
        <v>23</v>
      </c>
      <c r="M637" s="6"/>
      <c r="N637" s="6"/>
      <c r="P637" s="5" t="s">
        <v>9724</v>
      </c>
      <c r="Q637" s="5" t="s">
        <v>9725</v>
      </c>
      <c r="R637" s="5" t="s">
        <v>9726</v>
      </c>
      <c r="S637" s="5"/>
      <c r="T637" s="5"/>
    </row>
    <row r="638" spans="1:20" x14ac:dyDescent="0.25">
      <c r="A638" s="5" t="s">
        <v>9798</v>
      </c>
      <c r="B638" s="7" t="s">
        <v>8310</v>
      </c>
      <c r="C638" s="5" t="s">
        <v>73</v>
      </c>
      <c r="D638" s="5"/>
      <c r="F638" s="5"/>
      <c r="G638" s="7">
        <v>67</v>
      </c>
      <c r="H638" s="5" t="s">
        <v>9723</v>
      </c>
      <c r="I638" s="5" t="str">
        <f t="shared" si="9"/>
        <v>fate6373171</v>
      </c>
      <c r="J638" s="6" t="s">
        <v>9777</v>
      </c>
      <c r="K638" s="6">
        <v>31.6</v>
      </c>
      <c r="L638" s="6">
        <v>7.1</v>
      </c>
      <c r="M638" s="6"/>
      <c r="N638" s="6"/>
      <c r="P638" s="5" t="s">
        <v>9496</v>
      </c>
      <c r="Q638" s="5" t="s">
        <v>9497</v>
      </c>
      <c r="R638" s="5" t="s">
        <v>9498</v>
      </c>
      <c r="S638" s="5"/>
      <c r="T638" s="5"/>
    </row>
    <row r="639" spans="1:20" x14ac:dyDescent="0.25">
      <c r="A639" s="5" t="s">
        <v>9800</v>
      </c>
      <c r="B639" s="7" t="s">
        <v>8310</v>
      </c>
      <c r="C639" s="5" t="s">
        <v>73</v>
      </c>
      <c r="D639" s="5"/>
      <c r="F639" s="5"/>
      <c r="G639" s="7">
        <v>67</v>
      </c>
      <c r="H639" s="5" t="s">
        <v>9723</v>
      </c>
      <c r="I639" s="5" t="str">
        <f t="shared" si="9"/>
        <v>fate6382110</v>
      </c>
      <c r="J639" s="6" t="s">
        <v>9781</v>
      </c>
      <c r="K639" s="6">
        <v>21.3</v>
      </c>
      <c r="L639" s="6">
        <v>10.6</v>
      </c>
      <c r="M639" s="6"/>
      <c r="N639" s="6"/>
      <c r="P639" s="5" t="s">
        <v>9496</v>
      </c>
      <c r="Q639" s="5" t="s">
        <v>9497</v>
      </c>
      <c r="R639" s="5" t="s">
        <v>9498</v>
      </c>
      <c r="S639" s="5"/>
      <c r="T639" s="5"/>
    </row>
    <row r="640" spans="1:20" x14ac:dyDescent="0.25">
      <c r="A640" s="5" t="s">
        <v>9802</v>
      </c>
      <c r="B640" s="7" t="s">
        <v>8310</v>
      </c>
      <c r="C640" s="5" t="s">
        <v>73</v>
      </c>
      <c r="D640" s="5"/>
      <c r="F640" s="5"/>
      <c r="G640" s="7">
        <v>67</v>
      </c>
      <c r="H640" s="5" t="s">
        <v>9723</v>
      </c>
      <c r="I640" s="5" t="str">
        <f t="shared" si="9"/>
        <v>fate6392877</v>
      </c>
      <c r="J640" s="6" t="s">
        <v>9785</v>
      </c>
      <c r="K640" s="6">
        <v>28.4</v>
      </c>
      <c r="L640" s="6">
        <v>7.7</v>
      </c>
      <c r="M640" s="6"/>
      <c r="N640" s="6"/>
      <c r="P640" s="5" t="s">
        <v>9496</v>
      </c>
      <c r="Q640" s="5" t="s">
        <v>9497</v>
      </c>
      <c r="R640" s="5" t="s">
        <v>9498</v>
      </c>
      <c r="S640" s="5"/>
      <c r="T640" s="5"/>
    </row>
    <row r="641" spans="1:20" x14ac:dyDescent="0.25">
      <c r="A641" s="5" t="s">
        <v>9804</v>
      </c>
      <c r="B641" s="7" t="s">
        <v>8310</v>
      </c>
      <c r="C641" s="5" t="s">
        <v>73</v>
      </c>
      <c r="D641" s="5"/>
      <c r="F641" s="5"/>
      <c r="G641" s="7">
        <v>67</v>
      </c>
      <c r="H641" s="5" t="s">
        <v>9723</v>
      </c>
      <c r="I641" s="5" t="str">
        <f t="shared" si="9"/>
        <v>fate6402963</v>
      </c>
      <c r="J641" s="6" t="s">
        <v>9791</v>
      </c>
      <c r="K641" s="6">
        <v>29.8</v>
      </c>
      <c r="L641" s="6">
        <v>6.3</v>
      </c>
      <c r="M641" s="6"/>
      <c r="N641" s="6"/>
      <c r="P641" s="5" t="s">
        <v>9496</v>
      </c>
      <c r="Q641" s="5" t="s">
        <v>9497</v>
      </c>
      <c r="R641" s="5" t="s">
        <v>9498</v>
      </c>
      <c r="S641" s="5"/>
      <c r="T641" s="5"/>
    </row>
    <row r="642" spans="1:20" x14ac:dyDescent="0.25">
      <c r="A642" s="5" t="s">
        <v>9806</v>
      </c>
      <c r="B642" s="7" t="s">
        <v>8346</v>
      </c>
      <c r="C642" s="5" t="s">
        <v>73</v>
      </c>
      <c r="D642" s="5"/>
      <c r="F642" s="5"/>
      <c r="G642" s="7">
        <v>64</v>
      </c>
      <c r="H642" s="5" t="s">
        <v>9723</v>
      </c>
      <c r="I642" s="5" t="str">
        <f t="shared" si="9"/>
        <v>fate6411328</v>
      </c>
      <c r="J642" s="6" t="s">
        <v>9722</v>
      </c>
      <c r="K642" s="6">
        <v>13.9</v>
      </c>
      <c r="L642" s="6">
        <v>28.5</v>
      </c>
      <c r="M642" s="6"/>
      <c r="N642" s="6"/>
      <c r="P642" s="5" t="s">
        <v>9724</v>
      </c>
      <c r="Q642" s="5" t="s">
        <v>9725</v>
      </c>
      <c r="R642" s="5" t="s">
        <v>9726</v>
      </c>
      <c r="S642" s="5"/>
      <c r="T642" s="5"/>
    </row>
    <row r="643" spans="1:20" x14ac:dyDescent="0.25">
      <c r="A643" s="5" t="s">
        <v>9808</v>
      </c>
      <c r="B643" s="7" t="s">
        <v>8424</v>
      </c>
      <c r="C643" s="5" t="s">
        <v>73</v>
      </c>
      <c r="D643" s="5"/>
      <c r="F643" s="5"/>
      <c r="G643" s="7">
        <v>64</v>
      </c>
      <c r="H643" s="5" t="s">
        <v>9723</v>
      </c>
      <c r="I643" s="5" t="str">
        <f t="shared" si="9"/>
        <v>fate6422523</v>
      </c>
      <c r="J643" s="6" t="s">
        <v>876</v>
      </c>
      <c r="K643" s="6">
        <v>25.9</v>
      </c>
      <c r="L643" s="6">
        <v>23.4</v>
      </c>
      <c r="M643" s="6"/>
      <c r="N643" s="6"/>
      <c r="P643" s="5" t="s">
        <v>9724</v>
      </c>
      <c r="Q643" s="5" t="s">
        <v>9725</v>
      </c>
      <c r="R643" s="5" t="s">
        <v>9726</v>
      </c>
      <c r="S643" s="5"/>
      <c r="T643" s="5"/>
    </row>
    <row r="644" spans="1:20" x14ac:dyDescent="0.25">
      <c r="A644" s="5" t="s">
        <v>9810</v>
      </c>
      <c r="B644" s="7" t="s">
        <v>8424</v>
      </c>
      <c r="C644" s="5" t="s">
        <v>73</v>
      </c>
      <c r="D644" s="5"/>
      <c r="F644" s="5"/>
      <c r="G644" s="7">
        <v>64</v>
      </c>
      <c r="H644" s="5" t="s">
        <v>9723</v>
      </c>
      <c r="I644" s="5" t="str">
        <f t="shared" ref="I644:I707" si="10">A644&amp;LEFT(SUBSTITUTE(K644,".",""),2)&amp;LEFT(SUBSTITUTE(L644,".",""),2)</f>
        <v>fate6433022</v>
      </c>
      <c r="J644" s="6" t="s">
        <v>9763</v>
      </c>
      <c r="K644" s="6">
        <v>30.2</v>
      </c>
      <c r="L644" s="6">
        <v>22.2</v>
      </c>
      <c r="M644" s="6"/>
      <c r="N644" s="6"/>
      <c r="P644" s="5" t="s">
        <v>9724</v>
      </c>
      <c r="Q644" s="5" t="s">
        <v>9725</v>
      </c>
      <c r="R644" s="5" t="s">
        <v>9726</v>
      </c>
      <c r="S644" s="5"/>
      <c r="T644" s="5"/>
    </row>
    <row r="645" spans="1:20" x14ac:dyDescent="0.25">
      <c r="A645" s="5" t="s">
        <v>9812</v>
      </c>
      <c r="B645" s="7" t="s">
        <v>10503</v>
      </c>
      <c r="C645" s="5" t="s">
        <v>73</v>
      </c>
      <c r="D645" s="1" t="s">
        <v>10970</v>
      </c>
      <c r="F645" s="5"/>
      <c r="G645" s="7">
        <v>64</v>
      </c>
      <c r="H645" s="5" t="s">
        <v>9723</v>
      </c>
      <c r="I645" s="5" t="str">
        <f t="shared" si="10"/>
        <v>fate6441533</v>
      </c>
      <c r="J645" s="6" t="s">
        <v>9732</v>
      </c>
      <c r="K645" s="6">
        <v>15.2</v>
      </c>
      <c r="L645" s="6">
        <v>33.6</v>
      </c>
      <c r="M645" s="6"/>
      <c r="N645" s="6"/>
      <c r="P645" s="5" t="s">
        <v>9724</v>
      </c>
      <c r="Q645" s="5" t="s">
        <v>9725</v>
      </c>
      <c r="R645" s="5" t="s">
        <v>9726</v>
      </c>
      <c r="S645" s="5"/>
      <c r="T645" s="5"/>
    </row>
    <row r="646" spans="1:20" x14ac:dyDescent="0.25">
      <c r="A646" s="5" t="s">
        <v>9814</v>
      </c>
      <c r="B646" s="7" t="s">
        <v>10503</v>
      </c>
      <c r="C646" s="5" t="s">
        <v>73</v>
      </c>
      <c r="D646" s="1" t="s">
        <v>10969</v>
      </c>
      <c r="F646" s="5"/>
      <c r="G646" s="7">
        <v>64</v>
      </c>
      <c r="H646" s="5" t="s">
        <v>9723</v>
      </c>
      <c r="I646" s="5" t="str">
        <f t="shared" si="10"/>
        <v>fate6452831</v>
      </c>
      <c r="J646" s="6" t="s">
        <v>9746</v>
      </c>
      <c r="K646" s="6">
        <v>28.7</v>
      </c>
      <c r="L646" s="6">
        <v>31.2</v>
      </c>
      <c r="M646" s="6"/>
      <c r="N646" s="6"/>
      <c r="P646" s="5" t="s">
        <v>9724</v>
      </c>
      <c r="Q646" s="5" t="s">
        <v>9725</v>
      </c>
      <c r="R646" s="5" t="s">
        <v>9726</v>
      </c>
      <c r="S646" s="5"/>
      <c r="T646" s="5"/>
    </row>
    <row r="647" spans="1:20" x14ac:dyDescent="0.25">
      <c r="A647" s="5" t="s">
        <v>9816</v>
      </c>
      <c r="B647" s="7" t="s">
        <v>10503</v>
      </c>
      <c r="C647" s="5" t="s">
        <v>73</v>
      </c>
      <c r="D647" s="1" t="s">
        <v>10968</v>
      </c>
      <c r="F647" s="5"/>
      <c r="G647" s="7">
        <v>64</v>
      </c>
      <c r="H647" s="5" t="s">
        <v>9723</v>
      </c>
      <c r="I647" s="5" t="str">
        <f t="shared" si="10"/>
        <v>fate6463415</v>
      </c>
      <c r="J647" s="6" t="s">
        <v>9753</v>
      </c>
      <c r="K647" s="6">
        <v>34.700000000000003</v>
      </c>
      <c r="L647" s="6">
        <v>15.6</v>
      </c>
      <c r="M647" s="6"/>
      <c r="N647" s="6"/>
      <c r="P647" s="5" t="s">
        <v>9724</v>
      </c>
      <c r="Q647" s="5" t="s">
        <v>9725</v>
      </c>
      <c r="R647" s="5" t="s">
        <v>9726</v>
      </c>
      <c r="S647" s="5"/>
      <c r="T647" s="5"/>
    </row>
    <row r="648" spans="1:20" x14ac:dyDescent="0.25">
      <c r="A648" s="5" t="s">
        <v>9818</v>
      </c>
      <c r="B648" s="7" t="s">
        <v>10503</v>
      </c>
      <c r="C648" s="5" t="s">
        <v>73</v>
      </c>
      <c r="D648" s="1" t="s">
        <v>10975</v>
      </c>
      <c r="F648" s="5"/>
      <c r="G648" s="7">
        <v>64</v>
      </c>
      <c r="H648" s="5" t="s">
        <v>9723</v>
      </c>
      <c r="I648" s="5" t="str">
        <f t="shared" si="10"/>
        <v>fate6472724</v>
      </c>
      <c r="J648" s="6" t="s">
        <v>9765</v>
      </c>
      <c r="K648" s="6">
        <v>27.1</v>
      </c>
      <c r="L648" s="6">
        <v>24.9</v>
      </c>
      <c r="M648" s="6"/>
      <c r="N648" s="6"/>
      <c r="P648" s="5" t="s">
        <v>9724</v>
      </c>
      <c r="Q648" s="5" t="s">
        <v>9725</v>
      </c>
      <c r="R648" s="5" t="s">
        <v>9726</v>
      </c>
      <c r="S648" s="5"/>
      <c r="T648" s="5"/>
    </row>
    <row r="649" spans="1:20" x14ac:dyDescent="0.25">
      <c r="A649" s="5" t="s">
        <v>9820</v>
      </c>
      <c r="B649" s="7" t="s">
        <v>10503</v>
      </c>
      <c r="C649" s="5" t="s">
        <v>73</v>
      </c>
      <c r="D649" s="1" t="s">
        <v>10976</v>
      </c>
      <c r="F649" s="5"/>
      <c r="G649" s="7">
        <v>64</v>
      </c>
      <c r="H649" s="5" t="s">
        <v>9723</v>
      </c>
      <c r="I649" s="5" t="str">
        <f t="shared" si="10"/>
        <v>fate6481727</v>
      </c>
      <c r="J649" s="6" t="s">
        <v>9771</v>
      </c>
      <c r="K649" s="6">
        <v>17.899999999999999</v>
      </c>
      <c r="L649" s="6">
        <v>27.6</v>
      </c>
      <c r="M649" s="6"/>
      <c r="N649" s="6"/>
      <c r="P649" s="5" t="s">
        <v>9724</v>
      </c>
      <c r="Q649" s="5" t="s">
        <v>9725</v>
      </c>
      <c r="R649" s="5" t="s">
        <v>9726</v>
      </c>
      <c r="S649" s="5"/>
      <c r="T649" s="5"/>
    </row>
    <row r="650" spans="1:20" x14ac:dyDescent="0.25">
      <c r="A650" s="5" t="s">
        <v>9822</v>
      </c>
      <c r="B650" s="7" t="s">
        <v>10503</v>
      </c>
      <c r="C650" s="5" t="s">
        <v>73</v>
      </c>
      <c r="D650" s="1" t="s">
        <v>10977</v>
      </c>
      <c r="F650" s="5"/>
      <c r="G650" s="7">
        <v>67</v>
      </c>
      <c r="H650" s="5" t="s">
        <v>9723</v>
      </c>
      <c r="I650" s="5" t="str">
        <f t="shared" si="10"/>
        <v>fate6492112</v>
      </c>
      <c r="J650" s="6" t="s">
        <v>9773</v>
      </c>
      <c r="K650" s="6">
        <v>21</v>
      </c>
      <c r="L650" s="6">
        <v>12.3</v>
      </c>
      <c r="M650" s="6"/>
      <c r="N650" s="6"/>
      <c r="P650" s="5" t="s">
        <v>9496</v>
      </c>
      <c r="Q650" s="5" t="s">
        <v>9497</v>
      </c>
      <c r="R650" s="5" t="s">
        <v>9498</v>
      </c>
      <c r="S650" s="5"/>
      <c r="T650" s="5"/>
    </row>
    <row r="651" spans="1:20" x14ac:dyDescent="0.25">
      <c r="A651" s="5" t="s">
        <v>9824</v>
      </c>
      <c r="B651" s="7" t="s">
        <v>10503</v>
      </c>
      <c r="C651" s="5" t="s">
        <v>73</v>
      </c>
      <c r="D651" s="1" t="s">
        <v>10979</v>
      </c>
      <c r="F651" s="5"/>
      <c r="G651" s="7">
        <v>67</v>
      </c>
      <c r="H651" s="5" t="s">
        <v>9723</v>
      </c>
      <c r="I651" s="5" t="str">
        <f t="shared" si="10"/>
        <v>fate6501510</v>
      </c>
      <c r="J651" s="6" t="s">
        <v>9783</v>
      </c>
      <c r="K651" s="6">
        <v>15.8</v>
      </c>
      <c r="L651" s="6">
        <v>10.7</v>
      </c>
      <c r="M651" s="6"/>
      <c r="N651" s="6"/>
      <c r="P651" s="5" t="s">
        <v>9496</v>
      </c>
      <c r="Q651" s="5" t="s">
        <v>9497</v>
      </c>
      <c r="R651" s="5" t="s">
        <v>9498</v>
      </c>
      <c r="S651" s="5"/>
      <c r="T651" s="5"/>
    </row>
    <row r="652" spans="1:20" x14ac:dyDescent="0.25">
      <c r="A652" s="5" t="s">
        <v>9826</v>
      </c>
      <c r="B652" s="7" t="s">
        <v>10503</v>
      </c>
      <c r="C652" s="5" t="s">
        <v>73</v>
      </c>
      <c r="D652" s="1" t="s">
        <v>10980</v>
      </c>
      <c r="G652" s="7">
        <v>67</v>
      </c>
      <c r="H652" s="5" t="s">
        <v>9723</v>
      </c>
      <c r="I652" s="5" t="str">
        <f t="shared" si="10"/>
        <v>fate6511882</v>
      </c>
      <c r="J652" s="6" t="s">
        <v>9789</v>
      </c>
      <c r="K652" s="6">
        <v>18.100000000000001</v>
      </c>
      <c r="L652" s="6">
        <v>8.1999999999999993</v>
      </c>
      <c r="M652" s="6"/>
      <c r="N652" s="6"/>
      <c r="P652" s="5" t="s">
        <v>9496</v>
      </c>
      <c r="Q652" s="5" t="s">
        <v>9497</v>
      </c>
      <c r="R652" s="5" t="s">
        <v>9498</v>
      </c>
      <c r="S652" s="5"/>
      <c r="T652" s="5"/>
    </row>
    <row r="653" spans="1:20" x14ac:dyDescent="0.25">
      <c r="A653" s="5" t="s">
        <v>9828</v>
      </c>
      <c r="B653" s="7" t="s">
        <v>8310</v>
      </c>
      <c r="C653" s="5" t="s">
        <v>73</v>
      </c>
      <c r="D653" s="5"/>
      <c r="E653" s="5">
        <v>37</v>
      </c>
      <c r="F653" s="5">
        <v>1</v>
      </c>
      <c r="G653" s="7">
        <v>64</v>
      </c>
      <c r="H653" s="5" t="s">
        <v>9723</v>
      </c>
      <c r="I653" s="5" t="str">
        <f t="shared" si="10"/>
        <v>fate6522525</v>
      </c>
      <c r="J653" s="6" t="s">
        <v>9750</v>
      </c>
      <c r="K653" s="6">
        <v>25.1</v>
      </c>
      <c r="L653" s="6">
        <v>25.1</v>
      </c>
      <c r="M653" s="6"/>
      <c r="N653" s="6"/>
      <c r="P653" s="5" t="s">
        <v>9724</v>
      </c>
      <c r="Q653" s="5" t="s">
        <v>9725</v>
      </c>
      <c r="R653" s="5" t="s">
        <v>9726</v>
      </c>
      <c r="S653" s="5"/>
      <c r="T653" s="5"/>
    </row>
    <row r="654" spans="1:20" x14ac:dyDescent="0.25">
      <c r="A654" s="5" t="s">
        <v>9830</v>
      </c>
      <c r="B654" s="7" t="s">
        <v>10503</v>
      </c>
      <c r="C654" s="5" t="s">
        <v>73</v>
      </c>
      <c r="D654" s="1" t="s">
        <v>10965</v>
      </c>
      <c r="E654" s="5">
        <v>37</v>
      </c>
      <c r="F654" s="5">
        <v>2</v>
      </c>
      <c r="G654" s="7">
        <v>64</v>
      </c>
      <c r="H654" s="5" t="s">
        <v>9723</v>
      </c>
      <c r="I654" s="5" t="str">
        <f t="shared" si="10"/>
        <v>fate6532525</v>
      </c>
      <c r="J654" s="6" t="s">
        <v>9728</v>
      </c>
      <c r="K654" s="6">
        <v>25.1</v>
      </c>
      <c r="L654" s="6">
        <v>25.1</v>
      </c>
      <c r="M654" s="6"/>
      <c r="N654" s="6"/>
      <c r="P654" s="5" t="s">
        <v>9724</v>
      </c>
      <c r="Q654" s="5" t="s">
        <v>9725</v>
      </c>
      <c r="R654" s="5" t="s">
        <v>9726</v>
      </c>
      <c r="S654" s="5"/>
      <c r="T654" s="5"/>
    </row>
    <row r="655" spans="1:20" x14ac:dyDescent="0.25">
      <c r="A655" s="5" t="s">
        <v>9832</v>
      </c>
      <c r="B655" s="7" t="s">
        <v>8310</v>
      </c>
      <c r="C655" s="5" t="s">
        <v>73</v>
      </c>
      <c r="D655" s="5"/>
      <c r="E655" s="5">
        <v>38</v>
      </c>
      <c r="F655" s="5">
        <v>1</v>
      </c>
      <c r="G655" s="7">
        <v>64</v>
      </c>
      <c r="H655" s="5" t="s">
        <v>9723</v>
      </c>
      <c r="I655" s="5" t="str">
        <f t="shared" si="10"/>
        <v>fate6543230</v>
      </c>
      <c r="J655" s="6" t="s">
        <v>9736</v>
      </c>
      <c r="K655" s="6">
        <v>32.5</v>
      </c>
      <c r="L655" s="6">
        <v>30.2</v>
      </c>
      <c r="M655" s="6"/>
      <c r="N655" s="6"/>
      <c r="P655" s="5" t="s">
        <v>9724</v>
      </c>
      <c r="Q655" s="5" t="s">
        <v>9725</v>
      </c>
      <c r="R655" s="5" t="s">
        <v>9726</v>
      </c>
      <c r="S655" s="5"/>
      <c r="T655" s="5"/>
    </row>
    <row r="656" spans="1:20" x14ac:dyDescent="0.25">
      <c r="A656" s="5" t="s">
        <v>9834</v>
      </c>
      <c r="B656" s="7" t="s">
        <v>10503</v>
      </c>
      <c r="C656" s="5" t="s">
        <v>73</v>
      </c>
      <c r="D656" s="1" t="s">
        <v>10966</v>
      </c>
      <c r="E656" s="5">
        <v>38</v>
      </c>
      <c r="F656" s="5">
        <v>2</v>
      </c>
      <c r="G656" s="7">
        <v>64</v>
      </c>
      <c r="H656" s="5" t="s">
        <v>9723</v>
      </c>
      <c r="I656" s="5" t="str">
        <f t="shared" si="10"/>
        <v>fate6553329</v>
      </c>
      <c r="J656" s="6" t="s">
        <v>9759</v>
      </c>
      <c r="K656" s="6">
        <v>33.4</v>
      </c>
      <c r="L656" s="6">
        <v>29.5</v>
      </c>
      <c r="M656" s="6"/>
      <c r="N656" s="6"/>
      <c r="P656" s="5" t="s">
        <v>9724</v>
      </c>
      <c r="Q656" s="5" t="s">
        <v>9725</v>
      </c>
      <c r="R656" s="5" t="s">
        <v>9726</v>
      </c>
      <c r="S656" s="5"/>
      <c r="T656" s="5"/>
    </row>
    <row r="657" spans="1:22" x14ac:dyDescent="0.25">
      <c r="A657" s="5" t="s">
        <v>9836</v>
      </c>
      <c r="B657" s="7" t="s">
        <v>8346</v>
      </c>
      <c r="C657" s="5" t="s">
        <v>73</v>
      </c>
      <c r="D657" s="5"/>
      <c r="E657" s="5">
        <v>39</v>
      </c>
      <c r="F657" s="5">
        <v>1</v>
      </c>
      <c r="G657" s="7">
        <v>64</v>
      </c>
      <c r="H657" s="5" t="s">
        <v>9723</v>
      </c>
      <c r="I657" s="5" t="str">
        <f t="shared" si="10"/>
        <v>fate6561831</v>
      </c>
      <c r="J657" s="6" t="s">
        <v>9757</v>
      </c>
      <c r="K657" s="6">
        <v>18.100000000000001</v>
      </c>
      <c r="L657" s="6">
        <v>31.6</v>
      </c>
      <c r="M657" s="6"/>
      <c r="N657" s="6"/>
      <c r="P657" s="5" t="s">
        <v>9724</v>
      </c>
      <c r="Q657" s="5" t="s">
        <v>9725</v>
      </c>
      <c r="R657" s="5" t="s">
        <v>9726</v>
      </c>
      <c r="S657" s="5"/>
      <c r="T657" s="5"/>
    </row>
    <row r="658" spans="1:22" x14ac:dyDescent="0.25">
      <c r="A658" s="5" t="s">
        <v>9838</v>
      </c>
      <c r="B658" s="7" t="s">
        <v>8346</v>
      </c>
      <c r="C658" s="5" t="s">
        <v>73</v>
      </c>
      <c r="D658" s="5"/>
      <c r="E658" s="5">
        <v>39</v>
      </c>
      <c r="F658" s="5">
        <v>2</v>
      </c>
      <c r="G658" s="7">
        <v>64</v>
      </c>
      <c r="H658" s="5" t="s">
        <v>9723</v>
      </c>
      <c r="I658" s="5" t="str">
        <f t="shared" si="10"/>
        <v>fate6571831</v>
      </c>
      <c r="J658" s="6" t="s">
        <v>9767</v>
      </c>
      <c r="K658" s="6">
        <v>18.100000000000001</v>
      </c>
      <c r="L658" s="6">
        <v>31.6</v>
      </c>
      <c r="M658" s="6"/>
      <c r="N658" s="6"/>
      <c r="P658" s="5" t="s">
        <v>9724</v>
      </c>
      <c r="Q658" s="5" t="s">
        <v>9725</v>
      </c>
      <c r="R658" s="5" t="s">
        <v>9726</v>
      </c>
      <c r="S658" s="5"/>
      <c r="T658" s="5"/>
    </row>
    <row r="659" spans="1:22" x14ac:dyDescent="0.25">
      <c r="A659" s="5" t="s">
        <v>9840</v>
      </c>
      <c r="B659" s="7" t="s">
        <v>10503</v>
      </c>
      <c r="C659" s="5" t="s">
        <v>73</v>
      </c>
      <c r="D659" s="1" t="s">
        <v>10967</v>
      </c>
      <c r="E659" s="5">
        <v>39</v>
      </c>
      <c r="F659" s="5">
        <v>3</v>
      </c>
      <c r="G659" s="7">
        <v>64</v>
      </c>
      <c r="H659" s="5" t="s">
        <v>9723</v>
      </c>
      <c r="I659" s="5" t="str">
        <f t="shared" si="10"/>
        <v>fate6581831</v>
      </c>
      <c r="J659" s="6" t="s">
        <v>9730</v>
      </c>
      <c r="K659" s="6">
        <v>18.100000000000001</v>
      </c>
      <c r="L659" s="6">
        <v>31.6</v>
      </c>
      <c r="M659" s="6"/>
      <c r="N659" s="6"/>
      <c r="P659" s="5" t="s">
        <v>9724</v>
      </c>
      <c r="Q659" s="5" t="s">
        <v>9725</v>
      </c>
      <c r="R659" s="5" t="s">
        <v>9726</v>
      </c>
      <c r="S659" s="5"/>
      <c r="T659" s="5"/>
    </row>
    <row r="660" spans="1:22" x14ac:dyDescent="0.25">
      <c r="A660" s="5" t="s">
        <v>9842</v>
      </c>
      <c r="B660" s="7" t="s">
        <v>8346</v>
      </c>
      <c r="C660" s="5" t="s">
        <v>73</v>
      </c>
      <c r="D660" s="5"/>
      <c r="E660" s="5">
        <v>40</v>
      </c>
      <c r="F660" s="5">
        <v>1</v>
      </c>
      <c r="G660" s="7">
        <v>67</v>
      </c>
      <c r="H660" s="5" t="s">
        <v>9723</v>
      </c>
      <c r="I660" s="5" t="str">
        <f t="shared" si="10"/>
        <v>fate6592693</v>
      </c>
      <c r="J660" s="6" t="s">
        <v>9787</v>
      </c>
      <c r="K660" s="6">
        <v>26.4</v>
      </c>
      <c r="L660" s="6">
        <v>9.3000000000000007</v>
      </c>
      <c r="M660" s="6"/>
      <c r="N660" s="6"/>
      <c r="P660" s="5" t="s">
        <v>9496</v>
      </c>
      <c r="Q660" s="5" t="s">
        <v>9497</v>
      </c>
      <c r="R660" s="5" t="s">
        <v>9498</v>
      </c>
      <c r="S660" s="5"/>
      <c r="T660" s="5"/>
    </row>
    <row r="661" spans="1:22" x14ac:dyDescent="0.25">
      <c r="A661" s="5" t="s">
        <v>9844</v>
      </c>
      <c r="B661" s="7" t="s">
        <v>8310</v>
      </c>
      <c r="C661" s="5" t="s">
        <v>73</v>
      </c>
      <c r="D661" s="5"/>
      <c r="E661" s="5">
        <v>40</v>
      </c>
      <c r="F661" s="5">
        <v>2</v>
      </c>
      <c r="G661" s="7">
        <v>67</v>
      </c>
      <c r="H661" s="5" t="s">
        <v>9723</v>
      </c>
      <c r="I661" s="5" t="str">
        <f t="shared" si="10"/>
        <v>fate6602693</v>
      </c>
      <c r="J661" s="6" t="s">
        <v>9775</v>
      </c>
      <c r="K661" s="6">
        <v>26.4</v>
      </c>
      <c r="L661" s="6">
        <v>9.3000000000000007</v>
      </c>
      <c r="M661" s="6"/>
      <c r="N661" s="6"/>
      <c r="P661" s="5" t="s">
        <v>9496</v>
      </c>
      <c r="Q661" s="5" t="s">
        <v>9497</v>
      </c>
      <c r="R661" s="5" t="s">
        <v>9498</v>
      </c>
      <c r="S661" s="5"/>
      <c r="T661" s="5"/>
    </row>
    <row r="662" spans="1:22" x14ac:dyDescent="0.25">
      <c r="A662" s="5" t="s">
        <v>9846</v>
      </c>
      <c r="B662" s="7" t="s">
        <v>10503</v>
      </c>
      <c r="C662" s="5" t="s">
        <v>73</v>
      </c>
      <c r="D662" s="1" t="s">
        <v>10978</v>
      </c>
      <c r="E662" s="5">
        <v>40</v>
      </c>
      <c r="F662" s="5">
        <v>3</v>
      </c>
      <c r="G662" s="7">
        <v>67</v>
      </c>
      <c r="H662" s="5" t="s">
        <v>9723</v>
      </c>
      <c r="I662" s="5" t="str">
        <f t="shared" si="10"/>
        <v>fate6612693</v>
      </c>
      <c r="J662" s="6" t="s">
        <v>9779</v>
      </c>
      <c r="K662" s="6">
        <v>26.4</v>
      </c>
      <c r="L662" s="6">
        <v>9.3000000000000007</v>
      </c>
      <c r="M662" s="6"/>
      <c r="N662" s="6"/>
      <c r="P662" s="5" t="s">
        <v>9496</v>
      </c>
      <c r="Q662" s="5" t="s">
        <v>9497</v>
      </c>
      <c r="R662" s="5" t="s">
        <v>9498</v>
      </c>
      <c r="S662" s="5"/>
      <c r="T662" s="5"/>
    </row>
    <row r="663" spans="1:22" x14ac:dyDescent="0.25">
      <c r="A663" s="5" t="s">
        <v>9848</v>
      </c>
      <c r="B663" s="7" t="s">
        <v>8424</v>
      </c>
      <c r="C663" s="5" t="s">
        <v>73</v>
      </c>
      <c r="D663" s="5"/>
      <c r="E663" s="5">
        <v>41</v>
      </c>
      <c r="F663" s="5">
        <v>1</v>
      </c>
      <c r="G663" s="7">
        <v>67</v>
      </c>
      <c r="H663" s="5" t="s">
        <v>9723</v>
      </c>
      <c r="I663" s="5" t="str">
        <f t="shared" si="10"/>
        <v>fate6621974</v>
      </c>
      <c r="J663" s="6" t="s">
        <v>10526</v>
      </c>
      <c r="K663" s="6">
        <v>19.899999999999999</v>
      </c>
      <c r="L663" s="6">
        <v>7.4</v>
      </c>
      <c r="M663" s="6"/>
      <c r="N663" s="6"/>
      <c r="O663" s="5"/>
      <c r="P663" s="5" t="s">
        <v>9496</v>
      </c>
      <c r="Q663" s="5" t="s">
        <v>9497</v>
      </c>
      <c r="R663" s="5" t="s">
        <v>9498</v>
      </c>
      <c r="S663" s="5"/>
      <c r="T663" s="5"/>
    </row>
    <row r="664" spans="1:22" x14ac:dyDescent="0.25">
      <c r="A664" s="5" t="s">
        <v>9850</v>
      </c>
      <c r="B664" s="7" t="s">
        <v>8310</v>
      </c>
      <c r="C664" s="5" t="s">
        <v>73</v>
      </c>
      <c r="D664" s="5"/>
      <c r="E664" s="5">
        <v>41</v>
      </c>
      <c r="F664" s="5">
        <v>1</v>
      </c>
      <c r="G664" s="7">
        <v>64</v>
      </c>
      <c r="H664" s="5" t="s">
        <v>9723</v>
      </c>
      <c r="I664" s="5" t="str">
        <f t="shared" si="10"/>
        <v>fate6631330</v>
      </c>
      <c r="J664" s="6" t="s">
        <v>10528</v>
      </c>
      <c r="K664" s="6">
        <v>13</v>
      </c>
      <c r="L664" s="6">
        <v>30</v>
      </c>
      <c r="M664" s="6"/>
      <c r="N664" s="6"/>
      <c r="O664" s="5"/>
      <c r="P664" s="5" t="s">
        <v>9724</v>
      </c>
      <c r="Q664" s="5" t="s">
        <v>9725</v>
      </c>
      <c r="R664" s="5" t="s">
        <v>9726</v>
      </c>
      <c r="S664" s="5"/>
      <c r="T664" s="5"/>
    </row>
    <row r="665" spans="1:22" x14ac:dyDescent="0.25">
      <c r="A665" s="5" t="s">
        <v>9852</v>
      </c>
      <c r="B665" s="7" t="s">
        <v>10503</v>
      </c>
      <c r="C665" s="5" t="s">
        <v>73</v>
      </c>
      <c r="D665" s="1" t="s">
        <v>10971</v>
      </c>
      <c r="E665" s="5">
        <v>41</v>
      </c>
      <c r="F665" s="5">
        <v>2</v>
      </c>
      <c r="G665" s="7">
        <v>67</v>
      </c>
      <c r="H665" s="5" t="s">
        <v>9723</v>
      </c>
      <c r="I665" s="5" t="str">
        <f t="shared" si="10"/>
        <v>fate6643189</v>
      </c>
      <c r="J665" s="6" t="s">
        <v>10530</v>
      </c>
      <c r="K665" s="6">
        <v>31.2</v>
      </c>
      <c r="L665" s="6">
        <v>8.9</v>
      </c>
      <c r="M665" s="6"/>
      <c r="N665" s="6"/>
      <c r="O665" s="5" t="s">
        <v>10972</v>
      </c>
      <c r="P665" s="5" t="s">
        <v>9496</v>
      </c>
      <c r="Q665" s="5" t="s">
        <v>9497</v>
      </c>
      <c r="R665" s="5" t="s">
        <v>9498</v>
      </c>
      <c r="S665" s="5"/>
      <c r="T665" s="5"/>
    </row>
    <row r="666" spans="1:22" x14ac:dyDescent="0.25">
      <c r="A666" s="5" t="s">
        <v>9854</v>
      </c>
      <c r="B666" s="7" t="s">
        <v>10668</v>
      </c>
      <c r="C666" s="5" t="s">
        <v>73</v>
      </c>
      <c r="D666" s="1" t="s">
        <v>10533</v>
      </c>
      <c r="E666" s="5">
        <v>41</v>
      </c>
      <c r="F666" s="5">
        <v>3</v>
      </c>
      <c r="G666" s="7">
        <v>70</v>
      </c>
      <c r="H666" s="5" t="s">
        <v>799</v>
      </c>
      <c r="I666" s="5" t="str">
        <f t="shared" si="10"/>
        <v>fate6651612</v>
      </c>
      <c r="J666" s="5" t="s">
        <v>10532</v>
      </c>
      <c r="K666" s="5">
        <v>16</v>
      </c>
      <c r="L666" s="5">
        <v>12</v>
      </c>
      <c r="M666" s="5"/>
      <c r="N666" s="5"/>
      <c r="O666" s="1" t="s">
        <v>10672</v>
      </c>
      <c r="P666" s="5">
        <v>517500</v>
      </c>
      <c r="Q666" s="5">
        <v>140</v>
      </c>
      <c r="R666" s="5">
        <v>402</v>
      </c>
      <c r="S666" s="5"/>
      <c r="T666" s="5"/>
      <c r="U666" s="5" t="s">
        <v>10973</v>
      </c>
      <c r="V666" s="1" t="s">
        <v>10974</v>
      </c>
    </row>
    <row r="667" spans="1:22" x14ac:dyDescent="0.25">
      <c r="A667" s="5" t="s">
        <v>9856</v>
      </c>
      <c r="B667" s="7" t="s">
        <v>10668</v>
      </c>
      <c r="C667" s="5" t="s">
        <v>73</v>
      </c>
      <c r="D667" s="1" t="s">
        <v>10533</v>
      </c>
      <c r="E667" s="5">
        <v>41</v>
      </c>
      <c r="F667" s="5">
        <v>3</v>
      </c>
      <c r="G667" s="7">
        <v>70</v>
      </c>
      <c r="H667" s="5" t="s">
        <v>799</v>
      </c>
      <c r="I667" s="5" t="str">
        <f t="shared" si="10"/>
        <v>fate6661117</v>
      </c>
      <c r="J667" s="5" t="s">
        <v>10532</v>
      </c>
      <c r="K667" s="5">
        <v>11</v>
      </c>
      <c r="L667" s="5">
        <v>17</v>
      </c>
      <c r="M667" s="5"/>
      <c r="N667" s="5"/>
      <c r="O667" s="1" t="s">
        <v>10672</v>
      </c>
      <c r="P667" s="5">
        <v>517500</v>
      </c>
      <c r="Q667" s="5">
        <v>140</v>
      </c>
      <c r="R667" s="5">
        <v>402</v>
      </c>
      <c r="S667" s="5"/>
      <c r="T667" s="5"/>
      <c r="U667" s="5" t="s">
        <v>10973</v>
      </c>
      <c r="V667" s="1" t="s">
        <v>10974</v>
      </c>
    </row>
    <row r="668" spans="1:22" x14ac:dyDescent="0.25">
      <c r="A668" s="5" t="s">
        <v>9858</v>
      </c>
      <c r="B668" s="7" t="s">
        <v>10668</v>
      </c>
      <c r="C668" s="5" t="s">
        <v>73</v>
      </c>
      <c r="D668" s="1" t="s">
        <v>10533</v>
      </c>
      <c r="E668" s="5">
        <v>41</v>
      </c>
      <c r="F668" s="5">
        <v>3</v>
      </c>
      <c r="G668" s="7">
        <v>70</v>
      </c>
      <c r="H668" s="5" t="s">
        <v>799</v>
      </c>
      <c r="I668" s="5" t="str">
        <f t="shared" si="10"/>
        <v>fate6672434</v>
      </c>
      <c r="J668" s="5" t="s">
        <v>10532</v>
      </c>
      <c r="K668" s="5">
        <v>24</v>
      </c>
      <c r="L668" s="5">
        <v>34</v>
      </c>
      <c r="M668" s="5"/>
      <c r="N668" s="5"/>
      <c r="O668" s="1" t="s">
        <v>10672</v>
      </c>
      <c r="P668" s="5">
        <v>517500</v>
      </c>
      <c r="Q668" s="5">
        <v>140</v>
      </c>
      <c r="R668" s="5">
        <v>402</v>
      </c>
      <c r="S668" s="5"/>
      <c r="T668" s="5"/>
      <c r="U668" s="5" t="s">
        <v>10973</v>
      </c>
      <c r="V668" s="1" t="s">
        <v>10974</v>
      </c>
    </row>
    <row r="669" spans="1:22" x14ac:dyDescent="0.25">
      <c r="A669" s="5" t="s">
        <v>9862</v>
      </c>
      <c r="B669" s="7" t="s">
        <v>8310</v>
      </c>
      <c r="C669" s="5" t="s">
        <v>73</v>
      </c>
      <c r="D669" s="5"/>
      <c r="F669" s="5"/>
      <c r="G669" s="7">
        <v>65</v>
      </c>
      <c r="H669" s="5" t="s">
        <v>9794</v>
      </c>
      <c r="I669" s="5" t="str">
        <f t="shared" si="10"/>
        <v>fate6683423</v>
      </c>
      <c r="J669" s="6" t="s">
        <v>9813</v>
      </c>
      <c r="K669" s="6">
        <v>34.1</v>
      </c>
      <c r="L669" s="6">
        <v>23.1</v>
      </c>
      <c r="M669" s="6"/>
      <c r="N669" s="6"/>
      <c r="P669" s="5" t="s">
        <v>9795</v>
      </c>
      <c r="Q669" s="5" t="s">
        <v>9796</v>
      </c>
      <c r="R669" s="5" t="s">
        <v>9797</v>
      </c>
      <c r="S669" s="5"/>
      <c r="T669" s="5"/>
    </row>
    <row r="670" spans="1:22" x14ac:dyDescent="0.25">
      <c r="A670" s="5" t="s">
        <v>9864</v>
      </c>
      <c r="B670" s="7" t="s">
        <v>8310</v>
      </c>
      <c r="C670" s="5" t="s">
        <v>73</v>
      </c>
      <c r="D670" s="5"/>
      <c r="F670" s="5"/>
      <c r="G670" s="7">
        <v>65</v>
      </c>
      <c r="H670" s="5" t="s">
        <v>9794</v>
      </c>
      <c r="I670" s="5" t="str">
        <f t="shared" si="10"/>
        <v>fate6692816</v>
      </c>
      <c r="J670" s="6" t="s">
        <v>9821</v>
      </c>
      <c r="K670" s="6">
        <v>28.3</v>
      </c>
      <c r="L670" s="6">
        <v>16.600000000000001</v>
      </c>
      <c r="M670" s="6"/>
      <c r="N670" s="6"/>
      <c r="P670" s="5" t="s">
        <v>9795</v>
      </c>
      <c r="Q670" s="5" t="s">
        <v>9796</v>
      </c>
      <c r="R670" s="5" t="s">
        <v>9797</v>
      </c>
      <c r="S670" s="5"/>
      <c r="T670" s="5"/>
    </row>
    <row r="671" spans="1:22" x14ac:dyDescent="0.25">
      <c r="A671" s="5" t="s">
        <v>9866</v>
      </c>
      <c r="B671" s="7" t="s">
        <v>8310</v>
      </c>
      <c r="C671" s="5" t="s">
        <v>73</v>
      </c>
      <c r="D671" s="5"/>
      <c r="F671" s="5"/>
      <c r="G671" s="7">
        <v>65</v>
      </c>
      <c r="H671" s="5" t="s">
        <v>9794</v>
      </c>
      <c r="I671" s="5" t="str">
        <f t="shared" si="10"/>
        <v>fate6703016</v>
      </c>
      <c r="J671" s="6" t="s">
        <v>9839</v>
      </c>
      <c r="K671" s="6">
        <v>30.1</v>
      </c>
      <c r="L671" s="6">
        <v>16.2</v>
      </c>
      <c r="M671" s="6"/>
      <c r="N671" s="6"/>
      <c r="P671" s="5" t="s">
        <v>9795</v>
      </c>
      <c r="Q671" s="5" t="s">
        <v>9796</v>
      </c>
      <c r="R671" s="5" t="s">
        <v>9797</v>
      </c>
      <c r="S671" s="5"/>
      <c r="T671" s="5"/>
    </row>
    <row r="672" spans="1:22" x14ac:dyDescent="0.25">
      <c r="A672" s="5" t="s">
        <v>9868</v>
      </c>
      <c r="B672" s="7" t="s">
        <v>8310</v>
      </c>
      <c r="C672" s="5" t="s">
        <v>73</v>
      </c>
      <c r="D672" s="5"/>
      <c r="F672" s="5"/>
      <c r="G672" s="7">
        <v>65</v>
      </c>
      <c r="H672" s="5" t="s">
        <v>9794</v>
      </c>
      <c r="I672" s="5" t="str">
        <f t="shared" si="10"/>
        <v>fate6712015</v>
      </c>
      <c r="J672" s="6" t="s">
        <v>9841</v>
      </c>
      <c r="K672" s="6">
        <v>20.2</v>
      </c>
      <c r="L672" s="6">
        <v>15.9</v>
      </c>
      <c r="M672" s="6"/>
      <c r="N672" s="6"/>
      <c r="P672" s="5" t="s">
        <v>9795</v>
      </c>
      <c r="Q672" s="5" t="s">
        <v>9796</v>
      </c>
      <c r="R672" s="5" t="s">
        <v>9797</v>
      </c>
      <c r="S672" s="5"/>
      <c r="T672" s="5"/>
    </row>
    <row r="673" spans="1:20" x14ac:dyDescent="0.25">
      <c r="A673" s="5" t="s">
        <v>9870</v>
      </c>
      <c r="B673" s="7" t="s">
        <v>8310</v>
      </c>
      <c r="C673" s="5" t="s">
        <v>73</v>
      </c>
      <c r="D673" s="5"/>
      <c r="F673" s="5"/>
      <c r="G673" s="7">
        <v>65</v>
      </c>
      <c r="H673" s="5" t="s">
        <v>9794</v>
      </c>
      <c r="I673" s="5" t="str">
        <f t="shared" si="10"/>
        <v>fate6721710</v>
      </c>
      <c r="J673" s="6" t="s">
        <v>9851</v>
      </c>
      <c r="K673" s="6">
        <v>17.2</v>
      </c>
      <c r="L673" s="6">
        <v>10.7</v>
      </c>
      <c r="M673" s="6"/>
      <c r="N673" s="6"/>
      <c r="P673" s="5" t="s">
        <v>9795</v>
      </c>
      <c r="Q673" s="5" t="s">
        <v>9796</v>
      </c>
      <c r="R673" s="5" t="s">
        <v>9797</v>
      </c>
      <c r="S673" s="5"/>
      <c r="T673" s="5"/>
    </row>
    <row r="674" spans="1:20" x14ac:dyDescent="0.25">
      <c r="A674" s="5" t="s">
        <v>9872</v>
      </c>
      <c r="B674" s="7" t="s">
        <v>8310</v>
      </c>
      <c r="C674" s="5" t="s">
        <v>73</v>
      </c>
      <c r="D674" s="5"/>
      <c r="F674" s="5"/>
      <c r="G674" s="7">
        <v>66</v>
      </c>
      <c r="H674" s="5" t="s">
        <v>9794</v>
      </c>
      <c r="I674" s="5" t="str">
        <f t="shared" si="10"/>
        <v>fate6731727</v>
      </c>
      <c r="J674" s="6" t="s">
        <v>9863</v>
      </c>
      <c r="K674" s="6">
        <v>17.600000000000001</v>
      </c>
      <c r="L674" s="6">
        <v>27.6</v>
      </c>
      <c r="M674" s="6"/>
      <c r="N674" s="6"/>
      <c r="P674" s="5" t="s">
        <v>9860</v>
      </c>
      <c r="Q674" s="5" t="s">
        <v>8550</v>
      </c>
      <c r="R674" s="5" t="s">
        <v>9861</v>
      </c>
      <c r="S674" s="5"/>
      <c r="T674" s="5"/>
    </row>
    <row r="675" spans="1:20" x14ac:dyDescent="0.25">
      <c r="A675" s="5" t="s">
        <v>9874</v>
      </c>
      <c r="B675" s="7" t="s">
        <v>8310</v>
      </c>
      <c r="C675" s="5" t="s">
        <v>73</v>
      </c>
      <c r="D675" s="5"/>
      <c r="F675" s="5"/>
      <c r="G675" s="7">
        <v>66</v>
      </c>
      <c r="H675" s="5" t="s">
        <v>9794</v>
      </c>
      <c r="I675" s="5" t="str">
        <f t="shared" si="10"/>
        <v>fate6741733</v>
      </c>
      <c r="J675" s="6" t="s">
        <v>9873</v>
      </c>
      <c r="K675" s="6">
        <v>17.2</v>
      </c>
      <c r="L675" s="6">
        <v>33</v>
      </c>
      <c r="M675" s="6"/>
      <c r="N675" s="6"/>
      <c r="P675" s="5" t="s">
        <v>9860</v>
      </c>
      <c r="Q675" s="5" t="s">
        <v>8550</v>
      </c>
      <c r="R675" s="5" t="s">
        <v>9861</v>
      </c>
      <c r="S675" s="5"/>
      <c r="T675" s="5"/>
    </row>
    <row r="676" spans="1:20" x14ac:dyDescent="0.25">
      <c r="A676" s="5" t="s">
        <v>9876</v>
      </c>
      <c r="B676" s="7" t="s">
        <v>8310</v>
      </c>
      <c r="C676" s="5" t="s">
        <v>73</v>
      </c>
      <c r="D676" s="5"/>
      <c r="F676" s="5"/>
      <c r="G676" s="7">
        <v>66</v>
      </c>
      <c r="H676" s="5" t="s">
        <v>9794</v>
      </c>
      <c r="I676" s="5" t="str">
        <f t="shared" si="10"/>
        <v>fate6751134</v>
      </c>
      <c r="J676" s="6" t="s">
        <v>9875</v>
      </c>
      <c r="K676" s="6">
        <v>11</v>
      </c>
      <c r="L676" s="6">
        <v>34.5</v>
      </c>
      <c r="M676" s="6"/>
      <c r="N676" s="6"/>
      <c r="P676" s="5" t="s">
        <v>9860</v>
      </c>
      <c r="Q676" s="5" t="s">
        <v>8550</v>
      </c>
      <c r="R676" s="5" t="s">
        <v>9861</v>
      </c>
      <c r="S676" s="5"/>
      <c r="T676" s="5"/>
    </row>
    <row r="677" spans="1:20" x14ac:dyDescent="0.25">
      <c r="A677" s="5" t="s">
        <v>9878</v>
      </c>
      <c r="B677" s="7" t="s">
        <v>8310</v>
      </c>
      <c r="C677" s="5" t="s">
        <v>73</v>
      </c>
      <c r="D677" s="5"/>
      <c r="F677" s="5"/>
      <c r="G677" s="7">
        <v>66</v>
      </c>
      <c r="H677" s="5" t="s">
        <v>9794</v>
      </c>
      <c r="I677" s="5" t="str">
        <f t="shared" si="10"/>
        <v>fate6762332</v>
      </c>
      <c r="J677" s="6" t="s">
        <v>9877</v>
      </c>
      <c r="K677" s="6">
        <v>23.4</v>
      </c>
      <c r="L677" s="6">
        <v>32</v>
      </c>
      <c r="M677" s="6"/>
      <c r="N677" s="6"/>
      <c r="P677" s="5" t="s">
        <v>9860</v>
      </c>
      <c r="Q677" s="5" t="s">
        <v>8550</v>
      </c>
      <c r="R677" s="5" t="s">
        <v>9861</v>
      </c>
      <c r="S677" s="5"/>
      <c r="T677" s="5"/>
    </row>
    <row r="678" spans="1:20" x14ac:dyDescent="0.25">
      <c r="A678" s="5" t="s">
        <v>9880</v>
      </c>
      <c r="B678" s="7" t="s">
        <v>8310</v>
      </c>
      <c r="C678" s="5" t="s">
        <v>73</v>
      </c>
      <c r="D678" s="5"/>
      <c r="F678" s="5"/>
      <c r="G678" s="7">
        <v>66</v>
      </c>
      <c r="H678" s="5" t="s">
        <v>9794</v>
      </c>
      <c r="I678" s="5" t="str">
        <f t="shared" si="10"/>
        <v>fate6771129</v>
      </c>
      <c r="J678" s="6" t="s">
        <v>9879</v>
      </c>
      <c r="K678" s="6">
        <v>11.6</v>
      </c>
      <c r="L678" s="6">
        <v>29.7</v>
      </c>
      <c r="M678" s="6"/>
      <c r="N678" s="6"/>
      <c r="P678" s="5" t="s">
        <v>9860</v>
      </c>
      <c r="Q678" s="5" t="s">
        <v>8550</v>
      </c>
      <c r="R678" s="5" t="s">
        <v>9861</v>
      </c>
      <c r="S678" s="5"/>
      <c r="T678" s="5"/>
    </row>
    <row r="679" spans="1:20" x14ac:dyDescent="0.25">
      <c r="A679" s="5" t="s">
        <v>9882</v>
      </c>
      <c r="B679" s="7" t="s">
        <v>8310</v>
      </c>
      <c r="C679" s="5" t="s">
        <v>73</v>
      </c>
      <c r="D679" s="5"/>
      <c r="F679" s="5"/>
      <c r="G679" s="7">
        <v>66</v>
      </c>
      <c r="H679" s="5" t="s">
        <v>9794</v>
      </c>
      <c r="I679" s="5" t="str">
        <f t="shared" si="10"/>
        <v>fate6781328</v>
      </c>
      <c r="J679" s="6" t="s">
        <v>9881</v>
      </c>
      <c r="K679" s="6">
        <v>13.4</v>
      </c>
      <c r="L679" s="6">
        <v>28.8</v>
      </c>
      <c r="M679" s="6"/>
      <c r="N679" s="6"/>
      <c r="P679" s="5" t="s">
        <v>9860</v>
      </c>
      <c r="Q679" s="5" t="s">
        <v>8550</v>
      </c>
      <c r="R679" s="5" t="s">
        <v>9861</v>
      </c>
      <c r="S679" s="5"/>
      <c r="T679" s="5"/>
    </row>
    <row r="680" spans="1:20" x14ac:dyDescent="0.25">
      <c r="A680" s="5" t="s">
        <v>9884</v>
      </c>
      <c r="B680" s="7" t="s">
        <v>8346</v>
      </c>
      <c r="C680" s="5" t="s">
        <v>73</v>
      </c>
      <c r="D680" s="5"/>
      <c r="F680" s="5"/>
      <c r="G680" s="7">
        <v>65</v>
      </c>
      <c r="H680" s="5" t="s">
        <v>9794</v>
      </c>
      <c r="I680" s="5" t="str">
        <f t="shared" si="10"/>
        <v>fate6793033</v>
      </c>
      <c r="J680" s="6" t="s">
        <v>9833</v>
      </c>
      <c r="K680" s="6">
        <v>30</v>
      </c>
      <c r="L680" s="6">
        <v>33</v>
      </c>
      <c r="M680" s="6"/>
      <c r="N680" s="6"/>
      <c r="P680" s="5" t="s">
        <v>9795</v>
      </c>
      <c r="Q680" s="5" t="s">
        <v>9796</v>
      </c>
      <c r="R680" s="5" t="s">
        <v>9797</v>
      </c>
      <c r="S680" s="5"/>
      <c r="T680" s="5"/>
    </row>
    <row r="681" spans="1:20" x14ac:dyDescent="0.25">
      <c r="A681" s="5" t="s">
        <v>9889</v>
      </c>
      <c r="B681" s="7" t="s">
        <v>10503</v>
      </c>
      <c r="C681" s="5" t="s">
        <v>73</v>
      </c>
      <c r="D681" s="1" t="s">
        <v>10983</v>
      </c>
      <c r="F681" s="5"/>
      <c r="G681" s="7">
        <v>65</v>
      </c>
      <c r="H681" s="5" t="s">
        <v>9794</v>
      </c>
      <c r="I681" s="5" t="str">
        <f t="shared" si="10"/>
        <v>fate6803132</v>
      </c>
      <c r="J681" s="6" t="s">
        <v>9793</v>
      </c>
      <c r="K681" s="6">
        <v>31.6</v>
      </c>
      <c r="L681" s="6">
        <v>32.1</v>
      </c>
      <c r="M681" s="6"/>
      <c r="N681" s="6"/>
      <c r="P681" s="5" t="s">
        <v>9795</v>
      </c>
      <c r="Q681" s="5" t="s">
        <v>9796</v>
      </c>
      <c r="R681" s="5" t="s">
        <v>9797</v>
      </c>
      <c r="S681" s="5"/>
      <c r="T681" s="5"/>
    </row>
    <row r="682" spans="1:20" x14ac:dyDescent="0.25">
      <c r="A682" s="5" t="s">
        <v>9891</v>
      </c>
      <c r="B682" s="7" t="s">
        <v>10503</v>
      </c>
      <c r="C682" s="5" t="s">
        <v>73</v>
      </c>
      <c r="D682" s="1" t="s">
        <v>10984</v>
      </c>
      <c r="F682" s="5"/>
      <c r="G682" s="7">
        <v>65</v>
      </c>
      <c r="H682" s="5" t="s">
        <v>9794</v>
      </c>
      <c r="I682" s="5" t="str">
        <f t="shared" si="10"/>
        <v>fate6813324</v>
      </c>
      <c r="J682" s="6" t="s">
        <v>9803</v>
      </c>
      <c r="K682" s="6">
        <v>33.1</v>
      </c>
      <c r="L682" s="6">
        <v>24.3</v>
      </c>
      <c r="M682" s="6"/>
      <c r="N682" s="6"/>
      <c r="P682" s="5" t="s">
        <v>9795</v>
      </c>
      <c r="Q682" s="5" t="s">
        <v>9796</v>
      </c>
      <c r="R682" s="5" t="s">
        <v>9797</v>
      </c>
      <c r="S682" s="5"/>
      <c r="T682" s="5"/>
    </row>
    <row r="683" spans="1:20" x14ac:dyDescent="0.25">
      <c r="A683" s="5" t="s">
        <v>9893</v>
      </c>
      <c r="B683" s="7" t="s">
        <v>10503</v>
      </c>
      <c r="C683" s="5" t="s">
        <v>73</v>
      </c>
      <c r="D683" s="1" t="s">
        <v>10982</v>
      </c>
      <c r="F683" s="5"/>
      <c r="G683" s="7">
        <v>65</v>
      </c>
      <c r="H683" s="5" t="s">
        <v>9794</v>
      </c>
      <c r="I683" s="5" t="str">
        <f t="shared" si="10"/>
        <v>fate6822828</v>
      </c>
      <c r="J683" s="6" t="s">
        <v>9805</v>
      </c>
      <c r="K683" s="6">
        <v>28.8</v>
      </c>
      <c r="L683" s="6">
        <v>28.2</v>
      </c>
      <c r="M683" s="6"/>
      <c r="N683" s="6"/>
      <c r="P683" s="5" t="s">
        <v>9795</v>
      </c>
      <c r="Q683" s="5" t="s">
        <v>9796</v>
      </c>
      <c r="R683" s="5" t="s">
        <v>9797</v>
      </c>
      <c r="S683" s="5"/>
      <c r="T683" s="5"/>
    </row>
    <row r="684" spans="1:20" x14ac:dyDescent="0.25">
      <c r="A684" s="5" t="s">
        <v>9895</v>
      </c>
      <c r="B684" s="7" t="s">
        <v>10503</v>
      </c>
      <c r="C684" s="5" t="s">
        <v>73</v>
      </c>
      <c r="D684" s="1" t="s">
        <v>10989</v>
      </c>
      <c r="F684" s="5"/>
      <c r="G684" s="7">
        <v>65</v>
      </c>
      <c r="H684" s="5" t="s">
        <v>9794</v>
      </c>
      <c r="I684" s="5" t="str">
        <f t="shared" si="10"/>
        <v>fate6833023</v>
      </c>
      <c r="J684" s="6" t="s">
        <v>9819</v>
      </c>
      <c r="K684" s="6">
        <v>30</v>
      </c>
      <c r="L684" s="6">
        <v>23</v>
      </c>
      <c r="M684" s="6"/>
      <c r="N684" s="6"/>
      <c r="P684" s="5" t="s">
        <v>9795</v>
      </c>
      <c r="Q684" s="5" t="s">
        <v>9796</v>
      </c>
      <c r="R684" s="5" t="s">
        <v>9797</v>
      </c>
      <c r="S684" s="5"/>
      <c r="T684" s="5"/>
    </row>
    <row r="685" spans="1:20" x14ac:dyDescent="0.25">
      <c r="A685" s="5" t="s">
        <v>9897</v>
      </c>
      <c r="B685" s="7" t="s">
        <v>10503</v>
      </c>
      <c r="C685" s="5" t="s">
        <v>73</v>
      </c>
      <c r="D685" s="1" t="s">
        <v>10985</v>
      </c>
      <c r="F685" s="5"/>
      <c r="G685" s="7">
        <v>65</v>
      </c>
      <c r="H685" s="5" t="s">
        <v>9794</v>
      </c>
      <c r="I685" s="5" t="str">
        <f t="shared" si="10"/>
        <v>fate6841214</v>
      </c>
      <c r="J685" s="6" t="s">
        <v>9827</v>
      </c>
      <c r="K685" s="6">
        <v>12.8</v>
      </c>
      <c r="L685" s="6">
        <v>14.8</v>
      </c>
      <c r="M685" s="6"/>
      <c r="N685" s="6"/>
      <c r="P685" s="5" t="s">
        <v>9795</v>
      </c>
      <c r="Q685" s="5" t="s">
        <v>9796</v>
      </c>
      <c r="R685" s="5" t="s">
        <v>9797</v>
      </c>
      <c r="S685" s="5"/>
      <c r="T685" s="5"/>
    </row>
    <row r="686" spans="1:20" x14ac:dyDescent="0.25">
      <c r="A686" s="5" t="s">
        <v>9899</v>
      </c>
      <c r="B686" s="7" t="s">
        <v>10503</v>
      </c>
      <c r="C686" s="5" t="s">
        <v>73</v>
      </c>
      <c r="D686" s="1" t="s">
        <v>10981</v>
      </c>
      <c r="F686" s="5"/>
      <c r="G686" s="7">
        <v>65</v>
      </c>
      <c r="H686" s="5" t="s">
        <v>9794</v>
      </c>
      <c r="I686" s="5" t="str">
        <f t="shared" si="10"/>
        <v>fate6851415</v>
      </c>
      <c r="J686" s="6" t="s">
        <v>9845</v>
      </c>
      <c r="K686" s="6">
        <v>14.1</v>
      </c>
      <c r="L686" s="6">
        <v>15.1</v>
      </c>
      <c r="M686" s="6"/>
      <c r="N686" s="6"/>
      <c r="P686" s="5" t="s">
        <v>9795</v>
      </c>
      <c r="Q686" s="5" t="s">
        <v>9796</v>
      </c>
      <c r="R686" s="5" t="s">
        <v>9797</v>
      </c>
      <c r="S686" s="5"/>
      <c r="T686" s="5"/>
    </row>
    <row r="687" spans="1:20" x14ac:dyDescent="0.25">
      <c r="A687" s="5" t="s">
        <v>9901</v>
      </c>
      <c r="B687" s="7" t="s">
        <v>10503</v>
      </c>
      <c r="C687" s="5" t="s">
        <v>73</v>
      </c>
      <c r="D687" s="1" t="s">
        <v>10987</v>
      </c>
      <c r="F687" s="5"/>
      <c r="G687" s="7">
        <v>65</v>
      </c>
      <c r="H687" s="5" t="s">
        <v>9794</v>
      </c>
      <c r="I687" s="5" t="str">
        <f t="shared" si="10"/>
        <v>fate6863517</v>
      </c>
      <c r="J687" s="6" t="s">
        <v>9853</v>
      </c>
      <c r="K687" s="6">
        <v>35</v>
      </c>
      <c r="L687" s="6">
        <v>17.399999999999999</v>
      </c>
      <c r="M687" s="6"/>
      <c r="N687" s="6"/>
      <c r="P687" s="5" t="s">
        <v>9795</v>
      </c>
      <c r="Q687" s="5" t="s">
        <v>9796</v>
      </c>
      <c r="R687" s="5" t="s">
        <v>9797</v>
      </c>
      <c r="S687" s="5"/>
      <c r="T687" s="5"/>
    </row>
    <row r="688" spans="1:20" x14ac:dyDescent="0.25">
      <c r="A688" s="5" t="s">
        <v>9903</v>
      </c>
      <c r="B688" s="7" t="s">
        <v>10503</v>
      </c>
      <c r="C688" s="5" t="s">
        <v>73</v>
      </c>
      <c r="D688" s="1" t="s">
        <v>10986</v>
      </c>
      <c r="F688" s="5"/>
      <c r="G688" s="7">
        <v>65</v>
      </c>
      <c r="H688" s="5" t="s">
        <v>9794</v>
      </c>
      <c r="I688" s="5" t="str">
        <f t="shared" si="10"/>
        <v>fate6872213</v>
      </c>
      <c r="J688" s="6" t="s">
        <v>9855</v>
      </c>
      <c r="K688" s="6">
        <v>22.5</v>
      </c>
      <c r="L688" s="6">
        <v>13.6</v>
      </c>
      <c r="M688" s="6"/>
      <c r="N688" s="6"/>
      <c r="P688" s="5" t="s">
        <v>9795</v>
      </c>
      <c r="Q688" s="5" t="s">
        <v>9796</v>
      </c>
      <c r="R688" s="5" t="s">
        <v>9797</v>
      </c>
      <c r="S688" s="5"/>
      <c r="T688" s="5"/>
    </row>
    <row r="689" spans="1:20" x14ac:dyDescent="0.25">
      <c r="A689" s="5" t="s">
        <v>9905</v>
      </c>
      <c r="B689" s="7" t="s">
        <v>10503</v>
      </c>
      <c r="C689" s="5" t="s">
        <v>73</v>
      </c>
      <c r="D689" s="1" t="s">
        <v>10993</v>
      </c>
      <c r="F689" s="5"/>
      <c r="G689" s="7">
        <v>66</v>
      </c>
      <c r="H689" s="5" t="s">
        <v>9794</v>
      </c>
      <c r="I689" s="5" t="str">
        <f t="shared" si="10"/>
        <v>fate6889630</v>
      </c>
      <c r="J689" s="6" t="s">
        <v>9859</v>
      </c>
      <c r="K689" s="6">
        <v>9.6</v>
      </c>
      <c r="L689" s="6">
        <v>30.3</v>
      </c>
      <c r="M689" s="6"/>
      <c r="N689" s="6"/>
      <c r="P689" s="5" t="s">
        <v>9860</v>
      </c>
      <c r="Q689" s="5" t="s">
        <v>8550</v>
      </c>
      <c r="R689" s="5" t="s">
        <v>9861</v>
      </c>
      <c r="S689" s="5"/>
      <c r="T689" s="5"/>
    </row>
    <row r="690" spans="1:20" x14ac:dyDescent="0.25">
      <c r="A690" s="5" t="s">
        <v>9907</v>
      </c>
      <c r="B690" s="7" t="s">
        <v>10503</v>
      </c>
      <c r="C690" s="5" t="s">
        <v>73</v>
      </c>
      <c r="D690" s="1" t="s">
        <v>10991</v>
      </c>
      <c r="F690" s="5"/>
      <c r="G690" s="7">
        <v>66</v>
      </c>
      <c r="H690" s="5" t="s">
        <v>9794</v>
      </c>
      <c r="I690" s="5" t="str">
        <f t="shared" si="10"/>
        <v>fate6891123</v>
      </c>
      <c r="J690" s="6" t="s">
        <v>9865</v>
      </c>
      <c r="K690" s="6">
        <v>11.9</v>
      </c>
      <c r="L690" s="6">
        <v>23</v>
      </c>
      <c r="M690" s="6"/>
      <c r="N690" s="6"/>
      <c r="P690" s="5" t="s">
        <v>9860</v>
      </c>
      <c r="Q690" s="5" t="s">
        <v>8550</v>
      </c>
      <c r="R690" s="5" t="s">
        <v>9861</v>
      </c>
      <c r="S690" s="5"/>
      <c r="T690" s="5"/>
    </row>
    <row r="691" spans="1:20" x14ac:dyDescent="0.25">
      <c r="A691" s="5" t="s">
        <v>9909</v>
      </c>
      <c r="B691" s="7" t="s">
        <v>10503</v>
      </c>
      <c r="C691" s="5" t="s">
        <v>73</v>
      </c>
      <c r="D691" s="1" t="s">
        <v>10995</v>
      </c>
      <c r="F691" s="5"/>
      <c r="G691" s="7">
        <v>66</v>
      </c>
      <c r="H691" s="5" t="s">
        <v>9794</v>
      </c>
      <c r="I691" s="5" t="str">
        <f t="shared" si="10"/>
        <v>fate6901532</v>
      </c>
      <c r="J691" s="6" t="s">
        <v>9867</v>
      </c>
      <c r="K691" s="6">
        <v>15.2</v>
      </c>
      <c r="L691" s="6">
        <v>32</v>
      </c>
      <c r="M691" s="6"/>
      <c r="N691" s="6"/>
      <c r="P691" s="5" t="s">
        <v>9860</v>
      </c>
      <c r="Q691" s="5" t="s">
        <v>8550</v>
      </c>
      <c r="R691" s="5" t="s">
        <v>9861</v>
      </c>
      <c r="S691" s="5"/>
      <c r="T691" s="5"/>
    </row>
    <row r="692" spans="1:20" x14ac:dyDescent="0.25">
      <c r="A692" s="5" t="s">
        <v>9911</v>
      </c>
      <c r="B692" s="7" t="s">
        <v>10503</v>
      </c>
      <c r="C692" s="5" t="s">
        <v>73</v>
      </c>
      <c r="D692" s="1" t="s">
        <v>10990</v>
      </c>
      <c r="F692" s="5"/>
      <c r="G692" s="7">
        <v>66</v>
      </c>
      <c r="H692" s="5" t="s">
        <v>9794</v>
      </c>
      <c r="I692" s="5" t="str">
        <f t="shared" si="10"/>
        <v>fate6911930</v>
      </c>
      <c r="J692" s="6" t="s">
        <v>9869</v>
      </c>
      <c r="K692" s="6">
        <v>19.3</v>
      </c>
      <c r="L692" s="6">
        <v>30.5</v>
      </c>
      <c r="M692" s="6"/>
      <c r="N692" s="6"/>
      <c r="P692" s="5" t="s">
        <v>9860</v>
      </c>
      <c r="Q692" s="5" t="s">
        <v>8550</v>
      </c>
      <c r="R692" s="5" t="s">
        <v>9861</v>
      </c>
      <c r="S692" s="5"/>
      <c r="T692" s="5"/>
    </row>
    <row r="693" spans="1:20" x14ac:dyDescent="0.25">
      <c r="A693" s="5" t="s">
        <v>9913</v>
      </c>
      <c r="B693" s="7" t="s">
        <v>10503</v>
      </c>
      <c r="C693" s="5" t="s">
        <v>73</v>
      </c>
      <c r="D693" s="1" t="s">
        <v>10994</v>
      </c>
      <c r="F693" s="5"/>
      <c r="G693" s="7">
        <v>66</v>
      </c>
      <c r="H693" s="5" t="s">
        <v>9794</v>
      </c>
      <c r="I693" s="5" t="str">
        <f t="shared" si="10"/>
        <v>fate6921636</v>
      </c>
      <c r="J693" s="6" t="s">
        <v>9871</v>
      </c>
      <c r="K693" s="6">
        <v>16.399999999999999</v>
      </c>
      <c r="L693" s="6">
        <v>36.799999999999997</v>
      </c>
      <c r="M693" s="6"/>
      <c r="N693" s="6"/>
      <c r="P693" s="5" t="s">
        <v>9860</v>
      </c>
      <c r="Q693" s="5" t="s">
        <v>8550</v>
      </c>
      <c r="R693" s="5" t="s">
        <v>9861</v>
      </c>
      <c r="S693" s="5"/>
      <c r="T693" s="5"/>
    </row>
    <row r="694" spans="1:20" x14ac:dyDescent="0.25">
      <c r="A694" s="5" t="s">
        <v>9915</v>
      </c>
      <c r="B694" s="7" t="s">
        <v>10503</v>
      </c>
      <c r="C694" s="5" t="s">
        <v>73</v>
      </c>
      <c r="D694" s="1" t="s">
        <v>10992</v>
      </c>
      <c r="F694" s="5"/>
      <c r="G694" s="7">
        <v>66</v>
      </c>
      <c r="H694" s="5" t="s">
        <v>9794</v>
      </c>
      <c r="I694" s="5" t="str">
        <f t="shared" si="10"/>
        <v>fate6931931</v>
      </c>
      <c r="J694" s="6" t="s">
        <v>9883</v>
      </c>
      <c r="K694" s="6">
        <v>19.7</v>
      </c>
      <c r="L694" s="6">
        <v>31.3</v>
      </c>
      <c r="M694" s="6"/>
      <c r="N694" s="6"/>
      <c r="P694" s="5" t="s">
        <v>9860</v>
      </c>
      <c r="Q694" s="5" t="s">
        <v>8550</v>
      </c>
      <c r="R694" s="5" t="s">
        <v>9861</v>
      </c>
      <c r="S694" s="5"/>
      <c r="T694" s="5"/>
    </row>
    <row r="695" spans="1:20" x14ac:dyDescent="0.25">
      <c r="A695" s="5" t="s">
        <v>9917</v>
      </c>
      <c r="B695" s="7" t="s">
        <v>8310</v>
      </c>
      <c r="C695" s="5" t="s">
        <v>73</v>
      </c>
      <c r="D695" s="5"/>
      <c r="E695" s="5">
        <v>42</v>
      </c>
      <c r="F695" s="5">
        <v>1</v>
      </c>
      <c r="G695" s="7">
        <v>65</v>
      </c>
      <c r="H695" s="5" t="s">
        <v>9794</v>
      </c>
      <c r="I695" s="5" t="str">
        <f t="shared" si="10"/>
        <v>fate6942414</v>
      </c>
      <c r="J695" s="6" t="s">
        <v>9809</v>
      </c>
      <c r="K695" s="6">
        <v>24.7</v>
      </c>
      <c r="L695" s="6">
        <v>14.8</v>
      </c>
      <c r="M695" s="6"/>
      <c r="N695" s="6"/>
      <c r="P695" s="5" t="s">
        <v>9795</v>
      </c>
      <c r="Q695" s="5" t="s">
        <v>9796</v>
      </c>
      <c r="R695" s="5" t="s">
        <v>9797</v>
      </c>
      <c r="S695" s="5"/>
      <c r="T695" s="5"/>
    </row>
    <row r="696" spans="1:20" x14ac:dyDescent="0.25">
      <c r="A696" s="5" t="s">
        <v>9921</v>
      </c>
      <c r="B696" s="7" t="s">
        <v>8450</v>
      </c>
      <c r="C696" s="5" t="s">
        <v>73</v>
      </c>
      <c r="D696" s="5"/>
      <c r="E696" s="5">
        <v>42</v>
      </c>
      <c r="F696" s="5">
        <v>2</v>
      </c>
      <c r="G696" s="7">
        <v>65</v>
      </c>
      <c r="H696" s="5" t="s">
        <v>9794</v>
      </c>
      <c r="I696" s="5" t="str">
        <f t="shared" si="10"/>
        <v>fate6952414</v>
      </c>
      <c r="J696" s="6" t="s">
        <v>9815</v>
      </c>
      <c r="K696" s="6">
        <v>24.7</v>
      </c>
      <c r="L696" s="6">
        <v>14.8</v>
      </c>
      <c r="M696" s="6"/>
      <c r="N696" s="6"/>
      <c r="P696" s="5" t="s">
        <v>9795</v>
      </c>
      <c r="Q696" s="5" t="s">
        <v>9796</v>
      </c>
      <c r="R696" s="5" t="s">
        <v>9797</v>
      </c>
      <c r="S696" s="5"/>
      <c r="T696" s="5"/>
    </row>
    <row r="697" spans="1:20" x14ac:dyDescent="0.25">
      <c r="A697" s="5" t="s">
        <v>9923</v>
      </c>
      <c r="B697" s="7" t="s">
        <v>10503</v>
      </c>
      <c r="C697" s="5" t="s">
        <v>73</v>
      </c>
      <c r="D697" s="1" t="s">
        <v>10988</v>
      </c>
      <c r="E697" s="5">
        <v>43</v>
      </c>
      <c r="F697" s="5">
        <v>1</v>
      </c>
      <c r="G697" s="7">
        <v>65</v>
      </c>
      <c r="H697" s="5" t="s">
        <v>9794</v>
      </c>
      <c r="I697" s="5" t="str">
        <f t="shared" si="10"/>
        <v>fate6963019</v>
      </c>
      <c r="J697" s="6" t="s">
        <v>9807</v>
      </c>
      <c r="K697" s="6">
        <v>30.8</v>
      </c>
      <c r="L697" s="6">
        <v>19.7</v>
      </c>
      <c r="M697" s="6"/>
      <c r="N697" s="6"/>
      <c r="P697" s="5" t="s">
        <v>9795</v>
      </c>
      <c r="Q697" s="5" t="s">
        <v>9796</v>
      </c>
      <c r="R697" s="5" t="s">
        <v>9797</v>
      </c>
      <c r="S697" s="5"/>
      <c r="T697" s="5"/>
    </row>
    <row r="698" spans="1:20" x14ac:dyDescent="0.25">
      <c r="A698" s="5" t="s">
        <v>9925</v>
      </c>
      <c r="B698" s="7" t="s">
        <v>8346</v>
      </c>
      <c r="C698" s="5" t="s">
        <v>73</v>
      </c>
      <c r="D698" s="5"/>
      <c r="E698" s="5">
        <v>43</v>
      </c>
      <c r="F698" s="5">
        <v>2</v>
      </c>
      <c r="G698" s="7">
        <v>65</v>
      </c>
      <c r="H698" s="5" t="s">
        <v>9794</v>
      </c>
      <c r="I698" s="5" t="str">
        <f t="shared" si="10"/>
        <v>fate6973019</v>
      </c>
      <c r="J698" s="6" t="s">
        <v>9829</v>
      </c>
      <c r="K698" s="6">
        <v>30.7</v>
      </c>
      <c r="L698" s="6">
        <v>19.8</v>
      </c>
      <c r="M698" s="6"/>
      <c r="N698" s="6"/>
      <c r="P698" s="5" t="s">
        <v>9795</v>
      </c>
      <c r="Q698" s="5" t="s">
        <v>9796</v>
      </c>
      <c r="R698" s="5" t="s">
        <v>9797</v>
      </c>
      <c r="S698" s="5"/>
      <c r="T698" s="5"/>
    </row>
    <row r="699" spans="1:20" x14ac:dyDescent="0.25">
      <c r="A699" s="5" t="s">
        <v>9927</v>
      </c>
      <c r="B699" s="7" t="s">
        <v>8346</v>
      </c>
      <c r="C699" s="5" t="s">
        <v>73</v>
      </c>
      <c r="D699" s="5"/>
      <c r="E699" s="5">
        <v>44</v>
      </c>
      <c r="F699" s="5">
        <v>1</v>
      </c>
      <c r="G699" s="7">
        <v>65</v>
      </c>
      <c r="H699" s="5" t="s">
        <v>9794</v>
      </c>
      <c r="I699" s="5" t="str">
        <f t="shared" si="10"/>
        <v>fate6982730</v>
      </c>
      <c r="J699" s="6" t="s">
        <v>9811</v>
      </c>
      <c r="K699" s="6">
        <v>27.8</v>
      </c>
      <c r="L699" s="6">
        <v>30.2</v>
      </c>
      <c r="M699" s="6"/>
      <c r="N699" s="6"/>
      <c r="P699" s="5" t="s">
        <v>9795</v>
      </c>
      <c r="Q699" s="5" t="s">
        <v>9796</v>
      </c>
      <c r="R699" s="5" t="s">
        <v>9797</v>
      </c>
      <c r="S699" s="5"/>
      <c r="T699" s="5"/>
    </row>
    <row r="700" spans="1:20" x14ac:dyDescent="0.25">
      <c r="A700" s="5" t="s">
        <v>9929</v>
      </c>
      <c r="B700" s="7" t="s">
        <v>8346</v>
      </c>
      <c r="C700" s="5" t="s">
        <v>73</v>
      </c>
      <c r="D700" s="5"/>
      <c r="E700" s="5">
        <v>44</v>
      </c>
      <c r="F700" s="5">
        <v>2</v>
      </c>
      <c r="G700" s="7">
        <v>65</v>
      </c>
      <c r="H700" s="5" t="s">
        <v>9794</v>
      </c>
      <c r="I700" s="5" t="str">
        <f t="shared" si="10"/>
        <v>fate6992525</v>
      </c>
      <c r="J700" s="6" t="s">
        <v>9825</v>
      </c>
      <c r="K700" s="6">
        <v>25.6</v>
      </c>
      <c r="L700" s="6">
        <v>25.3</v>
      </c>
      <c r="M700" s="6"/>
      <c r="N700" s="6"/>
      <c r="P700" s="5" t="s">
        <v>9795</v>
      </c>
      <c r="Q700" s="5" t="s">
        <v>9796</v>
      </c>
      <c r="R700" s="5" t="s">
        <v>9797</v>
      </c>
      <c r="S700" s="5"/>
      <c r="T700" s="5"/>
    </row>
    <row r="701" spans="1:20" x14ac:dyDescent="0.25">
      <c r="A701" s="5" t="s">
        <v>9931</v>
      </c>
      <c r="B701" s="7" t="s">
        <v>8424</v>
      </c>
      <c r="C701" s="5" t="s">
        <v>73</v>
      </c>
      <c r="D701" s="5"/>
      <c r="E701" s="5">
        <v>44</v>
      </c>
      <c r="F701" s="5">
        <v>3</v>
      </c>
      <c r="G701" s="7">
        <v>65</v>
      </c>
      <c r="H701" s="5" t="s">
        <v>9794</v>
      </c>
      <c r="I701" s="5" t="str">
        <f t="shared" si="10"/>
        <v>fate7002625</v>
      </c>
      <c r="J701" s="6" t="s">
        <v>9837</v>
      </c>
      <c r="K701" s="6">
        <v>26.2</v>
      </c>
      <c r="L701" s="6">
        <v>25.2</v>
      </c>
      <c r="M701" s="6"/>
      <c r="N701" s="6"/>
      <c r="P701" s="5" t="s">
        <v>9795</v>
      </c>
      <c r="Q701" s="5" t="s">
        <v>9796</v>
      </c>
      <c r="R701" s="5" t="s">
        <v>9797</v>
      </c>
      <c r="S701" s="5"/>
      <c r="T701" s="5"/>
    </row>
    <row r="702" spans="1:20" x14ac:dyDescent="0.25">
      <c r="A702" s="5" t="s">
        <v>9935</v>
      </c>
      <c r="B702" s="7" t="s">
        <v>8310</v>
      </c>
      <c r="C702" s="5" t="s">
        <v>73</v>
      </c>
      <c r="D702" s="5"/>
      <c r="E702" s="5">
        <v>44</v>
      </c>
      <c r="F702" s="5">
        <v>4</v>
      </c>
      <c r="G702" s="7">
        <v>65</v>
      </c>
      <c r="H702" s="5" t="s">
        <v>9794</v>
      </c>
      <c r="I702" s="5" t="str">
        <f t="shared" si="10"/>
        <v>fate7012626</v>
      </c>
      <c r="J702" s="6" t="s">
        <v>9849</v>
      </c>
      <c r="K702" s="6">
        <v>26.2</v>
      </c>
      <c r="L702" s="6">
        <v>26.6</v>
      </c>
      <c r="M702" s="6"/>
      <c r="N702" s="6"/>
      <c r="P702" s="5" t="s">
        <v>9795</v>
      </c>
      <c r="Q702" s="5" t="s">
        <v>9796</v>
      </c>
      <c r="R702" s="5" t="s">
        <v>9797</v>
      </c>
      <c r="S702" s="5"/>
      <c r="T702" s="5"/>
    </row>
    <row r="703" spans="1:20" x14ac:dyDescent="0.25">
      <c r="A703" s="5" t="s">
        <v>9937</v>
      </c>
      <c r="B703" s="7" t="s">
        <v>8346</v>
      </c>
      <c r="C703" s="5" t="s">
        <v>73</v>
      </c>
      <c r="D703" s="5"/>
      <c r="E703" s="5">
        <v>44</v>
      </c>
      <c r="F703" s="5">
        <v>5</v>
      </c>
      <c r="G703" s="7">
        <v>65</v>
      </c>
      <c r="H703" s="5" t="s">
        <v>9794</v>
      </c>
      <c r="I703" s="5" t="str">
        <f t="shared" si="10"/>
        <v>fate7022625</v>
      </c>
      <c r="J703" s="6" t="s">
        <v>9801</v>
      </c>
      <c r="K703" s="6">
        <v>26.5</v>
      </c>
      <c r="L703" s="6">
        <v>25.4</v>
      </c>
      <c r="M703" s="6"/>
      <c r="N703" s="6"/>
      <c r="P703" s="5" t="s">
        <v>9795</v>
      </c>
      <c r="Q703" s="5" t="s">
        <v>9796</v>
      </c>
      <c r="R703" s="5" t="s">
        <v>9797</v>
      </c>
      <c r="S703" s="5"/>
      <c r="T703" s="5"/>
    </row>
    <row r="704" spans="1:20" x14ac:dyDescent="0.25">
      <c r="A704" s="5" t="s">
        <v>9939</v>
      </c>
      <c r="B704" s="7" t="s">
        <v>8346</v>
      </c>
      <c r="C704" s="5" t="s">
        <v>73</v>
      </c>
      <c r="D704" s="5"/>
      <c r="E704" s="5">
        <v>44</v>
      </c>
      <c r="F704" s="5">
        <v>6</v>
      </c>
      <c r="G704" s="7">
        <v>65</v>
      </c>
      <c r="H704" s="5" t="s">
        <v>9794</v>
      </c>
      <c r="I704" s="5" t="str">
        <f t="shared" si="10"/>
        <v>fate7033121</v>
      </c>
      <c r="J704" s="6" t="s">
        <v>9817</v>
      </c>
      <c r="K704" s="6">
        <v>31.6</v>
      </c>
      <c r="L704" s="6">
        <v>21.5</v>
      </c>
      <c r="M704" s="6"/>
      <c r="N704" s="6"/>
      <c r="P704" s="5" t="s">
        <v>9795</v>
      </c>
      <c r="Q704" s="5" t="s">
        <v>9796</v>
      </c>
      <c r="R704" s="5" t="s">
        <v>9797</v>
      </c>
      <c r="S704" s="5"/>
      <c r="T704" s="5"/>
    </row>
    <row r="705" spans="1:20" x14ac:dyDescent="0.25">
      <c r="A705" s="5" t="s">
        <v>9941</v>
      </c>
      <c r="B705" s="7" t="s">
        <v>8346</v>
      </c>
      <c r="C705" s="5" t="s">
        <v>73</v>
      </c>
      <c r="D705" s="5"/>
      <c r="E705" s="5">
        <v>44</v>
      </c>
      <c r="F705" s="5">
        <v>7</v>
      </c>
      <c r="G705" s="7">
        <v>65</v>
      </c>
      <c r="H705" s="5" t="s">
        <v>9794</v>
      </c>
      <c r="I705" s="5" t="str">
        <f t="shared" si="10"/>
        <v>fate7043319</v>
      </c>
      <c r="J705" s="6" t="s">
        <v>9831</v>
      </c>
      <c r="K705" s="6">
        <v>33.299999999999997</v>
      </c>
      <c r="L705" s="6">
        <v>19.100000000000001</v>
      </c>
      <c r="M705" s="6"/>
      <c r="N705" s="6"/>
      <c r="P705" s="5" t="s">
        <v>9795</v>
      </c>
      <c r="Q705" s="5" t="s">
        <v>9796</v>
      </c>
      <c r="R705" s="5" t="s">
        <v>9797</v>
      </c>
      <c r="S705" s="5"/>
      <c r="T705" s="5"/>
    </row>
    <row r="706" spans="1:20" x14ac:dyDescent="0.25">
      <c r="A706" s="5" t="s">
        <v>9943</v>
      </c>
      <c r="B706" s="7" t="s">
        <v>8310</v>
      </c>
      <c r="C706" s="5" t="s">
        <v>73</v>
      </c>
      <c r="D706" s="5"/>
      <c r="E706" s="5">
        <v>44</v>
      </c>
      <c r="F706" s="5">
        <v>8</v>
      </c>
      <c r="G706" s="7">
        <v>65</v>
      </c>
      <c r="H706" s="5" t="s">
        <v>9794</v>
      </c>
      <c r="I706" s="5" t="str">
        <f t="shared" si="10"/>
        <v>fate7053419</v>
      </c>
      <c r="J706" s="6" t="s">
        <v>9843</v>
      </c>
      <c r="K706" s="6">
        <v>34.6</v>
      </c>
      <c r="L706" s="6">
        <v>19.399999999999999</v>
      </c>
      <c r="M706" s="6"/>
      <c r="N706" s="6"/>
      <c r="P706" s="5" t="s">
        <v>9795</v>
      </c>
      <c r="Q706" s="5" t="s">
        <v>9796</v>
      </c>
      <c r="R706" s="5" t="s">
        <v>9797</v>
      </c>
      <c r="S706" s="5"/>
      <c r="T706" s="5"/>
    </row>
    <row r="707" spans="1:20" x14ac:dyDescent="0.25">
      <c r="A707" s="5" t="s">
        <v>9945</v>
      </c>
      <c r="B707" s="7" t="s">
        <v>8346</v>
      </c>
      <c r="C707" s="5" t="s">
        <v>73</v>
      </c>
      <c r="D707" s="5"/>
      <c r="E707" s="5">
        <v>44</v>
      </c>
      <c r="F707" s="5">
        <v>9</v>
      </c>
      <c r="G707" s="7">
        <v>65</v>
      </c>
      <c r="H707" s="5" t="s">
        <v>9794</v>
      </c>
      <c r="I707" s="5" t="str">
        <f t="shared" si="10"/>
        <v>fate7063319</v>
      </c>
      <c r="J707" s="6" t="s">
        <v>9857</v>
      </c>
      <c r="K707" s="6">
        <v>33</v>
      </c>
      <c r="L707" s="6">
        <v>19.2</v>
      </c>
      <c r="M707" s="6"/>
      <c r="N707" s="6"/>
      <c r="P707" s="5" t="s">
        <v>9795</v>
      </c>
      <c r="Q707" s="5" t="s">
        <v>9796</v>
      </c>
      <c r="R707" s="5" t="s">
        <v>9797</v>
      </c>
      <c r="S707" s="5"/>
      <c r="T707" s="5"/>
    </row>
    <row r="708" spans="1:20" x14ac:dyDescent="0.25">
      <c r="A708" s="5" t="s">
        <v>9947</v>
      </c>
      <c r="B708" s="7" t="s">
        <v>8346</v>
      </c>
      <c r="C708" s="5" t="s">
        <v>73</v>
      </c>
      <c r="D708" s="5"/>
      <c r="E708" s="5">
        <v>44</v>
      </c>
      <c r="F708" s="5">
        <v>10</v>
      </c>
      <c r="G708" s="7">
        <v>65</v>
      </c>
      <c r="H708" s="5" t="s">
        <v>9794</v>
      </c>
      <c r="I708" s="5" t="str">
        <f t="shared" ref="I708:I771" si="11">A708&amp;LEFT(SUBSTITUTE(K708,".",""),2)&amp;LEFT(SUBSTITUTE(L708,".",""),2)</f>
        <v>fate7072218</v>
      </c>
      <c r="J708" s="6" t="s">
        <v>9823</v>
      </c>
      <c r="K708" s="6">
        <v>22.1</v>
      </c>
      <c r="L708" s="6">
        <v>18.7</v>
      </c>
      <c r="M708" s="6"/>
      <c r="N708" s="6"/>
      <c r="P708" s="5" t="s">
        <v>9795</v>
      </c>
      <c r="Q708" s="5" t="s">
        <v>9796</v>
      </c>
      <c r="R708" s="5" t="s">
        <v>9797</v>
      </c>
      <c r="S708" s="5"/>
      <c r="T708" s="5"/>
    </row>
    <row r="709" spans="1:20" x14ac:dyDescent="0.25">
      <c r="A709" s="5" t="s">
        <v>9949</v>
      </c>
      <c r="B709" s="7" t="s">
        <v>8346</v>
      </c>
      <c r="C709" s="5" t="s">
        <v>73</v>
      </c>
      <c r="D709" s="5"/>
      <c r="E709" s="5">
        <v>44</v>
      </c>
      <c r="F709" s="5">
        <v>11</v>
      </c>
      <c r="G709" s="7">
        <v>65</v>
      </c>
      <c r="H709" s="5" t="s">
        <v>9794</v>
      </c>
      <c r="I709" s="5" t="str">
        <f t="shared" si="11"/>
        <v>fate7081117</v>
      </c>
      <c r="J709" s="6" t="s">
        <v>9835</v>
      </c>
      <c r="K709" s="6">
        <v>11.3</v>
      </c>
      <c r="L709" s="6">
        <v>17</v>
      </c>
      <c r="M709" s="6"/>
      <c r="N709" s="6"/>
      <c r="P709" s="5" t="s">
        <v>9795</v>
      </c>
      <c r="Q709" s="5" t="s">
        <v>9796</v>
      </c>
      <c r="R709" s="5" t="s">
        <v>9797</v>
      </c>
      <c r="S709" s="5"/>
      <c r="T709" s="5"/>
    </row>
    <row r="710" spans="1:20" x14ac:dyDescent="0.25">
      <c r="A710" s="5" t="s">
        <v>9952</v>
      </c>
      <c r="B710" s="7" t="s">
        <v>8346</v>
      </c>
      <c r="C710" s="5" t="s">
        <v>73</v>
      </c>
      <c r="D710" s="5"/>
      <c r="E710" s="5">
        <v>44</v>
      </c>
      <c r="F710" s="5">
        <v>12</v>
      </c>
      <c r="G710" s="7">
        <v>65</v>
      </c>
      <c r="H710" s="5" t="s">
        <v>9794</v>
      </c>
      <c r="I710" s="5" t="str">
        <f t="shared" si="11"/>
        <v>fate7091117</v>
      </c>
      <c r="J710" s="6" t="s">
        <v>9847</v>
      </c>
      <c r="K710" s="6">
        <v>11.3</v>
      </c>
      <c r="L710" s="6">
        <v>17</v>
      </c>
      <c r="M710" s="6"/>
      <c r="N710" s="6"/>
      <c r="P710" s="5" t="s">
        <v>9795</v>
      </c>
      <c r="Q710" s="5" t="s">
        <v>9796</v>
      </c>
      <c r="R710" s="5" t="s">
        <v>9797</v>
      </c>
      <c r="S710" s="5"/>
      <c r="T710" s="5"/>
    </row>
    <row r="711" spans="1:20" x14ac:dyDescent="0.25">
      <c r="A711" s="5" t="s">
        <v>9954</v>
      </c>
      <c r="B711" s="7" t="s">
        <v>8346</v>
      </c>
      <c r="C711" s="5" t="s">
        <v>73</v>
      </c>
      <c r="D711" s="5"/>
      <c r="E711" s="5">
        <v>44</v>
      </c>
      <c r="F711" s="5">
        <v>13</v>
      </c>
      <c r="G711" s="7">
        <v>65</v>
      </c>
      <c r="H711" s="5" t="s">
        <v>9794</v>
      </c>
      <c r="I711" s="5" t="str">
        <f t="shared" si="11"/>
        <v>fate7101117</v>
      </c>
      <c r="J711" s="6" t="s">
        <v>9799</v>
      </c>
      <c r="K711" s="6">
        <v>11.3</v>
      </c>
      <c r="L711" s="6">
        <v>17</v>
      </c>
      <c r="M711" s="6"/>
      <c r="N711" s="6"/>
      <c r="P711" s="5" t="s">
        <v>9795</v>
      </c>
      <c r="Q711" s="5" t="s">
        <v>9796</v>
      </c>
      <c r="R711" s="5" t="s">
        <v>9797</v>
      </c>
      <c r="S711" s="5"/>
      <c r="T711" s="5"/>
    </row>
    <row r="712" spans="1:20" x14ac:dyDescent="0.25">
      <c r="A712" s="5" t="s">
        <v>9956</v>
      </c>
      <c r="B712" s="7" t="s">
        <v>8310</v>
      </c>
      <c r="C712" s="5" t="s">
        <v>102</v>
      </c>
      <c r="D712" s="5"/>
      <c r="F712" s="5"/>
      <c r="G712" s="7">
        <v>71</v>
      </c>
      <c r="H712" s="5" t="s">
        <v>9886</v>
      </c>
      <c r="I712" s="5" t="str">
        <f t="shared" si="11"/>
        <v>fate7111813</v>
      </c>
      <c r="J712" s="6" t="s">
        <v>9904</v>
      </c>
      <c r="K712" s="6">
        <v>18.2</v>
      </c>
      <c r="L712" s="6">
        <v>13.6</v>
      </c>
      <c r="M712" s="6"/>
      <c r="N712" s="6"/>
      <c r="P712" s="5" t="s">
        <v>9887</v>
      </c>
      <c r="Q712" s="5" t="s">
        <v>9888</v>
      </c>
      <c r="R712" s="5"/>
      <c r="S712" s="5" t="s">
        <v>8330</v>
      </c>
      <c r="T712" s="5"/>
    </row>
    <row r="713" spans="1:20" x14ac:dyDescent="0.25">
      <c r="A713" s="5" t="s">
        <v>9958</v>
      </c>
      <c r="B713" s="7" t="s">
        <v>8310</v>
      </c>
      <c r="C713" s="5" t="s">
        <v>102</v>
      </c>
      <c r="D713" s="5"/>
      <c r="F713" s="5"/>
      <c r="G713" s="7">
        <v>71</v>
      </c>
      <c r="H713" s="5" t="s">
        <v>9886</v>
      </c>
      <c r="I713" s="5" t="str">
        <f t="shared" si="11"/>
        <v>fate7121921</v>
      </c>
      <c r="J713" s="6" t="s">
        <v>9908</v>
      </c>
      <c r="K713" s="6">
        <v>19.399999999999999</v>
      </c>
      <c r="L713" s="6">
        <v>21.5</v>
      </c>
      <c r="M713" s="6"/>
      <c r="N713" s="6"/>
      <c r="P713" s="5" t="s">
        <v>9887</v>
      </c>
      <c r="Q713" s="5" t="s">
        <v>9888</v>
      </c>
      <c r="R713" s="5"/>
      <c r="S713" s="5" t="s">
        <v>8330</v>
      </c>
      <c r="T713" s="5"/>
    </row>
    <row r="714" spans="1:20" x14ac:dyDescent="0.25">
      <c r="A714" s="5" t="s">
        <v>9960</v>
      </c>
      <c r="B714" s="7" t="s">
        <v>8310</v>
      </c>
      <c r="C714" s="5" t="s">
        <v>102</v>
      </c>
      <c r="D714" s="5"/>
      <c r="F714" s="5"/>
      <c r="G714" s="7">
        <v>71</v>
      </c>
      <c r="H714" s="5" t="s">
        <v>9886</v>
      </c>
      <c r="I714" s="5" t="str">
        <f t="shared" si="11"/>
        <v>fate7133217</v>
      </c>
      <c r="J714" s="6" t="s">
        <v>9914</v>
      </c>
      <c r="K714" s="6">
        <v>32.6</v>
      </c>
      <c r="L714" s="6">
        <v>17.600000000000001</v>
      </c>
      <c r="M714" s="6"/>
      <c r="N714" s="6"/>
      <c r="P714" s="5" t="s">
        <v>9887</v>
      </c>
      <c r="Q714" s="5" t="s">
        <v>9888</v>
      </c>
      <c r="R714" s="5"/>
      <c r="S714" s="5" t="s">
        <v>8330</v>
      </c>
      <c r="T714" s="5"/>
    </row>
    <row r="715" spans="1:20" x14ac:dyDescent="0.25">
      <c r="A715" s="5" t="s">
        <v>9962</v>
      </c>
      <c r="B715" s="7" t="s">
        <v>8346</v>
      </c>
      <c r="C715" s="5" t="s">
        <v>102</v>
      </c>
      <c r="D715" s="5"/>
      <c r="F715" s="5"/>
      <c r="G715" s="7">
        <v>71</v>
      </c>
      <c r="H715" s="5" t="s">
        <v>9886</v>
      </c>
      <c r="I715" s="5" t="str">
        <f t="shared" si="11"/>
        <v>fate7142923</v>
      </c>
      <c r="J715" s="6" t="s">
        <v>9896</v>
      </c>
      <c r="K715" s="6">
        <v>29.1</v>
      </c>
      <c r="L715" s="6">
        <v>23.2</v>
      </c>
      <c r="M715" s="6"/>
      <c r="N715" s="6"/>
      <c r="P715" s="5" t="s">
        <v>9887</v>
      </c>
      <c r="Q715" s="5" t="s">
        <v>9888</v>
      </c>
      <c r="R715" s="5"/>
      <c r="S715" s="5" t="s">
        <v>8330</v>
      </c>
      <c r="T715" s="5"/>
    </row>
    <row r="716" spans="1:20" x14ac:dyDescent="0.25">
      <c r="A716" s="5" t="s">
        <v>9964</v>
      </c>
      <c r="B716" s="7" t="s">
        <v>10503</v>
      </c>
      <c r="C716" s="5" t="s">
        <v>102</v>
      </c>
      <c r="D716" s="1" t="s">
        <v>10999</v>
      </c>
      <c r="F716" s="5"/>
      <c r="G716" s="7">
        <v>71</v>
      </c>
      <c r="H716" s="5" t="s">
        <v>9886</v>
      </c>
      <c r="I716" s="5" t="str">
        <f t="shared" si="11"/>
        <v>fate7153498</v>
      </c>
      <c r="J716" s="6" t="s">
        <v>9890</v>
      </c>
      <c r="K716" s="6">
        <v>34.700000000000003</v>
      </c>
      <c r="L716" s="6">
        <v>9.8000000000000007</v>
      </c>
      <c r="M716" s="6"/>
      <c r="N716" s="6"/>
      <c r="P716" s="5" t="s">
        <v>9887</v>
      </c>
      <c r="Q716" s="5" t="s">
        <v>9888</v>
      </c>
      <c r="R716" s="5"/>
      <c r="S716" s="5" t="s">
        <v>8330</v>
      </c>
      <c r="T716" s="5"/>
    </row>
    <row r="717" spans="1:20" x14ac:dyDescent="0.25">
      <c r="A717" s="5" t="s">
        <v>9966</v>
      </c>
      <c r="B717" s="7" t="s">
        <v>10503</v>
      </c>
      <c r="C717" s="5" t="s">
        <v>102</v>
      </c>
      <c r="D717" s="1" t="s">
        <v>10996</v>
      </c>
      <c r="F717" s="5"/>
      <c r="G717" s="7">
        <v>71</v>
      </c>
      <c r="H717" s="5" t="s">
        <v>9886</v>
      </c>
      <c r="I717" s="5" t="str">
        <f t="shared" si="11"/>
        <v>fate7161418</v>
      </c>
      <c r="J717" s="6" t="s">
        <v>9900</v>
      </c>
      <c r="K717" s="6">
        <v>14.6</v>
      </c>
      <c r="L717" s="6">
        <v>18.5</v>
      </c>
      <c r="M717" s="6"/>
      <c r="N717" s="6"/>
      <c r="P717" s="5" t="s">
        <v>9887</v>
      </c>
      <c r="Q717" s="5" t="s">
        <v>9888</v>
      </c>
      <c r="R717" s="5"/>
      <c r="S717" s="5" t="s">
        <v>8330</v>
      </c>
      <c r="T717" s="5"/>
    </row>
    <row r="718" spans="1:20" x14ac:dyDescent="0.25">
      <c r="A718" s="5" t="s">
        <v>9970</v>
      </c>
      <c r="B718" s="7" t="s">
        <v>8346</v>
      </c>
      <c r="C718" s="5" t="s">
        <v>102</v>
      </c>
      <c r="D718" s="5"/>
      <c r="E718" s="5">
        <v>45</v>
      </c>
      <c r="F718" s="5">
        <v>1</v>
      </c>
      <c r="G718" s="7">
        <v>71</v>
      </c>
      <c r="H718" s="5" t="s">
        <v>9886</v>
      </c>
      <c r="I718" s="5" t="str">
        <f t="shared" si="11"/>
        <v>fate7172028</v>
      </c>
      <c r="J718" s="6" t="s">
        <v>9902</v>
      </c>
      <c r="K718" s="6">
        <v>20.6</v>
      </c>
      <c r="L718" s="6">
        <v>28.1</v>
      </c>
      <c r="M718" s="6"/>
      <c r="N718" s="6"/>
      <c r="P718" s="5" t="s">
        <v>9887</v>
      </c>
      <c r="Q718" s="5" t="s">
        <v>9888</v>
      </c>
      <c r="R718" s="5"/>
      <c r="S718" s="5" t="s">
        <v>8330</v>
      </c>
      <c r="T718" s="5"/>
    </row>
    <row r="719" spans="1:20" x14ac:dyDescent="0.25">
      <c r="A719" s="5" t="s">
        <v>9972</v>
      </c>
      <c r="B719" s="7" t="s">
        <v>10503</v>
      </c>
      <c r="C719" s="5" t="s">
        <v>102</v>
      </c>
      <c r="D719" s="1" t="s">
        <v>10998</v>
      </c>
      <c r="E719" s="5">
        <v>45</v>
      </c>
      <c r="F719" s="5">
        <v>2</v>
      </c>
      <c r="G719" s="7">
        <v>71</v>
      </c>
      <c r="H719" s="5" t="s">
        <v>9886</v>
      </c>
      <c r="I719" s="5" t="str">
        <f t="shared" si="11"/>
        <v>fate7182028</v>
      </c>
      <c r="J719" s="6" t="s">
        <v>9892</v>
      </c>
      <c r="K719" s="6">
        <v>20.6</v>
      </c>
      <c r="L719" s="6">
        <v>28.1</v>
      </c>
      <c r="M719" s="6"/>
      <c r="N719" s="6"/>
      <c r="P719" s="5" t="s">
        <v>9887</v>
      </c>
      <c r="Q719" s="5" t="s">
        <v>9888</v>
      </c>
      <c r="R719" s="5"/>
      <c r="S719" s="5" t="s">
        <v>8330</v>
      </c>
      <c r="T719" s="5"/>
    </row>
    <row r="720" spans="1:20" x14ac:dyDescent="0.25">
      <c r="A720" s="5" t="s">
        <v>9974</v>
      </c>
      <c r="B720" s="7" t="s">
        <v>8346</v>
      </c>
      <c r="C720" s="5" t="s">
        <v>102</v>
      </c>
      <c r="D720" s="5"/>
      <c r="E720" s="5">
        <v>46</v>
      </c>
      <c r="F720" s="5">
        <v>1</v>
      </c>
      <c r="G720" s="7">
        <v>71</v>
      </c>
      <c r="H720" s="5" t="s">
        <v>9886</v>
      </c>
      <c r="I720" s="5" t="str">
        <f t="shared" si="11"/>
        <v>fate7192426</v>
      </c>
      <c r="J720" s="6" t="s">
        <v>9906</v>
      </c>
      <c r="K720" s="6">
        <v>24.1</v>
      </c>
      <c r="L720" s="6">
        <v>26.2</v>
      </c>
      <c r="M720" s="6"/>
      <c r="N720" s="6"/>
      <c r="P720" s="5" t="s">
        <v>9887</v>
      </c>
      <c r="Q720" s="5" t="s">
        <v>9888</v>
      </c>
      <c r="R720" s="5"/>
      <c r="S720" s="5" t="s">
        <v>8330</v>
      </c>
      <c r="T720" s="5"/>
    </row>
    <row r="721" spans="1:20" x14ac:dyDescent="0.25">
      <c r="A721" s="5" t="s">
        <v>9976</v>
      </c>
      <c r="B721" s="7" t="s">
        <v>8424</v>
      </c>
      <c r="C721" s="5" t="s">
        <v>102</v>
      </c>
      <c r="D721" s="5"/>
      <c r="E721" s="5">
        <v>46</v>
      </c>
      <c r="F721" s="5">
        <v>1</v>
      </c>
      <c r="G721" s="7">
        <v>71</v>
      </c>
      <c r="H721" s="5" t="s">
        <v>9886</v>
      </c>
      <c r="I721" s="5" t="str">
        <f t="shared" si="11"/>
        <v>fate7202124</v>
      </c>
      <c r="J721" s="6" t="s">
        <v>9916</v>
      </c>
      <c r="K721" s="6">
        <v>21.8</v>
      </c>
      <c r="L721" s="6">
        <v>24.1</v>
      </c>
      <c r="M721" s="6"/>
      <c r="N721" s="6"/>
      <c r="P721" s="5" t="s">
        <v>9887</v>
      </c>
      <c r="Q721" s="5" t="s">
        <v>9888</v>
      </c>
      <c r="R721" s="5"/>
      <c r="S721" s="5" t="s">
        <v>8330</v>
      </c>
      <c r="T721" s="5"/>
    </row>
    <row r="722" spans="1:20" x14ac:dyDescent="0.25">
      <c r="A722" s="5" t="s">
        <v>9978</v>
      </c>
      <c r="B722" s="7" t="s">
        <v>8310</v>
      </c>
      <c r="C722" s="5" t="s">
        <v>102</v>
      </c>
      <c r="D722" s="5"/>
      <c r="E722" s="5">
        <v>46</v>
      </c>
      <c r="F722" s="5">
        <v>2</v>
      </c>
      <c r="G722" s="7">
        <v>71</v>
      </c>
      <c r="H722" s="5" t="s">
        <v>9886</v>
      </c>
      <c r="I722" s="5" t="str">
        <f t="shared" si="11"/>
        <v>fate7211022</v>
      </c>
      <c r="J722" s="6" t="s">
        <v>9898</v>
      </c>
      <c r="K722" s="6">
        <v>10.3</v>
      </c>
      <c r="L722" s="6">
        <v>22.1</v>
      </c>
      <c r="M722" s="6"/>
      <c r="N722" s="6"/>
      <c r="P722" s="5" t="s">
        <v>9887</v>
      </c>
      <c r="Q722" s="5" t="s">
        <v>9888</v>
      </c>
      <c r="R722" s="5"/>
      <c r="S722" s="5" t="s">
        <v>8330</v>
      </c>
      <c r="T722" s="5"/>
    </row>
    <row r="723" spans="1:20" x14ac:dyDescent="0.25">
      <c r="A723" s="5" t="s">
        <v>9980</v>
      </c>
      <c r="B723" s="7" t="s">
        <v>8310</v>
      </c>
      <c r="C723" s="5" t="s">
        <v>102</v>
      </c>
      <c r="D723" s="5"/>
      <c r="E723" s="5">
        <v>46</v>
      </c>
      <c r="F723" s="5">
        <v>2</v>
      </c>
      <c r="G723" s="7">
        <v>71</v>
      </c>
      <c r="H723" s="5" t="s">
        <v>9886</v>
      </c>
      <c r="I723" s="5" t="str">
        <f t="shared" si="11"/>
        <v>fate7228698</v>
      </c>
      <c r="J723" s="6" t="s">
        <v>9910</v>
      </c>
      <c r="K723" s="6">
        <v>8.6</v>
      </c>
      <c r="L723" s="6">
        <v>9.8000000000000007</v>
      </c>
      <c r="M723" s="6"/>
      <c r="N723" s="6"/>
      <c r="P723" s="5" t="s">
        <v>9887</v>
      </c>
      <c r="Q723" s="5" t="s">
        <v>9888</v>
      </c>
      <c r="R723" s="5"/>
      <c r="S723" s="5" t="s">
        <v>8330</v>
      </c>
      <c r="T723" s="5"/>
    </row>
    <row r="724" spans="1:20" x14ac:dyDescent="0.25">
      <c r="A724" s="5" t="s">
        <v>9982</v>
      </c>
      <c r="B724" s="7" t="s">
        <v>8346</v>
      </c>
      <c r="C724" s="5" t="s">
        <v>102</v>
      </c>
      <c r="D724" s="5"/>
      <c r="E724" s="5">
        <v>46</v>
      </c>
      <c r="F724" s="5">
        <v>3</v>
      </c>
      <c r="G724" s="7">
        <v>71</v>
      </c>
      <c r="H724" s="5" t="s">
        <v>9886</v>
      </c>
      <c r="I724" s="5" t="str">
        <f t="shared" si="11"/>
        <v>fate7232512</v>
      </c>
      <c r="J724" s="6" t="s">
        <v>9912</v>
      </c>
      <c r="K724" s="6">
        <v>25.6</v>
      </c>
      <c r="L724" s="6">
        <v>12.8</v>
      </c>
      <c r="M724" s="6"/>
      <c r="N724" s="6"/>
      <c r="O724" s="5" t="s">
        <v>10997</v>
      </c>
      <c r="P724" s="5" t="s">
        <v>9887</v>
      </c>
      <c r="Q724" s="5" t="s">
        <v>9888</v>
      </c>
      <c r="R724" s="5"/>
      <c r="S724" s="5" t="s">
        <v>8330</v>
      </c>
      <c r="T724" s="5"/>
    </row>
    <row r="725" spans="1:20" x14ac:dyDescent="0.25">
      <c r="A725" s="5" t="s">
        <v>9986</v>
      </c>
      <c r="B725" s="7" t="s">
        <v>8310</v>
      </c>
      <c r="C725" s="5" t="s">
        <v>102</v>
      </c>
      <c r="D725" s="5"/>
      <c r="E725" s="5">
        <v>46</v>
      </c>
      <c r="F725" s="5">
        <v>4</v>
      </c>
      <c r="G725" s="7">
        <v>71</v>
      </c>
      <c r="H725" s="5" t="s">
        <v>9886</v>
      </c>
      <c r="I725" s="5" t="str">
        <f t="shared" si="11"/>
        <v>fate7241712</v>
      </c>
      <c r="J725" s="6" t="s">
        <v>9885</v>
      </c>
      <c r="K725" s="6">
        <v>17.600000000000001</v>
      </c>
      <c r="L725" s="6">
        <v>12</v>
      </c>
      <c r="M725" s="6"/>
      <c r="N725" s="6"/>
      <c r="P725" s="5" t="s">
        <v>9887</v>
      </c>
      <c r="Q725" s="5" t="s">
        <v>9888</v>
      </c>
      <c r="R725" s="5"/>
      <c r="S725" s="5" t="s">
        <v>8330</v>
      </c>
      <c r="T725" s="5"/>
    </row>
    <row r="726" spans="1:20" x14ac:dyDescent="0.25">
      <c r="A726" s="5" t="s">
        <v>9988</v>
      </c>
      <c r="B726" s="7" t="s">
        <v>8310</v>
      </c>
      <c r="C726" s="5" t="s">
        <v>102</v>
      </c>
      <c r="D726" s="5"/>
      <c r="E726" s="5">
        <v>46</v>
      </c>
      <c r="F726" s="5">
        <v>5</v>
      </c>
      <c r="G726" s="7">
        <v>71</v>
      </c>
      <c r="H726" s="5" t="s">
        <v>9886</v>
      </c>
      <c r="I726" s="5" t="str">
        <f t="shared" si="11"/>
        <v>fate7251712</v>
      </c>
      <c r="J726" s="6" t="s">
        <v>9894</v>
      </c>
      <c r="K726" s="6">
        <v>17.600000000000001</v>
      </c>
      <c r="L726" s="6">
        <v>12</v>
      </c>
      <c r="M726" s="6"/>
      <c r="N726" s="6"/>
      <c r="P726" s="5" t="s">
        <v>9887</v>
      </c>
      <c r="Q726" s="5" t="s">
        <v>9888</v>
      </c>
      <c r="R726" s="5"/>
      <c r="S726" s="5" t="s">
        <v>8330</v>
      </c>
      <c r="T726" s="5"/>
    </row>
    <row r="727" spans="1:20" x14ac:dyDescent="0.25">
      <c r="A727" s="5" t="s">
        <v>9993</v>
      </c>
      <c r="B727" s="7" t="s">
        <v>8310</v>
      </c>
      <c r="C727" s="5" t="s">
        <v>102</v>
      </c>
      <c r="D727" s="5"/>
      <c r="F727" s="5"/>
      <c r="G727" s="7">
        <v>70</v>
      </c>
      <c r="H727" s="5" t="s">
        <v>9919</v>
      </c>
      <c r="I727" s="5" t="str">
        <f t="shared" si="11"/>
        <v>fate7262527</v>
      </c>
      <c r="J727" s="6" t="s">
        <v>9918</v>
      </c>
      <c r="K727" s="6">
        <v>25</v>
      </c>
      <c r="L727" s="6">
        <v>27.1</v>
      </c>
      <c r="M727" s="6"/>
      <c r="N727" s="6"/>
      <c r="P727" s="5" t="s">
        <v>9920</v>
      </c>
      <c r="Q727" s="5" t="s">
        <v>9654</v>
      </c>
      <c r="R727" s="5"/>
      <c r="S727" s="5" t="s">
        <v>8330</v>
      </c>
      <c r="T727" s="5"/>
    </row>
    <row r="728" spans="1:20" x14ac:dyDescent="0.25">
      <c r="A728" s="5" t="s">
        <v>9995</v>
      </c>
      <c r="B728" s="7" t="s">
        <v>8310</v>
      </c>
      <c r="C728" s="5" t="s">
        <v>102</v>
      </c>
      <c r="D728" s="5"/>
      <c r="F728" s="5"/>
      <c r="G728" s="7">
        <v>70</v>
      </c>
      <c r="H728" s="5" t="s">
        <v>9919</v>
      </c>
      <c r="I728" s="5" t="str">
        <f t="shared" si="11"/>
        <v>fate7271227</v>
      </c>
      <c r="J728" s="6" t="s">
        <v>9922</v>
      </c>
      <c r="K728" s="6">
        <v>12.6</v>
      </c>
      <c r="L728" s="6">
        <v>27.3</v>
      </c>
      <c r="M728" s="6"/>
      <c r="N728" s="6"/>
      <c r="P728" s="5" t="s">
        <v>9920</v>
      </c>
      <c r="Q728" s="5" t="s">
        <v>9654</v>
      </c>
      <c r="R728" s="5"/>
      <c r="S728" s="5" t="s">
        <v>8330</v>
      </c>
      <c r="T728" s="5"/>
    </row>
    <row r="729" spans="1:20" x14ac:dyDescent="0.25">
      <c r="A729" s="5" t="s">
        <v>9997</v>
      </c>
      <c r="B729" s="7" t="s">
        <v>8310</v>
      </c>
      <c r="C729" s="5" t="s">
        <v>102</v>
      </c>
      <c r="D729" s="5"/>
      <c r="F729" s="5"/>
      <c r="G729" s="7">
        <v>70</v>
      </c>
      <c r="H729" s="5" t="s">
        <v>9919</v>
      </c>
      <c r="I729" s="5" t="str">
        <f t="shared" si="11"/>
        <v>fate7283133</v>
      </c>
      <c r="J729" s="6" t="s">
        <v>9926</v>
      </c>
      <c r="K729" s="6">
        <v>31.3</v>
      </c>
      <c r="L729" s="6">
        <v>33.299999999999997</v>
      </c>
      <c r="M729" s="6"/>
      <c r="N729" s="6"/>
      <c r="P729" s="5" t="s">
        <v>9920</v>
      </c>
      <c r="Q729" s="5" t="s">
        <v>9654</v>
      </c>
      <c r="R729" s="5"/>
      <c r="S729" s="5" t="s">
        <v>8330</v>
      </c>
      <c r="T729" s="5"/>
    </row>
    <row r="730" spans="1:20" x14ac:dyDescent="0.25">
      <c r="A730" s="5" t="s">
        <v>9999</v>
      </c>
      <c r="B730" s="7" t="s">
        <v>8310</v>
      </c>
      <c r="C730" s="5" t="s">
        <v>102</v>
      </c>
      <c r="D730" s="5"/>
      <c r="F730" s="5"/>
      <c r="G730" s="7">
        <v>70</v>
      </c>
      <c r="H730" s="5" t="s">
        <v>9919</v>
      </c>
      <c r="I730" s="5" t="str">
        <f t="shared" si="11"/>
        <v>fate7293124</v>
      </c>
      <c r="J730" s="6" t="s">
        <v>9928</v>
      </c>
      <c r="K730" s="6">
        <v>31.8</v>
      </c>
      <c r="L730" s="6">
        <v>24.8</v>
      </c>
      <c r="M730" s="6"/>
      <c r="N730" s="6"/>
      <c r="P730" s="5" t="s">
        <v>9920</v>
      </c>
      <c r="Q730" s="5" t="s">
        <v>9654</v>
      </c>
      <c r="R730" s="5"/>
      <c r="S730" s="5" t="s">
        <v>8330</v>
      </c>
      <c r="T730" s="5"/>
    </row>
    <row r="731" spans="1:20" x14ac:dyDescent="0.25">
      <c r="A731" s="5" t="s">
        <v>10001</v>
      </c>
      <c r="B731" s="7" t="s">
        <v>8310</v>
      </c>
      <c r="C731" s="5" t="s">
        <v>102</v>
      </c>
      <c r="D731" s="5"/>
      <c r="F731" s="5"/>
      <c r="G731" s="7">
        <v>70</v>
      </c>
      <c r="H731" s="5" t="s">
        <v>9919</v>
      </c>
      <c r="I731" s="5" t="str">
        <f t="shared" si="11"/>
        <v>fate7308630</v>
      </c>
      <c r="J731" s="6" t="s">
        <v>9930</v>
      </c>
      <c r="K731" s="6">
        <v>8.6</v>
      </c>
      <c r="L731" s="6">
        <v>30.3</v>
      </c>
      <c r="M731" s="6"/>
      <c r="N731" s="6"/>
      <c r="P731" s="5" t="s">
        <v>9920</v>
      </c>
      <c r="Q731" s="5" t="s">
        <v>9654</v>
      </c>
      <c r="R731" s="5"/>
      <c r="S731" s="5" t="s">
        <v>8330</v>
      </c>
      <c r="T731" s="5"/>
    </row>
    <row r="732" spans="1:20" x14ac:dyDescent="0.25">
      <c r="A732" s="5" t="s">
        <v>10003</v>
      </c>
      <c r="B732" s="7" t="s">
        <v>8310</v>
      </c>
      <c r="C732" s="5" t="s">
        <v>102</v>
      </c>
      <c r="D732" s="5"/>
      <c r="F732" s="5"/>
      <c r="G732" s="7">
        <v>78</v>
      </c>
      <c r="H732" s="5" t="s">
        <v>9919</v>
      </c>
      <c r="I732" s="5" t="str">
        <f t="shared" si="11"/>
        <v>fate731239</v>
      </c>
      <c r="J732" s="6" t="s">
        <v>9944</v>
      </c>
      <c r="K732" s="6">
        <v>23.3</v>
      </c>
      <c r="L732" s="6">
        <v>9</v>
      </c>
      <c r="M732" s="6"/>
      <c r="N732" s="6"/>
      <c r="P732" s="5" t="s">
        <v>9933</v>
      </c>
      <c r="Q732" s="5" t="s">
        <v>9934</v>
      </c>
      <c r="R732" s="5"/>
      <c r="S732" s="5" t="s">
        <v>8330</v>
      </c>
      <c r="T732" s="5"/>
    </row>
    <row r="733" spans="1:20" x14ac:dyDescent="0.25">
      <c r="A733" s="5" t="s">
        <v>10005</v>
      </c>
      <c r="B733" s="7" t="s">
        <v>8310</v>
      </c>
      <c r="C733" s="5" t="s">
        <v>102</v>
      </c>
      <c r="D733" s="5"/>
      <c r="F733" s="5"/>
      <c r="G733" s="7">
        <v>78</v>
      </c>
      <c r="H733" s="5" t="s">
        <v>9919</v>
      </c>
      <c r="I733" s="5" t="str">
        <f t="shared" si="11"/>
        <v>fate7321510</v>
      </c>
      <c r="J733" s="6" t="s">
        <v>9948</v>
      </c>
      <c r="K733" s="6">
        <v>15.5</v>
      </c>
      <c r="L733" s="6">
        <v>10</v>
      </c>
      <c r="M733" s="6"/>
      <c r="N733" s="6"/>
      <c r="P733" s="5" t="s">
        <v>9933</v>
      </c>
      <c r="Q733" s="5" t="s">
        <v>9934</v>
      </c>
      <c r="R733" s="5"/>
      <c r="S733" s="5" t="s">
        <v>8330</v>
      </c>
      <c r="T733" s="5"/>
    </row>
    <row r="734" spans="1:20" x14ac:dyDescent="0.25">
      <c r="A734" s="5" t="s">
        <v>10007</v>
      </c>
      <c r="B734" s="7" t="s">
        <v>8346</v>
      </c>
      <c r="C734" s="5" t="s">
        <v>102</v>
      </c>
      <c r="D734" s="5"/>
      <c r="F734" s="5"/>
      <c r="G734" s="7">
        <v>70</v>
      </c>
      <c r="H734" s="5" t="s">
        <v>9919</v>
      </c>
      <c r="I734" s="5" t="str">
        <f t="shared" si="11"/>
        <v>fate7331830</v>
      </c>
      <c r="J734" s="6" t="s">
        <v>9924</v>
      </c>
      <c r="K734" s="6">
        <v>18.100000000000001</v>
      </c>
      <c r="L734" s="6">
        <v>30.8</v>
      </c>
      <c r="M734" s="6"/>
      <c r="N734" s="6"/>
      <c r="P734" s="5" t="s">
        <v>9920</v>
      </c>
      <c r="Q734" s="5" t="s">
        <v>9654</v>
      </c>
      <c r="R734" s="5"/>
      <c r="S734" s="5" t="s">
        <v>8330</v>
      </c>
      <c r="T734" s="5"/>
    </row>
    <row r="735" spans="1:20" x14ac:dyDescent="0.25">
      <c r="A735" s="5" t="s">
        <v>10011</v>
      </c>
      <c r="B735" s="7" t="s">
        <v>8346</v>
      </c>
      <c r="C735" s="5" t="s">
        <v>102</v>
      </c>
      <c r="D735" s="5"/>
      <c r="F735" s="5"/>
      <c r="G735" s="7">
        <v>78</v>
      </c>
      <c r="H735" s="5" t="s">
        <v>9919</v>
      </c>
      <c r="I735" s="5" t="str">
        <f t="shared" si="11"/>
        <v>fate7341819</v>
      </c>
      <c r="J735" s="6" t="s">
        <v>9940</v>
      </c>
      <c r="K735" s="6">
        <v>18.600000000000001</v>
      </c>
      <c r="L735" s="6">
        <v>19.100000000000001</v>
      </c>
      <c r="M735" s="6"/>
      <c r="N735" s="6"/>
      <c r="P735" s="5" t="s">
        <v>9933</v>
      </c>
      <c r="Q735" s="5" t="s">
        <v>9934</v>
      </c>
      <c r="R735" s="5"/>
      <c r="S735" s="5" t="s">
        <v>8330</v>
      </c>
      <c r="T735" s="5"/>
    </row>
    <row r="736" spans="1:20" x14ac:dyDescent="0.25">
      <c r="A736" s="5" t="s">
        <v>10013</v>
      </c>
      <c r="B736" s="7" t="s">
        <v>8346</v>
      </c>
      <c r="C736" s="5" t="s">
        <v>102</v>
      </c>
      <c r="D736" s="5"/>
      <c r="F736" s="5"/>
      <c r="G736" s="7">
        <v>78</v>
      </c>
      <c r="H736" s="5" t="s">
        <v>9919</v>
      </c>
      <c r="I736" s="5" t="str">
        <f t="shared" si="11"/>
        <v>fate7352520</v>
      </c>
      <c r="J736" s="6" t="s">
        <v>9946</v>
      </c>
      <c r="K736" s="6">
        <v>25.7</v>
      </c>
      <c r="L736" s="6">
        <v>20.8</v>
      </c>
      <c r="M736" s="6"/>
      <c r="N736" s="6"/>
      <c r="P736" s="5" t="s">
        <v>9933</v>
      </c>
      <c r="Q736" s="5" t="s">
        <v>9934</v>
      </c>
      <c r="R736" s="5"/>
      <c r="S736" s="5" t="s">
        <v>8330</v>
      </c>
      <c r="T736" s="5"/>
    </row>
    <row r="737" spans="1:21" x14ac:dyDescent="0.25">
      <c r="A737" s="5" t="s">
        <v>10015</v>
      </c>
      <c r="B737" s="7" t="s">
        <v>10503</v>
      </c>
      <c r="C737" s="5" t="s">
        <v>102</v>
      </c>
      <c r="D737" s="1" t="s">
        <v>11000</v>
      </c>
      <c r="F737" s="5"/>
      <c r="G737" s="7">
        <v>78</v>
      </c>
      <c r="H737" s="5" t="s">
        <v>9919</v>
      </c>
      <c r="I737" s="5" t="str">
        <f t="shared" si="11"/>
        <v>fate7361115</v>
      </c>
      <c r="J737" s="6" t="s">
        <v>9938</v>
      </c>
      <c r="K737" s="6">
        <v>11.5</v>
      </c>
      <c r="L737" s="6">
        <v>15.1</v>
      </c>
      <c r="M737" s="6"/>
      <c r="N737" s="6"/>
      <c r="P737" s="5" t="s">
        <v>9933</v>
      </c>
      <c r="Q737" s="5" t="s">
        <v>9934</v>
      </c>
      <c r="R737" s="5"/>
      <c r="S737" s="5" t="s">
        <v>8330</v>
      </c>
      <c r="T737" s="5"/>
    </row>
    <row r="738" spans="1:21" x14ac:dyDescent="0.25">
      <c r="A738" s="5" t="s">
        <v>10017</v>
      </c>
      <c r="B738" s="7" t="s">
        <v>8346</v>
      </c>
      <c r="C738" s="5" t="s">
        <v>102</v>
      </c>
      <c r="D738" s="5"/>
      <c r="E738" s="5">
        <v>47</v>
      </c>
      <c r="F738" s="5">
        <v>1</v>
      </c>
      <c r="G738" s="7">
        <v>78</v>
      </c>
      <c r="H738" s="5" t="s">
        <v>9919</v>
      </c>
      <c r="I738" s="5" t="str">
        <f t="shared" si="11"/>
        <v>fate7372213</v>
      </c>
      <c r="J738" s="6" t="s">
        <v>9942</v>
      </c>
      <c r="K738" s="6">
        <v>22.6</v>
      </c>
      <c r="L738" s="6">
        <v>13.5</v>
      </c>
      <c r="M738" s="6"/>
      <c r="N738" s="6"/>
      <c r="P738" s="5" t="s">
        <v>9933</v>
      </c>
      <c r="Q738" s="5" t="s">
        <v>9934</v>
      </c>
      <c r="R738" s="5"/>
      <c r="S738" s="5" t="s">
        <v>8330</v>
      </c>
      <c r="T738" s="5"/>
    </row>
    <row r="739" spans="1:21" x14ac:dyDescent="0.25">
      <c r="A739" s="5" t="s">
        <v>10019</v>
      </c>
      <c r="B739" s="7" t="s">
        <v>8346</v>
      </c>
      <c r="C739" s="5" t="s">
        <v>102</v>
      </c>
      <c r="D739" s="5"/>
      <c r="E739" s="5">
        <v>47</v>
      </c>
      <c r="F739" s="5">
        <v>2</v>
      </c>
      <c r="G739" s="7">
        <v>78</v>
      </c>
      <c r="H739" s="5" t="s">
        <v>9919</v>
      </c>
      <c r="I739" s="5" t="str">
        <f t="shared" si="11"/>
        <v>fate7382520</v>
      </c>
      <c r="J739" s="6" t="s">
        <v>9946</v>
      </c>
      <c r="K739" s="6">
        <v>25.7</v>
      </c>
      <c r="L739" s="6">
        <v>20.8</v>
      </c>
      <c r="M739" s="6"/>
      <c r="N739" s="6"/>
      <c r="O739" s="5"/>
      <c r="P739" s="5" t="s">
        <v>9933</v>
      </c>
      <c r="Q739" s="5" t="s">
        <v>9934</v>
      </c>
      <c r="R739" s="5"/>
      <c r="S739" s="5" t="s">
        <v>8330</v>
      </c>
      <c r="T739" s="5"/>
    </row>
    <row r="740" spans="1:21" x14ac:dyDescent="0.25">
      <c r="A740" s="5" t="s">
        <v>10021</v>
      </c>
      <c r="B740" s="7" t="s">
        <v>10503</v>
      </c>
      <c r="C740" s="5" t="s">
        <v>102</v>
      </c>
      <c r="D740" s="1" t="s">
        <v>10538</v>
      </c>
      <c r="E740" s="5">
        <v>47</v>
      </c>
      <c r="F740" s="5">
        <v>3</v>
      </c>
      <c r="G740" s="7">
        <v>80</v>
      </c>
      <c r="H740" s="5" t="s">
        <v>976</v>
      </c>
      <c r="I740" s="5" t="str">
        <f t="shared" si="11"/>
        <v>fate7393321</v>
      </c>
      <c r="J740" s="5" t="s">
        <v>10542</v>
      </c>
      <c r="K740" s="6">
        <v>33.9</v>
      </c>
      <c r="L740" s="6">
        <v>21.1</v>
      </c>
      <c r="M740" s="6"/>
      <c r="N740" s="6"/>
      <c r="P740" s="5" t="s">
        <v>10543</v>
      </c>
      <c r="Q740" s="5" t="s">
        <v>10544</v>
      </c>
      <c r="R740" s="5"/>
      <c r="S740" s="5" t="s">
        <v>9013</v>
      </c>
      <c r="T740" s="5"/>
      <c r="U740" s="5"/>
    </row>
    <row r="741" spans="1:21" x14ac:dyDescent="0.25">
      <c r="A741" s="5" t="s">
        <v>10023</v>
      </c>
      <c r="B741" s="7" t="s">
        <v>8424</v>
      </c>
      <c r="C741" s="5" t="s">
        <v>102</v>
      </c>
      <c r="D741" s="5"/>
      <c r="E741" s="5">
        <v>48</v>
      </c>
      <c r="F741" s="5">
        <v>1</v>
      </c>
      <c r="G741" s="7">
        <v>78</v>
      </c>
      <c r="H741" s="5" t="s">
        <v>9919</v>
      </c>
      <c r="I741" s="5" t="str">
        <f t="shared" si="11"/>
        <v>fate7402517</v>
      </c>
      <c r="J741" s="6" t="s">
        <v>10540</v>
      </c>
      <c r="K741" s="6">
        <v>25.6</v>
      </c>
      <c r="L741" s="6">
        <v>17</v>
      </c>
      <c r="M741" s="6"/>
      <c r="N741" s="6"/>
      <c r="O741" s="5"/>
      <c r="P741" s="5" t="s">
        <v>9933</v>
      </c>
      <c r="Q741" s="5" t="s">
        <v>9934</v>
      </c>
      <c r="R741" s="5"/>
      <c r="S741" s="5" t="s">
        <v>8330</v>
      </c>
      <c r="T741" s="5"/>
    </row>
    <row r="742" spans="1:21" x14ac:dyDescent="0.25">
      <c r="A742" s="5" t="s">
        <v>10025</v>
      </c>
      <c r="B742" s="7" t="s">
        <v>8310</v>
      </c>
      <c r="C742" s="5" t="s">
        <v>102</v>
      </c>
      <c r="D742" s="5"/>
      <c r="E742" s="5">
        <v>48</v>
      </c>
      <c r="F742" s="5">
        <v>2</v>
      </c>
      <c r="G742" s="7">
        <v>78</v>
      </c>
      <c r="H742" s="5" t="s">
        <v>9919</v>
      </c>
      <c r="I742" s="5" t="str">
        <f t="shared" si="11"/>
        <v>fate7411814</v>
      </c>
      <c r="J742" s="6" t="s">
        <v>9932</v>
      </c>
      <c r="K742" s="6">
        <v>18</v>
      </c>
      <c r="L742" s="6">
        <v>14.8</v>
      </c>
      <c r="M742" s="6"/>
      <c r="N742" s="6"/>
      <c r="P742" s="5" t="s">
        <v>9933</v>
      </c>
      <c r="Q742" s="5" t="s">
        <v>9934</v>
      </c>
      <c r="R742" s="5"/>
      <c r="S742" s="5" t="s">
        <v>8330</v>
      </c>
      <c r="T742" s="5"/>
    </row>
    <row r="743" spans="1:21" x14ac:dyDescent="0.25">
      <c r="A743" s="5" t="s">
        <v>10030</v>
      </c>
      <c r="B743" s="7" t="s">
        <v>8346</v>
      </c>
      <c r="C743" s="5" t="s">
        <v>102</v>
      </c>
      <c r="D743" s="5"/>
      <c r="E743" s="5">
        <v>48</v>
      </c>
      <c r="F743" s="5">
        <v>3</v>
      </c>
      <c r="G743" s="7">
        <v>78</v>
      </c>
      <c r="H743" s="5" t="s">
        <v>9919</v>
      </c>
      <c r="I743" s="5" t="str">
        <f t="shared" si="11"/>
        <v>fate7421621</v>
      </c>
      <c r="J743" s="6" t="s">
        <v>9936</v>
      </c>
      <c r="K743" s="6">
        <v>16.2</v>
      </c>
      <c r="L743" s="6">
        <v>21.4</v>
      </c>
      <c r="M743" s="6"/>
      <c r="N743" s="6"/>
      <c r="P743" s="5" t="s">
        <v>9933</v>
      </c>
      <c r="Q743" s="5" t="s">
        <v>9934</v>
      </c>
      <c r="R743" s="5"/>
      <c r="S743" s="5" t="s">
        <v>8330</v>
      </c>
      <c r="T743" s="5"/>
    </row>
    <row r="744" spans="1:21" x14ac:dyDescent="0.25">
      <c r="A744" s="5" t="s">
        <v>10032</v>
      </c>
      <c r="B744" s="7" t="s">
        <v>8310</v>
      </c>
      <c r="C744" s="5" t="s">
        <v>102</v>
      </c>
      <c r="D744" s="5"/>
      <c r="F744" s="5"/>
      <c r="G744" s="7">
        <v>70</v>
      </c>
      <c r="H744" s="5" t="s">
        <v>9951</v>
      </c>
      <c r="I744" s="5" t="str">
        <f t="shared" si="11"/>
        <v>fate7433116</v>
      </c>
      <c r="J744" s="6" t="s">
        <v>9950</v>
      </c>
      <c r="K744" s="6">
        <v>31.5</v>
      </c>
      <c r="L744" s="6">
        <v>16.8</v>
      </c>
      <c r="M744" s="6"/>
      <c r="N744" s="6"/>
      <c r="P744" s="5" t="s">
        <v>9920</v>
      </c>
      <c r="Q744" s="5" t="s">
        <v>9654</v>
      </c>
      <c r="R744" s="5"/>
      <c r="S744" s="5" t="s">
        <v>8330</v>
      </c>
      <c r="T744" s="5"/>
    </row>
    <row r="745" spans="1:21" x14ac:dyDescent="0.25">
      <c r="A745" s="5" t="s">
        <v>10034</v>
      </c>
      <c r="B745" s="7" t="s">
        <v>8310</v>
      </c>
      <c r="C745" s="5" t="s">
        <v>102</v>
      </c>
      <c r="D745" s="5"/>
      <c r="F745" s="5"/>
      <c r="G745" s="7">
        <v>70</v>
      </c>
      <c r="H745" s="5" t="s">
        <v>9951</v>
      </c>
      <c r="I745" s="5" t="str">
        <f t="shared" si="11"/>
        <v>fate7443311</v>
      </c>
      <c r="J745" s="6" t="s">
        <v>9959</v>
      </c>
      <c r="K745" s="6">
        <v>33.5</v>
      </c>
      <c r="L745" s="6">
        <v>11.3</v>
      </c>
      <c r="M745" s="6"/>
      <c r="N745" s="6"/>
      <c r="P745" s="5" t="s">
        <v>9920</v>
      </c>
      <c r="Q745" s="5" t="s">
        <v>9654</v>
      </c>
      <c r="R745" s="5"/>
      <c r="S745" s="5" t="s">
        <v>8330</v>
      </c>
      <c r="T745" s="5"/>
    </row>
    <row r="746" spans="1:21" x14ac:dyDescent="0.25">
      <c r="A746" s="5" t="s">
        <v>10036</v>
      </c>
      <c r="B746" s="7" t="s">
        <v>8310</v>
      </c>
      <c r="C746" s="5" t="s">
        <v>102</v>
      </c>
      <c r="D746" s="5"/>
      <c r="F746" s="5"/>
      <c r="G746" s="7">
        <v>70</v>
      </c>
      <c r="H746" s="5" t="s">
        <v>9951</v>
      </c>
      <c r="I746" s="5" t="str">
        <f t="shared" si="11"/>
        <v>fate7452813</v>
      </c>
      <c r="J746" s="6" t="s">
        <v>9963</v>
      </c>
      <c r="K746" s="6">
        <v>28.6</v>
      </c>
      <c r="L746" s="6">
        <v>13.6</v>
      </c>
      <c r="M746" s="6"/>
      <c r="N746" s="6"/>
      <c r="P746" s="5" t="s">
        <v>9920</v>
      </c>
      <c r="Q746" s="5" t="s">
        <v>9654</v>
      </c>
      <c r="R746" s="5"/>
      <c r="S746" s="5" t="s">
        <v>8330</v>
      </c>
      <c r="T746" s="5"/>
    </row>
    <row r="747" spans="1:21" x14ac:dyDescent="0.25">
      <c r="A747" s="5" t="s">
        <v>10038</v>
      </c>
      <c r="B747" s="7" t="s">
        <v>8310</v>
      </c>
      <c r="C747" s="5" t="s">
        <v>102</v>
      </c>
      <c r="D747" s="5"/>
      <c r="F747" s="5"/>
      <c r="G747" s="7">
        <v>76</v>
      </c>
      <c r="H747" s="5" t="s">
        <v>9951</v>
      </c>
      <c r="I747" s="5" t="str">
        <f t="shared" si="11"/>
        <v>fate7462113</v>
      </c>
      <c r="J747" s="6" t="s">
        <v>9967</v>
      </c>
      <c r="K747" s="6">
        <v>21.6</v>
      </c>
      <c r="L747" s="6">
        <v>13.1</v>
      </c>
      <c r="M747" s="6"/>
      <c r="N747" s="6"/>
      <c r="P747" s="5" t="s">
        <v>9968</v>
      </c>
      <c r="Q747" s="5" t="s">
        <v>9969</v>
      </c>
      <c r="R747" s="5"/>
      <c r="S747" s="5" t="s">
        <v>8330</v>
      </c>
      <c r="T747" s="5"/>
    </row>
    <row r="748" spans="1:21" x14ac:dyDescent="0.25">
      <c r="A748" s="5" t="s">
        <v>10040</v>
      </c>
      <c r="B748" s="7" t="s">
        <v>8310</v>
      </c>
      <c r="C748" s="5" t="s">
        <v>102</v>
      </c>
      <c r="D748" s="5"/>
      <c r="F748" s="5"/>
      <c r="G748" s="7">
        <v>76</v>
      </c>
      <c r="H748" s="5" t="s">
        <v>9951</v>
      </c>
      <c r="I748" s="5" t="str">
        <f t="shared" si="11"/>
        <v>fate7471413</v>
      </c>
      <c r="J748" s="6" t="s">
        <v>9973</v>
      </c>
      <c r="K748" s="6">
        <v>14.5</v>
      </c>
      <c r="L748" s="6">
        <v>13.8</v>
      </c>
      <c r="M748" s="6"/>
      <c r="N748" s="6"/>
      <c r="P748" s="5" t="s">
        <v>9968</v>
      </c>
      <c r="Q748" s="5" t="s">
        <v>9969</v>
      </c>
      <c r="R748" s="5"/>
      <c r="S748" s="5" t="s">
        <v>8330</v>
      </c>
      <c r="T748" s="5"/>
    </row>
    <row r="749" spans="1:21" x14ac:dyDescent="0.25">
      <c r="A749" s="5" t="s">
        <v>10044</v>
      </c>
      <c r="B749" s="7" t="s">
        <v>8310</v>
      </c>
      <c r="C749" s="5" t="s">
        <v>102</v>
      </c>
      <c r="D749" s="5"/>
      <c r="F749" s="5"/>
      <c r="G749" s="7">
        <v>76</v>
      </c>
      <c r="H749" s="5" t="s">
        <v>9951</v>
      </c>
      <c r="I749" s="5" t="str">
        <f t="shared" si="11"/>
        <v>fate7481520</v>
      </c>
      <c r="J749" s="6" t="s">
        <v>9977</v>
      </c>
      <c r="K749" s="6">
        <v>15.5</v>
      </c>
      <c r="L749" s="6">
        <v>20.5</v>
      </c>
      <c r="M749" s="6"/>
      <c r="N749" s="6"/>
      <c r="P749" s="5" t="s">
        <v>9968</v>
      </c>
      <c r="Q749" s="5" t="s">
        <v>9969</v>
      </c>
      <c r="R749" s="5"/>
      <c r="S749" s="5" t="s">
        <v>8330</v>
      </c>
      <c r="T749" s="5"/>
    </row>
    <row r="750" spans="1:21" x14ac:dyDescent="0.25">
      <c r="A750" s="5" t="s">
        <v>10046</v>
      </c>
      <c r="B750" s="7" t="s">
        <v>8310</v>
      </c>
      <c r="C750" s="5" t="s">
        <v>102</v>
      </c>
      <c r="D750" s="5"/>
      <c r="F750" s="5"/>
      <c r="G750" s="7">
        <v>77</v>
      </c>
      <c r="H750" s="5" t="s">
        <v>9951</v>
      </c>
      <c r="I750" s="5" t="str">
        <f t="shared" si="11"/>
        <v>fate7499632</v>
      </c>
      <c r="J750" s="6" t="s">
        <v>9983</v>
      </c>
      <c r="K750" s="6">
        <v>9.6</v>
      </c>
      <c r="L750" s="6">
        <v>32.200000000000003</v>
      </c>
      <c r="M750" s="6"/>
      <c r="N750" s="6"/>
      <c r="P750" s="5" t="s">
        <v>9984</v>
      </c>
      <c r="Q750" s="5" t="s">
        <v>9985</v>
      </c>
      <c r="R750" s="5"/>
      <c r="S750" s="5" t="s">
        <v>8330</v>
      </c>
      <c r="T750" s="5"/>
    </row>
    <row r="751" spans="1:21" x14ac:dyDescent="0.25">
      <c r="A751" s="5" t="s">
        <v>10048</v>
      </c>
      <c r="B751" s="7" t="s">
        <v>10503</v>
      </c>
      <c r="C751" s="5" t="s">
        <v>102</v>
      </c>
      <c r="D751" s="1" t="s">
        <v>11004</v>
      </c>
      <c r="F751" s="5"/>
      <c r="G751" s="7">
        <v>70</v>
      </c>
      <c r="H751" s="5" t="s">
        <v>9951</v>
      </c>
      <c r="I751" s="5" t="str">
        <f t="shared" si="11"/>
        <v>fate7503214</v>
      </c>
      <c r="J751" s="6" t="s">
        <v>9955</v>
      </c>
      <c r="K751" s="6">
        <v>32.4</v>
      </c>
      <c r="L751" s="6">
        <v>14.2</v>
      </c>
      <c r="M751" s="6"/>
      <c r="N751" s="6"/>
      <c r="P751" s="5" t="s">
        <v>9920</v>
      </c>
      <c r="Q751" s="5" t="s">
        <v>9654</v>
      </c>
      <c r="R751" s="5"/>
      <c r="S751" s="5" t="s">
        <v>8330</v>
      </c>
      <c r="T751" s="5"/>
    </row>
    <row r="752" spans="1:21" x14ac:dyDescent="0.25">
      <c r="A752" s="5" t="s">
        <v>10050</v>
      </c>
      <c r="B752" s="7" t="s">
        <v>10503</v>
      </c>
      <c r="C752" s="5" t="s">
        <v>102</v>
      </c>
      <c r="D752" s="1" t="s">
        <v>11005</v>
      </c>
      <c r="F752" s="5"/>
      <c r="G752" s="7">
        <v>77</v>
      </c>
      <c r="H752" s="5" t="s">
        <v>9951</v>
      </c>
      <c r="I752" s="5" t="str">
        <f t="shared" si="11"/>
        <v>fate7511732</v>
      </c>
      <c r="J752" s="6" t="s">
        <v>9987</v>
      </c>
      <c r="K752" s="6">
        <v>17</v>
      </c>
      <c r="L752" s="6">
        <v>32.6</v>
      </c>
      <c r="M752" s="6"/>
      <c r="N752" s="6"/>
      <c r="P752" s="5" t="s">
        <v>9984</v>
      </c>
      <c r="Q752" s="5" t="s">
        <v>9985</v>
      </c>
      <c r="R752" s="5"/>
      <c r="S752" s="5" t="s">
        <v>8330</v>
      </c>
      <c r="T752" s="5"/>
    </row>
    <row r="753" spans="1:20" x14ac:dyDescent="0.25">
      <c r="A753" s="5" t="s">
        <v>10052</v>
      </c>
      <c r="B753" s="7" t="s">
        <v>8346</v>
      </c>
      <c r="C753" s="5" t="s">
        <v>102</v>
      </c>
      <c r="D753" s="5"/>
      <c r="E753" s="5">
        <v>49</v>
      </c>
      <c r="F753" s="5">
        <v>1</v>
      </c>
      <c r="G753" s="7">
        <v>70</v>
      </c>
      <c r="H753" s="5" t="s">
        <v>9951</v>
      </c>
      <c r="I753" s="5" t="str">
        <f t="shared" si="11"/>
        <v>fate7523119</v>
      </c>
      <c r="J753" s="6" t="s">
        <v>9957</v>
      </c>
      <c r="K753" s="6">
        <v>31.9</v>
      </c>
      <c r="L753" s="6">
        <v>19.5</v>
      </c>
      <c r="M753" s="6"/>
      <c r="N753" s="6"/>
      <c r="P753" s="5" t="s">
        <v>9920</v>
      </c>
      <c r="Q753" s="5" t="s">
        <v>9654</v>
      </c>
      <c r="R753" s="5"/>
      <c r="S753" s="5" t="s">
        <v>8330</v>
      </c>
      <c r="T753" s="5"/>
    </row>
    <row r="754" spans="1:20" x14ac:dyDescent="0.25">
      <c r="A754" s="5" t="s">
        <v>10054</v>
      </c>
      <c r="B754" s="7" t="s">
        <v>8310</v>
      </c>
      <c r="C754" s="5" t="s">
        <v>102</v>
      </c>
      <c r="D754" s="5"/>
      <c r="E754" s="5">
        <v>49</v>
      </c>
      <c r="F754" s="5">
        <v>2</v>
      </c>
      <c r="G754" s="7">
        <v>70</v>
      </c>
      <c r="H754" s="5" t="s">
        <v>9951</v>
      </c>
      <c r="I754" s="5" t="str">
        <f t="shared" si="11"/>
        <v>fate7533325</v>
      </c>
      <c r="J754" s="6" t="s">
        <v>9961</v>
      </c>
      <c r="K754" s="6">
        <v>33.200000000000003</v>
      </c>
      <c r="L754" s="6">
        <v>25.2</v>
      </c>
      <c r="M754" s="6"/>
      <c r="N754" s="6"/>
      <c r="P754" s="5" t="s">
        <v>9920</v>
      </c>
      <c r="Q754" s="5" t="s">
        <v>9654</v>
      </c>
      <c r="R754" s="5"/>
      <c r="S754" s="5" t="s">
        <v>8330</v>
      </c>
      <c r="T754" s="5"/>
    </row>
    <row r="755" spans="1:20" x14ac:dyDescent="0.25">
      <c r="A755" s="5" t="s">
        <v>10056</v>
      </c>
      <c r="B755" s="7" t="s">
        <v>10503</v>
      </c>
      <c r="C755" s="5" t="s">
        <v>102</v>
      </c>
      <c r="D755" s="1" t="s">
        <v>11001</v>
      </c>
      <c r="E755" s="5">
        <v>49</v>
      </c>
      <c r="F755" s="5">
        <v>3</v>
      </c>
      <c r="G755" s="7">
        <v>70</v>
      </c>
      <c r="H755" s="5" t="s">
        <v>9951</v>
      </c>
      <c r="I755" s="5" t="str">
        <f t="shared" si="11"/>
        <v>fate7543524</v>
      </c>
      <c r="J755" s="6" t="s">
        <v>9965</v>
      </c>
      <c r="K755" s="6">
        <v>35.5</v>
      </c>
      <c r="L755" s="6">
        <v>24.7</v>
      </c>
      <c r="M755" s="6"/>
      <c r="N755" s="6"/>
      <c r="P755" s="5" t="s">
        <v>9920</v>
      </c>
      <c r="Q755" s="5" t="s">
        <v>9654</v>
      </c>
      <c r="R755" s="5"/>
      <c r="S755" s="5" t="s">
        <v>8330</v>
      </c>
      <c r="T755" s="5"/>
    </row>
    <row r="756" spans="1:20" x14ac:dyDescent="0.25">
      <c r="A756" s="5" t="s">
        <v>10058</v>
      </c>
      <c r="B756" s="7" t="s">
        <v>10503</v>
      </c>
      <c r="C756" s="5" t="s">
        <v>102</v>
      </c>
      <c r="D756" s="1" t="s">
        <v>11002</v>
      </c>
      <c r="E756" s="5">
        <v>49</v>
      </c>
      <c r="F756" s="5">
        <v>4</v>
      </c>
      <c r="G756" s="7">
        <v>70</v>
      </c>
      <c r="H756" s="5" t="s">
        <v>9951</v>
      </c>
      <c r="I756" s="5" t="str">
        <f t="shared" si="11"/>
        <v>fate7553427</v>
      </c>
      <c r="J756" s="6" t="s">
        <v>9953</v>
      </c>
      <c r="K756" s="6">
        <v>34.4</v>
      </c>
      <c r="L756" s="6">
        <v>27.6</v>
      </c>
      <c r="M756" s="6"/>
      <c r="N756" s="6"/>
      <c r="P756" s="5" t="s">
        <v>9920</v>
      </c>
      <c r="Q756" s="5" t="s">
        <v>9654</v>
      </c>
      <c r="R756" s="5"/>
      <c r="S756" s="5" t="s">
        <v>8330</v>
      </c>
      <c r="T756" s="5"/>
    </row>
    <row r="757" spans="1:20" x14ac:dyDescent="0.25">
      <c r="A757" s="5" t="s">
        <v>10060</v>
      </c>
      <c r="B757" s="7" t="s">
        <v>8346</v>
      </c>
      <c r="C757" s="5" t="s">
        <v>102</v>
      </c>
      <c r="D757" s="5"/>
      <c r="E757" s="5">
        <v>49</v>
      </c>
      <c r="F757" s="5">
        <v>5</v>
      </c>
      <c r="G757" s="7">
        <v>76</v>
      </c>
      <c r="H757" s="5" t="s">
        <v>9951</v>
      </c>
      <c r="I757" s="5" t="str">
        <f t="shared" si="11"/>
        <v>fate7561716</v>
      </c>
      <c r="J757" s="6" t="s">
        <v>9971</v>
      </c>
      <c r="K757" s="6">
        <v>17.399999999999999</v>
      </c>
      <c r="L757" s="6">
        <v>16</v>
      </c>
      <c r="M757" s="6"/>
      <c r="N757" s="6"/>
      <c r="P757" s="5" t="s">
        <v>9968</v>
      </c>
      <c r="Q757" s="5" t="s">
        <v>9969</v>
      </c>
      <c r="R757" s="5"/>
      <c r="S757" s="5" t="s">
        <v>8330</v>
      </c>
      <c r="T757" s="5"/>
    </row>
    <row r="758" spans="1:20" x14ac:dyDescent="0.25">
      <c r="A758" s="5" t="s">
        <v>10062</v>
      </c>
      <c r="B758" s="7" t="s">
        <v>8346</v>
      </c>
      <c r="C758" s="5" t="s">
        <v>102</v>
      </c>
      <c r="D758" s="5"/>
      <c r="E758" s="5">
        <v>49</v>
      </c>
      <c r="F758" s="5">
        <v>6</v>
      </c>
      <c r="G758" s="7">
        <v>76</v>
      </c>
      <c r="H758" s="5" t="s">
        <v>9951</v>
      </c>
      <c r="I758" s="5" t="str">
        <f t="shared" si="11"/>
        <v>fate7571417</v>
      </c>
      <c r="J758" s="6" t="s">
        <v>9975</v>
      </c>
      <c r="K758" s="6">
        <v>14.3</v>
      </c>
      <c r="L758" s="6">
        <v>17.600000000000001</v>
      </c>
      <c r="M758" s="6"/>
      <c r="N758" s="6"/>
      <c r="P758" s="5" t="s">
        <v>9968</v>
      </c>
      <c r="Q758" s="5" t="s">
        <v>9969</v>
      </c>
      <c r="R758" s="5"/>
      <c r="S758" s="5" t="s">
        <v>8330</v>
      </c>
      <c r="T758" s="5"/>
    </row>
    <row r="759" spans="1:20" x14ac:dyDescent="0.25">
      <c r="A759" s="5" t="s">
        <v>10064</v>
      </c>
      <c r="B759" s="7" t="s">
        <v>8310</v>
      </c>
      <c r="C759" s="5" t="s">
        <v>102</v>
      </c>
      <c r="D759" s="5"/>
      <c r="E759" s="5">
        <v>49</v>
      </c>
      <c r="F759" s="5">
        <v>7</v>
      </c>
      <c r="G759" s="7">
        <v>76</v>
      </c>
      <c r="H759" s="5" t="s">
        <v>9951</v>
      </c>
      <c r="I759" s="5" t="str">
        <f t="shared" si="11"/>
        <v>fate7582020</v>
      </c>
      <c r="J759" s="6" t="s">
        <v>9979</v>
      </c>
      <c r="K759" s="6">
        <v>20.100000000000001</v>
      </c>
      <c r="L759" s="6">
        <v>20.8</v>
      </c>
      <c r="M759" s="6"/>
      <c r="N759" s="6"/>
      <c r="P759" s="5" t="s">
        <v>9968</v>
      </c>
      <c r="Q759" s="5" t="s">
        <v>9969</v>
      </c>
      <c r="R759" s="5"/>
      <c r="S759" s="5" t="s">
        <v>8330</v>
      </c>
      <c r="T759" s="5"/>
    </row>
    <row r="760" spans="1:20" x14ac:dyDescent="0.25">
      <c r="A760" s="5" t="s">
        <v>10066</v>
      </c>
      <c r="B760" s="7" t="s">
        <v>10668</v>
      </c>
      <c r="C760" s="5" t="s">
        <v>102</v>
      </c>
      <c r="D760" s="1" t="s">
        <v>11003</v>
      </c>
      <c r="E760" s="5">
        <v>49</v>
      </c>
      <c r="F760" s="5">
        <v>8</v>
      </c>
      <c r="G760" s="7">
        <v>76</v>
      </c>
      <c r="H760" s="5" t="s">
        <v>9951</v>
      </c>
      <c r="I760" s="5" t="str">
        <f t="shared" si="11"/>
        <v>fate7592226</v>
      </c>
      <c r="J760" s="6" t="s">
        <v>9981</v>
      </c>
      <c r="K760" s="6">
        <v>22.4</v>
      </c>
      <c r="L760" s="6">
        <v>26</v>
      </c>
      <c r="M760" s="6"/>
      <c r="N760" s="6"/>
      <c r="P760" s="5" t="s">
        <v>9968</v>
      </c>
      <c r="Q760" s="5" t="s">
        <v>9969</v>
      </c>
      <c r="R760" s="5"/>
      <c r="S760" s="5" t="s">
        <v>8330</v>
      </c>
      <c r="T760" s="5"/>
    </row>
    <row r="761" spans="1:20" x14ac:dyDescent="0.25">
      <c r="A761" s="5" t="s">
        <v>10068</v>
      </c>
      <c r="B761" s="7" t="s">
        <v>8310</v>
      </c>
      <c r="C761" s="5" t="s">
        <v>102</v>
      </c>
      <c r="D761" s="5"/>
      <c r="F761" s="5"/>
      <c r="G761" s="7">
        <v>72</v>
      </c>
      <c r="H761" s="5" t="s">
        <v>9990</v>
      </c>
      <c r="I761" s="5" t="str">
        <f t="shared" si="11"/>
        <v>fate7608331</v>
      </c>
      <c r="J761" s="6" t="s">
        <v>9989</v>
      </c>
      <c r="K761" s="6">
        <v>8.3000000000000007</v>
      </c>
      <c r="L761" s="6">
        <v>31.7</v>
      </c>
      <c r="M761" s="6"/>
      <c r="N761" s="6"/>
      <c r="P761" s="5" t="s">
        <v>9991</v>
      </c>
      <c r="Q761" s="5" t="s">
        <v>9992</v>
      </c>
      <c r="R761" s="5"/>
      <c r="S761" s="5" t="s">
        <v>8330</v>
      </c>
      <c r="T761" s="5"/>
    </row>
    <row r="762" spans="1:20" x14ac:dyDescent="0.25">
      <c r="A762" s="5" t="s">
        <v>10073</v>
      </c>
      <c r="B762" s="7" t="s">
        <v>8310</v>
      </c>
      <c r="C762" s="5" t="s">
        <v>102</v>
      </c>
      <c r="D762" s="5"/>
      <c r="F762" s="5"/>
      <c r="G762" s="7">
        <v>72</v>
      </c>
      <c r="H762" s="5" t="s">
        <v>9990</v>
      </c>
      <c r="I762" s="5" t="str">
        <f t="shared" si="11"/>
        <v>fate7611735</v>
      </c>
      <c r="J762" s="6" t="s">
        <v>9994</v>
      </c>
      <c r="K762" s="6">
        <v>17.2</v>
      </c>
      <c r="L762" s="6">
        <v>35.299999999999997</v>
      </c>
      <c r="M762" s="6"/>
      <c r="N762" s="6"/>
      <c r="P762" s="5" t="s">
        <v>9991</v>
      </c>
      <c r="Q762" s="5" t="s">
        <v>9992</v>
      </c>
      <c r="R762" s="5"/>
      <c r="S762" s="5" t="s">
        <v>8330</v>
      </c>
      <c r="T762" s="5"/>
    </row>
    <row r="763" spans="1:20" x14ac:dyDescent="0.25">
      <c r="A763" s="5" t="s">
        <v>10075</v>
      </c>
      <c r="B763" s="7" t="s">
        <v>8310</v>
      </c>
      <c r="C763" s="5" t="s">
        <v>102</v>
      </c>
      <c r="D763" s="5"/>
      <c r="F763" s="5"/>
      <c r="G763" s="7">
        <v>72</v>
      </c>
      <c r="H763" s="5" t="s">
        <v>9990</v>
      </c>
      <c r="I763" s="5" t="str">
        <f t="shared" si="11"/>
        <v>fate7626827</v>
      </c>
      <c r="J763" s="6" t="s">
        <v>9996</v>
      </c>
      <c r="K763" s="6">
        <v>6.8</v>
      </c>
      <c r="L763" s="6">
        <v>27</v>
      </c>
      <c r="M763" s="6"/>
      <c r="N763" s="6"/>
      <c r="P763" s="5" t="s">
        <v>9991</v>
      </c>
      <c r="Q763" s="5" t="s">
        <v>9992</v>
      </c>
      <c r="R763" s="5"/>
      <c r="S763" s="5" t="s">
        <v>8330</v>
      </c>
      <c r="T763" s="5"/>
    </row>
    <row r="764" spans="1:20" x14ac:dyDescent="0.25">
      <c r="A764" s="5" t="s">
        <v>10077</v>
      </c>
      <c r="B764" s="7" t="s">
        <v>10503</v>
      </c>
      <c r="C764" s="5" t="s">
        <v>102</v>
      </c>
      <c r="D764" s="1" t="s">
        <v>11008</v>
      </c>
      <c r="F764" s="5"/>
      <c r="G764" s="7">
        <v>72</v>
      </c>
      <c r="H764" s="5" t="s">
        <v>9990</v>
      </c>
      <c r="I764" s="5" t="str">
        <f t="shared" si="11"/>
        <v>fate7631128</v>
      </c>
      <c r="J764" s="6" t="s">
        <v>10000</v>
      </c>
      <c r="K764" s="6">
        <v>11</v>
      </c>
      <c r="L764" s="6">
        <v>28.8</v>
      </c>
      <c r="M764" s="6"/>
      <c r="N764" s="6"/>
      <c r="P764" s="5" t="s">
        <v>9991</v>
      </c>
      <c r="Q764" s="5" t="s">
        <v>9992</v>
      </c>
      <c r="R764" s="5"/>
      <c r="S764" s="5" t="s">
        <v>8330</v>
      </c>
      <c r="T764" s="5"/>
    </row>
    <row r="765" spans="1:20" x14ac:dyDescent="0.25">
      <c r="A765" s="5" t="s">
        <v>10079</v>
      </c>
      <c r="B765" s="7" t="s">
        <v>10503</v>
      </c>
      <c r="C765" s="5" t="s">
        <v>102</v>
      </c>
      <c r="D765" s="1" t="s">
        <v>11007</v>
      </c>
      <c r="F765" s="5"/>
      <c r="G765" s="7">
        <v>72</v>
      </c>
      <c r="H765" s="5" t="s">
        <v>9990</v>
      </c>
      <c r="I765" s="5" t="str">
        <f t="shared" si="11"/>
        <v>fate7641035</v>
      </c>
      <c r="J765" s="6" t="s">
        <v>10004</v>
      </c>
      <c r="K765" s="6">
        <v>10.7</v>
      </c>
      <c r="L765" s="6">
        <v>35.700000000000003</v>
      </c>
      <c r="M765" s="6"/>
      <c r="N765" s="6"/>
      <c r="P765" s="5" t="s">
        <v>9991</v>
      </c>
      <c r="Q765" s="5" t="s">
        <v>9992</v>
      </c>
      <c r="R765" s="5"/>
      <c r="S765" s="5" t="s">
        <v>8330</v>
      </c>
      <c r="T765" s="5"/>
    </row>
    <row r="766" spans="1:20" x14ac:dyDescent="0.25">
      <c r="A766" s="5" t="s">
        <v>10081</v>
      </c>
      <c r="B766" s="7" t="s">
        <v>8310</v>
      </c>
      <c r="C766" s="5" t="s">
        <v>102</v>
      </c>
      <c r="D766" s="5"/>
      <c r="E766" s="5">
        <v>50</v>
      </c>
      <c r="F766" s="5">
        <v>1</v>
      </c>
      <c r="G766" s="7">
        <v>72</v>
      </c>
      <c r="H766" s="5" t="s">
        <v>9990</v>
      </c>
      <c r="I766" s="5" t="str">
        <f t="shared" si="11"/>
        <v>fate7651023</v>
      </c>
      <c r="J766" s="6" t="s">
        <v>9998</v>
      </c>
      <c r="K766" s="6">
        <v>10.3</v>
      </c>
      <c r="L766" s="6">
        <v>23.5</v>
      </c>
      <c r="M766" s="6"/>
      <c r="N766" s="6"/>
      <c r="P766" s="5" t="s">
        <v>9991</v>
      </c>
      <c r="Q766" s="5" t="s">
        <v>9992</v>
      </c>
      <c r="R766" s="5"/>
      <c r="S766" s="5" t="s">
        <v>8330</v>
      </c>
      <c r="T766" s="5"/>
    </row>
    <row r="767" spans="1:20" x14ac:dyDescent="0.25">
      <c r="A767" s="5" t="s">
        <v>10083</v>
      </c>
      <c r="B767" s="7" t="s">
        <v>8424</v>
      </c>
      <c r="C767" s="5" t="s">
        <v>102</v>
      </c>
      <c r="D767" s="5"/>
      <c r="E767" s="5">
        <v>50</v>
      </c>
      <c r="F767" s="5">
        <v>2</v>
      </c>
      <c r="G767" s="7">
        <v>72</v>
      </c>
      <c r="H767" s="5" t="s">
        <v>9990</v>
      </c>
      <c r="I767" s="5" t="str">
        <f t="shared" si="11"/>
        <v>fate7667719</v>
      </c>
      <c r="J767" s="6" t="s">
        <v>10002</v>
      </c>
      <c r="K767" s="6">
        <v>7.7</v>
      </c>
      <c r="L767" s="6">
        <v>19.5</v>
      </c>
      <c r="M767" s="6"/>
      <c r="N767" s="6"/>
      <c r="P767" s="5" t="s">
        <v>9991</v>
      </c>
      <c r="Q767" s="5" t="s">
        <v>9992</v>
      </c>
      <c r="R767" s="5"/>
      <c r="S767" s="5" t="s">
        <v>8330</v>
      </c>
      <c r="T767" s="5"/>
    </row>
    <row r="768" spans="1:20" x14ac:dyDescent="0.25">
      <c r="A768" s="5" t="s">
        <v>10085</v>
      </c>
      <c r="B768" s="7" t="s">
        <v>10503</v>
      </c>
      <c r="C768" s="5" t="s">
        <v>102</v>
      </c>
      <c r="D768" s="1" t="s">
        <v>11006</v>
      </c>
      <c r="E768" s="5">
        <v>50</v>
      </c>
      <c r="F768" s="5">
        <v>3</v>
      </c>
      <c r="G768" s="7">
        <v>72</v>
      </c>
      <c r="H768" s="5" t="s">
        <v>9990</v>
      </c>
      <c r="I768" s="5" t="str">
        <f t="shared" si="11"/>
        <v>fate7671323</v>
      </c>
      <c r="J768" s="6" t="s">
        <v>10006</v>
      </c>
      <c r="K768" s="6">
        <v>13.1</v>
      </c>
      <c r="L768" s="6">
        <v>23.8</v>
      </c>
      <c r="M768" s="6"/>
      <c r="N768" s="6"/>
      <c r="P768" s="5" t="s">
        <v>9991</v>
      </c>
      <c r="Q768" s="5" t="s">
        <v>9992</v>
      </c>
      <c r="R768" s="5"/>
      <c r="S768" s="5" t="s">
        <v>8330</v>
      </c>
      <c r="T768" s="5"/>
    </row>
    <row r="769" spans="1:20" x14ac:dyDescent="0.25">
      <c r="A769" s="5" t="s">
        <v>10087</v>
      </c>
      <c r="B769" s="7" t="s">
        <v>8310</v>
      </c>
      <c r="C769" s="5" t="s">
        <v>102</v>
      </c>
      <c r="D769" s="5"/>
      <c r="E769" s="5">
        <v>51</v>
      </c>
      <c r="F769" s="5">
        <v>1</v>
      </c>
      <c r="G769" s="7">
        <v>73</v>
      </c>
      <c r="H769" s="5" t="s">
        <v>9990</v>
      </c>
      <c r="I769" s="5" t="str">
        <f t="shared" si="11"/>
        <v>fate7682311</v>
      </c>
      <c r="J769" s="6" t="s">
        <v>10012</v>
      </c>
      <c r="K769" s="6">
        <v>23.7</v>
      </c>
      <c r="L769" s="6">
        <v>11.1</v>
      </c>
      <c r="M769" s="6"/>
      <c r="N769" s="6"/>
      <c r="P769" s="5" t="s">
        <v>10009</v>
      </c>
      <c r="Q769" s="5" t="s">
        <v>10010</v>
      </c>
      <c r="R769" s="5"/>
      <c r="S769" s="5" t="s">
        <v>8330</v>
      </c>
      <c r="T769" s="5"/>
    </row>
    <row r="770" spans="1:20" x14ac:dyDescent="0.25">
      <c r="A770" s="5" t="s">
        <v>10089</v>
      </c>
      <c r="B770" s="7" t="s">
        <v>8346</v>
      </c>
      <c r="C770" s="5" t="s">
        <v>102</v>
      </c>
      <c r="D770" s="5"/>
      <c r="E770" s="5">
        <v>51</v>
      </c>
      <c r="F770" s="5">
        <v>2</v>
      </c>
      <c r="G770" s="7">
        <v>73</v>
      </c>
      <c r="H770" s="5" t="s">
        <v>9990</v>
      </c>
      <c r="I770" s="5" t="str">
        <f t="shared" si="11"/>
        <v>fate7692710</v>
      </c>
      <c r="J770" s="6" t="s">
        <v>10016</v>
      </c>
      <c r="K770" s="6">
        <v>27.3</v>
      </c>
      <c r="L770" s="6">
        <v>10</v>
      </c>
      <c r="M770" s="6"/>
      <c r="N770" s="6"/>
      <c r="P770" s="5" t="s">
        <v>10009</v>
      </c>
      <c r="Q770" s="5" t="s">
        <v>10010</v>
      </c>
      <c r="R770" s="5"/>
      <c r="S770" s="5" t="s">
        <v>8330</v>
      </c>
      <c r="T770" s="5"/>
    </row>
    <row r="771" spans="1:20" x14ac:dyDescent="0.25">
      <c r="A771" s="5" t="s">
        <v>10091</v>
      </c>
      <c r="B771" s="7" t="s">
        <v>8346</v>
      </c>
      <c r="C771" s="5" t="s">
        <v>102</v>
      </c>
      <c r="D771" s="5"/>
      <c r="E771" s="5">
        <v>51</v>
      </c>
      <c r="F771" s="5">
        <v>3</v>
      </c>
      <c r="G771" s="7">
        <v>73</v>
      </c>
      <c r="H771" s="5" t="s">
        <v>9990</v>
      </c>
      <c r="I771" s="5" t="str">
        <f t="shared" si="11"/>
        <v>fate7703013</v>
      </c>
      <c r="J771" s="6" t="s">
        <v>10020</v>
      </c>
      <c r="K771" s="6">
        <v>30.2</v>
      </c>
      <c r="L771" s="6">
        <v>13.1</v>
      </c>
      <c r="M771" s="6"/>
      <c r="N771" s="6"/>
      <c r="P771" s="5" t="s">
        <v>10009</v>
      </c>
      <c r="Q771" s="5" t="s">
        <v>10010</v>
      </c>
      <c r="R771" s="5"/>
      <c r="S771" s="5" t="s">
        <v>8330</v>
      </c>
      <c r="T771" s="5"/>
    </row>
    <row r="772" spans="1:20" x14ac:dyDescent="0.25">
      <c r="A772" s="5" t="s">
        <v>10096</v>
      </c>
      <c r="B772" s="7" t="s">
        <v>8346</v>
      </c>
      <c r="C772" s="5" t="s">
        <v>102</v>
      </c>
      <c r="D772" s="5"/>
      <c r="E772" s="5">
        <v>51</v>
      </c>
      <c r="F772" s="5">
        <v>4</v>
      </c>
      <c r="G772" s="7">
        <v>73</v>
      </c>
      <c r="H772" s="5" t="s">
        <v>9990</v>
      </c>
      <c r="I772" s="5" t="str">
        <f t="shared" ref="I772:I835" si="12">A772&amp;LEFT(SUBSTITUTE(K772,".",""),2)&amp;LEFT(SUBSTITUTE(L772,".",""),2)</f>
        <v>fate7712417</v>
      </c>
      <c r="J772" s="6" t="s">
        <v>10024</v>
      </c>
      <c r="K772" s="6">
        <v>24.5</v>
      </c>
      <c r="L772" s="6">
        <v>17.600000000000001</v>
      </c>
      <c r="M772" s="6"/>
      <c r="N772" s="6"/>
      <c r="P772" s="5" t="s">
        <v>10009</v>
      </c>
      <c r="Q772" s="5" t="s">
        <v>10010</v>
      </c>
      <c r="R772" s="5"/>
      <c r="S772" s="5" t="s">
        <v>8330</v>
      </c>
      <c r="T772" s="5"/>
    </row>
    <row r="773" spans="1:20" x14ac:dyDescent="0.25">
      <c r="A773" s="5" t="s">
        <v>10098</v>
      </c>
      <c r="B773" s="7" t="s">
        <v>10668</v>
      </c>
      <c r="C773" s="5" t="s">
        <v>102</v>
      </c>
      <c r="D773" s="1" t="s">
        <v>11010</v>
      </c>
      <c r="E773" s="5">
        <v>51</v>
      </c>
      <c r="F773" s="5">
        <v>5</v>
      </c>
      <c r="G773" s="7">
        <v>73</v>
      </c>
      <c r="H773" s="5" t="s">
        <v>9990</v>
      </c>
      <c r="I773" s="5" t="str">
        <f t="shared" si="12"/>
        <v>fate7722521</v>
      </c>
      <c r="J773" s="6" t="s">
        <v>10008</v>
      </c>
      <c r="K773" s="6">
        <v>25.1</v>
      </c>
      <c r="L773" s="6">
        <v>21.5</v>
      </c>
      <c r="M773" s="6"/>
      <c r="N773" s="6"/>
      <c r="P773" s="5" t="s">
        <v>10009</v>
      </c>
      <c r="Q773" s="5" t="s">
        <v>10010</v>
      </c>
      <c r="R773" s="5"/>
      <c r="S773" s="5" t="s">
        <v>8330</v>
      </c>
      <c r="T773" s="5"/>
    </row>
    <row r="774" spans="1:20" x14ac:dyDescent="0.25">
      <c r="A774" s="5" t="s">
        <v>10100</v>
      </c>
      <c r="B774" s="7" t="s">
        <v>10668</v>
      </c>
      <c r="C774" s="5" t="s">
        <v>102</v>
      </c>
      <c r="D774" s="1" t="s">
        <v>11010</v>
      </c>
      <c r="E774" s="5">
        <v>51</v>
      </c>
      <c r="F774" s="5">
        <v>6</v>
      </c>
      <c r="G774" s="7">
        <v>73</v>
      </c>
      <c r="H774" s="5" t="s">
        <v>9990</v>
      </c>
      <c r="I774" s="5" t="str">
        <f t="shared" si="12"/>
        <v>fate7738214</v>
      </c>
      <c r="J774" s="6" t="s">
        <v>10014</v>
      </c>
      <c r="K774" s="6">
        <v>8.1999999999999993</v>
      </c>
      <c r="L774" s="6">
        <v>14.2</v>
      </c>
      <c r="M774" s="6"/>
      <c r="N774" s="6"/>
      <c r="P774" s="5" t="s">
        <v>10009</v>
      </c>
      <c r="Q774" s="5" t="s">
        <v>10010</v>
      </c>
      <c r="R774" s="5"/>
      <c r="S774" s="5" t="s">
        <v>8330</v>
      </c>
      <c r="T774" s="5"/>
    </row>
    <row r="775" spans="1:20" x14ac:dyDescent="0.25">
      <c r="A775" s="5" t="s">
        <v>10102</v>
      </c>
      <c r="B775" s="7" t="s">
        <v>10668</v>
      </c>
      <c r="C775" s="5" t="s">
        <v>102</v>
      </c>
      <c r="D775" s="1" t="s">
        <v>11009</v>
      </c>
      <c r="E775" s="5">
        <v>51</v>
      </c>
      <c r="F775" s="5">
        <v>7</v>
      </c>
      <c r="G775" s="7">
        <v>73</v>
      </c>
      <c r="H775" s="5" t="s">
        <v>9990</v>
      </c>
      <c r="I775" s="5" t="str">
        <f t="shared" si="12"/>
        <v>fate7742010</v>
      </c>
      <c r="J775" s="6" t="s">
        <v>10018</v>
      </c>
      <c r="K775" s="6">
        <v>20.9</v>
      </c>
      <c r="L775" s="6">
        <v>10.3</v>
      </c>
      <c r="M775" s="6"/>
      <c r="N775" s="6"/>
      <c r="P775" s="5" t="s">
        <v>10009</v>
      </c>
      <c r="Q775" s="5" t="s">
        <v>10010</v>
      </c>
      <c r="R775" s="5"/>
      <c r="S775" s="5" t="s">
        <v>8330</v>
      </c>
      <c r="T775" s="5"/>
    </row>
    <row r="776" spans="1:20" x14ac:dyDescent="0.25">
      <c r="A776" s="5" t="s">
        <v>10106</v>
      </c>
      <c r="B776" s="7" t="s">
        <v>10668</v>
      </c>
      <c r="C776" s="5" t="s">
        <v>102</v>
      </c>
      <c r="D776" s="1" t="s">
        <v>11009</v>
      </c>
      <c r="E776" s="5">
        <v>51</v>
      </c>
      <c r="F776" s="5">
        <v>8</v>
      </c>
      <c r="G776" s="7">
        <v>73</v>
      </c>
      <c r="H776" s="5" t="s">
        <v>9990</v>
      </c>
      <c r="I776" s="5" t="str">
        <f t="shared" si="12"/>
        <v>fate7753356</v>
      </c>
      <c r="J776" s="6" t="s">
        <v>10022</v>
      </c>
      <c r="K776" s="6">
        <v>33.1</v>
      </c>
      <c r="L776" s="6">
        <v>5.6</v>
      </c>
      <c r="M776" s="6"/>
      <c r="N776" s="6"/>
      <c r="P776" s="5" t="s">
        <v>10009</v>
      </c>
      <c r="Q776" s="5" t="s">
        <v>10010</v>
      </c>
      <c r="R776" s="5"/>
      <c r="S776" s="5" t="s">
        <v>8330</v>
      </c>
      <c r="T776" s="5"/>
    </row>
    <row r="777" spans="1:20" x14ac:dyDescent="0.25">
      <c r="A777" s="5" t="s">
        <v>10108</v>
      </c>
      <c r="B777" s="7" t="s">
        <v>8310</v>
      </c>
      <c r="C777" s="5" t="s">
        <v>102</v>
      </c>
      <c r="D777" s="5"/>
      <c r="F777" s="5"/>
      <c r="G777" s="7">
        <v>74</v>
      </c>
      <c r="H777" s="5" t="s">
        <v>10027</v>
      </c>
      <c r="I777" s="5" t="str">
        <f t="shared" si="12"/>
        <v>fate7761732</v>
      </c>
      <c r="J777" s="6" t="s">
        <v>10026</v>
      </c>
      <c r="K777" s="6">
        <v>17.399999999999999</v>
      </c>
      <c r="L777" s="6">
        <v>32.1</v>
      </c>
      <c r="M777" s="6"/>
      <c r="N777" s="6"/>
      <c r="P777" s="5" t="s">
        <v>10028</v>
      </c>
      <c r="Q777" s="5" t="s">
        <v>10029</v>
      </c>
      <c r="R777" s="5"/>
      <c r="S777" s="5" t="s">
        <v>8330</v>
      </c>
      <c r="T777" s="5"/>
    </row>
    <row r="778" spans="1:20" x14ac:dyDescent="0.25">
      <c r="A778" s="5" t="s">
        <v>10110</v>
      </c>
      <c r="B778" s="7" t="s">
        <v>8310</v>
      </c>
      <c r="C778" s="5" t="s">
        <v>102</v>
      </c>
      <c r="D778" s="5"/>
      <c r="F778" s="5"/>
      <c r="G778" s="7">
        <v>74</v>
      </c>
      <c r="H778" s="5" t="s">
        <v>10027</v>
      </c>
      <c r="I778" s="5" t="str">
        <f t="shared" si="12"/>
        <v>fate7771230</v>
      </c>
      <c r="J778" s="6" t="s">
        <v>10031</v>
      </c>
      <c r="K778" s="6">
        <v>12.8</v>
      </c>
      <c r="L778" s="6">
        <v>30.2</v>
      </c>
      <c r="M778" s="6"/>
      <c r="N778" s="6"/>
      <c r="P778" s="5" t="s">
        <v>10028</v>
      </c>
      <c r="Q778" s="5" t="s">
        <v>10029</v>
      </c>
      <c r="R778" s="5"/>
      <c r="S778" s="5" t="s">
        <v>8330</v>
      </c>
      <c r="T778" s="5"/>
    </row>
    <row r="779" spans="1:20" x14ac:dyDescent="0.25">
      <c r="A779" s="5" t="s">
        <v>10112</v>
      </c>
      <c r="B779" s="7" t="s">
        <v>8310</v>
      </c>
      <c r="C779" s="5" t="s">
        <v>102</v>
      </c>
      <c r="D779" s="5"/>
      <c r="F779" s="5"/>
      <c r="G779" s="7">
        <v>74</v>
      </c>
      <c r="H779" s="5" t="s">
        <v>10027</v>
      </c>
      <c r="I779" s="5" t="str">
        <f t="shared" si="12"/>
        <v>fate7781335</v>
      </c>
      <c r="J779" s="6" t="s">
        <v>10037</v>
      </c>
      <c r="K779" s="6">
        <v>13.5</v>
      </c>
      <c r="L779" s="6">
        <v>35</v>
      </c>
      <c r="M779" s="6"/>
      <c r="N779" s="6"/>
      <c r="P779" s="5" t="s">
        <v>10028</v>
      </c>
      <c r="Q779" s="5" t="s">
        <v>10029</v>
      </c>
      <c r="R779" s="5"/>
      <c r="S779" s="5" t="s">
        <v>8330</v>
      </c>
      <c r="T779" s="5"/>
    </row>
    <row r="780" spans="1:20" x14ac:dyDescent="0.25">
      <c r="A780" s="5" t="s">
        <v>10116</v>
      </c>
      <c r="B780" s="7" t="s">
        <v>8310</v>
      </c>
      <c r="C780" s="5" t="s">
        <v>102</v>
      </c>
      <c r="D780" s="5"/>
      <c r="F780" s="5"/>
      <c r="G780" s="7">
        <v>75</v>
      </c>
      <c r="H780" s="5" t="s">
        <v>10027</v>
      </c>
      <c r="I780" s="5" t="str">
        <f t="shared" si="12"/>
        <v>fate7792710</v>
      </c>
      <c r="J780" s="6" t="s">
        <v>10061</v>
      </c>
      <c r="K780" s="6">
        <v>27.1</v>
      </c>
      <c r="L780" s="6">
        <v>10.7</v>
      </c>
      <c r="M780" s="6"/>
      <c r="N780" s="6"/>
      <c r="P780" s="5" t="s">
        <v>10042</v>
      </c>
      <c r="Q780" s="5" t="s">
        <v>10043</v>
      </c>
      <c r="R780" s="5"/>
      <c r="S780" s="5" t="s">
        <v>8330</v>
      </c>
      <c r="T780" s="5"/>
    </row>
    <row r="781" spans="1:20" x14ac:dyDescent="0.25">
      <c r="A781" s="5" t="s">
        <v>10118</v>
      </c>
      <c r="B781" s="7" t="s">
        <v>8346</v>
      </c>
      <c r="C781" s="5" t="s">
        <v>102</v>
      </c>
      <c r="D781" s="5"/>
      <c r="F781" s="5"/>
      <c r="G781" s="7">
        <v>75</v>
      </c>
      <c r="H781" s="5" t="s">
        <v>10027</v>
      </c>
      <c r="I781" s="5" t="str">
        <f t="shared" si="12"/>
        <v>fate7802814</v>
      </c>
      <c r="J781" s="6" t="s">
        <v>10047</v>
      </c>
      <c r="K781" s="6">
        <v>28.2</v>
      </c>
      <c r="L781" s="6">
        <v>14.1</v>
      </c>
      <c r="M781" s="6"/>
      <c r="N781" s="6"/>
      <c r="P781" s="5" t="s">
        <v>10042</v>
      </c>
      <c r="Q781" s="5" t="s">
        <v>10043</v>
      </c>
      <c r="R781" s="5"/>
      <c r="S781" s="5" t="s">
        <v>8330</v>
      </c>
      <c r="T781" s="5"/>
    </row>
    <row r="782" spans="1:20" x14ac:dyDescent="0.25">
      <c r="A782" s="5" t="s">
        <v>10122</v>
      </c>
      <c r="B782" s="7" t="s">
        <v>8424</v>
      </c>
      <c r="C782" s="5" t="s">
        <v>102</v>
      </c>
      <c r="D782" s="5"/>
      <c r="F782" s="5"/>
      <c r="G782" s="7">
        <v>74</v>
      </c>
      <c r="H782" s="5" t="s">
        <v>10027</v>
      </c>
      <c r="I782" s="5" t="str">
        <f t="shared" si="12"/>
        <v>fate7811536</v>
      </c>
      <c r="J782" s="6" t="s">
        <v>10033</v>
      </c>
      <c r="K782" s="6">
        <v>15.8</v>
      </c>
      <c r="L782" s="6">
        <v>36.4</v>
      </c>
      <c r="M782" s="6"/>
      <c r="N782" s="6"/>
      <c r="P782" s="5" t="s">
        <v>10028</v>
      </c>
      <c r="Q782" s="5" t="s">
        <v>10029</v>
      </c>
      <c r="R782" s="5"/>
      <c r="S782" s="5" t="s">
        <v>8330</v>
      </c>
      <c r="T782" s="5"/>
    </row>
    <row r="783" spans="1:20" x14ac:dyDescent="0.25">
      <c r="A783" s="5" t="s">
        <v>10124</v>
      </c>
      <c r="B783" s="7" t="s">
        <v>8424</v>
      </c>
      <c r="C783" s="5" t="s">
        <v>102</v>
      </c>
      <c r="D783" s="5"/>
      <c r="F783" s="5"/>
      <c r="G783" s="7">
        <v>75</v>
      </c>
      <c r="H783" s="5" t="s">
        <v>10027</v>
      </c>
      <c r="I783" s="5" t="str">
        <f t="shared" si="12"/>
        <v>fate7822314</v>
      </c>
      <c r="J783" s="6" t="s">
        <v>10055</v>
      </c>
      <c r="K783" s="6">
        <v>23.2</v>
      </c>
      <c r="L783" s="6">
        <v>14.5</v>
      </c>
      <c r="M783" s="6"/>
      <c r="N783" s="6"/>
      <c r="P783" s="5" t="s">
        <v>10042</v>
      </c>
      <c r="Q783" s="5" t="s">
        <v>10043</v>
      </c>
      <c r="R783" s="5"/>
      <c r="S783" s="5" t="s">
        <v>8330</v>
      </c>
      <c r="T783" s="5"/>
    </row>
    <row r="784" spans="1:20" x14ac:dyDescent="0.25">
      <c r="A784" s="5" t="s">
        <v>10126</v>
      </c>
      <c r="B784" s="7" t="s">
        <v>10503</v>
      </c>
      <c r="C784" s="5" t="s">
        <v>102</v>
      </c>
      <c r="D784" s="1" t="s">
        <v>11012</v>
      </c>
      <c r="F784" s="5"/>
      <c r="G784" s="7">
        <v>74</v>
      </c>
      <c r="H784" s="5" t="s">
        <v>10027</v>
      </c>
      <c r="I784" s="5" t="str">
        <f t="shared" si="12"/>
        <v>fate7831035</v>
      </c>
      <c r="J784" s="6" t="s">
        <v>10035</v>
      </c>
      <c r="K784" s="6">
        <v>10</v>
      </c>
      <c r="L784" s="6">
        <v>35.299999999999997</v>
      </c>
      <c r="M784" s="6"/>
      <c r="N784" s="6"/>
      <c r="P784" s="5" t="s">
        <v>10028</v>
      </c>
      <c r="Q784" s="5" t="s">
        <v>10029</v>
      </c>
      <c r="R784" s="5"/>
      <c r="S784" s="5" t="s">
        <v>8330</v>
      </c>
      <c r="T784" s="5"/>
    </row>
    <row r="785" spans="1:20" x14ac:dyDescent="0.25">
      <c r="A785" s="5" t="s">
        <v>10128</v>
      </c>
      <c r="B785" s="7" t="s">
        <v>10503</v>
      </c>
      <c r="C785" s="5" t="s">
        <v>102</v>
      </c>
      <c r="D785" s="1" t="s">
        <v>11011</v>
      </c>
      <c r="F785" s="5"/>
      <c r="G785" s="7">
        <v>74</v>
      </c>
      <c r="H785" s="5" t="s">
        <v>10027</v>
      </c>
      <c r="I785" s="5" t="str">
        <f t="shared" si="12"/>
        <v>fate7841428</v>
      </c>
      <c r="J785" s="6" t="s">
        <v>10039</v>
      </c>
      <c r="K785" s="6">
        <v>14.5</v>
      </c>
      <c r="L785" s="6">
        <v>28.3</v>
      </c>
      <c r="M785" s="6"/>
      <c r="N785" s="6"/>
      <c r="P785" s="5" t="s">
        <v>10028</v>
      </c>
      <c r="Q785" s="5" t="s">
        <v>10029</v>
      </c>
      <c r="R785" s="5"/>
      <c r="S785" s="5" t="s">
        <v>8330</v>
      </c>
      <c r="T785" s="5"/>
    </row>
    <row r="786" spans="1:20" x14ac:dyDescent="0.25">
      <c r="A786" s="5" t="s">
        <v>10130</v>
      </c>
      <c r="B786" s="7" t="s">
        <v>10503</v>
      </c>
      <c r="C786" s="5" t="s">
        <v>102</v>
      </c>
      <c r="D786" s="1" t="s">
        <v>11014</v>
      </c>
      <c r="F786" s="5"/>
      <c r="G786" s="7">
        <v>75</v>
      </c>
      <c r="H786" s="5" t="s">
        <v>10027</v>
      </c>
      <c r="I786" s="5" t="str">
        <f t="shared" si="12"/>
        <v>fate7852012</v>
      </c>
      <c r="J786" s="6" t="s">
        <v>10051</v>
      </c>
      <c r="K786" s="6">
        <v>20.6</v>
      </c>
      <c r="L786" s="6">
        <v>12.8</v>
      </c>
      <c r="M786" s="6"/>
      <c r="N786" s="6"/>
      <c r="P786" s="5" t="s">
        <v>10042</v>
      </c>
      <c r="Q786" s="5" t="s">
        <v>10043</v>
      </c>
      <c r="R786" s="5"/>
      <c r="S786" s="5" t="s">
        <v>8330</v>
      </c>
      <c r="T786" s="5"/>
    </row>
    <row r="787" spans="1:20" x14ac:dyDescent="0.25">
      <c r="A787" s="5" t="s">
        <v>10132</v>
      </c>
      <c r="B787" s="7" t="s">
        <v>10503</v>
      </c>
      <c r="C787" s="5" t="s">
        <v>102</v>
      </c>
      <c r="D787" s="1" t="s">
        <v>11015</v>
      </c>
      <c r="F787" s="5"/>
      <c r="G787" s="7">
        <v>75</v>
      </c>
      <c r="H787" s="5" t="s">
        <v>10027</v>
      </c>
      <c r="I787" s="5" t="str">
        <f t="shared" si="12"/>
        <v>fate7862211</v>
      </c>
      <c r="J787" s="6" t="s">
        <v>10067</v>
      </c>
      <c r="K787" s="6">
        <v>22.7</v>
      </c>
      <c r="L787" s="6">
        <v>11.7</v>
      </c>
      <c r="M787" s="6"/>
      <c r="N787" s="6"/>
      <c r="P787" s="5" t="s">
        <v>10042</v>
      </c>
      <c r="Q787" s="5" t="s">
        <v>10043</v>
      </c>
      <c r="R787" s="5"/>
      <c r="S787" s="5" t="s">
        <v>8330</v>
      </c>
      <c r="T787" s="5"/>
    </row>
    <row r="788" spans="1:20" x14ac:dyDescent="0.25">
      <c r="A788" s="5" t="s">
        <v>10135</v>
      </c>
      <c r="B788" s="7" t="s">
        <v>8310</v>
      </c>
      <c r="C788" s="5" t="s">
        <v>102</v>
      </c>
      <c r="D788" s="5"/>
      <c r="E788" s="5">
        <v>52</v>
      </c>
      <c r="F788" s="5">
        <v>1</v>
      </c>
      <c r="G788" s="7">
        <v>75</v>
      </c>
      <c r="H788" s="5" t="s">
        <v>10027</v>
      </c>
      <c r="I788" s="5" t="str">
        <f t="shared" si="12"/>
        <v>fate7873220</v>
      </c>
      <c r="J788" s="6" t="s">
        <v>10057</v>
      </c>
      <c r="K788" s="6">
        <v>32</v>
      </c>
      <c r="L788" s="6">
        <v>20.100000000000001</v>
      </c>
      <c r="M788" s="6"/>
      <c r="N788" s="6"/>
      <c r="P788" s="5" t="s">
        <v>10042</v>
      </c>
      <c r="Q788" s="5" t="s">
        <v>10043</v>
      </c>
      <c r="R788" s="5"/>
      <c r="S788" s="5" t="s">
        <v>8330</v>
      </c>
      <c r="T788" s="5"/>
    </row>
    <row r="789" spans="1:20" x14ac:dyDescent="0.25">
      <c r="A789" s="5" t="s">
        <v>10137</v>
      </c>
      <c r="B789" s="7" t="s">
        <v>8310</v>
      </c>
      <c r="C789" s="5" t="s">
        <v>102</v>
      </c>
      <c r="D789" s="5"/>
      <c r="E789" s="5">
        <v>52</v>
      </c>
      <c r="F789" s="5">
        <v>2</v>
      </c>
      <c r="G789" s="7">
        <v>75</v>
      </c>
      <c r="H789" s="5" t="s">
        <v>10027</v>
      </c>
      <c r="I789" s="5" t="str">
        <f t="shared" si="12"/>
        <v>fate7883225</v>
      </c>
      <c r="J789" s="6" t="s">
        <v>10063</v>
      </c>
      <c r="K789" s="6">
        <v>32.200000000000003</v>
      </c>
      <c r="L789" s="6">
        <v>25.4</v>
      </c>
      <c r="M789" s="6"/>
      <c r="N789" s="6"/>
      <c r="P789" s="5" t="s">
        <v>10042</v>
      </c>
      <c r="Q789" s="5" t="s">
        <v>10043</v>
      </c>
      <c r="R789" s="5"/>
      <c r="S789" s="5" t="s">
        <v>8330</v>
      </c>
      <c r="T789" s="5"/>
    </row>
    <row r="790" spans="1:20" x14ac:dyDescent="0.25">
      <c r="A790" s="5" t="s">
        <v>10139</v>
      </c>
      <c r="B790" s="7" t="s">
        <v>8424</v>
      </c>
      <c r="C790" s="5" t="s">
        <v>102</v>
      </c>
      <c r="D790" s="5"/>
      <c r="E790" s="5">
        <v>52</v>
      </c>
      <c r="F790" s="5">
        <v>3</v>
      </c>
      <c r="G790" s="7">
        <v>75</v>
      </c>
      <c r="H790" s="5" t="s">
        <v>10027</v>
      </c>
      <c r="I790" s="5" t="str">
        <f t="shared" si="12"/>
        <v>fate7892329</v>
      </c>
      <c r="J790" s="6" t="s">
        <v>10041</v>
      </c>
      <c r="K790" s="6">
        <v>23.5</v>
      </c>
      <c r="L790" s="6">
        <v>29.5</v>
      </c>
      <c r="M790" s="6"/>
      <c r="N790" s="6"/>
      <c r="P790" s="5" t="s">
        <v>10042</v>
      </c>
      <c r="Q790" s="5" t="s">
        <v>10043</v>
      </c>
      <c r="R790" s="5"/>
      <c r="S790" s="5" t="s">
        <v>8330</v>
      </c>
      <c r="T790" s="5"/>
    </row>
    <row r="791" spans="1:20" x14ac:dyDescent="0.25">
      <c r="A791" s="5" t="s">
        <v>10141</v>
      </c>
      <c r="B791" s="7" t="s">
        <v>8346</v>
      </c>
      <c r="C791" s="5" t="s">
        <v>102</v>
      </c>
      <c r="D791" s="5"/>
      <c r="E791" s="5">
        <v>52</v>
      </c>
      <c r="F791" s="5">
        <v>4</v>
      </c>
      <c r="G791" s="7">
        <v>75</v>
      </c>
      <c r="H791" s="5" t="s">
        <v>10027</v>
      </c>
      <c r="I791" s="5" t="str">
        <f t="shared" si="12"/>
        <v>fate7902521</v>
      </c>
      <c r="J791" s="6" t="s">
        <v>10049</v>
      </c>
      <c r="K791" s="6">
        <v>25.4</v>
      </c>
      <c r="L791" s="6">
        <v>21.7</v>
      </c>
      <c r="M791" s="6"/>
      <c r="N791" s="6"/>
      <c r="P791" s="5" t="s">
        <v>10042</v>
      </c>
      <c r="Q791" s="5" t="s">
        <v>10043</v>
      </c>
      <c r="R791" s="5"/>
      <c r="S791" s="5" t="s">
        <v>8330</v>
      </c>
      <c r="T791" s="5"/>
    </row>
    <row r="792" spans="1:20" x14ac:dyDescent="0.25">
      <c r="A792" s="5" t="s">
        <v>10143</v>
      </c>
      <c r="B792" s="7" t="s">
        <v>10668</v>
      </c>
      <c r="C792" s="5" t="s">
        <v>102</v>
      </c>
      <c r="D792" s="1" t="s">
        <v>11013</v>
      </c>
      <c r="E792" s="5">
        <v>52</v>
      </c>
      <c r="F792" s="5">
        <v>5</v>
      </c>
      <c r="G792" s="7">
        <v>75</v>
      </c>
      <c r="H792" s="5" t="s">
        <v>10027</v>
      </c>
      <c r="I792" s="5" t="str">
        <f t="shared" si="12"/>
        <v>fate7913424</v>
      </c>
      <c r="J792" s="6" t="s">
        <v>10053</v>
      </c>
      <c r="K792" s="6">
        <v>34.9</v>
      </c>
      <c r="L792" s="6">
        <v>24.3</v>
      </c>
      <c r="M792" s="6"/>
      <c r="N792" s="6"/>
      <c r="P792" s="5" t="s">
        <v>10042</v>
      </c>
      <c r="Q792" s="5" t="s">
        <v>10043</v>
      </c>
      <c r="R792" s="5"/>
      <c r="S792" s="5" t="s">
        <v>8330</v>
      </c>
      <c r="T792" s="5"/>
    </row>
    <row r="793" spans="1:20" x14ac:dyDescent="0.25">
      <c r="A793" s="5" t="s">
        <v>10145</v>
      </c>
      <c r="B793" s="7" t="s">
        <v>10668</v>
      </c>
      <c r="C793" s="5" t="s">
        <v>102</v>
      </c>
      <c r="D793" s="1" t="s">
        <v>11013</v>
      </c>
      <c r="E793" s="5">
        <v>52</v>
      </c>
      <c r="F793" s="5">
        <v>6</v>
      </c>
      <c r="G793" s="7">
        <v>75</v>
      </c>
      <c r="H793" s="5" t="s">
        <v>10027</v>
      </c>
      <c r="I793" s="5" t="str">
        <f t="shared" si="12"/>
        <v>fate7923022</v>
      </c>
      <c r="J793" s="6" t="s">
        <v>10059</v>
      </c>
      <c r="K793" s="6">
        <v>30.4</v>
      </c>
      <c r="L793" s="6">
        <v>22.3</v>
      </c>
      <c r="M793" s="6"/>
      <c r="N793" s="6"/>
      <c r="P793" s="5" t="s">
        <v>10042</v>
      </c>
      <c r="Q793" s="5" t="s">
        <v>10043</v>
      </c>
      <c r="R793" s="5"/>
      <c r="S793" s="5" t="s">
        <v>8330</v>
      </c>
      <c r="T793" s="5"/>
    </row>
    <row r="794" spans="1:20" x14ac:dyDescent="0.25">
      <c r="A794" s="5" t="s">
        <v>10147</v>
      </c>
      <c r="B794" s="7" t="s">
        <v>10668</v>
      </c>
      <c r="C794" s="5" t="s">
        <v>102</v>
      </c>
      <c r="D794" s="1" t="s">
        <v>11013</v>
      </c>
      <c r="E794" s="5">
        <v>52</v>
      </c>
      <c r="F794" s="5">
        <v>7</v>
      </c>
      <c r="G794" s="7">
        <v>75</v>
      </c>
      <c r="H794" s="5" t="s">
        <v>10027</v>
      </c>
      <c r="I794" s="5" t="str">
        <f t="shared" si="12"/>
        <v>fate7932527</v>
      </c>
      <c r="J794" s="6" t="s">
        <v>10065</v>
      </c>
      <c r="K794" s="6">
        <v>25.8</v>
      </c>
      <c r="L794" s="6">
        <v>27.2</v>
      </c>
      <c r="M794" s="6"/>
      <c r="N794" s="6"/>
      <c r="P794" s="5" t="s">
        <v>10042</v>
      </c>
      <c r="Q794" s="5" t="s">
        <v>10043</v>
      </c>
      <c r="R794" s="5"/>
      <c r="S794" s="5" t="s">
        <v>8330</v>
      </c>
      <c r="T794" s="5"/>
    </row>
    <row r="795" spans="1:20" x14ac:dyDescent="0.25">
      <c r="A795" s="5" t="s">
        <v>10149</v>
      </c>
      <c r="B795" s="7" t="s">
        <v>10668</v>
      </c>
      <c r="C795" s="5" t="s">
        <v>102</v>
      </c>
      <c r="D795" s="1" t="s">
        <v>11013</v>
      </c>
      <c r="E795" s="5">
        <v>52</v>
      </c>
      <c r="F795" s="5">
        <v>8</v>
      </c>
      <c r="G795" s="7">
        <v>75</v>
      </c>
      <c r="H795" s="5" t="s">
        <v>10027</v>
      </c>
      <c r="I795" s="5" t="str">
        <f t="shared" si="12"/>
        <v>fate7942434</v>
      </c>
      <c r="J795" s="6" t="s">
        <v>10045</v>
      </c>
      <c r="K795" s="6">
        <v>24.5</v>
      </c>
      <c r="L795" s="6">
        <v>34.4</v>
      </c>
      <c r="M795" s="6"/>
      <c r="N795" s="6"/>
      <c r="P795" s="5" t="s">
        <v>10042</v>
      </c>
      <c r="Q795" s="5" t="s">
        <v>10043</v>
      </c>
      <c r="R795" s="5"/>
      <c r="S795" s="5" t="s">
        <v>8330</v>
      </c>
      <c r="T795" s="5"/>
    </row>
    <row r="796" spans="1:20" x14ac:dyDescent="0.25">
      <c r="A796" s="5" t="s">
        <v>10151</v>
      </c>
      <c r="B796" s="7" t="s">
        <v>8310</v>
      </c>
      <c r="C796" s="5" t="s">
        <v>102</v>
      </c>
      <c r="D796" s="5"/>
      <c r="F796" s="5"/>
      <c r="G796" s="7">
        <v>79</v>
      </c>
      <c r="H796" s="5" t="s">
        <v>10070</v>
      </c>
      <c r="I796" s="5" t="str">
        <f t="shared" si="12"/>
        <v>fate7953614</v>
      </c>
      <c r="J796" s="6" t="s">
        <v>10069</v>
      </c>
      <c r="K796" s="6">
        <v>36.700000000000003</v>
      </c>
      <c r="L796" s="6">
        <v>14</v>
      </c>
      <c r="M796" s="6"/>
      <c r="N796" s="6"/>
      <c r="P796" s="5" t="s">
        <v>10071</v>
      </c>
      <c r="Q796" s="5" t="s">
        <v>10072</v>
      </c>
      <c r="R796" s="5"/>
      <c r="S796" s="5" t="s">
        <v>8330</v>
      </c>
      <c r="T796" s="5"/>
    </row>
    <row r="797" spans="1:20" x14ac:dyDescent="0.25">
      <c r="A797" s="5" t="s">
        <v>10153</v>
      </c>
      <c r="B797" s="7" t="s">
        <v>8310</v>
      </c>
      <c r="C797" s="5" t="s">
        <v>102</v>
      </c>
      <c r="D797" s="5"/>
      <c r="F797" s="5"/>
      <c r="G797" s="7">
        <v>79</v>
      </c>
      <c r="H797" s="5" t="s">
        <v>10070</v>
      </c>
      <c r="I797" s="5" t="str">
        <f t="shared" si="12"/>
        <v>fate7961818</v>
      </c>
      <c r="J797" s="6" t="s">
        <v>10074</v>
      </c>
      <c r="K797" s="6">
        <v>18.899999999999999</v>
      </c>
      <c r="L797" s="6">
        <v>18.3</v>
      </c>
      <c r="M797" s="6"/>
      <c r="N797" s="6"/>
      <c r="P797" s="5" t="s">
        <v>10071</v>
      </c>
      <c r="Q797" s="5" t="s">
        <v>10072</v>
      </c>
      <c r="R797" s="5"/>
      <c r="S797" s="5" t="s">
        <v>8330</v>
      </c>
      <c r="T797" s="5"/>
    </row>
    <row r="798" spans="1:20" x14ac:dyDescent="0.25">
      <c r="A798" s="5" t="s">
        <v>10155</v>
      </c>
      <c r="B798" s="7" t="s">
        <v>8310</v>
      </c>
      <c r="C798" s="5" t="s">
        <v>102</v>
      </c>
      <c r="D798" s="5"/>
      <c r="F798" s="5"/>
      <c r="G798" s="7">
        <v>79</v>
      </c>
      <c r="H798" s="5" t="s">
        <v>10070</v>
      </c>
      <c r="I798" s="5" t="str">
        <f t="shared" si="12"/>
        <v>fate7971214</v>
      </c>
      <c r="J798" s="6" t="s">
        <v>10076</v>
      </c>
      <c r="K798" s="6">
        <v>12.1</v>
      </c>
      <c r="L798" s="6">
        <v>14</v>
      </c>
      <c r="M798" s="6"/>
      <c r="N798" s="6"/>
      <c r="P798" s="5" t="s">
        <v>10071</v>
      </c>
      <c r="Q798" s="5" t="s">
        <v>10072</v>
      </c>
      <c r="R798" s="5"/>
      <c r="S798" s="5" t="s">
        <v>8330</v>
      </c>
      <c r="T798" s="5"/>
    </row>
    <row r="799" spans="1:20" x14ac:dyDescent="0.25">
      <c r="A799" s="5" t="s">
        <v>10157</v>
      </c>
      <c r="B799" s="7" t="s">
        <v>8310</v>
      </c>
      <c r="C799" s="5" t="s">
        <v>102</v>
      </c>
      <c r="D799" s="5"/>
      <c r="F799" s="5"/>
      <c r="G799" s="7">
        <v>79</v>
      </c>
      <c r="H799" s="5" t="s">
        <v>10070</v>
      </c>
      <c r="I799" s="5" t="str">
        <f t="shared" si="12"/>
        <v>fate7982916</v>
      </c>
      <c r="J799" s="6" t="s">
        <v>10080</v>
      </c>
      <c r="K799" s="6">
        <v>29.4</v>
      </c>
      <c r="L799" s="6">
        <v>16.600000000000001</v>
      </c>
      <c r="M799" s="6"/>
      <c r="N799" s="6"/>
      <c r="P799" s="5" t="s">
        <v>10071</v>
      </c>
      <c r="Q799" s="5" t="s">
        <v>10072</v>
      </c>
      <c r="R799" s="5"/>
      <c r="S799" s="5" t="s">
        <v>8330</v>
      </c>
      <c r="T799" s="5"/>
    </row>
    <row r="800" spans="1:20" x14ac:dyDescent="0.25">
      <c r="A800" s="5" t="s">
        <v>10159</v>
      </c>
      <c r="B800" s="7" t="s">
        <v>8310</v>
      </c>
      <c r="C800" s="5" t="s">
        <v>102</v>
      </c>
      <c r="D800" s="5"/>
      <c r="F800" s="5"/>
      <c r="G800" s="7">
        <v>79</v>
      </c>
      <c r="H800" s="5" t="s">
        <v>10070</v>
      </c>
      <c r="I800" s="5" t="str">
        <f t="shared" si="12"/>
        <v>fate7992322</v>
      </c>
      <c r="J800" s="6" t="s">
        <v>10082</v>
      </c>
      <c r="K800" s="6">
        <v>23.2</v>
      </c>
      <c r="L800" s="6">
        <v>22.8</v>
      </c>
      <c r="M800" s="6"/>
      <c r="N800" s="6"/>
      <c r="P800" s="5" t="s">
        <v>10071</v>
      </c>
      <c r="Q800" s="5" t="s">
        <v>10072</v>
      </c>
      <c r="R800" s="5"/>
      <c r="S800" s="5" t="s">
        <v>8330</v>
      </c>
      <c r="T800" s="5"/>
    </row>
    <row r="801" spans="1:21" x14ac:dyDescent="0.25">
      <c r="A801" s="5" t="s">
        <v>10161</v>
      </c>
      <c r="B801" s="7" t="s">
        <v>8310</v>
      </c>
      <c r="C801" s="5" t="s">
        <v>102</v>
      </c>
      <c r="D801" s="5"/>
      <c r="F801" s="5"/>
      <c r="G801" s="7">
        <v>79</v>
      </c>
      <c r="H801" s="5" t="s">
        <v>10070</v>
      </c>
      <c r="I801" s="5" t="str">
        <f t="shared" si="12"/>
        <v>fate8003310</v>
      </c>
      <c r="J801" s="6" t="s">
        <v>10084</v>
      </c>
      <c r="K801" s="6">
        <v>33.200000000000003</v>
      </c>
      <c r="L801" s="6">
        <v>10.9</v>
      </c>
      <c r="M801" s="6"/>
      <c r="N801" s="6"/>
      <c r="P801" s="5" t="s">
        <v>10071</v>
      </c>
      <c r="Q801" s="5" t="s">
        <v>10072</v>
      </c>
      <c r="R801" s="5"/>
      <c r="S801" s="5" t="s">
        <v>8330</v>
      </c>
      <c r="T801" s="5"/>
    </row>
    <row r="802" spans="1:21" x14ac:dyDescent="0.25">
      <c r="A802" s="5" t="s">
        <v>10163</v>
      </c>
      <c r="B802" s="7" t="s">
        <v>8450</v>
      </c>
      <c r="C802" s="5" t="s">
        <v>102</v>
      </c>
      <c r="D802" s="5"/>
      <c r="F802" s="5"/>
      <c r="G802" s="7">
        <v>79</v>
      </c>
      <c r="H802" s="5" t="s">
        <v>10070</v>
      </c>
      <c r="I802" s="5" t="str">
        <f t="shared" si="12"/>
        <v>fate8012929</v>
      </c>
      <c r="J802" s="6" t="s">
        <v>10078</v>
      </c>
      <c r="K802" s="6">
        <v>29.2</v>
      </c>
      <c r="L802" s="6">
        <v>29.9</v>
      </c>
      <c r="M802" s="6"/>
      <c r="N802" s="6"/>
      <c r="P802" s="5" t="s">
        <v>10071</v>
      </c>
      <c r="Q802" s="5" t="s">
        <v>10072</v>
      </c>
      <c r="R802" s="5"/>
      <c r="S802" s="5" t="s">
        <v>8330</v>
      </c>
      <c r="T802" s="5"/>
    </row>
    <row r="803" spans="1:21" x14ac:dyDescent="0.25">
      <c r="A803" s="5" t="s">
        <v>10165</v>
      </c>
      <c r="B803" s="7" t="s">
        <v>8424</v>
      </c>
      <c r="C803" s="5" t="s">
        <v>102</v>
      </c>
      <c r="D803" s="5"/>
      <c r="F803" s="5"/>
      <c r="G803" s="7">
        <v>79</v>
      </c>
      <c r="H803" s="5" t="s">
        <v>10070</v>
      </c>
      <c r="I803" s="5" t="str">
        <f t="shared" si="12"/>
        <v>fate8023817</v>
      </c>
      <c r="J803" s="6" t="s">
        <v>10086</v>
      </c>
      <c r="K803" s="6">
        <v>38.9</v>
      </c>
      <c r="L803" s="6">
        <v>17.5</v>
      </c>
      <c r="M803" s="6"/>
      <c r="N803" s="6"/>
      <c r="P803" s="5" t="s">
        <v>10071</v>
      </c>
      <c r="Q803" s="5" t="s">
        <v>10072</v>
      </c>
      <c r="R803" s="5"/>
      <c r="S803" s="5" t="s">
        <v>8330</v>
      </c>
      <c r="T803" s="5"/>
    </row>
    <row r="804" spans="1:21" x14ac:dyDescent="0.25">
      <c r="A804" s="5" t="s">
        <v>10169</v>
      </c>
      <c r="B804" s="7" t="s">
        <v>10503</v>
      </c>
      <c r="C804" s="5" t="s">
        <v>102</v>
      </c>
      <c r="D804" s="5"/>
      <c r="F804" s="5"/>
      <c r="G804" s="7">
        <v>79</v>
      </c>
      <c r="H804" s="5" t="s">
        <v>10070</v>
      </c>
      <c r="I804" s="5" t="str">
        <f t="shared" si="12"/>
        <v>fate8032911</v>
      </c>
      <c r="J804" s="6" t="s">
        <v>10088</v>
      </c>
      <c r="K804" s="6">
        <v>29.2</v>
      </c>
      <c r="L804" s="6">
        <v>11.9</v>
      </c>
      <c r="M804" s="6"/>
      <c r="N804" s="6"/>
      <c r="P804" s="5" t="s">
        <v>10071</v>
      </c>
      <c r="Q804" s="5" t="s">
        <v>10072</v>
      </c>
      <c r="R804" s="5"/>
      <c r="S804" s="5" t="s">
        <v>8330</v>
      </c>
      <c r="T804" s="5"/>
    </row>
    <row r="805" spans="1:21" x14ac:dyDescent="0.25">
      <c r="A805" s="5" t="s">
        <v>10174</v>
      </c>
      <c r="B805" s="7" t="s">
        <v>10503</v>
      </c>
      <c r="C805" s="5" t="s">
        <v>102</v>
      </c>
      <c r="D805" s="1" t="s">
        <v>11019</v>
      </c>
      <c r="F805" s="5"/>
      <c r="G805" s="7">
        <v>79</v>
      </c>
      <c r="H805" s="5" t="s">
        <v>10070</v>
      </c>
      <c r="I805" s="5" t="str">
        <f t="shared" si="12"/>
        <v>fate8041710</v>
      </c>
      <c r="J805" s="6" t="s">
        <v>10090</v>
      </c>
      <c r="K805" s="6">
        <v>17.7</v>
      </c>
      <c r="L805" s="6">
        <v>10.7</v>
      </c>
      <c r="M805" s="6"/>
      <c r="N805" s="6"/>
      <c r="P805" s="5" t="s">
        <v>10071</v>
      </c>
      <c r="Q805" s="5" t="s">
        <v>10072</v>
      </c>
      <c r="R805" s="5"/>
      <c r="S805" s="5" t="s">
        <v>8330</v>
      </c>
      <c r="T805" s="5"/>
    </row>
    <row r="806" spans="1:21" x14ac:dyDescent="0.25">
      <c r="A806" s="5" t="s">
        <v>10176</v>
      </c>
      <c r="B806" s="7" t="s">
        <v>8310</v>
      </c>
      <c r="C806" s="5" t="s">
        <v>102</v>
      </c>
      <c r="D806" s="5"/>
      <c r="E806" s="5">
        <v>53</v>
      </c>
      <c r="F806" s="5">
        <v>1</v>
      </c>
      <c r="G806" s="7">
        <v>79</v>
      </c>
      <c r="H806" s="5" t="s">
        <v>10070</v>
      </c>
      <c r="I806" s="5" t="str">
        <f t="shared" si="12"/>
        <v>fate8052322</v>
      </c>
      <c r="J806" s="6" t="s">
        <v>10082</v>
      </c>
      <c r="K806" s="6">
        <v>23.2</v>
      </c>
      <c r="L806" s="6">
        <v>22.8</v>
      </c>
      <c r="M806" s="6"/>
      <c r="N806" s="6"/>
      <c r="P806" s="5" t="s">
        <v>10071</v>
      </c>
      <c r="Q806" s="5" t="s">
        <v>10072</v>
      </c>
      <c r="R806" s="5"/>
      <c r="S806" s="5" t="s">
        <v>8330</v>
      </c>
      <c r="T806" s="5"/>
    </row>
    <row r="807" spans="1:21" x14ac:dyDescent="0.25">
      <c r="A807" s="5" t="s">
        <v>10178</v>
      </c>
      <c r="B807" s="7" t="s">
        <v>10503</v>
      </c>
      <c r="C807" s="5" t="s">
        <v>102</v>
      </c>
      <c r="D807" s="1" t="s">
        <v>11016</v>
      </c>
      <c r="E807" s="5">
        <v>53</v>
      </c>
      <c r="F807" s="5">
        <v>2</v>
      </c>
      <c r="G807" s="7">
        <v>79</v>
      </c>
      <c r="H807" s="5" t="s">
        <v>10070</v>
      </c>
      <c r="I807" s="5" t="str">
        <f t="shared" si="12"/>
        <v>fate8062911</v>
      </c>
      <c r="J807" s="6" t="s">
        <v>10088</v>
      </c>
      <c r="K807" s="6">
        <v>29.2</v>
      </c>
      <c r="L807" s="6">
        <v>11.9</v>
      </c>
      <c r="M807" s="6"/>
      <c r="N807" s="6"/>
      <c r="O807" s="5"/>
      <c r="P807" s="5" t="s">
        <v>10071</v>
      </c>
      <c r="Q807" s="5" t="s">
        <v>10072</v>
      </c>
      <c r="R807" s="5"/>
      <c r="S807" s="5" t="s">
        <v>8330</v>
      </c>
      <c r="T807" s="5"/>
    </row>
    <row r="808" spans="1:21" x14ac:dyDescent="0.25">
      <c r="A808" s="5" t="s">
        <v>10180</v>
      </c>
      <c r="B808" s="7" t="s">
        <v>8346</v>
      </c>
      <c r="C808" s="5" t="s">
        <v>102</v>
      </c>
      <c r="D808" s="5"/>
      <c r="E808" s="5">
        <v>53</v>
      </c>
      <c r="F808" s="5">
        <v>3</v>
      </c>
      <c r="G808" s="7">
        <v>79</v>
      </c>
      <c r="H808" s="5" t="s">
        <v>10070</v>
      </c>
      <c r="I808" s="5" t="str">
        <f t="shared" si="12"/>
        <v>fate8072319</v>
      </c>
      <c r="J808" s="6" t="s">
        <v>10548</v>
      </c>
      <c r="K808" s="6">
        <v>23.6</v>
      </c>
      <c r="L808" s="6">
        <v>19.100000000000001</v>
      </c>
      <c r="M808" s="6"/>
      <c r="N808" s="6"/>
      <c r="O808" s="5"/>
      <c r="P808" s="5" t="s">
        <v>10071</v>
      </c>
      <c r="Q808" s="5" t="s">
        <v>10072</v>
      </c>
      <c r="R808" s="5"/>
      <c r="S808" s="5" t="s">
        <v>8330</v>
      </c>
      <c r="T808" s="5"/>
    </row>
    <row r="809" spans="1:21" x14ac:dyDescent="0.25">
      <c r="A809" s="5" t="s">
        <v>10182</v>
      </c>
      <c r="B809" s="7" t="s">
        <v>8450</v>
      </c>
      <c r="C809" s="5" t="s">
        <v>102</v>
      </c>
      <c r="D809" s="5"/>
      <c r="E809" s="5">
        <v>53</v>
      </c>
      <c r="F809" s="5">
        <v>4</v>
      </c>
      <c r="G809" s="7">
        <v>79</v>
      </c>
      <c r="H809" s="5" t="s">
        <v>10070</v>
      </c>
      <c r="I809" s="5" t="str">
        <f t="shared" si="12"/>
        <v>fate8083594</v>
      </c>
      <c r="J809" s="6" t="s">
        <v>10550</v>
      </c>
      <c r="K809" s="6">
        <v>35.299999999999997</v>
      </c>
      <c r="L809" s="6">
        <v>9.4</v>
      </c>
      <c r="M809" s="6"/>
      <c r="N809" s="6"/>
      <c r="O809" s="5"/>
      <c r="P809" s="5" t="s">
        <v>10071</v>
      </c>
      <c r="Q809" s="5" t="s">
        <v>10072</v>
      </c>
      <c r="R809" s="5"/>
      <c r="S809" s="5" t="s">
        <v>8330</v>
      </c>
      <c r="T809" s="5"/>
    </row>
    <row r="810" spans="1:21" x14ac:dyDescent="0.25">
      <c r="A810" s="5" t="s">
        <v>10184</v>
      </c>
      <c r="B810" s="7" t="s">
        <v>8450</v>
      </c>
      <c r="C810" s="5" t="s">
        <v>102</v>
      </c>
      <c r="D810" s="5"/>
      <c r="E810" s="5">
        <v>53</v>
      </c>
      <c r="F810" s="5">
        <v>5</v>
      </c>
      <c r="G810" s="7">
        <v>79</v>
      </c>
      <c r="H810" s="5" t="s">
        <v>10070</v>
      </c>
      <c r="I810" s="5" t="str">
        <f t="shared" si="12"/>
        <v>fate8093652</v>
      </c>
      <c r="J810" s="6" t="s">
        <v>10552</v>
      </c>
      <c r="K810" s="6">
        <v>36</v>
      </c>
      <c r="L810" s="6">
        <v>5.2</v>
      </c>
      <c r="M810" s="6"/>
      <c r="N810" s="6"/>
      <c r="O810" s="5" t="s">
        <v>11017</v>
      </c>
      <c r="P810" s="5" t="s">
        <v>10071</v>
      </c>
      <c r="Q810" s="5" t="s">
        <v>10072</v>
      </c>
      <c r="R810" s="5"/>
      <c r="S810" s="5" t="s">
        <v>8330</v>
      </c>
      <c r="T810" s="5"/>
      <c r="U810" s="6" t="s">
        <v>11018</v>
      </c>
    </row>
    <row r="811" spans="1:21" x14ac:dyDescent="0.25">
      <c r="A811" s="5" t="s">
        <v>10186</v>
      </c>
      <c r="B811" s="7" t="s">
        <v>8310</v>
      </c>
      <c r="C811" s="5" t="s">
        <v>102</v>
      </c>
      <c r="D811" s="5"/>
      <c r="E811" s="5">
        <v>53</v>
      </c>
      <c r="F811" s="5">
        <v>6</v>
      </c>
      <c r="G811" s="7">
        <v>79</v>
      </c>
      <c r="H811" s="5" t="s">
        <v>10070</v>
      </c>
      <c r="I811" s="5" t="str">
        <f t="shared" si="12"/>
        <v>fate8102624</v>
      </c>
      <c r="J811" s="6" t="s">
        <v>10554</v>
      </c>
      <c r="K811" s="6">
        <v>26.9</v>
      </c>
      <c r="L811" s="6">
        <v>24.7</v>
      </c>
      <c r="M811" s="6"/>
      <c r="N811" s="6"/>
      <c r="O811" s="5"/>
      <c r="P811" s="5" t="s">
        <v>10071</v>
      </c>
      <c r="Q811" s="5" t="s">
        <v>10072</v>
      </c>
      <c r="R811" s="5"/>
      <c r="S811" s="5" t="s">
        <v>8330</v>
      </c>
      <c r="T811" s="5"/>
    </row>
    <row r="812" spans="1:21" x14ac:dyDescent="0.25">
      <c r="A812" s="5" t="s">
        <v>10188</v>
      </c>
      <c r="B812" s="7" t="s">
        <v>10668</v>
      </c>
      <c r="C812" s="5" t="s">
        <v>102</v>
      </c>
      <c r="D812" s="5" t="s">
        <v>10557</v>
      </c>
      <c r="E812" s="5">
        <v>53</v>
      </c>
      <c r="F812" s="5">
        <v>7</v>
      </c>
      <c r="G812" s="7">
        <v>80</v>
      </c>
      <c r="H812" s="5" t="s">
        <v>10070</v>
      </c>
      <c r="I812" s="5" t="str">
        <f t="shared" si="12"/>
        <v>fate8112726</v>
      </c>
      <c r="J812" s="6" t="s">
        <v>10556</v>
      </c>
      <c r="K812" s="6">
        <v>27.2</v>
      </c>
      <c r="L812" s="6">
        <v>26.2</v>
      </c>
      <c r="M812" s="6"/>
      <c r="N812" s="6"/>
      <c r="O812" s="5"/>
      <c r="P812" s="5" t="s">
        <v>10543</v>
      </c>
      <c r="Q812" s="5" t="s">
        <v>10072</v>
      </c>
      <c r="R812" s="5"/>
      <c r="S812" s="5" t="s">
        <v>9013</v>
      </c>
      <c r="T812" s="5"/>
    </row>
    <row r="813" spans="1:21" x14ac:dyDescent="0.25">
      <c r="A813" s="5" t="s">
        <v>10191</v>
      </c>
      <c r="B813" s="7" t="s">
        <v>8310</v>
      </c>
      <c r="C813" s="5" t="s">
        <v>133</v>
      </c>
      <c r="D813" s="5"/>
      <c r="F813" s="5"/>
      <c r="G813" s="7">
        <v>80</v>
      </c>
      <c r="H813" s="5" t="s">
        <v>10093</v>
      </c>
      <c r="I813" s="5" t="str">
        <f t="shared" si="12"/>
        <v>fate8121674</v>
      </c>
      <c r="J813" s="6" t="s">
        <v>10092</v>
      </c>
      <c r="K813" s="6">
        <v>16.2</v>
      </c>
      <c r="L813" s="6">
        <v>7.4</v>
      </c>
      <c r="M813" s="6"/>
      <c r="N813" s="6"/>
      <c r="P813" s="5" t="s">
        <v>10094</v>
      </c>
      <c r="Q813" s="5" t="s">
        <v>10095</v>
      </c>
      <c r="R813" s="5"/>
      <c r="S813" s="5" t="s">
        <v>8335</v>
      </c>
      <c r="T813" s="5"/>
    </row>
    <row r="814" spans="1:21" x14ac:dyDescent="0.25">
      <c r="A814" s="5" t="s">
        <v>10193</v>
      </c>
      <c r="B814" s="7" t="s">
        <v>8310</v>
      </c>
      <c r="C814" s="5" t="s">
        <v>133</v>
      </c>
      <c r="D814" s="5"/>
      <c r="F814" s="5"/>
      <c r="G814" s="7">
        <v>80</v>
      </c>
      <c r="H814" s="5" t="s">
        <v>10093</v>
      </c>
      <c r="I814" s="5" t="str">
        <f t="shared" si="12"/>
        <v>fate8132311</v>
      </c>
      <c r="J814" s="6" t="s">
        <v>10099</v>
      </c>
      <c r="K814" s="6">
        <v>23.3</v>
      </c>
      <c r="L814" s="6">
        <v>11.8</v>
      </c>
      <c r="M814" s="6"/>
      <c r="N814" s="6"/>
      <c r="P814" s="5" t="s">
        <v>10094</v>
      </c>
      <c r="Q814" s="5" t="s">
        <v>10095</v>
      </c>
      <c r="R814" s="5"/>
      <c r="S814" s="5" t="s">
        <v>8335</v>
      </c>
      <c r="T814" s="5"/>
    </row>
    <row r="815" spans="1:21" x14ac:dyDescent="0.25">
      <c r="A815" s="5" t="s">
        <v>10195</v>
      </c>
      <c r="B815" s="7" t="s">
        <v>8310</v>
      </c>
      <c r="C815" s="5" t="s">
        <v>133</v>
      </c>
      <c r="D815" s="5"/>
      <c r="F815" s="5"/>
      <c r="G815" s="7">
        <v>81</v>
      </c>
      <c r="H815" s="5" t="s">
        <v>10093</v>
      </c>
      <c r="I815" s="5" t="str">
        <f t="shared" si="12"/>
        <v>fate8143021</v>
      </c>
      <c r="J815" s="6" t="s">
        <v>10103</v>
      </c>
      <c r="K815" s="6">
        <v>30.3</v>
      </c>
      <c r="L815" s="6">
        <v>21.3</v>
      </c>
      <c r="M815" s="6"/>
      <c r="N815" s="6"/>
      <c r="P815" s="5" t="s">
        <v>10104</v>
      </c>
      <c r="Q815" s="5" t="s">
        <v>10105</v>
      </c>
      <c r="R815" s="5"/>
      <c r="S815" s="5" t="s">
        <v>8335</v>
      </c>
      <c r="T815" s="5"/>
    </row>
    <row r="816" spans="1:21" x14ac:dyDescent="0.25">
      <c r="A816" s="5" t="s">
        <v>10197</v>
      </c>
      <c r="B816" s="7" t="s">
        <v>8310</v>
      </c>
      <c r="C816" s="5" t="s">
        <v>133</v>
      </c>
      <c r="D816" s="5"/>
      <c r="F816" s="5"/>
      <c r="G816" s="7">
        <v>81</v>
      </c>
      <c r="H816" s="5" t="s">
        <v>10093</v>
      </c>
      <c r="I816" s="5" t="str">
        <f t="shared" si="12"/>
        <v>fate8152875</v>
      </c>
      <c r="J816" s="6" t="s">
        <v>10109</v>
      </c>
      <c r="K816" s="6">
        <v>28.2</v>
      </c>
      <c r="L816" s="6">
        <v>7.5</v>
      </c>
      <c r="M816" s="6"/>
      <c r="N816" s="6"/>
      <c r="P816" s="5" t="s">
        <v>10104</v>
      </c>
      <c r="Q816" s="5" t="s">
        <v>10105</v>
      </c>
      <c r="R816" s="5"/>
      <c r="S816" s="5" t="s">
        <v>8335</v>
      </c>
      <c r="T816" s="5"/>
    </row>
    <row r="817" spans="1:20" x14ac:dyDescent="0.25">
      <c r="A817" s="5" t="s">
        <v>10199</v>
      </c>
      <c r="B817" s="7" t="s">
        <v>8310</v>
      </c>
      <c r="C817" s="5" t="s">
        <v>133</v>
      </c>
      <c r="D817" s="5"/>
      <c r="F817" s="5"/>
      <c r="G817" s="7">
        <v>88</v>
      </c>
      <c r="H817" s="5" t="s">
        <v>10093</v>
      </c>
      <c r="I817" s="5" t="str">
        <f t="shared" si="12"/>
        <v>fate8169335</v>
      </c>
      <c r="J817" s="6" t="s">
        <v>10123</v>
      </c>
      <c r="K817" s="6">
        <v>9.3000000000000007</v>
      </c>
      <c r="L817" s="6">
        <v>35.799999999999997</v>
      </c>
      <c r="M817" s="6"/>
      <c r="N817" s="6"/>
      <c r="P817" s="5" t="s">
        <v>10120</v>
      </c>
      <c r="Q817" s="5" t="s">
        <v>10121</v>
      </c>
      <c r="R817" s="5"/>
      <c r="S817" s="5" t="s">
        <v>8335</v>
      </c>
      <c r="T817" s="5"/>
    </row>
    <row r="818" spans="1:20" x14ac:dyDescent="0.25">
      <c r="A818" s="5" t="s">
        <v>10201</v>
      </c>
      <c r="B818" s="7" t="s">
        <v>8310</v>
      </c>
      <c r="C818" s="5" t="s">
        <v>133</v>
      </c>
      <c r="D818" s="5"/>
      <c r="F818" s="5"/>
      <c r="G818" s="7">
        <v>88</v>
      </c>
      <c r="H818" s="5" t="s">
        <v>10093</v>
      </c>
      <c r="I818" s="5" t="str">
        <f t="shared" si="12"/>
        <v>fate8176331</v>
      </c>
      <c r="J818" s="6" t="s">
        <v>10127</v>
      </c>
      <c r="K818" s="6">
        <v>6.3</v>
      </c>
      <c r="L818" s="6">
        <v>31.8</v>
      </c>
      <c r="M818" s="6"/>
      <c r="N818" s="6"/>
      <c r="P818" s="5" t="s">
        <v>10120</v>
      </c>
      <c r="Q818" s="5" t="s">
        <v>10121</v>
      </c>
      <c r="R818" s="5"/>
      <c r="S818" s="5" t="s">
        <v>8335</v>
      </c>
      <c r="T818" s="5"/>
    </row>
    <row r="819" spans="1:20" x14ac:dyDescent="0.25">
      <c r="A819" s="5" t="s">
        <v>10203</v>
      </c>
      <c r="B819" s="7" t="s">
        <v>8310</v>
      </c>
      <c r="C819" s="5" t="s">
        <v>133</v>
      </c>
      <c r="D819" s="5"/>
      <c r="F819" s="5"/>
      <c r="G819" s="7">
        <v>88</v>
      </c>
      <c r="H819" s="5" t="s">
        <v>10093</v>
      </c>
      <c r="I819" s="5" t="str">
        <f t="shared" si="12"/>
        <v>fate8182423</v>
      </c>
      <c r="J819" s="6" t="s">
        <v>10129</v>
      </c>
      <c r="K819" s="6">
        <v>24.1</v>
      </c>
      <c r="L819" s="6">
        <v>23.1</v>
      </c>
      <c r="M819" s="6"/>
      <c r="N819" s="6"/>
      <c r="P819" s="5" t="s">
        <v>10120</v>
      </c>
      <c r="Q819" s="5" t="s">
        <v>10121</v>
      </c>
      <c r="R819" s="5"/>
      <c r="S819" s="5" t="s">
        <v>8335</v>
      </c>
      <c r="T819" s="5"/>
    </row>
    <row r="820" spans="1:20" x14ac:dyDescent="0.25">
      <c r="A820" s="5" t="s">
        <v>10205</v>
      </c>
      <c r="B820" s="7" t="s">
        <v>8346</v>
      </c>
      <c r="C820" s="5" t="s">
        <v>133</v>
      </c>
      <c r="D820" s="5"/>
      <c r="F820" s="5"/>
      <c r="G820" s="7">
        <v>81</v>
      </c>
      <c r="H820" s="5" t="s">
        <v>10093</v>
      </c>
      <c r="I820" s="5" t="str">
        <f t="shared" si="12"/>
        <v>fate8191410</v>
      </c>
      <c r="J820" s="6" t="s">
        <v>10111</v>
      </c>
      <c r="K820" s="6">
        <v>14.5</v>
      </c>
      <c r="L820" s="6">
        <v>10.6</v>
      </c>
      <c r="M820" s="6"/>
      <c r="N820" s="6"/>
      <c r="P820" s="5" t="s">
        <v>10104</v>
      </c>
      <c r="Q820" s="5" t="s">
        <v>10105</v>
      </c>
      <c r="R820" s="5"/>
      <c r="S820" s="5" t="s">
        <v>8335</v>
      </c>
      <c r="T820" s="5"/>
    </row>
    <row r="821" spans="1:20" x14ac:dyDescent="0.25">
      <c r="A821" s="5" t="s">
        <v>10208</v>
      </c>
      <c r="B821" s="7" t="s">
        <v>8424</v>
      </c>
      <c r="C821" s="5" t="s">
        <v>133</v>
      </c>
      <c r="D821" s="5"/>
      <c r="F821" s="5"/>
      <c r="G821" s="7">
        <v>88</v>
      </c>
      <c r="H821" s="5" t="s">
        <v>10093</v>
      </c>
      <c r="I821" s="5" t="str">
        <f t="shared" si="12"/>
        <v>fate8202235</v>
      </c>
      <c r="J821" s="6" t="s">
        <v>10125</v>
      </c>
      <c r="K821" s="6">
        <v>22.9</v>
      </c>
      <c r="L821" s="6">
        <v>35.700000000000003</v>
      </c>
      <c r="M821" s="6"/>
      <c r="N821" s="6"/>
      <c r="P821" s="5" t="s">
        <v>10120</v>
      </c>
      <c r="Q821" s="5" t="s">
        <v>10121</v>
      </c>
      <c r="R821" s="5"/>
      <c r="S821" s="5" t="s">
        <v>8335</v>
      </c>
      <c r="T821" s="5"/>
    </row>
    <row r="822" spans="1:20" x14ac:dyDescent="0.25">
      <c r="A822" s="5" t="s">
        <v>10210</v>
      </c>
      <c r="B822" s="7" t="s">
        <v>8424</v>
      </c>
      <c r="C822" s="5" t="s">
        <v>133</v>
      </c>
      <c r="D822" s="5"/>
      <c r="F822" s="5"/>
      <c r="G822" s="7">
        <v>88</v>
      </c>
      <c r="H822" s="5" t="s">
        <v>10093</v>
      </c>
      <c r="I822" s="5" t="str">
        <f t="shared" si="12"/>
        <v>fate8218324</v>
      </c>
      <c r="J822" s="6" t="s">
        <v>10131</v>
      </c>
      <c r="K822" s="6">
        <v>8.3000000000000007</v>
      </c>
      <c r="L822" s="6">
        <v>24</v>
      </c>
      <c r="M822" s="6"/>
      <c r="N822" s="6"/>
      <c r="P822" s="5" t="s">
        <v>10120</v>
      </c>
      <c r="Q822" s="5" t="s">
        <v>10121</v>
      </c>
      <c r="R822" s="5"/>
      <c r="S822" s="5" t="s">
        <v>8335</v>
      </c>
      <c r="T822" s="5"/>
    </row>
    <row r="823" spans="1:20" x14ac:dyDescent="0.25">
      <c r="A823" s="5" t="s">
        <v>10212</v>
      </c>
      <c r="B823" s="7" t="s">
        <v>10503</v>
      </c>
      <c r="C823" s="5" t="s">
        <v>133</v>
      </c>
      <c r="D823" s="1" t="s">
        <v>11020</v>
      </c>
      <c r="F823" s="5"/>
      <c r="G823" s="7">
        <v>80</v>
      </c>
      <c r="H823" s="5" t="s">
        <v>10093</v>
      </c>
      <c r="I823" s="5" t="str">
        <f t="shared" si="12"/>
        <v>fate8223291</v>
      </c>
      <c r="J823" s="6" t="s">
        <v>10101</v>
      </c>
      <c r="K823" s="6">
        <v>32.1</v>
      </c>
      <c r="L823" s="6">
        <v>9.1</v>
      </c>
      <c r="M823" s="6"/>
      <c r="N823" s="6"/>
      <c r="P823" s="5" t="s">
        <v>10094</v>
      </c>
      <c r="Q823" s="5" t="s">
        <v>10095</v>
      </c>
      <c r="R823" s="5"/>
      <c r="S823" s="5" t="s">
        <v>8335</v>
      </c>
      <c r="T823" s="5"/>
    </row>
    <row r="824" spans="1:20" x14ac:dyDescent="0.25">
      <c r="A824" s="5" t="s">
        <v>10214</v>
      </c>
      <c r="B824" s="7" t="s">
        <v>10503</v>
      </c>
      <c r="C824" s="5" t="s">
        <v>133</v>
      </c>
      <c r="D824" s="1" t="s">
        <v>11022</v>
      </c>
      <c r="F824" s="5"/>
      <c r="G824" s="7">
        <v>88</v>
      </c>
      <c r="H824" s="5" t="s">
        <v>10093</v>
      </c>
      <c r="I824" s="5" t="str">
        <f t="shared" si="12"/>
        <v>fate8231119</v>
      </c>
      <c r="J824" s="6" t="s">
        <v>10119</v>
      </c>
      <c r="K824" s="6">
        <v>11.8</v>
      </c>
      <c r="L824" s="6">
        <v>19.899999999999999</v>
      </c>
      <c r="M824" s="6"/>
      <c r="N824" s="6"/>
      <c r="P824" s="5" t="s">
        <v>10120</v>
      </c>
      <c r="Q824" s="5" t="s">
        <v>10121</v>
      </c>
      <c r="R824" s="5"/>
      <c r="S824" s="5" t="s">
        <v>8335</v>
      </c>
      <c r="T824" s="5"/>
    </row>
    <row r="825" spans="1:20" x14ac:dyDescent="0.25">
      <c r="A825" s="5" t="s">
        <v>10216</v>
      </c>
      <c r="B825" s="7" t="s">
        <v>8310</v>
      </c>
      <c r="C825" s="5" t="s">
        <v>133</v>
      </c>
      <c r="D825" s="5"/>
      <c r="E825" s="5">
        <v>54</v>
      </c>
      <c r="F825" s="5">
        <v>1</v>
      </c>
      <c r="G825" s="7">
        <v>80</v>
      </c>
      <c r="H825" s="5" t="s">
        <v>10093</v>
      </c>
      <c r="I825" s="5" t="str">
        <f t="shared" si="12"/>
        <v>fate8243314</v>
      </c>
      <c r="J825" s="6" t="s">
        <v>10097</v>
      </c>
      <c r="K825" s="6">
        <v>33.299999999999997</v>
      </c>
      <c r="L825" s="6">
        <v>14.8</v>
      </c>
      <c r="M825" s="6"/>
      <c r="N825" s="6"/>
      <c r="P825" s="5" t="s">
        <v>10094</v>
      </c>
      <c r="Q825" s="5" t="s">
        <v>10095</v>
      </c>
      <c r="R825" s="5"/>
      <c r="S825" s="5" t="s">
        <v>8335</v>
      </c>
      <c r="T825" s="5"/>
    </row>
    <row r="826" spans="1:20" x14ac:dyDescent="0.25">
      <c r="A826" s="5" t="s">
        <v>10218</v>
      </c>
      <c r="B826" s="7" t="s">
        <v>10503</v>
      </c>
      <c r="C826" s="5" t="s">
        <v>133</v>
      </c>
      <c r="D826" s="1" t="s">
        <v>11021</v>
      </c>
      <c r="E826" s="5">
        <v>54</v>
      </c>
      <c r="F826" s="5">
        <v>2</v>
      </c>
      <c r="G826" s="7">
        <v>81</v>
      </c>
      <c r="H826" s="5" t="s">
        <v>10093</v>
      </c>
      <c r="I826" s="5" t="str">
        <f t="shared" si="12"/>
        <v>fate8252925</v>
      </c>
      <c r="J826" s="6" t="s">
        <v>10107</v>
      </c>
      <c r="K826" s="6">
        <v>29.8</v>
      </c>
      <c r="L826" s="6">
        <v>25.5</v>
      </c>
      <c r="M826" s="6"/>
      <c r="N826" s="6"/>
      <c r="P826" s="5" t="s">
        <v>10104</v>
      </c>
      <c r="Q826" s="5" t="s">
        <v>10105</v>
      </c>
      <c r="R826" s="5"/>
      <c r="S826" s="5" t="s">
        <v>8335</v>
      </c>
      <c r="T826" s="5"/>
    </row>
    <row r="827" spans="1:20" x14ac:dyDescent="0.25">
      <c r="A827" s="5" t="s">
        <v>10222</v>
      </c>
      <c r="B827" s="7" t="s">
        <v>8310</v>
      </c>
      <c r="C827" s="5" t="s">
        <v>133</v>
      </c>
      <c r="D827" s="5"/>
      <c r="E827" s="5">
        <v>54</v>
      </c>
      <c r="F827" s="5">
        <v>3</v>
      </c>
      <c r="G827" s="7">
        <v>85</v>
      </c>
      <c r="H827" s="5" t="s">
        <v>10093</v>
      </c>
      <c r="I827" s="5" t="str">
        <f t="shared" si="12"/>
        <v>fate8262331</v>
      </c>
      <c r="J827" s="6" t="s">
        <v>10113</v>
      </c>
      <c r="K827" s="6">
        <v>23.6</v>
      </c>
      <c r="L827" s="6">
        <v>31.8</v>
      </c>
      <c r="M827" s="6"/>
      <c r="N827" s="6"/>
      <c r="P827" s="5" t="s">
        <v>10114</v>
      </c>
      <c r="Q827" s="5" t="s">
        <v>10115</v>
      </c>
      <c r="R827" s="5"/>
      <c r="S827" s="5" t="s">
        <v>8335</v>
      </c>
      <c r="T827" s="5"/>
    </row>
    <row r="828" spans="1:20" x14ac:dyDescent="0.25">
      <c r="A828" s="5" t="s">
        <v>10224</v>
      </c>
      <c r="B828" s="7" t="s">
        <v>8310</v>
      </c>
      <c r="C828" s="5" t="s">
        <v>133</v>
      </c>
      <c r="D828" s="5"/>
      <c r="E828" s="5">
        <v>54</v>
      </c>
      <c r="F828" s="5">
        <v>4</v>
      </c>
      <c r="G828" s="7">
        <v>85</v>
      </c>
      <c r="H828" s="5" t="s">
        <v>10093</v>
      </c>
      <c r="I828" s="5" t="str">
        <f t="shared" si="12"/>
        <v>fate8271838</v>
      </c>
      <c r="J828" s="6" t="s">
        <v>10117</v>
      </c>
      <c r="K828" s="6">
        <v>18.100000000000001</v>
      </c>
      <c r="L828" s="6">
        <v>38.4</v>
      </c>
      <c r="M828" s="6"/>
      <c r="N828" s="6"/>
      <c r="P828" s="5" t="s">
        <v>10114</v>
      </c>
      <c r="Q828" s="5" t="s">
        <v>10115</v>
      </c>
      <c r="R828" s="5"/>
      <c r="S828" s="5" t="s">
        <v>8335</v>
      </c>
      <c r="T828" s="5"/>
    </row>
    <row r="829" spans="1:20" x14ac:dyDescent="0.25">
      <c r="A829" s="5" t="s">
        <v>10226</v>
      </c>
      <c r="B829" s="7" t="s">
        <v>8310</v>
      </c>
      <c r="C829" s="5" t="s">
        <v>133</v>
      </c>
      <c r="D829" s="5"/>
      <c r="F829" s="5"/>
      <c r="G829" s="7">
        <v>80</v>
      </c>
      <c r="H829" s="5" t="s">
        <v>10134</v>
      </c>
      <c r="I829" s="5" t="str">
        <f t="shared" si="12"/>
        <v>fate8281727</v>
      </c>
      <c r="J829" s="6" t="s">
        <v>10133</v>
      </c>
      <c r="K829" s="6">
        <v>17.8</v>
      </c>
      <c r="L829" s="6">
        <v>27.7</v>
      </c>
      <c r="M829" s="6"/>
      <c r="N829" s="6"/>
      <c r="P829" s="5" t="s">
        <v>10094</v>
      </c>
      <c r="Q829" s="5" t="s">
        <v>10095</v>
      </c>
      <c r="R829" s="5"/>
      <c r="S829" s="5" t="s">
        <v>8335</v>
      </c>
      <c r="T829" s="5"/>
    </row>
    <row r="830" spans="1:20" x14ac:dyDescent="0.25">
      <c r="A830" s="5" t="s">
        <v>10228</v>
      </c>
      <c r="B830" s="7" t="s">
        <v>8310</v>
      </c>
      <c r="C830" s="5" t="s">
        <v>133</v>
      </c>
      <c r="D830" s="5"/>
      <c r="F830" s="5"/>
      <c r="G830" s="7">
        <v>80</v>
      </c>
      <c r="H830" s="5" t="s">
        <v>10134</v>
      </c>
      <c r="I830" s="5" t="str">
        <f t="shared" si="12"/>
        <v>fate8292038</v>
      </c>
      <c r="J830" s="6" t="s">
        <v>10142</v>
      </c>
      <c r="K830" s="6">
        <v>20.3</v>
      </c>
      <c r="L830" s="6">
        <v>38.4</v>
      </c>
      <c r="M830" s="6"/>
      <c r="N830" s="6"/>
      <c r="P830" s="5" t="s">
        <v>10094</v>
      </c>
      <c r="Q830" s="5" t="s">
        <v>10095</v>
      </c>
      <c r="R830" s="5"/>
      <c r="S830" s="5" t="s">
        <v>8335</v>
      </c>
      <c r="T830" s="5"/>
    </row>
    <row r="831" spans="1:20" x14ac:dyDescent="0.25">
      <c r="A831" s="5" t="s">
        <v>10230</v>
      </c>
      <c r="B831" s="7" t="s">
        <v>8310</v>
      </c>
      <c r="C831" s="5" t="s">
        <v>133</v>
      </c>
      <c r="D831" s="5"/>
      <c r="F831" s="5"/>
      <c r="G831" s="7">
        <v>81</v>
      </c>
      <c r="H831" s="5" t="s">
        <v>10134</v>
      </c>
      <c r="I831" s="5" t="str">
        <f t="shared" si="12"/>
        <v>fate830169</v>
      </c>
      <c r="J831" s="6" t="s">
        <v>10144</v>
      </c>
      <c r="K831" s="6">
        <v>16.7</v>
      </c>
      <c r="L831" s="6">
        <v>9</v>
      </c>
      <c r="M831" s="6"/>
      <c r="N831" s="6"/>
      <c r="P831" s="5" t="s">
        <v>10104</v>
      </c>
      <c r="Q831" s="5" t="s">
        <v>10105</v>
      </c>
      <c r="R831" s="5"/>
      <c r="S831" s="5" t="s">
        <v>8335</v>
      </c>
      <c r="T831" s="5"/>
    </row>
    <row r="832" spans="1:20" x14ac:dyDescent="0.25">
      <c r="A832" s="5" t="s">
        <v>10232</v>
      </c>
      <c r="B832" s="7" t="s">
        <v>8310</v>
      </c>
      <c r="C832" s="5" t="s">
        <v>133</v>
      </c>
      <c r="D832" s="5"/>
      <c r="F832" s="5"/>
      <c r="G832" s="7">
        <v>81</v>
      </c>
      <c r="H832" s="5" t="s">
        <v>10134</v>
      </c>
      <c r="I832" s="5" t="str">
        <f t="shared" si="12"/>
        <v>fate8311431</v>
      </c>
      <c r="J832" s="6" t="s">
        <v>10146</v>
      </c>
      <c r="K832" s="6">
        <v>14.7</v>
      </c>
      <c r="L832" s="6">
        <v>31.3</v>
      </c>
      <c r="M832" s="6"/>
      <c r="N832" s="6"/>
      <c r="P832" s="5" t="s">
        <v>10104</v>
      </c>
      <c r="Q832" s="5" t="s">
        <v>10105</v>
      </c>
      <c r="R832" s="5"/>
      <c r="S832" s="5" t="s">
        <v>8335</v>
      </c>
      <c r="T832" s="5"/>
    </row>
    <row r="833" spans="1:20" x14ac:dyDescent="0.25">
      <c r="A833" s="5" t="s">
        <v>10234</v>
      </c>
      <c r="B833" s="7" t="s">
        <v>8310</v>
      </c>
      <c r="C833" s="5" t="s">
        <v>133</v>
      </c>
      <c r="D833" s="5"/>
      <c r="F833" s="5"/>
      <c r="G833" s="7">
        <v>85</v>
      </c>
      <c r="H833" s="5" t="s">
        <v>10134</v>
      </c>
      <c r="I833" s="5" t="str">
        <f t="shared" si="12"/>
        <v>fate8322427</v>
      </c>
      <c r="J833" s="6" t="s">
        <v>10150</v>
      </c>
      <c r="K833" s="6">
        <v>24.9</v>
      </c>
      <c r="L833" s="6">
        <v>27.1</v>
      </c>
      <c r="M833" s="6"/>
      <c r="N833" s="6"/>
      <c r="P833" s="5" t="s">
        <v>10114</v>
      </c>
      <c r="Q833" s="5" t="s">
        <v>10115</v>
      </c>
      <c r="R833" s="5"/>
      <c r="S833" s="5" t="s">
        <v>8335</v>
      </c>
      <c r="T833" s="5"/>
    </row>
    <row r="834" spans="1:20" x14ac:dyDescent="0.25">
      <c r="A834" s="5" t="s">
        <v>10236</v>
      </c>
      <c r="B834" s="7" t="s">
        <v>8310</v>
      </c>
      <c r="C834" s="5" t="s">
        <v>133</v>
      </c>
      <c r="D834" s="5"/>
      <c r="F834" s="5"/>
      <c r="G834" s="7">
        <v>85</v>
      </c>
      <c r="H834" s="5" t="s">
        <v>10134</v>
      </c>
      <c r="I834" s="5" t="str">
        <f t="shared" si="12"/>
        <v>fate8333019</v>
      </c>
      <c r="J834" s="6" t="s">
        <v>10152</v>
      </c>
      <c r="K834" s="6">
        <v>30.8</v>
      </c>
      <c r="L834" s="6">
        <v>19.399999999999999</v>
      </c>
      <c r="M834" s="6"/>
      <c r="N834" s="6"/>
      <c r="P834" s="5" t="s">
        <v>10114</v>
      </c>
      <c r="Q834" s="5" t="s">
        <v>10115</v>
      </c>
      <c r="R834" s="5"/>
      <c r="S834" s="5" t="s">
        <v>8335</v>
      </c>
      <c r="T834" s="5"/>
    </row>
    <row r="835" spans="1:20" x14ac:dyDescent="0.25">
      <c r="A835" s="5" t="s">
        <v>10238</v>
      </c>
      <c r="B835" s="7" t="s">
        <v>8310</v>
      </c>
      <c r="C835" s="5" t="s">
        <v>133</v>
      </c>
      <c r="D835" s="5"/>
      <c r="F835" s="5"/>
      <c r="G835" s="7">
        <v>85</v>
      </c>
      <c r="H835" s="5" t="s">
        <v>10134</v>
      </c>
      <c r="I835" s="5" t="str">
        <f t="shared" si="12"/>
        <v>fate8343025</v>
      </c>
      <c r="J835" s="6" t="s">
        <v>10156</v>
      </c>
      <c r="K835" s="6">
        <v>30.2</v>
      </c>
      <c r="L835" s="6">
        <v>25.7</v>
      </c>
      <c r="M835" s="6"/>
      <c r="N835" s="6"/>
      <c r="P835" s="5" t="s">
        <v>10114</v>
      </c>
      <c r="Q835" s="5" t="s">
        <v>10115</v>
      </c>
      <c r="R835" s="5"/>
      <c r="S835" s="5" t="s">
        <v>8335</v>
      </c>
      <c r="T835" s="5"/>
    </row>
    <row r="836" spans="1:20" x14ac:dyDescent="0.25">
      <c r="A836" s="5" t="s">
        <v>10242</v>
      </c>
      <c r="B836" s="7" t="s">
        <v>8310</v>
      </c>
      <c r="C836" s="5" t="s">
        <v>133</v>
      </c>
      <c r="F836" s="5"/>
      <c r="G836" s="7">
        <v>85</v>
      </c>
      <c r="H836" s="5" t="s">
        <v>10134</v>
      </c>
      <c r="I836" s="5" t="str">
        <f t="shared" ref="I836:I899" si="13">A836&amp;LEFT(SUBSTITUTE(K836,".",""),2)&amp;LEFT(SUBSTITUTE(L836,".",""),2)</f>
        <v>fate8352710</v>
      </c>
      <c r="J836" s="6" t="s">
        <v>10160</v>
      </c>
      <c r="K836" s="6">
        <v>27.8</v>
      </c>
      <c r="L836" s="6">
        <v>10.6</v>
      </c>
      <c r="M836" s="6"/>
      <c r="N836" s="6"/>
      <c r="P836" s="5" t="s">
        <v>10114</v>
      </c>
      <c r="Q836" s="5" t="s">
        <v>10115</v>
      </c>
      <c r="R836" s="5"/>
      <c r="S836" s="5" t="s">
        <v>8335</v>
      </c>
      <c r="T836" s="5"/>
    </row>
    <row r="837" spans="1:20" x14ac:dyDescent="0.25">
      <c r="A837" s="5" t="s">
        <v>10244</v>
      </c>
      <c r="B837" s="7" t="s">
        <v>8310</v>
      </c>
      <c r="C837" s="5" t="s">
        <v>133</v>
      </c>
      <c r="D837" s="5"/>
      <c r="F837" s="5"/>
      <c r="G837" s="7">
        <v>85</v>
      </c>
      <c r="H837" s="5" t="s">
        <v>10134</v>
      </c>
      <c r="I837" s="5" t="str">
        <f t="shared" si="13"/>
        <v>fate8362614</v>
      </c>
      <c r="J837" s="6" t="s">
        <v>10164</v>
      </c>
      <c r="K837" s="6">
        <v>26.5</v>
      </c>
      <c r="L837" s="6">
        <v>14.7</v>
      </c>
      <c r="M837" s="6"/>
      <c r="N837" s="6"/>
      <c r="P837" s="5" t="s">
        <v>10114</v>
      </c>
      <c r="Q837" s="5" t="s">
        <v>10115</v>
      </c>
      <c r="R837" s="5"/>
      <c r="S837" s="5" t="s">
        <v>8335</v>
      </c>
      <c r="T837" s="5"/>
    </row>
    <row r="838" spans="1:20" x14ac:dyDescent="0.25">
      <c r="A838" s="5" t="s">
        <v>10246</v>
      </c>
      <c r="B838" s="7" t="s">
        <v>8346</v>
      </c>
      <c r="C838" s="5" t="s">
        <v>133</v>
      </c>
      <c r="D838" s="5"/>
      <c r="F838" s="5"/>
      <c r="G838" s="7">
        <v>81</v>
      </c>
      <c r="H838" s="5" t="s">
        <v>10134</v>
      </c>
      <c r="I838" s="5" t="str">
        <f t="shared" si="13"/>
        <v>fate8378215</v>
      </c>
      <c r="J838" s="6" t="s">
        <v>10148</v>
      </c>
      <c r="K838" s="6">
        <v>8.1999999999999993</v>
      </c>
      <c r="L838" s="6">
        <v>15.4</v>
      </c>
      <c r="M838" s="6"/>
      <c r="N838" s="6"/>
      <c r="P838" s="5" t="s">
        <v>10104</v>
      </c>
      <c r="Q838" s="5" t="s">
        <v>10105</v>
      </c>
      <c r="R838" s="5"/>
      <c r="S838" s="5" t="s">
        <v>8335</v>
      </c>
      <c r="T838" s="5"/>
    </row>
    <row r="839" spans="1:20" x14ac:dyDescent="0.25">
      <c r="A839" s="5" t="s">
        <v>10248</v>
      </c>
      <c r="B839" s="7" t="s">
        <v>10503</v>
      </c>
      <c r="C839" s="5" t="s">
        <v>133</v>
      </c>
      <c r="D839" s="1" t="s">
        <v>11023</v>
      </c>
      <c r="F839" s="5"/>
      <c r="G839" s="7">
        <v>80</v>
      </c>
      <c r="H839" s="5" t="s">
        <v>10134</v>
      </c>
      <c r="I839" s="5" t="str">
        <f t="shared" si="13"/>
        <v>fate8381719</v>
      </c>
      <c r="J839" s="6" t="s">
        <v>10140</v>
      </c>
      <c r="K839" s="6">
        <v>17.899999999999999</v>
      </c>
      <c r="L839" s="6">
        <v>19.7</v>
      </c>
      <c r="M839" s="6"/>
      <c r="N839" s="6"/>
      <c r="P839" s="5" t="s">
        <v>10094</v>
      </c>
      <c r="Q839" s="5" t="s">
        <v>10095</v>
      </c>
      <c r="R839" s="5"/>
      <c r="S839" s="5" t="s">
        <v>8335</v>
      </c>
      <c r="T839" s="5"/>
    </row>
    <row r="840" spans="1:20" x14ac:dyDescent="0.25">
      <c r="A840" s="5" t="s">
        <v>10250</v>
      </c>
      <c r="B840" s="7" t="s">
        <v>10503</v>
      </c>
      <c r="C840" s="5" t="s">
        <v>133</v>
      </c>
      <c r="D840" s="1" t="s">
        <v>11024</v>
      </c>
      <c r="F840" s="5"/>
      <c r="G840" s="7">
        <v>85</v>
      </c>
      <c r="H840" s="5" t="s">
        <v>10134</v>
      </c>
      <c r="I840" s="5" t="str">
        <f t="shared" si="13"/>
        <v>fate8392420</v>
      </c>
      <c r="J840" s="6" t="s">
        <v>10162</v>
      </c>
      <c r="K840" s="6">
        <v>24.9</v>
      </c>
      <c r="L840" s="6">
        <v>20</v>
      </c>
      <c r="M840" s="6"/>
      <c r="N840" s="6"/>
      <c r="P840" s="5" t="s">
        <v>10114</v>
      </c>
      <c r="Q840" s="5" t="s">
        <v>10115</v>
      </c>
      <c r="R840" s="5"/>
      <c r="S840" s="5" t="s">
        <v>8335</v>
      </c>
      <c r="T840" s="5"/>
    </row>
    <row r="841" spans="1:20" x14ac:dyDescent="0.25">
      <c r="A841" s="5" t="s">
        <v>10252</v>
      </c>
      <c r="B841" s="7" t="s">
        <v>8424</v>
      </c>
      <c r="C841" s="5" t="s">
        <v>133</v>
      </c>
      <c r="D841" s="5"/>
      <c r="E841" s="5">
        <v>55</v>
      </c>
      <c r="F841" s="5">
        <v>1</v>
      </c>
      <c r="G841" s="7">
        <v>80</v>
      </c>
      <c r="H841" s="5" t="s">
        <v>10134</v>
      </c>
      <c r="I841" s="5" t="str">
        <f t="shared" si="13"/>
        <v>fate8402111</v>
      </c>
      <c r="J841" s="6" t="s">
        <v>10136</v>
      </c>
      <c r="K841" s="6">
        <v>21.5</v>
      </c>
      <c r="L841" s="6">
        <v>11.1</v>
      </c>
      <c r="M841" s="6"/>
      <c r="N841" s="6"/>
      <c r="P841" s="5" t="s">
        <v>10094</v>
      </c>
      <c r="Q841" s="5" t="s">
        <v>10095</v>
      </c>
      <c r="R841" s="5"/>
      <c r="S841" s="5" t="s">
        <v>8335</v>
      </c>
      <c r="T841" s="5"/>
    </row>
    <row r="842" spans="1:20" x14ac:dyDescent="0.25">
      <c r="A842" s="5" t="s">
        <v>10254</v>
      </c>
      <c r="B842" s="7" t="s">
        <v>8310</v>
      </c>
      <c r="C842" s="5" t="s">
        <v>133</v>
      </c>
      <c r="D842" s="5"/>
      <c r="E842" s="5">
        <v>55</v>
      </c>
      <c r="F842" s="5">
        <v>2</v>
      </c>
      <c r="G842" s="7">
        <v>80</v>
      </c>
      <c r="H842" s="5" t="s">
        <v>10134</v>
      </c>
      <c r="I842" s="5" t="str">
        <f t="shared" si="13"/>
        <v>fate8411417</v>
      </c>
      <c r="J842" s="6" t="s">
        <v>10138</v>
      </c>
      <c r="K842" s="6">
        <v>14.1</v>
      </c>
      <c r="L842" s="6">
        <v>17</v>
      </c>
      <c r="M842" s="6"/>
      <c r="N842" s="6"/>
      <c r="P842" s="5" t="s">
        <v>10094</v>
      </c>
      <c r="Q842" s="5" t="s">
        <v>10095</v>
      </c>
      <c r="R842" s="5"/>
      <c r="S842" s="5" t="s">
        <v>8335</v>
      </c>
      <c r="T842" s="5"/>
    </row>
    <row r="843" spans="1:20" x14ac:dyDescent="0.25">
      <c r="A843" s="5" t="s">
        <v>10256</v>
      </c>
      <c r="B843" s="7" t="s">
        <v>8346</v>
      </c>
      <c r="C843" s="5" t="s">
        <v>133</v>
      </c>
      <c r="D843" s="5"/>
      <c r="E843" s="5">
        <v>56</v>
      </c>
      <c r="F843" s="5">
        <v>1</v>
      </c>
      <c r="G843" s="7">
        <v>85</v>
      </c>
      <c r="H843" s="5" t="s">
        <v>10134</v>
      </c>
      <c r="I843" s="5" t="str">
        <f t="shared" si="13"/>
        <v>fate8423427</v>
      </c>
      <c r="J843" s="6" t="s">
        <v>10154</v>
      </c>
      <c r="K843" s="6">
        <v>34.299999999999997</v>
      </c>
      <c r="L843" s="6">
        <v>27.5</v>
      </c>
      <c r="M843" s="6"/>
      <c r="N843" s="6"/>
      <c r="P843" s="5" t="s">
        <v>10114</v>
      </c>
      <c r="Q843" s="5" t="s">
        <v>10115</v>
      </c>
      <c r="R843" s="5"/>
      <c r="S843" s="5" t="s">
        <v>8335</v>
      </c>
      <c r="T843" s="5"/>
    </row>
    <row r="844" spans="1:20" x14ac:dyDescent="0.25">
      <c r="A844" s="5" t="s">
        <v>10258</v>
      </c>
      <c r="B844" s="7" t="s">
        <v>8310</v>
      </c>
      <c r="C844" s="5" t="s">
        <v>133</v>
      </c>
      <c r="D844" s="5"/>
      <c r="E844" s="5">
        <v>56</v>
      </c>
      <c r="F844" s="5">
        <v>2</v>
      </c>
      <c r="G844" s="7">
        <v>85</v>
      </c>
      <c r="H844" s="5" t="s">
        <v>10134</v>
      </c>
      <c r="I844" s="5" t="str">
        <f t="shared" si="13"/>
        <v>fate8432323</v>
      </c>
      <c r="J844" s="6" t="s">
        <v>10158</v>
      </c>
      <c r="K844" s="6">
        <v>23</v>
      </c>
      <c r="L844" s="6">
        <v>23.3</v>
      </c>
      <c r="M844" s="6"/>
      <c r="N844" s="6"/>
      <c r="O844" s="5"/>
      <c r="P844" s="5" t="s">
        <v>10114</v>
      </c>
      <c r="Q844" s="5" t="s">
        <v>10115</v>
      </c>
      <c r="R844" s="5"/>
      <c r="S844" s="5" t="s">
        <v>8335</v>
      </c>
      <c r="T844" s="5"/>
    </row>
    <row r="845" spans="1:20" x14ac:dyDescent="0.25">
      <c r="A845" s="5" t="s">
        <v>10260</v>
      </c>
      <c r="B845" s="7" t="s">
        <v>10668</v>
      </c>
      <c r="C845" s="5" t="s">
        <v>133</v>
      </c>
      <c r="D845" s="1" t="s">
        <v>10561</v>
      </c>
      <c r="E845" s="5">
        <v>56</v>
      </c>
      <c r="F845" s="5">
        <v>3</v>
      </c>
      <c r="G845" s="7">
        <v>90</v>
      </c>
      <c r="H845" s="5" t="s">
        <v>10134</v>
      </c>
      <c r="I845" s="5" t="str">
        <f t="shared" si="13"/>
        <v>fate8449337</v>
      </c>
      <c r="J845" s="6" t="s">
        <v>10166</v>
      </c>
      <c r="K845" s="6">
        <v>9.3000000000000007</v>
      </c>
      <c r="L845" s="6">
        <v>37.5</v>
      </c>
      <c r="M845" s="6"/>
      <c r="N845" s="6"/>
      <c r="O845" s="5"/>
      <c r="P845" s="5" t="s">
        <v>10167</v>
      </c>
      <c r="Q845" s="5" t="s">
        <v>10168</v>
      </c>
      <c r="R845" s="5"/>
      <c r="S845" s="5" t="s">
        <v>8475</v>
      </c>
      <c r="T845" s="5"/>
    </row>
    <row r="846" spans="1:20" x14ac:dyDescent="0.25">
      <c r="A846" s="5" t="s">
        <v>10264</v>
      </c>
      <c r="B846" s="7" t="s">
        <v>8310</v>
      </c>
      <c r="C846" s="5" t="s">
        <v>133</v>
      </c>
      <c r="D846" s="5"/>
      <c r="F846" s="5"/>
      <c r="G846" s="7">
        <v>82</v>
      </c>
      <c r="H846" s="5" t="s">
        <v>10171</v>
      </c>
      <c r="I846" s="5" t="str">
        <f t="shared" si="13"/>
        <v>fate8453027</v>
      </c>
      <c r="J846" s="6" t="s">
        <v>10170</v>
      </c>
      <c r="K846" s="6">
        <v>30.6</v>
      </c>
      <c r="L846" s="6">
        <v>27.7</v>
      </c>
      <c r="M846" s="6"/>
      <c r="N846" s="6"/>
      <c r="P846" s="5" t="s">
        <v>10172</v>
      </c>
      <c r="Q846" s="5" t="s">
        <v>10173</v>
      </c>
      <c r="R846" s="5"/>
      <c r="S846" s="5" t="s">
        <v>8335</v>
      </c>
      <c r="T846" s="5"/>
    </row>
    <row r="847" spans="1:20" x14ac:dyDescent="0.25">
      <c r="A847" s="5" t="s">
        <v>10266</v>
      </c>
      <c r="B847" s="7" t="s">
        <v>8310</v>
      </c>
      <c r="C847" s="5" t="s">
        <v>133</v>
      </c>
      <c r="D847" s="5"/>
      <c r="F847" s="5"/>
      <c r="G847" s="7">
        <v>82</v>
      </c>
      <c r="H847" s="5" t="s">
        <v>10171</v>
      </c>
      <c r="I847" s="5" t="str">
        <f t="shared" si="13"/>
        <v>fate8462831</v>
      </c>
      <c r="J847" s="6" t="s">
        <v>10177</v>
      </c>
      <c r="K847" s="6">
        <v>28.2</v>
      </c>
      <c r="L847" s="6">
        <v>31.6</v>
      </c>
      <c r="M847" s="6"/>
      <c r="N847" s="6"/>
      <c r="P847" s="5" t="s">
        <v>10172</v>
      </c>
      <c r="Q847" s="5" t="s">
        <v>10173</v>
      </c>
      <c r="R847" s="5"/>
      <c r="S847" s="5" t="s">
        <v>8335</v>
      </c>
      <c r="T847" s="5"/>
    </row>
    <row r="848" spans="1:20" x14ac:dyDescent="0.25">
      <c r="A848" s="5" t="s">
        <v>10268</v>
      </c>
      <c r="B848" s="7" t="s">
        <v>8310</v>
      </c>
      <c r="C848" s="5" t="s">
        <v>133</v>
      </c>
      <c r="D848" s="5"/>
      <c r="F848" s="5"/>
      <c r="G848" s="7">
        <v>82</v>
      </c>
      <c r="H848" s="5" t="s">
        <v>10171</v>
      </c>
      <c r="I848" s="5" t="str">
        <f t="shared" si="13"/>
        <v>fate8471227</v>
      </c>
      <c r="J848" s="6" t="s">
        <v>10179</v>
      </c>
      <c r="K848" s="6">
        <v>12.8</v>
      </c>
      <c r="L848" s="6">
        <v>27.2</v>
      </c>
      <c r="M848" s="6"/>
      <c r="N848" s="6"/>
      <c r="P848" s="5" t="s">
        <v>10172</v>
      </c>
      <c r="Q848" s="5" t="s">
        <v>10173</v>
      </c>
      <c r="R848" s="5"/>
      <c r="S848" s="5" t="s">
        <v>8335</v>
      </c>
      <c r="T848" s="5"/>
    </row>
    <row r="849" spans="1:20" x14ac:dyDescent="0.25">
      <c r="A849" s="5" t="s">
        <v>10270</v>
      </c>
      <c r="B849" s="7" t="s">
        <v>8310</v>
      </c>
      <c r="C849" s="5" t="s">
        <v>133</v>
      </c>
      <c r="D849" s="5"/>
      <c r="F849" s="5"/>
      <c r="G849" s="7">
        <v>82</v>
      </c>
      <c r="H849" s="5" t="s">
        <v>10171</v>
      </c>
      <c r="I849" s="5" t="str">
        <f t="shared" si="13"/>
        <v>fate8482421</v>
      </c>
      <c r="J849" s="6" t="s">
        <v>10187</v>
      </c>
      <c r="K849" s="6">
        <v>24.4</v>
      </c>
      <c r="L849" s="6">
        <v>21.1</v>
      </c>
      <c r="M849" s="6"/>
      <c r="N849" s="6"/>
      <c r="P849" s="5" t="s">
        <v>10172</v>
      </c>
      <c r="Q849" s="5" t="s">
        <v>10173</v>
      </c>
      <c r="R849" s="5"/>
      <c r="S849" s="5" t="s">
        <v>8335</v>
      </c>
      <c r="T849" s="5"/>
    </row>
    <row r="850" spans="1:20" x14ac:dyDescent="0.25">
      <c r="A850" s="5" t="s">
        <v>10272</v>
      </c>
      <c r="B850" s="7" t="s">
        <v>8310</v>
      </c>
      <c r="C850" s="5" t="s">
        <v>133</v>
      </c>
      <c r="D850" s="5"/>
      <c r="F850" s="5"/>
      <c r="G850" s="7">
        <v>83</v>
      </c>
      <c r="H850" s="5" t="s">
        <v>10171</v>
      </c>
      <c r="I850" s="5" t="str">
        <f t="shared" si="13"/>
        <v>fate8491416</v>
      </c>
      <c r="J850" s="6" t="s">
        <v>10189</v>
      </c>
      <c r="K850" s="6">
        <v>14.6</v>
      </c>
      <c r="L850" s="6">
        <v>16.3</v>
      </c>
      <c r="M850" s="6"/>
      <c r="N850" s="6"/>
      <c r="P850" s="5" t="s">
        <v>10190</v>
      </c>
      <c r="Q850" s="5" t="s">
        <v>8729</v>
      </c>
      <c r="R850" s="5"/>
      <c r="S850" s="5" t="s">
        <v>8335</v>
      </c>
      <c r="T850" s="5"/>
    </row>
    <row r="851" spans="1:20" x14ac:dyDescent="0.25">
      <c r="A851" s="5" t="s">
        <v>10274</v>
      </c>
      <c r="B851" s="7" t="s">
        <v>8310</v>
      </c>
      <c r="C851" s="5" t="s">
        <v>133</v>
      </c>
      <c r="D851" s="5"/>
      <c r="F851" s="5"/>
      <c r="G851" s="7">
        <v>83</v>
      </c>
      <c r="H851" s="5" t="s">
        <v>10171</v>
      </c>
      <c r="I851" s="5" t="str">
        <f t="shared" si="13"/>
        <v>fate8502814</v>
      </c>
      <c r="J851" s="6" t="s">
        <v>10194</v>
      </c>
      <c r="K851" s="6">
        <v>28.3</v>
      </c>
      <c r="L851" s="6">
        <v>14.3</v>
      </c>
      <c r="M851" s="6"/>
      <c r="N851" s="6"/>
      <c r="P851" s="5" t="s">
        <v>10190</v>
      </c>
      <c r="Q851" s="5" t="s">
        <v>8729</v>
      </c>
      <c r="R851" s="5"/>
      <c r="S851" s="5" t="s">
        <v>8335</v>
      </c>
      <c r="T851" s="5"/>
    </row>
    <row r="852" spans="1:20" x14ac:dyDescent="0.25">
      <c r="A852" s="5" t="s">
        <v>10276</v>
      </c>
      <c r="B852" s="7" t="s">
        <v>8310</v>
      </c>
      <c r="C852" s="5" t="s">
        <v>133</v>
      </c>
      <c r="D852" s="5"/>
      <c r="F852" s="5"/>
      <c r="G852" s="7">
        <v>83</v>
      </c>
      <c r="H852" s="5" t="s">
        <v>10171</v>
      </c>
      <c r="I852" s="5" t="str">
        <f t="shared" si="13"/>
        <v>fate8511910</v>
      </c>
      <c r="J852" s="6" t="s">
        <v>10202</v>
      </c>
      <c r="K852" s="6">
        <v>19.3</v>
      </c>
      <c r="L852" s="6">
        <v>10.9</v>
      </c>
      <c r="M852" s="6"/>
      <c r="N852" s="6"/>
      <c r="P852" s="5" t="s">
        <v>10190</v>
      </c>
      <c r="Q852" s="5" t="s">
        <v>8729</v>
      </c>
      <c r="R852" s="5"/>
      <c r="S852" s="5" t="s">
        <v>8335</v>
      </c>
      <c r="T852" s="5"/>
    </row>
    <row r="853" spans="1:20" x14ac:dyDescent="0.25">
      <c r="A853" s="5" t="s">
        <v>10278</v>
      </c>
      <c r="B853" s="7" t="s">
        <v>8310</v>
      </c>
      <c r="C853" s="5" t="s">
        <v>133</v>
      </c>
      <c r="D853" s="5"/>
      <c r="F853" s="5"/>
      <c r="G853" s="7">
        <v>83</v>
      </c>
      <c r="H853" s="5" t="s">
        <v>10171</v>
      </c>
      <c r="I853" s="5" t="str">
        <f t="shared" si="13"/>
        <v>fate8521412</v>
      </c>
      <c r="J853" s="6" t="s">
        <v>10204</v>
      </c>
      <c r="K853" s="6">
        <v>14.9</v>
      </c>
      <c r="L853" s="6">
        <v>12.5</v>
      </c>
      <c r="M853" s="6"/>
      <c r="N853" s="6"/>
      <c r="P853" s="5" t="s">
        <v>10190</v>
      </c>
      <c r="Q853" s="5" t="s">
        <v>8729</v>
      </c>
      <c r="R853" s="5"/>
      <c r="S853" s="5" t="s">
        <v>8335</v>
      </c>
      <c r="T853" s="5"/>
    </row>
    <row r="854" spans="1:20" x14ac:dyDescent="0.25">
      <c r="A854" s="5" t="s">
        <v>10282</v>
      </c>
      <c r="B854" s="7" t="s">
        <v>8346</v>
      </c>
      <c r="C854" s="5" t="s">
        <v>133</v>
      </c>
      <c r="D854" s="5"/>
      <c r="F854" s="5"/>
      <c r="G854" s="7">
        <v>82</v>
      </c>
      <c r="H854" s="5" t="s">
        <v>10171</v>
      </c>
      <c r="I854" s="5" t="str">
        <f t="shared" si="13"/>
        <v>fate8531626</v>
      </c>
      <c r="J854" s="6" t="s">
        <v>10181</v>
      </c>
      <c r="K854" s="6">
        <v>16.5</v>
      </c>
      <c r="L854" s="6">
        <v>26.1</v>
      </c>
      <c r="M854" s="6"/>
      <c r="N854" s="6"/>
      <c r="P854" s="5" t="s">
        <v>10172</v>
      </c>
      <c r="Q854" s="5" t="s">
        <v>10173</v>
      </c>
      <c r="R854" s="5"/>
      <c r="S854" s="5" t="s">
        <v>8335</v>
      </c>
      <c r="T854" s="5"/>
    </row>
    <row r="855" spans="1:20" x14ac:dyDescent="0.25">
      <c r="A855" s="5" t="s">
        <v>10284</v>
      </c>
      <c r="B855" s="7" t="s">
        <v>8424</v>
      </c>
      <c r="C855" s="5" t="s">
        <v>133</v>
      </c>
      <c r="D855" s="5"/>
      <c r="F855" s="5"/>
      <c r="G855" s="7">
        <v>83</v>
      </c>
      <c r="H855" s="5" t="s">
        <v>10171</v>
      </c>
      <c r="I855" s="5" t="str">
        <f t="shared" si="13"/>
        <v>fate8542015</v>
      </c>
      <c r="J855" s="6" t="s">
        <v>10198</v>
      </c>
      <c r="K855" s="6">
        <v>20.8</v>
      </c>
      <c r="L855" s="6">
        <v>15.2</v>
      </c>
      <c r="M855" s="6"/>
      <c r="N855" s="6"/>
      <c r="P855" s="5" t="s">
        <v>10190</v>
      </c>
      <c r="Q855" s="5" t="s">
        <v>8729</v>
      </c>
      <c r="R855" s="5"/>
      <c r="S855" s="5" t="s">
        <v>8335</v>
      </c>
      <c r="T855" s="5"/>
    </row>
    <row r="856" spans="1:20" x14ac:dyDescent="0.25">
      <c r="A856" s="5" t="s">
        <v>10286</v>
      </c>
      <c r="B856" s="7" t="s">
        <v>10503</v>
      </c>
      <c r="C856" s="5" t="s">
        <v>133</v>
      </c>
      <c r="D856" s="1" t="s">
        <v>11027</v>
      </c>
      <c r="F856" s="5"/>
      <c r="G856" s="7">
        <v>82</v>
      </c>
      <c r="H856" s="5" t="s">
        <v>10171</v>
      </c>
      <c r="I856" s="5" t="str">
        <f t="shared" si="13"/>
        <v>fate8552427</v>
      </c>
      <c r="J856" s="6" t="s">
        <v>10183</v>
      </c>
      <c r="K856" s="6">
        <v>24.4</v>
      </c>
      <c r="L856" s="6">
        <v>27.4</v>
      </c>
      <c r="M856" s="6"/>
      <c r="N856" s="6"/>
      <c r="P856" s="5" t="s">
        <v>10172</v>
      </c>
      <c r="Q856" s="5" t="s">
        <v>10173</v>
      </c>
      <c r="R856" s="5"/>
      <c r="S856" s="5" t="s">
        <v>8335</v>
      </c>
      <c r="T856" s="5"/>
    </row>
    <row r="857" spans="1:20" x14ac:dyDescent="0.25">
      <c r="A857" s="5" t="s">
        <v>10288</v>
      </c>
      <c r="B857" s="7" t="s">
        <v>10503</v>
      </c>
      <c r="C857" s="5" t="s">
        <v>133</v>
      </c>
      <c r="D857" s="1" t="s">
        <v>11028</v>
      </c>
      <c r="F857" s="5"/>
      <c r="G857" s="7">
        <v>83</v>
      </c>
      <c r="H857" s="5" t="s">
        <v>10171</v>
      </c>
      <c r="I857" s="5" t="str">
        <f t="shared" si="13"/>
        <v>fate8562177</v>
      </c>
      <c r="J857" s="6" t="s">
        <v>10196</v>
      </c>
      <c r="K857" s="6">
        <v>21</v>
      </c>
      <c r="L857" s="6">
        <v>7.7</v>
      </c>
      <c r="M857" s="6"/>
      <c r="N857" s="6"/>
      <c r="P857" s="5" t="s">
        <v>10190</v>
      </c>
      <c r="Q857" s="5" t="s">
        <v>8729</v>
      </c>
      <c r="R857" s="5"/>
      <c r="S857" s="5" t="s">
        <v>8335</v>
      </c>
      <c r="T857" s="5"/>
    </row>
    <row r="858" spans="1:20" x14ac:dyDescent="0.25">
      <c r="A858" s="5" t="s">
        <v>10290</v>
      </c>
      <c r="B858" s="7" t="s">
        <v>10503</v>
      </c>
      <c r="C858" s="5" t="s">
        <v>133</v>
      </c>
      <c r="D858" s="1" t="s">
        <v>11025</v>
      </c>
      <c r="E858" s="5">
        <v>57</v>
      </c>
      <c r="F858" s="5">
        <v>1</v>
      </c>
      <c r="G858" s="7">
        <v>82</v>
      </c>
      <c r="H858" s="5" t="s">
        <v>10171</v>
      </c>
      <c r="I858" s="5" t="str">
        <f t="shared" si="13"/>
        <v>fate8571723</v>
      </c>
      <c r="J858" s="6" t="s">
        <v>10185</v>
      </c>
      <c r="K858" s="6">
        <v>17.399999999999999</v>
      </c>
      <c r="L858" s="6">
        <v>23.3</v>
      </c>
      <c r="M858" s="6"/>
      <c r="N858" s="6"/>
      <c r="P858" s="5" t="s">
        <v>10172</v>
      </c>
      <c r="Q858" s="5" t="s">
        <v>10173</v>
      </c>
      <c r="R858" s="5"/>
      <c r="S858" s="5" t="s">
        <v>8335</v>
      </c>
      <c r="T858" s="5"/>
    </row>
    <row r="859" spans="1:20" x14ac:dyDescent="0.25">
      <c r="A859" s="5" t="s">
        <v>10292</v>
      </c>
      <c r="B859" s="7" t="s">
        <v>8346</v>
      </c>
      <c r="C859" s="5" t="s">
        <v>133</v>
      </c>
      <c r="D859" s="5"/>
      <c r="E859" s="5">
        <v>57</v>
      </c>
      <c r="F859" s="5">
        <v>2</v>
      </c>
      <c r="G859" s="7">
        <v>82</v>
      </c>
      <c r="H859" s="5" t="s">
        <v>10171</v>
      </c>
      <c r="I859" s="5" t="str">
        <f t="shared" si="13"/>
        <v>fate8582619</v>
      </c>
      <c r="J859" s="6" t="s">
        <v>10175</v>
      </c>
      <c r="K859" s="6">
        <v>26.1</v>
      </c>
      <c r="L859" s="6">
        <v>19.3</v>
      </c>
      <c r="M859" s="6"/>
      <c r="N859" s="6"/>
      <c r="P859" s="5" t="s">
        <v>10172</v>
      </c>
      <c r="Q859" s="5" t="s">
        <v>10173</v>
      </c>
      <c r="R859" s="5"/>
      <c r="S859" s="5" t="s">
        <v>8335</v>
      </c>
      <c r="T859" s="5"/>
    </row>
    <row r="860" spans="1:20" x14ac:dyDescent="0.25">
      <c r="A860" s="5" t="s">
        <v>10294</v>
      </c>
      <c r="B860" s="7" t="s">
        <v>8310</v>
      </c>
      <c r="C860" s="5" t="s">
        <v>133</v>
      </c>
      <c r="D860" s="5"/>
      <c r="E860" s="5">
        <v>57</v>
      </c>
      <c r="F860" s="5">
        <v>3</v>
      </c>
      <c r="G860" s="7">
        <v>83</v>
      </c>
      <c r="H860" s="5" t="s">
        <v>10171</v>
      </c>
      <c r="I860" s="5" t="str">
        <f t="shared" si="13"/>
        <v>fate8591111</v>
      </c>
      <c r="J860" s="6" t="s">
        <v>10200</v>
      </c>
      <c r="K860" s="6">
        <v>11.4</v>
      </c>
      <c r="L860" s="6">
        <v>11.2</v>
      </c>
      <c r="M860" s="6"/>
      <c r="N860" s="6"/>
      <c r="P860" s="5" t="s">
        <v>10190</v>
      </c>
      <c r="Q860" s="5" t="s">
        <v>8729</v>
      </c>
      <c r="R860" s="5"/>
      <c r="S860" s="5" t="s">
        <v>8335</v>
      </c>
      <c r="T860" s="5"/>
    </row>
    <row r="861" spans="1:20" x14ac:dyDescent="0.25">
      <c r="A861" s="5" t="s">
        <v>10298</v>
      </c>
      <c r="B861" s="7" t="s">
        <v>10503</v>
      </c>
      <c r="C861" s="5" t="s">
        <v>133</v>
      </c>
      <c r="D861" s="1" t="s">
        <v>11026</v>
      </c>
      <c r="E861" s="5">
        <v>57</v>
      </c>
      <c r="F861" s="5">
        <v>4</v>
      </c>
      <c r="G861" s="7">
        <v>83</v>
      </c>
      <c r="H861" s="5" t="s">
        <v>10171</v>
      </c>
      <c r="I861" s="5" t="str">
        <f t="shared" si="13"/>
        <v>fate8601111</v>
      </c>
      <c r="J861" s="6" t="s">
        <v>10192</v>
      </c>
      <c r="K861" s="6">
        <v>11.4</v>
      </c>
      <c r="L861" s="6">
        <v>11.2</v>
      </c>
      <c r="M861" s="6"/>
      <c r="N861" s="6"/>
      <c r="P861" s="5" t="s">
        <v>10190</v>
      </c>
      <c r="Q861" s="5" t="s">
        <v>8729</v>
      </c>
      <c r="R861" s="5"/>
      <c r="S861" s="5" t="s">
        <v>8335</v>
      </c>
      <c r="T861" s="5"/>
    </row>
    <row r="862" spans="1:20" x14ac:dyDescent="0.25">
      <c r="A862" s="5" t="s">
        <v>10300</v>
      </c>
      <c r="B862" s="7" t="s">
        <v>8310</v>
      </c>
      <c r="C862" s="5" t="s">
        <v>133</v>
      </c>
      <c r="D862" s="5"/>
      <c r="F862" s="5"/>
      <c r="G862" s="7">
        <v>83</v>
      </c>
      <c r="H862" s="5" t="s">
        <v>10207</v>
      </c>
      <c r="I862" s="5" t="str">
        <f t="shared" si="13"/>
        <v>fate8613327</v>
      </c>
      <c r="J862" s="6" t="s">
        <v>10206</v>
      </c>
      <c r="K862" s="6">
        <v>33</v>
      </c>
      <c r="L862" s="6">
        <v>27.6</v>
      </c>
      <c r="M862" s="6"/>
      <c r="N862" s="6"/>
      <c r="P862" s="5" t="s">
        <v>10190</v>
      </c>
      <c r="Q862" s="5" t="s">
        <v>8729</v>
      </c>
      <c r="R862" s="5"/>
      <c r="S862" s="5" t="s">
        <v>8335</v>
      </c>
      <c r="T862" s="5"/>
    </row>
    <row r="863" spans="1:20" x14ac:dyDescent="0.25">
      <c r="A863" s="5" t="s">
        <v>10302</v>
      </c>
      <c r="B863" s="7" t="s">
        <v>8310</v>
      </c>
      <c r="C863" s="5" t="s">
        <v>133</v>
      </c>
      <c r="D863" s="5"/>
      <c r="F863" s="5"/>
      <c r="G863" s="7">
        <v>83</v>
      </c>
      <c r="H863" s="5" t="s">
        <v>10207</v>
      </c>
      <c r="I863" s="5" t="str">
        <f t="shared" si="13"/>
        <v>fate8621832</v>
      </c>
      <c r="J863" s="6" t="s">
        <v>10209</v>
      </c>
      <c r="K863" s="6">
        <v>18.100000000000001</v>
      </c>
      <c r="L863" s="6">
        <v>32.200000000000003</v>
      </c>
      <c r="M863" s="6"/>
      <c r="N863" s="6"/>
      <c r="P863" s="5" t="s">
        <v>10190</v>
      </c>
      <c r="Q863" s="5" t="s">
        <v>8729</v>
      </c>
      <c r="R863" s="5"/>
      <c r="S863" s="5" t="s">
        <v>8335</v>
      </c>
      <c r="T863" s="5"/>
    </row>
    <row r="864" spans="1:20" x14ac:dyDescent="0.25">
      <c r="A864" s="5" t="s">
        <v>10306</v>
      </c>
      <c r="B864" s="7" t="s">
        <v>8310</v>
      </c>
      <c r="C864" s="5" t="s">
        <v>133</v>
      </c>
      <c r="D864" s="5"/>
      <c r="F864" s="5"/>
      <c r="G864" s="7">
        <v>83</v>
      </c>
      <c r="H864" s="5" t="s">
        <v>10207</v>
      </c>
      <c r="I864" s="5" t="str">
        <f t="shared" si="13"/>
        <v>fate8632435</v>
      </c>
      <c r="J864" s="6" t="s">
        <v>10213</v>
      </c>
      <c r="K864" s="6">
        <v>24.6</v>
      </c>
      <c r="L864" s="6">
        <v>35</v>
      </c>
      <c r="M864" s="6"/>
      <c r="N864" s="6"/>
      <c r="P864" s="5" t="s">
        <v>10190</v>
      </c>
      <c r="Q864" s="5" t="s">
        <v>8729</v>
      </c>
      <c r="R864" s="5"/>
      <c r="S864" s="5" t="s">
        <v>8335</v>
      </c>
      <c r="T864" s="5"/>
    </row>
    <row r="865" spans="1:20" x14ac:dyDescent="0.25">
      <c r="A865" s="5" t="s">
        <v>10308</v>
      </c>
      <c r="B865" s="7" t="s">
        <v>8310</v>
      </c>
      <c r="C865" s="5" t="s">
        <v>133</v>
      </c>
      <c r="D865" s="5"/>
      <c r="F865" s="5"/>
      <c r="G865" s="7">
        <v>83</v>
      </c>
      <c r="H865" s="5" t="s">
        <v>10207</v>
      </c>
      <c r="I865" s="5" t="str">
        <f t="shared" si="13"/>
        <v>fate8642731</v>
      </c>
      <c r="J865" s="6" t="s">
        <v>10215</v>
      </c>
      <c r="K865" s="6">
        <v>27.4</v>
      </c>
      <c r="L865" s="6">
        <v>31.4</v>
      </c>
      <c r="M865" s="6"/>
      <c r="N865" s="6"/>
      <c r="P865" s="5" t="s">
        <v>10190</v>
      </c>
      <c r="Q865" s="5" t="s">
        <v>8729</v>
      </c>
      <c r="R865" s="5"/>
      <c r="S865" s="5" t="s">
        <v>8335</v>
      </c>
      <c r="T865" s="5"/>
    </row>
    <row r="866" spans="1:20" x14ac:dyDescent="0.25">
      <c r="A866" s="5" t="s">
        <v>10310</v>
      </c>
      <c r="B866" s="7" t="s">
        <v>8310</v>
      </c>
      <c r="C866" s="5" t="s">
        <v>133</v>
      </c>
      <c r="D866" s="5"/>
      <c r="F866" s="5"/>
      <c r="G866" s="7">
        <v>83</v>
      </c>
      <c r="H866" s="5" t="s">
        <v>10207</v>
      </c>
      <c r="I866" s="5" t="str">
        <f t="shared" si="13"/>
        <v>fate8656834</v>
      </c>
      <c r="J866" s="6" t="s">
        <v>10217</v>
      </c>
      <c r="K866" s="6">
        <v>6.8</v>
      </c>
      <c r="L866" s="6">
        <v>34.1</v>
      </c>
      <c r="M866" s="6"/>
      <c r="N866" s="6"/>
      <c r="P866" s="5" t="s">
        <v>10190</v>
      </c>
      <c r="Q866" s="5" t="s">
        <v>8729</v>
      </c>
      <c r="R866" s="5"/>
      <c r="S866" s="5" t="s">
        <v>8335</v>
      </c>
      <c r="T866" s="5"/>
    </row>
    <row r="867" spans="1:20" x14ac:dyDescent="0.25">
      <c r="A867" s="5" t="s">
        <v>10312</v>
      </c>
      <c r="B867" s="7" t="s">
        <v>8310</v>
      </c>
      <c r="C867" s="5" t="s">
        <v>133</v>
      </c>
      <c r="D867" s="5"/>
      <c r="F867" s="5"/>
      <c r="G867" s="7">
        <v>84</v>
      </c>
      <c r="H867" s="5" t="s">
        <v>10207</v>
      </c>
      <c r="I867" s="5" t="str">
        <f t="shared" si="13"/>
        <v>fate8663586</v>
      </c>
      <c r="J867" s="6" t="s">
        <v>10223</v>
      </c>
      <c r="K867" s="6">
        <v>35.4</v>
      </c>
      <c r="L867" s="6">
        <v>8.6</v>
      </c>
      <c r="M867" s="6"/>
      <c r="N867" s="6"/>
      <c r="P867" s="5" t="s">
        <v>10220</v>
      </c>
      <c r="Q867" s="5" t="s">
        <v>10221</v>
      </c>
      <c r="R867" s="5"/>
      <c r="S867" s="5" t="s">
        <v>8335</v>
      </c>
      <c r="T867" s="5"/>
    </row>
    <row r="868" spans="1:20" x14ac:dyDescent="0.25">
      <c r="A868" s="5" t="s">
        <v>10314</v>
      </c>
      <c r="B868" s="7" t="s">
        <v>8310</v>
      </c>
      <c r="C868" s="5" t="s">
        <v>133</v>
      </c>
      <c r="D868" s="5"/>
      <c r="F868" s="5"/>
      <c r="G868" s="7">
        <v>84</v>
      </c>
      <c r="H868" s="5" t="s">
        <v>10207</v>
      </c>
      <c r="I868" s="5" t="str">
        <f t="shared" si="13"/>
        <v>fate8671021</v>
      </c>
      <c r="J868" s="6" t="s">
        <v>10227</v>
      </c>
      <c r="K868" s="6">
        <v>10.5</v>
      </c>
      <c r="L868" s="6">
        <v>21</v>
      </c>
      <c r="M868" s="6"/>
      <c r="N868" s="6"/>
      <c r="P868" s="5" t="s">
        <v>10220</v>
      </c>
      <c r="Q868" s="5" t="s">
        <v>10221</v>
      </c>
      <c r="R868" s="5"/>
      <c r="S868" s="5" t="s">
        <v>8335</v>
      </c>
      <c r="T868" s="5"/>
    </row>
    <row r="869" spans="1:20" x14ac:dyDescent="0.25">
      <c r="A869" s="5" t="s">
        <v>10316</v>
      </c>
      <c r="B869" s="7" t="s">
        <v>8310</v>
      </c>
      <c r="C869" s="5" t="s">
        <v>133</v>
      </c>
      <c r="D869" s="5"/>
      <c r="F869" s="5"/>
      <c r="G869" s="7">
        <v>84</v>
      </c>
      <c r="H869" s="5" t="s">
        <v>10207</v>
      </c>
      <c r="I869" s="5" t="str">
        <f t="shared" si="13"/>
        <v>fate8682322</v>
      </c>
      <c r="J869" s="6" t="s">
        <v>10231</v>
      </c>
      <c r="K869" s="6">
        <v>23.3</v>
      </c>
      <c r="L869" s="6">
        <v>22.1</v>
      </c>
      <c r="M869" s="6"/>
      <c r="N869" s="6"/>
      <c r="P869" s="5" t="s">
        <v>10220</v>
      </c>
      <c r="Q869" s="5" t="s">
        <v>10221</v>
      </c>
      <c r="R869" s="5"/>
      <c r="S869" s="5" t="s">
        <v>8335</v>
      </c>
      <c r="T869" s="5"/>
    </row>
    <row r="870" spans="1:20" x14ac:dyDescent="0.25">
      <c r="A870" s="5" t="s">
        <v>10320</v>
      </c>
      <c r="B870" s="7" t="s">
        <v>8310</v>
      </c>
      <c r="C870" s="5" t="s">
        <v>133</v>
      </c>
      <c r="D870" s="5"/>
      <c r="F870" s="5"/>
      <c r="G870" s="7">
        <v>84</v>
      </c>
      <c r="H870" s="5" t="s">
        <v>10207</v>
      </c>
      <c r="I870" s="5" t="str">
        <f t="shared" si="13"/>
        <v>fate8691013</v>
      </c>
      <c r="J870" s="6" t="s">
        <v>10235</v>
      </c>
      <c r="K870" s="6">
        <v>10.3</v>
      </c>
      <c r="L870" s="6">
        <v>13.5</v>
      </c>
      <c r="M870" s="6"/>
      <c r="N870" s="6"/>
      <c r="P870" s="5" t="s">
        <v>10220</v>
      </c>
      <c r="Q870" s="5" t="s">
        <v>10221</v>
      </c>
      <c r="R870" s="5"/>
      <c r="S870" s="5" t="s">
        <v>8335</v>
      </c>
      <c r="T870" s="5"/>
    </row>
    <row r="871" spans="1:20" x14ac:dyDescent="0.25">
      <c r="A871" s="5" t="s">
        <v>10322</v>
      </c>
      <c r="B871" s="7" t="s">
        <v>8424</v>
      </c>
      <c r="C871" s="5" t="s">
        <v>133</v>
      </c>
      <c r="D871" s="5"/>
      <c r="F871" s="5"/>
      <c r="G871" s="7">
        <v>84</v>
      </c>
      <c r="H871" s="5" t="s">
        <v>10207</v>
      </c>
      <c r="I871" s="5" t="str">
        <f t="shared" si="13"/>
        <v>fate8701922</v>
      </c>
      <c r="J871" s="6" t="s">
        <v>10237</v>
      </c>
      <c r="K871" s="6">
        <v>19.2</v>
      </c>
      <c r="L871" s="6">
        <v>22.6</v>
      </c>
      <c r="M871" s="6"/>
      <c r="N871" s="6"/>
      <c r="P871" s="5" t="s">
        <v>10220</v>
      </c>
      <c r="Q871" s="5" t="s">
        <v>10221</v>
      </c>
      <c r="R871" s="5"/>
      <c r="S871" s="5" t="s">
        <v>8335</v>
      </c>
      <c r="T871" s="5"/>
    </row>
    <row r="872" spans="1:20" x14ac:dyDescent="0.25">
      <c r="A872" s="5" t="s">
        <v>10324</v>
      </c>
      <c r="B872" s="7" t="s">
        <v>10503</v>
      </c>
      <c r="C872" s="5" t="s">
        <v>133</v>
      </c>
      <c r="D872" s="1" t="s">
        <v>11029</v>
      </c>
      <c r="F872" s="5"/>
      <c r="G872" s="7">
        <v>83</v>
      </c>
      <c r="H872" s="5" t="s">
        <v>10207</v>
      </c>
      <c r="I872" s="5" t="str">
        <f t="shared" si="13"/>
        <v>fate8711031</v>
      </c>
      <c r="J872" s="6" t="s">
        <v>10211</v>
      </c>
      <c r="K872" s="6">
        <v>10.6</v>
      </c>
      <c r="L872" s="6">
        <v>31.5</v>
      </c>
      <c r="M872" s="6"/>
      <c r="N872" s="6"/>
      <c r="P872" s="5" t="s">
        <v>10190</v>
      </c>
      <c r="Q872" s="5" t="s">
        <v>8729</v>
      </c>
      <c r="R872" s="5"/>
      <c r="S872" s="5" t="s">
        <v>8335</v>
      </c>
      <c r="T872" s="5"/>
    </row>
    <row r="873" spans="1:20" x14ac:dyDescent="0.25">
      <c r="A873" s="5" t="s">
        <v>10326</v>
      </c>
      <c r="B873" s="7" t="s">
        <v>10503</v>
      </c>
      <c r="C873" s="5" t="s">
        <v>133</v>
      </c>
      <c r="D873" s="1" t="s">
        <v>11030</v>
      </c>
      <c r="F873" s="5"/>
      <c r="G873" s="7">
        <v>84</v>
      </c>
      <c r="H873" s="5" t="s">
        <v>10207</v>
      </c>
      <c r="I873" s="5" t="str">
        <f t="shared" si="13"/>
        <v>fate8721525</v>
      </c>
      <c r="J873" s="6" t="s">
        <v>10229</v>
      </c>
      <c r="K873" s="6">
        <v>15.2</v>
      </c>
      <c r="L873" s="6">
        <v>25.2</v>
      </c>
      <c r="M873" s="6"/>
      <c r="N873" s="6"/>
      <c r="P873" s="5" t="s">
        <v>10220</v>
      </c>
      <c r="Q873" s="5" t="s">
        <v>10221</v>
      </c>
      <c r="R873" s="5"/>
      <c r="S873" s="5" t="s">
        <v>8335</v>
      </c>
      <c r="T873" s="5"/>
    </row>
    <row r="874" spans="1:20" x14ac:dyDescent="0.25">
      <c r="A874" s="5" t="s">
        <v>10328</v>
      </c>
      <c r="B874" s="7" t="s">
        <v>8310</v>
      </c>
      <c r="C874" s="5" t="s">
        <v>133</v>
      </c>
      <c r="D874" s="5"/>
      <c r="E874" s="5">
        <v>58</v>
      </c>
      <c r="F874" s="5">
        <v>1</v>
      </c>
      <c r="G874" s="7">
        <v>84</v>
      </c>
      <c r="H874" s="5" t="s">
        <v>10207</v>
      </c>
      <c r="I874" s="5" t="str">
        <f t="shared" si="13"/>
        <v>fate8732913</v>
      </c>
      <c r="J874" s="6" t="s">
        <v>10225</v>
      </c>
      <c r="K874" s="6">
        <v>29.2</v>
      </c>
      <c r="L874" s="6">
        <v>13</v>
      </c>
      <c r="M874" s="6"/>
      <c r="N874" s="6"/>
      <c r="P874" s="5" t="s">
        <v>10220</v>
      </c>
      <c r="Q874" s="5" t="s">
        <v>10221</v>
      </c>
      <c r="R874" s="5"/>
      <c r="S874" s="5" t="s">
        <v>8335</v>
      </c>
      <c r="T874" s="5"/>
    </row>
    <row r="875" spans="1:20" x14ac:dyDescent="0.25">
      <c r="A875" s="5" t="s">
        <v>10330</v>
      </c>
      <c r="B875" s="7" t="s">
        <v>8310</v>
      </c>
      <c r="C875" s="5" t="s">
        <v>133</v>
      </c>
      <c r="D875" s="5"/>
      <c r="E875" s="5">
        <v>58</v>
      </c>
      <c r="F875" s="5">
        <v>2</v>
      </c>
      <c r="G875" s="7">
        <v>84</v>
      </c>
      <c r="H875" s="5" t="s">
        <v>10207</v>
      </c>
      <c r="I875" s="5" t="str">
        <f t="shared" si="13"/>
        <v>fate8741389</v>
      </c>
      <c r="J875" s="6" t="s">
        <v>10233</v>
      </c>
      <c r="K875" s="6">
        <v>13.9</v>
      </c>
      <c r="L875" s="6">
        <v>8.9</v>
      </c>
      <c r="M875" s="6"/>
      <c r="N875" s="6"/>
      <c r="P875" s="5" t="s">
        <v>10220</v>
      </c>
      <c r="Q875" s="5" t="s">
        <v>10221</v>
      </c>
      <c r="R875" s="5"/>
      <c r="S875" s="5" t="s">
        <v>8335</v>
      </c>
      <c r="T875" s="5"/>
    </row>
    <row r="876" spans="1:20" x14ac:dyDescent="0.25">
      <c r="A876" s="5" t="s">
        <v>10332</v>
      </c>
      <c r="B876" s="7" t="s">
        <v>10503</v>
      </c>
      <c r="C876" s="5" t="s">
        <v>133</v>
      </c>
      <c r="D876" s="1" t="s">
        <v>11031</v>
      </c>
      <c r="E876" s="5">
        <v>58</v>
      </c>
      <c r="F876" s="5">
        <v>3</v>
      </c>
      <c r="G876" s="7">
        <v>84</v>
      </c>
      <c r="H876" s="5" t="s">
        <v>10207</v>
      </c>
      <c r="I876" s="5" t="str">
        <f t="shared" si="13"/>
        <v>fate8751168</v>
      </c>
      <c r="J876" s="6" t="s">
        <v>10219</v>
      </c>
      <c r="K876" s="6">
        <v>11.4</v>
      </c>
      <c r="L876" s="6">
        <v>6.8</v>
      </c>
      <c r="M876" s="6"/>
      <c r="N876" s="6"/>
      <c r="P876" s="5" t="s">
        <v>10220</v>
      </c>
      <c r="Q876" s="5" t="s">
        <v>10221</v>
      </c>
      <c r="R876" s="5"/>
      <c r="S876" s="5" t="s">
        <v>8335</v>
      </c>
      <c r="T876" s="5"/>
    </row>
    <row r="877" spans="1:20" x14ac:dyDescent="0.25">
      <c r="A877" s="5" t="s">
        <v>10334</v>
      </c>
      <c r="B877" s="7" t="s">
        <v>8310</v>
      </c>
      <c r="C877" s="5" t="s">
        <v>133</v>
      </c>
      <c r="D877" s="5"/>
      <c r="F877" s="5"/>
      <c r="G877" s="7">
        <v>89</v>
      </c>
      <c r="H877" s="5" t="s">
        <v>10240</v>
      </c>
      <c r="I877" s="5" t="str">
        <f t="shared" si="13"/>
        <v>fate8763076</v>
      </c>
      <c r="J877" s="6" t="s">
        <v>10243</v>
      </c>
      <c r="K877" s="6">
        <v>30.6</v>
      </c>
      <c r="L877" s="6">
        <v>7.6</v>
      </c>
      <c r="M877" s="6"/>
      <c r="N877" s="6"/>
      <c r="P877" s="5" t="s">
        <v>10241</v>
      </c>
      <c r="Q877" s="5" t="s">
        <v>8414</v>
      </c>
      <c r="R877" s="5"/>
      <c r="S877" s="5" t="s">
        <v>8335</v>
      </c>
      <c r="T877" s="5"/>
    </row>
    <row r="878" spans="1:20" x14ac:dyDescent="0.25">
      <c r="A878" s="5" t="s">
        <v>10336</v>
      </c>
      <c r="B878" s="7" t="s">
        <v>8310</v>
      </c>
      <c r="C878" s="5" t="s">
        <v>133</v>
      </c>
      <c r="D878" s="5"/>
      <c r="F878" s="5"/>
      <c r="G878" s="7">
        <v>89</v>
      </c>
      <c r="H878" s="5" t="s">
        <v>10240</v>
      </c>
      <c r="I878" s="5" t="str">
        <f t="shared" si="13"/>
        <v>fate8771711</v>
      </c>
      <c r="J878" s="6" t="s">
        <v>10247</v>
      </c>
      <c r="K878" s="6">
        <v>17.3</v>
      </c>
      <c r="L878" s="6">
        <v>11.1</v>
      </c>
      <c r="M878" s="6"/>
      <c r="N878" s="6"/>
      <c r="P878" s="5" t="s">
        <v>10241</v>
      </c>
      <c r="Q878" s="5" t="s">
        <v>8414</v>
      </c>
      <c r="R878" s="5"/>
      <c r="S878" s="5" t="s">
        <v>8335</v>
      </c>
      <c r="T878" s="5"/>
    </row>
    <row r="879" spans="1:20" x14ac:dyDescent="0.25">
      <c r="A879" s="5" t="s">
        <v>10339</v>
      </c>
      <c r="B879" s="7" t="s">
        <v>8310</v>
      </c>
      <c r="C879" s="5" t="s">
        <v>133</v>
      </c>
      <c r="D879" s="5"/>
      <c r="F879" s="5"/>
      <c r="G879" s="7">
        <v>89</v>
      </c>
      <c r="H879" s="5" t="s">
        <v>10240</v>
      </c>
      <c r="I879" s="5" t="str">
        <f t="shared" si="13"/>
        <v>fate8781023</v>
      </c>
      <c r="J879" s="6" t="s">
        <v>10249</v>
      </c>
      <c r="K879" s="6">
        <v>10.1</v>
      </c>
      <c r="L879" s="6">
        <v>23.3</v>
      </c>
      <c r="M879" s="6"/>
      <c r="N879" s="6"/>
      <c r="P879" s="5" t="s">
        <v>10241</v>
      </c>
      <c r="Q879" s="5" t="s">
        <v>8414</v>
      </c>
      <c r="R879" s="5"/>
      <c r="S879" s="5" t="s">
        <v>8335</v>
      </c>
      <c r="T879" s="5"/>
    </row>
    <row r="880" spans="1:20" x14ac:dyDescent="0.25">
      <c r="A880" s="5" t="s">
        <v>10341</v>
      </c>
      <c r="B880" s="7" t="s">
        <v>8310</v>
      </c>
      <c r="C880" s="5" t="s">
        <v>133</v>
      </c>
      <c r="D880" s="5"/>
      <c r="F880" s="5"/>
      <c r="G880" s="7">
        <v>89</v>
      </c>
      <c r="H880" s="5" t="s">
        <v>10240</v>
      </c>
      <c r="I880" s="5" t="str">
        <f t="shared" si="13"/>
        <v>fate8792079</v>
      </c>
      <c r="J880" s="6" t="s">
        <v>10251</v>
      </c>
      <c r="K880" s="6">
        <v>20.399999999999999</v>
      </c>
      <c r="L880" s="6">
        <v>7.9</v>
      </c>
      <c r="M880" s="6"/>
      <c r="N880" s="6"/>
      <c r="P880" s="5" t="s">
        <v>10241</v>
      </c>
      <c r="Q880" s="5" t="s">
        <v>8414</v>
      </c>
      <c r="R880" s="5"/>
      <c r="S880" s="5" t="s">
        <v>8335</v>
      </c>
      <c r="T880" s="5"/>
    </row>
    <row r="881" spans="1:20" x14ac:dyDescent="0.25">
      <c r="A881" s="5" t="s">
        <v>10343</v>
      </c>
      <c r="B881" s="7" t="s">
        <v>8310</v>
      </c>
      <c r="C881" s="5" t="s">
        <v>133</v>
      </c>
      <c r="D881" s="5"/>
      <c r="F881" s="5"/>
      <c r="G881" s="7">
        <v>89</v>
      </c>
      <c r="H881" s="5" t="s">
        <v>10240</v>
      </c>
      <c r="I881" s="5" t="str">
        <f t="shared" si="13"/>
        <v>fate8802715</v>
      </c>
      <c r="J881" s="6" t="s">
        <v>10253</v>
      </c>
      <c r="K881" s="6">
        <v>27.8</v>
      </c>
      <c r="L881" s="6">
        <v>15</v>
      </c>
      <c r="M881" s="6"/>
      <c r="N881" s="6"/>
      <c r="P881" s="5" t="s">
        <v>10241</v>
      </c>
      <c r="Q881" s="5" t="s">
        <v>8414</v>
      </c>
      <c r="R881" s="5"/>
      <c r="S881" s="5" t="s">
        <v>8335</v>
      </c>
      <c r="T881" s="5"/>
    </row>
    <row r="882" spans="1:20" x14ac:dyDescent="0.25">
      <c r="A882" s="5" t="s">
        <v>10345</v>
      </c>
      <c r="B882" s="7" t="s">
        <v>8310</v>
      </c>
      <c r="C882" s="5" t="s">
        <v>133</v>
      </c>
      <c r="D882" s="5"/>
      <c r="F882" s="5"/>
      <c r="G882" s="7">
        <v>89</v>
      </c>
      <c r="H882" s="5" t="s">
        <v>10240</v>
      </c>
      <c r="I882" s="5" t="str">
        <f t="shared" si="13"/>
        <v>fate8811628</v>
      </c>
      <c r="J882" s="6" t="s">
        <v>10259</v>
      </c>
      <c r="K882" s="6">
        <v>16.899999999999999</v>
      </c>
      <c r="L882" s="6">
        <v>28.4</v>
      </c>
      <c r="M882" s="6"/>
      <c r="N882" s="6"/>
      <c r="P882" s="5" t="s">
        <v>10241</v>
      </c>
      <c r="Q882" s="5" t="s">
        <v>8414</v>
      </c>
      <c r="R882" s="5"/>
      <c r="S882" s="5" t="s">
        <v>8335</v>
      </c>
      <c r="T882" s="5"/>
    </row>
    <row r="883" spans="1:20" x14ac:dyDescent="0.25">
      <c r="A883" s="5" t="s">
        <v>10347</v>
      </c>
      <c r="B883" s="7" t="s">
        <v>8346</v>
      </c>
      <c r="C883" s="5" t="s">
        <v>133</v>
      </c>
      <c r="D883" s="5"/>
      <c r="F883" s="5"/>
      <c r="G883" s="7">
        <v>89</v>
      </c>
      <c r="H883" s="5" t="s">
        <v>10240</v>
      </c>
      <c r="I883" s="5" t="str">
        <f t="shared" si="13"/>
        <v>fate8828718</v>
      </c>
      <c r="J883" s="6" t="s">
        <v>10245</v>
      </c>
      <c r="K883" s="6">
        <v>8.6999999999999993</v>
      </c>
      <c r="L883" s="6">
        <v>18.899999999999999</v>
      </c>
      <c r="M883" s="6"/>
      <c r="N883" s="6"/>
      <c r="P883" s="5" t="s">
        <v>10241</v>
      </c>
      <c r="Q883" s="5" t="s">
        <v>8414</v>
      </c>
      <c r="R883" s="5"/>
      <c r="S883" s="5" t="s">
        <v>8335</v>
      </c>
      <c r="T883" s="5"/>
    </row>
    <row r="884" spans="1:20" x14ac:dyDescent="0.25">
      <c r="A884" s="5" t="s">
        <v>10349</v>
      </c>
      <c r="B884" s="7" t="s">
        <v>10503</v>
      </c>
      <c r="C884" s="5" t="s">
        <v>133</v>
      </c>
      <c r="D884" s="1" t="s">
        <v>11034</v>
      </c>
      <c r="F884" s="5"/>
      <c r="G884" s="7">
        <v>89</v>
      </c>
      <c r="H884" s="5" t="s">
        <v>10240</v>
      </c>
      <c r="I884" s="5" t="str">
        <f t="shared" si="13"/>
        <v>fate8833211</v>
      </c>
      <c r="J884" s="6" t="s">
        <v>10239</v>
      </c>
      <c r="K884" s="6">
        <v>32.299999999999997</v>
      </c>
      <c r="L884" s="6">
        <v>11.5</v>
      </c>
      <c r="M884" s="6"/>
      <c r="N884" s="6"/>
      <c r="P884" s="5" t="s">
        <v>10241</v>
      </c>
      <c r="Q884" s="5" t="s">
        <v>8414</v>
      </c>
      <c r="R884" s="5"/>
      <c r="S884" s="5" t="s">
        <v>8335</v>
      </c>
      <c r="T884" s="5"/>
    </row>
    <row r="885" spans="1:20" x14ac:dyDescent="0.25">
      <c r="A885" s="5" t="s">
        <v>10351</v>
      </c>
      <c r="B885" s="7" t="s">
        <v>10503</v>
      </c>
      <c r="C885" s="5" t="s">
        <v>133</v>
      </c>
      <c r="D885" s="1" t="s">
        <v>11032</v>
      </c>
      <c r="F885" s="5"/>
      <c r="G885" s="7">
        <v>89</v>
      </c>
      <c r="H885" s="5" t="s">
        <v>10240</v>
      </c>
      <c r="I885" s="5" t="str">
        <f t="shared" si="13"/>
        <v>fate8842035</v>
      </c>
      <c r="J885" s="6" t="s">
        <v>10255</v>
      </c>
      <c r="K885" s="6">
        <v>20.6</v>
      </c>
      <c r="L885" s="6">
        <v>35.5</v>
      </c>
      <c r="M885" s="6"/>
      <c r="N885" s="6"/>
      <c r="P885" s="5" t="s">
        <v>10241</v>
      </c>
      <c r="Q885" s="5" t="s">
        <v>8414</v>
      </c>
      <c r="R885" s="5"/>
      <c r="S885" s="5" t="s">
        <v>8335</v>
      </c>
      <c r="T885" s="5"/>
    </row>
    <row r="886" spans="1:20" x14ac:dyDescent="0.25">
      <c r="A886" s="5" t="s">
        <v>10353</v>
      </c>
      <c r="B886" s="7" t="s">
        <v>10503</v>
      </c>
      <c r="C886" s="5" t="s">
        <v>133</v>
      </c>
      <c r="D886" s="1" t="s">
        <v>11033</v>
      </c>
      <c r="F886" s="5"/>
      <c r="G886" s="7">
        <v>89</v>
      </c>
      <c r="H886" s="5" t="s">
        <v>10240</v>
      </c>
      <c r="I886" s="5" t="str">
        <f t="shared" si="13"/>
        <v>fate8851235</v>
      </c>
      <c r="J886" s="6" t="s">
        <v>10257</v>
      </c>
      <c r="K886" s="6">
        <v>12</v>
      </c>
      <c r="L886" s="6">
        <v>35.299999999999997</v>
      </c>
      <c r="M886" s="6"/>
      <c r="N886" s="6"/>
      <c r="P886" s="5" t="s">
        <v>10241</v>
      </c>
      <c r="Q886" s="5" t="s">
        <v>8414</v>
      </c>
      <c r="R886" s="5"/>
      <c r="S886" s="5" t="s">
        <v>8335</v>
      </c>
      <c r="T886" s="5"/>
    </row>
    <row r="887" spans="1:20" x14ac:dyDescent="0.25">
      <c r="A887" s="5" t="s">
        <v>10356</v>
      </c>
      <c r="B887" s="7" t="s">
        <v>8424</v>
      </c>
      <c r="C887" s="5" t="s">
        <v>133</v>
      </c>
      <c r="D887" s="5"/>
      <c r="E887" s="5">
        <v>59</v>
      </c>
      <c r="F887" s="5">
        <v>1</v>
      </c>
      <c r="G887" s="7">
        <v>89</v>
      </c>
      <c r="H887" s="5" t="s">
        <v>10240</v>
      </c>
      <c r="I887" s="5" t="str">
        <f t="shared" si="13"/>
        <v>fate8862925</v>
      </c>
      <c r="J887" s="6" t="s">
        <v>10563</v>
      </c>
      <c r="K887" s="6">
        <v>29.4</v>
      </c>
      <c r="L887" s="6">
        <v>25.8</v>
      </c>
      <c r="M887" s="6"/>
      <c r="N887" s="6"/>
      <c r="P887" s="5" t="s">
        <v>10241</v>
      </c>
      <c r="Q887" s="5" t="s">
        <v>8414</v>
      </c>
      <c r="R887" s="5"/>
      <c r="S887" s="5" t="s">
        <v>8335</v>
      </c>
      <c r="T887" s="5"/>
    </row>
    <row r="888" spans="1:20" x14ac:dyDescent="0.25">
      <c r="A888" s="5" t="s">
        <v>10358</v>
      </c>
      <c r="B888" s="7" t="s">
        <v>8346</v>
      </c>
      <c r="C888" s="5" t="s">
        <v>133</v>
      </c>
      <c r="D888" s="5"/>
      <c r="E888" s="5">
        <v>59</v>
      </c>
      <c r="F888" s="5">
        <v>2</v>
      </c>
      <c r="G888" s="7">
        <v>89</v>
      </c>
      <c r="H888" s="5" t="s">
        <v>10240</v>
      </c>
      <c r="I888" s="5" t="str">
        <f t="shared" si="13"/>
        <v>fate8873326</v>
      </c>
      <c r="J888" s="6" t="s">
        <v>10565</v>
      </c>
      <c r="K888" s="6">
        <v>33.299999999999997</v>
      </c>
      <c r="L888" s="6">
        <v>26.8</v>
      </c>
      <c r="M888" s="6"/>
      <c r="N888" s="6"/>
      <c r="O888" s="5"/>
      <c r="P888" s="5" t="s">
        <v>10241</v>
      </c>
      <c r="Q888" s="5" t="s">
        <v>8414</v>
      </c>
      <c r="R888" s="5"/>
      <c r="S888" s="5" t="s">
        <v>8335</v>
      </c>
      <c r="T888" s="5"/>
    </row>
    <row r="889" spans="1:20" x14ac:dyDescent="0.25">
      <c r="A889" s="5" t="s">
        <v>10360</v>
      </c>
      <c r="B889" s="7" t="s">
        <v>10668</v>
      </c>
      <c r="C889" s="5" t="s">
        <v>133</v>
      </c>
      <c r="D889" s="5" t="s">
        <v>10568</v>
      </c>
      <c r="E889" s="5">
        <v>59</v>
      </c>
      <c r="F889" s="5">
        <v>3</v>
      </c>
      <c r="G889" s="7">
        <v>90</v>
      </c>
      <c r="H889" s="5" t="s">
        <v>10240</v>
      </c>
      <c r="I889" s="5" t="str">
        <f t="shared" si="13"/>
        <v>fate8883421</v>
      </c>
      <c r="J889" s="6" t="s">
        <v>10567</v>
      </c>
      <c r="K889" s="6">
        <v>34.5</v>
      </c>
      <c r="L889" s="6">
        <v>21.5</v>
      </c>
      <c r="M889" s="6"/>
      <c r="N889" s="6"/>
      <c r="O889" s="5"/>
      <c r="P889" s="5" t="s">
        <v>10167</v>
      </c>
      <c r="Q889" s="5" t="s">
        <v>10168</v>
      </c>
      <c r="R889" s="5"/>
      <c r="S889" s="5" t="s">
        <v>8475</v>
      </c>
      <c r="T889" s="5"/>
    </row>
    <row r="890" spans="1:20" x14ac:dyDescent="0.25">
      <c r="A890" s="5" t="s">
        <v>10362</v>
      </c>
      <c r="B890" s="7" t="s">
        <v>8310</v>
      </c>
      <c r="C890" s="5" t="s">
        <v>133</v>
      </c>
      <c r="D890" s="5"/>
      <c r="F890" s="5"/>
      <c r="G890" s="7">
        <v>86</v>
      </c>
      <c r="H890" s="5" t="s">
        <v>10262</v>
      </c>
      <c r="I890" s="5" t="str">
        <f t="shared" si="13"/>
        <v>fate8895333</v>
      </c>
      <c r="J890" s="6" t="s">
        <v>10261</v>
      </c>
      <c r="K890" s="6">
        <v>5.3</v>
      </c>
      <c r="L890" s="6">
        <v>33</v>
      </c>
      <c r="M890" s="6"/>
      <c r="N890" s="6"/>
      <c r="P890" s="5" t="s">
        <v>10263</v>
      </c>
      <c r="Q890" s="5" t="s">
        <v>8407</v>
      </c>
      <c r="R890" s="5"/>
      <c r="S890" s="5" t="s">
        <v>8335</v>
      </c>
      <c r="T890" s="5"/>
    </row>
    <row r="891" spans="1:20" x14ac:dyDescent="0.25">
      <c r="A891" s="5" t="s">
        <v>10364</v>
      </c>
      <c r="B891" s="7" t="s">
        <v>8310</v>
      </c>
      <c r="C891" s="5" t="s">
        <v>133</v>
      </c>
      <c r="D891" s="5"/>
      <c r="F891" s="5"/>
      <c r="G891" s="7">
        <v>86</v>
      </c>
      <c r="H891" s="5" t="s">
        <v>10262</v>
      </c>
      <c r="I891" s="5" t="str">
        <f t="shared" si="13"/>
        <v>fate8901035</v>
      </c>
      <c r="J891" s="6" t="s">
        <v>10265</v>
      </c>
      <c r="K891" s="6">
        <v>10.4</v>
      </c>
      <c r="L891" s="6">
        <v>35.9</v>
      </c>
      <c r="M891" s="6"/>
      <c r="N891" s="6"/>
      <c r="P891" s="5" t="s">
        <v>10263</v>
      </c>
      <c r="Q891" s="5" t="s">
        <v>8407</v>
      </c>
      <c r="R891" s="5"/>
      <c r="S891" s="5" t="s">
        <v>8335</v>
      </c>
      <c r="T891" s="5"/>
    </row>
    <row r="892" spans="1:20" x14ac:dyDescent="0.25">
      <c r="A892" s="5" t="s">
        <v>10366</v>
      </c>
      <c r="B892" s="7" t="s">
        <v>8310</v>
      </c>
      <c r="C892" s="5" t="s">
        <v>133</v>
      </c>
      <c r="D892" s="5"/>
      <c r="F892" s="5"/>
      <c r="G892" s="7">
        <v>86</v>
      </c>
      <c r="H892" s="5" t="s">
        <v>10262</v>
      </c>
      <c r="I892" s="5" t="str">
        <f t="shared" si="13"/>
        <v>fate8912121</v>
      </c>
      <c r="J892" s="6" t="s">
        <v>10267</v>
      </c>
      <c r="K892" s="6">
        <v>21.5</v>
      </c>
      <c r="L892" s="6">
        <v>21.7</v>
      </c>
      <c r="M892" s="6"/>
      <c r="N892" s="6"/>
      <c r="P892" s="5" t="s">
        <v>10263</v>
      </c>
      <c r="Q892" s="5" t="s">
        <v>8407</v>
      </c>
      <c r="R892" s="5"/>
      <c r="S892" s="5" t="s">
        <v>8335</v>
      </c>
      <c r="T892" s="5"/>
    </row>
    <row r="893" spans="1:20" x14ac:dyDescent="0.25">
      <c r="A893" s="5" t="s">
        <v>10368</v>
      </c>
      <c r="B893" s="7" t="s">
        <v>8310</v>
      </c>
      <c r="C893" s="5" t="s">
        <v>133</v>
      </c>
      <c r="D893" s="5"/>
      <c r="F893" s="5"/>
      <c r="G893" s="7">
        <v>86</v>
      </c>
      <c r="H893" s="5" t="s">
        <v>10262</v>
      </c>
      <c r="I893" s="5" t="str">
        <f t="shared" si="13"/>
        <v>fate8922829</v>
      </c>
      <c r="J893" s="6" t="s">
        <v>10277</v>
      </c>
      <c r="K893" s="6">
        <v>28.4</v>
      </c>
      <c r="L893" s="6">
        <v>29.2</v>
      </c>
      <c r="M893" s="6"/>
      <c r="N893" s="6"/>
      <c r="P893" s="5" t="s">
        <v>10263</v>
      </c>
      <c r="Q893" s="5" t="s">
        <v>8407</v>
      </c>
      <c r="R893" s="5"/>
      <c r="S893" s="5" t="s">
        <v>8335</v>
      </c>
      <c r="T893" s="5"/>
    </row>
    <row r="894" spans="1:20" x14ac:dyDescent="0.25">
      <c r="A894" s="5" t="s">
        <v>10370</v>
      </c>
      <c r="B894" s="7" t="s">
        <v>8310</v>
      </c>
      <c r="C894" s="5" t="s">
        <v>133</v>
      </c>
      <c r="D894" s="5"/>
      <c r="F894" s="5"/>
      <c r="G894" s="7">
        <v>87</v>
      </c>
      <c r="H894" s="5" t="s">
        <v>10262</v>
      </c>
      <c r="I894" s="5" t="str">
        <f t="shared" si="13"/>
        <v>fate8938619</v>
      </c>
      <c r="J894" s="6" t="s">
        <v>10289</v>
      </c>
      <c r="K894" s="6">
        <v>8.6</v>
      </c>
      <c r="L894" s="6">
        <v>19.7</v>
      </c>
      <c r="M894" s="6"/>
      <c r="N894" s="6"/>
      <c r="P894" s="5" t="s">
        <v>10280</v>
      </c>
      <c r="Q894" s="5" t="s">
        <v>10281</v>
      </c>
      <c r="R894" s="5"/>
      <c r="S894" s="5" t="s">
        <v>8335</v>
      </c>
      <c r="T894" s="5"/>
    </row>
    <row r="895" spans="1:20" x14ac:dyDescent="0.25">
      <c r="A895" s="5" t="s">
        <v>10372</v>
      </c>
      <c r="B895" s="7" t="s">
        <v>8310</v>
      </c>
      <c r="C895" s="5" t="s">
        <v>133</v>
      </c>
      <c r="D895" s="5"/>
      <c r="F895" s="5"/>
      <c r="G895" s="7">
        <v>87</v>
      </c>
      <c r="H895" s="5" t="s">
        <v>10262</v>
      </c>
      <c r="I895" s="5" t="str">
        <f t="shared" si="13"/>
        <v>fate8943517</v>
      </c>
      <c r="J895" s="6" t="s">
        <v>10291</v>
      </c>
      <c r="K895" s="6">
        <v>35.5</v>
      </c>
      <c r="L895" s="6">
        <v>17.600000000000001</v>
      </c>
      <c r="M895" s="6"/>
      <c r="N895" s="6"/>
      <c r="P895" s="5" t="s">
        <v>10280</v>
      </c>
      <c r="Q895" s="5" t="s">
        <v>10281</v>
      </c>
      <c r="R895" s="5"/>
      <c r="S895" s="5" t="s">
        <v>8335</v>
      </c>
      <c r="T895" s="5"/>
    </row>
    <row r="896" spans="1:20" x14ac:dyDescent="0.25">
      <c r="A896" s="5" t="s">
        <v>10374</v>
      </c>
      <c r="B896" s="7" t="s">
        <v>8310</v>
      </c>
      <c r="C896" s="5" t="s">
        <v>133</v>
      </c>
      <c r="D896" s="5"/>
      <c r="F896" s="5"/>
      <c r="G896" s="7">
        <v>87</v>
      </c>
      <c r="H896" s="5" t="s">
        <v>10262</v>
      </c>
      <c r="I896" s="5" t="str">
        <f t="shared" si="13"/>
        <v>fate8951317</v>
      </c>
      <c r="J896" s="6" t="s">
        <v>10293</v>
      </c>
      <c r="K896" s="6">
        <v>13.9</v>
      </c>
      <c r="L896" s="6">
        <v>17</v>
      </c>
      <c r="M896" s="6"/>
      <c r="N896" s="6"/>
      <c r="P896" s="5" t="s">
        <v>10280</v>
      </c>
      <c r="Q896" s="5" t="s">
        <v>10281</v>
      </c>
      <c r="R896" s="5"/>
      <c r="S896" s="5" t="s">
        <v>8335</v>
      </c>
      <c r="T896" s="5"/>
    </row>
    <row r="897" spans="1:20" x14ac:dyDescent="0.25">
      <c r="A897" s="5" t="s">
        <v>10379</v>
      </c>
      <c r="B897" s="7" t="s">
        <v>8346</v>
      </c>
      <c r="C897" s="5" t="s">
        <v>133</v>
      </c>
      <c r="D897" s="5"/>
      <c r="F897" s="5"/>
      <c r="G897" s="7">
        <v>86</v>
      </c>
      <c r="H897" s="5" t="s">
        <v>10262</v>
      </c>
      <c r="I897" s="5" t="str">
        <f t="shared" si="13"/>
        <v>fate8963025</v>
      </c>
      <c r="J897" s="6" t="s">
        <v>10273</v>
      </c>
      <c r="K897" s="6">
        <v>30.7</v>
      </c>
      <c r="L897" s="6">
        <v>25.4</v>
      </c>
      <c r="M897" s="6"/>
      <c r="N897" s="6"/>
      <c r="P897" s="5" t="s">
        <v>10263</v>
      </c>
      <c r="Q897" s="5" t="s">
        <v>8407</v>
      </c>
      <c r="R897" s="5"/>
      <c r="S897" s="5" t="s">
        <v>8335</v>
      </c>
      <c r="T897" s="5"/>
    </row>
    <row r="898" spans="1:20" x14ac:dyDescent="0.25">
      <c r="A898" s="5" t="s">
        <v>10381</v>
      </c>
      <c r="B898" s="7" t="s">
        <v>8424</v>
      </c>
      <c r="C898" s="5" t="s">
        <v>133</v>
      </c>
      <c r="D898" s="5"/>
      <c r="F898" s="5"/>
      <c r="G898" s="7">
        <v>87</v>
      </c>
      <c r="H898" s="5" t="s">
        <v>10262</v>
      </c>
      <c r="I898" s="5" t="str">
        <f t="shared" si="13"/>
        <v>fate8972714</v>
      </c>
      <c r="J898" s="6" t="s">
        <v>10283</v>
      </c>
      <c r="K898" s="6">
        <v>27</v>
      </c>
      <c r="L898" s="6">
        <v>14.7</v>
      </c>
      <c r="M898" s="6"/>
      <c r="N898" s="6"/>
      <c r="P898" s="5" t="s">
        <v>10280</v>
      </c>
      <c r="Q898" s="5" t="s">
        <v>10281</v>
      </c>
      <c r="R898" s="5"/>
      <c r="S898" s="5" t="s">
        <v>8335</v>
      </c>
      <c r="T898" s="5"/>
    </row>
    <row r="899" spans="1:20" x14ac:dyDescent="0.25">
      <c r="A899" s="5" t="s">
        <v>10383</v>
      </c>
      <c r="B899" s="7" t="s">
        <v>10503</v>
      </c>
      <c r="C899" s="5" t="s">
        <v>133</v>
      </c>
      <c r="D899" s="1" t="s">
        <v>11035</v>
      </c>
      <c r="F899" s="5"/>
      <c r="G899" s="7">
        <v>86</v>
      </c>
      <c r="H899" s="5" t="s">
        <v>10262</v>
      </c>
      <c r="I899" s="5" t="str">
        <f t="shared" si="13"/>
        <v>fate8981929</v>
      </c>
      <c r="J899" s="6" t="s">
        <v>10269</v>
      </c>
      <c r="K899" s="6">
        <v>19.8</v>
      </c>
      <c r="L899" s="6">
        <v>29.9</v>
      </c>
      <c r="M899" s="6"/>
      <c r="N899" s="6"/>
      <c r="P899" s="5" t="s">
        <v>10263</v>
      </c>
      <c r="Q899" s="5" t="s">
        <v>8407</v>
      </c>
      <c r="R899" s="5"/>
      <c r="S899" s="5" t="s">
        <v>8335</v>
      </c>
      <c r="T899" s="5"/>
    </row>
    <row r="900" spans="1:20" x14ac:dyDescent="0.25">
      <c r="A900" s="5" t="s">
        <v>10385</v>
      </c>
      <c r="B900" s="7" t="s">
        <v>10503</v>
      </c>
      <c r="C900" s="5" t="s">
        <v>133</v>
      </c>
      <c r="D900" s="1" t="s">
        <v>11037</v>
      </c>
      <c r="F900" s="5"/>
      <c r="G900" s="7">
        <v>87</v>
      </c>
      <c r="H900" s="5" t="s">
        <v>10262</v>
      </c>
      <c r="I900" s="5" t="str">
        <f t="shared" ref="I900:I963" si="14">A900&amp;LEFT(SUBSTITUTE(K900,".",""),2)&amp;LEFT(SUBSTITUTE(L900,".",""),2)</f>
        <v>fate8992755</v>
      </c>
      <c r="J900" s="6" t="s">
        <v>10287</v>
      </c>
      <c r="K900" s="6">
        <v>27.9</v>
      </c>
      <c r="L900" s="6">
        <v>5.5</v>
      </c>
      <c r="M900" s="6"/>
      <c r="N900" s="6"/>
      <c r="P900" s="5" t="s">
        <v>10280</v>
      </c>
      <c r="Q900" s="5" t="s">
        <v>10281</v>
      </c>
      <c r="R900" s="5"/>
      <c r="S900" s="5" t="s">
        <v>8335</v>
      </c>
      <c r="T900" s="5"/>
    </row>
    <row r="901" spans="1:20" x14ac:dyDescent="0.25">
      <c r="A901" s="5" t="s">
        <v>10387</v>
      </c>
      <c r="B901" s="7" t="s">
        <v>8310</v>
      </c>
      <c r="C901" s="5" t="s">
        <v>133</v>
      </c>
      <c r="D901" s="5"/>
      <c r="E901" s="5">
        <v>60</v>
      </c>
      <c r="F901" s="5">
        <v>1</v>
      </c>
      <c r="G901" s="7">
        <v>87</v>
      </c>
      <c r="H901" s="5" t="s">
        <v>10262</v>
      </c>
      <c r="I901" s="5" t="str">
        <f t="shared" si="14"/>
        <v>fate9009623</v>
      </c>
      <c r="J901" s="6" t="s">
        <v>10285</v>
      </c>
      <c r="K901" s="6">
        <v>9.6</v>
      </c>
      <c r="L901" s="6">
        <v>23.8</v>
      </c>
      <c r="M901" s="6"/>
      <c r="N901" s="6"/>
      <c r="P901" s="5" t="s">
        <v>10280</v>
      </c>
      <c r="Q901" s="5" t="s">
        <v>10281</v>
      </c>
      <c r="R901" s="5"/>
      <c r="S901" s="5" t="s">
        <v>8335</v>
      </c>
      <c r="T901" s="5"/>
    </row>
    <row r="902" spans="1:20" x14ac:dyDescent="0.25">
      <c r="A902" s="5" t="s">
        <v>10389</v>
      </c>
      <c r="B902" s="7" t="s">
        <v>10503</v>
      </c>
      <c r="C902" s="5" t="s">
        <v>133</v>
      </c>
      <c r="D902" s="1" t="s">
        <v>11038</v>
      </c>
      <c r="E902" s="5">
        <v>60</v>
      </c>
      <c r="F902" s="5">
        <v>2</v>
      </c>
      <c r="G902" s="7">
        <v>87</v>
      </c>
      <c r="H902" s="5" t="s">
        <v>10262</v>
      </c>
      <c r="I902" s="5" t="str">
        <f t="shared" si="14"/>
        <v>fate9019623</v>
      </c>
      <c r="J902" s="6" t="s">
        <v>10279</v>
      </c>
      <c r="K902" s="6">
        <v>9.6</v>
      </c>
      <c r="L902" s="6">
        <v>23.8</v>
      </c>
      <c r="M902" s="6"/>
      <c r="N902" s="6"/>
      <c r="P902" s="5" t="s">
        <v>10280</v>
      </c>
      <c r="Q902" s="5" t="s">
        <v>10281</v>
      </c>
      <c r="R902" s="5"/>
      <c r="S902" s="5" t="s">
        <v>8335</v>
      </c>
      <c r="T902" s="5"/>
    </row>
    <row r="903" spans="1:20" x14ac:dyDescent="0.25">
      <c r="A903" s="5" t="s">
        <v>10391</v>
      </c>
      <c r="B903" s="7" t="s">
        <v>8310</v>
      </c>
      <c r="C903" s="5" t="s">
        <v>133</v>
      </c>
      <c r="D903" s="1" t="s">
        <v>11036</v>
      </c>
      <c r="E903" s="5">
        <v>60</v>
      </c>
      <c r="F903" s="5">
        <v>3</v>
      </c>
      <c r="G903" s="7">
        <v>86</v>
      </c>
      <c r="H903" s="5" t="s">
        <v>10262</v>
      </c>
      <c r="I903" s="5" t="str">
        <f t="shared" si="14"/>
        <v>fate9028328</v>
      </c>
      <c r="J903" s="6" t="s">
        <v>10271</v>
      </c>
      <c r="K903" s="6">
        <v>8.3000000000000007</v>
      </c>
      <c r="L903" s="6">
        <v>28.6</v>
      </c>
      <c r="M903" s="6"/>
      <c r="N903" s="6"/>
      <c r="P903" s="5" t="s">
        <v>10263</v>
      </c>
      <c r="Q903" s="5" t="s">
        <v>8407</v>
      </c>
      <c r="R903" s="5"/>
      <c r="S903" s="5" t="s">
        <v>8335</v>
      </c>
      <c r="T903" s="5"/>
    </row>
    <row r="904" spans="1:20" x14ac:dyDescent="0.25">
      <c r="A904" s="5" t="s">
        <v>10393</v>
      </c>
      <c r="B904" s="7" t="s">
        <v>10503</v>
      </c>
      <c r="C904" s="5" t="s">
        <v>133</v>
      </c>
      <c r="D904" s="1" t="s">
        <v>11036</v>
      </c>
      <c r="E904" s="5">
        <v>60</v>
      </c>
      <c r="F904" s="5">
        <v>4</v>
      </c>
      <c r="G904" s="7">
        <v>86</v>
      </c>
      <c r="H904" s="5" t="s">
        <v>10262</v>
      </c>
      <c r="I904" s="5" t="str">
        <f t="shared" si="14"/>
        <v>fate9038328</v>
      </c>
      <c r="J904" s="6" t="s">
        <v>10275</v>
      </c>
      <c r="K904" s="6">
        <v>8.3000000000000007</v>
      </c>
      <c r="L904" s="6">
        <v>28.6</v>
      </c>
      <c r="M904" s="6"/>
      <c r="N904" s="6"/>
      <c r="P904" s="5" t="s">
        <v>10263</v>
      </c>
      <c r="Q904" s="5" t="s">
        <v>8407</v>
      </c>
      <c r="R904" s="5"/>
      <c r="S904" s="5" t="s">
        <v>8335</v>
      </c>
      <c r="T904" s="5"/>
    </row>
    <row r="905" spans="1:20" x14ac:dyDescent="0.25">
      <c r="A905" s="5" t="s">
        <v>10395</v>
      </c>
      <c r="B905" s="7" t="s">
        <v>8310</v>
      </c>
      <c r="C905" s="5" t="s">
        <v>215</v>
      </c>
      <c r="D905" s="5"/>
      <c r="F905" s="5"/>
      <c r="G905" s="7">
        <v>90</v>
      </c>
      <c r="H905" s="5" t="s">
        <v>10296</v>
      </c>
      <c r="I905" s="5" t="str">
        <f t="shared" si="14"/>
        <v>fate9043215</v>
      </c>
      <c r="J905" s="6" t="s">
        <v>10295</v>
      </c>
      <c r="K905" s="6">
        <v>32.799999999999997</v>
      </c>
      <c r="L905" s="6">
        <v>15.6</v>
      </c>
      <c r="M905" s="6"/>
      <c r="N905" s="6"/>
      <c r="P905" s="5" t="s">
        <v>10297</v>
      </c>
      <c r="Q905" s="5" t="s">
        <v>10168</v>
      </c>
      <c r="R905" s="5"/>
      <c r="S905" s="5" t="s">
        <v>8342</v>
      </c>
      <c r="T905" s="5"/>
    </row>
    <row r="906" spans="1:20" x14ac:dyDescent="0.25">
      <c r="A906" s="5" t="s">
        <v>10397</v>
      </c>
      <c r="B906" s="7" t="s">
        <v>8310</v>
      </c>
      <c r="C906" s="5" t="s">
        <v>215</v>
      </c>
      <c r="D906" s="5"/>
      <c r="F906" s="5"/>
      <c r="G906" s="7">
        <v>91</v>
      </c>
      <c r="H906" s="5" t="s">
        <v>10296</v>
      </c>
      <c r="I906" s="5" t="str">
        <f t="shared" si="14"/>
        <v>fate9051381</v>
      </c>
      <c r="J906" s="6" t="s">
        <v>10303</v>
      </c>
      <c r="K906" s="6">
        <v>13.9</v>
      </c>
      <c r="L906" s="6">
        <v>8.1</v>
      </c>
      <c r="M906" s="6"/>
      <c r="N906" s="6"/>
      <c r="P906" s="5" t="s">
        <v>10304</v>
      </c>
      <c r="Q906" s="5" t="s">
        <v>10305</v>
      </c>
      <c r="R906" s="5"/>
      <c r="S906" s="5" t="s">
        <v>8342</v>
      </c>
      <c r="T906" s="5"/>
    </row>
    <row r="907" spans="1:20" x14ac:dyDescent="0.25">
      <c r="A907" s="5" t="s">
        <v>10399</v>
      </c>
      <c r="B907" s="7" t="s">
        <v>8310</v>
      </c>
      <c r="C907" s="5" t="s">
        <v>215</v>
      </c>
      <c r="D907" s="5"/>
      <c r="F907" s="5"/>
      <c r="G907" s="7">
        <v>91</v>
      </c>
      <c r="H907" s="5" t="s">
        <v>10296</v>
      </c>
      <c r="I907" s="5" t="str">
        <f t="shared" si="14"/>
        <v>fate9062313</v>
      </c>
      <c r="J907" s="6" t="s">
        <v>10307</v>
      </c>
      <c r="K907" s="6">
        <v>23.2</v>
      </c>
      <c r="L907" s="6">
        <v>13.3</v>
      </c>
      <c r="M907" s="6"/>
      <c r="N907" s="6"/>
      <c r="P907" s="5" t="s">
        <v>10304</v>
      </c>
      <c r="Q907" s="5" t="s">
        <v>10305</v>
      </c>
      <c r="R907" s="5"/>
      <c r="S907" s="5" t="s">
        <v>8342</v>
      </c>
      <c r="T907" s="5"/>
    </row>
    <row r="908" spans="1:20" x14ac:dyDescent="0.25">
      <c r="A908" s="5" t="s">
        <v>10401</v>
      </c>
      <c r="B908" s="7" t="s">
        <v>8310</v>
      </c>
      <c r="C908" s="5" t="s">
        <v>215</v>
      </c>
      <c r="D908" s="5"/>
      <c r="F908" s="5"/>
      <c r="G908" s="7">
        <v>91</v>
      </c>
      <c r="H908" s="5" t="s">
        <v>10296</v>
      </c>
      <c r="I908" s="5" t="str">
        <f t="shared" si="14"/>
        <v>fate907188</v>
      </c>
      <c r="J908" s="6" t="s">
        <v>10309</v>
      </c>
      <c r="K908" s="6">
        <v>18.399999999999999</v>
      </c>
      <c r="L908" s="6">
        <v>8</v>
      </c>
      <c r="M908" s="6"/>
      <c r="N908" s="6"/>
      <c r="P908" s="5" t="s">
        <v>10304</v>
      </c>
      <c r="Q908" s="5" t="s">
        <v>10305</v>
      </c>
      <c r="R908" s="5"/>
      <c r="S908" s="5" t="s">
        <v>8342</v>
      </c>
      <c r="T908" s="5"/>
    </row>
    <row r="909" spans="1:20" x14ac:dyDescent="0.25">
      <c r="A909" s="5" t="s">
        <v>10403</v>
      </c>
      <c r="B909" s="7" t="s">
        <v>8310</v>
      </c>
      <c r="C909" s="5" t="s">
        <v>215</v>
      </c>
      <c r="D909" s="5"/>
      <c r="F909" s="5"/>
      <c r="G909" s="7">
        <v>91</v>
      </c>
      <c r="H909" s="5" t="s">
        <v>10296</v>
      </c>
      <c r="I909" s="5" t="str">
        <f t="shared" si="14"/>
        <v>fate9081715</v>
      </c>
      <c r="J909" s="6" t="s">
        <v>10313</v>
      </c>
      <c r="K909" s="6">
        <v>17</v>
      </c>
      <c r="L909" s="6">
        <v>15.8</v>
      </c>
      <c r="M909" s="6"/>
      <c r="N909" s="6"/>
      <c r="P909" s="5" t="s">
        <v>10304</v>
      </c>
      <c r="Q909" s="5" t="s">
        <v>10305</v>
      </c>
      <c r="R909" s="5"/>
      <c r="S909" s="5" t="s">
        <v>8342</v>
      </c>
      <c r="T909" s="5"/>
    </row>
    <row r="910" spans="1:20" x14ac:dyDescent="0.25">
      <c r="A910" s="5" t="s">
        <v>10405</v>
      </c>
      <c r="B910" s="7" t="s">
        <v>8310</v>
      </c>
      <c r="C910" s="5" t="s">
        <v>215</v>
      </c>
      <c r="D910" s="5"/>
      <c r="F910" s="5"/>
      <c r="G910" s="7">
        <v>91</v>
      </c>
      <c r="H910" s="5" t="s">
        <v>10296</v>
      </c>
      <c r="I910" s="5" t="str">
        <f t="shared" si="14"/>
        <v>fate9092598</v>
      </c>
      <c r="J910" s="6" t="s">
        <v>10315</v>
      </c>
      <c r="K910" s="6">
        <v>25.6</v>
      </c>
      <c r="L910" s="6">
        <v>9.8000000000000007</v>
      </c>
      <c r="M910" s="6"/>
      <c r="N910" s="6"/>
      <c r="P910" s="5" t="s">
        <v>10304</v>
      </c>
      <c r="Q910" s="5" t="s">
        <v>10305</v>
      </c>
      <c r="R910" s="5"/>
      <c r="S910" s="5" t="s">
        <v>8342</v>
      </c>
      <c r="T910" s="5"/>
    </row>
    <row r="911" spans="1:20" x14ac:dyDescent="0.25">
      <c r="A911" s="5" t="s">
        <v>10407</v>
      </c>
      <c r="B911" s="7" t="s">
        <v>8310</v>
      </c>
      <c r="C911" s="5" t="s">
        <v>215</v>
      </c>
      <c r="D911" s="5"/>
      <c r="F911" s="5"/>
      <c r="G911" s="7">
        <v>93</v>
      </c>
      <c r="H911" s="5" t="s">
        <v>10296</v>
      </c>
      <c r="I911" s="5" t="str">
        <f t="shared" si="14"/>
        <v>fate9102828</v>
      </c>
      <c r="J911" s="6" t="s">
        <v>10321</v>
      </c>
      <c r="K911" s="6">
        <v>28.5</v>
      </c>
      <c r="L911" s="6">
        <v>28.4</v>
      </c>
      <c r="M911" s="6"/>
      <c r="N911" s="6"/>
      <c r="P911" s="5" t="s">
        <v>10318</v>
      </c>
      <c r="Q911" s="5" t="s">
        <v>10319</v>
      </c>
      <c r="R911" s="5"/>
      <c r="S911" s="5" t="s">
        <v>8342</v>
      </c>
      <c r="T911" s="5"/>
    </row>
    <row r="912" spans="1:20" x14ac:dyDescent="0.25">
      <c r="A912" s="5" t="s">
        <v>10409</v>
      </c>
      <c r="B912" s="7" t="s">
        <v>8310</v>
      </c>
      <c r="C912" s="5" t="s">
        <v>215</v>
      </c>
      <c r="D912" s="5"/>
      <c r="F912" s="5"/>
      <c r="G912" s="7">
        <v>93</v>
      </c>
      <c r="H912" s="5" t="s">
        <v>10296</v>
      </c>
      <c r="I912" s="5" t="str">
        <f t="shared" si="14"/>
        <v>fate9111928</v>
      </c>
      <c r="J912" s="6" t="s">
        <v>10325</v>
      </c>
      <c r="K912" s="6">
        <v>19.7</v>
      </c>
      <c r="L912" s="6">
        <v>28.6</v>
      </c>
      <c r="M912" s="6"/>
      <c r="N912" s="6"/>
      <c r="P912" s="5" t="s">
        <v>10318</v>
      </c>
      <c r="Q912" s="5" t="s">
        <v>10319</v>
      </c>
      <c r="R912" s="5"/>
      <c r="S912" s="5" t="s">
        <v>8342</v>
      </c>
      <c r="T912" s="5"/>
    </row>
    <row r="913" spans="1:20" x14ac:dyDescent="0.25">
      <c r="A913" s="5" t="s">
        <v>10414</v>
      </c>
      <c r="B913" s="7" t="s">
        <v>8310</v>
      </c>
      <c r="C913" s="5" t="s">
        <v>215</v>
      </c>
      <c r="D913" s="5"/>
      <c r="F913" s="5"/>
      <c r="G913" s="7">
        <v>93</v>
      </c>
      <c r="H913" s="5" t="s">
        <v>10296</v>
      </c>
      <c r="I913" s="5" t="str">
        <f t="shared" si="14"/>
        <v>fate9128523</v>
      </c>
      <c r="J913" s="6" t="s">
        <v>10327</v>
      </c>
      <c r="K913" s="6">
        <v>8.5</v>
      </c>
      <c r="L913" s="6">
        <v>23.4</v>
      </c>
      <c r="M913" s="6"/>
      <c r="N913" s="6"/>
      <c r="P913" s="5" t="s">
        <v>10318</v>
      </c>
      <c r="Q913" s="5" t="s">
        <v>10319</v>
      </c>
      <c r="R913" s="5"/>
      <c r="S913" s="5" t="s">
        <v>8342</v>
      </c>
      <c r="T913" s="5"/>
    </row>
    <row r="914" spans="1:20" x14ac:dyDescent="0.25">
      <c r="A914" s="5" t="s">
        <v>10416</v>
      </c>
      <c r="B914" s="7" t="s">
        <v>8310</v>
      </c>
      <c r="C914" s="5" t="s">
        <v>215</v>
      </c>
      <c r="D914" s="5"/>
      <c r="F914" s="5"/>
      <c r="G914" s="7">
        <v>93</v>
      </c>
      <c r="H914" s="5" t="s">
        <v>10296</v>
      </c>
      <c r="I914" s="5" t="str">
        <f t="shared" si="14"/>
        <v>fate9133627</v>
      </c>
      <c r="J914" s="6" t="s">
        <v>10333</v>
      </c>
      <c r="K914" s="6">
        <v>36</v>
      </c>
      <c r="L914" s="6">
        <v>27</v>
      </c>
      <c r="M914" s="6"/>
      <c r="N914" s="6"/>
      <c r="P914" s="5" t="s">
        <v>10318</v>
      </c>
      <c r="Q914" s="5" t="s">
        <v>10319</v>
      </c>
      <c r="R914" s="5"/>
      <c r="S914" s="5" t="s">
        <v>8342</v>
      </c>
      <c r="T914" s="5"/>
    </row>
    <row r="915" spans="1:20" x14ac:dyDescent="0.25">
      <c r="A915" s="5" t="s">
        <v>10418</v>
      </c>
      <c r="B915" s="7" t="s">
        <v>8346</v>
      </c>
      <c r="C915" s="5" t="s">
        <v>215</v>
      </c>
      <c r="D915" s="5"/>
      <c r="F915" s="5"/>
      <c r="G915" s="7">
        <v>91</v>
      </c>
      <c r="H915" s="5" t="s">
        <v>10296</v>
      </c>
      <c r="I915" s="5" t="str">
        <f t="shared" si="14"/>
        <v>fate9142010</v>
      </c>
      <c r="J915" s="6" t="s">
        <v>10311</v>
      </c>
      <c r="K915" s="6">
        <v>20.399999999999999</v>
      </c>
      <c r="L915" s="6">
        <v>10.4</v>
      </c>
      <c r="M915" s="6"/>
      <c r="N915" s="6"/>
      <c r="P915" s="5" t="s">
        <v>10304</v>
      </c>
      <c r="Q915" s="5" t="s">
        <v>10305</v>
      </c>
      <c r="R915" s="5"/>
      <c r="S915" s="5" t="s">
        <v>8342</v>
      </c>
      <c r="T915" s="5"/>
    </row>
    <row r="916" spans="1:20" x14ac:dyDescent="0.25">
      <c r="A916" s="5" t="s">
        <v>10420</v>
      </c>
      <c r="B916" s="7" t="s">
        <v>8346</v>
      </c>
      <c r="C916" s="5" t="s">
        <v>215</v>
      </c>
      <c r="D916" s="5"/>
      <c r="F916" s="5"/>
      <c r="G916" s="7">
        <v>93</v>
      </c>
      <c r="H916" s="5" t="s">
        <v>10296</v>
      </c>
      <c r="I916" s="5" t="str">
        <f t="shared" si="14"/>
        <v>fate9152424</v>
      </c>
      <c r="J916" s="6" t="s">
        <v>10329</v>
      </c>
      <c r="K916" s="6">
        <v>24.6</v>
      </c>
      <c r="L916" s="6">
        <v>24.8</v>
      </c>
      <c r="M916" s="6"/>
      <c r="N916" s="6"/>
      <c r="P916" s="5" t="s">
        <v>10318</v>
      </c>
      <c r="Q916" s="5" t="s">
        <v>10319</v>
      </c>
      <c r="R916" s="5"/>
      <c r="S916" s="5" t="s">
        <v>8342</v>
      </c>
      <c r="T916" s="5"/>
    </row>
    <row r="917" spans="1:20" x14ac:dyDescent="0.25">
      <c r="A917" s="5" t="s">
        <v>10422</v>
      </c>
      <c r="B917" s="7" t="s">
        <v>10503</v>
      </c>
      <c r="C917" s="5" t="s">
        <v>215</v>
      </c>
      <c r="D917" s="1" t="s">
        <v>11040</v>
      </c>
      <c r="F917" s="5"/>
      <c r="G917" s="7">
        <v>90</v>
      </c>
      <c r="H917" s="5" t="s">
        <v>10296</v>
      </c>
      <c r="I917" s="5" t="str">
        <f t="shared" si="14"/>
        <v>fate9162517</v>
      </c>
      <c r="J917" s="6" t="s">
        <v>10299</v>
      </c>
      <c r="K917" s="6">
        <v>25.5</v>
      </c>
      <c r="L917" s="6">
        <v>17.899999999999999</v>
      </c>
      <c r="M917" s="6"/>
      <c r="N917" s="6"/>
      <c r="P917" s="5" t="s">
        <v>10297</v>
      </c>
      <c r="Q917" s="5" t="s">
        <v>10168</v>
      </c>
      <c r="R917" s="5"/>
      <c r="S917" s="5" t="s">
        <v>8342</v>
      </c>
      <c r="T917" s="5"/>
    </row>
    <row r="918" spans="1:20" x14ac:dyDescent="0.25">
      <c r="A918" s="5" t="s">
        <v>10424</v>
      </c>
      <c r="B918" s="7" t="s">
        <v>10503</v>
      </c>
      <c r="C918" s="5" t="s">
        <v>215</v>
      </c>
      <c r="D918" s="1" t="s">
        <v>11039</v>
      </c>
      <c r="F918" s="5"/>
      <c r="G918" s="7">
        <v>90</v>
      </c>
      <c r="H918" s="5" t="s">
        <v>10296</v>
      </c>
      <c r="I918" s="5" t="str">
        <f t="shared" si="14"/>
        <v>fate9173221</v>
      </c>
      <c r="J918" s="6" t="s">
        <v>10301</v>
      </c>
      <c r="K918" s="6">
        <v>32</v>
      </c>
      <c r="L918" s="6">
        <v>21.1</v>
      </c>
      <c r="M918" s="6"/>
      <c r="N918" s="6"/>
      <c r="P918" s="5" t="s">
        <v>10297</v>
      </c>
      <c r="Q918" s="5" t="s">
        <v>10168</v>
      </c>
      <c r="R918" s="5"/>
      <c r="S918" s="5" t="s">
        <v>8342</v>
      </c>
      <c r="T918" s="5"/>
    </row>
    <row r="919" spans="1:20" x14ac:dyDescent="0.25">
      <c r="A919" s="5" t="s">
        <v>10426</v>
      </c>
      <c r="B919" s="7" t="s">
        <v>8310</v>
      </c>
      <c r="C919" s="5" t="s">
        <v>215</v>
      </c>
      <c r="D919" s="5"/>
      <c r="E919" s="5">
        <v>61</v>
      </c>
      <c r="F919" s="5">
        <v>1</v>
      </c>
      <c r="G919" s="7">
        <v>93</v>
      </c>
      <c r="H919" s="5" t="s">
        <v>10296</v>
      </c>
      <c r="I919" s="5" t="str">
        <f t="shared" si="14"/>
        <v>fate9182327</v>
      </c>
      <c r="J919" s="6" t="s">
        <v>10317</v>
      </c>
      <c r="K919" s="6">
        <v>23</v>
      </c>
      <c r="L919" s="6">
        <v>27.5</v>
      </c>
      <c r="M919" s="6"/>
      <c r="N919" s="6"/>
      <c r="P919" s="5" t="s">
        <v>10318</v>
      </c>
      <c r="Q919" s="5" t="s">
        <v>10319</v>
      </c>
      <c r="R919" s="5"/>
      <c r="S919" s="5" t="s">
        <v>8342</v>
      </c>
      <c r="T919" s="5"/>
    </row>
    <row r="920" spans="1:20" x14ac:dyDescent="0.25">
      <c r="A920" s="5" t="s">
        <v>10430</v>
      </c>
      <c r="B920" s="7" t="s">
        <v>10503</v>
      </c>
      <c r="C920" s="5" t="s">
        <v>215</v>
      </c>
      <c r="D920" s="1" t="s">
        <v>11042</v>
      </c>
      <c r="E920" s="5">
        <v>61</v>
      </c>
      <c r="F920" s="5">
        <v>2</v>
      </c>
      <c r="G920" s="7">
        <v>93</v>
      </c>
      <c r="H920" s="5" t="s">
        <v>10296</v>
      </c>
      <c r="I920" s="5" t="str">
        <f t="shared" si="14"/>
        <v>fate9192327</v>
      </c>
      <c r="J920" s="6" t="s">
        <v>10323</v>
      </c>
      <c r="K920" s="6">
        <v>23</v>
      </c>
      <c r="L920" s="6">
        <v>27.5</v>
      </c>
      <c r="M920" s="6"/>
      <c r="N920" s="6"/>
      <c r="P920" s="5" t="s">
        <v>10318</v>
      </c>
      <c r="Q920" s="5" t="s">
        <v>10319</v>
      </c>
      <c r="R920" s="5"/>
      <c r="S920" s="5" t="s">
        <v>8342</v>
      </c>
      <c r="T920" s="5"/>
    </row>
    <row r="921" spans="1:20" x14ac:dyDescent="0.25">
      <c r="A921" s="5" t="s">
        <v>10432</v>
      </c>
      <c r="B921" s="7" t="s">
        <v>8310</v>
      </c>
      <c r="C921" s="5" t="s">
        <v>215</v>
      </c>
      <c r="D921" s="5"/>
      <c r="E921" s="5">
        <v>62</v>
      </c>
      <c r="F921" s="5">
        <v>1</v>
      </c>
      <c r="G921" s="7">
        <v>93</v>
      </c>
      <c r="H921" s="5" t="s">
        <v>10296</v>
      </c>
      <c r="I921" s="5" t="str">
        <f t="shared" si="14"/>
        <v>fate9201522</v>
      </c>
      <c r="J921" s="6" t="s">
        <v>10331</v>
      </c>
      <c r="K921" s="6">
        <v>15.9</v>
      </c>
      <c r="L921" s="6">
        <v>22.5</v>
      </c>
      <c r="M921" s="6"/>
      <c r="N921" s="6"/>
      <c r="P921" s="5" t="s">
        <v>10318</v>
      </c>
      <c r="Q921" s="5" t="s">
        <v>10319</v>
      </c>
      <c r="R921" s="5"/>
      <c r="S921" s="5" t="s">
        <v>8342</v>
      </c>
      <c r="T921" s="5"/>
    </row>
    <row r="922" spans="1:20" x14ac:dyDescent="0.25">
      <c r="A922" s="5" t="s">
        <v>10434</v>
      </c>
      <c r="B922" s="7" t="s">
        <v>10503</v>
      </c>
      <c r="C922" s="5" t="s">
        <v>215</v>
      </c>
      <c r="D922" s="1" t="s">
        <v>11041</v>
      </c>
      <c r="E922" s="5">
        <v>62</v>
      </c>
      <c r="F922" s="5">
        <v>2</v>
      </c>
      <c r="G922" s="7">
        <v>93</v>
      </c>
      <c r="H922" s="5" t="s">
        <v>10296</v>
      </c>
      <c r="I922" s="5" t="str">
        <f t="shared" si="14"/>
        <v>fate9211522</v>
      </c>
      <c r="J922" s="6" t="s">
        <v>10335</v>
      </c>
      <c r="K922" s="6">
        <v>15.9</v>
      </c>
      <c r="L922" s="6">
        <v>22.5</v>
      </c>
      <c r="M922" s="6"/>
      <c r="N922" s="6"/>
      <c r="P922" s="5" t="s">
        <v>10318</v>
      </c>
      <c r="Q922" s="5" t="s">
        <v>10319</v>
      </c>
      <c r="R922" s="5"/>
      <c r="S922" s="5" t="s">
        <v>8342</v>
      </c>
      <c r="T922" s="5"/>
    </row>
    <row r="923" spans="1:20" x14ac:dyDescent="0.25">
      <c r="A923" s="5" t="s">
        <v>10436</v>
      </c>
      <c r="B923" s="7" t="s">
        <v>8310</v>
      </c>
      <c r="C923" s="5" t="s">
        <v>215</v>
      </c>
      <c r="D923" s="5"/>
      <c r="F923" s="5"/>
      <c r="G923" s="7">
        <v>90</v>
      </c>
      <c r="H923" s="5" t="s">
        <v>10338</v>
      </c>
      <c r="I923" s="5" t="str">
        <f t="shared" si="14"/>
        <v>fate9222116</v>
      </c>
      <c r="J923" s="6" t="s">
        <v>10337</v>
      </c>
      <c r="K923" s="6">
        <v>21.2</v>
      </c>
      <c r="L923" s="6">
        <v>16.2</v>
      </c>
      <c r="M923" s="6"/>
      <c r="N923" s="6"/>
      <c r="P923" s="5" t="s">
        <v>10297</v>
      </c>
      <c r="Q923" s="5" t="s">
        <v>10168</v>
      </c>
      <c r="R923" s="5"/>
      <c r="S923" s="5" t="s">
        <v>8342</v>
      </c>
      <c r="T923" s="5"/>
    </row>
    <row r="924" spans="1:20" x14ac:dyDescent="0.25">
      <c r="A924" s="5" t="s">
        <v>10438</v>
      </c>
      <c r="B924" s="7" t="s">
        <v>8310</v>
      </c>
      <c r="C924" s="5" t="s">
        <v>215</v>
      </c>
      <c r="D924" s="5"/>
      <c r="F924" s="5"/>
      <c r="G924" s="7">
        <v>90</v>
      </c>
      <c r="H924" s="5" t="s">
        <v>10338</v>
      </c>
      <c r="I924" s="5" t="str">
        <f t="shared" si="14"/>
        <v>fate9237414</v>
      </c>
      <c r="J924" s="6" t="s">
        <v>10340</v>
      </c>
      <c r="K924" s="6">
        <v>7.4</v>
      </c>
      <c r="L924" s="6">
        <v>14.5</v>
      </c>
      <c r="M924" s="6"/>
      <c r="N924" s="6"/>
      <c r="P924" s="5" t="s">
        <v>10297</v>
      </c>
      <c r="Q924" s="5" t="s">
        <v>10168</v>
      </c>
      <c r="R924" s="5"/>
      <c r="S924" s="5" t="s">
        <v>8342</v>
      </c>
      <c r="T924" s="5"/>
    </row>
    <row r="925" spans="1:20" x14ac:dyDescent="0.25">
      <c r="A925" s="5" t="s">
        <v>10443</v>
      </c>
      <c r="B925" s="7" t="s">
        <v>8310</v>
      </c>
      <c r="C925" s="5" t="s">
        <v>215</v>
      </c>
      <c r="D925" s="5"/>
      <c r="F925" s="5"/>
      <c r="G925" s="7">
        <v>90</v>
      </c>
      <c r="H925" s="5" t="s">
        <v>10338</v>
      </c>
      <c r="I925" s="5" t="str">
        <f t="shared" si="14"/>
        <v>fate9242598</v>
      </c>
      <c r="J925" s="6" t="s">
        <v>10346</v>
      </c>
      <c r="K925" s="6">
        <v>25.6</v>
      </c>
      <c r="L925" s="6">
        <v>9.8000000000000007</v>
      </c>
      <c r="M925" s="6"/>
      <c r="N925" s="6"/>
      <c r="P925" s="5" t="s">
        <v>10297</v>
      </c>
      <c r="Q925" s="5" t="s">
        <v>10168</v>
      </c>
      <c r="R925" s="5"/>
      <c r="S925" s="5" t="s">
        <v>8342</v>
      </c>
      <c r="T925" s="5"/>
    </row>
    <row r="926" spans="1:20" x14ac:dyDescent="0.25">
      <c r="A926" s="5" t="s">
        <v>10445</v>
      </c>
      <c r="B926" s="7" t="s">
        <v>8310</v>
      </c>
      <c r="C926" s="5" t="s">
        <v>215</v>
      </c>
      <c r="D926" s="5"/>
      <c r="F926" s="5"/>
      <c r="G926" s="7">
        <v>92</v>
      </c>
      <c r="H926" s="5" t="s">
        <v>10338</v>
      </c>
      <c r="I926" s="5" t="str">
        <f t="shared" si="14"/>
        <v>fate9252324</v>
      </c>
      <c r="J926" s="6" t="s">
        <v>10361</v>
      </c>
      <c r="K926" s="6">
        <v>23</v>
      </c>
      <c r="L926" s="6">
        <v>24.2</v>
      </c>
      <c r="M926" s="6"/>
      <c r="N926" s="6"/>
      <c r="P926" s="5" t="s">
        <v>10355</v>
      </c>
      <c r="Q926" s="5" t="s">
        <v>8419</v>
      </c>
      <c r="R926" s="5"/>
      <c r="S926" s="5" t="s">
        <v>8342</v>
      </c>
      <c r="T926" s="5"/>
    </row>
    <row r="927" spans="1:20" x14ac:dyDescent="0.25">
      <c r="A927" s="5" t="s">
        <v>10447</v>
      </c>
      <c r="B927" s="7" t="s">
        <v>8310</v>
      </c>
      <c r="C927" s="5" t="s">
        <v>215</v>
      </c>
      <c r="D927" s="5"/>
      <c r="F927" s="5"/>
      <c r="G927" s="7">
        <v>92</v>
      </c>
      <c r="H927" s="5" t="s">
        <v>10338</v>
      </c>
      <c r="I927" s="5" t="str">
        <f t="shared" si="14"/>
        <v>fate926526</v>
      </c>
      <c r="J927" s="6" t="s">
        <v>10365</v>
      </c>
      <c r="K927" s="6">
        <v>5</v>
      </c>
      <c r="L927" s="6">
        <v>26.8</v>
      </c>
      <c r="M927" s="6"/>
      <c r="N927" s="6"/>
      <c r="P927" s="5" t="s">
        <v>10355</v>
      </c>
      <c r="Q927" s="5" t="s">
        <v>8419</v>
      </c>
      <c r="R927" s="5"/>
      <c r="S927" s="5" t="s">
        <v>8342</v>
      </c>
      <c r="T927" s="5"/>
    </row>
    <row r="928" spans="1:20" x14ac:dyDescent="0.25">
      <c r="A928" s="5" t="s">
        <v>10449</v>
      </c>
      <c r="B928" s="7" t="s">
        <v>8310</v>
      </c>
      <c r="C928" s="5" t="s">
        <v>215</v>
      </c>
      <c r="D928" s="5"/>
      <c r="F928" s="5"/>
      <c r="G928" s="7">
        <v>92</v>
      </c>
      <c r="H928" s="5" t="s">
        <v>10338</v>
      </c>
      <c r="I928" s="5" t="str">
        <f t="shared" si="14"/>
        <v>fate9273419</v>
      </c>
      <c r="J928" s="6" t="s">
        <v>10367</v>
      </c>
      <c r="K928" s="6">
        <v>34.200000000000003</v>
      </c>
      <c r="L928" s="6">
        <v>19</v>
      </c>
      <c r="M928" s="6"/>
      <c r="N928" s="6"/>
      <c r="P928" s="5" t="s">
        <v>10355</v>
      </c>
      <c r="Q928" s="5" t="s">
        <v>8419</v>
      </c>
      <c r="R928" s="5"/>
      <c r="S928" s="5" t="s">
        <v>8342</v>
      </c>
      <c r="T928" s="5"/>
    </row>
    <row r="929" spans="1:20" x14ac:dyDescent="0.25">
      <c r="A929" s="5" t="s">
        <v>10451</v>
      </c>
      <c r="B929" s="7" t="s">
        <v>8310</v>
      </c>
      <c r="C929" s="5" t="s">
        <v>215</v>
      </c>
      <c r="D929" s="5"/>
      <c r="F929" s="5"/>
      <c r="G929" s="7">
        <v>92</v>
      </c>
      <c r="H929" s="5" t="s">
        <v>10338</v>
      </c>
      <c r="I929" s="5" t="str">
        <f t="shared" si="14"/>
        <v>fate9283429</v>
      </c>
      <c r="J929" s="6" t="s">
        <v>10371</v>
      </c>
      <c r="K929" s="6">
        <v>34.6</v>
      </c>
      <c r="L929" s="6">
        <v>29</v>
      </c>
      <c r="M929" s="6"/>
      <c r="N929" s="6"/>
      <c r="P929" s="5" t="s">
        <v>10355</v>
      </c>
      <c r="Q929" s="5" t="s">
        <v>8419</v>
      </c>
      <c r="R929" s="5"/>
      <c r="S929" s="5" t="s">
        <v>8342</v>
      </c>
      <c r="T929" s="5"/>
    </row>
    <row r="930" spans="1:20" x14ac:dyDescent="0.25">
      <c r="A930" s="5" t="s">
        <v>10453</v>
      </c>
      <c r="B930" s="7" t="s">
        <v>8346</v>
      </c>
      <c r="C930" s="5" t="s">
        <v>215</v>
      </c>
      <c r="D930" s="5"/>
      <c r="F930" s="5"/>
      <c r="G930" s="7">
        <v>91</v>
      </c>
      <c r="H930" s="5" t="s">
        <v>10338</v>
      </c>
      <c r="I930" s="5" t="str">
        <f t="shared" si="14"/>
        <v>fate9293211</v>
      </c>
      <c r="J930" s="6" t="s">
        <v>10352</v>
      </c>
      <c r="K930" s="6">
        <v>32.200000000000003</v>
      </c>
      <c r="L930" s="6">
        <v>11.2</v>
      </c>
      <c r="M930" s="6"/>
      <c r="N930" s="6"/>
      <c r="P930" s="5" t="s">
        <v>10304</v>
      </c>
      <c r="Q930" s="5" t="s">
        <v>10305</v>
      </c>
      <c r="R930" s="5"/>
      <c r="S930" s="5" t="s">
        <v>8342</v>
      </c>
      <c r="T930" s="5"/>
    </row>
    <row r="931" spans="1:20" x14ac:dyDescent="0.25">
      <c r="A931" s="5" t="s">
        <v>10455</v>
      </c>
      <c r="B931" s="7" t="s">
        <v>8346</v>
      </c>
      <c r="C931" s="5" t="s">
        <v>215</v>
      </c>
      <c r="D931" s="5"/>
      <c r="F931" s="5"/>
      <c r="G931" s="7">
        <v>92</v>
      </c>
      <c r="H931" s="5" t="s">
        <v>10338</v>
      </c>
      <c r="I931" s="5" t="str">
        <f t="shared" si="14"/>
        <v>fate9302725</v>
      </c>
      <c r="J931" s="6" t="s">
        <v>10357</v>
      </c>
      <c r="K931" s="6">
        <v>27.3</v>
      </c>
      <c r="L931" s="6">
        <v>25.5</v>
      </c>
      <c r="M931" s="6"/>
      <c r="N931" s="6"/>
      <c r="P931" s="5" t="s">
        <v>10355</v>
      </c>
      <c r="Q931" s="5" t="s">
        <v>8419</v>
      </c>
      <c r="R931" s="5"/>
      <c r="S931" s="5" t="s">
        <v>8342</v>
      </c>
      <c r="T931" s="5"/>
    </row>
    <row r="932" spans="1:20" x14ac:dyDescent="0.25">
      <c r="A932" s="5" t="s">
        <v>10457</v>
      </c>
      <c r="B932" s="7" t="s">
        <v>8424</v>
      </c>
      <c r="C932" s="5" t="s">
        <v>215</v>
      </c>
      <c r="D932" s="5"/>
      <c r="F932" s="5"/>
      <c r="G932" s="7">
        <v>90</v>
      </c>
      <c r="H932" s="5" t="s">
        <v>10338</v>
      </c>
      <c r="I932" s="5" t="str">
        <f t="shared" si="14"/>
        <v>fate931229</v>
      </c>
      <c r="J932" s="6" t="s">
        <v>10342</v>
      </c>
      <c r="K932" s="6">
        <v>22.7</v>
      </c>
      <c r="L932" s="6">
        <v>9</v>
      </c>
      <c r="M932" s="6"/>
      <c r="N932" s="6"/>
      <c r="P932" s="5" t="s">
        <v>10297</v>
      </c>
      <c r="Q932" s="5" t="s">
        <v>10168</v>
      </c>
      <c r="R932" s="5"/>
      <c r="S932" s="5" t="s">
        <v>8342</v>
      </c>
      <c r="T932" s="5"/>
    </row>
    <row r="933" spans="1:20" x14ac:dyDescent="0.25">
      <c r="A933" s="5" t="s">
        <v>10461</v>
      </c>
      <c r="B933" s="7" t="s">
        <v>10503</v>
      </c>
      <c r="C933" s="5" t="s">
        <v>215</v>
      </c>
      <c r="D933" s="1" t="s">
        <v>11043</v>
      </c>
      <c r="F933" s="5"/>
      <c r="G933" s="7">
        <v>90</v>
      </c>
      <c r="H933" s="5" t="s">
        <v>10338</v>
      </c>
      <c r="I933" s="5" t="str">
        <f t="shared" si="14"/>
        <v>fate9321818</v>
      </c>
      <c r="J933" s="6" t="s">
        <v>10344</v>
      </c>
      <c r="K933" s="6">
        <v>18.7</v>
      </c>
      <c r="L933" s="6">
        <v>18.3</v>
      </c>
      <c r="M933" s="6"/>
      <c r="N933" s="6"/>
      <c r="P933" s="5" t="s">
        <v>10297</v>
      </c>
      <c r="Q933" s="5" t="s">
        <v>10168</v>
      </c>
      <c r="R933" s="5"/>
      <c r="S933" s="5" t="s">
        <v>8342</v>
      </c>
      <c r="T933" s="5"/>
    </row>
    <row r="934" spans="1:20" x14ac:dyDescent="0.25">
      <c r="A934" s="5" t="s">
        <v>10463</v>
      </c>
      <c r="B934" s="7" t="s">
        <v>10503</v>
      </c>
      <c r="C934" s="5" t="s">
        <v>215</v>
      </c>
      <c r="D934" s="1" t="s">
        <v>11044</v>
      </c>
      <c r="F934" s="5"/>
      <c r="G934" s="7">
        <v>91</v>
      </c>
      <c r="H934" s="5" t="s">
        <v>10338</v>
      </c>
      <c r="I934" s="5" t="str">
        <f t="shared" si="14"/>
        <v>fate9333316</v>
      </c>
      <c r="J934" s="6" t="s">
        <v>10348</v>
      </c>
      <c r="K934" s="6">
        <v>33.1</v>
      </c>
      <c r="L934" s="6">
        <v>16.7</v>
      </c>
      <c r="M934" s="6"/>
      <c r="N934" s="6"/>
      <c r="P934" s="5" t="s">
        <v>10304</v>
      </c>
      <c r="Q934" s="5" t="s">
        <v>10305</v>
      </c>
      <c r="R934" s="5"/>
      <c r="S934" s="5" t="s">
        <v>8342</v>
      </c>
      <c r="T934" s="5"/>
    </row>
    <row r="935" spans="1:20" x14ac:dyDescent="0.25">
      <c r="A935" s="5" t="s">
        <v>10465</v>
      </c>
      <c r="B935" s="7" t="s">
        <v>10503</v>
      </c>
      <c r="C935" s="5" t="s">
        <v>215</v>
      </c>
      <c r="D935" s="1" t="s">
        <v>11045</v>
      </c>
      <c r="F935" s="5"/>
      <c r="G935" s="7">
        <v>91</v>
      </c>
      <c r="H935" s="5" t="s">
        <v>10338</v>
      </c>
      <c r="I935" s="5" t="str">
        <f t="shared" si="14"/>
        <v>fate9343613</v>
      </c>
      <c r="J935" s="6" t="s">
        <v>10350</v>
      </c>
      <c r="K935" s="6">
        <v>36.9</v>
      </c>
      <c r="L935" s="6">
        <v>13.4</v>
      </c>
      <c r="M935" s="6"/>
      <c r="N935" s="6"/>
      <c r="P935" s="5" t="s">
        <v>10304</v>
      </c>
      <c r="Q935" s="5" t="s">
        <v>10305</v>
      </c>
      <c r="R935" s="5"/>
      <c r="S935" s="5" t="s">
        <v>8342</v>
      </c>
      <c r="T935" s="5"/>
    </row>
    <row r="936" spans="1:20" x14ac:dyDescent="0.25">
      <c r="A936" s="5" t="s">
        <v>10467</v>
      </c>
      <c r="B936" s="7" t="s">
        <v>10503</v>
      </c>
      <c r="C936" s="5" t="s">
        <v>215</v>
      </c>
      <c r="D936" s="1" t="s">
        <v>11047</v>
      </c>
      <c r="F936" s="5"/>
      <c r="G936" s="7">
        <v>92</v>
      </c>
      <c r="H936" s="5" t="s">
        <v>10338</v>
      </c>
      <c r="I936" s="5" t="str">
        <f t="shared" si="14"/>
        <v>fate9352129</v>
      </c>
      <c r="J936" s="6" t="s">
        <v>10373</v>
      </c>
      <c r="K936" s="6">
        <v>21.1</v>
      </c>
      <c r="L936" s="6">
        <v>29.9</v>
      </c>
      <c r="M936" s="6"/>
      <c r="N936" s="6"/>
      <c r="P936" s="5" t="s">
        <v>10355</v>
      </c>
      <c r="Q936" s="5" t="s">
        <v>8419</v>
      </c>
      <c r="R936" s="5"/>
      <c r="S936" s="5" t="s">
        <v>8342</v>
      </c>
      <c r="T936" s="5"/>
    </row>
    <row r="937" spans="1:20" x14ac:dyDescent="0.25">
      <c r="A937" s="5" t="s">
        <v>10469</v>
      </c>
      <c r="B937" s="7" t="s">
        <v>8310</v>
      </c>
      <c r="C937" s="5" t="s">
        <v>215</v>
      </c>
      <c r="D937" s="5"/>
      <c r="E937" s="5">
        <v>63</v>
      </c>
      <c r="F937" s="5">
        <v>1</v>
      </c>
      <c r="G937" s="7">
        <v>92</v>
      </c>
      <c r="H937" s="5" t="s">
        <v>10338</v>
      </c>
      <c r="I937" s="5" t="str">
        <f t="shared" si="14"/>
        <v>fate9365933</v>
      </c>
      <c r="J937" s="6" t="s">
        <v>10354</v>
      </c>
      <c r="K937" s="6">
        <v>5.9</v>
      </c>
      <c r="L937" s="6">
        <v>33.5</v>
      </c>
      <c r="M937" s="6"/>
      <c r="N937" s="6"/>
      <c r="P937" s="5" t="s">
        <v>10355</v>
      </c>
      <c r="Q937" s="5" t="s">
        <v>8419</v>
      </c>
      <c r="R937" s="5"/>
      <c r="S937" s="5" t="s">
        <v>8342</v>
      </c>
      <c r="T937" s="5"/>
    </row>
    <row r="938" spans="1:20" x14ac:dyDescent="0.25">
      <c r="A938" s="5" t="s">
        <v>10471</v>
      </c>
      <c r="B938" s="7" t="s">
        <v>10503</v>
      </c>
      <c r="C938" s="5" t="s">
        <v>215</v>
      </c>
      <c r="D938" s="1" t="s">
        <v>11046</v>
      </c>
      <c r="E938" s="5">
        <v>63</v>
      </c>
      <c r="F938" s="5">
        <v>2</v>
      </c>
      <c r="G938" s="7">
        <v>92</v>
      </c>
      <c r="H938" s="5" t="s">
        <v>10338</v>
      </c>
      <c r="I938" s="5" t="str">
        <f t="shared" si="14"/>
        <v>fate937633</v>
      </c>
      <c r="J938" s="6" t="s">
        <v>10359</v>
      </c>
      <c r="K938" s="6">
        <v>6</v>
      </c>
      <c r="L938" s="6">
        <v>33.299999999999997</v>
      </c>
      <c r="M938" s="6"/>
      <c r="N938" s="6"/>
      <c r="P938" s="5" t="s">
        <v>10355</v>
      </c>
      <c r="Q938" s="5" t="s">
        <v>8419</v>
      </c>
      <c r="R938" s="5"/>
      <c r="S938" s="5" t="s">
        <v>8342</v>
      </c>
      <c r="T938" s="5"/>
    </row>
    <row r="939" spans="1:20" x14ac:dyDescent="0.25">
      <c r="A939" s="5" t="s">
        <v>10473</v>
      </c>
      <c r="B939" s="7" t="s">
        <v>8310</v>
      </c>
      <c r="C939" s="5" t="s">
        <v>215</v>
      </c>
      <c r="D939" s="5"/>
      <c r="E939" s="5">
        <v>64</v>
      </c>
      <c r="F939" s="5">
        <v>1</v>
      </c>
      <c r="G939" s="7">
        <v>92</v>
      </c>
      <c r="H939" s="5" t="s">
        <v>10338</v>
      </c>
      <c r="I939" s="5" t="str">
        <f t="shared" si="14"/>
        <v>fate9388721</v>
      </c>
      <c r="J939" s="6" t="s">
        <v>10363</v>
      </c>
      <c r="K939" s="6">
        <v>8.6999999999999993</v>
      </c>
      <c r="L939" s="6">
        <v>21.8</v>
      </c>
      <c r="M939" s="6"/>
      <c r="N939" s="6"/>
      <c r="P939" s="5" t="s">
        <v>10355</v>
      </c>
      <c r="Q939" s="5" t="s">
        <v>8419</v>
      </c>
      <c r="R939" s="5"/>
      <c r="S939" s="5" t="s">
        <v>8342</v>
      </c>
      <c r="T939" s="5"/>
    </row>
    <row r="940" spans="1:20" x14ac:dyDescent="0.25">
      <c r="A940" s="5" t="s">
        <v>10475</v>
      </c>
      <c r="B940" s="7" t="s">
        <v>8424</v>
      </c>
      <c r="C940" s="5" t="s">
        <v>215</v>
      </c>
      <c r="D940" s="5"/>
      <c r="E940" s="5">
        <v>64</v>
      </c>
      <c r="F940" s="5">
        <v>2</v>
      </c>
      <c r="G940" s="7">
        <v>92</v>
      </c>
      <c r="H940" s="5" t="s">
        <v>10338</v>
      </c>
      <c r="I940" s="5" t="str">
        <f t="shared" si="14"/>
        <v>fate9398721</v>
      </c>
      <c r="J940" s="6" t="s">
        <v>10369</v>
      </c>
      <c r="K940" s="6">
        <v>8.6999999999999993</v>
      </c>
      <c r="L940" s="6">
        <v>21.8</v>
      </c>
      <c r="M940" s="6"/>
      <c r="N940" s="6"/>
      <c r="P940" s="5" t="s">
        <v>10355</v>
      </c>
      <c r="Q940" s="5" t="s">
        <v>8419</v>
      </c>
      <c r="R940" s="5"/>
      <c r="S940" s="5" t="s">
        <v>8342</v>
      </c>
      <c r="T940" s="5"/>
    </row>
    <row r="941" spans="1:20" x14ac:dyDescent="0.25">
      <c r="A941" s="5" t="s">
        <v>10477</v>
      </c>
      <c r="B941" s="7" t="s">
        <v>8310</v>
      </c>
      <c r="C941" s="5" t="s">
        <v>215</v>
      </c>
      <c r="D941" s="5"/>
      <c r="F941" s="5"/>
      <c r="G941" s="7">
        <v>94</v>
      </c>
      <c r="H941" s="5" t="s">
        <v>10376</v>
      </c>
      <c r="I941" s="5" t="str">
        <f t="shared" si="14"/>
        <v>fate9408216</v>
      </c>
      <c r="J941" s="6" t="s">
        <v>10375</v>
      </c>
      <c r="K941" s="6">
        <v>8.1999999999999993</v>
      </c>
      <c r="L941" s="6">
        <v>16.8</v>
      </c>
      <c r="M941" s="6"/>
      <c r="N941" s="6"/>
      <c r="P941" s="5" t="s">
        <v>10377</v>
      </c>
      <c r="Q941" s="5" t="s">
        <v>10378</v>
      </c>
      <c r="R941" s="5"/>
      <c r="S941" s="5" t="s">
        <v>8342</v>
      </c>
      <c r="T941" s="5"/>
    </row>
    <row r="942" spans="1:20" x14ac:dyDescent="0.25">
      <c r="A942" s="5" t="s">
        <v>10482</v>
      </c>
      <c r="B942" s="7" t="s">
        <v>8310</v>
      </c>
      <c r="C942" s="5" t="s">
        <v>215</v>
      </c>
      <c r="D942" s="5"/>
      <c r="F942" s="5"/>
      <c r="G942" s="7">
        <v>94</v>
      </c>
      <c r="H942" s="5" t="s">
        <v>10376</v>
      </c>
      <c r="I942" s="5" t="str">
        <f t="shared" si="14"/>
        <v>fate9411433</v>
      </c>
      <c r="J942" s="6" t="s">
        <v>10384</v>
      </c>
      <c r="K942" s="6">
        <v>14.6</v>
      </c>
      <c r="L942" s="6">
        <v>33.700000000000003</v>
      </c>
      <c r="M942" s="6"/>
      <c r="N942" s="6"/>
      <c r="P942" s="5" t="s">
        <v>10377</v>
      </c>
      <c r="Q942" s="5" t="s">
        <v>10378</v>
      </c>
      <c r="R942" s="5"/>
      <c r="S942" s="5" t="s">
        <v>8342</v>
      </c>
      <c r="T942" s="5"/>
    </row>
    <row r="943" spans="1:20" x14ac:dyDescent="0.25">
      <c r="A943" s="5" t="s">
        <v>10484</v>
      </c>
      <c r="B943" s="7" t="s">
        <v>8310</v>
      </c>
      <c r="C943" s="5" t="s">
        <v>215</v>
      </c>
      <c r="D943" s="5"/>
      <c r="F943" s="5"/>
      <c r="G943" s="7">
        <v>94</v>
      </c>
      <c r="H943" s="5" t="s">
        <v>10376</v>
      </c>
      <c r="I943" s="5" t="str">
        <f t="shared" si="14"/>
        <v>fate9421610</v>
      </c>
      <c r="J943" s="6" t="s">
        <v>10386</v>
      </c>
      <c r="K943" s="6">
        <v>16.600000000000001</v>
      </c>
      <c r="L943" s="6">
        <v>10</v>
      </c>
      <c r="M943" s="6"/>
      <c r="N943" s="6"/>
      <c r="P943" s="5" t="s">
        <v>10377</v>
      </c>
      <c r="Q943" s="5" t="s">
        <v>10378</v>
      </c>
      <c r="R943" s="5"/>
      <c r="S943" s="5" t="s">
        <v>8342</v>
      </c>
      <c r="T943" s="5"/>
    </row>
    <row r="944" spans="1:20" x14ac:dyDescent="0.25">
      <c r="A944" s="5" t="s">
        <v>10486</v>
      </c>
      <c r="B944" s="7" t="s">
        <v>8310</v>
      </c>
      <c r="C944" s="5" t="s">
        <v>215</v>
      </c>
      <c r="D944" s="5"/>
      <c r="F944" s="5"/>
      <c r="G944" s="7">
        <v>94</v>
      </c>
      <c r="H944" s="5" t="s">
        <v>10376</v>
      </c>
      <c r="I944" s="5" t="str">
        <f t="shared" si="14"/>
        <v>fate9432812</v>
      </c>
      <c r="J944" s="6" t="s">
        <v>10390</v>
      </c>
      <c r="K944" s="6">
        <v>28</v>
      </c>
      <c r="L944" s="6">
        <v>12.4</v>
      </c>
      <c r="M944" s="6"/>
      <c r="N944" s="6"/>
      <c r="P944" s="5" t="s">
        <v>10377</v>
      </c>
      <c r="Q944" s="5" t="s">
        <v>10378</v>
      </c>
      <c r="R944" s="5"/>
      <c r="S944" s="5" t="s">
        <v>8342</v>
      </c>
      <c r="T944" s="5"/>
    </row>
    <row r="945" spans="1:20" x14ac:dyDescent="0.25">
      <c r="A945" s="5" t="s">
        <v>10488</v>
      </c>
      <c r="B945" s="7" t="s">
        <v>8310</v>
      </c>
      <c r="C945" s="5" t="s">
        <v>215</v>
      </c>
      <c r="D945" s="5"/>
      <c r="F945" s="5"/>
      <c r="G945" s="7">
        <v>94</v>
      </c>
      <c r="H945" s="5" t="s">
        <v>10376</v>
      </c>
      <c r="I945" s="5" t="str">
        <f t="shared" si="14"/>
        <v>fate9442729</v>
      </c>
      <c r="J945" s="6" t="s">
        <v>10394</v>
      </c>
      <c r="K945" s="6">
        <v>27.7</v>
      </c>
      <c r="L945" s="6">
        <v>29.3</v>
      </c>
      <c r="M945" s="6"/>
      <c r="N945" s="6"/>
      <c r="P945" s="5" t="s">
        <v>10377</v>
      </c>
      <c r="Q945" s="5" t="s">
        <v>10378</v>
      </c>
      <c r="R945" s="5"/>
      <c r="S945" s="5" t="s">
        <v>8342</v>
      </c>
      <c r="T945" s="5"/>
    </row>
    <row r="946" spans="1:20" x14ac:dyDescent="0.25">
      <c r="A946" s="5" t="s">
        <v>10490</v>
      </c>
      <c r="B946" s="7" t="s">
        <v>8310</v>
      </c>
      <c r="C946" s="5" t="s">
        <v>215</v>
      </c>
      <c r="D946" s="5"/>
      <c r="F946" s="5"/>
      <c r="G946" s="7">
        <v>94</v>
      </c>
      <c r="H946" s="5" t="s">
        <v>10376</v>
      </c>
      <c r="I946" s="5" t="str">
        <f t="shared" si="14"/>
        <v>fate9452916</v>
      </c>
      <c r="J946" s="6" t="s">
        <v>10396</v>
      </c>
      <c r="K946" s="6">
        <v>29.7</v>
      </c>
      <c r="L946" s="6">
        <v>16.100000000000001</v>
      </c>
      <c r="M946" s="6"/>
      <c r="N946" s="6"/>
      <c r="P946" s="5" t="s">
        <v>10377</v>
      </c>
      <c r="Q946" s="5" t="s">
        <v>10378</v>
      </c>
      <c r="R946" s="5"/>
      <c r="S946" s="5" t="s">
        <v>8342</v>
      </c>
      <c r="T946" s="5"/>
    </row>
    <row r="947" spans="1:20" x14ac:dyDescent="0.25">
      <c r="A947" s="5" t="s">
        <v>10492</v>
      </c>
      <c r="B947" s="7" t="s">
        <v>8310</v>
      </c>
      <c r="C947" s="5" t="s">
        <v>215</v>
      </c>
      <c r="D947" s="5"/>
      <c r="F947" s="5"/>
      <c r="G947" s="7">
        <v>94</v>
      </c>
      <c r="H947" s="5" t="s">
        <v>10376</v>
      </c>
      <c r="I947" s="5" t="str">
        <f t="shared" si="14"/>
        <v>fate9462114</v>
      </c>
      <c r="J947" s="6" t="s">
        <v>10402</v>
      </c>
      <c r="K947" s="6">
        <v>21.2</v>
      </c>
      <c r="L947" s="6">
        <v>14.2</v>
      </c>
      <c r="M947" s="6"/>
      <c r="N947" s="6"/>
      <c r="P947" s="5" t="s">
        <v>10377</v>
      </c>
      <c r="Q947" s="5" t="s">
        <v>10378</v>
      </c>
      <c r="R947" s="5"/>
      <c r="S947" s="5" t="s">
        <v>8342</v>
      </c>
      <c r="T947" s="5"/>
    </row>
    <row r="948" spans="1:20" x14ac:dyDescent="0.25">
      <c r="A948" s="5" t="s">
        <v>10494</v>
      </c>
      <c r="B948" s="7" t="s">
        <v>8310</v>
      </c>
      <c r="C948" s="5" t="s">
        <v>215</v>
      </c>
      <c r="D948" s="5"/>
      <c r="F948" s="5"/>
      <c r="G948" s="7">
        <v>94</v>
      </c>
      <c r="H948" s="5" t="s">
        <v>10376</v>
      </c>
      <c r="I948" s="5" t="str">
        <f t="shared" si="14"/>
        <v>fate9473429</v>
      </c>
      <c r="J948" s="6" t="s">
        <v>10408</v>
      </c>
      <c r="K948" s="6">
        <v>34.200000000000003</v>
      </c>
      <c r="L948" s="6">
        <v>29.8</v>
      </c>
      <c r="M948" s="6"/>
      <c r="N948" s="6"/>
      <c r="P948" s="5" t="s">
        <v>10377</v>
      </c>
      <c r="Q948" s="5" t="s">
        <v>10378</v>
      </c>
      <c r="R948" s="5"/>
      <c r="S948" s="5" t="s">
        <v>8342</v>
      </c>
      <c r="T948" s="5"/>
    </row>
    <row r="949" spans="1:20" x14ac:dyDescent="0.25">
      <c r="A949" s="5" t="s">
        <v>10496</v>
      </c>
      <c r="B949" s="7" t="s">
        <v>8346</v>
      </c>
      <c r="C949" s="5" t="s">
        <v>215</v>
      </c>
      <c r="D949" s="5"/>
      <c r="F949" s="5"/>
      <c r="G949" s="7">
        <v>94</v>
      </c>
      <c r="H949" s="5" t="s">
        <v>10376</v>
      </c>
      <c r="I949" s="5" t="str">
        <f t="shared" si="14"/>
        <v>fate9482436</v>
      </c>
      <c r="J949" s="6" t="s">
        <v>10380</v>
      </c>
      <c r="K949" s="6">
        <v>24.2</v>
      </c>
      <c r="L949" s="6">
        <v>36.5</v>
      </c>
      <c r="M949" s="6"/>
      <c r="N949" s="6"/>
      <c r="P949" s="5" t="s">
        <v>10377</v>
      </c>
      <c r="Q949" s="5" t="s">
        <v>10378</v>
      </c>
      <c r="R949" s="5"/>
      <c r="S949" s="5" t="s">
        <v>8342</v>
      </c>
      <c r="T949" s="5"/>
    </row>
    <row r="950" spans="1:20" x14ac:dyDescent="0.25">
      <c r="A950" s="5" t="s">
        <v>10498</v>
      </c>
      <c r="B950" s="7" t="s">
        <v>8424</v>
      </c>
      <c r="C950" s="5" t="s">
        <v>215</v>
      </c>
      <c r="D950" s="5"/>
      <c r="F950" s="5"/>
      <c r="G950" s="7">
        <v>94</v>
      </c>
      <c r="H950" s="5" t="s">
        <v>10376</v>
      </c>
      <c r="I950" s="5" t="str">
        <f t="shared" si="14"/>
        <v>fate9493034</v>
      </c>
      <c r="J950" s="6" t="s">
        <v>10388</v>
      </c>
      <c r="K950" s="6">
        <v>30.4</v>
      </c>
      <c r="L950" s="6">
        <v>34.9</v>
      </c>
      <c r="M950" s="6"/>
      <c r="N950" s="6"/>
      <c r="P950" s="5" t="s">
        <v>10377</v>
      </c>
      <c r="Q950" s="5" t="s">
        <v>10378</v>
      </c>
      <c r="R950" s="5"/>
      <c r="S950" s="5" t="s">
        <v>8342</v>
      </c>
      <c r="T950" s="5"/>
    </row>
    <row r="951" spans="1:20" x14ac:dyDescent="0.25">
      <c r="A951" s="5" t="s">
        <v>11052</v>
      </c>
      <c r="B951" s="7" t="s">
        <v>10503</v>
      </c>
      <c r="C951" s="5" t="s">
        <v>215</v>
      </c>
      <c r="D951" s="1" t="s">
        <v>11049</v>
      </c>
      <c r="F951" s="5"/>
      <c r="G951" s="7">
        <v>94</v>
      </c>
      <c r="H951" s="5" t="s">
        <v>10376</v>
      </c>
      <c r="I951" s="5" t="str">
        <f t="shared" si="14"/>
        <v>fate9503418</v>
      </c>
      <c r="J951" s="6" t="s">
        <v>10392</v>
      </c>
      <c r="K951" s="6">
        <v>34.1</v>
      </c>
      <c r="L951" s="6">
        <v>18.3</v>
      </c>
      <c r="M951" s="6"/>
      <c r="N951" s="6"/>
      <c r="P951" s="5" t="s">
        <v>10377</v>
      </c>
      <c r="Q951" s="5" t="s">
        <v>10378</v>
      </c>
      <c r="R951" s="5"/>
      <c r="S951" s="5" t="s">
        <v>8342</v>
      </c>
      <c r="T951" s="5"/>
    </row>
    <row r="952" spans="1:20" x14ac:dyDescent="0.25">
      <c r="A952" s="5" t="s">
        <v>11053</v>
      </c>
      <c r="B952" s="7" t="s">
        <v>10503</v>
      </c>
      <c r="C952" s="5" t="s">
        <v>215</v>
      </c>
      <c r="D952" s="1" t="s">
        <v>11051</v>
      </c>
      <c r="F952" s="5"/>
      <c r="G952" s="7">
        <v>94</v>
      </c>
      <c r="H952" s="5" t="s">
        <v>10376</v>
      </c>
      <c r="I952" s="5" t="str">
        <f t="shared" si="14"/>
        <v>fate9512024</v>
      </c>
      <c r="J952" s="6" t="s">
        <v>10400</v>
      </c>
      <c r="K952" s="6">
        <v>20.2</v>
      </c>
      <c r="L952" s="6">
        <v>24.5</v>
      </c>
      <c r="M952" s="6"/>
      <c r="N952" s="6"/>
      <c r="P952" s="5" t="s">
        <v>10377</v>
      </c>
      <c r="Q952" s="5" t="s">
        <v>10378</v>
      </c>
      <c r="R952" s="5"/>
      <c r="S952" s="5" t="s">
        <v>8342</v>
      </c>
      <c r="T952" s="5"/>
    </row>
    <row r="953" spans="1:20" x14ac:dyDescent="0.25">
      <c r="A953" s="5" t="s">
        <v>11054</v>
      </c>
      <c r="B953" s="7" t="s">
        <v>8346</v>
      </c>
      <c r="C953" s="5" t="s">
        <v>215</v>
      </c>
      <c r="D953" s="5"/>
      <c r="E953" s="5">
        <v>65</v>
      </c>
      <c r="F953" s="5">
        <v>1</v>
      </c>
      <c r="G953" s="7">
        <v>94</v>
      </c>
      <c r="H953" s="5" t="s">
        <v>10376</v>
      </c>
      <c r="I953" s="5" t="str">
        <f t="shared" si="14"/>
        <v>fate9521416</v>
      </c>
      <c r="J953" s="6" t="s">
        <v>10406</v>
      </c>
      <c r="K953" s="6">
        <v>14.5</v>
      </c>
      <c r="L953" s="6">
        <v>16.399999999999999</v>
      </c>
      <c r="M953" s="6"/>
      <c r="N953" s="6"/>
      <c r="P953" s="5" t="s">
        <v>10377</v>
      </c>
      <c r="Q953" s="5" t="s">
        <v>10378</v>
      </c>
      <c r="R953" s="5"/>
      <c r="S953" s="5" t="s">
        <v>8342</v>
      </c>
      <c r="T953" s="5"/>
    </row>
    <row r="954" spans="1:20" x14ac:dyDescent="0.25">
      <c r="A954" s="5" t="s">
        <v>11055</v>
      </c>
      <c r="B954" s="7" t="s">
        <v>10503</v>
      </c>
      <c r="C954" s="5" t="s">
        <v>215</v>
      </c>
      <c r="D954" s="1" t="s">
        <v>11048</v>
      </c>
      <c r="E954" s="5">
        <v>65</v>
      </c>
      <c r="F954" s="5">
        <v>2</v>
      </c>
      <c r="G954" s="7">
        <v>94</v>
      </c>
      <c r="H954" s="5" t="s">
        <v>10376</v>
      </c>
      <c r="I954" s="5" t="str">
        <f t="shared" si="14"/>
        <v>fate9531418</v>
      </c>
      <c r="J954" s="6" t="s">
        <v>10382</v>
      </c>
      <c r="K954" s="6">
        <v>14.6</v>
      </c>
      <c r="L954" s="6">
        <v>18</v>
      </c>
      <c r="M954" s="6"/>
      <c r="N954" s="6"/>
      <c r="P954" s="5" t="s">
        <v>10377</v>
      </c>
      <c r="Q954" s="5" t="s">
        <v>10378</v>
      </c>
      <c r="R954" s="5"/>
      <c r="S954" s="5" t="s">
        <v>8342</v>
      </c>
      <c r="T954" s="5"/>
    </row>
    <row r="955" spans="1:20" x14ac:dyDescent="0.25">
      <c r="A955" s="5" t="s">
        <v>11060</v>
      </c>
      <c r="B955" s="7" t="s">
        <v>8310</v>
      </c>
      <c r="C955" s="5" t="s">
        <v>215</v>
      </c>
      <c r="D955" s="5"/>
      <c r="E955" s="5">
        <v>66</v>
      </c>
      <c r="F955" s="5">
        <v>1</v>
      </c>
      <c r="G955" s="7">
        <v>94</v>
      </c>
      <c r="H955" s="5" t="s">
        <v>10376</v>
      </c>
      <c r="I955" s="5" t="str">
        <f t="shared" si="14"/>
        <v>fate9541530</v>
      </c>
      <c r="J955" s="6" t="s">
        <v>10398</v>
      </c>
      <c r="K955" s="6">
        <v>15.5</v>
      </c>
      <c r="L955" s="6">
        <v>30.4</v>
      </c>
      <c r="M955" s="6"/>
      <c r="N955" s="6"/>
      <c r="P955" s="5" t="s">
        <v>10377</v>
      </c>
      <c r="Q955" s="5" t="s">
        <v>10378</v>
      </c>
      <c r="R955" s="5"/>
      <c r="S955" s="5" t="s">
        <v>8342</v>
      </c>
      <c r="T955" s="5"/>
    </row>
    <row r="956" spans="1:20" x14ac:dyDescent="0.25">
      <c r="A956" s="5" t="s">
        <v>11061</v>
      </c>
      <c r="B956" s="7" t="s">
        <v>10503</v>
      </c>
      <c r="C956" s="5" t="s">
        <v>215</v>
      </c>
      <c r="D956" s="1" t="s">
        <v>11050</v>
      </c>
      <c r="E956" s="5">
        <v>66</v>
      </c>
      <c r="F956" s="5">
        <v>2</v>
      </c>
      <c r="G956" s="7">
        <v>94</v>
      </c>
      <c r="H956" s="5" t="s">
        <v>10376</v>
      </c>
      <c r="I956" s="5" t="str">
        <f t="shared" si="14"/>
        <v>fate9551530</v>
      </c>
      <c r="J956" s="6" t="s">
        <v>10404</v>
      </c>
      <c r="K956" s="6">
        <v>15.3</v>
      </c>
      <c r="L956" s="6">
        <v>30.1</v>
      </c>
      <c r="M956" s="6"/>
      <c r="N956" s="6"/>
      <c r="P956" s="5" t="s">
        <v>10377</v>
      </c>
      <c r="Q956" s="5" t="s">
        <v>10378</v>
      </c>
      <c r="R956" s="5"/>
      <c r="S956" s="5" t="s">
        <v>8342</v>
      </c>
      <c r="T956" s="5"/>
    </row>
    <row r="957" spans="1:20" x14ac:dyDescent="0.25">
      <c r="A957" s="5" t="s">
        <v>11062</v>
      </c>
      <c r="B957" s="7" t="s">
        <v>8310</v>
      </c>
      <c r="C957" s="5" t="s">
        <v>215</v>
      </c>
      <c r="D957" s="5"/>
      <c r="F957" s="5"/>
      <c r="G957" s="7">
        <v>95</v>
      </c>
      <c r="H957" s="5" t="s">
        <v>10411</v>
      </c>
      <c r="I957" s="5" t="str">
        <f t="shared" si="14"/>
        <v>fate9562832</v>
      </c>
      <c r="J957" s="6" t="s">
        <v>10415</v>
      </c>
      <c r="K957" s="6">
        <v>28.7</v>
      </c>
      <c r="L957" s="6">
        <v>32.4</v>
      </c>
      <c r="M957" s="6"/>
      <c r="N957" s="6"/>
      <c r="P957" s="5" t="s">
        <v>10412</v>
      </c>
      <c r="Q957" s="5" t="s">
        <v>10413</v>
      </c>
      <c r="R957" s="5"/>
      <c r="S957" s="5" t="s">
        <v>8342</v>
      </c>
      <c r="T957" s="5"/>
    </row>
    <row r="958" spans="1:20" x14ac:dyDescent="0.25">
      <c r="A958" s="5" t="s">
        <v>11063</v>
      </c>
      <c r="B958" s="7" t="s">
        <v>8310</v>
      </c>
      <c r="C958" s="5" t="s">
        <v>215</v>
      </c>
      <c r="D958" s="5"/>
      <c r="F958" s="5"/>
      <c r="G958" s="7">
        <v>95</v>
      </c>
      <c r="H958" s="5" t="s">
        <v>10411</v>
      </c>
      <c r="I958" s="5" t="str">
        <f t="shared" si="14"/>
        <v>fate9572022</v>
      </c>
      <c r="J958" s="6" t="s">
        <v>10419</v>
      </c>
      <c r="K958" s="6">
        <v>20.7</v>
      </c>
      <c r="L958" s="6">
        <v>22.2</v>
      </c>
      <c r="M958" s="6"/>
      <c r="N958" s="6"/>
      <c r="P958" s="5" t="s">
        <v>10412</v>
      </c>
      <c r="Q958" s="5" t="s">
        <v>10413</v>
      </c>
      <c r="R958" s="5"/>
      <c r="S958" s="5" t="s">
        <v>8342</v>
      </c>
      <c r="T958" s="5"/>
    </row>
    <row r="959" spans="1:20" x14ac:dyDescent="0.25">
      <c r="A959" s="5" t="s">
        <v>11064</v>
      </c>
      <c r="B959" s="7" t="s">
        <v>8310</v>
      </c>
      <c r="C959" s="5" t="s">
        <v>215</v>
      </c>
      <c r="D959" s="5"/>
      <c r="F959" s="5"/>
      <c r="G959" s="7">
        <v>95</v>
      </c>
      <c r="H959" s="5" t="s">
        <v>10411</v>
      </c>
      <c r="I959" s="5" t="str">
        <f t="shared" si="14"/>
        <v>fate9582727</v>
      </c>
      <c r="J959" s="6" t="s">
        <v>10421</v>
      </c>
      <c r="K959" s="6">
        <v>27.3</v>
      </c>
      <c r="L959" s="6">
        <v>27.3</v>
      </c>
      <c r="M959" s="6"/>
      <c r="N959" s="6"/>
      <c r="P959" s="5" t="s">
        <v>10412</v>
      </c>
      <c r="Q959" s="5" t="s">
        <v>10413</v>
      </c>
      <c r="R959" s="5"/>
      <c r="S959" s="5" t="s">
        <v>8342</v>
      </c>
      <c r="T959" s="5"/>
    </row>
    <row r="960" spans="1:20" x14ac:dyDescent="0.25">
      <c r="A960" s="5" t="s">
        <v>11065</v>
      </c>
      <c r="B960" s="7" t="s">
        <v>8310</v>
      </c>
      <c r="C960" s="5" t="s">
        <v>215</v>
      </c>
      <c r="D960" s="5"/>
      <c r="F960" s="5"/>
      <c r="G960" s="7">
        <v>95</v>
      </c>
      <c r="H960" s="5" t="s">
        <v>10411</v>
      </c>
      <c r="I960" s="5" t="str">
        <f t="shared" si="14"/>
        <v>fate9592130</v>
      </c>
      <c r="J960" s="6" t="s">
        <v>10425</v>
      </c>
      <c r="K960" s="6">
        <v>21.8</v>
      </c>
      <c r="L960" s="6">
        <v>30.7</v>
      </c>
      <c r="M960" s="6"/>
      <c r="N960" s="6"/>
      <c r="P960" s="5" t="s">
        <v>10412</v>
      </c>
      <c r="Q960" s="5" t="s">
        <v>10413</v>
      </c>
      <c r="R960" s="5"/>
      <c r="S960" s="5" t="s">
        <v>8342</v>
      </c>
      <c r="T960" s="5"/>
    </row>
    <row r="961" spans="1:20" x14ac:dyDescent="0.25">
      <c r="A961" s="5" t="s">
        <v>11066</v>
      </c>
      <c r="B961" s="7" t="s">
        <v>8310</v>
      </c>
      <c r="C961" s="5" t="s">
        <v>215</v>
      </c>
      <c r="D961" s="5"/>
      <c r="F961" s="5"/>
      <c r="G961" s="7">
        <v>96</v>
      </c>
      <c r="H961" s="5" t="s">
        <v>10411</v>
      </c>
      <c r="I961" s="5" t="str">
        <f t="shared" si="14"/>
        <v>fate9602722</v>
      </c>
      <c r="J961" s="6" t="s">
        <v>10431</v>
      </c>
      <c r="K961" s="6">
        <v>27.3</v>
      </c>
      <c r="L961" s="6">
        <v>22.4</v>
      </c>
      <c r="M961" s="6"/>
      <c r="N961" s="6"/>
      <c r="P961" s="5" t="s">
        <v>10428</v>
      </c>
      <c r="Q961" s="5" t="s">
        <v>10429</v>
      </c>
      <c r="R961" s="5"/>
      <c r="S961" s="5" t="s">
        <v>8342</v>
      </c>
      <c r="T961" s="5"/>
    </row>
    <row r="962" spans="1:20" x14ac:dyDescent="0.25">
      <c r="A962" s="5" t="s">
        <v>11067</v>
      </c>
      <c r="B962" s="7" t="s">
        <v>8310</v>
      </c>
      <c r="C962" s="5" t="s">
        <v>215</v>
      </c>
      <c r="D962" s="5"/>
      <c r="F962" s="5"/>
      <c r="G962" s="7">
        <v>96</v>
      </c>
      <c r="H962" s="5" t="s">
        <v>10411</v>
      </c>
      <c r="I962" s="5" t="str">
        <f t="shared" si="14"/>
        <v>fate9613410</v>
      </c>
      <c r="J962" s="6" t="s">
        <v>10435</v>
      </c>
      <c r="K962" s="6">
        <v>34.9</v>
      </c>
      <c r="L962" s="6">
        <v>10.4</v>
      </c>
      <c r="M962" s="6"/>
      <c r="N962" s="6"/>
      <c r="P962" s="5" t="s">
        <v>10428</v>
      </c>
      <c r="Q962" s="5" t="s">
        <v>10429</v>
      </c>
      <c r="R962" s="5"/>
      <c r="S962" s="5" t="s">
        <v>8342</v>
      </c>
      <c r="T962" s="5"/>
    </row>
    <row r="963" spans="1:20" x14ac:dyDescent="0.25">
      <c r="A963" s="5" t="s">
        <v>11068</v>
      </c>
      <c r="B963" s="7" t="s">
        <v>8346</v>
      </c>
      <c r="C963" s="5" t="s">
        <v>215</v>
      </c>
      <c r="D963" s="5"/>
      <c r="F963" s="5"/>
      <c r="G963" s="7">
        <v>96</v>
      </c>
      <c r="H963" s="5" t="s">
        <v>10411</v>
      </c>
      <c r="I963" s="5" t="str">
        <f t="shared" si="14"/>
        <v>fate9623514</v>
      </c>
      <c r="J963" s="6" t="s">
        <v>10427</v>
      </c>
      <c r="K963" s="6">
        <v>35</v>
      </c>
      <c r="L963" s="6">
        <v>14.5</v>
      </c>
      <c r="M963" s="6"/>
      <c r="N963" s="6"/>
      <c r="P963" s="5" t="s">
        <v>10428</v>
      </c>
      <c r="Q963" s="5" t="s">
        <v>10429</v>
      </c>
      <c r="R963" s="5"/>
      <c r="S963" s="5" t="s">
        <v>8342</v>
      </c>
      <c r="T963" s="5"/>
    </row>
    <row r="964" spans="1:20" x14ac:dyDescent="0.25">
      <c r="A964" s="5" t="s">
        <v>11069</v>
      </c>
      <c r="B964" s="7" t="s">
        <v>8424</v>
      </c>
      <c r="C964" s="5" t="s">
        <v>215</v>
      </c>
      <c r="D964" s="5"/>
      <c r="F964" s="5"/>
      <c r="G964" s="7">
        <v>95</v>
      </c>
      <c r="H964" s="5" t="s">
        <v>10411</v>
      </c>
      <c r="I964" s="5" t="str">
        <f t="shared" ref="I964:I1003" si="15">A964&amp;LEFT(SUBSTITUTE(K964,".",""),2)&amp;LEFT(SUBSTITUTE(L964,".",""),2)</f>
        <v>fate9631924</v>
      </c>
      <c r="J964" s="6" t="s">
        <v>10417</v>
      </c>
      <c r="K964" s="6">
        <v>19.600000000000001</v>
      </c>
      <c r="L964" s="6">
        <v>24.8</v>
      </c>
      <c r="M964" s="6"/>
      <c r="N964" s="6"/>
      <c r="P964" s="5" t="s">
        <v>10412</v>
      </c>
      <c r="Q964" s="5" t="s">
        <v>10413</v>
      </c>
      <c r="R964" s="5"/>
      <c r="S964" s="5" t="s">
        <v>8342</v>
      </c>
      <c r="T964" s="5"/>
    </row>
    <row r="965" spans="1:20" x14ac:dyDescent="0.25">
      <c r="A965" s="5" t="s">
        <v>10507</v>
      </c>
      <c r="B965" s="7" t="s">
        <v>10503</v>
      </c>
      <c r="C965" s="5" t="s">
        <v>215</v>
      </c>
      <c r="D965" s="1" t="s">
        <v>11057</v>
      </c>
      <c r="F965" s="5"/>
      <c r="G965" s="7">
        <v>95</v>
      </c>
      <c r="H965" s="5" t="s">
        <v>10411</v>
      </c>
      <c r="I965" s="5" t="str">
        <f t="shared" si="15"/>
        <v>fate9641116</v>
      </c>
      <c r="J965" s="6" t="s">
        <v>10410</v>
      </c>
      <c r="K965" s="6">
        <v>11.7</v>
      </c>
      <c r="L965" s="6">
        <v>16.3</v>
      </c>
      <c r="M965" s="6"/>
      <c r="N965" s="6"/>
      <c r="P965" s="5" t="s">
        <v>10412</v>
      </c>
      <c r="Q965" s="5" t="s">
        <v>10413</v>
      </c>
      <c r="R965" s="5"/>
      <c r="S965" s="5" t="s">
        <v>8342</v>
      </c>
      <c r="T965" s="5"/>
    </row>
    <row r="966" spans="1:20" x14ac:dyDescent="0.25">
      <c r="A966" s="5" t="s">
        <v>10509</v>
      </c>
      <c r="B966" s="7" t="s">
        <v>10503</v>
      </c>
      <c r="C966" s="5" t="s">
        <v>215</v>
      </c>
      <c r="D966" s="1" t="s">
        <v>11056</v>
      </c>
      <c r="F966" s="5"/>
      <c r="G966" s="7">
        <v>95</v>
      </c>
      <c r="H966" s="5" t="s">
        <v>10411</v>
      </c>
      <c r="I966" s="5" t="str">
        <f t="shared" si="15"/>
        <v>fate9651324</v>
      </c>
      <c r="J966" s="6" t="s">
        <v>10423</v>
      </c>
      <c r="K966" s="6">
        <v>13.9</v>
      </c>
      <c r="L966" s="6">
        <v>24.2</v>
      </c>
      <c r="M966" s="6"/>
      <c r="N966" s="6"/>
      <c r="P966" s="5" t="s">
        <v>10412</v>
      </c>
      <c r="Q966" s="5" t="s">
        <v>10413</v>
      </c>
      <c r="R966" s="5"/>
      <c r="S966" s="5" t="s">
        <v>8342</v>
      </c>
      <c r="T966" s="5"/>
    </row>
    <row r="967" spans="1:20" x14ac:dyDescent="0.25">
      <c r="A967" s="5" t="s">
        <v>10511</v>
      </c>
      <c r="B967" s="7" t="s">
        <v>10503</v>
      </c>
      <c r="C967" s="5" t="s">
        <v>215</v>
      </c>
      <c r="D967" s="1" t="s">
        <v>11059</v>
      </c>
      <c r="F967" s="5"/>
      <c r="G967" s="7">
        <v>96</v>
      </c>
      <c r="H967" s="5" t="s">
        <v>10411</v>
      </c>
      <c r="I967" s="5" t="str">
        <f t="shared" si="15"/>
        <v>fate9662316</v>
      </c>
      <c r="J967" s="6" t="s">
        <v>10433</v>
      </c>
      <c r="K967" s="6">
        <v>23.9</v>
      </c>
      <c r="L967" s="6">
        <v>16.3</v>
      </c>
      <c r="M967" s="6"/>
      <c r="N967" s="6"/>
      <c r="P967" s="5" t="s">
        <v>10428</v>
      </c>
      <c r="Q967" s="5" t="s">
        <v>10429</v>
      </c>
      <c r="R967" s="5"/>
      <c r="S967" s="5" t="s">
        <v>8342</v>
      </c>
      <c r="T967" s="5"/>
    </row>
    <row r="968" spans="1:20" x14ac:dyDescent="0.25">
      <c r="A968" s="5" t="s">
        <v>10514</v>
      </c>
      <c r="B968" s="7" t="s">
        <v>10503</v>
      </c>
      <c r="C968" s="5" t="s">
        <v>215</v>
      </c>
      <c r="D968" s="1" t="s">
        <v>11058</v>
      </c>
      <c r="F968" s="5"/>
      <c r="G968" s="7">
        <v>96</v>
      </c>
      <c r="H968" s="5" t="s">
        <v>10411</v>
      </c>
      <c r="I968" s="5" t="str">
        <f t="shared" si="15"/>
        <v>fate9673220</v>
      </c>
      <c r="J968" s="6" t="s">
        <v>10437</v>
      </c>
      <c r="K968" s="6">
        <v>32.1</v>
      </c>
      <c r="L968" s="6">
        <v>20.9</v>
      </c>
      <c r="M968" s="6"/>
      <c r="N968" s="6"/>
      <c r="P968" s="5" t="s">
        <v>10428</v>
      </c>
      <c r="Q968" s="5" t="s">
        <v>10429</v>
      </c>
      <c r="R968" s="5"/>
      <c r="S968" s="5" t="s">
        <v>8342</v>
      </c>
      <c r="T968" s="5"/>
    </row>
    <row r="969" spans="1:20" x14ac:dyDescent="0.25">
      <c r="A969" s="5" t="s">
        <v>10515</v>
      </c>
      <c r="B969" s="7" t="s">
        <v>8310</v>
      </c>
      <c r="C969" s="5" t="s">
        <v>215</v>
      </c>
      <c r="D969" s="5"/>
      <c r="E969" s="5">
        <v>67</v>
      </c>
      <c r="F969" s="5">
        <v>1</v>
      </c>
      <c r="G969" s="7">
        <v>95</v>
      </c>
      <c r="H969" s="5" t="s">
        <v>10411</v>
      </c>
      <c r="I969" s="5" t="str">
        <f t="shared" si="15"/>
        <v>fate9682332</v>
      </c>
      <c r="J969" s="6" t="s">
        <v>10570</v>
      </c>
      <c r="K969" s="6">
        <v>23.5</v>
      </c>
      <c r="L969" s="6">
        <v>32.5</v>
      </c>
      <c r="M969" s="6"/>
      <c r="N969" s="6"/>
      <c r="P969" s="5" t="s">
        <v>10412</v>
      </c>
      <c r="Q969" s="5" t="s">
        <v>10413</v>
      </c>
      <c r="R969" s="5"/>
      <c r="S969" s="5" t="s">
        <v>8342</v>
      </c>
      <c r="T969" s="5"/>
    </row>
    <row r="970" spans="1:20" x14ac:dyDescent="0.25">
      <c r="A970" s="5" t="s">
        <v>10516</v>
      </c>
      <c r="B970" s="7" t="s">
        <v>8310</v>
      </c>
      <c r="C970" s="5" t="s">
        <v>215</v>
      </c>
      <c r="D970" s="5"/>
      <c r="E970" s="5">
        <v>67</v>
      </c>
      <c r="F970" s="5">
        <v>2</v>
      </c>
      <c r="G970" s="7">
        <v>96</v>
      </c>
      <c r="H970" s="5" t="s">
        <v>10411</v>
      </c>
      <c r="I970" s="5" t="str">
        <f t="shared" si="15"/>
        <v>fate9692917</v>
      </c>
      <c r="J970" s="6" t="s">
        <v>10572</v>
      </c>
      <c r="K970" s="6">
        <v>29</v>
      </c>
      <c r="L970" s="6">
        <v>17.8</v>
      </c>
      <c r="M970" s="6"/>
      <c r="N970" s="6"/>
      <c r="O970" s="5"/>
      <c r="P970" s="5" t="s">
        <v>10428</v>
      </c>
      <c r="Q970" s="5" t="s">
        <v>10429</v>
      </c>
      <c r="R970" s="5"/>
      <c r="S970" s="5" t="s">
        <v>8342</v>
      </c>
      <c r="T970" s="5"/>
    </row>
    <row r="971" spans="1:20" x14ac:dyDescent="0.25">
      <c r="A971" s="5" t="s">
        <v>10518</v>
      </c>
      <c r="B971" s="7" t="s">
        <v>8424</v>
      </c>
      <c r="C971" s="5" t="s">
        <v>215</v>
      </c>
      <c r="D971" s="5"/>
      <c r="E971" s="5">
        <v>67</v>
      </c>
      <c r="F971" s="5">
        <v>3</v>
      </c>
      <c r="G971" s="7">
        <v>96</v>
      </c>
      <c r="H971" s="5" t="s">
        <v>10411</v>
      </c>
      <c r="I971" s="5" t="str">
        <f t="shared" si="15"/>
        <v>fate9702085</v>
      </c>
      <c r="J971" s="6" t="s">
        <v>10573</v>
      </c>
      <c r="K971" s="6">
        <v>20.9</v>
      </c>
      <c r="L971" s="6">
        <v>8.5</v>
      </c>
      <c r="M971" s="6"/>
      <c r="N971" s="6"/>
      <c r="O971" s="5"/>
      <c r="P971" s="5" t="s">
        <v>10428</v>
      </c>
      <c r="Q971" s="5" t="s">
        <v>10429</v>
      </c>
      <c r="R971" s="5"/>
      <c r="S971" s="5" t="s">
        <v>8342</v>
      </c>
      <c r="T971" s="5"/>
    </row>
    <row r="972" spans="1:20" x14ac:dyDescent="0.25">
      <c r="A972" s="5" t="s">
        <v>10519</v>
      </c>
      <c r="B972" s="7" t="s">
        <v>8346</v>
      </c>
      <c r="C972" s="5" t="s">
        <v>215</v>
      </c>
      <c r="D972" s="5"/>
      <c r="E972" s="5">
        <v>67</v>
      </c>
      <c r="F972" s="5">
        <v>4</v>
      </c>
      <c r="G972" s="7">
        <v>96</v>
      </c>
      <c r="H972" s="5" t="s">
        <v>10411</v>
      </c>
      <c r="I972" s="5" t="str">
        <f t="shared" si="15"/>
        <v>fate9712085</v>
      </c>
      <c r="J972" s="6" t="s">
        <v>10574</v>
      </c>
      <c r="K972" s="6">
        <v>20.9</v>
      </c>
      <c r="L972" s="6">
        <v>8.5</v>
      </c>
      <c r="M972" s="6"/>
      <c r="N972" s="6"/>
      <c r="O972" s="5"/>
      <c r="P972" s="5" t="s">
        <v>10428</v>
      </c>
      <c r="Q972" s="5" t="s">
        <v>10429</v>
      </c>
      <c r="R972" s="5"/>
      <c r="S972" s="5" t="s">
        <v>8342</v>
      </c>
      <c r="T972" s="5"/>
    </row>
    <row r="973" spans="1:20" x14ac:dyDescent="0.25">
      <c r="A973" s="5" t="s">
        <v>10520</v>
      </c>
      <c r="B973" s="7" t="s">
        <v>10668</v>
      </c>
      <c r="C973" s="5" t="s">
        <v>215</v>
      </c>
      <c r="D973" s="1" t="s">
        <v>10578</v>
      </c>
      <c r="E973" s="5">
        <v>67</v>
      </c>
      <c r="F973" s="5">
        <v>5</v>
      </c>
      <c r="G973" s="7">
        <v>100</v>
      </c>
      <c r="H973" s="5" t="s">
        <v>10411</v>
      </c>
      <c r="I973" s="5" t="str">
        <f t="shared" si="15"/>
        <v>fate9722251</v>
      </c>
      <c r="J973" s="6" t="s">
        <v>10575</v>
      </c>
      <c r="K973" s="6">
        <v>22.5</v>
      </c>
      <c r="L973" s="6">
        <v>5.0999999999999996</v>
      </c>
      <c r="M973" s="6"/>
      <c r="N973" s="6"/>
      <c r="O973" s="5"/>
      <c r="P973" s="5" t="s">
        <v>10576</v>
      </c>
      <c r="Q973" s="5" t="s">
        <v>10577</v>
      </c>
      <c r="R973" s="5"/>
      <c r="S973" s="5" t="s">
        <v>9116</v>
      </c>
      <c r="T973" s="5"/>
    </row>
    <row r="974" spans="1:20" x14ac:dyDescent="0.25">
      <c r="A974" s="5" t="s">
        <v>10521</v>
      </c>
      <c r="B974" s="7" t="s">
        <v>8310</v>
      </c>
      <c r="C974" s="5" t="s">
        <v>215</v>
      </c>
      <c r="D974" s="5"/>
      <c r="F974" s="5"/>
      <c r="G974" s="7">
        <v>97</v>
      </c>
      <c r="H974" s="5" t="s">
        <v>10440</v>
      </c>
      <c r="I974" s="5" t="str">
        <f t="shared" si="15"/>
        <v>fate9733327</v>
      </c>
      <c r="J974" s="6" t="s">
        <v>10444</v>
      </c>
      <c r="K974" s="6">
        <v>33.299999999999997</v>
      </c>
      <c r="L974" s="6">
        <v>27.7</v>
      </c>
      <c r="M974" s="6"/>
      <c r="N974" s="6"/>
      <c r="P974" s="5" t="s">
        <v>10441</v>
      </c>
      <c r="Q974" s="5" t="s">
        <v>10442</v>
      </c>
      <c r="R974" s="5"/>
      <c r="S974" s="5" t="s">
        <v>8342</v>
      </c>
      <c r="T974" s="5"/>
    </row>
    <row r="975" spans="1:20" x14ac:dyDescent="0.25">
      <c r="A975" s="5" t="s">
        <v>10523</v>
      </c>
      <c r="B975" s="7" t="s">
        <v>8310</v>
      </c>
      <c r="C975" s="5" t="s">
        <v>215</v>
      </c>
      <c r="D975" s="5"/>
      <c r="F975" s="5"/>
      <c r="G975" s="7">
        <v>97</v>
      </c>
      <c r="H975" s="5" t="s">
        <v>10440</v>
      </c>
      <c r="I975" s="5" t="str">
        <f t="shared" si="15"/>
        <v>fate9743230</v>
      </c>
      <c r="J975" s="6" t="s">
        <v>10450</v>
      </c>
      <c r="K975" s="6">
        <v>32.1</v>
      </c>
      <c r="L975" s="6">
        <v>30.3</v>
      </c>
      <c r="M975" s="6"/>
      <c r="N975" s="6"/>
      <c r="P975" s="5" t="s">
        <v>10441</v>
      </c>
      <c r="Q975" s="5" t="s">
        <v>10442</v>
      </c>
      <c r="R975" s="5"/>
      <c r="S975" s="5" t="s">
        <v>8342</v>
      </c>
      <c r="T975" s="5"/>
    </row>
    <row r="976" spans="1:20" x14ac:dyDescent="0.25">
      <c r="A976" s="5" t="s">
        <v>10524</v>
      </c>
      <c r="B976" s="7" t="s">
        <v>8310</v>
      </c>
      <c r="C976" s="5" t="s">
        <v>215</v>
      </c>
      <c r="D976" s="5"/>
      <c r="F976" s="5"/>
      <c r="G976" s="7">
        <v>97</v>
      </c>
      <c r="H976" s="5" t="s">
        <v>10440</v>
      </c>
      <c r="I976" s="5" t="str">
        <f t="shared" si="15"/>
        <v>fate9752523</v>
      </c>
      <c r="J976" s="6" t="s">
        <v>10454</v>
      </c>
      <c r="K976" s="6">
        <v>25.9</v>
      </c>
      <c r="L976" s="6">
        <v>23.1</v>
      </c>
      <c r="M976" s="6"/>
      <c r="N976" s="6"/>
      <c r="P976" s="5" t="s">
        <v>10441</v>
      </c>
      <c r="Q976" s="5" t="s">
        <v>10442</v>
      </c>
      <c r="R976" s="5"/>
      <c r="S976" s="5" t="s">
        <v>8342</v>
      </c>
      <c r="T976" s="5"/>
    </row>
    <row r="977" spans="1:20" x14ac:dyDescent="0.25">
      <c r="A977" s="5" t="s">
        <v>10525</v>
      </c>
      <c r="B977" s="7" t="s">
        <v>8310</v>
      </c>
      <c r="C977" s="5" t="s">
        <v>215</v>
      </c>
      <c r="D977" s="5"/>
      <c r="F977" s="5"/>
      <c r="G977" s="7">
        <v>97</v>
      </c>
      <c r="H977" s="5" t="s">
        <v>10440</v>
      </c>
      <c r="I977" s="5" t="str">
        <f t="shared" si="15"/>
        <v>fate9763295</v>
      </c>
      <c r="J977" s="6" t="s">
        <v>10456</v>
      </c>
      <c r="K977" s="6">
        <v>32.4</v>
      </c>
      <c r="L977" s="6">
        <v>9.5</v>
      </c>
      <c r="M977" s="6"/>
      <c r="N977" s="6"/>
      <c r="P977" s="5" t="s">
        <v>10441</v>
      </c>
      <c r="Q977" s="5" t="s">
        <v>10442</v>
      </c>
      <c r="R977" s="5"/>
      <c r="S977" s="5" t="s">
        <v>8342</v>
      </c>
      <c r="T977" s="5"/>
    </row>
    <row r="978" spans="1:20" x14ac:dyDescent="0.25">
      <c r="A978" s="5" t="s">
        <v>10527</v>
      </c>
      <c r="B978" s="7" t="s">
        <v>8310</v>
      </c>
      <c r="C978" s="5" t="s">
        <v>215</v>
      </c>
      <c r="D978" s="5"/>
      <c r="F978" s="5"/>
      <c r="G978" s="7">
        <v>98</v>
      </c>
      <c r="H978" s="5" t="s">
        <v>10440</v>
      </c>
      <c r="I978" s="5" t="str">
        <f t="shared" si="15"/>
        <v>fate9779314</v>
      </c>
      <c r="J978" s="6" t="s">
        <v>10464</v>
      </c>
      <c r="K978" s="6">
        <v>9.3000000000000007</v>
      </c>
      <c r="L978" s="6">
        <v>14.8</v>
      </c>
      <c r="M978" s="6"/>
      <c r="N978" s="6"/>
      <c r="P978" s="5" t="s">
        <v>10459</v>
      </c>
      <c r="Q978" s="5" t="s">
        <v>10460</v>
      </c>
      <c r="R978" s="5"/>
      <c r="S978" s="5" t="s">
        <v>8342</v>
      </c>
      <c r="T978" s="5"/>
    </row>
    <row r="979" spans="1:20" x14ac:dyDescent="0.25">
      <c r="A979" s="5" t="s">
        <v>10529</v>
      </c>
      <c r="B979" s="7" t="s">
        <v>8310</v>
      </c>
      <c r="C979" s="5" t="s">
        <v>215</v>
      </c>
      <c r="D979" s="5"/>
      <c r="F979" s="5"/>
      <c r="G979" s="7">
        <v>98</v>
      </c>
      <c r="H979" s="5" t="s">
        <v>10440</v>
      </c>
      <c r="I979" s="5" t="str">
        <f t="shared" si="15"/>
        <v>fate9781828</v>
      </c>
      <c r="J979" s="6" t="s">
        <v>10468</v>
      </c>
      <c r="K979" s="6">
        <v>18.100000000000001</v>
      </c>
      <c r="L979" s="6">
        <v>28.3</v>
      </c>
      <c r="M979" s="6"/>
      <c r="N979" s="6"/>
      <c r="P979" s="5" t="s">
        <v>10459</v>
      </c>
      <c r="Q979" s="5" t="s">
        <v>10460</v>
      </c>
      <c r="R979" s="5"/>
      <c r="S979" s="5" t="s">
        <v>8342</v>
      </c>
      <c r="T979" s="5"/>
    </row>
    <row r="980" spans="1:20" x14ac:dyDescent="0.25">
      <c r="A980" s="5" t="s">
        <v>10531</v>
      </c>
      <c r="B980" s="7" t="s">
        <v>8310</v>
      </c>
      <c r="C980" s="5" t="s">
        <v>215</v>
      </c>
      <c r="D980" s="5"/>
      <c r="F980" s="5"/>
      <c r="G980" s="7">
        <v>98</v>
      </c>
      <c r="H980" s="5" t="s">
        <v>10440</v>
      </c>
      <c r="I980" s="5" t="str">
        <f t="shared" si="15"/>
        <v>fate9791231</v>
      </c>
      <c r="J980" s="6" t="s">
        <v>10470</v>
      </c>
      <c r="K980" s="6">
        <v>12.4</v>
      </c>
      <c r="L980" s="6">
        <v>31.7</v>
      </c>
      <c r="M980" s="6"/>
      <c r="N980" s="6"/>
      <c r="P980" s="5" t="s">
        <v>10459</v>
      </c>
      <c r="Q980" s="5" t="s">
        <v>10460</v>
      </c>
      <c r="R980" s="5"/>
      <c r="S980" s="5" t="s">
        <v>8342</v>
      </c>
      <c r="T980" s="5"/>
    </row>
    <row r="981" spans="1:20" x14ac:dyDescent="0.25">
      <c r="A981" s="5" t="s">
        <v>10534</v>
      </c>
      <c r="B981" s="7" t="s">
        <v>8310</v>
      </c>
      <c r="C981" s="5" t="s">
        <v>215</v>
      </c>
      <c r="D981" s="5"/>
      <c r="F981" s="5"/>
      <c r="G981" s="7">
        <v>98</v>
      </c>
      <c r="H981" s="5" t="s">
        <v>10440</v>
      </c>
      <c r="I981" s="5" t="str">
        <f t="shared" si="15"/>
        <v>fate9802032</v>
      </c>
      <c r="J981" s="6" t="s">
        <v>10472</v>
      </c>
      <c r="K981" s="6">
        <v>20.2</v>
      </c>
      <c r="L981" s="6">
        <v>32.799999999999997</v>
      </c>
      <c r="M981" s="6"/>
      <c r="N981" s="6"/>
      <c r="P981" s="5" t="s">
        <v>10459</v>
      </c>
      <c r="Q981" s="5" t="s">
        <v>10460</v>
      </c>
      <c r="R981" s="5"/>
      <c r="S981" s="5" t="s">
        <v>8342</v>
      </c>
      <c r="T981" s="5"/>
    </row>
    <row r="982" spans="1:20" x14ac:dyDescent="0.25">
      <c r="A982" s="5" t="s">
        <v>10535</v>
      </c>
      <c r="B982" s="7" t="s">
        <v>8310</v>
      </c>
      <c r="C982" s="5" t="s">
        <v>215</v>
      </c>
      <c r="D982" s="5"/>
      <c r="F982" s="5"/>
      <c r="G982" s="7">
        <v>98</v>
      </c>
      <c r="H982" s="5" t="s">
        <v>10440</v>
      </c>
      <c r="I982" s="5" t="str">
        <f t="shared" si="15"/>
        <v>fate9811221</v>
      </c>
      <c r="J982" s="6" t="s">
        <v>10476</v>
      </c>
      <c r="K982" s="6">
        <v>12</v>
      </c>
      <c r="L982" s="6">
        <v>21.9</v>
      </c>
      <c r="M982" s="6"/>
      <c r="N982" s="6"/>
      <c r="P982" s="5" t="s">
        <v>10459</v>
      </c>
      <c r="Q982" s="5" t="s">
        <v>10460</v>
      </c>
      <c r="R982" s="5"/>
      <c r="S982" s="5" t="s">
        <v>8342</v>
      </c>
      <c r="T982" s="5"/>
    </row>
    <row r="983" spans="1:20" x14ac:dyDescent="0.25">
      <c r="A983" s="5" t="s">
        <v>10536</v>
      </c>
      <c r="B983" s="7" t="s">
        <v>8424</v>
      </c>
      <c r="C983" s="5" t="s">
        <v>215</v>
      </c>
      <c r="D983" s="5"/>
      <c r="F983" s="5"/>
      <c r="G983" s="7">
        <v>97</v>
      </c>
      <c r="H983" s="5" t="s">
        <v>10440</v>
      </c>
      <c r="I983" s="5" t="str">
        <f t="shared" si="15"/>
        <v>fate9823523</v>
      </c>
      <c r="J983" s="6" t="s">
        <v>10452</v>
      </c>
      <c r="K983" s="6">
        <v>35.799999999999997</v>
      </c>
      <c r="L983" s="6">
        <v>23.3</v>
      </c>
      <c r="M983" s="6"/>
      <c r="N983" s="6"/>
      <c r="P983" s="5" t="s">
        <v>10441</v>
      </c>
      <c r="Q983" s="5" t="s">
        <v>10442</v>
      </c>
      <c r="R983" s="5"/>
      <c r="S983" s="5" t="s">
        <v>8342</v>
      </c>
      <c r="T983" s="5"/>
    </row>
    <row r="984" spans="1:20" x14ac:dyDescent="0.25">
      <c r="A984" s="5" t="s">
        <v>10537</v>
      </c>
      <c r="B984" s="7" t="s">
        <v>8424</v>
      </c>
      <c r="C984" s="5" t="s">
        <v>215</v>
      </c>
      <c r="D984" s="5"/>
      <c r="F984" s="5"/>
      <c r="G984" s="7">
        <v>98</v>
      </c>
      <c r="H984" s="5" t="s">
        <v>10440</v>
      </c>
      <c r="I984" s="5" t="str">
        <f t="shared" si="15"/>
        <v>fate9839735</v>
      </c>
      <c r="J984" s="6" t="s">
        <v>10466</v>
      </c>
      <c r="K984" s="6">
        <v>9.6999999999999993</v>
      </c>
      <c r="L984" s="6">
        <v>35.1</v>
      </c>
      <c r="M984" s="6"/>
      <c r="N984" s="6"/>
      <c r="P984" s="5" t="s">
        <v>10459</v>
      </c>
      <c r="Q984" s="5" t="s">
        <v>10460</v>
      </c>
      <c r="R984" s="5"/>
      <c r="S984" s="5" t="s">
        <v>8342</v>
      </c>
      <c r="T984" s="5"/>
    </row>
    <row r="985" spans="1:20" x14ac:dyDescent="0.25">
      <c r="A985" s="5" t="s">
        <v>10539</v>
      </c>
      <c r="B985" s="7" t="s">
        <v>10503</v>
      </c>
      <c r="C985" s="5" t="s">
        <v>215</v>
      </c>
      <c r="D985" s="1" t="s">
        <v>11070</v>
      </c>
      <c r="F985" s="5"/>
      <c r="G985" s="7">
        <v>97</v>
      </c>
      <c r="H985" s="5" t="s">
        <v>10440</v>
      </c>
      <c r="I985" s="5" t="str">
        <f t="shared" si="15"/>
        <v>fate9842514</v>
      </c>
      <c r="J985" s="6" t="s">
        <v>10448</v>
      </c>
      <c r="K985" s="6">
        <v>25.5</v>
      </c>
      <c r="L985" s="6">
        <v>14.5</v>
      </c>
      <c r="M985" s="6"/>
      <c r="N985" s="6"/>
      <c r="P985" s="5" t="s">
        <v>10441</v>
      </c>
      <c r="Q985" s="5" t="s">
        <v>10442</v>
      </c>
      <c r="R985" s="5"/>
      <c r="S985" s="5" t="s">
        <v>8342</v>
      </c>
      <c r="T985" s="5"/>
    </row>
    <row r="986" spans="1:20" x14ac:dyDescent="0.25">
      <c r="A986" s="5" t="s">
        <v>10541</v>
      </c>
      <c r="B986" s="7" t="s">
        <v>10503</v>
      </c>
      <c r="C986" s="5" t="s">
        <v>215</v>
      </c>
      <c r="D986" s="1" t="s">
        <v>11071</v>
      </c>
      <c r="F986" s="5"/>
      <c r="G986" s="7">
        <v>98</v>
      </c>
      <c r="H986" s="5" t="s">
        <v>10440</v>
      </c>
      <c r="I986" s="5" t="str">
        <f t="shared" si="15"/>
        <v>fate9852434</v>
      </c>
      <c r="J986" s="6" t="s">
        <v>10462</v>
      </c>
      <c r="K986" s="6">
        <v>24.1</v>
      </c>
      <c r="L986" s="6">
        <v>34.6</v>
      </c>
      <c r="M986" s="6"/>
      <c r="N986" s="6"/>
      <c r="P986" s="5" t="s">
        <v>10459</v>
      </c>
      <c r="Q986" s="5" t="s">
        <v>10460</v>
      </c>
      <c r="R986" s="5"/>
      <c r="S986" s="5" t="s">
        <v>8342</v>
      </c>
      <c r="T986" s="5"/>
    </row>
    <row r="987" spans="1:20" x14ac:dyDescent="0.25">
      <c r="A987" s="5" t="s">
        <v>10545</v>
      </c>
      <c r="B987" s="7" t="s">
        <v>8310</v>
      </c>
      <c r="C987" s="5" t="s">
        <v>215</v>
      </c>
      <c r="D987" s="5"/>
      <c r="E987" s="5">
        <v>68</v>
      </c>
      <c r="F987" s="5">
        <v>1</v>
      </c>
      <c r="G987" s="7">
        <v>97</v>
      </c>
      <c r="H987" s="5" t="s">
        <v>10440</v>
      </c>
      <c r="I987" s="5" t="str">
        <f t="shared" si="15"/>
        <v>fate9863013</v>
      </c>
      <c r="J987" s="6" t="s">
        <v>10439</v>
      </c>
      <c r="K987" s="6">
        <v>30</v>
      </c>
      <c r="L987" s="6">
        <v>13.8</v>
      </c>
      <c r="M987" s="6"/>
      <c r="N987" s="6"/>
      <c r="P987" s="5" t="s">
        <v>10441</v>
      </c>
      <c r="Q987" s="5" t="s">
        <v>10442</v>
      </c>
      <c r="R987" s="5"/>
      <c r="S987" s="5" t="s">
        <v>8342</v>
      </c>
      <c r="T987" s="5"/>
    </row>
    <row r="988" spans="1:20" x14ac:dyDescent="0.25">
      <c r="A988" s="5" t="s">
        <v>10546</v>
      </c>
      <c r="B988" s="7" t="s">
        <v>8310</v>
      </c>
      <c r="C988" s="5" t="s">
        <v>215</v>
      </c>
      <c r="D988" s="5"/>
      <c r="E988" s="5">
        <v>68</v>
      </c>
      <c r="F988" s="5">
        <v>2</v>
      </c>
      <c r="G988" s="7">
        <v>97</v>
      </c>
      <c r="H988" s="5" t="s">
        <v>10440</v>
      </c>
      <c r="I988" s="5" t="str">
        <f t="shared" si="15"/>
        <v>fate9873117</v>
      </c>
      <c r="J988" s="6" t="s">
        <v>10446</v>
      </c>
      <c r="K988" s="6">
        <v>31.9</v>
      </c>
      <c r="L988" s="6">
        <v>17.5</v>
      </c>
      <c r="M988" s="6"/>
      <c r="N988" s="6"/>
      <c r="P988" s="5" t="s">
        <v>10441</v>
      </c>
      <c r="Q988" s="5" t="s">
        <v>10442</v>
      </c>
      <c r="R988" s="5"/>
      <c r="S988" s="5" t="s">
        <v>8342</v>
      </c>
      <c r="T988" s="5"/>
    </row>
    <row r="989" spans="1:20" x14ac:dyDescent="0.25">
      <c r="A989" s="5" t="s">
        <v>10547</v>
      </c>
      <c r="B989" s="7" t="s">
        <v>8310</v>
      </c>
      <c r="C989" s="5" t="s">
        <v>215</v>
      </c>
      <c r="D989" s="5"/>
      <c r="E989" s="5">
        <v>69</v>
      </c>
      <c r="F989" s="5">
        <v>1</v>
      </c>
      <c r="G989" s="7">
        <v>98</v>
      </c>
      <c r="H989" s="5" t="s">
        <v>10440</v>
      </c>
      <c r="I989" s="5" t="str">
        <f t="shared" si="15"/>
        <v>fate9881315</v>
      </c>
      <c r="J989" s="6" t="s">
        <v>10474</v>
      </c>
      <c r="K989" s="6">
        <v>13.3</v>
      </c>
      <c r="L989" s="6">
        <v>15.4</v>
      </c>
      <c r="M989" s="6"/>
      <c r="N989" s="6"/>
      <c r="P989" s="5" t="s">
        <v>10459</v>
      </c>
      <c r="Q989" s="5" t="s">
        <v>10460</v>
      </c>
      <c r="R989" s="5"/>
      <c r="S989" s="5" t="s">
        <v>8342</v>
      </c>
      <c r="T989" s="5"/>
    </row>
    <row r="990" spans="1:20" x14ac:dyDescent="0.25">
      <c r="A990" s="5" t="s">
        <v>10549</v>
      </c>
      <c r="B990" s="7" t="s">
        <v>8310</v>
      </c>
      <c r="C990" s="5" t="s">
        <v>215</v>
      </c>
      <c r="D990" s="5"/>
      <c r="E990" s="5">
        <v>69</v>
      </c>
      <c r="F990" s="5">
        <v>2</v>
      </c>
      <c r="G990" s="7">
        <v>98</v>
      </c>
      <c r="H990" s="5" t="s">
        <v>10440</v>
      </c>
      <c r="I990" s="5" t="str">
        <f t="shared" si="15"/>
        <v>fate9891315</v>
      </c>
      <c r="J990" s="6" t="s">
        <v>10458</v>
      </c>
      <c r="K990" s="6">
        <v>13.3</v>
      </c>
      <c r="L990" s="6">
        <v>15.4</v>
      </c>
      <c r="M990" s="6"/>
      <c r="N990" s="6"/>
      <c r="P990" s="5" t="s">
        <v>10459</v>
      </c>
      <c r="Q990" s="5" t="s">
        <v>10460</v>
      </c>
      <c r="R990" s="5"/>
      <c r="S990" s="5" t="s">
        <v>8342</v>
      </c>
      <c r="T990" s="5"/>
    </row>
    <row r="991" spans="1:20" x14ac:dyDescent="0.25">
      <c r="A991" s="5" t="s">
        <v>10551</v>
      </c>
      <c r="B991" s="7" t="s">
        <v>8310</v>
      </c>
      <c r="C991" s="5" t="s">
        <v>215</v>
      </c>
      <c r="D991" s="5"/>
      <c r="F991" s="5"/>
      <c r="G991" s="7">
        <v>99</v>
      </c>
      <c r="H991" s="5" t="s">
        <v>10479</v>
      </c>
      <c r="I991" s="5" t="str">
        <f t="shared" si="15"/>
        <v>fate9901516</v>
      </c>
      <c r="J991" s="6" t="s">
        <v>10487</v>
      </c>
      <c r="K991" s="6">
        <v>15.9</v>
      </c>
      <c r="L991" s="6">
        <v>16.2</v>
      </c>
      <c r="M991" s="6"/>
      <c r="N991" s="6"/>
      <c r="P991" s="5" t="s">
        <v>10480</v>
      </c>
      <c r="Q991" s="5" t="s">
        <v>10481</v>
      </c>
      <c r="R991" s="5"/>
      <c r="S991" s="5" t="s">
        <v>8342</v>
      </c>
      <c r="T991" s="5"/>
    </row>
    <row r="992" spans="1:20" x14ac:dyDescent="0.25">
      <c r="A992" s="5" t="s">
        <v>10553</v>
      </c>
      <c r="B992" s="7" t="s">
        <v>8310</v>
      </c>
      <c r="C992" s="5" t="s">
        <v>215</v>
      </c>
      <c r="D992" s="5"/>
      <c r="F992" s="5"/>
      <c r="G992" s="7">
        <v>99</v>
      </c>
      <c r="H992" s="5" t="s">
        <v>10479</v>
      </c>
      <c r="I992" s="5" t="str">
        <f t="shared" si="15"/>
        <v>fate9913131</v>
      </c>
      <c r="J992" s="6" t="s">
        <v>10495</v>
      </c>
      <c r="K992" s="6">
        <v>31.2</v>
      </c>
      <c r="L992" s="6">
        <v>31.4</v>
      </c>
      <c r="M992" s="6"/>
      <c r="N992" s="6"/>
      <c r="P992" s="5" t="s">
        <v>10480</v>
      </c>
      <c r="Q992" s="5" t="s">
        <v>10481</v>
      </c>
      <c r="R992" s="5"/>
      <c r="S992" s="5" t="s">
        <v>8342</v>
      </c>
      <c r="T992" s="5"/>
    </row>
    <row r="993" spans="1:20" x14ac:dyDescent="0.25">
      <c r="A993" s="5" t="s">
        <v>10555</v>
      </c>
      <c r="B993" s="7" t="s">
        <v>8346</v>
      </c>
      <c r="C993" s="5" t="s">
        <v>215</v>
      </c>
      <c r="D993" s="5"/>
      <c r="F993" s="5"/>
      <c r="G993" s="7">
        <v>99</v>
      </c>
      <c r="H993" s="5" t="s">
        <v>10479</v>
      </c>
      <c r="I993" s="5" t="str">
        <f t="shared" si="15"/>
        <v>fate9921134</v>
      </c>
      <c r="J993" s="6" t="s">
        <v>10489</v>
      </c>
      <c r="K993" s="6">
        <v>11.6</v>
      </c>
      <c r="L993" s="6">
        <v>34.4</v>
      </c>
      <c r="M993" s="6"/>
      <c r="N993" s="6"/>
      <c r="P993" s="5" t="s">
        <v>10480</v>
      </c>
      <c r="Q993" s="5" t="s">
        <v>10481</v>
      </c>
      <c r="R993" s="5"/>
      <c r="S993" s="5" t="s">
        <v>8342</v>
      </c>
      <c r="T993" s="5"/>
    </row>
    <row r="994" spans="1:20" x14ac:dyDescent="0.25">
      <c r="A994" s="5" t="s">
        <v>10558</v>
      </c>
      <c r="B994" s="7" t="s">
        <v>8424</v>
      </c>
      <c r="C994" s="5" t="s">
        <v>215</v>
      </c>
      <c r="D994" s="5"/>
      <c r="F994" s="5"/>
      <c r="G994" s="7">
        <v>99</v>
      </c>
      <c r="H994" s="5" t="s">
        <v>10479</v>
      </c>
      <c r="I994" s="5" t="str">
        <f t="shared" si="15"/>
        <v>fate9937215</v>
      </c>
      <c r="J994" s="6" t="s">
        <v>10497</v>
      </c>
      <c r="K994" s="6">
        <v>7.2</v>
      </c>
      <c r="L994" s="6">
        <v>15.1</v>
      </c>
      <c r="M994" s="6"/>
      <c r="N994" s="6"/>
      <c r="P994" s="5" t="s">
        <v>10480</v>
      </c>
      <c r="Q994" s="5" t="s">
        <v>10481</v>
      </c>
      <c r="R994" s="5"/>
      <c r="S994" s="5" t="s">
        <v>8342</v>
      </c>
      <c r="T994" s="5"/>
    </row>
    <row r="995" spans="1:20" x14ac:dyDescent="0.25">
      <c r="A995" s="5" t="s">
        <v>10559</v>
      </c>
      <c r="B995" s="7" t="s">
        <v>10503</v>
      </c>
      <c r="C995" s="5" t="s">
        <v>215</v>
      </c>
      <c r="D995" s="1" t="s">
        <v>11074</v>
      </c>
      <c r="F995" s="5"/>
      <c r="G995" s="7">
        <v>99</v>
      </c>
      <c r="H995" s="5" t="s">
        <v>10479</v>
      </c>
      <c r="I995" s="5" t="str">
        <f t="shared" si="15"/>
        <v>fate9942615</v>
      </c>
      <c r="J995" s="6" t="s">
        <v>10483</v>
      </c>
      <c r="K995" s="6">
        <v>26.7</v>
      </c>
      <c r="L995" s="6">
        <v>15.6</v>
      </c>
      <c r="M995" s="6"/>
      <c r="N995" s="6"/>
      <c r="P995" s="5" t="s">
        <v>10480</v>
      </c>
      <c r="Q995" s="5" t="s">
        <v>10481</v>
      </c>
      <c r="R995" s="5"/>
      <c r="S995" s="5" t="s">
        <v>8342</v>
      </c>
      <c r="T995" s="5"/>
    </row>
    <row r="996" spans="1:20" x14ac:dyDescent="0.25">
      <c r="A996" s="5" t="s">
        <v>10560</v>
      </c>
      <c r="B996" s="7" t="s">
        <v>10503</v>
      </c>
      <c r="C996" s="5" t="s">
        <v>215</v>
      </c>
      <c r="D996" s="1" t="s">
        <v>11075</v>
      </c>
      <c r="F996" s="5"/>
      <c r="G996" s="7">
        <v>99</v>
      </c>
      <c r="H996" s="5" t="s">
        <v>10479</v>
      </c>
      <c r="I996" s="5" t="str">
        <f t="shared" si="15"/>
        <v>fate995719</v>
      </c>
      <c r="J996" s="6" t="s">
        <v>10491</v>
      </c>
      <c r="K996" s="6">
        <v>7.1</v>
      </c>
      <c r="L996" s="6">
        <v>9</v>
      </c>
      <c r="M996" s="6"/>
      <c r="N996" s="6"/>
      <c r="P996" s="5" t="s">
        <v>10480</v>
      </c>
      <c r="Q996" s="5" t="s">
        <v>10481</v>
      </c>
      <c r="R996" s="5"/>
      <c r="S996" s="5" t="s">
        <v>8342</v>
      </c>
      <c r="T996" s="5"/>
    </row>
    <row r="997" spans="1:20" x14ac:dyDescent="0.25">
      <c r="A997" s="5" t="s">
        <v>10562</v>
      </c>
      <c r="B997" s="7" t="s">
        <v>8424</v>
      </c>
      <c r="C997" s="5" t="s">
        <v>215</v>
      </c>
      <c r="D997" s="5"/>
      <c r="E997" s="5">
        <v>70</v>
      </c>
      <c r="F997" s="5">
        <v>1</v>
      </c>
      <c r="G997" s="7">
        <v>99</v>
      </c>
      <c r="H997" s="5" t="s">
        <v>10479</v>
      </c>
      <c r="I997" s="5" t="str">
        <f t="shared" si="15"/>
        <v>fate9962787</v>
      </c>
      <c r="J997" s="6" t="s">
        <v>10493</v>
      </c>
      <c r="K997" s="6">
        <v>27.3</v>
      </c>
      <c r="L997" s="6">
        <v>8.6999999999999993</v>
      </c>
      <c r="M997" s="6"/>
      <c r="N997" s="6"/>
      <c r="P997" s="5" t="s">
        <v>10480</v>
      </c>
      <c r="Q997" s="5" t="s">
        <v>10481</v>
      </c>
      <c r="R997" s="5"/>
      <c r="S997" s="5" t="s">
        <v>8342</v>
      </c>
      <c r="T997" s="5"/>
    </row>
    <row r="998" spans="1:20" x14ac:dyDescent="0.25">
      <c r="A998" s="5" t="s">
        <v>10564</v>
      </c>
      <c r="B998" s="7" t="s">
        <v>10503</v>
      </c>
      <c r="C998" s="5" t="s">
        <v>215</v>
      </c>
      <c r="D998" s="1" t="s">
        <v>11072</v>
      </c>
      <c r="E998" s="5">
        <v>70</v>
      </c>
      <c r="F998" s="5">
        <v>2</v>
      </c>
      <c r="G998" s="7">
        <v>99</v>
      </c>
      <c r="H998" s="5" t="s">
        <v>10479</v>
      </c>
      <c r="I998" s="5" t="str">
        <f t="shared" si="15"/>
        <v>fate9972559</v>
      </c>
      <c r="J998" s="6" t="s">
        <v>10499</v>
      </c>
      <c r="K998" s="6">
        <v>25.1</v>
      </c>
      <c r="L998" s="6">
        <v>5.9</v>
      </c>
      <c r="M998" s="6"/>
      <c r="N998" s="6"/>
      <c r="P998" s="5" t="s">
        <v>10480</v>
      </c>
      <c r="Q998" s="5" t="s">
        <v>10481</v>
      </c>
      <c r="R998" s="5"/>
      <c r="S998" s="5" t="s">
        <v>8342</v>
      </c>
      <c r="T998" s="5"/>
    </row>
    <row r="999" spans="1:20" x14ac:dyDescent="0.25">
      <c r="A999" s="5" t="s">
        <v>10566</v>
      </c>
      <c r="B999" s="7" t="s">
        <v>8310</v>
      </c>
      <c r="C999" s="5" t="s">
        <v>215</v>
      </c>
      <c r="D999" s="5"/>
      <c r="E999" s="5">
        <v>71</v>
      </c>
      <c r="F999" s="5">
        <v>1</v>
      </c>
      <c r="G999" s="7">
        <v>99</v>
      </c>
      <c r="H999" s="5" t="s">
        <v>10479</v>
      </c>
      <c r="I999" s="5" t="str">
        <f t="shared" si="15"/>
        <v>fate9988334</v>
      </c>
      <c r="J999" s="6" t="s">
        <v>10478</v>
      </c>
      <c r="K999" s="6">
        <v>8.3000000000000007</v>
      </c>
      <c r="L999" s="6">
        <v>34</v>
      </c>
      <c r="M999" s="6"/>
      <c r="N999" s="6"/>
      <c r="P999" s="5" t="s">
        <v>10480</v>
      </c>
      <c r="Q999" s="5" t="s">
        <v>10481</v>
      </c>
      <c r="R999" s="5"/>
      <c r="S999" s="5" t="s">
        <v>8342</v>
      </c>
      <c r="T999" s="5"/>
    </row>
    <row r="1000" spans="1:20" x14ac:dyDescent="0.25">
      <c r="A1000" s="5" t="s">
        <v>10569</v>
      </c>
      <c r="B1000" s="7" t="s">
        <v>10503</v>
      </c>
      <c r="C1000" s="5" t="s">
        <v>215</v>
      </c>
      <c r="D1000" s="1" t="s">
        <v>11073</v>
      </c>
      <c r="E1000" s="5">
        <v>71</v>
      </c>
      <c r="F1000" s="5">
        <v>2</v>
      </c>
      <c r="G1000" s="7">
        <v>99</v>
      </c>
      <c r="H1000" s="5" t="s">
        <v>10479</v>
      </c>
      <c r="I1000" s="5" t="str">
        <f t="shared" si="15"/>
        <v>fate9998334</v>
      </c>
      <c r="J1000" s="6" t="s">
        <v>10485</v>
      </c>
      <c r="K1000" s="6">
        <v>8.3000000000000007</v>
      </c>
      <c r="L1000" s="6">
        <v>34</v>
      </c>
      <c r="M1000" s="6"/>
      <c r="N1000" s="6"/>
      <c r="P1000" s="5" t="s">
        <v>10480</v>
      </c>
      <c r="Q1000" s="5" t="s">
        <v>10481</v>
      </c>
      <c r="R1000" s="5"/>
      <c r="S1000" s="5" t="s">
        <v>8342</v>
      </c>
      <c r="T1000" s="5"/>
    </row>
    <row r="1001" spans="1:20" x14ac:dyDescent="0.25">
      <c r="A1001" s="5" t="s">
        <v>10571</v>
      </c>
      <c r="B1001" s="7" t="s">
        <v>8310</v>
      </c>
      <c r="C1001" s="5" t="s">
        <v>215</v>
      </c>
      <c r="D1001" s="5"/>
      <c r="E1001" s="5">
        <v>72</v>
      </c>
      <c r="F1001" s="5">
        <v>1</v>
      </c>
      <c r="G1001" s="7">
        <v>99</v>
      </c>
      <c r="H1001" s="5" t="s">
        <v>10479</v>
      </c>
      <c r="I1001" s="5" t="str">
        <f t="shared" si="15"/>
        <v>fate10003534</v>
      </c>
      <c r="J1001" s="6" t="s">
        <v>10579</v>
      </c>
      <c r="K1001" s="6">
        <v>35.799999999999997</v>
      </c>
      <c r="L1001" s="6">
        <v>34.200000000000003</v>
      </c>
      <c r="M1001" s="6"/>
      <c r="N1001" s="6"/>
      <c r="O1001" s="5"/>
      <c r="P1001" s="5" t="s">
        <v>10480</v>
      </c>
      <c r="Q1001" s="5" t="s">
        <v>10481</v>
      </c>
      <c r="R1001" s="5"/>
      <c r="S1001" s="5" t="s">
        <v>8342</v>
      </c>
      <c r="T1001" s="5"/>
    </row>
    <row r="1002" spans="1:20" x14ac:dyDescent="0.25">
      <c r="A1002" s="5" t="s">
        <v>11122</v>
      </c>
      <c r="B1002" s="7" t="s">
        <v>10503</v>
      </c>
      <c r="C1002" s="5" t="s">
        <v>215</v>
      </c>
      <c r="D1002" s="1" t="s">
        <v>11076</v>
      </c>
      <c r="E1002" s="5">
        <v>72</v>
      </c>
      <c r="F1002" s="5">
        <v>2</v>
      </c>
      <c r="G1002" s="7">
        <v>99</v>
      </c>
      <c r="H1002" s="5" t="s">
        <v>10479</v>
      </c>
      <c r="I1002" s="5" t="str">
        <f t="shared" si="15"/>
        <v>fate10013534</v>
      </c>
      <c r="J1002" s="6" t="s">
        <v>10580</v>
      </c>
      <c r="K1002" s="6">
        <v>35.799999999999997</v>
      </c>
      <c r="L1002" s="6">
        <v>34.200000000000003</v>
      </c>
      <c r="M1002" s="6"/>
      <c r="N1002" s="6"/>
      <c r="O1002" s="5"/>
      <c r="P1002" s="5" t="s">
        <v>10480</v>
      </c>
      <c r="Q1002" s="5" t="s">
        <v>10481</v>
      </c>
      <c r="R1002" s="5"/>
      <c r="S1002" s="5" t="s">
        <v>8342</v>
      </c>
      <c r="T1002" s="5"/>
    </row>
    <row r="1003" spans="1:20" x14ac:dyDescent="0.25">
      <c r="A1003" s="5" t="s">
        <v>11168</v>
      </c>
      <c r="B1003" s="7" t="s">
        <v>10668</v>
      </c>
      <c r="C1003" s="5" t="s">
        <v>215</v>
      </c>
      <c r="D1003" s="1" t="s">
        <v>10582</v>
      </c>
      <c r="E1003" s="5">
        <v>72</v>
      </c>
      <c r="F1003" s="5">
        <v>3</v>
      </c>
      <c r="G1003" s="7">
        <v>100</v>
      </c>
      <c r="H1003" s="5" t="s">
        <v>10479</v>
      </c>
      <c r="I1003" s="5" t="str">
        <f t="shared" si="15"/>
        <v>fate10023733</v>
      </c>
      <c r="J1003" s="6" t="s">
        <v>10581</v>
      </c>
      <c r="K1003" s="6">
        <v>37.200000000000003</v>
      </c>
      <c r="L1003" s="6">
        <v>33.299999999999997</v>
      </c>
      <c r="M1003" s="6"/>
      <c r="N1003" s="6"/>
      <c r="O1003" s="5"/>
      <c r="P1003" s="5" t="s">
        <v>10576</v>
      </c>
      <c r="Q1003" s="5" t="s">
        <v>10577</v>
      </c>
      <c r="R1003" s="5"/>
      <c r="S1003" s="5" t="s">
        <v>9116</v>
      </c>
      <c r="T1003" s="5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63EA-6A45-4E28-96C7-F6B35AA799FC}">
  <sheetPr>
    <tabColor theme="9" tint="-0.499984740745262"/>
  </sheetPr>
  <dimension ref="A1:H136"/>
  <sheetViews>
    <sheetView zoomScaleNormal="100" workbookViewId="0">
      <pane ySplit="1" topLeftCell="A107" activePane="bottomLeft" state="frozen"/>
      <selection pane="bottomLeft" activeCell="I148" sqref="I148"/>
    </sheetView>
  </sheetViews>
  <sheetFormatPr defaultRowHeight="15" x14ac:dyDescent="0.25"/>
  <cols>
    <col min="3" max="4" width="9.140625" style="14"/>
  </cols>
  <sheetData>
    <row r="1" spans="1:8" x14ac:dyDescent="0.25">
      <c r="A1" s="8" t="s">
        <v>0</v>
      </c>
      <c r="B1" s="8" t="s">
        <v>10747</v>
      </c>
      <c r="C1" s="13" t="s">
        <v>2798</v>
      </c>
      <c r="D1" s="13" t="s">
        <v>2799</v>
      </c>
      <c r="E1" s="8" t="s">
        <v>2800</v>
      </c>
      <c r="F1" s="8" t="s">
        <v>2801</v>
      </c>
      <c r="G1" s="8" t="s">
        <v>2802</v>
      </c>
      <c r="H1" s="8" t="s">
        <v>2803</v>
      </c>
    </row>
    <row r="2" spans="1:8" x14ac:dyDescent="0.25">
      <c r="A2" t="s">
        <v>2804</v>
      </c>
      <c r="B2">
        <v>1</v>
      </c>
      <c r="C2" s="14">
        <v>0</v>
      </c>
      <c r="D2" s="14">
        <v>2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2805</v>
      </c>
      <c r="B3">
        <v>1</v>
      </c>
      <c r="C3" s="14">
        <v>0</v>
      </c>
      <c r="D3" s="14">
        <v>4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2806</v>
      </c>
      <c r="B4">
        <v>1</v>
      </c>
      <c r="C4" s="14">
        <v>1</v>
      </c>
      <c r="D4" s="14">
        <v>4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2807</v>
      </c>
      <c r="B5">
        <v>1</v>
      </c>
      <c r="C5" s="14">
        <v>2</v>
      </c>
      <c r="D5" s="14">
        <v>5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2808</v>
      </c>
      <c r="B6">
        <v>1</v>
      </c>
      <c r="C6" s="14">
        <v>3</v>
      </c>
      <c r="D6" s="14">
        <v>6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2809</v>
      </c>
      <c r="B7">
        <v>1</v>
      </c>
      <c r="C7" s="14">
        <v>4</v>
      </c>
      <c r="D7" s="14">
        <v>7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2810</v>
      </c>
      <c r="B8">
        <v>1</v>
      </c>
      <c r="C8" s="14">
        <v>4</v>
      </c>
      <c r="D8" s="14">
        <v>8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2811</v>
      </c>
      <c r="B9">
        <v>1</v>
      </c>
      <c r="C9" s="14">
        <v>5</v>
      </c>
      <c r="D9" s="14">
        <v>8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2812</v>
      </c>
      <c r="B10">
        <v>1</v>
      </c>
      <c r="C10" s="14">
        <v>6</v>
      </c>
      <c r="D10" s="14">
        <v>9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2813</v>
      </c>
      <c r="B11">
        <v>1</v>
      </c>
      <c r="C11" s="14">
        <v>7</v>
      </c>
      <c r="D11" s="14">
        <v>10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2814</v>
      </c>
      <c r="B12">
        <v>1</v>
      </c>
      <c r="C12" s="14">
        <v>8</v>
      </c>
      <c r="D12" s="14">
        <v>11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2815</v>
      </c>
      <c r="B13">
        <v>1</v>
      </c>
      <c r="C13" s="14">
        <v>8</v>
      </c>
      <c r="D13" s="14">
        <v>12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2816</v>
      </c>
      <c r="B14">
        <v>1</v>
      </c>
      <c r="C14" s="14">
        <v>9</v>
      </c>
      <c r="D14" s="14">
        <v>12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2817</v>
      </c>
      <c r="B15">
        <v>1</v>
      </c>
      <c r="C15" s="14">
        <v>10</v>
      </c>
      <c r="D15" s="14">
        <v>12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2818</v>
      </c>
      <c r="B16">
        <v>1</v>
      </c>
      <c r="C16" s="14">
        <v>10</v>
      </c>
      <c r="D16" s="14">
        <v>13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2819</v>
      </c>
      <c r="B17">
        <v>1</v>
      </c>
      <c r="C17" s="14">
        <v>12</v>
      </c>
      <c r="D17" s="14">
        <v>16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2820</v>
      </c>
      <c r="B18">
        <v>1</v>
      </c>
      <c r="C18" s="14">
        <v>13</v>
      </c>
      <c r="D18" s="14">
        <v>16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2821</v>
      </c>
      <c r="B19">
        <v>1</v>
      </c>
      <c r="C19" s="14">
        <v>16</v>
      </c>
      <c r="D19" s="14">
        <v>20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2822</v>
      </c>
      <c r="B20">
        <v>1</v>
      </c>
      <c r="C20" s="14">
        <v>17</v>
      </c>
      <c r="D20" s="14">
        <v>20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2823</v>
      </c>
      <c r="B21">
        <v>1</v>
      </c>
      <c r="C21" s="14">
        <v>18</v>
      </c>
      <c r="D21" s="14">
        <v>21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2824</v>
      </c>
      <c r="B22">
        <v>1</v>
      </c>
      <c r="C22" s="14">
        <v>19</v>
      </c>
      <c r="D22" s="14">
        <v>22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2825</v>
      </c>
      <c r="B23">
        <v>1</v>
      </c>
      <c r="C23" s="14">
        <v>20</v>
      </c>
      <c r="D23" s="14">
        <v>24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2826</v>
      </c>
      <c r="B24">
        <v>1</v>
      </c>
      <c r="C24" s="14">
        <v>21</v>
      </c>
      <c r="D24" s="14">
        <v>24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9" t="s">
        <v>2827</v>
      </c>
      <c r="B25" s="9">
        <v>3</v>
      </c>
      <c r="C25" s="14">
        <v>1</v>
      </c>
      <c r="D25" s="14">
        <v>4</v>
      </c>
      <c r="E25" s="9">
        <v>5</v>
      </c>
      <c r="F25" s="9">
        <v>8</v>
      </c>
      <c r="G25" s="9">
        <v>9</v>
      </c>
      <c r="H25" s="9">
        <v>12</v>
      </c>
    </row>
    <row r="26" spans="1:8" x14ac:dyDescent="0.25">
      <c r="A26" s="9" t="s">
        <v>2828</v>
      </c>
      <c r="B26" s="9">
        <v>3</v>
      </c>
      <c r="C26" s="14">
        <v>13</v>
      </c>
      <c r="D26" s="14">
        <v>16</v>
      </c>
      <c r="E26" s="9">
        <v>17</v>
      </c>
      <c r="F26" s="9">
        <v>20</v>
      </c>
      <c r="G26" s="9">
        <v>21</v>
      </c>
      <c r="H26" s="9">
        <v>24</v>
      </c>
    </row>
    <row r="27" spans="1:8" x14ac:dyDescent="0.25">
      <c r="A27" s="9" t="s">
        <v>2829</v>
      </c>
      <c r="B27" s="9">
        <v>2</v>
      </c>
      <c r="C27" s="14">
        <v>0</v>
      </c>
      <c r="D27" s="14">
        <v>2</v>
      </c>
      <c r="E27" s="9">
        <v>12</v>
      </c>
      <c r="F27" s="9">
        <v>14</v>
      </c>
      <c r="G27" s="9">
        <v>0</v>
      </c>
      <c r="H27" s="9">
        <v>0</v>
      </c>
    </row>
    <row r="28" spans="1:8" x14ac:dyDescent="0.25">
      <c r="A28" s="9" t="s">
        <v>2830</v>
      </c>
      <c r="B28" s="9">
        <v>2</v>
      </c>
      <c r="C28" s="14">
        <v>2</v>
      </c>
      <c r="D28" s="14">
        <v>4</v>
      </c>
      <c r="E28" s="9">
        <v>14</v>
      </c>
      <c r="F28" s="9">
        <v>16</v>
      </c>
      <c r="G28" s="9">
        <v>0</v>
      </c>
      <c r="H28" s="9">
        <v>0</v>
      </c>
    </row>
    <row r="29" spans="1:8" x14ac:dyDescent="0.25">
      <c r="A29" s="9" t="s">
        <v>2831</v>
      </c>
      <c r="B29" s="9">
        <v>2</v>
      </c>
      <c r="C29" s="14">
        <v>4</v>
      </c>
      <c r="D29" s="14">
        <v>6</v>
      </c>
      <c r="E29" s="9">
        <v>16</v>
      </c>
      <c r="F29" s="9">
        <v>18</v>
      </c>
      <c r="G29" s="9">
        <v>0</v>
      </c>
      <c r="H29" s="9">
        <v>0</v>
      </c>
    </row>
    <row r="30" spans="1:8" x14ac:dyDescent="0.25">
      <c r="A30" s="9" t="s">
        <v>2832</v>
      </c>
      <c r="B30" s="9">
        <v>2</v>
      </c>
      <c r="C30" s="14">
        <v>6</v>
      </c>
      <c r="D30" s="14">
        <v>8</v>
      </c>
      <c r="E30" s="9">
        <v>18</v>
      </c>
      <c r="F30" s="9">
        <v>20</v>
      </c>
      <c r="G30" s="9">
        <v>0</v>
      </c>
      <c r="H30" s="9">
        <v>0</v>
      </c>
    </row>
    <row r="31" spans="1:8" x14ac:dyDescent="0.25">
      <c r="A31" s="9" t="s">
        <v>2833</v>
      </c>
      <c r="B31" s="9">
        <v>2</v>
      </c>
      <c r="C31" s="14">
        <v>8</v>
      </c>
      <c r="D31" s="14">
        <v>10</v>
      </c>
      <c r="E31" s="9">
        <v>20</v>
      </c>
      <c r="F31" s="9">
        <v>22</v>
      </c>
      <c r="G31" s="9">
        <v>0</v>
      </c>
      <c r="H31" s="9">
        <v>0</v>
      </c>
    </row>
    <row r="32" spans="1:8" x14ac:dyDescent="0.25">
      <c r="A32" s="9" t="s">
        <v>2834</v>
      </c>
      <c r="B32" s="9">
        <v>2</v>
      </c>
      <c r="C32" s="14">
        <v>10</v>
      </c>
      <c r="D32" s="14">
        <v>12</v>
      </c>
      <c r="E32" s="9">
        <v>22</v>
      </c>
      <c r="F32" s="9">
        <v>24</v>
      </c>
      <c r="G32" s="9">
        <v>0</v>
      </c>
      <c r="H32" s="9">
        <v>0</v>
      </c>
    </row>
    <row r="33" spans="1:8" x14ac:dyDescent="0.25">
      <c r="A33" t="s">
        <v>2835</v>
      </c>
      <c r="B33">
        <v>1</v>
      </c>
      <c r="C33" s="14">
        <v>11</v>
      </c>
      <c r="D33" s="14">
        <v>13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2836</v>
      </c>
      <c r="B34">
        <v>1</v>
      </c>
      <c r="C34" s="14">
        <v>12</v>
      </c>
      <c r="D34" s="14">
        <v>17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2837</v>
      </c>
      <c r="B35">
        <v>1</v>
      </c>
      <c r="C35" s="14">
        <v>17</v>
      </c>
      <c r="D35" s="14">
        <v>18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2838</v>
      </c>
      <c r="B36">
        <v>1</v>
      </c>
      <c r="C36" s="14">
        <v>18</v>
      </c>
      <c r="D36" s="14">
        <v>2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2839</v>
      </c>
      <c r="B37">
        <v>1</v>
      </c>
      <c r="C37" s="14">
        <v>18</v>
      </c>
      <c r="D37" s="14">
        <v>5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11221</v>
      </c>
      <c r="B38">
        <v>1</v>
      </c>
      <c r="C38" s="14">
        <v>0</v>
      </c>
      <c r="D38" s="14">
        <v>3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11239</v>
      </c>
      <c r="B39">
        <v>1</v>
      </c>
      <c r="C39" s="14">
        <v>0</v>
      </c>
      <c r="D39" s="14">
        <v>6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11240</v>
      </c>
      <c r="B40">
        <v>1</v>
      </c>
      <c r="C40" s="14">
        <v>0</v>
      </c>
      <c r="D40" s="14">
        <v>8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11241</v>
      </c>
      <c r="B41">
        <v>1</v>
      </c>
      <c r="C41" s="14">
        <v>0</v>
      </c>
      <c r="D41" s="14">
        <v>16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11242</v>
      </c>
      <c r="B42">
        <v>1</v>
      </c>
      <c r="C42" s="14">
        <v>1</v>
      </c>
      <c r="D42" s="14">
        <v>3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11295</v>
      </c>
      <c r="B43">
        <v>1</v>
      </c>
      <c r="C43" s="14">
        <v>2</v>
      </c>
      <c r="D43" s="14">
        <v>4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11296</v>
      </c>
      <c r="B44">
        <v>1</v>
      </c>
      <c r="C44" s="14">
        <v>2</v>
      </c>
      <c r="D44" s="14">
        <v>6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11297</v>
      </c>
      <c r="B45">
        <v>1</v>
      </c>
      <c r="C45" s="14">
        <v>2</v>
      </c>
      <c r="D45" s="14">
        <v>8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11298</v>
      </c>
      <c r="B46">
        <v>1</v>
      </c>
      <c r="C46" s="14">
        <v>2</v>
      </c>
      <c r="D46" s="14">
        <v>12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11299</v>
      </c>
      <c r="B47">
        <v>1</v>
      </c>
      <c r="C47" s="14">
        <v>3</v>
      </c>
      <c r="D47" s="14">
        <v>5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11300</v>
      </c>
      <c r="B48">
        <v>1</v>
      </c>
      <c r="C48" s="14">
        <v>3</v>
      </c>
      <c r="D48" s="14">
        <v>13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11301</v>
      </c>
      <c r="B49">
        <v>1</v>
      </c>
      <c r="C49" s="14">
        <v>4</v>
      </c>
      <c r="D49" s="14">
        <v>5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11302</v>
      </c>
      <c r="B50">
        <v>1</v>
      </c>
      <c r="C50" s="14">
        <v>4</v>
      </c>
      <c r="D50" s="14">
        <v>6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11381</v>
      </c>
      <c r="B51">
        <v>1</v>
      </c>
      <c r="C51" s="14">
        <v>4</v>
      </c>
      <c r="D51" s="14">
        <v>9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11382</v>
      </c>
      <c r="B52">
        <v>1</v>
      </c>
      <c r="C52" s="14">
        <v>4</v>
      </c>
      <c r="D52" s="14">
        <v>10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11383</v>
      </c>
      <c r="B53">
        <v>1</v>
      </c>
      <c r="C53" s="14">
        <v>4</v>
      </c>
      <c r="D53" s="14">
        <v>12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11384</v>
      </c>
      <c r="B54">
        <v>1</v>
      </c>
      <c r="C54" s="14">
        <v>5</v>
      </c>
      <c r="D54" s="14">
        <v>6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11385</v>
      </c>
      <c r="B55">
        <v>1</v>
      </c>
      <c r="C55" s="14">
        <v>5</v>
      </c>
      <c r="D55" s="14">
        <v>7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11386</v>
      </c>
      <c r="B56">
        <v>1</v>
      </c>
      <c r="C56" s="14">
        <v>6</v>
      </c>
      <c r="D56" s="14">
        <v>7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11387</v>
      </c>
      <c r="B57">
        <v>1</v>
      </c>
      <c r="C57" s="14">
        <v>6</v>
      </c>
      <c r="D57" s="14">
        <v>8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11388</v>
      </c>
      <c r="B58">
        <v>1</v>
      </c>
      <c r="C58" s="14">
        <v>6</v>
      </c>
      <c r="D58" s="14">
        <v>10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11389</v>
      </c>
      <c r="B59">
        <v>1</v>
      </c>
      <c r="C59" s="14">
        <v>6</v>
      </c>
      <c r="D59" s="14">
        <v>12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14002</v>
      </c>
      <c r="B60">
        <v>1</v>
      </c>
      <c r="C60" s="14">
        <v>7</v>
      </c>
      <c r="D60" s="14">
        <v>17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14003</v>
      </c>
      <c r="B61">
        <v>1</v>
      </c>
      <c r="C61" s="14">
        <v>8</v>
      </c>
      <c r="D61" s="14">
        <v>10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14004</v>
      </c>
      <c r="B62">
        <v>1</v>
      </c>
      <c r="C62" s="14">
        <v>8</v>
      </c>
      <c r="D62" s="14">
        <v>13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14005</v>
      </c>
      <c r="B63">
        <v>1</v>
      </c>
      <c r="C63" s="14">
        <v>8</v>
      </c>
      <c r="D63" s="14">
        <v>14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14006</v>
      </c>
      <c r="B64">
        <v>1</v>
      </c>
      <c r="C64" s="14">
        <v>8</v>
      </c>
      <c r="D64" s="14">
        <v>16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14007</v>
      </c>
      <c r="B65">
        <v>1</v>
      </c>
      <c r="C65" s="14">
        <v>8</v>
      </c>
      <c r="D65" s="14">
        <v>18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14008</v>
      </c>
      <c r="B66">
        <v>1</v>
      </c>
      <c r="C66" s="14">
        <v>8</v>
      </c>
      <c r="D66" s="14">
        <v>20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14009</v>
      </c>
      <c r="B67">
        <v>1</v>
      </c>
      <c r="C67" s="14">
        <v>9</v>
      </c>
      <c r="D67" s="14">
        <v>11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14010</v>
      </c>
      <c r="B68">
        <v>1</v>
      </c>
      <c r="C68" s="14">
        <v>9</v>
      </c>
      <c r="D68" s="14">
        <v>14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14011</v>
      </c>
      <c r="B69">
        <v>1</v>
      </c>
      <c r="C69" s="14">
        <v>9</v>
      </c>
      <c r="D69" s="14">
        <v>15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14012</v>
      </c>
      <c r="B70">
        <v>1</v>
      </c>
      <c r="C70" s="14">
        <v>9</v>
      </c>
      <c r="D70" s="14">
        <v>16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14013</v>
      </c>
      <c r="B71">
        <v>1</v>
      </c>
      <c r="C71" s="14">
        <v>9</v>
      </c>
      <c r="D71" s="14">
        <v>17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14014</v>
      </c>
      <c r="B72">
        <v>1</v>
      </c>
      <c r="C72" s="14">
        <v>9</v>
      </c>
      <c r="D72" s="14">
        <v>24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14015</v>
      </c>
      <c r="B73">
        <v>1</v>
      </c>
      <c r="C73" s="14">
        <v>10</v>
      </c>
      <c r="D73" s="14">
        <v>14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14016</v>
      </c>
      <c r="B74">
        <v>1</v>
      </c>
      <c r="C74" s="14">
        <v>10</v>
      </c>
      <c r="D74" s="14">
        <v>15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14017</v>
      </c>
      <c r="B75">
        <v>1</v>
      </c>
      <c r="C75" s="14">
        <v>10</v>
      </c>
      <c r="D75" s="14">
        <v>16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14018</v>
      </c>
      <c r="B76">
        <v>1</v>
      </c>
      <c r="C76" s="14">
        <v>10</v>
      </c>
      <c r="D76" s="14">
        <v>18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14019</v>
      </c>
      <c r="B77">
        <v>1</v>
      </c>
      <c r="C77" s="14">
        <v>12</v>
      </c>
      <c r="D77" s="14">
        <v>13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14020</v>
      </c>
      <c r="B78">
        <v>1</v>
      </c>
      <c r="C78" s="14">
        <v>12</v>
      </c>
      <c r="D78" s="14">
        <v>14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14021</v>
      </c>
      <c r="B79">
        <v>1</v>
      </c>
      <c r="C79" s="14">
        <v>12</v>
      </c>
      <c r="D79" s="14">
        <v>18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14022</v>
      </c>
      <c r="B80">
        <v>1</v>
      </c>
      <c r="C80" s="14">
        <v>12</v>
      </c>
      <c r="D80" s="14">
        <v>19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14023</v>
      </c>
      <c r="B81">
        <v>1</v>
      </c>
      <c r="C81" s="14">
        <v>12</v>
      </c>
      <c r="D81" s="14">
        <v>20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14024</v>
      </c>
      <c r="B82">
        <v>1</v>
      </c>
      <c r="C82" s="14">
        <v>13</v>
      </c>
      <c r="D82" s="14">
        <v>15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14025</v>
      </c>
      <c r="B83">
        <v>1</v>
      </c>
      <c r="C83" s="14">
        <v>13</v>
      </c>
      <c r="D83" s="14">
        <v>20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14026</v>
      </c>
      <c r="B84">
        <v>1</v>
      </c>
      <c r="C84" s="14">
        <v>14</v>
      </c>
      <c r="D84" s="14">
        <v>16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14027</v>
      </c>
      <c r="B85">
        <v>1</v>
      </c>
      <c r="C85" s="14">
        <v>15</v>
      </c>
      <c r="D85" s="14">
        <v>9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14028</v>
      </c>
      <c r="B86">
        <v>1</v>
      </c>
      <c r="C86" s="14">
        <v>15</v>
      </c>
      <c r="D86" s="14">
        <v>10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14029</v>
      </c>
      <c r="B87">
        <v>1</v>
      </c>
      <c r="C87" s="14">
        <v>15</v>
      </c>
      <c r="D87" s="14">
        <v>16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14030</v>
      </c>
      <c r="B88">
        <v>1</v>
      </c>
      <c r="C88" s="14">
        <v>15</v>
      </c>
      <c r="D88" s="14">
        <v>17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14031</v>
      </c>
      <c r="B89">
        <v>1</v>
      </c>
      <c r="C89" s="14">
        <v>15</v>
      </c>
      <c r="D89" s="14">
        <v>18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14032</v>
      </c>
      <c r="B90">
        <v>1</v>
      </c>
      <c r="C90" s="14">
        <v>16</v>
      </c>
      <c r="D90" s="14">
        <v>2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14033</v>
      </c>
      <c r="B91">
        <v>1</v>
      </c>
      <c r="C91" s="14">
        <v>16</v>
      </c>
      <c r="D91" s="14">
        <v>18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14034</v>
      </c>
      <c r="B92">
        <v>1</v>
      </c>
      <c r="C92" s="14">
        <v>16</v>
      </c>
      <c r="D92" s="14">
        <v>19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14035</v>
      </c>
      <c r="B93">
        <v>1</v>
      </c>
      <c r="C93" s="14">
        <v>16</v>
      </c>
      <c r="D93" s="14">
        <v>21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14036</v>
      </c>
      <c r="B94">
        <v>1</v>
      </c>
      <c r="C94" s="14">
        <v>16</v>
      </c>
      <c r="D94" s="14">
        <v>22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14037</v>
      </c>
      <c r="B95">
        <v>1</v>
      </c>
      <c r="C95" s="14">
        <v>16</v>
      </c>
      <c r="D95" s="14">
        <v>24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14038</v>
      </c>
      <c r="B96">
        <v>1</v>
      </c>
      <c r="C96" s="14">
        <v>17</v>
      </c>
      <c r="D96" s="14">
        <v>3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14039</v>
      </c>
      <c r="B97">
        <v>1</v>
      </c>
      <c r="C97" s="14">
        <v>17</v>
      </c>
      <c r="D97" s="14">
        <v>7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14040</v>
      </c>
      <c r="B98">
        <v>1</v>
      </c>
      <c r="C98" s="14">
        <v>17</v>
      </c>
      <c r="D98" s="14">
        <v>9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14041</v>
      </c>
      <c r="B99">
        <v>1</v>
      </c>
      <c r="C99" s="14">
        <v>17</v>
      </c>
      <c r="D99" s="14">
        <v>10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14042</v>
      </c>
      <c r="B100">
        <v>1</v>
      </c>
      <c r="C100" s="14">
        <v>17</v>
      </c>
      <c r="D100" s="14">
        <v>18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14043</v>
      </c>
      <c r="B101">
        <v>1</v>
      </c>
      <c r="C101" s="14">
        <v>17</v>
      </c>
      <c r="D101" s="14">
        <v>19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14044</v>
      </c>
      <c r="B102">
        <v>1</v>
      </c>
      <c r="C102" s="14">
        <v>17</v>
      </c>
      <c r="D102" s="14">
        <v>21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14045</v>
      </c>
      <c r="B103">
        <v>1</v>
      </c>
      <c r="C103" s="14">
        <v>17</v>
      </c>
      <c r="D103" s="14">
        <v>22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14046</v>
      </c>
      <c r="B104">
        <v>1</v>
      </c>
      <c r="C104" s="14">
        <v>18</v>
      </c>
      <c r="D104" s="14">
        <v>2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14047</v>
      </c>
      <c r="B105">
        <v>1</v>
      </c>
      <c r="C105" s="14">
        <v>18</v>
      </c>
      <c r="D105" s="14">
        <v>3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14048</v>
      </c>
      <c r="B106">
        <v>1</v>
      </c>
      <c r="C106" s="14">
        <v>18</v>
      </c>
      <c r="D106" s="14">
        <v>5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14049</v>
      </c>
      <c r="B107">
        <v>1</v>
      </c>
      <c r="C107" s="14">
        <v>18</v>
      </c>
      <c r="D107" s="14">
        <v>6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14050</v>
      </c>
      <c r="B108">
        <v>1</v>
      </c>
      <c r="C108" s="14">
        <v>18</v>
      </c>
      <c r="D108" s="14">
        <v>9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14051</v>
      </c>
      <c r="B109">
        <v>1</v>
      </c>
      <c r="C109" s="14">
        <v>18</v>
      </c>
      <c r="D109" s="14">
        <v>19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14052</v>
      </c>
      <c r="B110">
        <v>1</v>
      </c>
      <c r="C110" s="14">
        <v>18</v>
      </c>
      <c r="D110" s="14">
        <v>20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14053</v>
      </c>
      <c r="B111">
        <v>1</v>
      </c>
      <c r="C111" s="14">
        <v>18</v>
      </c>
      <c r="D111" s="14">
        <v>22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14054</v>
      </c>
      <c r="B112">
        <v>1</v>
      </c>
      <c r="C112" s="14">
        <v>18</v>
      </c>
      <c r="D112" s="14">
        <v>23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14055</v>
      </c>
      <c r="B113">
        <v>1</v>
      </c>
      <c r="C113" s="14">
        <v>18</v>
      </c>
      <c r="D113" s="14">
        <v>24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14056</v>
      </c>
      <c r="B114">
        <v>1</v>
      </c>
      <c r="C114" s="14">
        <v>19</v>
      </c>
      <c r="D114" s="14">
        <v>21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14057</v>
      </c>
      <c r="B115">
        <v>1</v>
      </c>
      <c r="C115" s="14">
        <v>19</v>
      </c>
      <c r="D115" s="14">
        <v>2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14058</v>
      </c>
      <c r="B116">
        <v>1</v>
      </c>
      <c r="C116" s="14">
        <v>19</v>
      </c>
      <c r="D116" s="14">
        <v>3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14059</v>
      </c>
      <c r="B117">
        <v>1</v>
      </c>
      <c r="C117" s="14">
        <v>19</v>
      </c>
      <c r="D117" s="14">
        <v>4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14060</v>
      </c>
      <c r="B118">
        <v>1</v>
      </c>
      <c r="C118" s="14">
        <v>19</v>
      </c>
      <c r="D118" s="14">
        <v>23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14061</v>
      </c>
      <c r="B119">
        <v>1</v>
      </c>
      <c r="C119" s="14">
        <v>19</v>
      </c>
      <c r="D119" s="14">
        <v>24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14062</v>
      </c>
      <c r="B120">
        <v>1</v>
      </c>
      <c r="C120" s="14">
        <v>20</v>
      </c>
      <c r="D120" s="14">
        <v>3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14063</v>
      </c>
      <c r="B121">
        <v>1</v>
      </c>
      <c r="C121" s="14">
        <v>20</v>
      </c>
      <c r="D121" s="14">
        <v>4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14064</v>
      </c>
      <c r="B122">
        <v>1</v>
      </c>
      <c r="C122" s="14">
        <v>20</v>
      </c>
      <c r="D122" s="14">
        <v>22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14065</v>
      </c>
      <c r="B123">
        <v>1</v>
      </c>
      <c r="C123" s="14">
        <v>20</v>
      </c>
      <c r="D123" s="14">
        <v>23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14066</v>
      </c>
      <c r="B124">
        <v>1</v>
      </c>
      <c r="C124" s="14">
        <v>21</v>
      </c>
      <c r="D124" s="14">
        <v>2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14067</v>
      </c>
      <c r="B125">
        <v>1</v>
      </c>
      <c r="C125" s="14">
        <v>21</v>
      </c>
      <c r="D125" s="14">
        <v>3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14068</v>
      </c>
      <c r="B126">
        <v>1</v>
      </c>
      <c r="C126" s="14">
        <v>21</v>
      </c>
      <c r="D126" s="14">
        <v>23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14069</v>
      </c>
      <c r="B127">
        <v>1</v>
      </c>
      <c r="C127" s="14">
        <v>22</v>
      </c>
      <c r="D127" s="14">
        <v>2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14070</v>
      </c>
      <c r="B128">
        <v>1</v>
      </c>
      <c r="C128" s="14">
        <v>22</v>
      </c>
      <c r="D128" s="14">
        <v>3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14071</v>
      </c>
      <c r="B129">
        <v>1</v>
      </c>
      <c r="C129" s="14">
        <v>22</v>
      </c>
      <c r="D129" s="14">
        <v>4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14072</v>
      </c>
      <c r="B130">
        <v>1</v>
      </c>
      <c r="C130" s="14">
        <v>22</v>
      </c>
      <c r="D130" s="14">
        <v>24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14073</v>
      </c>
      <c r="B131">
        <v>1</v>
      </c>
      <c r="C131" s="14">
        <v>23</v>
      </c>
      <c r="D131" s="14">
        <v>1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14074</v>
      </c>
      <c r="B132">
        <v>1</v>
      </c>
      <c r="C132" s="14">
        <v>23</v>
      </c>
      <c r="D132" s="14">
        <v>2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14075</v>
      </c>
      <c r="B133">
        <v>1</v>
      </c>
      <c r="C133" s="14">
        <v>23</v>
      </c>
      <c r="D133" s="14">
        <v>24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14076</v>
      </c>
      <c r="B134">
        <v>1</v>
      </c>
      <c r="C134" s="14">
        <v>23</v>
      </c>
      <c r="D134" s="14">
        <v>5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14077</v>
      </c>
      <c r="B135">
        <v>1</v>
      </c>
      <c r="C135" s="14">
        <v>20</v>
      </c>
      <c r="D135" s="14">
        <v>6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14078</v>
      </c>
      <c r="B136">
        <v>1</v>
      </c>
      <c r="C136" s="14">
        <v>12</v>
      </c>
      <c r="D136" s="14">
        <v>6</v>
      </c>
      <c r="E136">
        <v>0</v>
      </c>
      <c r="F136">
        <v>0</v>
      </c>
      <c r="G136">
        <v>0</v>
      </c>
      <c r="H1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areas</vt:lpstr>
      <vt:lpstr>expansions</vt:lpstr>
      <vt:lpstr>botany</vt:lpstr>
      <vt:lpstr>fishing</vt:lpstr>
      <vt:lpstr>aetheryte</vt:lpstr>
      <vt:lpstr>hunts</vt:lpstr>
      <vt:lpstr>huntpoint</vt:lpstr>
      <vt:lpstr>aethercurrent</vt:lpstr>
      <vt:lpstr>aetherial</vt:lpstr>
      <vt:lpstr>bluemage</vt:lpstr>
      <vt:lpstr>sightseeing</vt:lpstr>
      <vt:lpstr>miner</vt:lpstr>
      <vt:lpstr>fates</vt:lpstr>
      <vt:lpstr>timer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Stjepan Erdeljac</dc:creator>
  <cp:lastModifiedBy>Stjepan Erdeljac</cp:lastModifiedBy>
  <dcterms:created xsi:type="dcterms:W3CDTF">2025-07-13T07:58:34Z</dcterms:created>
  <dcterms:modified xsi:type="dcterms:W3CDTF">2026-07-28T08:33:26Z</dcterms:modified>
</cp:coreProperties>
</file>